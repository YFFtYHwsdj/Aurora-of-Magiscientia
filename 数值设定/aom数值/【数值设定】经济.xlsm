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540" activeTab="3"/>
  </bookViews>
  <sheets>
    <sheet name="商品定位" sheetId="4" r:id="rId1"/>
    <sheet name="商品" sheetId="1" r:id="rId2"/>
    <sheet name="生活水平" sheetId="8" r:id="rId3"/>
    <sheet name="职业" sheetId="2" r:id="rId4"/>
    <sheet name="建筑" sheetId="3" r:id="rId5"/>
    <sheet name="生产方式组" sheetId="10" r:id="rId6"/>
    <sheet name="生产方式定位" sheetId="5" r:id="rId7"/>
    <sheet name="生产方式A" sheetId="7" r:id="rId8"/>
    <sheet name="生产方式B" sheetId="9" r:id="rId9"/>
    <sheet name="临时演算表" sheetId="11" r:id="rId10"/>
  </sheets>
  <calcPr calcId="144525"/>
</workbook>
</file>

<file path=xl/sharedStrings.xml><?xml version="1.0" encoding="utf-8"?>
<sst xmlns="http://schemas.openxmlformats.org/spreadsheetml/2006/main" count="11163" uniqueCount="628">
  <si>
    <t>商品定位是被抽象出来的商品基本性质，会影响商品的基本数值。如果对商品有额外的需求，可以根据实际需要微调</t>
  </si>
  <si>
    <t>之所以需要商品定位，首先是处于设计的效率考虑，我们不可能直接去设计几十上百个商品，而是需要用一套普遍的模型推演出来</t>
  </si>
  <si>
    <t>其次是设计的统一性考虑，我们需要让商品被规范地设计，不然后面的生产方式、建筑、科技乃至职业也都不可能将具有设计的统一性</t>
  </si>
  <si>
    <t>商品定位</t>
  </si>
  <si>
    <t>说明</t>
  </si>
  <si>
    <t>一般定价</t>
  </si>
  <si>
    <t>生产效率定位</t>
  </si>
  <si>
    <t>建筑类型</t>
  </si>
  <si>
    <t>初级农产品</t>
  </si>
  <si>
    <t>这是案例</t>
  </si>
  <si>
    <t>低</t>
  </si>
  <si>
    <t>先低后高</t>
  </si>
  <si>
    <t>农场、种植园</t>
  </si>
  <si>
    <t>我是分割线</t>
  </si>
  <si>
    <t>比如上案例，初级农产品其实就是谷物这些东西，它们的一般定价是低，生产效率定位为“先低后高”</t>
  </si>
  <si>
    <t>那么我们可以想一下如何做这个过渡，合理的做法是引入“肥料”这一商品，通过它去变革生产方式，拉高生产效率</t>
  </si>
  <si>
    <t>那么在这里我们就有必要去做抉择，“肥料”的生产效率此时是如何的？如果肥料供给也很充足，价格也很低，那么可能导致如下结果：</t>
  </si>
  <si>
    <t>可能出现国生产该商品的建筑盈利→建筑劳动力的生活水平上升&amp;商品价格下降&amp;国家收入增长</t>
  </si>
  <si>
    <t>1、建筑劳动力的生活水平上升意味着他们政治力量的加强，可能因此具备推动某些变革的能力</t>
  </si>
  <si>
    <t>2、商品价格下降会导致需求该商品的开支减少，也即提高一些pop的生活水平</t>
  </si>
  <si>
    <t>3、国家收入增长会加快玩家的发展速度</t>
  </si>
  <si>
    <t>最后的结果就是玩家发现有利可图，于是大量建造肥料和生产该初级农产品的建筑</t>
  </si>
  <si>
    <t>如果商品价格到50%还是有很多收益的话，那么玩家可能就会出现邪道打法，他可能就只出这个建筑和军营，然后横推全球</t>
  </si>
  <si>
    <t>这样子我们可以说，这个游戏是失去经营产业链的乐趣的，是不符合V3想要的核心体验的</t>
  </si>
  <si>
    <t>但是如果肥料此时的生产效率是很低的，而肥料对初级农产品的定位又是很大的，刚好玩家又对该农产品很需求</t>
  </si>
  <si>
    <t>那么玩家就会为了填平初级农产品的需求去大量生产肥料，接着他一看，肥料需要大量的硫磺，硫磺又需要炸药去提高生产效率，然后这些可能都还离不开科技的进步</t>
  </si>
  <si>
    <t>那么他就得在肥料、硫磺、炸药、大学间做出权衡，并安排发展顺序，游戏会有意思很多</t>
  </si>
  <si>
    <t>而且可能游戏的发展是出乎他意料的，比如他没发现农产品大量的供给导致生活水平提升，他对衣服、家具的需求变大了，他不得不处理新的问题</t>
  </si>
  <si>
    <t>这样，整个游戏的经济是可以循环的，可以让玩家一定程度上重复游玩，而不是像横推全球那样无聊</t>
  </si>
  <si>
    <t>Pop_Needs</t>
  </si>
  <si>
    <t>good</t>
  </si>
  <si>
    <t>weight</t>
  </si>
  <si>
    <t>max_weight</t>
  </si>
  <si>
    <t>min_weight</t>
  </si>
  <si>
    <t>maxes_out</t>
  </si>
  <si>
    <t>substitutable</t>
  </si>
  <si>
    <t>Cost</t>
  </si>
  <si>
    <t>需求消费</t>
  </si>
  <si>
    <t>人口群的需求</t>
  </si>
  <si>
    <t>替代品</t>
  </si>
  <si>
    <t>花费</t>
  </si>
  <si>
    <t>中级农产品</t>
  </si>
  <si>
    <t>simple_clothing</t>
  </si>
  <si>
    <t>fabric</t>
  </si>
  <si>
    <t>高级农产品</t>
  </si>
  <si>
    <t>clothes</t>
  </si>
  <si>
    <t>crude_items</t>
  </si>
  <si>
    <t>wood</t>
  </si>
  <si>
    <t>初级原材料</t>
  </si>
  <si>
    <t>furniture</t>
  </si>
  <si>
    <t>中级原材料</t>
  </si>
  <si>
    <t>basic_food</t>
  </si>
  <si>
    <t>grain</t>
  </si>
  <si>
    <t>高级原材料</t>
  </si>
  <si>
    <t>fish</t>
  </si>
  <si>
    <t>meat</t>
  </si>
  <si>
    <t>初级工业品</t>
  </si>
  <si>
    <t>fruit</t>
  </si>
  <si>
    <t>中级工业品</t>
  </si>
  <si>
    <t>groceries</t>
  </si>
  <si>
    <t>高级工业品</t>
  </si>
  <si>
    <t>heating</t>
  </si>
  <si>
    <t>初级消费品</t>
  </si>
  <si>
    <t>coal</t>
  </si>
  <si>
    <t>中级消费品</t>
  </si>
  <si>
    <t>oil</t>
  </si>
  <si>
    <t>高级消费品</t>
  </si>
  <si>
    <t>electricity</t>
  </si>
  <si>
    <t>household_items</t>
  </si>
  <si>
    <t>初级工具</t>
  </si>
  <si>
    <t>glass</t>
  </si>
  <si>
    <t>中级工具</t>
  </si>
  <si>
    <t>standard_clothing</t>
  </si>
  <si>
    <t>高级工具</t>
  </si>
  <si>
    <t>services</t>
  </si>
  <si>
    <t>intoxicants</t>
  </si>
  <si>
    <t>liquor</t>
  </si>
  <si>
    <t>初级军用品</t>
  </si>
  <si>
    <t>tobacco</t>
  </si>
  <si>
    <t>中级军用品</t>
  </si>
  <si>
    <t>opium</t>
  </si>
  <si>
    <t>高级军用品</t>
  </si>
  <si>
    <t>luxury_drinks</t>
  </si>
  <si>
    <t>tea</t>
  </si>
  <si>
    <t>coffee</t>
  </si>
  <si>
    <t>能源</t>
  </si>
  <si>
    <t>wine</t>
  </si>
  <si>
    <t>free_movement</t>
  </si>
  <si>
    <t>transportation</t>
  </si>
  <si>
    <t>automobiles</t>
  </si>
  <si>
    <t>communication</t>
  </si>
  <si>
    <t>telephones</t>
  </si>
  <si>
    <t>luxury_food</t>
  </si>
  <si>
    <t>sugar</t>
  </si>
  <si>
    <t>luxury_items</t>
  </si>
  <si>
    <t>luxury_clothes</t>
  </si>
  <si>
    <t>luxury_furniture</t>
  </si>
  <si>
    <t>porcelain</t>
  </si>
  <si>
    <t>radios</t>
  </si>
  <si>
    <t>art</t>
  </si>
  <si>
    <t>fine_art</t>
  </si>
  <si>
    <t>商品名称</t>
  </si>
  <si>
    <t>备注</t>
  </si>
  <si>
    <t>定位</t>
  </si>
  <si>
    <t>用途概述
（为了减少工作量，有特殊需求的才写）</t>
  </si>
  <si>
    <t>简要说明
（为了减少工作量，有特殊需求的才写）</t>
  </si>
  <si>
    <t>谷物</t>
  </si>
  <si>
    <t>鱼</t>
  </si>
  <si>
    <t>木头</t>
  </si>
  <si>
    <t>布料</t>
  </si>
  <si>
    <t>硬木</t>
  </si>
  <si>
    <t>染料</t>
  </si>
  <si>
    <t>树胶</t>
  </si>
  <si>
    <t>糖</t>
  </si>
  <si>
    <t>肉类</t>
  </si>
  <si>
    <t>水果</t>
  </si>
  <si>
    <t>药草</t>
  </si>
  <si>
    <t>烟草</t>
  </si>
  <si>
    <t>赛里斯草</t>
  </si>
  <si>
    <t>茶</t>
  </si>
  <si>
    <t>丝绸</t>
  </si>
  <si>
    <t>高级农产品&amp;中级工业品</t>
  </si>
  <si>
    <t>煤</t>
  </si>
  <si>
    <t>铁</t>
  </si>
  <si>
    <t>铅</t>
  </si>
  <si>
    <t>硫</t>
  </si>
  <si>
    <t>食品</t>
  </si>
  <si>
    <t>纸张</t>
  </si>
  <si>
    <t>肥料</t>
  </si>
  <si>
    <t>钢铁</t>
  </si>
  <si>
    <t>服务</t>
  </si>
  <si>
    <t>玻璃</t>
  </si>
  <si>
    <t>初级消费品&amp;初级工业品</t>
  </si>
  <si>
    <t>瓷器</t>
  </si>
  <si>
    <t>高级玻璃</t>
  </si>
  <si>
    <t>衣物</t>
  </si>
  <si>
    <t>奢侈服装</t>
  </si>
  <si>
    <t>家具</t>
  </si>
  <si>
    <t>奢侈家具</t>
  </si>
  <si>
    <t>饮品</t>
  </si>
  <si>
    <t>烈酒</t>
  </si>
  <si>
    <t>奢侈饮品</t>
  </si>
  <si>
    <t>魔悬浮车</t>
  </si>
  <si>
    <t>黄金</t>
  </si>
  <si>
    <t>艺术品</t>
  </si>
  <si>
    <t>工具</t>
  </si>
  <si>
    <t>魔偶</t>
  </si>
  <si>
    <t>运力</t>
  </si>
  <si>
    <t>炸药</t>
  </si>
  <si>
    <t>科学引擎</t>
  </si>
  <si>
    <t>魔导引擎</t>
  </si>
  <si>
    <t>灵能水晶</t>
  </si>
  <si>
    <t>泽洛</t>
  </si>
  <si>
    <t>能源＆高级工具＆高级原材料</t>
  </si>
  <si>
    <t>秘银</t>
  </si>
  <si>
    <t>轻武器</t>
  </si>
  <si>
    <t>金属武器</t>
  </si>
  <si>
    <t>金属防具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</si>
  <si>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</si>
  <si>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</si>
  <si>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</si>
  <si>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</si>
  <si>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</si>
  <si>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</si>
  <si>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</si>
  <si>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快速帆船</t>
  </si>
  <si>
    <t>建造</t>
  </si>
  <si>
    <t>特殊数值</t>
  </si>
  <si>
    <t>wealth</t>
  </si>
  <si>
    <t>political
strength</t>
  </si>
  <si>
    <t>total_cost</t>
  </si>
  <si>
    <t>财富等级</t>
  </si>
  <si>
    <t>政治力量</t>
  </si>
  <si>
    <t>总耗费</t>
  </si>
  <si>
    <t>简单衣物</t>
  </si>
  <si>
    <t>简单物品</t>
  </si>
  <si>
    <t>基础食物</t>
  </si>
  <si>
    <t>标准衣物</t>
  </si>
  <si>
    <t>家庭物品</t>
  </si>
  <si>
    <t>取暖</t>
  </si>
  <si>
    <t>自由出行</t>
  </si>
  <si>
    <t>交流</t>
  </si>
  <si>
    <t>奢侈食物</t>
  </si>
  <si>
    <t>奢侈物品</t>
  </si>
  <si>
    <t>艺术</t>
  </si>
  <si>
    <t/>
  </si>
  <si>
    <t>职业名称</t>
  </si>
  <si>
    <t>阶级</t>
  </si>
  <si>
    <t>最低生活水平</t>
  </si>
  <si>
    <t>最低生活花费
放缩</t>
  </si>
  <si>
    <t>最低生活花费</t>
  </si>
  <si>
    <t>工资权重</t>
  </si>
  <si>
    <t>工资等级</t>
  </si>
  <si>
    <t>定位说明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</si>
  <si>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</si>
  <si>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</si>
  <si>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</si>
  <si>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</si>
  <si>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</si>
  <si>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</si>
  <si>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</si>
  <si>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</si>
  <si>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</si>
  <si>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</si>
  <si>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</si>
  <si>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</si>
  <si>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</si>
  <si>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</si>
  <si>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</si>
  <si>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</si>
  <si>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职员</t>
  </si>
  <si>
    <t>矮人？</t>
  </si>
  <si>
    <t>需要说明</t>
  </si>
  <si>
    <r>
      <rPr>
        <b/>
        <sz val="12"/>
        <color theme="0"/>
        <rFont val="宋体"/>
        <charset val="134"/>
        <scheme val="minor"/>
      </rPr>
      <t>需要新增的写在下面，</t>
    </r>
    <r>
      <rPr>
        <b/>
        <sz val="12"/>
        <color rgb="FFFF0000"/>
        <rFont val="宋体"/>
        <charset val="134"/>
        <scheme val="minor"/>
      </rPr>
      <t>因为上面的有写公式，不懂公式的情况下不要动</t>
    </r>
  </si>
  <si>
    <t>转表遍历行数：
（可配置）</t>
  </si>
  <si>
    <t>生产方式类别</t>
  </si>
  <si>
    <t>建筑名称</t>
  </si>
  <si>
    <t>生产方式组类别</t>
  </si>
  <si>
    <t>等级</t>
  </si>
  <si>
    <t>产出1</t>
  </si>
  <si>
    <t>产出2</t>
  </si>
  <si>
    <t>简要说明</t>
  </si>
  <si>
    <t>劳动密集</t>
  </si>
  <si>
    <t>食品厂</t>
  </si>
  <si>
    <t>基础生产</t>
  </si>
  <si>
    <t>高级生产</t>
  </si>
  <si>
    <t>自动化</t>
  </si>
  <si>
    <t>所有制</t>
  </si>
  <si>
    <t>酿酒厂</t>
  </si>
  <si>
    <t>造纸厂</t>
  </si>
  <si>
    <t>纺织厂</t>
  </si>
  <si>
    <t>奢侈衣物</t>
  </si>
  <si>
    <t>家具厂</t>
  </si>
  <si>
    <t>玻璃厂</t>
  </si>
  <si>
    <t>陶瓷</t>
  </si>
  <si>
    <t>化工厂</t>
  </si>
  <si>
    <t>工具作坊</t>
  </si>
  <si>
    <t>魔偶工厂</t>
  </si>
  <si>
    <t>科学武器厂</t>
  </si>
  <si>
    <t>魔导武器厂</t>
  </si>
  <si>
    <t>技术密集</t>
  </si>
  <si>
    <t>合成材料工厂</t>
  </si>
  <si>
    <t>钢铁厂</t>
  </si>
  <si>
    <t>炼金厂</t>
  </si>
  <si>
    <t>晶体萃取厂</t>
  </si>
  <si>
    <t>科学动力厂</t>
  </si>
  <si>
    <t>魔导动力厂</t>
  </si>
  <si>
    <t>魔能军械厂</t>
  </si>
  <si>
    <t>科学军械厂</t>
  </si>
  <si>
    <t>资本密集</t>
  </si>
  <si>
    <t>道路</t>
  </si>
  <si>
    <t>军事化</t>
  </si>
  <si>
    <t>铁路</t>
  </si>
  <si>
    <t>传送阵</t>
  </si>
  <si>
    <t>贸易中心</t>
  </si>
  <si>
    <t>艺术学院</t>
  </si>
  <si>
    <t>城镇中心</t>
  </si>
  <si>
    <t>运输方式</t>
  </si>
  <si>
    <t>建造部门</t>
  </si>
  <si>
    <t>港口</t>
  </si>
  <si>
    <t>行政机构</t>
  </si>
  <si>
    <t>大学</t>
  </si>
  <si>
    <t>资源密集</t>
  </si>
  <si>
    <t>煤矿</t>
  </si>
  <si>
    <t>铁矿</t>
  </si>
  <si>
    <t>铅矿</t>
  </si>
  <si>
    <t>硫矿</t>
  </si>
  <si>
    <t>金矿</t>
  </si>
  <si>
    <t>油井</t>
  </si>
  <si>
    <t>棉花</t>
  </si>
  <si>
    <t>鸦片</t>
  </si>
  <si>
    <t>茶叶</t>
  </si>
  <si>
    <t>香蕉</t>
  </si>
  <si>
    <t>糖类</t>
  </si>
  <si>
    <t>伐木场</t>
  </si>
  <si>
    <t>黑麦</t>
  </si>
  <si>
    <t>小麦</t>
  </si>
  <si>
    <t>大米</t>
  </si>
  <si>
    <t>玉米</t>
  </si>
  <si>
    <t>小米</t>
  </si>
  <si>
    <t>牧场</t>
  </si>
  <si>
    <t>渔船码头</t>
  </si>
  <si>
    <t>捕鲸站</t>
  </si>
  <si>
    <t>常备军营</t>
  </si>
  <si>
    <t>动员军营</t>
  </si>
  <si>
    <t>军港</t>
  </si>
  <si>
    <t>自给农场</t>
  </si>
  <si>
    <t>生产方式组</t>
  </si>
  <si>
    <t>生产方式等级</t>
  </si>
  <si>
    <t>building_食品厂</t>
  </si>
  <si>
    <t>pmg_食品厂_基础生产</t>
  </si>
  <si>
    <t>pmg_食品厂_高级生产</t>
  </si>
  <si>
    <t>pmg_食品厂_自动化</t>
  </si>
  <si>
    <t>无</t>
  </si>
  <si>
    <t>pmg_食品厂_所有制</t>
  </si>
  <si>
    <t>building_酿酒厂</t>
  </si>
  <si>
    <t>pmg_酿酒厂_基础生产</t>
  </si>
  <si>
    <t>pmg_酿酒厂_高级生产</t>
  </si>
  <si>
    <t>pmg_酿酒厂_自动化</t>
  </si>
  <si>
    <t>pmg_酿酒厂_所有制</t>
  </si>
  <si>
    <t>building_造纸厂</t>
  </si>
  <si>
    <t>pmg_造纸厂_基础生产</t>
  </si>
  <si>
    <t>pmg_造纸厂_自动化</t>
  </si>
  <si>
    <t>pmg_造纸厂_所有制</t>
  </si>
  <si>
    <t>building_纺织厂</t>
  </si>
  <si>
    <t>pmg_纺织厂_基础生产</t>
  </si>
  <si>
    <t>pmg_纺织厂_高级生产</t>
  </si>
  <si>
    <t>pmg_纺织厂_自动化</t>
  </si>
  <si>
    <t>pmg_纺织厂_所有制</t>
  </si>
  <si>
    <t>building_家具厂</t>
  </si>
  <si>
    <t>pmg_家具厂_基础生产</t>
  </si>
  <si>
    <t>pmg_家具厂_高级生产</t>
  </si>
  <si>
    <t>pmg_家具厂_自动化</t>
  </si>
  <si>
    <t>pmg_家具厂_所有制</t>
  </si>
  <si>
    <t>building_玻璃厂</t>
  </si>
  <si>
    <t>pmg_玻璃厂_基础生产</t>
  </si>
  <si>
    <t>pmg_玻璃厂_高级生产</t>
  </si>
  <si>
    <t>pmg_玻璃厂_自动化</t>
  </si>
  <si>
    <t>pmg_玻璃厂_所有制</t>
  </si>
  <si>
    <t>building_化工厂</t>
  </si>
  <si>
    <t>pmg_化工厂_基础生产</t>
  </si>
  <si>
    <t>pmg_化工厂_高级生产</t>
  </si>
  <si>
    <t>pmg_化工厂_自动化</t>
  </si>
  <si>
    <t>pmg_化工厂_所有制</t>
  </si>
  <si>
    <t>building_工具作坊</t>
  </si>
  <si>
    <t>pmg_工具作坊_基础生产</t>
  </si>
  <si>
    <t>pmg_工具作坊_自动化</t>
  </si>
  <si>
    <t>pmg_工具作坊_所有制</t>
  </si>
  <si>
    <t>building_魔偶工厂</t>
  </si>
  <si>
    <t>pmg_魔偶工厂_基础生产</t>
  </si>
  <si>
    <t>pmg_魔偶工厂_自动化</t>
  </si>
  <si>
    <t>pmg_魔偶工厂_所有制</t>
  </si>
  <si>
    <t>building_科学武器厂</t>
  </si>
  <si>
    <t>pmg_科学武器厂_基础生产</t>
  </si>
  <si>
    <t>pmg_科学武器厂_高级生产</t>
  </si>
  <si>
    <t>pmg_科学武器厂_自动化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</si>
  <si>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</si>
  <si>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</si>
  <si>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</si>
  <si>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</si>
  <si>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pmg_魔导武器厂_自动化</t>
  </si>
  <si>
    <t>pmg_魔导武器厂_所有制</t>
  </si>
  <si>
    <t>building_合成材料工厂</t>
  </si>
  <si>
    <t>pmg_合成材料工厂_基础生产</t>
  </si>
  <si>
    <t>pmg_合成材料工厂_自动化</t>
  </si>
  <si>
    <t>pmg_合成材料工厂_所有制</t>
  </si>
  <si>
    <t>building_钢铁厂</t>
  </si>
  <si>
    <t>pmg_钢铁厂_基础生产</t>
  </si>
  <si>
    <t>pmg_钢铁厂_自动化</t>
  </si>
  <si>
    <t>pmg_钢铁厂_所有制</t>
  </si>
  <si>
    <t>building_炼金厂</t>
  </si>
  <si>
    <t>pmg_炼金厂_基础生产</t>
  </si>
  <si>
    <t>pmg_炼金厂_自动化</t>
  </si>
  <si>
    <t>pmg_炼金厂_所有制</t>
  </si>
  <si>
    <t>building_晶体萃取厂</t>
  </si>
  <si>
    <t>pmg_晶体萃取厂_基础生产</t>
  </si>
  <si>
    <t>pmg_晶体萃取厂_自动化</t>
  </si>
  <si>
    <t>pmg_晶体萃取厂_所有制</t>
  </si>
  <si>
    <t>building_科学动力厂</t>
  </si>
  <si>
    <t>pmg_科学动力厂_基础生产</t>
  </si>
  <si>
    <t>pmg_科学动力厂_自动化</t>
  </si>
  <si>
    <t>pmg_科学动力厂_所有制</t>
  </si>
  <si>
    <t>building_魔导动力厂</t>
  </si>
  <si>
    <t>pmg_魔导动力厂_基础生产</t>
  </si>
  <si>
    <t>pmg_魔导动力厂_自动化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</si>
  <si>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</si>
  <si>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</si>
  <si>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</si>
  <si>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</si>
  <si>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</si>
  <si>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</si>
  <si>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</si>
  <si>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</si>
  <si>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</si>
  <si>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pmg_科学军械厂_自动化</t>
  </si>
  <si>
    <t>pmg_科学军械厂_所有制</t>
  </si>
  <si>
    <t>building_道路</t>
  </si>
  <si>
    <t>pmg_道路_基础生产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</si>
  <si>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</si>
  <si>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</si>
  <si>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</si>
  <si>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</si>
  <si>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</si>
  <si>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</si>
  <si>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</si>
  <si>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</si>
  <si>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</si>
  <si>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</si>
  <si>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</si>
  <si>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</si>
  <si>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</si>
  <si>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</si>
  <si>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</si>
  <si>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</si>
  <si>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</si>
  <si>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</si>
  <si>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</si>
  <si>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</si>
  <si>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</si>
  <si>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</si>
  <si>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</si>
  <si>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</si>
  <si>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</si>
  <si>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</si>
  <si>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</si>
  <si>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pmg_煤矿_高级生产</t>
  </si>
  <si>
    <t>pmg_煤矿_自动化</t>
  </si>
  <si>
    <t>pmg_煤矿_所有制</t>
  </si>
  <si>
    <t>building_铁矿</t>
  </si>
  <si>
    <t>pmg_铁矿_基础生产</t>
  </si>
  <si>
    <t>pmg_铁矿_高级生产</t>
  </si>
  <si>
    <t>pmg_铁矿_自动化</t>
  </si>
  <si>
    <t>pmg_铁矿_所有制</t>
  </si>
  <si>
    <t>building_铅矿</t>
  </si>
  <si>
    <t>pmg_铅矿_基础生产</t>
  </si>
  <si>
    <t>pmg_铅矿_高级生产</t>
  </si>
  <si>
    <t>pmg_铅矿_自动化</t>
  </si>
  <si>
    <t>pmg_铅矿_所有制</t>
  </si>
  <si>
    <t>building_硫矿</t>
  </si>
  <si>
    <t>pmg_硫矿_基础生产</t>
  </si>
  <si>
    <t>pmg_硫矿_高级生产</t>
  </si>
  <si>
    <t>pmg_硫矿_自动化</t>
  </si>
  <si>
    <t>pmg_硫矿_所有制</t>
  </si>
  <si>
    <t>building_金矿</t>
  </si>
  <si>
    <t>pmg_金矿_基础生产</t>
  </si>
  <si>
    <t>pmg_金矿_高级生产</t>
  </si>
  <si>
    <t>pmg_金矿_自动化</t>
  </si>
  <si>
    <t>pmg_金矿_所有制</t>
  </si>
  <si>
    <t>building_油井</t>
  </si>
  <si>
    <t>pmg_油井_基础生产</t>
  </si>
  <si>
    <t>pmg_油井_高级生产</t>
  </si>
  <si>
    <t>pmg_油井_自动化</t>
  </si>
  <si>
    <t>pmg_油井_所有制</t>
  </si>
  <si>
    <t>building_棉花</t>
  </si>
  <si>
    <t>pmg_棉花_基础生产</t>
  </si>
  <si>
    <t>pmg_棉花_自动化</t>
  </si>
  <si>
    <t>pmg_棉花_所有制</t>
  </si>
  <si>
    <t>building_染料</t>
  </si>
  <si>
    <t>pmg_染料_基础生产</t>
  </si>
  <si>
    <t>pmg_染料_自动化</t>
  </si>
  <si>
    <t>pmg_染料_所有制</t>
  </si>
  <si>
    <t>building_鸦片</t>
  </si>
  <si>
    <t>pmg_鸦片_基础生产</t>
  </si>
  <si>
    <t>pmg_鸦片_自动化</t>
  </si>
  <si>
    <t>pmg_鸦片_所有制</t>
  </si>
  <si>
    <t>building_茶叶</t>
  </si>
  <si>
    <t>pmg_茶叶_基础生产</t>
  </si>
  <si>
    <t>pmg_茶叶_自动化</t>
  </si>
  <si>
    <t>pmg_茶叶_所有制</t>
  </si>
  <si>
    <t>building_烟草</t>
  </si>
  <si>
    <t>pmg_烟草_基础生产</t>
  </si>
  <si>
    <t>pmg_烟草_自动化</t>
  </si>
  <si>
    <t>pmg_烟草_所有制</t>
  </si>
  <si>
    <t>building_香蕉</t>
  </si>
  <si>
    <t>pmg_香蕉_基础生产</t>
  </si>
  <si>
    <t>pmg_香蕉_自动化</t>
  </si>
  <si>
    <t>pmg_香蕉_所有制</t>
  </si>
  <si>
    <t>building_糖类</t>
  </si>
  <si>
    <t>pmg_糖类_基础生产</t>
  </si>
  <si>
    <t>pmg_糖类_自动化</t>
  </si>
  <si>
    <t>pmg_糖类_所有制</t>
  </si>
  <si>
    <t>building_丝绸</t>
  </si>
  <si>
    <t>pmg_丝绸_基础生产</t>
  </si>
  <si>
    <t>pmg_丝绸_自动化</t>
  </si>
  <si>
    <t>pmg_丝绸_所有制</t>
  </si>
  <si>
    <t>building_伐木场</t>
  </si>
  <si>
    <t>pmg_伐木场_基础生产</t>
  </si>
  <si>
    <t>pmg_伐木场_自动化</t>
  </si>
  <si>
    <t>pmg_伐木场_所有制</t>
  </si>
  <si>
    <t>building_树胶</t>
  </si>
  <si>
    <t>pmg_树胶_基础生产</t>
  </si>
  <si>
    <t>pmg_树胶_自动化</t>
  </si>
  <si>
    <t>pmg_树胶_所有制</t>
  </si>
  <si>
    <t>building_黑麦</t>
  </si>
  <si>
    <t>pmg_黑麦_基础生产</t>
  </si>
  <si>
    <t>pmg_黑麦_自动化</t>
  </si>
  <si>
    <t>pmg_黑麦_所有制</t>
  </si>
  <si>
    <t>building_小麦</t>
  </si>
  <si>
    <t>pmg_小麦_基础生产</t>
  </si>
  <si>
    <t>pmg_小麦_自动化</t>
  </si>
  <si>
    <t>pmg_小麦_所有制</t>
  </si>
  <si>
    <t>building_大米</t>
  </si>
  <si>
    <t>pmg_大米_基础生产</t>
  </si>
  <si>
    <t>pmg_大米_自动化</t>
  </si>
  <si>
    <t>pmg_大米_所有制</t>
  </si>
  <si>
    <t>building_玉米</t>
  </si>
  <si>
    <t>pmg_玉米_基础生产</t>
  </si>
  <si>
    <t>pmg_玉米_自动化</t>
  </si>
  <si>
    <t>pmg_玉米_所有制</t>
  </si>
  <si>
    <t>building_小米</t>
  </si>
  <si>
    <t>pmg_小米_基础生产</t>
  </si>
  <si>
    <t>pmg_小米_自动化</t>
  </si>
  <si>
    <t>pmg_小米_所有制</t>
  </si>
  <si>
    <t>building_牧场</t>
  </si>
  <si>
    <t>pmg_牧场_基础生产</t>
  </si>
  <si>
    <t>pmg_牧场_自动化</t>
  </si>
  <si>
    <t>pmg_牧场_所有制</t>
  </si>
  <si>
    <t>building_渔船码头</t>
  </si>
  <si>
    <t>pmg_渔船码头_基础生产</t>
  </si>
  <si>
    <t>pmg_渔船码头_自动化</t>
  </si>
  <si>
    <t>pmg_渔船码头_所有制</t>
  </si>
  <si>
    <t>building_捕鲸站</t>
  </si>
  <si>
    <t>pmg_捕鲸站_基础生产</t>
  </si>
  <si>
    <t>pmg_捕鲸站_自动化</t>
  </si>
  <si>
    <t>pmg_捕鲸站_所有制</t>
  </si>
  <si>
    <t>消耗等级</t>
  </si>
  <si>
    <t>产出倍率
(辅助配置）</t>
  </si>
  <si>
    <t>产出等级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</si>
  <si>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</si>
  <si>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</si>
  <si>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</si>
  <si>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</si>
  <si>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</si>
  <si>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</si>
  <si>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</si>
  <si>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</si>
  <si>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</si>
  <si>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</si>
  <si>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</si>
  <si>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</si>
  <si>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</si>
  <si>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</si>
  <si>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</si>
  <si>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</si>
  <si>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</si>
  <si>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</si>
  <si>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</si>
  <si>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</si>
  <si>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</si>
  <si>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</si>
  <si>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</si>
  <si>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</si>
  <si>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</si>
  <si>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</si>
  <si>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</si>
  <si>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</si>
  <si>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</si>
  <si>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</si>
  <si>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</si>
  <si>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自动化1</t>
  </si>
  <si>
    <t>（交通运输和所有制比较特殊，另外设计）</t>
  </si>
  <si>
    <t>技术密集2</t>
  </si>
  <si>
    <t>自动化2</t>
  </si>
  <si>
    <t>技术密集3</t>
  </si>
  <si>
    <t>自动化3</t>
  </si>
  <si>
    <t>技术密集4</t>
  </si>
  <si>
    <t>自动化4</t>
  </si>
  <si>
    <t>技术密集5</t>
  </si>
  <si>
    <t>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</si>
  <si>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</si>
  <si>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</si>
  <si>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</si>
  <si>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</si>
  <si>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</si>
  <si>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</si>
  <si>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</si>
  <si>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</si>
  <si>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</si>
  <si>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</si>
  <si>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</si>
  <si>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</si>
  <si>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</si>
  <si>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</si>
  <si>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</si>
  <si>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</si>
  <si>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</si>
  <si>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</si>
  <si>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</si>
  <si>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无2</t>
  </si>
  <si>
    <t>无3</t>
  </si>
  <si>
    <t>无4</t>
  </si>
  <si>
    <t>无5</t>
  </si>
  <si>
    <t>无6</t>
  </si>
  <si>
    <t>无7</t>
  </si>
  <si>
    <t>无8</t>
  </si>
  <si>
    <t>演算</t>
  </si>
  <si>
    <t>生产方式</t>
  </si>
  <si>
    <t>生产方式
类别</t>
  </si>
  <si>
    <t>生产方式组
类别</t>
  </si>
  <si>
    <t>消耗1</t>
  </si>
  <si>
    <t>消耗1
权重</t>
  </si>
  <si>
    <t>消耗2</t>
  </si>
  <si>
    <t>消耗2
权重</t>
  </si>
  <si>
    <t>消耗3</t>
  </si>
  <si>
    <t>消耗3
权重</t>
  </si>
  <si>
    <t>消耗总等级
估算</t>
  </si>
  <si>
    <t>雇佣1</t>
  </si>
  <si>
    <t>雇佣1
权重</t>
  </si>
  <si>
    <t>雇佣2</t>
  </si>
  <si>
    <t>雇佣2
权重</t>
  </si>
  <si>
    <t>雇佣3</t>
  </si>
  <si>
    <t>雇佣3
权重</t>
  </si>
  <si>
    <t>雇佣总等级
估算</t>
  </si>
  <si>
    <t>产出1
权重</t>
  </si>
  <si>
    <t>产出2
权重</t>
  </si>
  <si>
    <t>产出总等级
估算</t>
  </si>
  <si>
    <t>实际消耗</t>
  </si>
  <si>
    <t>实际雇佣</t>
  </si>
  <si>
    <t>实际产出</t>
  </si>
  <si>
    <t>生产力</t>
  </si>
  <si>
    <t>利润</t>
  </si>
  <si>
    <t>消耗
总权重</t>
  </si>
  <si>
    <t>雇佣
总权重</t>
  </si>
  <si>
    <t>产出
总权重</t>
  </si>
  <si>
    <t>数量</t>
  </si>
  <si>
    <t>消耗总等级</t>
  </si>
  <si>
    <t>雇佣总等级</t>
  </si>
  <si>
    <t>产出总等级</t>
  </si>
  <si>
    <t>利润等级</t>
  </si>
  <si>
    <t>消耗</t>
  </si>
  <si>
    <t>雇佣</t>
  </si>
  <si>
    <t>产出</t>
  </si>
  <si>
    <t>基础生产方式</t>
  </si>
  <si>
    <t>简单农业</t>
  </si>
  <si>
    <t>土壤改良农业</t>
  </si>
  <si>
    <t>化肥</t>
  </si>
  <si>
    <t>次级生产方式</t>
  </si>
  <si>
    <t>保持单一作物</t>
  </si>
  <si>
    <t>柑橘果园</t>
  </si>
  <si>
    <t>葡萄园</t>
  </si>
  <si>
    <t>收获方式</t>
  </si>
  <si>
    <t>牛拉犁</t>
  </si>
  <si>
    <t>收割工具</t>
  </si>
  <si>
    <t>蒸汽动力脱粒机</t>
  </si>
  <si>
    <t>拖拉机</t>
  </si>
  <si>
    <t>技工</t>
  </si>
  <si>
    <t>压燃拖拉机</t>
  </si>
  <si>
    <t>石油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</si>
</sst>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</numFmts>
  <fonts count="29">
    <font>
      <sz val="11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1"/>
      <color theme="0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2"/>
      <color theme="1"/>
      <name val="宋体"/>
      <charset val="134"/>
      <scheme val="major"/>
    </font>
    <font>
      <sz val="12"/>
      <color theme="0"/>
      <name val="宋体"/>
      <charset val="134"/>
      <scheme val="major"/>
    </font>
    <font>
      <sz val="14"/>
      <color rgb="FFFF0000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2"/>
      <color rgb="FFFF0000"/>
      <name val="宋体"/>
      <charset val="134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4" tint="-0.2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theme="9" tint="-0.25"/>
        <bgColor indexed="64"/>
      </patternFill>
    </fill>
    <fill>
      <patternFill patternType="solid">
        <fgColor theme="5" tint="-0.2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7" tint="-0.25"/>
        <bgColor indexed="64"/>
      </patternFill>
    </fill>
    <fill>
      <patternFill patternType="solid">
        <fgColor theme="3" tint="0.4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theme="8" tint="0.8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8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theme="8" tint="0.6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399975585192419"/>
        <bgColor indexed="64"/>
      </patternFill>
    </fill>
  </fills>
  <borders count="3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4" fillId="31" borderId="2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33" borderId="23" applyNumberFormat="0" applyFont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26" applyNumberFormat="0" applyFill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7" fillId="0" borderId="25" applyNumberFormat="0" applyFill="0" applyAlignment="0" applyProtection="0">
      <alignment vertical="center"/>
    </xf>
    <xf numFmtId="0" fontId="11" fillId="44" borderId="0" applyNumberFormat="0" applyBorder="0" applyAlignment="0" applyProtection="0">
      <alignment vertical="center"/>
    </xf>
    <xf numFmtId="0" fontId="23" fillId="30" borderId="27" applyNumberFormat="0" applyAlignment="0" applyProtection="0">
      <alignment vertical="center"/>
    </xf>
    <xf numFmtId="0" fontId="13" fillId="30" borderId="22" applyNumberFormat="0" applyAlignment="0" applyProtection="0">
      <alignment vertical="center"/>
    </xf>
    <xf numFmtId="0" fontId="16" fillId="36" borderId="24" applyNumberFormat="0" applyAlignment="0" applyProtection="0">
      <alignment vertical="center"/>
    </xf>
    <xf numFmtId="0" fontId="10" fillId="47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25" fillId="0" borderId="28" applyNumberFormat="0" applyFill="0" applyAlignment="0" applyProtection="0">
      <alignment vertical="center"/>
    </xf>
    <xf numFmtId="0" fontId="26" fillId="0" borderId="29" applyNumberFormat="0" applyFill="0" applyAlignment="0" applyProtection="0">
      <alignment vertical="center"/>
    </xf>
    <xf numFmtId="0" fontId="24" fillId="48" borderId="0" applyNumberFormat="0" applyBorder="0" applyAlignment="0" applyProtection="0">
      <alignment vertical="center"/>
    </xf>
    <xf numFmtId="0" fontId="27" fillId="49" borderId="0" applyNumberFormat="0" applyBorder="0" applyAlignment="0" applyProtection="0">
      <alignment vertical="center"/>
    </xf>
    <xf numFmtId="0" fontId="10" fillId="5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1" fillId="4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0" fillId="50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1" fillId="45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1" fillId="52" borderId="0" applyNumberFormat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8" borderId="0" xfId="0" applyFill="1">
      <alignment vertical="center"/>
    </xf>
    <xf numFmtId="0" fontId="0" fillId="10" borderId="0" xfId="0" applyFill="1" applyAlignment="1">
      <alignment horizontal="center" vertical="center"/>
    </xf>
    <xf numFmtId="0" fontId="1" fillId="8" borderId="5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 wrapText="1"/>
    </xf>
    <xf numFmtId="0" fontId="1" fillId="6" borderId="6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8" borderId="7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1" fillId="8" borderId="9" xfId="0" applyFont="1" applyFill="1" applyBorder="1" applyAlignment="1">
      <alignment horizontal="center" vertical="center" wrapText="1"/>
    </xf>
    <xf numFmtId="0" fontId="1" fillId="8" borderId="10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8" borderId="12" xfId="0" applyFill="1" applyBorder="1">
      <alignment vertical="center"/>
    </xf>
    <xf numFmtId="0" fontId="1" fillId="8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1" fillId="8" borderId="13" xfId="0" applyFont="1" applyFill="1" applyBorder="1" applyAlignment="1">
      <alignment horizontal="center" vertical="center" wrapText="1"/>
    </xf>
    <xf numFmtId="0" fontId="1" fillId="8" borderId="12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11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2" fillId="8" borderId="4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1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5" fillId="9" borderId="1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5" fillId="15" borderId="1" xfId="0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14" borderId="0" xfId="0" applyFont="1" applyFill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0" borderId="0" xfId="0" applyFont="1">
      <alignment vertical="center"/>
    </xf>
    <xf numFmtId="0" fontId="0" fillId="0" borderId="16" xfId="0" applyBorder="1">
      <alignment vertical="center"/>
    </xf>
    <xf numFmtId="0" fontId="0" fillId="0" borderId="1" xfId="0" applyBorder="1">
      <alignment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20" borderId="1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0" fillId="0" borderId="17" xfId="0" applyBorder="1">
      <alignment vertical="center"/>
    </xf>
    <xf numFmtId="0" fontId="4" fillId="2" borderId="2" xfId="0" applyFont="1" applyFill="1" applyBorder="1" applyAlignment="1">
      <alignment horizontal="center" vertical="center" wrapText="1"/>
    </xf>
    <xf numFmtId="0" fontId="3" fillId="14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microsoft.com/office/2006/relationships/vbaProject" Target="vbaProject.bin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1</xdr:col>
          <xdr:colOff>1181100</xdr:colOff>
          <xdr:row>0</xdr:row>
          <xdr:rowOff>485775</xdr:rowOff>
        </xdr:to>
        <xdr:sp>
          <xdr:nvSpPr>
            <xdr:cNvPr id="1025" name="BuildingTransforme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8575" y="28575"/>
              <a:ext cx="2266950" cy="4572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P96"/>
  <sheetViews>
    <sheetView showGridLines="0" zoomScale="90" zoomScaleNormal="90" topLeftCell="A16" workbookViewId="0">
      <selection activeCell="L44" sqref="L44"/>
    </sheetView>
  </sheetViews>
  <sheetFormatPr defaultColWidth="9" defaultRowHeight="20" customHeight="1"/>
  <cols>
    <col min="1" max="1" width="18" style="40" customWidth="1"/>
    <col min="2" max="2" width="21.6666666666667" style="40" customWidth="1"/>
    <col min="3" max="3" width="15.55" style="39" customWidth="1"/>
    <col min="4" max="4" width="21.6666666666667" style="39" customWidth="1"/>
    <col min="5" max="5" width="19.4333333333333" style="39" customWidth="1"/>
    <col min="6" max="6" width="18.6083333333333" style="39" customWidth="1"/>
    <col min="7" max="7" width="9" style="39"/>
    <col min="8" max="8" width="19.375" style="39" customWidth="1"/>
    <col min="9" max="9" width="18.25" style="39" customWidth="1"/>
    <col min="10" max="10" width="7.375" style="39" customWidth="1"/>
    <col min="11" max="12" width="11.5" style="39" customWidth="1"/>
    <col min="13" max="13" width="10.375" style="39" customWidth="1"/>
    <col min="14" max="14" width="14.875" style="39" customWidth="1"/>
    <col min="15" max="15" width="5.375" style="39" customWidth="1"/>
    <col min="16" max="16" width="8.875" style="39" customWidth="1"/>
    <col min="17" max="16384" width="9" style="39"/>
  </cols>
  <sheetData>
    <row r="1" customHeight="1" spans="1:1">
      <c r="A1" s="50" t="s">
        <v>0</v>
      </c>
    </row>
    <row r="2" customHeight="1" spans="1:1">
      <c r="A2" s="50" t="s">
        <v>1</v>
      </c>
    </row>
    <row r="3" customHeight="1" spans="1:1">
      <c r="A3" s="50" t="s">
        <v>2</v>
      </c>
    </row>
    <row r="4" customHeight="1" spans="1:5">
      <c r="A4" s="42" t="s">
        <v>3</v>
      </c>
      <c r="B4" s="42" t="s">
        <v>4</v>
      </c>
      <c r="C4" s="42" t="s">
        <v>5</v>
      </c>
      <c r="D4" s="42" t="s">
        <v>6</v>
      </c>
      <c r="E4" s="42" t="s">
        <v>7</v>
      </c>
    </row>
    <row r="5" customHeight="1" spans="1:5">
      <c r="A5" s="40" t="s">
        <v>8</v>
      </c>
      <c r="B5" s="86" t="s">
        <v>9</v>
      </c>
      <c r="C5" s="40" t="s">
        <v>10</v>
      </c>
      <c r="D5" s="40" t="s">
        <v>11</v>
      </c>
      <c r="E5" s="40" t="s">
        <v>12</v>
      </c>
    </row>
    <row r="6" customHeight="1" spans="1:5">
      <c r="A6" s="87" t="s">
        <v>13</v>
      </c>
      <c r="B6" s="88"/>
      <c r="C6" s="88"/>
      <c r="D6" s="88"/>
      <c r="E6" s="88"/>
    </row>
    <row r="7" customHeight="1" spans="1:1">
      <c r="A7" s="50" t="s">
        <v>14</v>
      </c>
    </row>
    <row r="8" customHeight="1" spans="1:1">
      <c r="A8" s="50" t="s">
        <v>15</v>
      </c>
    </row>
    <row r="9" customHeight="1" spans="1:1">
      <c r="A9" s="50" t="s">
        <v>16</v>
      </c>
    </row>
    <row r="10" customHeight="1" spans="1:1">
      <c r="A10" s="50" t="s">
        <v>17</v>
      </c>
    </row>
    <row r="11" customHeight="1" spans="1:1">
      <c r="A11" s="50" t="s">
        <v>18</v>
      </c>
    </row>
    <row r="12" customHeight="1" spans="1:1">
      <c r="A12" s="50" t="s">
        <v>19</v>
      </c>
    </row>
    <row r="13" customHeight="1" spans="1:1">
      <c r="A13" s="50" t="s">
        <v>20</v>
      </c>
    </row>
    <row r="14" customHeight="1" spans="1:1">
      <c r="A14" s="50" t="s">
        <v>21</v>
      </c>
    </row>
    <row r="15" customHeight="1" spans="1:1">
      <c r="A15" s="50" t="s">
        <v>22</v>
      </c>
    </row>
    <row r="16" customHeight="1" spans="1:1">
      <c r="A16" s="50" t="s">
        <v>23</v>
      </c>
    </row>
    <row r="18" customHeight="1" spans="1:1">
      <c r="A18" s="50" t="s">
        <v>24</v>
      </c>
    </row>
    <row r="19" customHeight="1" spans="1:1">
      <c r="A19" s="50" t="s">
        <v>25</v>
      </c>
    </row>
    <row r="20" customHeight="1" spans="1:1">
      <c r="A20" s="50" t="s">
        <v>26</v>
      </c>
    </row>
    <row r="21" customHeight="1" spans="1:1">
      <c r="A21" s="50" t="s">
        <v>27</v>
      </c>
    </row>
    <row r="22" customHeight="1" spans="1:1">
      <c r="A22" s="50" t="s">
        <v>28</v>
      </c>
    </row>
    <row r="23" customHeight="1" spans="1:1">
      <c r="A23" s="50"/>
    </row>
    <row r="24" customHeight="1" spans="1:1">
      <c r="A24" s="50"/>
    </row>
    <row r="25" customHeight="1" spans="1:1">
      <c r="A25" s="50"/>
    </row>
    <row r="26" customHeight="1" spans="1:16">
      <c r="A26" s="42" t="s">
        <v>3</v>
      </c>
      <c r="B26" s="42" t="s">
        <v>4</v>
      </c>
      <c r="C26" s="42" t="s">
        <v>5</v>
      </c>
      <c r="D26" s="42" t="s">
        <v>6</v>
      </c>
      <c r="E26" s="42" t="s">
        <v>7</v>
      </c>
      <c r="H26" s="89" t="s">
        <v>29</v>
      </c>
      <c r="I26" s="89" t="s">
        <v>30</v>
      </c>
      <c r="J26" s="89" t="s">
        <v>31</v>
      </c>
      <c r="K26" s="89" t="s">
        <v>32</v>
      </c>
      <c r="L26" s="89" t="s">
        <v>33</v>
      </c>
      <c r="M26" s="89" t="s">
        <v>34</v>
      </c>
      <c r="N26" s="89" t="s">
        <v>35</v>
      </c>
      <c r="O26" s="89" t="s">
        <v>36</v>
      </c>
      <c r="P26" s="89" t="s">
        <v>37</v>
      </c>
    </row>
    <row r="27" customHeight="1" spans="1:16">
      <c r="A27" s="40" t="s">
        <v>8</v>
      </c>
      <c r="C27" s="39">
        <v>20</v>
      </c>
      <c r="E27" s="40" t="s">
        <v>12</v>
      </c>
      <c r="H27" s="89" t="s">
        <v>38</v>
      </c>
      <c r="I27" s="89"/>
      <c r="J27" s="89"/>
      <c r="K27" s="89"/>
      <c r="L27" s="89"/>
      <c r="M27" s="89"/>
      <c r="N27" s="89" t="s">
        <v>39</v>
      </c>
      <c r="O27" s="89" t="s">
        <v>40</v>
      </c>
      <c r="P27" s="89"/>
    </row>
    <row r="28" customHeight="1" spans="1:16">
      <c r="A28" s="40" t="s">
        <v>41</v>
      </c>
      <c r="C28" s="39">
        <v>40</v>
      </c>
      <c r="E28" s="40" t="s">
        <v>12</v>
      </c>
      <c r="H28" s="90" t="s">
        <v>42</v>
      </c>
      <c r="I28" s="71" t="s">
        <v>43</v>
      </c>
      <c r="J28">
        <v>1</v>
      </c>
      <c r="K28">
        <v>4</v>
      </c>
      <c r="L28">
        <v>0</v>
      </c>
      <c r="M28">
        <v>80</v>
      </c>
      <c r="N28">
        <v>1</v>
      </c>
      <c r="O28">
        <v>20</v>
      </c>
      <c r="P28" s="90">
        <v>20</v>
      </c>
    </row>
    <row r="29" customHeight="1" spans="1:16">
      <c r="A29" s="40" t="s">
        <v>44</v>
      </c>
      <c r="C29" s="39">
        <v>60</v>
      </c>
      <c r="E29" s="40" t="s">
        <v>12</v>
      </c>
      <c r="H29" s="91"/>
      <c r="I29" s="69" t="s">
        <v>45</v>
      </c>
      <c r="J29">
        <v>1</v>
      </c>
      <c r="K29">
        <v>4</v>
      </c>
      <c r="L29">
        <v>0</v>
      </c>
      <c r="M29">
        <v>80</v>
      </c>
      <c r="N29">
        <v>1.5</v>
      </c>
      <c r="O29">
        <v>20</v>
      </c>
      <c r="P29" s="91"/>
    </row>
    <row r="30" customHeight="1" spans="5:16">
      <c r="E30" s="40"/>
      <c r="H30" s="90" t="s">
        <v>46</v>
      </c>
      <c r="I30" s="71" t="s">
        <v>47</v>
      </c>
      <c r="J30">
        <v>1</v>
      </c>
      <c r="K30">
        <v>4</v>
      </c>
      <c r="L30">
        <v>0</v>
      </c>
      <c r="M30">
        <v>80</v>
      </c>
      <c r="N30">
        <v>1</v>
      </c>
      <c r="O30">
        <v>20</v>
      </c>
      <c r="P30" s="90">
        <v>20</v>
      </c>
    </row>
    <row r="31" customHeight="1" spans="1:16">
      <c r="A31" s="40" t="s">
        <v>48</v>
      </c>
      <c r="C31" s="39">
        <v>20</v>
      </c>
      <c r="E31" s="40" t="s">
        <v>12</v>
      </c>
      <c r="H31" s="91"/>
      <c r="I31" s="69" t="s">
        <v>49</v>
      </c>
      <c r="J31">
        <v>1</v>
      </c>
      <c r="K31">
        <v>4</v>
      </c>
      <c r="L31">
        <v>0</v>
      </c>
      <c r="M31">
        <v>80</v>
      </c>
      <c r="N31">
        <v>1.5</v>
      </c>
      <c r="O31">
        <v>20</v>
      </c>
      <c r="P31" s="91"/>
    </row>
    <row r="32" customHeight="1" spans="1:16">
      <c r="A32" s="40" t="s">
        <v>50</v>
      </c>
      <c r="C32" s="39">
        <v>40</v>
      </c>
      <c r="H32" s="90" t="s">
        <v>51</v>
      </c>
      <c r="I32" s="71" t="s">
        <v>52</v>
      </c>
      <c r="J32">
        <v>1</v>
      </c>
      <c r="K32">
        <v>4</v>
      </c>
      <c r="L32">
        <v>0</v>
      </c>
      <c r="M32">
        <v>80</v>
      </c>
      <c r="N32">
        <v>1</v>
      </c>
      <c r="O32">
        <v>20</v>
      </c>
      <c r="P32" s="90">
        <v>20</v>
      </c>
    </row>
    <row r="33" customHeight="1" spans="1:16">
      <c r="A33" s="40" t="s">
        <v>53</v>
      </c>
      <c r="C33" s="39">
        <v>60</v>
      </c>
      <c r="H33" s="92"/>
      <c r="I33" s="69" t="s">
        <v>54</v>
      </c>
      <c r="J33">
        <v>1</v>
      </c>
      <c r="K33">
        <v>4</v>
      </c>
      <c r="L33">
        <v>0</v>
      </c>
      <c r="M33">
        <v>80</v>
      </c>
      <c r="N33">
        <v>1</v>
      </c>
      <c r="O33">
        <v>20</v>
      </c>
      <c r="P33" s="92"/>
    </row>
    <row r="34" customHeight="1" spans="8:16">
      <c r="H34" s="92"/>
      <c r="I34" s="71" t="s">
        <v>55</v>
      </c>
      <c r="J34">
        <v>0.5</v>
      </c>
      <c r="K34">
        <v>2</v>
      </c>
      <c r="L34">
        <v>0</v>
      </c>
      <c r="M34">
        <v>80</v>
      </c>
      <c r="N34">
        <v>1.5</v>
      </c>
      <c r="O34">
        <v>20</v>
      </c>
      <c r="P34" s="92"/>
    </row>
    <row r="35" customHeight="1" spans="1:16">
      <c r="A35" s="40" t="s">
        <v>56</v>
      </c>
      <c r="C35" s="39">
        <v>40</v>
      </c>
      <c r="H35" s="92"/>
      <c r="I35" s="69" t="s">
        <v>57</v>
      </c>
      <c r="J35">
        <v>0.5</v>
      </c>
      <c r="K35">
        <v>2</v>
      </c>
      <c r="L35">
        <v>0</v>
      </c>
      <c r="M35">
        <v>80</v>
      </c>
      <c r="N35">
        <v>1.5</v>
      </c>
      <c r="O35">
        <v>20</v>
      </c>
      <c r="P35" s="92"/>
    </row>
    <row r="36" customHeight="1" spans="1:16">
      <c r="A36" s="40" t="s">
        <v>58</v>
      </c>
      <c r="C36" s="39">
        <v>60</v>
      </c>
      <c r="H36" s="91"/>
      <c r="I36" s="71" t="s">
        <v>59</v>
      </c>
      <c r="J36">
        <v>0.5</v>
      </c>
      <c r="K36">
        <v>2</v>
      </c>
      <c r="L36">
        <v>0</v>
      </c>
      <c r="M36">
        <v>80</v>
      </c>
      <c r="N36">
        <v>1.5</v>
      </c>
      <c r="O36">
        <v>20</v>
      </c>
      <c r="P36" s="91"/>
    </row>
    <row r="37" customHeight="1" spans="1:16">
      <c r="A37" s="40" t="s">
        <v>60</v>
      </c>
      <c r="C37" s="39">
        <v>80</v>
      </c>
      <c r="H37" s="90" t="s">
        <v>61</v>
      </c>
      <c r="I37" s="69" t="s">
        <v>47</v>
      </c>
      <c r="J37">
        <v>1</v>
      </c>
      <c r="K37">
        <v>3</v>
      </c>
      <c r="L37">
        <v>0</v>
      </c>
      <c r="M37">
        <v>60</v>
      </c>
      <c r="N37">
        <v>1</v>
      </c>
      <c r="O37">
        <v>20</v>
      </c>
      <c r="P37" s="90">
        <v>20</v>
      </c>
    </row>
    <row r="38" customHeight="1" spans="8:16">
      <c r="H38" s="92"/>
      <c r="I38" s="71" t="s">
        <v>43</v>
      </c>
      <c r="J38">
        <v>1</v>
      </c>
      <c r="K38">
        <v>3</v>
      </c>
      <c r="L38">
        <v>0</v>
      </c>
      <c r="M38">
        <v>60</v>
      </c>
      <c r="N38">
        <v>1</v>
      </c>
      <c r="O38">
        <v>20</v>
      </c>
      <c r="P38" s="92"/>
    </row>
    <row r="39" customHeight="1" spans="1:16">
      <c r="A39" s="40" t="s">
        <v>62</v>
      </c>
      <c r="C39" s="39">
        <v>30</v>
      </c>
      <c r="H39" s="92"/>
      <c r="I39" s="69" t="s">
        <v>63</v>
      </c>
      <c r="J39">
        <v>1</v>
      </c>
      <c r="K39">
        <v>3</v>
      </c>
      <c r="L39">
        <v>0</v>
      </c>
      <c r="M39">
        <v>60</v>
      </c>
      <c r="N39">
        <v>1.5</v>
      </c>
      <c r="O39">
        <v>20</v>
      </c>
      <c r="P39" s="92"/>
    </row>
    <row r="40" customHeight="1" spans="1:16">
      <c r="A40" s="40" t="s">
        <v>64</v>
      </c>
      <c r="C40" s="39">
        <v>50</v>
      </c>
      <c r="H40" s="92"/>
      <c r="I40" s="71" t="s">
        <v>65</v>
      </c>
      <c r="J40">
        <v>1</v>
      </c>
      <c r="K40">
        <v>3</v>
      </c>
      <c r="L40">
        <v>0</v>
      </c>
      <c r="M40">
        <v>60</v>
      </c>
      <c r="N40">
        <v>2</v>
      </c>
      <c r="O40">
        <v>20</v>
      </c>
      <c r="P40" s="92"/>
    </row>
    <row r="41" customHeight="1" spans="1:16">
      <c r="A41" s="40" t="s">
        <v>66</v>
      </c>
      <c r="C41" s="39">
        <v>70</v>
      </c>
      <c r="H41" s="91"/>
      <c r="I41" s="69" t="s">
        <v>67</v>
      </c>
      <c r="J41">
        <v>2</v>
      </c>
      <c r="K41">
        <v>10</v>
      </c>
      <c r="L41">
        <v>0</v>
      </c>
      <c r="M41">
        <v>100</v>
      </c>
      <c r="N41">
        <v>1.5</v>
      </c>
      <c r="O41">
        <v>20</v>
      </c>
      <c r="P41" s="91"/>
    </row>
    <row r="42" customHeight="1" spans="8:16">
      <c r="H42" s="90" t="s">
        <v>68</v>
      </c>
      <c r="I42" s="71" t="s">
        <v>49</v>
      </c>
      <c r="J42">
        <v>1</v>
      </c>
      <c r="K42">
        <v>4</v>
      </c>
      <c r="L42">
        <v>0.25</v>
      </c>
      <c r="M42">
        <v>80</v>
      </c>
      <c r="N42">
        <v>1</v>
      </c>
      <c r="O42">
        <v>30</v>
      </c>
      <c r="P42" s="90">
        <v>30</v>
      </c>
    </row>
    <row r="43" customHeight="1" spans="1:16">
      <c r="A43" s="40" t="s">
        <v>69</v>
      </c>
      <c r="C43" s="39">
        <v>40</v>
      </c>
      <c r="H43" s="91"/>
      <c r="I43" s="69" t="s">
        <v>70</v>
      </c>
      <c r="J43">
        <v>1</v>
      </c>
      <c r="K43">
        <v>2</v>
      </c>
      <c r="L43">
        <v>0</v>
      </c>
      <c r="M43">
        <v>40</v>
      </c>
      <c r="N43">
        <v>1.33</v>
      </c>
      <c r="O43">
        <v>30</v>
      </c>
      <c r="P43" s="91"/>
    </row>
    <row r="44" customHeight="1" spans="1:16">
      <c r="A44" s="40" t="s">
        <v>71</v>
      </c>
      <c r="C44" s="39">
        <v>60</v>
      </c>
      <c r="H44" s="65" t="s">
        <v>72</v>
      </c>
      <c r="I44" s="71" t="s">
        <v>45</v>
      </c>
      <c r="J44">
        <v>1</v>
      </c>
      <c r="K44"/>
      <c r="L44"/>
      <c r="M44"/>
      <c r="N44">
        <v>1</v>
      </c>
      <c r="O44">
        <v>30</v>
      </c>
      <c r="P44" s="65">
        <v>30</v>
      </c>
    </row>
    <row r="45" customHeight="1" spans="1:16">
      <c r="A45" s="40" t="s">
        <v>73</v>
      </c>
      <c r="C45" s="39">
        <v>80</v>
      </c>
      <c r="H45" s="65" t="s">
        <v>74</v>
      </c>
      <c r="I45" s="69" t="s">
        <v>74</v>
      </c>
      <c r="J45">
        <v>1</v>
      </c>
      <c r="K45"/>
      <c r="L45"/>
      <c r="M45"/>
      <c r="N45">
        <v>1</v>
      </c>
      <c r="O45">
        <v>30</v>
      </c>
      <c r="P45" s="65">
        <v>30</v>
      </c>
    </row>
    <row r="46" customHeight="1" spans="8:16">
      <c r="H46" s="90" t="s">
        <v>75</v>
      </c>
      <c r="I46" s="71" t="s">
        <v>76</v>
      </c>
      <c r="J46">
        <v>1</v>
      </c>
      <c r="K46">
        <v>3</v>
      </c>
      <c r="L46">
        <v>0</v>
      </c>
      <c r="M46">
        <v>60</v>
      </c>
      <c r="N46">
        <v>1</v>
      </c>
      <c r="O46">
        <v>30</v>
      </c>
      <c r="P46" s="90">
        <v>30</v>
      </c>
    </row>
    <row r="47" customHeight="1" spans="1:16">
      <c r="A47" s="40" t="s">
        <v>77</v>
      </c>
      <c r="C47" s="39">
        <v>60</v>
      </c>
      <c r="H47" s="92"/>
      <c r="I47" s="69" t="s">
        <v>78</v>
      </c>
      <c r="J47">
        <v>1</v>
      </c>
      <c r="K47">
        <v>3</v>
      </c>
      <c r="L47">
        <v>0</v>
      </c>
      <c r="M47">
        <v>60</v>
      </c>
      <c r="N47">
        <v>1.33</v>
      </c>
      <c r="O47">
        <v>30</v>
      </c>
      <c r="P47" s="92"/>
    </row>
    <row r="48" customHeight="1" spans="1:16">
      <c r="A48" s="40" t="s">
        <v>79</v>
      </c>
      <c r="C48" s="39">
        <v>80</v>
      </c>
      <c r="H48" s="91"/>
      <c r="I48" s="71" t="s">
        <v>80</v>
      </c>
      <c r="J48">
        <v>1</v>
      </c>
      <c r="K48">
        <v>3</v>
      </c>
      <c r="L48">
        <v>0</v>
      </c>
      <c r="M48">
        <v>60</v>
      </c>
      <c r="N48">
        <v>1.66</v>
      </c>
      <c r="O48">
        <v>30</v>
      </c>
      <c r="P48" s="91"/>
    </row>
    <row r="49" customHeight="1" spans="1:16">
      <c r="A49" s="40" t="s">
        <v>81</v>
      </c>
      <c r="C49" s="39">
        <v>100</v>
      </c>
      <c r="H49" s="90" t="s">
        <v>82</v>
      </c>
      <c r="I49" s="69" t="s">
        <v>83</v>
      </c>
      <c r="J49">
        <v>1</v>
      </c>
      <c r="K49">
        <v>3</v>
      </c>
      <c r="L49">
        <v>0</v>
      </c>
      <c r="M49">
        <v>60</v>
      </c>
      <c r="N49">
        <v>1</v>
      </c>
      <c r="O49">
        <v>50</v>
      </c>
      <c r="P49" s="90">
        <v>50</v>
      </c>
    </row>
    <row r="50" customHeight="1" spans="1:16">
      <c r="A50" s="39"/>
      <c r="B50" s="39"/>
      <c r="H50" s="92"/>
      <c r="I50" s="71" t="s">
        <v>84</v>
      </c>
      <c r="J50">
        <v>1</v>
      </c>
      <c r="K50">
        <v>3</v>
      </c>
      <c r="L50">
        <v>0</v>
      </c>
      <c r="M50">
        <v>60</v>
      </c>
      <c r="N50">
        <v>1</v>
      </c>
      <c r="O50">
        <v>50</v>
      </c>
      <c r="P50" s="92"/>
    </row>
    <row r="51" customHeight="1" spans="1:16">
      <c r="A51" s="40" t="s">
        <v>85</v>
      </c>
      <c r="C51" s="39">
        <v>30</v>
      </c>
      <c r="H51" s="91"/>
      <c r="I51" s="69" t="s">
        <v>86</v>
      </c>
      <c r="J51">
        <v>1</v>
      </c>
      <c r="K51">
        <v>3</v>
      </c>
      <c r="L51">
        <v>0</v>
      </c>
      <c r="M51">
        <v>60</v>
      </c>
      <c r="N51">
        <v>1</v>
      </c>
      <c r="O51">
        <v>50</v>
      </c>
      <c r="P51" s="91"/>
    </row>
    <row r="52" customHeight="1" spans="1:16">
      <c r="A52" s="39"/>
      <c r="B52" s="39"/>
      <c r="H52" s="90" t="s">
        <v>87</v>
      </c>
      <c r="I52" s="71" t="s">
        <v>74</v>
      </c>
      <c r="J52">
        <v>0.5</v>
      </c>
      <c r="K52">
        <v>2</v>
      </c>
      <c r="L52">
        <v>0</v>
      </c>
      <c r="M52">
        <v>80</v>
      </c>
      <c r="N52">
        <v>1</v>
      </c>
      <c r="O52">
        <v>30</v>
      </c>
      <c r="P52" s="90">
        <v>30</v>
      </c>
    </row>
    <row r="53" customHeight="1" spans="1:16">
      <c r="A53" s="39"/>
      <c r="B53" s="39"/>
      <c r="H53" s="92"/>
      <c r="I53" s="69" t="s">
        <v>88</v>
      </c>
      <c r="J53">
        <v>1</v>
      </c>
      <c r="K53">
        <v>3</v>
      </c>
      <c r="L53">
        <v>0</v>
      </c>
      <c r="M53">
        <v>60</v>
      </c>
      <c r="N53">
        <v>1</v>
      </c>
      <c r="O53">
        <v>30</v>
      </c>
      <c r="P53" s="92"/>
    </row>
    <row r="54" customHeight="1" spans="1:16">
      <c r="A54" s="39"/>
      <c r="B54" s="39"/>
      <c r="H54" s="91"/>
      <c r="I54" s="71" t="s">
        <v>89</v>
      </c>
      <c r="J54">
        <v>1</v>
      </c>
      <c r="K54">
        <v>3</v>
      </c>
      <c r="L54">
        <v>0</v>
      </c>
      <c r="M54">
        <v>60</v>
      </c>
      <c r="N54">
        <v>2.33</v>
      </c>
      <c r="O54">
        <v>30</v>
      </c>
      <c r="P54" s="91"/>
    </row>
    <row r="55" customHeight="1" spans="1:16">
      <c r="A55" s="39"/>
      <c r="B55" s="39"/>
      <c r="H55" s="90" t="s">
        <v>90</v>
      </c>
      <c r="I55" s="69" t="s">
        <v>74</v>
      </c>
      <c r="J55">
        <v>0.5</v>
      </c>
      <c r="K55">
        <v>2</v>
      </c>
      <c r="L55">
        <v>0</v>
      </c>
      <c r="M55">
        <v>80</v>
      </c>
      <c r="N55">
        <v>1</v>
      </c>
      <c r="O55">
        <v>30</v>
      </c>
      <c r="P55" s="90">
        <v>30</v>
      </c>
    </row>
    <row r="56" customHeight="1" spans="1:16">
      <c r="A56" s="39"/>
      <c r="B56" s="39"/>
      <c r="H56" s="92"/>
      <c r="I56" s="71" t="s">
        <v>88</v>
      </c>
      <c r="J56">
        <v>1</v>
      </c>
      <c r="K56">
        <v>3</v>
      </c>
      <c r="L56">
        <v>0</v>
      </c>
      <c r="M56">
        <v>60</v>
      </c>
      <c r="N56">
        <v>1</v>
      </c>
      <c r="O56">
        <v>30</v>
      </c>
      <c r="P56" s="92"/>
    </row>
    <row r="57" customHeight="1" spans="1:16">
      <c r="A57" s="39"/>
      <c r="B57" s="39"/>
      <c r="H57" s="91"/>
      <c r="I57" s="69" t="s">
        <v>91</v>
      </c>
      <c r="J57">
        <v>1</v>
      </c>
      <c r="K57">
        <v>3</v>
      </c>
      <c r="L57">
        <v>0</v>
      </c>
      <c r="M57">
        <v>60</v>
      </c>
      <c r="N57">
        <v>2.33</v>
      </c>
      <c r="O57">
        <v>30</v>
      </c>
      <c r="P57" s="91"/>
    </row>
    <row r="58" customHeight="1" spans="1:16">
      <c r="A58" s="39"/>
      <c r="B58" s="39"/>
      <c r="H58" s="90" t="s">
        <v>92</v>
      </c>
      <c r="I58" s="71" t="s">
        <v>55</v>
      </c>
      <c r="J58">
        <v>1</v>
      </c>
      <c r="K58">
        <v>2</v>
      </c>
      <c r="L58">
        <v>0</v>
      </c>
      <c r="M58">
        <v>40</v>
      </c>
      <c r="N58">
        <v>1</v>
      </c>
      <c r="O58">
        <v>30</v>
      </c>
      <c r="P58" s="90">
        <v>30</v>
      </c>
    </row>
    <row r="59" customHeight="1" spans="1:16">
      <c r="A59" s="39"/>
      <c r="B59" s="39"/>
      <c r="H59" s="92"/>
      <c r="I59" s="69" t="s">
        <v>57</v>
      </c>
      <c r="J59">
        <v>1</v>
      </c>
      <c r="K59">
        <v>2</v>
      </c>
      <c r="L59">
        <v>0</v>
      </c>
      <c r="M59">
        <v>40</v>
      </c>
      <c r="N59">
        <v>1</v>
      </c>
      <c r="O59">
        <v>30</v>
      </c>
      <c r="P59" s="92"/>
    </row>
    <row r="60" customHeight="1" spans="1:16">
      <c r="A60" s="39"/>
      <c r="B60" s="39"/>
      <c r="H60" s="92"/>
      <c r="I60" s="71" t="s">
        <v>59</v>
      </c>
      <c r="J60">
        <v>1</v>
      </c>
      <c r="K60">
        <v>2</v>
      </c>
      <c r="L60">
        <v>0</v>
      </c>
      <c r="M60">
        <v>40</v>
      </c>
      <c r="N60">
        <v>1</v>
      </c>
      <c r="O60">
        <v>30</v>
      </c>
      <c r="P60" s="92"/>
    </row>
    <row r="61" customHeight="1" spans="1:16">
      <c r="A61" s="39"/>
      <c r="B61" s="39"/>
      <c r="H61" s="91"/>
      <c r="I61" s="69" t="s">
        <v>93</v>
      </c>
      <c r="J61">
        <v>0.5</v>
      </c>
      <c r="K61">
        <v>1</v>
      </c>
      <c r="L61">
        <v>0</v>
      </c>
      <c r="M61">
        <v>40</v>
      </c>
      <c r="N61">
        <v>1</v>
      </c>
      <c r="O61">
        <v>30</v>
      </c>
      <c r="P61" s="91"/>
    </row>
    <row r="62" customHeight="1" spans="1:16">
      <c r="A62" s="39"/>
      <c r="B62" s="39"/>
      <c r="H62" s="90" t="s">
        <v>94</v>
      </c>
      <c r="I62" s="71" t="s">
        <v>95</v>
      </c>
      <c r="J62">
        <v>1</v>
      </c>
      <c r="K62">
        <v>1</v>
      </c>
      <c r="L62">
        <v>0.25</v>
      </c>
      <c r="M62">
        <v>40</v>
      </c>
      <c r="N62">
        <v>1</v>
      </c>
      <c r="O62">
        <v>60</v>
      </c>
      <c r="P62" s="90">
        <v>60</v>
      </c>
    </row>
    <row r="63" customHeight="1" spans="1:16">
      <c r="A63" s="39"/>
      <c r="B63" s="39"/>
      <c r="H63" s="92"/>
      <c r="I63" s="69" t="s">
        <v>96</v>
      </c>
      <c r="J63">
        <v>1</v>
      </c>
      <c r="K63">
        <v>2</v>
      </c>
      <c r="L63">
        <v>0.25</v>
      </c>
      <c r="M63">
        <v>40</v>
      </c>
      <c r="N63">
        <v>1</v>
      </c>
      <c r="O63">
        <v>60</v>
      </c>
      <c r="P63" s="92"/>
    </row>
    <row r="64" customHeight="1" spans="1:16">
      <c r="A64" s="39"/>
      <c r="B64" s="39"/>
      <c r="H64" s="92"/>
      <c r="I64" s="71" t="s">
        <v>97</v>
      </c>
      <c r="J64">
        <v>1</v>
      </c>
      <c r="K64">
        <v>2</v>
      </c>
      <c r="L64">
        <v>0.25</v>
      </c>
      <c r="M64">
        <v>40</v>
      </c>
      <c r="N64">
        <v>1.16</v>
      </c>
      <c r="O64">
        <v>60</v>
      </c>
      <c r="P64" s="92"/>
    </row>
    <row r="65" customHeight="1" spans="1:16">
      <c r="A65" s="39"/>
      <c r="B65" s="39"/>
      <c r="H65" s="91"/>
      <c r="I65" s="69" t="s">
        <v>98</v>
      </c>
      <c r="J65">
        <v>1</v>
      </c>
      <c r="K65">
        <v>2</v>
      </c>
      <c r="L65">
        <v>0</v>
      </c>
      <c r="M65">
        <v>40</v>
      </c>
      <c r="N65">
        <v>1.33</v>
      </c>
      <c r="O65">
        <v>60</v>
      </c>
      <c r="P65" s="91"/>
    </row>
    <row r="66" customHeight="1" spans="1:16">
      <c r="A66" s="39"/>
      <c r="B66" s="39"/>
      <c r="H66" s="90" t="s">
        <v>99</v>
      </c>
      <c r="I66" s="71" t="s">
        <v>74</v>
      </c>
      <c r="J66">
        <v>0.5</v>
      </c>
      <c r="K66">
        <v>2</v>
      </c>
      <c r="L66">
        <v>0</v>
      </c>
      <c r="M66">
        <v>80</v>
      </c>
      <c r="N66">
        <v>1</v>
      </c>
      <c r="O66">
        <v>30</v>
      </c>
      <c r="P66" s="90">
        <v>30</v>
      </c>
    </row>
    <row r="67" customHeight="1" spans="1:16">
      <c r="A67" s="39"/>
      <c r="B67" s="39"/>
      <c r="H67" s="91"/>
      <c r="I67" s="69" t="s">
        <v>100</v>
      </c>
      <c r="J67">
        <v>1</v>
      </c>
      <c r="K67">
        <v>3</v>
      </c>
      <c r="L67">
        <v>0</v>
      </c>
      <c r="M67">
        <v>60</v>
      </c>
      <c r="N67">
        <v>6.66</v>
      </c>
      <c r="O67">
        <v>30</v>
      </c>
      <c r="P67" s="91"/>
    </row>
    <row r="68" customHeight="1" spans="1:2">
      <c r="A68" s="39"/>
      <c r="B68" s="39"/>
    </row>
    <row r="69" customHeight="1" spans="1:2">
      <c r="A69" s="39"/>
      <c r="B69" s="39"/>
    </row>
    <row r="70" customHeight="1" spans="1:2">
      <c r="A70" s="39"/>
      <c r="B70" s="39"/>
    </row>
    <row r="71" customHeight="1" spans="1:2">
      <c r="A71" s="39"/>
      <c r="B71" s="39"/>
    </row>
    <row r="72" customHeight="1" spans="1:2">
      <c r="A72" s="39"/>
      <c r="B72" s="39"/>
    </row>
    <row r="73" customHeight="1" spans="1:2">
      <c r="A73" s="39"/>
      <c r="B73" s="39"/>
    </row>
    <row r="74" customHeight="1" spans="1:2">
      <c r="A74" s="39"/>
      <c r="B74" s="39"/>
    </row>
    <row r="75" customHeight="1" spans="1:2">
      <c r="A75" s="39"/>
      <c r="B75" s="39"/>
    </row>
    <row r="76" customHeight="1" spans="1:2">
      <c r="A76" s="39"/>
      <c r="B76" s="39"/>
    </row>
    <row r="77" customHeight="1" spans="1:2">
      <c r="A77" s="39"/>
      <c r="B77" s="39"/>
    </row>
    <row r="78" customHeight="1" spans="1:2">
      <c r="A78" s="39"/>
      <c r="B78" s="39"/>
    </row>
    <row r="79" customHeight="1" spans="1:2">
      <c r="A79" s="39"/>
      <c r="B79" s="39"/>
    </row>
    <row r="80" customHeight="1" spans="1:2">
      <c r="A80" s="39"/>
      <c r="B80" s="39"/>
    </row>
    <row r="81" customHeight="1" spans="1:2">
      <c r="A81" s="39"/>
      <c r="B81" s="39"/>
    </row>
    <row r="82" customHeight="1" spans="1:2">
      <c r="A82" s="39"/>
      <c r="B82" s="39"/>
    </row>
    <row r="83" customHeight="1" spans="1:2">
      <c r="A83" s="39"/>
      <c r="B83" s="39"/>
    </row>
    <row r="84" customHeight="1" spans="1:2">
      <c r="A84" s="39"/>
      <c r="B84" s="39"/>
    </row>
    <row r="85" customHeight="1" spans="1:2">
      <c r="A85" s="39"/>
      <c r="B85" s="39"/>
    </row>
    <row r="86" customHeight="1" spans="1:2">
      <c r="A86" s="39"/>
      <c r="B86" s="39"/>
    </row>
    <row r="87" customHeight="1" spans="1:2">
      <c r="A87" s="39"/>
      <c r="B87" s="39"/>
    </row>
    <row r="88" customHeight="1" spans="1:2">
      <c r="A88" s="39"/>
      <c r="B88" s="39"/>
    </row>
    <row r="89" customHeight="1" spans="1:2">
      <c r="A89" s="39"/>
      <c r="B89" s="39"/>
    </row>
    <row r="90" customHeight="1" spans="1:2">
      <c r="A90" s="39"/>
      <c r="B90" s="39"/>
    </row>
    <row r="91" customHeight="1" spans="1:2">
      <c r="A91" s="39"/>
      <c r="B91" s="39"/>
    </row>
    <row r="92" customHeight="1" spans="1:2">
      <c r="A92" s="39"/>
      <c r="B92" s="39"/>
    </row>
    <row r="93" customHeight="1" spans="1:2">
      <c r="A93" s="39"/>
      <c r="B93" s="39"/>
    </row>
    <row r="94" customHeight="1" spans="1:2">
      <c r="A94" s="39"/>
      <c r="B94" s="39"/>
    </row>
    <row r="95" customHeight="1" spans="1:2">
      <c r="A95" s="39"/>
      <c r="B95" s="39"/>
    </row>
    <row r="96" customHeight="1" spans="1:2">
      <c r="A96" s="39"/>
      <c r="B96" s="39"/>
    </row>
  </sheetData>
  <mergeCells count="25">
    <mergeCell ref="A6:E6"/>
    <mergeCell ref="H28:H29"/>
    <mergeCell ref="H30:H31"/>
    <mergeCell ref="H32:H36"/>
    <mergeCell ref="H37:H41"/>
    <mergeCell ref="H42:H43"/>
    <mergeCell ref="H46:H48"/>
    <mergeCell ref="H49:H51"/>
    <mergeCell ref="H52:H54"/>
    <mergeCell ref="H55:H57"/>
    <mergeCell ref="H58:H61"/>
    <mergeCell ref="H62:H65"/>
    <mergeCell ref="H66:H67"/>
    <mergeCell ref="P28:P29"/>
    <mergeCell ref="P30:P31"/>
    <mergeCell ref="P32:P36"/>
    <mergeCell ref="P37:P41"/>
    <mergeCell ref="P42:P43"/>
    <mergeCell ref="P46:P48"/>
    <mergeCell ref="P49:P51"/>
    <mergeCell ref="P52:P54"/>
    <mergeCell ref="P55:P57"/>
    <mergeCell ref="P58:P61"/>
    <mergeCell ref="P62:P65"/>
    <mergeCell ref="P66:P67"/>
  </mergeCell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3:G67"/>
  <sheetViews>
    <sheetView showGridLines="0" zoomScale="90" zoomScaleNormal="90" workbookViewId="0">
      <pane ySplit="3" topLeftCell="A4" activePane="bottomLeft" state="frozen"/>
      <selection/>
      <selection pane="bottomLeft" activeCell="E10" sqref="E10"/>
    </sheetView>
  </sheetViews>
  <sheetFormatPr defaultColWidth="9" defaultRowHeight="20" customHeight="1" outlineLevelCol="6"/>
  <cols>
    <col min="1" max="1" width="17.35" style="40" customWidth="1"/>
    <col min="2" max="2" width="13.3333333333333" style="40" customWidth="1"/>
    <col min="3" max="3" width="31.8" style="40" customWidth="1"/>
    <col min="4" max="4" width="16.25" style="40" customWidth="1"/>
    <col min="5" max="5" width="58.6083333333333" style="40" customWidth="1"/>
    <col min="6" max="6" width="61.2416666666667" style="39" customWidth="1"/>
    <col min="7" max="7" width="13.875" style="39" customWidth="1"/>
    <col min="8" max="8" width="14.025" style="39" customWidth="1"/>
    <col min="9" max="9" width="14.5833333333333" style="39" customWidth="1"/>
    <col min="10" max="10" width="14.7166666666667" style="39" customWidth="1"/>
    <col min="11" max="16384" width="9" style="39"/>
  </cols>
  <sheetData>
    <row r="3" ht="58" customHeight="1" spans="1:6">
      <c r="A3" s="42" t="s">
        <v>101</v>
      </c>
      <c r="B3" s="45" t="s">
        <v>102</v>
      </c>
      <c r="C3" s="45" t="s">
        <v>103</v>
      </c>
      <c r="D3" s="45" t="s">
        <v>5</v>
      </c>
      <c r="E3" s="84" t="s">
        <v>104</v>
      </c>
      <c r="F3" s="84" t="s">
        <v>105</v>
      </c>
    </row>
    <row r="4" customHeight="1" spans="1:4">
      <c r="A4" s="40" t="s">
        <v>106</v>
      </c>
      <c r="C4" s="40" t="s">
        <v>8</v>
      </c>
      <c r="D4" s="40">
        <f>VLOOKUP(C4,商品定位!$A$27:$C$51,3,FALSE)</f>
        <v>20</v>
      </c>
    </row>
    <row r="5" customHeight="1" spans="1:4">
      <c r="A5" s="40" t="s">
        <v>107</v>
      </c>
      <c r="C5" s="40" t="s">
        <v>8</v>
      </c>
      <c r="D5" s="40">
        <f>VLOOKUP(C5,商品定位!$A$27:$C$51,3,FALSE)</f>
        <v>20</v>
      </c>
    </row>
    <row r="6" customHeight="1" spans="1:4">
      <c r="A6" s="40" t="s">
        <v>108</v>
      </c>
      <c r="C6" s="40" t="s">
        <v>48</v>
      </c>
      <c r="D6" s="40">
        <f>VLOOKUP(C6,商品定位!$A$27:$C$51,3,FALSE)</f>
        <v>20</v>
      </c>
    </row>
    <row r="7" customHeight="1" spans="1:4">
      <c r="A7" s="40" t="s">
        <v>109</v>
      </c>
      <c r="C7" s="40" t="s">
        <v>48</v>
      </c>
      <c r="D7" s="40">
        <f>VLOOKUP(C7,商品定位!$A$27:$C$51,3,FALSE)</f>
        <v>20</v>
      </c>
    </row>
    <row r="8" customHeight="1" spans="1:4">
      <c r="A8" s="40" t="s">
        <v>110</v>
      </c>
      <c r="C8" s="40" t="s">
        <v>50</v>
      </c>
      <c r="D8" s="40">
        <f>VLOOKUP(C8,商品定位!$A$27:$C$51,3,FALSE)</f>
        <v>40</v>
      </c>
    </row>
    <row r="9" customHeight="1" spans="1:4">
      <c r="A9" s="40" t="s">
        <v>111</v>
      </c>
      <c r="C9" s="40" t="s">
        <v>48</v>
      </c>
      <c r="D9" s="40">
        <f>VLOOKUP(C9,商品定位!$A$27:$C$51,3,FALSE)</f>
        <v>20</v>
      </c>
    </row>
    <row r="10" customHeight="1" spans="1:4">
      <c r="A10" s="40" t="s">
        <v>112</v>
      </c>
      <c r="C10" s="40" t="s">
        <v>50</v>
      </c>
      <c r="D10" s="40">
        <f>VLOOKUP(C10,商品定位!$A$27:$C$51,3,FALSE)</f>
        <v>40</v>
      </c>
    </row>
    <row r="12" customHeight="1" spans="1:7">
      <c r="A12" s="40" t="s">
        <v>113</v>
      </c>
      <c r="C12" s="40" t="s">
        <v>41</v>
      </c>
      <c r="D12" s="40">
        <f>VLOOKUP(C12,商品定位!$A$27:$C$51,3,FALSE)</f>
        <v>40</v>
      </c>
      <c r="G12" s="40"/>
    </row>
    <row r="13" customHeight="1" spans="1:7">
      <c r="A13" s="40" t="s">
        <v>114</v>
      </c>
      <c r="C13" s="40" t="s">
        <v>41</v>
      </c>
      <c r="D13" s="40">
        <f>VLOOKUP(C13,商品定位!$A$27:$C$51,3,FALSE)</f>
        <v>40</v>
      </c>
      <c r="G13" s="40"/>
    </row>
    <row r="14" customHeight="1" spans="1:4">
      <c r="A14" s="40" t="s">
        <v>115</v>
      </c>
      <c r="C14" s="40" t="s">
        <v>41</v>
      </c>
      <c r="D14" s="40">
        <f>VLOOKUP(C14,商品定位!$A$27:$C$51,3,FALSE)</f>
        <v>40</v>
      </c>
    </row>
    <row r="16" customHeight="1" spans="1:4">
      <c r="A16" s="40" t="s">
        <v>116</v>
      </c>
      <c r="C16" s="40" t="s">
        <v>44</v>
      </c>
      <c r="D16" s="40">
        <f>VLOOKUP(C16,商品定位!$A$27:$C$51,3,FALSE)</f>
        <v>60</v>
      </c>
    </row>
    <row r="17" customHeight="1" spans="1:4">
      <c r="A17" s="40" t="s">
        <v>117</v>
      </c>
      <c r="C17" s="40" t="s">
        <v>44</v>
      </c>
      <c r="D17" s="40">
        <f>VLOOKUP(C17,商品定位!$A$27:$C$51,3,FALSE)</f>
        <v>60</v>
      </c>
    </row>
    <row r="18" customHeight="1" spans="1:4">
      <c r="A18" s="40" t="s">
        <v>118</v>
      </c>
      <c r="B18" s="40" t="s">
        <v>119</v>
      </c>
      <c r="C18" s="40" t="s">
        <v>44</v>
      </c>
      <c r="D18" s="40">
        <f>VLOOKUP(C18,商品定位!$A$27:$C$51,3,FALSE)</f>
        <v>60</v>
      </c>
    </row>
    <row r="19" customHeight="1" spans="1:4">
      <c r="A19" s="40" t="s">
        <v>120</v>
      </c>
      <c r="C19" s="40" t="s">
        <v>121</v>
      </c>
      <c r="D19" s="85">
        <v>60</v>
      </c>
    </row>
    <row r="21" customHeight="1" spans="1:4">
      <c r="A21" s="40" t="s">
        <v>122</v>
      </c>
      <c r="C21" s="40" t="s">
        <v>85</v>
      </c>
      <c r="D21" s="40">
        <f>VLOOKUP(C21,商品定位!$A$27:$C$51,3,FALSE)</f>
        <v>30</v>
      </c>
    </row>
    <row r="22" customHeight="1" spans="1:4">
      <c r="A22" s="40" t="s">
        <v>123</v>
      </c>
      <c r="C22" s="40" t="s">
        <v>50</v>
      </c>
      <c r="D22" s="40">
        <f>VLOOKUP(C22,商品定位!$A$27:$C$51,3,FALSE)</f>
        <v>40</v>
      </c>
    </row>
    <row r="23" customHeight="1" spans="1:4">
      <c r="A23" s="40" t="s">
        <v>124</v>
      </c>
      <c r="C23" s="40" t="s">
        <v>53</v>
      </c>
      <c r="D23" s="40">
        <f>VLOOKUP(C23,商品定位!$A$27:$C$51,3,FALSE)</f>
        <v>60</v>
      </c>
    </row>
    <row r="24" customHeight="1" spans="1:4">
      <c r="A24" s="40" t="s">
        <v>125</v>
      </c>
      <c r="C24" s="40" t="s">
        <v>53</v>
      </c>
      <c r="D24" s="40">
        <f>VLOOKUP(C24,商品定位!$A$27:$C$51,3,FALSE)</f>
        <v>60</v>
      </c>
    </row>
    <row r="26" customHeight="1" spans="1:4">
      <c r="A26" s="40" t="s">
        <v>126</v>
      </c>
      <c r="C26" s="40" t="s">
        <v>62</v>
      </c>
      <c r="D26" s="40">
        <f>VLOOKUP(C26,商品定位!$A$27:$C$51,3,FALSE)</f>
        <v>30</v>
      </c>
    </row>
    <row r="27" customHeight="1" spans="1:4">
      <c r="A27" s="40" t="s">
        <v>127</v>
      </c>
      <c r="C27" s="40" t="s">
        <v>56</v>
      </c>
      <c r="D27" s="40">
        <f>VLOOKUP(C27,商品定位!$A$27:$C$51,3,FALSE)</f>
        <v>40</v>
      </c>
    </row>
    <row r="28" customHeight="1" spans="1:4">
      <c r="A28" s="40" t="s">
        <v>128</v>
      </c>
      <c r="C28" s="40" t="s">
        <v>58</v>
      </c>
      <c r="D28" s="40">
        <f>VLOOKUP(C28,商品定位!$A$27:$C$51,3,FALSE)</f>
        <v>60</v>
      </c>
    </row>
    <row r="29" customHeight="1" spans="1:4">
      <c r="A29" s="40" t="s">
        <v>129</v>
      </c>
      <c r="C29" s="40" t="s">
        <v>58</v>
      </c>
      <c r="D29" s="40">
        <f>VLOOKUP(C29,商品定位!$A$27:$C$51,3,FALSE)</f>
        <v>60</v>
      </c>
    </row>
    <row r="31" customHeight="1" spans="1:4">
      <c r="A31" s="40" t="s">
        <v>130</v>
      </c>
      <c r="C31" s="40" t="s">
        <v>62</v>
      </c>
      <c r="D31" s="40">
        <f>VLOOKUP(C31,商品定位!$A$27:$C$51,3,FALSE)</f>
        <v>30</v>
      </c>
    </row>
    <row r="32" customHeight="1" spans="1:4">
      <c r="A32" s="40" t="s">
        <v>131</v>
      </c>
      <c r="C32" s="40" t="s">
        <v>132</v>
      </c>
      <c r="D32" s="85">
        <v>40</v>
      </c>
    </row>
    <row r="33" customHeight="1" spans="1:4">
      <c r="A33" s="40" t="s">
        <v>133</v>
      </c>
      <c r="B33" s="40" t="s">
        <v>134</v>
      </c>
      <c r="C33" s="40" t="s">
        <v>64</v>
      </c>
      <c r="D33" s="40">
        <f>VLOOKUP(C33,商品定位!$A$27:$C$51,3,FALSE)</f>
        <v>50</v>
      </c>
    </row>
    <row r="34" customHeight="1" spans="1:4">
      <c r="A34" s="40" t="s">
        <v>135</v>
      </c>
      <c r="C34" s="40" t="s">
        <v>62</v>
      </c>
      <c r="D34" s="40">
        <f>VLOOKUP(C34,商品定位!$A$27:$C$51,3,FALSE)</f>
        <v>30</v>
      </c>
    </row>
    <row r="35" customHeight="1" spans="1:4">
      <c r="A35" s="40" t="s">
        <v>136</v>
      </c>
      <c r="C35" s="40" t="s">
        <v>64</v>
      </c>
      <c r="D35" s="40">
        <f>VLOOKUP(C35,商品定位!$A$27:$C$51,3,FALSE)</f>
        <v>50</v>
      </c>
    </row>
    <row r="36" customHeight="1" spans="1:4">
      <c r="A36" s="40" t="s">
        <v>137</v>
      </c>
      <c r="C36" s="40" t="s">
        <v>62</v>
      </c>
      <c r="D36" s="40">
        <f>VLOOKUP(C36,商品定位!$A$27:$C$51,3,FALSE)</f>
        <v>30</v>
      </c>
    </row>
    <row r="37" customHeight="1" spans="1:4">
      <c r="A37" s="40" t="s">
        <v>138</v>
      </c>
      <c r="C37" s="40" t="s">
        <v>64</v>
      </c>
      <c r="D37" s="40">
        <f>VLOOKUP(C37,商品定位!$A$27:$C$51,3,FALSE)</f>
        <v>50</v>
      </c>
    </row>
    <row r="38" customHeight="1" spans="1:4">
      <c r="A38" s="40" t="s">
        <v>139</v>
      </c>
      <c r="B38" s="40" t="s">
        <v>140</v>
      </c>
      <c r="C38" s="40" t="s">
        <v>62</v>
      </c>
      <c r="D38" s="40">
        <f>VLOOKUP(C38,商品定位!$A$27:$C$51,3,FALSE)</f>
        <v>30</v>
      </c>
    </row>
    <row r="39" customHeight="1" spans="1:4">
      <c r="A39" s="40" t="s">
        <v>141</v>
      </c>
      <c r="C39" s="40" t="s">
        <v>64</v>
      </c>
      <c r="D39" s="40">
        <f>VLOOKUP(C39,商品定位!$A$27:$C$51,3,FALSE)</f>
        <v>50</v>
      </c>
    </row>
    <row r="40" customHeight="1" spans="1:4">
      <c r="A40" s="40" t="s">
        <v>142</v>
      </c>
      <c r="C40" s="40" t="s">
        <v>66</v>
      </c>
      <c r="D40" s="40">
        <f>VLOOKUP(C40,商品定位!$A$27:$C$51,3,FALSE)</f>
        <v>70</v>
      </c>
    </row>
    <row r="41" customHeight="1" spans="1:4">
      <c r="A41" s="40" t="s">
        <v>143</v>
      </c>
      <c r="C41" s="40" t="s">
        <v>66</v>
      </c>
      <c r="D41" s="40">
        <f>VLOOKUP(C41,商品定位!$A$27:$C$51,3,FALSE)</f>
        <v>70</v>
      </c>
    </row>
    <row r="42" customHeight="1" spans="1:4">
      <c r="A42" s="40" t="s">
        <v>144</v>
      </c>
      <c r="C42" s="40" t="s">
        <v>66</v>
      </c>
      <c r="D42" s="40">
        <f>VLOOKUP(C42,商品定位!$A$27:$C$51,3,FALSE)</f>
        <v>70</v>
      </c>
    </row>
    <row r="44" customHeight="1" spans="1:4">
      <c r="A44" s="40" t="s">
        <v>145</v>
      </c>
      <c r="C44" s="40" t="s">
        <v>69</v>
      </c>
      <c r="D44" s="40">
        <f>VLOOKUP(C44,商品定位!$A$27:$C$51,3,FALSE)</f>
        <v>40</v>
      </c>
    </row>
    <row r="45" customHeight="1" spans="1:4">
      <c r="A45" s="40" t="s">
        <v>146</v>
      </c>
      <c r="C45" s="40" t="s">
        <v>69</v>
      </c>
      <c r="D45" s="40">
        <f>VLOOKUP(C45,商品定位!$A$27:$C$51,3,FALSE)</f>
        <v>40</v>
      </c>
    </row>
    <row r="46" customHeight="1" spans="1:4">
      <c r="A46" s="40" t="s">
        <v>147</v>
      </c>
      <c r="C46" s="40" t="s">
        <v>71</v>
      </c>
      <c r="D46" s="40">
        <f>VLOOKUP(C46,商品定位!$A$27:$C$51,3,FALSE)</f>
        <v>60</v>
      </c>
    </row>
    <row r="47" customHeight="1" spans="1:4">
      <c r="A47" s="40" t="s">
        <v>148</v>
      </c>
      <c r="C47" s="40" t="s">
        <v>71</v>
      </c>
      <c r="D47" s="40">
        <f>VLOOKUP(C47,商品定位!$A$27:$C$51,3,FALSE)</f>
        <v>60</v>
      </c>
    </row>
    <row r="48" customHeight="1" spans="1:4">
      <c r="A48" s="40" t="s">
        <v>149</v>
      </c>
      <c r="C48" s="40" t="s">
        <v>73</v>
      </c>
      <c r="D48" s="40">
        <f>VLOOKUP(C48,商品定位!$A$27:$C$51,3,FALSE)</f>
        <v>80</v>
      </c>
    </row>
    <row r="49" customHeight="1" spans="1:4">
      <c r="A49" s="40" t="s">
        <v>150</v>
      </c>
      <c r="C49" s="40" t="s">
        <v>73</v>
      </c>
      <c r="D49" s="40">
        <f>VLOOKUP(C49,商品定位!$A$27:$C$51,3,FALSE)</f>
        <v>80</v>
      </c>
    </row>
    <row r="51" customHeight="1" spans="1:4">
      <c r="A51" s="40" t="s">
        <v>151</v>
      </c>
      <c r="C51" s="40" t="s">
        <v>85</v>
      </c>
      <c r="D51" s="85">
        <v>60</v>
      </c>
    </row>
    <row r="52" customHeight="1" spans="1:4">
      <c r="A52" s="40" t="s">
        <v>152</v>
      </c>
      <c r="C52" s="40" t="s">
        <v>153</v>
      </c>
      <c r="D52" s="85">
        <v>100</v>
      </c>
    </row>
    <row r="53" customHeight="1" spans="1:4">
      <c r="A53" s="40" t="s">
        <v>154</v>
      </c>
      <c r="C53" s="40" t="s">
        <v>60</v>
      </c>
      <c r="D53" s="40">
        <f>VLOOKUP(C53,商品定位!$A$27:$C$51,3,FALSE)</f>
        <v>80</v>
      </c>
    </row>
    <row r="55" customHeight="1" spans="1:4">
      <c r="A55" s="40" t="s">
        <v>155</v>
      </c>
      <c r="C55" s="40" t="s">
        <v>77</v>
      </c>
      <c r="D55" s="40">
        <f>VLOOKUP(C55,商品定位!$A$27:$C$51,3,FALSE)</f>
        <v>60</v>
      </c>
    </row>
    <row r="56" customHeight="1" spans="1:4">
      <c r="A56" s="40" t="s">
        <v>156</v>
      </c>
      <c r="C56" s="40" t="s">
        <v>77</v>
      </c>
      <c r="D56" s="40">
        <f>VLOOKUP(C56,商品定位!$A$27:$C$51,3,FALSE)</f>
        <v>60</v>
      </c>
    </row>
    <row r="57" customHeight="1" spans="1:4">
      <c r="A57" s="40" t="s">
        <v>157</v>
      </c>
      <c r="C57" s="40" t="s">
        <v>77</v>
      </c>
      <c r="D57" s="40">
        <f>VLOOKUP(C57,商品定位!$A$27:$C$51,3,FALSE)</f>
        <v>60</v>
      </c>
    </row>
    <row r="58" customHeight="1" spans="1:4">
      <c r="A58" s="40" t="s">
        <v>158</v>
      </c>
      <c r="C58" s="40" t="s">
        <v>79</v>
      </c>
      <c r="D58" s="40">
        <f>VLOOKUP(C58,商品定位!$A$27:$C$51,3,FALSE)</f>
        <v>80</v>
      </c>
    </row>
    <row r="59" customHeight="1" spans="1:4">
      <c r="A59" s="40" t="s">
        <v>159</v>
      </c>
      <c r="C59" s="40" t="s">
        <v>79</v>
      </c>
      <c r="D59" s="40">
        <f>VLOOKUP(C59,商品定位!$A$27:$C$51,3,FALSE)</f>
        <v>80</v>
      </c>
    </row>
    <row r="60" customHeight="1" spans="1:4">
      <c r="A60" s="40" t="s">
        <v>160</v>
      </c>
      <c r="C60" s="40" t="s">
        <v>79</v>
      </c>
      <c r="D60" s="40">
        <f>VLOOKUP(C60,商品定位!$A$27:$C$51,3,FALSE)</f>
        <v>80</v>
      </c>
    </row>
    <row r="61" customHeight="1" spans="1:4">
      <c r="A61" s="40" t="s">
        <v>161</v>
      </c>
      <c r="C61" s="40" t="s">
        <v>79</v>
      </c>
      <c r="D61" s="40">
        <f>VLOOKUP(C61,商品定位!$A$27:$C$51,3,FALSE)</f>
        <v>80</v>
      </c>
    </row>
    <row r="62" customHeight="1" spans="1:4">
      <c r="A62" s="40" t="s">
        <v>162</v>
      </c>
      <c r="C62" s="40" t="s">
        <v>81</v>
      </c>
      <c r="D62" s="40">
        <f>VLOOKUP(C62,商品定位!$A$27:$C$51,3,FALSE)</f>
        <v>100</v>
      </c>
    </row>
    <row r="63" customHeight="1" spans="1:4">
      <c r="A63" s="40" t="s">
        <v>163</v>
      </c>
      <c r="C63" s="40" t="s">
        <v>81</v>
      </c>
      <c r="D63" s="40">
        <f>VLOOKUP(C63,商品定位!$A$27:$C$51,3,FALSE)</f>
        <v>100</v>
      </c>
    </row>
    <row r="64" customHeight="1" spans="1:4">
      <c r="A64" s="40" t="s">
        <v>164</v>
      </c>
      <c r="C64" s="40" t="s">
        <v>81</v>
      </c>
      <c r="D64" s="40">
        <f>VLOOKUP(C64,商品定位!$A$27:$C$51,3,FALSE)</f>
        <v>100</v>
      </c>
    </row>
    <row r="65" customHeight="1" spans="1:4">
      <c r="A65" s="40" t="s">
        <v>165</v>
      </c>
      <c r="C65" s="40" t="s">
        <v>56</v>
      </c>
      <c r="D65" s="40">
        <f>VLOOKUP(C65,商品定位!$A$27:$C$51,3,FALSE)</f>
        <v>40</v>
      </c>
    </row>
    <row r="67" customHeight="1" spans="1:3">
      <c r="A67" s="40" t="s">
        <v>166</v>
      </c>
      <c r="C67" s="40" t="s">
        <v>167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E138"/>
  <sheetViews>
    <sheetView workbookViewId="0">
      <selection activeCell="E14" sqref="E14"/>
    </sheetView>
  </sheetViews>
  <sheetFormatPr defaultColWidth="9" defaultRowHeight="20" customHeight="1"/>
  <cols>
    <col min="2" max="2" width="9.625" style="1" customWidth="1"/>
    <col min="3" max="3" width="11.5" style="61" customWidth="1"/>
    <col min="4" max="4" width="17.125" customWidth="1"/>
    <col min="5" max="5" width="12.625" customWidth="1"/>
    <col min="6" max="6" width="11.5" customWidth="1"/>
    <col min="7" max="7" width="19.375" customWidth="1"/>
    <col min="8" max="8" width="17.125" customWidth="1"/>
    <col min="9" max="9" width="8.375" customWidth="1"/>
    <col min="10" max="10" width="12.625" customWidth="1"/>
    <col min="11" max="11" width="9.375" customWidth="1"/>
    <col min="12" max="14" width="14.875" customWidth="1"/>
    <col min="15" max="15" width="12.625" customWidth="1"/>
    <col min="16" max="16" width="13.75" customWidth="1"/>
    <col min="17" max="17" width="7.375" customWidth="1"/>
    <col min="18" max="18" width="17.125" customWidth="1"/>
    <col min="19" max="20" width="13.75" customWidth="1"/>
    <col min="21" max="21" width="19.375" customWidth="1"/>
    <col min="22" max="22" width="17.125" customWidth="1"/>
    <col min="23" max="23" width="9.375" customWidth="1"/>
    <col min="24" max="24" width="12.625" customWidth="1"/>
    <col min="25" max="25" width="9.375" customWidth="1"/>
    <col min="26" max="28" width="14.875" customWidth="1"/>
    <col min="29" max="30" width="13.75" customWidth="1"/>
    <col min="31" max="31" width="9.375" customWidth="1"/>
  </cols>
  <sheetData>
    <row r="1" customFormat="1" customHeight="1" spans="2:3">
      <c r="B1" s="1"/>
      <c r="C1" s="62"/>
    </row>
    <row r="2" s="60" customFormat="1" ht="34" customHeight="1" spans="1:31">
      <c r="A2" s="63" t="s">
        <v>168</v>
      </c>
      <c r="B2" s="64" t="s">
        <v>169</v>
      </c>
      <c r="C2" s="63" t="s">
        <v>170</v>
      </c>
      <c r="D2" s="63" t="s">
        <v>42</v>
      </c>
      <c r="E2" s="63" t="s">
        <v>46</v>
      </c>
      <c r="F2" s="63" t="s">
        <v>51</v>
      </c>
      <c r="G2" s="63" t="s">
        <v>72</v>
      </c>
      <c r="H2" s="63" t="s">
        <v>68</v>
      </c>
      <c r="I2" s="63" t="s">
        <v>61</v>
      </c>
      <c r="J2" s="63" t="s">
        <v>75</v>
      </c>
      <c r="K2" s="63" t="s">
        <v>74</v>
      </c>
      <c r="L2" s="63" t="s">
        <v>82</v>
      </c>
      <c r="M2" s="63" t="s">
        <v>87</v>
      </c>
      <c r="N2" s="63" t="s">
        <v>90</v>
      </c>
      <c r="O2" s="63" t="s">
        <v>92</v>
      </c>
      <c r="P2" s="63" t="s">
        <v>94</v>
      </c>
      <c r="Q2" s="80" t="s">
        <v>99</v>
      </c>
      <c r="R2" s="81" t="s">
        <v>42</v>
      </c>
      <c r="S2" s="82" t="s">
        <v>46</v>
      </c>
      <c r="T2" s="82" t="s">
        <v>51</v>
      </c>
      <c r="U2" s="82" t="s">
        <v>72</v>
      </c>
      <c r="V2" s="82" t="s">
        <v>68</v>
      </c>
      <c r="W2" s="82" t="s">
        <v>61</v>
      </c>
      <c r="X2" s="82" t="s">
        <v>75</v>
      </c>
      <c r="Y2" s="82" t="s">
        <v>74</v>
      </c>
      <c r="Z2" s="82" t="s">
        <v>82</v>
      </c>
      <c r="AA2" s="82" t="s">
        <v>87</v>
      </c>
      <c r="AB2" s="82" t="s">
        <v>90</v>
      </c>
      <c r="AC2" s="82" t="s">
        <v>92</v>
      </c>
      <c r="AD2" s="82" t="s">
        <v>94</v>
      </c>
      <c r="AE2" s="82" t="s">
        <v>99</v>
      </c>
    </row>
    <row r="3" s="60" customFormat="1" customHeight="1" spans="1:31">
      <c r="A3" s="63" t="s">
        <v>171</v>
      </c>
      <c r="B3" s="63" t="s">
        <v>172</v>
      </c>
      <c r="C3" s="63" t="s">
        <v>173</v>
      </c>
      <c r="D3" s="63" t="s">
        <v>174</v>
      </c>
      <c r="E3" s="63" t="s">
        <v>175</v>
      </c>
      <c r="F3" s="63" t="s">
        <v>176</v>
      </c>
      <c r="G3" s="63" t="s">
        <v>177</v>
      </c>
      <c r="H3" s="63" t="s">
        <v>178</v>
      </c>
      <c r="I3" s="63" t="s">
        <v>179</v>
      </c>
      <c r="J3" s="63" t="s">
        <v>139</v>
      </c>
      <c r="K3" s="63" t="s">
        <v>130</v>
      </c>
      <c r="L3" s="63" t="s">
        <v>141</v>
      </c>
      <c r="M3" s="63" t="s">
        <v>180</v>
      </c>
      <c r="N3" s="63" t="s">
        <v>181</v>
      </c>
      <c r="O3" s="63" t="s">
        <v>182</v>
      </c>
      <c r="P3" s="63" t="s">
        <v>183</v>
      </c>
      <c r="Q3" s="80" t="s">
        <v>184</v>
      </c>
      <c r="R3" s="81" t="str">
        <f t="shared" ref="R3:AE3" si="0">D3&amp;"价值"</f>
        <v>简单衣物价值</v>
      </c>
      <c r="S3" s="81" t="str">
        <f t="shared" si="0"/>
        <v>简单物品价值</v>
      </c>
      <c r="T3" s="81" t="str">
        <f t="shared" si="0"/>
        <v>基础食物价值</v>
      </c>
      <c r="U3" s="81" t="str">
        <f t="shared" si="0"/>
        <v>标准衣物价值</v>
      </c>
      <c r="V3" s="81" t="str">
        <f t="shared" si="0"/>
        <v>家庭物品价值</v>
      </c>
      <c r="W3" s="81" t="str">
        <f t="shared" si="0"/>
        <v>取暖价值</v>
      </c>
      <c r="X3" s="81" t="str">
        <f t="shared" si="0"/>
        <v>饮品价值</v>
      </c>
      <c r="Y3" s="81" t="str">
        <f t="shared" si="0"/>
        <v>服务价值</v>
      </c>
      <c r="Z3" s="81" t="str">
        <f t="shared" si="0"/>
        <v>奢侈饮品价值</v>
      </c>
      <c r="AA3" s="81" t="str">
        <f t="shared" si="0"/>
        <v>自由出行价值</v>
      </c>
      <c r="AB3" s="81" t="str">
        <f t="shared" si="0"/>
        <v>交流价值</v>
      </c>
      <c r="AC3" s="81" t="str">
        <f t="shared" si="0"/>
        <v>奢侈食物价值</v>
      </c>
      <c r="AD3" s="81" t="str">
        <f t="shared" si="0"/>
        <v>奢侈物品价值</v>
      </c>
      <c r="AE3" s="81" t="str">
        <f t="shared" si="0"/>
        <v>艺术价值</v>
      </c>
    </row>
    <row r="4" customHeight="1" spans="1:31">
      <c r="A4" s="65">
        <v>1</v>
      </c>
      <c r="B4" s="65">
        <v>0.03</v>
      </c>
      <c r="C4" s="65">
        <f t="shared" ref="C4:C67" si="1">SUM(R4:AE4)</f>
        <v>3250</v>
      </c>
      <c r="D4" s="15">
        <v>23</v>
      </c>
      <c r="E4" s="15"/>
      <c r="F4" s="15">
        <v>90</v>
      </c>
      <c r="G4" s="15"/>
      <c r="H4" s="15"/>
      <c r="I4" s="15">
        <v>15</v>
      </c>
      <c r="J4" s="15">
        <v>23</v>
      </c>
      <c r="K4" s="15"/>
      <c r="L4" s="15"/>
      <c r="M4" s="15"/>
      <c r="N4" s="15"/>
      <c r="O4" s="15"/>
      <c r="P4" s="15"/>
      <c r="Q4" s="15"/>
      <c r="R4">
        <v>460</v>
      </c>
      <c r="S4" t="s">
        <v>185</v>
      </c>
      <c r="T4">
        <v>1800</v>
      </c>
      <c r="U4" t="s">
        <v>185</v>
      </c>
      <c r="V4" t="s">
        <v>185</v>
      </c>
      <c r="W4">
        <v>300</v>
      </c>
      <c r="X4">
        <v>690</v>
      </c>
      <c r="Y4" t="s">
        <v>185</v>
      </c>
      <c r="Z4" t="s">
        <v>185</v>
      </c>
      <c r="AA4" t="s">
        <v>185</v>
      </c>
      <c r="AB4" t="s">
        <v>185</v>
      </c>
      <c r="AC4" t="s">
        <v>185</v>
      </c>
      <c r="AD4" t="s">
        <v>185</v>
      </c>
      <c r="AE4" t="s">
        <v>185</v>
      </c>
    </row>
    <row r="5" customHeight="1" spans="1:31">
      <c r="A5" s="65">
        <v>2</v>
      </c>
      <c r="B5" s="65">
        <v>0.04</v>
      </c>
      <c r="C5" s="65">
        <f t="shared" si="1"/>
        <v>3530</v>
      </c>
      <c r="D5" s="15">
        <v>26</v>
      </c>
      <c r="E5" s="15"/>
      <c r="F5" s="15">
        <v>99</v>
      </c>
      <c r="G5" s="15"/>
      <c r="H5" s="15"/>
      <c r="I5" s="15">
        <v>17</v>
      </c>
      <c r="J5" s="15">
        <v>23</v>
      </c>
      <c r="K5" s="15"/>
      <c r="L5" s="15"/>
      <c r="M5" s="15"/>
      <c r="N5" s="15"/>
      <c r="O5" s="15"/>
      <c r="P5" s="15"/>
      <c r="Q5" s="15"/>
      <c r="R5">
        <v>520</v>
      </c>
      <c r="S5" t="s">
        <v>185</v>
      </c>
      <c r="T5">
        <v>1980</v>
      </c>
      <c r="U5" t="s">
        <v>185</v>
      </c>
      <c r="V5" t="s">
        <v>185</v>
      </c>
      <c r="W5">
        <v>340</v>
      </c>
      <c r="X5">
        <v>690</v>
      </c>
      <c r="Y5" t="s">
        <v>185</v>
      </c>
      <c r="Z5" t="s">
        <v>185</v>
      </c>
      <c r="AA5" t="s">
        <v>185</v>
      </c>
      <c r="AB5" t="s">
        <v>185</v>
      </c>
      <c r="AC5" t="s">
        <v>185</v>
      </c>
      <c r="AD5" t="s">
        <v>185</v>
      </c>
      <c r="AE5" t="s">
        <v>185</v>
      </c>
    </row>
    <row r="6" customHeight="1" spans="1:31">
      <c r="A6" s="65">
        <v>3</v>
      </c>
      <c r="B6" s="65">
        <v>0.05</v>
      </c>
      <c r="C6" s="65">
        <f t="shared" si="1"/>
        <v>3870</v>
      </c>
      <c r="D6" s="15">
        <v>33</v>
      </c>
      <c r="E6" s="15"/>
      <c r="F6" s="15">
        <v>108</v>
      </c>
      <c r="G6" s="15"/>
      <c r="H6" s="15"/>
      <c r="I6" s="15">
        <v>18</v>
      </c>
      <c r="J6" s="15">
        <v>23</v>
      </c>
      <c r="K6" s="15"/>
      <c r="L6" s="15"/>
      <c r="M6" s="15"/>
      <c r="N6" s="15"/>
      <c r="O6" s="15"/>
      <c r="P6" s="15"/>
      <c r="Q6" s="15"/>
      <c r="R6">
        <v>660</v>
      </c>
      <c r="S6" t="s">
        <v>185</v>
      </c>
      <c r="T6">
        <v>2160</v>
      </c>
      <c r="U6" t="s">
        <v>185</v>
      </c>
      <c r="V6" t="s">
        <v>185</v>
      </c>
      <c r="W6">
        <v>360</v>
      </c>
      <c r="X6">
        <v>690</v>
      </c>
      <c r="Y6" t="s">
        <v>185</v>
      </c>
      <c r="Z6" t="s">
        <v>185</v>
      </c>
      <c r="AA6" t="s">
        <v>185</v>
      </c>
      <c r="AB6" t="s">
        <v>185</v>
      </c>
      <c r="AC6" t="s">
        <v>185</v>
      </c>
      <c r="AD6" t="s">
        <v>185</v>
      </c>
      <c r="AE6" t="s">
        <v>185</v>
      </c>
    </row>
    <row r="7" customHeight="1" spans="1:31">
      <c r="A7" s="65">
        <v>4</v>
      </c>
      <c r="B7" s="65">
        <v>0.1</v>
      </c>
      <c r="C7" s="65">
        <f t="shared" si="1"/>
        <v>4230</v>
      </c>
      <c r="D7" s="15">
        <v>36</v>
      </c>
      <c r="E7" s="15"/>
      <c r="F7" s="15">
        <v>121</v>
      </c>
      <c r="G7" s="15"/>
      <c r="H7" s="15"/>
      <c r="I7" s="15">
        <v>20</v>
      </c>
      <c r="J7" s="15">
        <v>23</v>
      </c>
      <c r="K7" s="15"/>
      <c r="L7" s="15"/>
      <c r="M7" s="15"/>
      <c r="N7" s="15"/>
      <c r="O7" s="15"/>
      <c r="P7" s="15"/>
      <c r="Q7" s="15"/>
      <c r="R7">
        <v>720</v>
      </c>
      <c r="S7" t="s">
        <v>185</v>
      </c>
      <c r="T7">
        <v>2420</v>
      </c>
      <c r="U7" t="s">
        <v>185</v>
      </c>
      <c r="V7" t="s">
        <v>185</v>
      </c>
      <c r="W7">
        <v>400</v>
      </c>
      <c r="X7">
        <v>690</v>
      </c>
      <c r="Y7" t="s">
        <v>185</v>
      </c>
      <c r="Z7" t="s">
        <v>185</v>
      </c>
      <c r="AA7" t="s">
        <v>185</v>
      </c>
      <c r="AB7" t="s">
        <v>185</v>
      </c>
      <c r="AC7" t="s">
        <v>185</v>
      </c>
      <c r="AD7" t="s">
        <v>185</v>
      </c>
      <c r="AE7" t="s">
        <v>185</v>
      </c>
    </row>
    <row r="8" customHeight="1" spans="1:31">
      <c r="A8" s="66">
        <v>5</v>
      </c>
      <c r="B8" s="66">
        <v>0.15</v>
      </c>
      <c r="C8" s="66">
        <f t="shared" si="1"/>
        <v>4650</v>
      </c>
      <c r="D8" s="52">
        <v>38</v>
      </c>
      <c r="E8" s="52">
        <v>13</v>
      </c>
      <c r="F8" s="52">
        <v>126</v>
      </c>
      <c r="G8" s="52"/>
      <c r="H8" s="52"/>
      <c r="I8" s="52">
        <v>21</v>
      </c>
      <c r="J8" s="52">
        <v>23</v>
      </c>
      <c r="K8" s="52"/>
      <c r="L8" s="52"/>
      <c r="M8" s="52"/>
      <c r="N8" s="52"/>
      <c r="O8" s="52"/>
      <c r="P8" s="52"/>
      <c r="Q8" s="52"/>
      <c r="R8">
        <v>760</v>
      </c>
      <c r="S8">
        <v>260</v>
      </c>
      <c r="T8">
        <v>2520</v>
      </c>
      <c r="U8" t="s">
        <v>185</v>
      </c>
      <c r="V8" t="s">
        <v>185</v>
      </c>
      <c r="W8">
        <v>420</v>
      </c>
      <c r="X8">
        <v>690</v>
      </c>
      <c r="Y8" t="s">
        <v>185</v>
      </c>
      <c r="Z8" t="s">
        <v>185</v>
      </c>
      <c r="AA8" t="s">
        <v>185</v>
      </c>
      <c r="AB8" t="s">
        <v>185</v>
      </c>
      <c r="AC8" t="s">
        <v>185</v>
      </c>
      <c r="AD8" t="s">
        <v>185</v>
      </c>
      <c r="AE8" t="s">
        <v>185</v>
      </c>
    </row>
    <row r="9" customHeight="1" spans="1:31">
      <c r="A9" s="66">
        <v>6</v>
      </c>
      <c r="B9" s="66">
        <v>0.25</v>
      </c>
      <c r="C9" s="66">
        <f t="shared" si="1"/>
        <v>5050</v>
      </c>
      <c r="D9" s="52">
        <v>43</v>
      </c>
      <c r="E9" s="52">
        <v>19</v>
      </c>
      <c r="F9" s="52">
        <v>132</v>
      </c>
      <c r="G9" s="52"/>
      <c r="H9" s="52"/>
      <c r="I9" s="52">
        <v>24</v>
      </c>
      <c r="J9" s="52">
        <v>23</v>
      </c>
      <c r="K9" s="52"/>
      <c r="L9" s="52"/>
      <c r="M9" s="52"/>
      <c r="N9" s="52"/>
      <c r="O9" s="52"/>
      <c r="P9" s="52"/>
      <c r="Q9" s="52"/>
      <c r="R9">
        <v>860</v>
      </c>
      <c r="S9">
        <v>380</v>
      </c>
      <c r="T9">
        <v>2640</v>
      </c>
      <c r="U9" t="s">
        <v>185</v>
      </c>
      <c r="V9" t="s">
        <v>185</v>
      </c>
      <c r="W9">
        <v>480</v>
      </c>
      <c r="X9">
        <v>690</v>
      </c>
      <c r="Y9" t="s">
        <v>185</v>
      </c>
      <c r="Z9" t="s">
        <v>185</v>
      </c>
      <c r="AA9" t="s">
        <v>185</v>
      </c>
      <c r="AB9" t="s">
        <v>185</v>
      </c>
      <c r="AC9" t="s">
        <v>185</v>
      </c>
      <c r="AD9" t="s">
        <v>185</v>
      </c>
      <c r="AE9" t="s">
        <v>185</v>
      </c>
    </row>
    <row r="10" customHeight="1" spans="1:31">
      <c r="A10" s="66">
        <v>7</v>
      </c>
      <c r="B10" s="66">
        <v>0.35</v>
      </c>
      <c r="C10" s="66">
        <f t="shared" si="1"/>
        <v>5490</v>
      </c>
      <c r="D10" s="52">
        <v>43</v>
      </c>
      <c r="E10" s="52">
        <v>27</v>
      </c>
      <c r="F10" s="52">
        <v>143</v>
      </c>
      <c r="G10" s="52"/>
      <c r="H10" s="52"/>
      <c r="I10" s="52">
        <v>27</v>
      </c>
      <c r="J10" s="52">
        <v>23</v>
      </c>
      <c r="K10" s="52"/>
      <c r="L10" s="52"/>
      <c r="M10" s="52"/>
      <c r="N10" s="52"/>
      <c r="O10" s="52"/>
      <c r="P10" s="52"/>
      <c r="Q10" s="52"/>
      <c r="R10">
        <v>860</v>
      </c>
      <c r="S10">
        <v>540</v>
      </c>
      <c r="T10">
        <v>2860</v>
      </c>
      <c r="U10" t="s">
        <v>185</v>
      </c>
      <c r="V10" t="s">
        <v>185</v>
      </c>
      <c r="W10">
        <v>540</v>
      </c>
      <c r="X10">
        <v>690</v>
      </c>
      <c r="Y10" t="s">
        <v>185</v>
      </c>
      <c r="Z10" t="s">
        <v>185</v>
      </c>
      <c r="AA10" t="s">
        <v>185</v>
      </c>
      <c r="AB10" t="s">
        <v>185</v>
      </c>
      <c r="AC10" t="s">
        <v>185</v>
      </c>
      <c r="AD10" t="s">
        <v>185</v>
      </c>
      <c r="AE10" t="s">
        <v>185</v>
      </c>
    </row>
    <row r="11" customHeight="1" spans="1:31">
      <c r="A11" s="66">
        <v>8</v>
      </c>
      <c r="B11" s="66">
        <v>0.45</v>
      </c>
      <c r="C11" s="66">
        <f t="shared" si="1"/>
        <v>5990</v>
      </c>
      <c r="D11" s="52">
        <v>43</v>
      </c>
      <c r="E11" s="52">
        <v>41</v>
      </c>
      <c r="F11" s="52">
        <v>150</v>
      </c>
      <c r="G11" s="52"/>
      <c r="H11" s="52"/>
      <c r="I11" s="52">
        <v>31</v>
      </c>
      <c r="J11" s="52">
        <v>23</v>
      </c>
      <c r="K11" s="52"/>
      <c r="L11" s="52"/>
      <c r="M11" s="52"/>
      <c r="N11" s="52"/>
      <c r="O11" s="52"/>
      <c r="P11" s="52"/>
      <c r="Q11" s="52"/>
      <c r="R11">
        <v>860</v>
      </c>
      <c r="S11">
        <v>820</v>
      </c>
      <c r="T11">
        <v>3000</v>
      </c>
      <c r="U11" t="s">
        <v>185</v>
      </c>
      <c r="V11" t="s">
        <v>185</v>
      </c>
      <c r="W11">
        <v>620</v>
      </c>
      <c r="X11">
        <v>690</v>
      </c>
      <c r="Y11" t="s">
        <v>185</v>
      </c>
      <c r="Z11" t="s">
        <v>185</v>
      </c>
      <c r="AA11" t="s">
        <v>185</v>
      </c>
      <c r="AB11" t="s">
        <v>185</v>
      </c>
      <c r="AC11" t="s">
        <v>185</v>
      </c>
      <c r="AD11" t="s">
        <v>185</v>
      </c>
      <c r="AE11" t="s">
        <v>185</v>
      </c>
    </row>
    <row r="12" customHeight="1" spans="1:31">
      <c r="A12" s="66">
        <v>9</v>
      </c>
      <c r="B12" s="66">
        <v>0.6</v>
      </c>
      <c r="C12" s="66">
        <f t="shared" si="1"/>
        <v>6330</v>
      </c>
      <c r="D12" s="52">
        <v>43</v>
      </c>
      <c r="E12" s="52">
        <v>53</v>
      </c>
      <c r="F12" s="52">
        <v>150</v>
      </c>
      <c r="G12" s="52"/>
      <c r="H12" s="52"/>
      <c r="I12" s="52">
        <v>36</v>
      </c>
      <c r="J12" s="52">
        <v>23</v>
      </c>
      <c r="K12" s="52"/>
      <c r="L12" s="52"/>
      <c r="M12" s="52"/>
      <c r="N12" s="52"/>
      <c r="O12" s="52"/>
      <c r="P12" s="52"/>
      <c r="Q12" s="52"/>
      <c r="R12">
        <v>860</v>
      </c>
      <c r="S12">
        <v>1060</v>
      </c>
      <c r="T12">
        <v>3000</v>
      </c>
      <c r="U12" t="s">
        <v>185</v>
      </c>
      <c r="V12" t="s">
        <v>185</v>
      </c>
      <c r="W12">
        <v>720</v>
      </c>
      <c r="X12">
        <v>690</v>
      </c>
      <c r="Y12" t="s">
        <v>185</v>
      </c>
      <c r="Z12" t="s">
        <v>185</v>
      </c>
      <c r="AA12" t="s">
        <v>185</v>
      </c>
      <c r="AB12" t="s">
        <v>185</v>
      </c>
      <c r="AC12" t="s">
        <v>185</v>
      </c>
      <c r="AD12" t="s">
        <v>185</v>
      </c>
      <c r="AE12" t="s">
        <v>185</v>
      </c>
    </row>
    <row r="13" customHeight="1" spans="1:31">
      <c r="A13" s="67">
        <v>10</v>
      </c>
      <c r="B13" s="67">
        <v>0.75</v>
      </c>
      <c r="C13" s="67">
        <f t="shared" si="1"/>
        <v>7830</v>
      </c>
      <c r="D13" s="7">
        <v>51</v>
      </c>
      <c r="E13" s="7">
        <v>45</v>
      </c>
      <c r="F13" s="7">
        <v>154</v>
      </c>
      <c r="G13" s="7">
        <v>10</v>
      </c>
      <c r="H13" s="7">
        <v>7</v>
      </c>
      <c r="I13" s="7">
        <v>29</v>
      </c>
      <c r="J13" s="7">
        <v>34</v>
      </c>
      <c r="K13" s="7">
        <v>24</v>
      </c>
      <c r="L13" s="7"/>
      <c r="M13" s="7"/>
      <c r="N13" s="7"/>
      <c r="O13" s="7"/>
      <c r="P13" s="7"/>
      <c r="Q13" s="7"/>
      <c r="R13">
        <v>1020</v>
      </c>
      <c r="S13">
        <v>900</v>
      </c>
      <c r="T13">
        <v>3080</v>
      </c>
      <c r="U13">
        <v>300</v>
      </c>
      <c r="V13">
        <v>210</v>
      </c>
      <c r="W13">
        <v>580</v>
      </c>
      <c r="X13">
        <v>1020</v>
      </c>
      <c r="Y13">
        <v>720</v>
      </c>
      <c r="Z13" t="s">
        <v>185</v>
      </c>
      <c r="AA13" t="s">
        <v>185</v>
      </c>
      <c r="AB13" t="s">
        <v>185</v>
      </c>
      <c r="AC13" t="s">
        <v>185</v>
      </c>
      <c r="AD13" t="s">
        <v>185</v>
      </c>
      <c r="AE13" t="s">
        <v>185</v>
      </c>
    </row>
    <row r="14" customHeight="1" spans="1:31">
      <c r="A14" s="67">
        <v>11</v>
      </c>
      <c r="B14" s="67">
        <v>0.9</v>
      </c>
      <c r="C14" s="67">
        <f t="shared" si="1"/>
        <v>8910</v>
      </c>
      <c r="D14" s="7">
        <v>47</v>
      </c>
      <c r="E14" s="7">
        <v>43</v>
      </c>
      <c r="F14" s="7">
        <v>157</v>
      </c>
      <c r="G14" s="7">
        <v>23</v>
      </c>
      <c r="H14" s="7">
        <v>20</v>
      </c>
      <c r="I14" s="7">
        <v>29</v>
      </c>
      <c r="J14" s="7">
        <v>39</v>
      </c>
      <c r="K14" s="7">
        <v>31</v>
      </c>
      <c r="L14" s="7"/>
      <c r="M14" s="7"/>
      <c r="N14" s="7"/>
      <c r="O14" s="7"/>
      <c r="P14" s="7"/>
      <c r="Q14" s="7"/>
      <c r="R14">
        <v>940</v>
      </c>
      <c r="S14">
        <v>860</v>
      </c>
      <c r="T14">
        <v>3140</v>
      </c>
      <c r="U14">
        <v>690</v>
      </c>
      <c r="V14">
        <v>600</v>
      </c>
      <c r="W14">
        <v>580</v>
      </c>
      <c r="X14">
        <v>1170</v>
      </c>
      <c r="Y14">
        <v>930</v>
      </c>
      <c r="Z14" t="s">
        <v>185</v>
      </c>
      <c r="AA14" t="s">
        <v>185</v>
      </c>
      <c r="AB14" t="s">
        <v>185</v>
      </c>
      <c r="AC14" t="s">
        <v>185</v>
      </c>
      <c r="AD14" t="s">
        <v>185</v>
      </c>
      <c r="AE14" t="s">
        <v>185</v>
      </c>
    </row>
    <row r="15" customHeight="1" spans="1:31">
      <c r="A15" s="67">
        <v>12</v>
      </c>
      <c r="B15" s="67">
        <v>1.4</v>
      </c>
      <c r="C15" s="67">
        <f t="shared" si="1"/>
        <v>10170</v>
      </c>
      <c r="D15" s="7">
        <v>37</v>
      </c>
      <c r="E15" s="7">
        <v>37</v>
      </c>
      <c r="F15" s="7">
        <v>164</v>
      </c>
      <c r="G15" s="7">
        <v>37</v>
      </c>
      <c r="H15" s="7">
        <v>37</v>
      </c>
      <c r="I15" s="7">
        <v>29</v>
      </c>
      <c r="J15" s="7">
        <v>46</v>
      </c>
      <c r="K15" s="7">
        <v>41</v>
      </c>
      <c r="L15" s="7"/>
      <c r="M15" s="7"/>
      <c r="N15" s="7"/>
      <c r="O15" s="7"/>
      <c r="P15" s="7"/>
      <c r="Q15" s="7"/>
      <c r="R15">
        <v>740</v>
      </c>
      <c r="S15">
        <v>740</v>
      </c>
      <c r="T15">
        <v>3280</v>
      </c>
      <c r="U15">
        <v>1110</v>
      </c>
      <c r="V15">
        <v>1110</v>
      </c>
      <c r="W15">
        <v>580</v>
      </c>
      <c r="X15">
        <v>1380</v>
      </c>
      <c r="Y15">
        <v>1230</v>
      </c>
      <c r="Z15" t="s">
        <v>185</v>
      </c>
      <c r="AA15" t="s">
        <v>185</v>
      </c>
      <c r="AB15" t="s">
        <v>185</v>
      </c>
      <c r="AC15" t="s">
        <v>185</v>
      </c>
      <c r="AD15" t="s">
        <v>185</v>
      </c>
      <c r="AE15" t="s">
        <v>185</v>
      </c>
    </row>
    <row r="16" customHeight="1" spans="1:31">
      <c r="A16" s="67">
        <v>13</v>
      </c>
      <c r="B16" s="67">
        <v>1.9</v>
      </c>
      <c r="C16" s="67">
        <f t="shared" si="1"/>
        <v>11620</v>
      </c>
      <c r="D16" s="7">
        <v>20</v>
      </c>
      <c r="E16" s="7">
        <v>20</v>
      </c>
      <c r="F16" s="7">
        <v>173</v>
      </c>
      <c r="G16" s="7">
        <v>69</v>
      </c>
      <c r="H16" s="7">
        <v>59</v>
      </c>
      <c r="I16" s="7">
        <v>29</v>
      </c>
      <c r="J16" s="7">
        <v>49</v>
      </c>
      <c r="K16" s="7">
        <v>49</v>
      </c>
      <c r="L16" s="7"/>
      <c r="M16" s="7"/>
      <c r="N16" s="7"/>
      <c r="O16" s="7"/>
      <c r="P16" s="7"/>
      <c r="Q16" s="7"/>
      <c r="R16">
        <v>400</v>
      </c>
      <c r="S16">
        <v>400</v>
      </c>
      <c r="T16">
        <v>3460</v>
      </c>
      <c r="U16">
        <v>2070</v>
      </c>
      <c r="V16">
        <v>1770</v>
      </c>
      <c r="W16">
        <v>580</v>
      </c>
      <c r="X16">
        <v>1470</v>
      </c>
      <c r="Y16">
        <v>1470</v>
      </c>
      <c r="Z16" t="s">
        <v>185</v>
      </c>
      <c r="AA16" t="s">
        <v>185</v>
      </c>
      <c r="AB16" t="s">
        <v>185</v>
      </c>
      <c r="AC16" t="s">
        <v>185</v>
      </c>
      <c r="AD16" t="s">
        <v>185</v>
      </c>
      <c r="AE16" t="s">
        <v>185</v>
      </c>
    </row>
    <row r="17" customHeight="1" spans="1:31">
      <c r="A17" s="67">
        <v>14</v>
      </c>
      <c r="B17" s="67">
        <v>2.4</v>
      </c>
      <c r="C17" s="67">
        <f t="shared" si="1"/>
        <v>13140</v>
      </c>
      <c r="D17" s="7">
        <v>11</v>
      </c>
      <c r="E17" s="7">
        <v>11</v>
      </c>
      <c r="F17" s="7">
        <v>183</v>
      </c>
      <c r="G17" s="7">
        <v>89</v>
      </c>
      <c r="H17" s="7">
        <v>77</v>
      </c>
      <c r="I17" s="7">
        <v>29</v>
      </c>
      <c r="J17" s="7">
        <v>55</v>
      </c>
      <c r="K17" s="7">
        <v>61</v>
      </c>
      <c r="L17" s="7"/>
      <c r="M17" s="7"/>
      <c r="N17" s="7"/>
      <c r="O17" s="7"/>
      <c r="P17" s="7"/>
      <c r="Q17" s="7"/>
      <c r="R17">
        <v>220</v>
      </c>
      <c r="S17">
        <v>220</v>
      </c>
      <c r="T17">
        <v>3660</v>
      </c>
      <c r="U17">
        <v>2670</v>
      </c>
      <c r="V17">
        <v>2310</v>
      </c>
      <c r="W17">
        <v>580</v>
      </c>
      <c r="X17">
        <v>1650</v>
      </c>
      <c r="Y17">
        <v>1830</v>
      </c>
      <c r="Z17" t="s">
        <v>185</v>
      </c>
      <c r="AA17" t="s">
        <v>185</v>
      </c>
      <c r="AB17" t="s">
        <v>185</v>
      </c>
      <c r="AC17" t="s">
        <v>185</v>
      </c>
      <c r="AD17" t="s">
        <v>185</v>
      </c>
      <c r="AE17" t="s">
        <v>185</v>
      </c>
    </row>
    <row r="18" customHeight="1" spans="1:31">
      <c r="A18" s="68">
        <v>15</v>
      </c>
      <c r="B18" s="68">
        <v>4.6</v>
      </c>
      <c r="C18" s="68">
        <f t="shared" si="1"/>
        <v>15720</v>
      </c>
      <c r="D18" s="69"/>
      <c r="E18" s="69"/>
      <c r="F18" s="69">
        <v>179</v>
      </c>
      <c r="G18" s="69">
        <v>106</v>
      </c>
      <c r="H18" s="69">
        <v>89</v>
      </c>
      <c r="I18" s="69">
        <v>29</v>
      </c>
      <c r="J18" s="69">
        <v>56</v>
      </c>
      <c r="K18" s="69">
        <v>67</v>
      </c>
      <c r="L18" s="69">
        <v>17</v>
      </c>
      <c r="M18" s="69">
        <v>17</v>
      </c>
      <c r="N18" s="69"/>
      <c r="O18" s="69"/>
      <c r="P18" s="69">
        <v>11</v>
      </c>
      <c r="Q18" s="69"/>
      <c r="R18" t="s">
        <v>185</v>
      </c>
      <c r="S18" t="s">
        <v>185</v>
      </c>
      <c r="T18">
        <v>3580</v>
      </c>
      <c r="U18">
        <v>3180</v>
      </c>
      <c r="V18">
        <v>2670</v>
      </c>
      <c r="W18">
        <v>580</v>
      </c>
      <c r="X18">
        <v>1680</v>
      </c>
      <c r="Y18">
        <v>2010</v>
      </c>
      <c r="Z18">
        <v>850</v>
      </c>
      <c r="AA18">
        <v>510</v>
      </c>
      <c r="AB18" t="s">
        <v>185</v>
      </c>
      <c r="AC18" t="s">
        <v>185</v>
      </c>
      <c r="AD18">
        <v>660</v>
      </c>
      <c r="AE18" t="s">
        <v>185</v>
      </c>
    </row>
    <row r="19" customHeight="1" spans="1:31">
      <c r="A19" s="68">
        <v>16</v>
      </c>
      <c r="B19" s="68">
        <v>6.8</v>
      </c>
      <c r="C19" s="68">
        <f t="shared" si="1"/>
        <v>17960</v>
      </c>
      <c r="D19" s="69"/>
      <c r="E19" s="69"/>
      <c r="F19" s="69">
        <v>182</v>
      </c>
      <c r="G19" s="69">
        <v>110</v>
      </c>
      <c r="H19" s="69">
        <v>98</v>
      </c>
      <c r="I19" s="69">
        <v>29</v>
      </c>
      <c r="J19" s="69">
        <v>61</v>
      </c>
      <c r="K19" s="69">
        <v>77</v>
      </c>
      <c r="L19" s="69">
        <v>24</v>
      </c>
      <c r="M19" s="69">
        <v>24</v>
      </c>
      <c r="N19" s="69"/>
      <c r="O19" s="69"/>
      <c r="P19" s="69">
        <v>24</v>
      </c>
      <c r="Q19" s="69"/>
      <c r="R19" t="s">
        <v>185</v>
      </c>
      <c r="S19" t="s">
        <v>185</v>
      </c>
      <c r="T19">
        <v>3640</v>
      </c>
      <c r="U19">
        <v>3300</v>
      </c>
      <c r="V19">
        <v>2940</v>
      </c>
      <c r="W19">
        <v>580</v>
      </c>
      <c r="X19">
        <v>1830</v>
      </c>
      <c r="Y19">
        <v>2310</v>
      </c>
      <c r="Z19">
        <v>1200</v>
      </c>
      <c r="AA19">
        <v>720</v>
      </c>
      <c r="AB19" t="s">
        <v>185</v>
      </c>
      <c r="AC19" t="s">
        <v>185</v>
      </c>
      <c r="AD19">
        <v>1440</v>
      </c>
      <c r="AE19" t="s">
        <v>185</v>
      </c>
    </row>
    <row r="20" customHeight="1" spans="1:31">
      <c r="A20" s="68">
        <v>17</v>
      </c>
      <c r="B20" s="68">
        <v>9</v>
      </c>
      <c r="C20" s="68">
        <f t="shared" si="1"/>
        <v>20710</v>
      </c>
      <c r="D20" s="69"/>
      <c r="E20" s="69"/>
      <c r="F20" s="69">
        <v>182</v>
      </c>
      <c r="G20" s="69">
        <v>114</v>
      </c>
      <c r="H20" s="69">
        <v>107</v>
      </c>
      <c r="I20" s="69">
        <v>29</v>
      </c>
      <c r="J20" s="69">
        <v>67</v>
      </c>
      <c r="K20" s="69">
        <v>88</v>
      </c>
      <c r="L20" s="69">
        <v>40</v>
      </c>
      <c r="M20" s="69">
        <v>27</v>
      </c>
      <c r="N20" s="69"/>
      <c r="O20" s="69"/>
      <c r="P20" s="69">
        <v>40</v>
      </c>
      <c r="Q20" s="69"/>
      <c r="R20" t="s">
        <v>185</v>
      </c>
      <c r="S20" t="s">
        <v>185</v>
      </c>
      <c r="T20">
        <v>3640</v>
      </c>
      <c r="U20">
        <v>3420</v>
      </c>
      <c r="V20">
        <v>3210</v>
      </c>
      <c r="W20">
        <v>580</v>
      </c>
      <c r="X20">
        <v>2010</v>
      </c>
      <c r="Y20">
        <v>2640</v>
      </c>
      <c r="Z20">
        <v>2000</v>
      </c>
      <c r="AA20">
        <v>810</v>
      </c>
      <c r="AB20" t="s">
        <v>185</v>
      </c>
      <c r="AC20" t="s">
        <v>185</v>
      </c>
      <c r="AD20">
        <v>2400</v>
      </c>
      <c r="AE20" t="s">
        <v>185</v>
      </c>
    </row>
    <row r="21" customHeight="1" spans="1:31">
      <c r="A21" s="68">
        <v>18</v>
      </c>
      <c r="B21" s="68">
        <v>12</v>
      </c>
      <c r="C21" s="68">
        <f t="shared" si="1"/>
        <v>23760</v>
      </c>
      <c r="D21" s="69"/>
      <c r="E21" s="69"/>
      <c r="F21" s="69">
        <v>182</v>
      </c>
      <c r="G21" s="69">
        <v>117</v>
      </c>
      <c r="H21" s="69">
        <v>117</v>
      </c>
      <c r="I21" s="69">
        <v>29</v>
      </c>
      <c r="J21" s="69">
        <v>73</v>
      </c>
      <c r="K21" s="69">
        <v>99</v>
      </c>
      <c r="L21" s="69">
        <v>59</v>
      </c>
      <c r="M21" s="69">
        <v>29</v>
      </c>
      <c r="N21" s="69"/>
      <c r="O21" s="69"/>
      <c r="P21" s="69">
        <v>59</v>
      </c>
      <c r="Q21" s="69"/>
      <c r="R21" t="s">
        <v>185</v>
      </c>
      <c r="S21" t="s">
        <v>185</v>
      </c>
      <c r="T21">
        <v>3640</v>
      </c>
      <c r="U21">
        <v>3510</v>
      </c>
      <c r="V21">
        <v>3510</v>
      </c>
      <c r="W21">
        <v>580</v>
      </c>
      <c r="X21">
        <v>2190</v>
      </c>
      <c r="Y21">
        <v>2970</v>
      </c>
      <c r="Z21">
        <v>2950</v>
      </c>
      <c r="AA21">
        <v>870</v>
      </c>
      <c r="AB21" t="s">
        <v>185</v>
      </c>
      <c r="AC21" t="s">
        <v>185</v>
      </c>
      <c r="AD21">
        <v>3540</v>
      </c>
      <c r="AE21" t="s">
        <v>185</v>
      </c>
    </row>
    <row r="22" customHeight="1" spans="1:31">
      <c r="A22" s="68">
        <v>19</v>
      </c>
      <c r="B22" s="68">
        <v>15</v>
      </c>
      <c r="C22" s="68">
        <f t="shared" si="1"/>
        <v>27190</v>
      </c>
      <c r="D22" s="69"/>
      <c r="E22" s="69"/>
      <c r="F22" s="69">
        <v>182</v>
      </c>
      <c r="G22" s="69">
        <v>119</v>
      </c>
      <c r="H22" s="69">
        <v>127</v>
      </c>
      <c r="I22" s="69">
        <v>29</v>
      </c>
      <c r="J22" s="69">
        <v>79</v>
      </c>
      <c r="K22" s="69">
        <v>111</v>
      </c>
      <c r="L22" s="69">
        <v>79</v>
      </c>
      <c r="M22" s="69">
        <v>40</v>
      </c>
      <c r="N22" s="69"/>
      <c r="O22" s="69"/>
      <c r="P22" s="69">
        <v>79</v>
      </c>
      <c r="Q22" s="69"/>
      <c r="R22" t="s">
        <v>185</v>
      </c>
      <c r="S22" t="s">
        <v>185</v>
      </c>
      <c r="T22">
        <v>3640</v>
      </c>
      <c r="U22">
        <v>3570</v>
      </c>
      <c r="V22">
        <v>3810</v>
      </c>
      <c r="W22">
        <v>580</v>
      </c>
      <c r="X22">
        <v>2370</v>
      </c>
      <c r="Y22">
        <v>3330</v>
      </c>
      <c r="Z22">
        <v>3950</v>
      </c>
      <c r="AA22">
        <v>1200</v>
      </c>
      <c r="AB22" t="s">
        <v>185</v>
      </c>
      <c r="AC22" t="s">
        <v>185</v>
      </c>
      <c r="AD22">
        <v>4740</v>
      </c>
      <c r="AE22" t="s">
        <v>185</v>
      </c>
    </row>
    <row r="23" customHeight="1" spans="1:31">
      <c r="A23" s="70">
        <v>20</v>
      </c>
      <c r="B23" s="70">
        <v>18</v>
      </c>
      <c r="C23" s="70">
        <f t="shared" si="1"/>
        <v>30670</v>
      </c>
      <c r="D23" s="71"/>
      <c r="E23" s="71"/>
      <c r="F23" s="71">
        <v>182</v>
      </c>
      <c r="G23" s="71">
        <v>127</v>
      </c>
      <c r="H23" s="71">
        <v>135</v>
      </c>
      <c r="I23" s="71">
        <v>29</v>
      </c>
      <c r="J23" s="71">
        <v>85</v>
      </c>
      <c r="K23" s="71">
        <v>122</v>
      </c>
      <c r="L23" s="71">
        <v>85</v>
      </c>
      <c r="M23" s="71">
        <v>42</v>
      </c>
      <c r="N23" s="71">
        <v>17</v>
      </c>
      <c r="O23" s="71">
        <v>8</v>
      </c>
      <c r="P23" s="71">
        <v>102</v>
      </c>
      <c r="Q23" s="71"/>
      <c r="R23" t="s">
        <v>185</v>
      </c>
      <c r="S23" t="s">
        <v>185</v>
      </c>
      <c r="T23">
        <v>3640</v>
      </c>
      <c r="U23">
        <v>3810</v>
      </c>
      <c r="V23">
        <v>4050</v>
      </c>
      <c r="W23">
        <v>580</v>
      </c>
      <c r="X23">
        <v>2550</v>
      </c>
      <c r="Y23">
        <v>3660</v>
      </c>
      <c r="Z23">
        <v>4250</v>
      </c>
      <c r="AA23">
        <v>1260</v>
      </c>
      <c r="AB23">
        <v>510</v>
      </c>
      <c r="AC23">
        <v>240</v>
      </c>
      <c r="AD23">
        <v>6120</v>
      </c>
      <c r="AE23" t="s">
        <v>185</v>
      </c>
    </row>
    <row r="24" customHeight="1" spans="1:31">
      <c r="A24" s="70">
        <v>21</v>
      </c>
      <c r="B24" s="70">
        <v>23</v>
      </c>
      <c r="C24" s="70">
        <f t="shared" si="1"/>
        <v>34450</v>
      </c>
      <c r="D24" s="71"/>
      <c r="E24" s="71"/>
      <c r="F24" s="71">
        <v>182</v>
      </c>
      <c r="G24" s="71">
        <v>140</v>
      </c>
      <c r="H24" s="71">
        <v>131</v>
      </c>
      <c r="I24" s="71">
        <v>29</v>
      </c>
      <c r="J24" s="71">
        <v>94</v>
      </c>
      <c r="K24" s="71">
        <v>139</v>
      </c>
      <c r="L24" s="71">
        <v>94</v>
      </c>
      <c r="M24" s="71">
        <v>47</v>
      </c>
      <c r="N24" s="71">
        <v>19</v>
      </c>
      <c r="O24" s="71">
        <v>19</v>
      </c>
      <c r="P24" s="71">
        <v>131</v>
      </c>
      <c r="Q24" s="71"/>
      <c r="R24" t="s">
        <v>185</v>
      </c>
      <c r="S24" t="s">
        <v>185</v>
      </c>
      <c r="T24">
        <v>3640</v>
      </c>
      <c r="U24">
        <v>4200</v>
      </c>
      <c r="V24">
        <v>3930</v>
      </c>
      <c r="W24">
        <v>580</v>
      </c>
      <c r="X24">
        <v>2820</v>
      </c>
      <c r="Y24">
        <v>4170</v>
      </c>
      <c r="Z24">
        <v>4700</v>
      </c>
      <c r="AA24">
        <v>1410</v>
      </c>
      <c r="AB24">
        <v>570</v>
      </c>
      <c r="AC24">
        <v>570</v>
      </c>
      <c r="AD24">
        <v>7860</v>
      </c>
      <c r="AE24" t="s">
        <v>185</v>
      </c>
    </row>
    <row r="25" customHeight="1" spans="1:31">
      <c r="A25" s="70">
        <v>22</v>
      </c>
      <c r="B25" s="70">
        <v>28</v>
      </c>
      <c r="C25" s="70">
        <f t="shared" si="1"/>
        <v>38590</v>
      </c>
      <c r="D25" s="71"/>
      <c r="E25" s="71"/>
      <c r="F25" s="71">
        <v>182</v>
      </c>
      <c r="G25" s="71">
        <v>145</v>
      </c>
      <c r="H25" s="71">
        <v>134</v>
      </c>
      <c r="I25" s="71">
        <v>29</v>
      </c>
      <c r="J25" s="71">
        <v>103</v>
      </c>
      <c r="K25" s="71">
        <v>158</v>
      </c>
      <c r="L25" s="71">
        <v>103</v>
      </c>
      <c r="M25" s="71">
        <v>52</v>
      </c>
      <c r="N25" s="71">
        <v>21</v>
      </c>
      <c r="O25" s="71">
        <v>31</v>
      </c>
      <c r="P25" s="71">
        <v>165</v>
      </c>
      <c r="Q25" s="71"/>
      <c r="R25" t="s">
        <v>185</v>
      </c>
      <c r="S25" t="s">
        <v>185</v>
      </c>
      <c r="T25">
        <v>3640</v>
      </c>
      <c r="U25">
        <v>4350</v>
      </c>
      <c r="V25">
        <v>4020</v>
      </c>
      <c r="W25">
        <v>580</v>
      </c>
      <c r="X25">
        <v>3090</v>
      </c>
      <c r="Y25">
        <v>4740</v>
      </c>
      <c r="Z25">
        <v>5150</v>
      </c>
      <c r="AA25">
        <v>1560</v>
      </c>
      <c r="AB25">
        <v>630</v>
      </c>
      <c r="AC25">
        <v>930</v>
      </c>
      <c r="AD25">
        <v>9900</v>
      </c>
      <c r="AE25" t="s">
        <v>185</v>
      </c>
    </row>
    <row r="26" customHeight="1" spans="1:31">
      <c r="A26" s="70">
        <v>23</v>
      </c>
      <c r="B26" s="70">
        <v>33</v>
      </c>
      <c r="C26" s="70">
        <f t="shared" si="1"/>
        <v>43540</v>
      </c>
      <c r="D26" s="71"/>
      <c r="E26" s="71"/>
      <c r="F26" s="71">
        <v>182</v>
      </c>
      <c r="G26" s="71">
        <v>147</v>
      </c>
      <c r="H26" s="71">
        <v>136</v>
      </c>
      <c r="I26" s="71">
        <v>29</v>
      </c>
      <c r="J26" s="71">
        <v>113</v>
      </c>
      <c r="K26" s="71">
        <v>178</v>
      </c>
      <c r="L26" s="71">
        <v>124</v>
      </c>
      <c r="M26" s="71">
        <v>56</v>
      </c>
      <c r="N26" s="71">
        <v>23</v>
      </c>
      <c r="O26" s="71">
        <v>45</v>
      </c>
      <c r="P26" s="71">
        <v>203</v>
      </c>
      <c r="Q26" s="71"/>
      <c r="R26" t="s">
        <v>185</v>
      </c>
      <c r="S26" t="s">
        <v>185</v>
      </c>
      <c r="T26">
        <v>3640</v>
      </c>
      <c r="U26">
        <v>4410</v>
      </c>
      <c r="V26">
        <v>4080</v>
      </c>
      <c r="W26">
        <v>580</v>
      </c>
      <c r="X26">
        <v>3390</v>
      </c>
      <c r="Y26">
        <v>5340</v>
      </c>
      <c r="Z26">
        <v>6200</v>
      </c>
      <c r="AA26">
        <v>1680</v>
      </c>
      <c r="AB26">
        <v>690</v>
      </c>
      <c r="AC26">
        <v>1350</v>
      </c>
      <c r="AD26">
        <v>12180</v>
      </c>
      <c r="AE26" t="s">
        <v>185</v>
      </c>
    </row>
    <row r="27" customHeight="1" spans="1:31">
      <c r="A27" s="70">
        <v>24</v>
      </c>
      <c r="B27" s="70">
        <v>40</v>
      </c>
      <c r="C27" s="70">
        <f t="shared" si="1"/>
        <v>48690</v>
      </c>
      <c r="D27" s="71"/>
      <c r="E27" s="71"/>
      <c r="F27" s="71">
        <v>182</v>
      </c>
      <c r="G27" s="71">
        <v>146</v>
      </c>
      <c r="H27" s="71">
        <v>146</v>
      </c>
      <c r="I27" s="71">
        <v>29</v>
      </c>
      <c r="J27" s="71">
        <v>122</v>
      </c>
      <c r="K27" s="71">
        <v>199</v>
      </c>
      <c r="L27" s="71">
        <v>134</v>
      </c>
      <c r="M27" s="71">
        <v>73</v>
      </c>
      <c r="N27" s="71">
        <v>24</v>
      </c>
      <c r="O27" s="71">
        <v>61</v>
      </c>
      <c r="P27" s="71">
        <v>244</v>
      </c>
      <c r="Q27" s="71"/>
      <c r="R27" t="s">
        <v>185</v>
      </c>
      <c r="S27" t="s">
        <v>185</v>
      </c>
      <c r="T27">
        <v>3640</v>
      </c>
      <c r="U27">
        <v>4380</v>
      </c>
      <c r="V27">
        <v>4380</v>
      </c>
      <c r="W27">
        <v>580</v>
      </c>
      <c r="X27">
        <v>3660</v>
      </c>
      <c r="Y27">
        <v>5970</v>
      </c>
      <c r="Z27">
        <v>6700</v>
      </c>
      <c r="AA27">
        <v>2190</v>
      </c>
      <c r="AB27">
        <v>720</v>
      </c>
      <c r="AC27">
        <v>1830</v>
      </c>
      <c r="AD27">
        <v>14640</v>
      </c>
      <c r="AE27" t="s">
        <v>185</v>
      </c>
    </row>
    <row r="28" customHeight="1" spans="1:31">
      <c r="A28" s="70">
        <v>25</v>
      </c>
      <c r="B28" s="70">
        <v>47</v>
      </c>
      <c r="C28" s="70">
        <f t="shared" si="1"/>
        <v>54580</v>
      </c>
      <c r="D28" s="71"/>
      <c r="E28" s="71"/>
      <c r="F28" s="71">
        <v>181</v>
      </c>
      <c r="G28" s="71">
        <v>161</v>
      </c>
      <c r="H28" s="71">
        <v>155</v>
      </c>
      <c r="I28" s="71">
        <v>29</v>
      </c>
      <c r="J28" s="71">
        <v>129</v>
      </c>
      <c r="K28" s="71">
        <v>215</v>
      </c>
      <c r="L28" s="71">
        <v>155</v>
      </c>
      <c r="M28" s="71">
        <v>90</v>
      </c>
      <c r="N28" s="71">
        <v>26</v>
      </c>
      <c r="O28" s="71">
        <v>77</v>
      </c>
      <c r="P28" s="71">
        <v>284</v>
      </c>
      <c r="Q28" s="71"/>
      <c r="R28" t="s">
        <v>185</v>
      </c>
      <c r="S28" t="s">
        <v>185</v>
      </c>
      <c r="T28">
        <v>3620</v>
      </c>
      <c r="U28">
        <v>4830</v>
      </c>
      <c r="V28">
        <v>4650</v>
      </c>
      <c r="W28">
        <v>580</v>
      </c>
      <c r="X28">
        <v>3870</v>
      </c>
      <c r="Y28">
        <v>6450</v>
      </c>
      <c r="Z28">
        <v>7750</v>
      </c>
      <c r="AA28">
        <v>2700</v>
      </c>
      <c r="AB28">
        <v>780</v>
      </c>
      <c r="AC28">
        <v>2310</v>
      </c>
      <c r="AD28">
        <v>17040</v>
      </c>
      <c r="AE28" t="s">
        <v>185</v>
      </c>
    </row>
    <row r="29" customHeight="1" spans="1:31">
      <c r="A29" s="70">
        <v>26</v>
      </c>
      <c r="B29" s="70">
        <v>52</v>
      </c>
      <c r="C29" s="70">
        <f t="shared" si="1"/>
        <v>61050</v>
      </c>
      <c r="D29" s="71"/>
      <c r="E29" s="71"/>
      <c r="F29" s="71">
        <v>170</v>
      </c>
      <c r="G29" s="71">
        <v>161</v>
      </c>
      <c r="H29" s="71">
        <v>170</v>
      </c>
      <c r="I29" s="71">
        <v>29</v>
      </c>
      <c r="J29" s="71">
        <v>141</v>
      </c>
      <c r="K29" s="71">
        <v>243</v>
      </c>
      <c r="L29" s="71">
        <v>170</v>
      </c>
      <c r="M29" s="71">
        <v>113</v>
      </c>
      <c r="N29" s="71">
        <v>28</v>
      </c>
      <c r="O29" s="71">
        <v>85</v>
      </c>
      <c r="P29" s="71">
        <v>339</v>
      </c>
      <c r="Q29" s="71"/>
      <c r="R29" t="s">
        <v>185</v>
      </c>
      <c r="S29" t="s">
        <v>185</v>
      </c>
      <c r="T29">
        <v>3400</v>
      </c>
      <c r="U29">
        <v>4830</v>
      </c>
      <c r="V29">
        <v>5100</v>
      </c>
      <c r="W29">
        <v>580</v>
      </c>
      <c r="X29">
        <v>4230</v>
      </c>
      <c r="Y29">
        <v>7290</v>
      </c>
      <c r="Z29">
        <v>8500</v>
      </c>
      <c r="AA29">
        <v>3390</v>
      </c>
      <c r="AB29">
        <v>840</v>
      </c>
      <c r="AC29">
        <v>2550</v>
      </c>
      <c r="AD29">
        <v>20340</v>
      </c>
      <c r="AE29" t="s">
        <v>185</v>
      </c>
    </row>
    <row r="30" customHeight="1" spans="1:31">
      <c r="A30" s="70">
        <v>27</v>
      </c>
      <c r="B30" s="70">
        <v>60</v>
      </c>
      <c r="C30" s="70">
        <f t="shared" si="1"/>
        <v>68350</v>
      </c>
      <c r="D30" s="71"/>
      <c r="E30" s="71"/>
      <c r="F30" s="71">
        <v>154</v>
      </c>
      <c r="G30" s="71">
        <v>161</v>
      </c>
      <c r="H30" s="71">
        <v>185</v>
      </c>
      <c r="I30" s="71">
        <v>29</v>
      </c>
      <c r="J30" s="71">
        <v>154</v>
      </c>
      <c r="K30" s="71">
        <v>271</v>
      </c>
      <c r="L30" s="71">
        <v>185</v>
      </c>
      <c r="M30" s="71">
        <v>138</v>
      </c>
      <c r="N30" s="71">
        <v>31</v>
      </c>
      <c r="O30" s="71">
        <v>108</v>
      </c>
      <c r="P30" s="71">
        <v>400</v>
      </c>
      <c r="Q30" s="71"/>
      <c r="R30" t="s">
        <v>185</v>
      </c>
      <c r="S30" t="s">
        <v>185</v>
      </c>
      <c r="T30">
        <v>3080</v>
      </c>
      <c r="U30">
        <v>4830</v>
      </c>
      <c r="V30">
        <v>5550</v>
      </c>
      <c r="W30">
        <v>580</v>
      </c>
      <c r="X30">
        <v>4620</v>
      </c>
      <c r="Y30">
        <v>8130</v>
      </c>
      <c r="Z30">
        <v>9250</v>
      </c>
      <c r="AA30">
        <v>4140</v>
      </c>
      <c r="AB30">
        <v>930</v>
      </c>
      <c r="AC30">
        <v>3240</v>
      </c>
      <c r="AD30">
        <v>24000</v>
      </c>
      <c r="AE30" t="s">
        <v>185</v>
      </c>
    </row>
    <row r="31" customHeight="1" spans="1:31">
      <c r="A31" s="70">
        <v>28</v>
      </c>
      <c r="B31" s="70">
        <v>68</v>
      </c>
      <c r="C31" s="70">
        <f t="shared" si="1"/>
        <v>76230</v>
      </c>
      <c r="D31" s="71"/>
      <c r="E31" s="71"/>
      <c r="F31" s="71">
        <v>132</v>
      </c>
      <c r="G31" s="71">
        <v>161</v>
      </c>
      <c r="H31" s="71">
        <v>199</v>
      </c>
      <c r="I31" s="71">
        <v>29</v>
      </c>
      <c r="J31" s="71">
        <v>166</v>
      </c>
      <c r="K31" s="71">
        <v>300</v>
      </c>
      <c r="L31" s="71">
        <v>199</v>
      </c>
      <c r="M31" s="71">
        <v>166</v>
      </c>
      <c r="N31" s="71">
        <v>33</v>
      </c>
      <c r="O31" s="71">
        <v>149</v>
      </c>
      <c r="P31" s="71">
        <v>464</v>
      </c>
      <c r="Q31" s="71"/>
      <c r="R31" t="s">
        <v>185</v>
      </c>
      <c r="S31" t="s">
        <v>185</v>
      </c>
      <c r="T31">
        <v>2640</v>
      </c>
      <c r="U31">
        <v>4830</v>
      </c>
      <c r="V31">
        <v>5970</v>
      </c>
      <c r="W31">
        <v>580</v>
      </c>
      <c r="X31">
        <v>4980</v>
      </c>
      <c r="Y31">
        <v>9000</v>
      </c>
      <c r="Z31">
        <v>9950</v>
      </c>
      <c r="AA31">
        <v>4980</v>
      </c>
      <c r="AB31">
        <v>990</v>
      </c>
      <c r="AC31">
        <v>4470</v>
      </c>
      <c r="AD31">
        <v>27840</v>
      </c>
      <c r="AE31" t="s">
        <v>185</v>
      </c>
    </row>
    <row r="32" customHeight="1" spans="1:31">
      <c r="A32" s="70">
        <v>29</v>
      </c>
      <c r="B32" s="70">
        <v>76</v>
      </c>
      <c r="C32" s="70">
        <f t="shared" si="1"/>
        <v>85320</v>
      </c>
      <c r="D32" s="71"/>
      <c r="E32" s="71"/>
      <c r="F32" s="71">
        <v>107</v>
      </c>
      <c r="G32" s="71">
        <v>161</v>
      </c>
      <c r="H32" s="71">
        <v>215</v>
      </c>
      <c r="I32" s="71">
        <v>29</v>
      </c>
      <c r="J32" s="71">
        <v>179</v>
      </c>
      <c r="K32" s="71">
        <v>324</v>
      </c>
      <c r="L32" s="71">
        <v>233</v>
      </c>
      <c r="M32" s="71">
        <v>179</v>
      </c>
      <c r="N32" s="71">
        <v>36</v>
      </c>
      <c r="O32" s="71">
        <v>197</v>
      </c>
      <c r="P32" s="71">
        <v>537</v>
      </c>
      <c r="Q32" s="71"/>
      <c r="R32" t="s">
        <v>185</v>
      </c>
      <c r="S32" t="s">
        <v>185</v>
      </c>
      <c r="T32">
        <v>2140</v>
      </c>
      <c r="U32">
        <v>4830</v>
      </c>
      <c r="V32">
        <v>6450</v>
      </c>
      <c r="W32">
        <v>580</v>
      </c>
      <c r="X32">
        <v>5370</v>
      </c>
      <c r="Y32">
        <v>9720</v>
      </c>
      <c r="Z32">
        <v>11650</v>
      </c>
      <c r="AA32">
        <v>5370</v>
      </c>
      <c r="AB32">
        <v>1080</v>
      </c>
      <c r="AC32">
        <v>5910</v>
      </c>
      <c r="AD32">
        <v>32220</v>
      </c>
      <c r="AE32" t="s">
        <v>185</v>
      </c>
    </row>
    <row r="33" customHeight="1" spans="1:31">
      <c r="A33" s="72">
        <v>30</v>
      </c>
      <c r="B33" s="72">
        <v>88</v>
      </c>
      <c r="C33" s="72">
        <f t="shared" si="1"/>
        <v>97310</v>
      </c>
      <c r="D33" s="73"/>
      <c r="E33" s="73"/>
      <c r="F33" s="73"/>
      <c r="G33" s="73">
        <v>161</v>
      </c>
      <c r="H33" s="73">
        <v>207</v>
      </c>
      <c r="I33" s="73">
        <v>29</v>
      </c>
      <c r="J33" s="73">
        <v>216</v>
      </c>
      <c r="K33" s="73">
        <v>374</v>
      </c>
      <c r="L33" s="73">
        <v>269</v>
      </c>
      <c r="M33" s="73">
        <v>207</v>
      </c>
      <c r="N33" s="73">
        <v>62</v>
      </c>
      <c r="O33" s="73">
        <v>269</v>
      </c>
      <c r="P33" s="73">
        <v>640</v>
      </c>
      <c r="Q33" s="73"/>
      <c r="R33" t="s">
        <v>185</v>
      </c>
      <c r="S33" t="s">
        <v>185</v>
      </c>
      <c r="T33" t="s">
        <v>185</v>
      </c>
      <c r="U33">
        <v>4830</v>
      </c>
      <c r="V33">
        <v>6210</v>
      </c>
      <c r="W33">
        <v>580</v>
      </c>
      <c r="X33">
        <v>6480</v>
      </c>
      <c r="Y33">
        <v>11220</v>
      </c>
      <c r="Z33">
        <v>13450</v>
      </c>
      <c r="AA33">
        <v>6210</v>
      </c>
      <c r="AB33">
        <v>1860</v>
      </c>
      <c r="AC33">
        <v>8070</v>
      </c>
      <c r="AD33">
        <v>38400</v>
      </c>
      <c r="AE33" t="s">
        <v>185</v>
      </c>
    </row>
    <row r="34" customHeight="1" spans="1:31">
      <c r="A34" s="72">
        <v>31</v>
      </c>
      <c r="B34" s="72">
        <v>110</v>
      </c>
      <c r="C34" s="72">
        <f t="shared" si="1"/>
        <v>108830</v>
      </c>
      <c r="D34" s="73"/>
      <c r="E34" s="73"/>
      <c r="F34" s="73"/>
      <c r="G34" s="73">
        <v>161</v>
      </c>
      <c r="H34" s="73">
        <v>238</v>
      </c>
      <c r="I34" s="73">
        <v>29</v>
      </c>
      <c r="J34" s="73">
        <v>216</v>
      </c>
      <c r="K34" s="73">
        <v>406</v>
      </c>
      <c r="L34" s="73">
        <v>314</v>
      </c>
      <c r="M34" s="73">
        <v>224</v>
      </c>
      <c r="N34" s="73">
        <v>90</v>
      </c>
      <c r="O34" s="73">
        <v>314</v>
      </c>
      <c r="P34" s="73">
        <v>718</v>
      </c>
      <c r="Q34" s="73"/>
      <c r="R34" t="s">
        <v>185</v>
      </c>
      <c r="S34" t="s">
        <v>185</v>
      </c>
      <c r="T34" t="s">
        <v>185</v>
      </c>
      <c r="U34">
        <v>4830</v>
      </c>
      <c r="V34">
        <v>7140</v>
      </c>
      <c r="W34">
        <v>580</v>
      </c>
      <c r="X34">
        <v>6480</v>
      </c>
      <c r="Y34">
        <v>12180</v>
      </c>
      <c r="Z34">
        <v>15700</v>
      </c>
      <c r="AA34">
        <v>6720</v>
      </c>
      <c r="AB34">
        <v>2700</v>
      </c>
      <c r="AC34">
        <v>9420</v>
      </c>
      <c r="AD34">
        <v>43080</v>
      </c>
      <c r="AE34" t="s">
        <v>185</v>
      </c>
    </row>
    <row r="35" customHeight="1" spans="1:31">
      <c r="A35" s="72">
        <v>32</v>
      </c>
      <c r="B35" s="72">
        <v>120</v>
      </c>
      <c r="C35" s="72">
        <f t="shared" si="1"/>
        <v>120210</v>
      </c>
      <c r="D35" s="73"/>
      <c r="E35" s="73"/>
      <c r="F35" s="73"/>
      <c r="G35" s="73">
        <v>161</v>
      </c>
      <c r="H35" s="73">
        <v>238</v>
      </c>
      <c r="I35" s="73">
        <v>29</v>
      </c>
      <c r="J35" s="73">
        <v>216</v>
      </c>
      <c r="K35" s="73">
        <v>447</v>
      </c>
      <c r="L35" s="73">
        <v>346</v>
      </c>
      <c r="M35" s="73">
        <v>247</v>
      </c>
      <c r="N35" s="73">
        <v>124</v>
      </c>
      <c r="O35" s="73">
        <v>346</v>
      </c>
      <c r="P35" s="73">
        <v>816</v>
      </c>
      <c r="Q35" s="73"/>
      <c r="R35" t="s">
        <v>185</v>
      </c>
      <c r="S35" t="s">
        <v>185</v>
      </c>
      <c r="T35" t="s">
        <v>185</v>
      </c>
      <c r="U35">
        <v>4830</v>
      </c>
      <c r="V35">
        <v>7140</v>
      </c>
      <c r="W35">
        <v>580</v>
      </c>
      <c r="X35">
        <v>6480</v>
      </c>
      <c r="Y35">
        <v>13410</v>
      </c>
      <c r="Z35">
        <v>17300</v>
      </c>
      <c r="AA35">
        <v>7410</v>
      </c>
      <c r="AB35">
        <v>3720</v>
      </c>
      <c r="AC35">
        <v>10380</v>
      </c>
      <c r="AD35">
        <v>48960</v>
      </c>
      <c r="AE35" t="s">
        <v>185</v>
      </c>
    </row>
    <row r="36" customHeight="1" spans="1:31">
      <c r="A36" s="72">
        <v>33</v>
      </c>
      <c r="B36" s="72">
        <v>130</v>
      </c>
      <c r="C36" s="72">
        <f t="shared" si="1"/>
        <v>132970</v>
      </c>
      <c r="D36" s="73"/>
      <c r="E36" s="73"/>
      <c r="F36" s="73"/>
      <c r="G36" s="73">
        <v>161</v>
      </c>
      <c r="H36" s="73">
        <v>238</v>
      </c>
      <c r="I36" s="73">
        <v>29</v>
      </c>
      <c r="J36" s="73">
        <v>216</v>
      </c>
      <c r="K36" s="73">
        <v>497</v>
      </c>
      <c r="L36" s="73">
        <v>384</v>
      </c>
      <c r="M36" s="73">
        <v>274</v>
      </c>
      <c r="N36" s="73">
        <v>137</v>
      </c>
      <c r="O36" s="73">
        <v>384</v>
      </c>
      <c r="P36" s="73">
        <v>933</v>
      </c>
      <c r="Q36" s="73"/>
      <c r="R36" t="s">
        <v>185</v>
      </c>
      <c r="S36" t="s">
        <v>185</v>
      </c>
      <c r="T36" t="s">
        <v>185</v>
      </c>
      <c r="U36">
        <v>4830</v>
      </c>
      <c r="V36">
        <v>7140</v>
      </c>
      <c r="W36">
        <v>580</v>
      </c>
      <c r="X36">
        <v>6480</v>
      </c>
      <c r="Y36">
        <v>14910</v>
      </c>
      <c r="Z36">
        <v>19200</v>
      </c>
      <c r="AA36">
        <v>8220</v>
      </c>
      <c r="AB36">
        <v>4110</v>
      </c>
      <c r="AC36">
        <v>11520</v>
      </c>
      <c r="AD36">
        <v>55980</v>
      </c>
      <c r="AE36" t="s">
        <v>185</v>
      </c>
    </row>
    <row r="37" customHeight="1" spans="1:31">
      <c r="A37" s="72">
        <v>34</v>
      </c>
      <c r="B37" s="72">
        <v>145</v>
      </c>
      <c r="C37" s="72">
        <f t="shared" si="1"/>
        <v>147130</v>
      </c>
      <c r="D37" s="73"/>
      <c r="E37" s="73"/>
      <c r="F37" s="73"/>
      <c r="G37" s="73">
        <v>161</v>
      </c>
      <c r="H37" s="73">
        <v>238</v>
      </c>
      <c r="I37" s="73">
        <v>29</v>
      </c>
      <c r="J37" s="73">
        <v>216</v>
      </c>
      <c r="K37" s="73">
        <v>550</v>
      </c>
      <c r="L37" s="73">
        <v>426</v>
      </c>
      <c r="M37" s="73">
        <v>304</v>
      </c>
      <c r="N37" s="73">
        <v>152</v>
      </c>
      <c r="O37" s="73">
        <v>426</v>
      </c>
      <c r="P37" s="73">
        <v>1064</v>
      </c>
      <c r="Q37" s="73"/>
      <c r="R37" t="s">
        <v>185</v>
      </c>
      <c r="S37" t="s">
        <v>185</v>
      </c>
      <c r="T37" t="s">
        <v>185</v>
      </c>
      <c r="U37">
        <v>4830</v>
      </c>
      <c r="V37">
        <v>7140</v>
      </c>
      <c r="W37">
        <v>580</v>
      </c>
      <c r="X37">
        <v>6480</v>
      </c>
      <c r="Y37">
        <v>16500</v>
      </c>
      <c r="Z37">
        <v>21300</v>
      </c>
      <c r="AA37">
        <v>9120</v>
      </c>
      <c r="AB37">
        <v>4560</v>
      </c>
      <c r="AC37">
        <v>12780</v>
      </c>
      <c r="AD37">
        <v>63840</v>
      </c>
      <c r="AE37" t="s">
        <v>185</v>
      </c>
    </row>
    <row r="38" customHeight="1" spans="1:31">
      <c r="A38" s="72">
        <v>35</v>
      </c>
      <c r="B38" s="72">
        <v>160</v>
      </c>
      <c r="C38" s="72">
        <f t="shared" si="1"/>
        <v>161320</v>
      </c>
      <c r="D38" s="73"/>
      <c r="E38" s="73"/>
      <c r="F38" s="73"/>
      <c r="G38" s="73">
        <v>161</v>
      </c>
      <c r="H38" s="73">
        <v>238</v>
      </c>
      <c r="I38" s="73">
        <v>29</v>
      </c>
      <c r="J38" s="73">
        <v>216</v>
      </c>
      <c r="K38" s="73">
        <v>614</v>
      </c>
      <c r="L38" s="73">
        <v>441</v>
      </c>
      <c r="M38" s="73">
        <v>339</v>
      </c>
      <c r="N38" s="73">
        <v>204</v>
      </c>
      <c r="O38" s="73">
        <v>475</v>
      </c>
      <c r="P38" s="73">
        <v>1188</v>
      </c>
      <c r="Q38" s="73"/>
      <c r="R38" t="s">
        <v>185</v>
      </c>
      <c r="S38" t="s">
        <v>185</v>
      </c>
      <c r="T38" t="s">
        <v>185</v>
      </c>
      <c r="U38">
        <v>4830</v>
      </c>
      <c r="V38">
        <v>7140</v>
      </c>
      <c r="W38">
        <v>580</v>
      </c>
      <c r="X38">
        <v>6480</v>
      </c>
      <c r="Y38">
        <v>18420</v>
      </c>
      <c r="Z38">
        <v>22050</v>
      </c>
      <c r="AA38">
        <v>10170</v>
      </c>
      <c r="AB38">
        <v>6120</v>
      </c>
      <c r="AC38">
        <v>14250</v>
      </c>
      <c r="AD38">
        <v>71280</v>
      </c>
      <c r="AE38" t="s">
        <v>185</v>
      </c>
    </row>
    <row r="39" customHeight="1" spans="1:31">
      <c r="A39" s="72">
        <v>36</v>
      </c>
      <c r="B39" s="72">
        <v>175</v>
      </c>
      <c r="C39" s="72">
        <f t="shared" si="1"/>
        <v>177470</v>
      </c>
      <c r="D39" s="73"/>
      <c r="E39" s="73"/>
      <c r="F39" s="73"/>
      <c r="G39" s="73">
        <v>161</v>
      </c>
      <c r="H39" s="73">
        <v>238</v>
      </c>
      <c r="I39" s="73">
        <v>29</v>
      </c>
      <c r="J39" s="73">
        <v>216</v>
      </c>
      <c r="K39" s="73">
        <v>679</v>
      </c>
      <c r="L39" s="73">
        <v>488</v>
      </c>
      <c r="M39" s="73">
        <v>375</v>
      </c>
      <c r="N39" s="73">
        <v>225</v>
      </c>
      <c r="O39" s="73">
        <v>563</v>
      </c>
      <c r="P39" s="73">
        <v>1313</v>
      </c>
      <c r="Q39" s="73"/>
      <c r="R39" t="s">
        <v>185</v>
      </c>
      <c r="S39" t="s">
        <v>185</v>
      </c>
      <c r="T39" t="s">
        <v>185</v>
      </c>
      <c r="U39">
        <v>4830</v>
      </c>
      <c r="V39">
        <v>7140</v>
      </c>
      <c r="W39">
        <v>580</v>
      </c>
      <c r="X39">
        <v>6480</v>
      </c>
      <c r="Y39">
        <v>20370</v>
      </c>
      <c r="Z39">
        <v>24400</v>
      </c>
      <c r="AA39">
        <v>11250</v>
      </c>
      <c r="AB39">
        <v>6750</v>
      </c>
      <c r="AC39">
        <v>16890</v>
      </c>
      <c r="AD39">
        <v>78780</v>
      </c>
      <c r="AE39" t="s">
        <v>185</v>
      </c>
    </row>
    <row r="40" customHeight="1" spans="1:31">
      <c r="A40" s="72">
        <v>37</v>
      </c>
      <c r="B40" s="72">
        <v>190</v>
      </c>
      <c r="C40" s="72">
        <f t="shared" si="1"/>
        <v>195460</v>
      </c>
      <c r="D40" s="73"/>
      <c r="E40" s="73"/>
      <c r="F40" s="73"/>
      <c r="G40" s="73">
        <v>161</v>
      </c>
      <c r="H40" s="73">
        <v>238</v>
      </c>
      <c r="I40" s="73">
        <v>29</v>
      </c>
      <c r="J40" s="73">
        <v>216</v>
      </c>
      <c r="K40" s="73">
        <v>756</v>
      </c>
      <c r="L40" s="73">
        <v>543</v>
      </c>
      <c r="M40" s="73">
        <v>418</v>
      </c>
      <c r="N40" s="73">
        <v>251</v>
      </c>
      <c r="O40" s="73">
        <v>627</v>
      </c>
      <c r="P40" s="73">
        <v>1462</v>
      </c>
      <c r="Q40" s="73"/>
      <c r="R40" t="s">
        <v>185</v>
      </c>
      <c r="S40" t="s">
        <v>185</v>
      </c>
      <c r="T40" t="s">
        <v>185</v>
      </c>
      <c r="U40">
        <v>4830</v>
      </c>
      <c r="V40">
        <v>7140</v>
      </c>
      <c r="W40">
        <v>580</v>
      </c>
      <c r="X40">
        <v>6480</v>
      </c>
      <c r="Y40">
        <v>22680</v>
      </c>
      <c r="Z40">
        <v>27150</v>
      </c>
      <c r="AA40">
        <v>12540</v>
      </c>
      <c r="AB40">
        <v>7530</v>
      </c>
      <c r="AC40">
        <v>18810</v>
      </c>
      <c r="AD40">
        <v>87720</v>
      </c>
      <c r="AE40" t="s">
        <v>185</v>
      </c>
    </row>
    <row r="41" customHeight="1" spans="1:31">
      <c r="A41" s="72">
        <v>38</v>
      </c>
      <c r="B41" s="72">
        <v>205</v>
      </c>
      <c r="C41" s="72">
        <f t="shared" si="1"/>
        <v>215310</v>
      </c>
      <c r="D41" s="73"/>
      <c r="E41" s="73"/>
      <c r="F41" s="73"/>
      <c r="G41" s="73">
        <v>161</v>
      </c>
      <c r="H41" s="73">
        <v>238</v>
      </c>
      <c r="I41" s="73">
        <v>29</v>
      </c>
      <c r="J41" s="73">
        <v>216</v>
      </c>
      <c r="K41" s="73">
        <v>841</v>
      </c>
      <c r="L41" s="73">
        <v>604</v>
      </c>
      <c r="M41" s="73">
        <v>465</v>
      </c>
      <c r="N41" s="73">
        <v>279</v>
      </c>
      <c r="O41" s="73">
        <v>697</v>
      </c>
      <c r="P41" s="73">
        <v>1627</v>
      </c>
      <c r="Q41" s="73"/>
      <c r="R41" t="s">
        <v>185</v>
      </c>
      <c r="S41" t="s">
        <v>185</v>
      </c>
      <c r="T41" t="s">
        <v>185</v>
      </c>
      <c r="U41">
        <v>4830</v>
      </c>
      <c r="V41">
        <v>7140</v>
      </c>
      <c r="W41">
        <v>580</v>
      </c>
      <c r="X41">
        <v>6480</v>
      </c>
      <c r="Y41">
        <v>25230</v>
      </c>
      <c r="Z41">
        <v>30200</v>
      </c>
      <c r="AA41">
        <v>13950</v>
      </c>
      <c r="AB41">
        <v>8370</v>
      </c>
      <c r="AC41">
        <v>20910</v>
      </c>
      <c r="AD41">
        <v>97620</v>
      </c>
      <c r="AE41" t="s">
        <v>185</v>
      </c>
    </row>
    <row r="42" customHeight="1" spans="1:31">
      <c r="A42" s="72">
        <v>39</v>
      </c>
      <c r="B42" s="72">
        <v>225</v>
      </c>
      <c r="C42" s="72">
        <f t="shared" si="1"/>
        <v>236800</v>
      </c>
      <c r="D42" s="73"/>
      <c r="E42" s="73"/>
      <c r="F42" s="73"/>
      <c r="G42" s="73">
        <v>161</v>
      </c>
      <c r="H42" s="73">
        <v>238</v>
      </c>
      <c r="I42" s="73">
        <v>29</v>
      </c>
      <c r="J42" s="73">
        <v>216</v>
      </c>
      <c r="K42" s="73">
        <v>927</v>
      </c>
      <c r="L42" s="73">
        <v>666</v>
      </c>
      <c r="M42" s="73">
        <v>512</v>
      </c>
      <c r="N42" s="73">
        <v>358</v>
      </c>
      <c r="O42" s="73">
        <v>768</v>
      </c>
      <c r="P42" s="73">
        <v>1792</v>
      </c>
      <c r="Q42" s="73"/>
      <c r="R42" t="s">
        <v>185</v>
      </c>
      <c r="S42" t="s">
        <v>185</v>
      </c>
      <c r="T42" t="s">
        <v>185</v>
      </c>
      <c r="U42">
        <v>4830</v>
      </c>
      <c r="V42">
        <v>7140</v>
      </c>
      <c r="W42">
        <v>580</v>
      </c>
      <c r="X42">
        <v>6480</v>
      </c>
      <c r="Y42">
        <v>27810</v>
      </c>
      <c r="Z42">
        <v>33300</v>
      </c>
      <c r="AA42">
        <v>15360</v>
      </c>
      <c r="AB42">
        <v>10740</v>
      </c>
      <c r="AC42">
        <v>23040</v>
      </c>
      <c r="AD42">
        <v>107520</v>
      </c>
      <c r="AE42" t="s">
        <v>185</v>
      </c>
    </row>
    <row r="43" customHeight="1" spans="1:31">
      <c r="A43" s="74">
        <v>40</v>
      </c>
      <c r="B43" s="74">
        <v>245</v>
      </c>
      <c r="C43" s="74">
        <f t="shared" si="1"/>
        <v>262600</v>
      </c>
      <c r="D43" s="75"/>
      <c r="E43" s="75"/>
      <c r="F43" s="75"/>
      <c r="G43" s="75"/>
      <c r="H43" s="75">
        <v>238</v>
      </c>
      <c r="I43" s="75">
        <v>29</v>
      </c>
      <c r="J43" s="75">
        <v>216</v>
      </c>
      <c r="K43" s="75">
        <v>964</v>
      </c>
      <c r="L43" s="75">
        <v>681</v>
      </c>
      <c r="M43" s="75">
        <v>567</v>
      </c>
      <c r="N43" s="75">
        <v>454</v>
      </c>
      <c r="O43" s="75">
        <v>851</v>
      </c>
      <c r="P43" s="75">
        <v>2098</v>
      </c>
      <c r="Q43" s="75">
        <v>113</v>
      </c>
      <c r="R43" t="s">
        <v>185</v>
      </c>
      <c r="S43" t="s">
        <v>185</v>
      </c>
      <c r="T43" t="s">
        <v>185</v>
      </c>
      <c r="U43" t="s">
        <v>185</v>
      </c>
      <c r="V43">
        <v>7140</v>
      </c>
      <c r="W43">
        <v>580</v>
      </c>
      <c r="X43">
        <v>6480</v>
      </c>
      <c r="Y43">
        <v>28920</v>
      </c>
      <c r="Z43">
        <v>34050</v>
      </c>
      <c r="AA43">
        <v>17010</v>
      </c>
      <c r="AB43">
        <v>13620</v>
      </c>
      <c r="AC43">
        <v>25530</v>
      </c>
      <c r="AD43">
        <v>125880</v>
      </c>
      <c r="AE43">
        <v>3390</v>
      </c>
    </row>
    <row r="44" customHeight="1" spans="1:31">
      <c r="A44" s="74">
        <v>41</v>
      </c>
      <c r="B44" s="74">
        <v>265</v>
      </c>
      <c r="C44" s="74">
        <f t="shared" si="1"/>
        <v>290440</v>
      </c>
      <c r="D44" s="75"/>
      <c r="E44" s="75"/>
      <c r="F44" s="75"/>
      <c r="G44" s="75"/>
      <c r="H44" s="75">
        <v>238</v>
      </c>
      <c r="I44" s="75">
        <v>29</v>
      </c>
      <c r="J44" s="75">
        <v>216</v>
      </c>
      <c r="K44" s="75">
        <v>995</v>
      </c>
      <c r="L44" s="75">
        <v>747</v>
      </c>
      <c r="M44" s="75">
        <v>622</v>
      </c>
      <c r="N44" s="75">
        <v>560</v>
      </c>
      <c r="O44" s="75">
        <v>871</v>
      </c>
      <c r="P44" s="75">
        <v>2364</v>
      </c>
      <c r="Q44" s="75">
        <v>187</v>
      </c>
      <c r="R44" t="s">
        <v>185</v>
      </c>
      <c r="S44" t="s">
        <v>185</v>
      </c>
      <c r="T44" t="s">
        <v>185</v>
      </c>
      <c r="U44" t="s">
        <v>185</v>
      </c>
      <c r="V44">
        <v>7140</v>
      </c>
      <c r="W44">
        <v>580</v>
      </c>
      <c r="X44">
        <v>6480</v>
      </c>
      <c r="Y44">
        <v>29850</v>
      </c>
      <c r="Z44">
        <v>37350</v>
      </c>
      <c r="AA44">
        <v>18660</v>
      </c>
      <c r="AB44">
        <v>16800</v>
      </c>
      <c r="AC44">
        <v>26130</v>
      </c>
      <c r="AD44">
        <v>141840</v>
      </c>
      <c r="AE44">
        <v>5610</v>
      </c>
    </row>
    <row r="45" customHeight="1" spans="1:31">
      <c r="A45" s="74">
        <v>42</v>
      </c>
      <c r="B45" s="74">
        <v>285</v>
      </c>
      <c r="C45" s="74">
        <f t="shared" si="1"/>
        <v>321160</v>
      </c>
      <c r="D45" s="75"/>
      <c r="E45" s="75"/>
      <c r="F45" s="75"/>
      <c r="G45" s="75"/>
      <c r="H45" s="75">
        <v>238</v>
      </c>
      <c r="I45" s="75">
        <v>29</v>
      </c>
      <c r="J45" s="75">
        <v>216</v>
      </c>
      <c r="K45" s="75">
        <v>1023</v>
      </c>
      <c r="L45" s="75">
        <v>819</v>
      </c>
      <c r="M45" s="75">
        <v>682</v>
      </c>
      <c r="N45" s="75">
        <v>682</v>
      </c>
      <c r="O45" s="75">
        <v>887</v>
      </c>
      <c r="P45" s="75">
        <v>2660</v>
      </c>
      <c r="Q45" s="75">
        <v>273</v>
      </c>
      <c r="R45" t="s">
        <v>185</v>
      </c>
      <c r="S45" t="s">
        <v>185</v>
      </c>
      <c r="T45" t="s">
        <v>185</v>
      </c>
      <c r="U45" t="s">
        <v>185</v>
      </c>
      <c r="V45">
        <v>7140</v>
      </c>
      <c r="W45">
        <v>580</v>
      </c>
      <c r="X45">
        <v>6480</v>
      </c>
      <c r="Y45">
        <v>30690</v>
      </c>
      <c r="Z45">
        <v>40950</v>
      </c>
      <c r="AA45">
        <v>20460</v>
      </c>
      <c r="AB45">
        <v>20460</v>
      </c>
      <c r="AC45">
        <v>26610</v>
      </c>
      <c r="AD45">
        <v>159600</v>
      </c>
      <c r="AE45">
        <v>8190</v>
      </c>
    </row>
    <row r="46" customHeight="1" spans="1:31">
      <c r="A46" s="74">
        <v>43</v>
      </c>
      <c r="B46" s="74">
        <v>305</v>
      </c>
      <c r="C46" s="74">
        <f t="shared" si="1"/>
        <v>354210</v>
      </c>
      <c r="D46" s="75"/>
      <c r="E46" s="75"/>
      <c r="F46" s="75"/>
      <c r="G46" s="75"/>
      <c r="H46" s="75">
        <v>238</v>
      </c>
      <c r="I46" s="75">
        <v>29</v>
      </c>
      <c r="J46" s="75">
        <v>216</v>
      </c>
      <c r="K46" s="75">
        <v>1111</v>
      </c>
      <c r="L46" s="75">
        <v>889</v>
      </c>
      <c r="M46" s="75">
        <v>741</v>
      </c>
      <c r="N46" s="75">
        <v>741</v>
      </c>
      <c r="O46" s="75">
        <v>963</v>
      </c>
      <c r="P46" s="75">
        <v>2963</v>
      </c>
      <c r="Q46" s="75">
        <v>370</v>
      </c>
      <c r="R46" t="s">
        <v>185</v>
      </c>
      <c r="S46" t="s">
        <v>185</v>
      </c>
      <c r="T46" t="s">
        <v>185</v>
      </c>
      <c r="U46" t="s">
        <v>185</v>
      </c>
      <c r="V46">
        <v>7140</v>
      </c>
      <c r="W46">
        <v>580</v>
      </c>
      <c r="X46">
        <v>6480</v>
      </c>
      <c r="Y46">
        <v>33330</v>
      </c>
      <c r="Z46">
        <v>44450</v>
      </c>
      <c r="AA46">
        <v>22230</v>
      </c>
      <c r="AB46">
        <v>22230</v>
      </c>
      <c r="AC46">
        <v>28890</v>
      </c>
      <c r="AD46">
        <v>177780</v>
      </c>
      <c r="AE46">
        <v>11100</v>
      </c>
    </row>
    <row r="47" customHeight="1" spans="1:31">
      <c r="A47" s="74">
        <v>44</v>
      </c>
      <c r="B47" s="74">
        <v>325</v>
      </c>
      <c r="C47" s="74">
        <f t="shared" si="1"/>
        <v>390050</v>
      </c>
      <c r="D47" s="75"/>
      <c r="E47" s="75"/>
      <c r="F47" s="75"/>
      <c r="G47" s="75"/>
      <c r="H47" s="75">
        <v>238</v>
      </c>
      <c r="I47" s="75">
        <v>29</v>
      </c>
      <c r="J47" s="75">
        <v>216</v>
      </c>
      <c r="K47" s="75">
        <v>1228</v>
      </c>
      <c r="L47" s="75">
        <v>983</v>
      </c>
      <c r="M47" s="75">
        <v>819</v>
      </c>
      <c r="N47" s="75">
        <v>819</v>
      </c>
      <c r="O47" s="75">
        <v>1065</v>
      </c>
      <c r="P47" s="75">
        <v>3275</v>
      </c>
      <c r="Q47" s="75">
        <v>409</v>
      </c>
      <c r="R47" t="s">
        <v>185</v>
      </c>
      <c r="S47" t="s">
        <v>185</v>
      </c>
      <c r="T47" t="s">
        <v>185</v>
      </c>
      <c r="U47" t="s">
        <v>185</v>
      </c>
      <c r="V47">
        <v>7140</v>
      </c>
      <c r="W47">
        <v>580</v>
      </c>
      <c r="X47">
        <v>6480</v>
      </c>
      <c r="Y47">
        <v>36840</v>
      </c>
      <c r="Z47">
        <v>49150</v>
      </c>
      <c r="AA47">
        <v>24570</v>
      </c>
      <c r="AB47">
        <v>24570</v>
      </c>
      <c r="AC47">
        <v>31950</v>
      </c>
      <c r="AD47">
        <v>196500</v>
      </c>
      <c r="AE47">
        <v>12270</v>
      </c>
    </row>
    <row r="48" customHeight="1" spans="1:31">
      <c r="A48" s="76">
        <v>45</v>
      </c>
      <c r="B48" s="76">
        <v>350</v>
      </c>
      <c r="C48" s="76">
        <f t="shared" si="1"/>
        <v>430920</v>
      </c>
      <c r="D48" s="77"/>
      <c r="E48" s="77"/>
      <c r="F48" s="77"/>
      <c r="G48" s="77"/>
      <c r="H48" s="77"/>
      <c r="I48" s="77">
        <v>29</v>
      </c>
      <c r="J48" s="77">
        <v>216</v>
      </c>
      <c r="K48" s="77">
        <v>1400</v>
      </c>
      <c r="L48" s="77">
        <v>1027</v>
      </c>
      <c r="M48" s="77">
        <v>934</v>
      </c>
      <c r="N48" s="77">
        <v>934</v>
      </c>
      <c r="O48" s="77">
        <v>1214</v>
      </c>
      <c r="P48" s="77">
        <v>3734</v>
      </c>
      <c r="Q48" s="77">
        <v>467</v>
      </c>
      <c r="R48" t="s">
        <v>185</v>
      </c>
      <c r="S48" t="s">
        <v>185</v>
      </c>
      <c r="T48" t="s">
        <v>185</v>
      </c>
      <c r="U48" t="s">
        <v>185</v>
      </c>
      <c r="V48" t="s">
        <v>185</v>
      </c>
      <c r="W48">
        <v>580</v>
      </c>
      <c r="X48">
        <v>6480</v>
      </c>
      <c r="Y48">
        <v>42000</v>
      </c>
      <c r="Z48">
        <v>51350</v>
      </c>
      <c r="AA48">
        <v>28020</v>
      </c>
      <c r="AB48">
        <v>28020</v>
      </c>
      <c r="AC48">
        <v>36420</v>
      </c>
      <c r="AD48">
        <v>224040</v>
      </c>
      <c r="AE48">
        <v>14010</v>
      </c>
    </row>
    <row r="49" customHeight="1" spans="1:31">
      <c r="A49" s="76">
        <v>46</v>
      </c>
      <c r="B49" s="76">
        <v>375</v>
      </c>
      <c r="C49" s="76">
        <f t="shared" si="1"/>
        <v>474270</v>
      </c>
      <c r="D49" s="77"/>
      <c r="E49" s="77"/>
      <c r="F49" s="77"/>
      <c r="G49" s="77"/>
      <c r="H49" s="77"/>
      <c r="I49" s="77">
        <v>29</v>
      </c>
      <c r="J49" s="77">
        <v>216</v>
      </c>
      <c r="K49" s="77">
        <v>1544</v>
      </c>
      <c r="L49" s="77">
        <v>1132</v>
      </c>
      <c r="M49" s="77">
        <v>1029</v>
      </c>
      <c r="N49" s="77">
        <v>1029</v>
      </c>
      <c r="O49" s="77">
        <v>1338</v>
      </c>
      <c r="P49" s="77">
        <v>4116</v>
      </c>
      <c r="Q49" s="77">
        <v>515</v>
      </c>
      <c r="R49" t="s">
        <v>185</v>
      </c>
      <c r="S49" t="s">
        <v>185</v>
      </c>
      <c r="T49" t="s">
        <v>185</v>
      </c>
      <c r="U49" t="s">
        <v>185</v>
      </c>
      <c r="V49" t="s">
        <v>185</v>
      </c>
      <c r="W49">
        <v>580</v>
      </c>
      <c r="X49">
        <v>6480</v>
      </c>
      <c r="Y49">
        <v>46320</v>
      </c>
      <c r="Z49">
        <v>56600</v>
      </c>
      <c r="AA49">
        <v>30870</v>
      </c>
      <c r="AB49">
        <v>30870</v>
      </c>
      <c r="AC49">
        <v>40140</v>
      </c>
      <c r="AD49">
        <v>246960</v>
      </c>
      <c r="AE49">
        <v>15450</v>
      </c>
    </row>
    <row r="50" customHeight="1" spans="1:31">
      <c r="A50" s="76">
        <v>47</v>
      </c>
      <c r="B50" s="76">
        <v>400</v>
      </c>
      <c r="C50" s="76">
        <f t="shared" si="1"/>
        <v>521980</v>
      </c>
      <c r="D50" s="77"/>
      <c r="E50" s="77"/>
      <c r="F50" s="77"/>
      <c r="G50" s="77"/>
      <c r="H50" s="77"/>
      <c r="I50" s="77">
        <v>29</v>
      </c>
      <c r="J50" s="77">
        <v>216</v>
      </c>
      <c r="K50" s="77">
        <v>1701</v>
      </c>
      <c r="L50" s="77">
        <v>1248</v>
      </c>
      <c r="M50" s="77">
        <v>1134</v>
      </c>
      <c r="N50" s="77">
        <v>1134</v>
      </c>
      <c r="O50" s="77">
        <v>1474</v>
      </c>
      <c r="P50" s="77">
        <v>4537</v>
      </c>
      <c r="Q50" s="77">
        <v>567</v>
      </c>
      <c r="R50" t="s">
        <v>185</v>
      </c>
      <c r="S50" t="s">
        <v>185</v>
      </c>
      <c r="T50" t="s">
        <v>185</v>
      </c>
      <c r="U50" t="s">
        <v>185</v>
      </c>
      <c r="V50" t="s">
        <v>185</v>
      </c>
      <c r="W50">
        <v>580</v>
      </c>
      <c r="X50">
        <v>6480</v>
      </c>
      <c r="Y50">
        <v>51030</v>
      </c>
      <c r="Z50">
        <v>62400</v>
      </c>
      <c r="AA50">
        <v>34020</v>
      </c>
      <c r="AB50">
        <v>34020</v>
      </c>
      <c r="AC50">
        <v>44220</v>
      </c>
      <c r="AD50">
        <v>272220</v>
      </c>
      <c r="AE50">
        <v>17010</v>
      </c>
    </row>
    <row r="51" customHeight="1" spans="1:31">
      <c r="A51" s="76">
        <v>48</v>
      </c>
      <c r="B51" s="76">
        <v>425</v>
      </c>
      <c r="C51" s="76">
        <f t="shared" si="1"/>
        <v>574500</v>
      </c>
      <c r="D51" s="77"/>
      <c r="E51" s="77"/>
      <c r="F51" s="77"/>
      <c r="G51" s="77"/>
      <c r="H51" s="77"/>
      <c r="I51" s="77">
        <v>29</v>
      </c>
      <c r="J51" s="77">
        <v>216</v>
      </c>
      <c r="K51" s="77">
        <v>1875</v>
      </c>
      <c r="L51" s="77">
        <v>1375</v>
      </c>
      <c r="M51" s="77">
        <v>1250</v>
      </c>
      <c r="N51" s="77">
        <v>1250</v>
      </c>
      <c r="O51" s="77">
        <v>1625</v>
      </c>
      <c r="P51" s="77">
        <v>4999</v>
      </c>
      <c r="Q51" s="77">
        <v>625</v>
      </c>
      <c r="R51" t="s">
        <v>185</v>
      </c>
      <c r="S51" t="s">
        <v>185</v>
      </c>
      <c r="T51" t="s">
        <v>185</v>
      </c>
      <c r="U51" t="s">
        <v>185</v>
      </c>
      <c r="V51" t="s">
        <v>185</v>
      </c>
      <c r="W51">
        <v>580</v>
      </c>
      <c r="X51">
        <v>6480</v>
      </c>
      <c r="Y51">
        <v>56250</v>
      </c>
      <c r="Z51">
        <v>68750</v>
      </c>
      <c r="AA51">
        <v>37500</v>
      </c>
      <c r="AB51">
        <v>37500</v>
      </c>
      <c r="AC51">
        <v>48750</v>
      </c>
      <c r="AD51">
        <v>299940</v>
      </c>
      <c r="AE51">
        <v>18750</v>
      </c>
    </row>
    <row r="52" customHeight="1" spans="1:31">
      <c r="A52" s="76">
        <v>49</v>
      </c>
      <c r="B52" s="76">
        <v>450</v>
      </c>
      <c r="C52" s="76">
        <f t="shared" si="1"/>
        <v>630370</v>
      </c>
      <c r="D52" s="77"/>
      <c r="E52" s="77"/>
      <c r="F52" s="77"/>
      <c r="G52" s="77"/>
      <c r="H52" s="77"/>
      <c r="I52" s="77">
        <v>29</v>
      </c>
      <c r="J52" s="77">
        <v>216</v>
      </c>
      <c r="K52" s="77">
        <v>2046</v>
      </c>
      <c r="L52" s="77">
        <v>1500</v>
      </c>
      <c r="M52" s="77">
        <v>1364</v>
      </c>
      <c r="N52" s="77">
        <v>1364</v>
      </c>
      <c r="O52" s="77">
        <v>1773</v>
      </c>
      <c r="P52" s="77">
        <v>5456</v>
      </c>
      <c r="Q52" s="77">
        <v>818</v>
      </c>
      <c r="R52" t="s">
        <v>185</v>
      </c>
      <c r="S52" t="s">
        <v>185</v>
      </c>
      <c r="T52" t="s">
        <v>185</v>
      </c>
      <c r="U52" t="s">
        <v>185</v>
      </c>
      <c r="V52" t="s">
        <v>185</v>
      </c>
      <c r="W52">
        <v>580</v>
      </c>
      <c r="X52">
        <v>6480</v>
      </c>
      <c r="Y52">
        <v>61380</v>
      </c>
      <c r="Z52">
        <v>75000</v>
      </c>
      <c r="AA52">
        <v>40920</v>
      </c>
      <c r="AB52">
        <v>40920</v>
      </c>
      <c r="AC52">
        <v>53190</v>
      </c>
      <c r="AD52">
        <v>327360</v>
      </c>
      <c r="AE52">
        <v>24540</v>
      </c>
    </row>
    <row r="53" customHeight="1" spans="1:31">
      <c r="A53" s="76">
        <v>50</v>
      </c>
      <c r="B53" s="76">
        <v>475</v>
      </c>
      <c r="C53" s="76">
        <f t="shared" si="1"/>
        <v>690820</v>
      </c>
      <c r="D53" s="77"/>
      <c r="E53" s="77"/>
      <c r="F53" s="77"/>
      <c r="G53" s="77"/>
      <c r="H53" s="77"/>
      <c r="I53" s="77">
        <v>29</v>
      </c>
      <c r="J53" s="77">
        <v>216</v>
      </c>
      <c r="K53" s="77">
        <v>2254</v>
      </c>
      <c r="L53" s="77">
        <v>1503</v>
      </c>
      <c r="M53" s="77">
        <v>1503</v>
      </c>
      <c r="N53" s="77">
        <v>1503</v>
      </c>
      <c r="O53" s="77">
        <v>1953</v>
      </c>
      <c r="P53" s="77">
        <v>6011</v>
      </c>
      <c r="Q53" s="77">
        <v>1052</v>
      </c>
      <c r="R53" t="s">
        <v>185</v>
      </c>
      <c r="S53" t="s">
        <v>185</v>
      </c>
      <c r="T53" t="s">
        <v>185</v>
      </c>
      <c r="U53" t="s">
        <v>185</v>
      </c>
      <c r="V53" t="s">
        <v>185</v>
      </c>
      <c r="W53">
        <v>580</v>
      </c>
      <c r="X53">
        <v>6480</v>
      </c>
      <c r="Y53">
        <v>67620</v>
      </c>
      <c r="Z53">
        <v>75150</v>
      </c>
      <c r="AA53">
        <v>45090</v>
      </c>
      <c r="AB53">
        <v>45090</v>
      </c>
      <c r="AC53">
        <v>58590</v>
      </c>
      <c r="AD53">
        <v>360660</v>
      </c>
      <c r="AE53">
        <v>31560</v>
      </c>
    </row>
    <row r="54" customHeight="1" spans="1:31">
      <c r="A54" s="76">
        <v>51</v>
      </c>
      <c r="B54" s="76">
        <v>500</v>
      </c>
      <c r="C54" s="76">
        <f t="shared" si="1"/>
        <v>758090</v>
      </c>
      <c r="D54" s="77"/>
      <c r="E54" s="77"/>
      <c r="F54" s="77"/>
      <c r="G54" s="77"/>
      <c r="H54" s="77"/>
      <c r="I54" s="77">
        <v>29</v>
      </c>
      <c r="J54" s="77">
        <v>216</v>
      </c>
      <c r="K54" s="77">
        <v>2459</v>
      </c>
      <c r="L54" s="77">
        <v>1640</v>
      </c>
      <c r="M54" s="77">
        <v>1640</v>
      </c>
      <c r="N54" s="77">
        <v>1640</v>
      </c>
      <c r="O54" s="77">
        <v>1968</v>
      </c>
      <c r="P54" s="77">
        <v>6559</v>
      </c>
      <c r="Q54" s="77">
        <v>1476</v>
      </c>
      <c r="R54" t="s">
        <v>185</v>
      </c>
      <c r="S54" t="s">
        <v>185</v>
      </c>
      <c r="T54" t="s">
        <v>185</v>
      </c>
      <c r="U54" t="s">
        <v>185</v>
      </c>
      <c r="V54" t="s">
        <v>185</v>
      </c>
      <c r="W54">
        <v>580</v>
      </c>
      <c r="X54">
        <v>6480</v>
      </c>
      <c r="Y54">
        <v>73770</v>
      </c>
      <c r="Z54">
        <v>82000</v>
      </c>
      <c r="AA54">
        <v>49200</v>
      </c>
      <c r="AB54">
        <v>49200</v>
      </c>
      <c r="AC54">
        <v>59040</v>
      </c>
      <c r="AD54">
        <v>393540</v>
      </c>
      <c r="AE54">
        <v>44280</v>
      </c>
    </row>
    <row r="55" customHeight="1" spans="1:31">
      <c r="A55" s="76">
        <v>52</v>
      </c>
      <c r="B55" s="76">
        <v>525</v>
      </c>
      <c r="C55" s="76">
        <f t="shared" si="1"/>
        <v>829630</v>
      </c>
      <c r="D55" s="77"/>
      <c r="E55" s="77"/>
      <c r="F55" s="77"/>
      <c r="G55" s="77"/>
      <c r="H55" s="77"/>
      <c r="I55" s="77">
        <v>29</v>
      </c>
      <c r="J55" s="77">
        <v>216</v>
      </c>
      <c r="K55" s="77">
        <v>2659</v>
      </c>
      <c r="L55" s="77">
        <v>1773</v>
      </c>
      <c r="M55" s="77">
        <v>1773</v>
      </c>
      <c r="N55" s="77">
        <v>1773</v>
      </c>
      <c r="O55" s="77">
        <v>2127</v>
      </c>
      <c r="P55" s="77">
        <v>7091</v>
      </c>
      <c r="Q55" s="77">
        <v>1950</v>
      </c>
      <c r="R55" t="s">
        <v>185</v>
      </c>
      <c r="S55" t="s">
        <v>185</v>
      </c>
      <c r="T55" t="s">
        <v>185</v>
      </c>
      <c r="U55" t="s">
        <v>185</v>
      </c>
      <c r="V55" t="s">
        <v>185</v>
      </c>
      <c r="W55">
        <v>580</v>
      </c>
      <c r="X55">
        <v>6480</v>
      </c>
      <c r="Y55">
        <v>79770</v>
      </c>
      <c r="Z55">
        <v>88650</v>
      </c>
      <c r="AA55">
        <v>53190</v>
      </c>
      <c r="AB55">
        <v>53190</v>
      </c>
      <c r="AC55">
        <v>63810</v>
      </c>
      <c r="AD55">
        <v>425460</v>
      </c>
      <c r="AE55">
        <v>58500</v>
      </c>
    </row>
    <row r="56" customHeight="1" spans="1:31">
      <c r="A56" s="76">
        <v>53</v>
      </c>
      <c r="B56" s="76">
        <v>550</v>
      </c>
      <c r="C56" s="76">
        <f t="shared" si="1"/>
        <v>908020</v>
      </c>
      <c r="D56" s="77"/>
      <c r="E56" s="77"/>
      <c r="F56" s="77"/>
      <c r="G56" s="77"/>
      <c r="H56" s="77"/>
      <c r="I56" s="77">
        <v>29</v>
      </c>
      <c r="J56" s="77">
        <v>216</v>
      </c>
      <c r="K56" s="77">
        <v>2875</v>
      </c>
      <c r="L56" s="77">
        <v>1917</v>
      </c>
      <c r="M56" s="77">
        <v>1917</v>
      </c>
      <c r="N56" s="77">
        <v>1917</v>
      </c>
      <c r="O56" s="77">
        <v>2300</v>
      </c>
      <c r="P56" s="77">
        <v>7668</v>
      </c>
      <c r="Q56" s="77">
        <v>2492</v>
      </c>
      <c r="R56" t="s">
        <v>185</v>
      </c>
      <c r="S56" t="s">
        <v>185</v>
      </c>
      <c r="T56" t="s">
        <v>185</v>
      </c>
      <c r="U56" t="s">
        <v>185</v>
      </c>
      <c r="V56" t="s">
        <v>185</v>
      </c>
      <c r="W56">
        <v>580</v>
      </c>
      <c r="X56">
        <v>6480</v>
      </c>
      <c r="Y56">
        <v>86250</v>
      </c>
      <c r="Z56">
        <v>95850</v>
      </c>
      <c r="AA56">
        <v>57510</v>
      </c>
      <c r="AB56">
        <v>57510</v>
      </c>
      <c r="AC56">
        <v>69000</v>
      </c>
      <c r="AD56">
        <v>460080</v>
      </c>
      <c r="AE56">
        <v>74760</v>
      </c>
    </row>
    <row r="57" customHeight="1" spans="1:31">
      <c r="A57" s="76">
        <v>54</v>
      </c>
      <c r="B57" s="76">
        <v>575</v>
      </c>
      <c r="C57" s="76">
        <f t="shared" si="1"/>
        <v>993910</v>
      </c>
      <c r="D57" s="77"/>
      <c r="E57" s="77"/>
      <c r="F57" s="77"/>
      <c r="G57" s="77"/>
      <c r="H57" s="77"/>
      <c r="I57" s="77">
        <v>29</v>
      </c>
      <c r="J57" s="77">
        <v>216</v>
      </c>
      <c r="K57" s="77">
        <v>3110</v>
      </c>
      <c r="L57" s="77">
        <v>2073</v>
      </c>
      <c r="M57" s="77">
        <v>2073</v>
      </c>
      <c r="N57" s="77">
        <v>2073</v>
      </c>
      <c r="O57" s="77">
        <v>2488</v>
      </c>
      <c r="P57" s="77">
        <v>8293</v>
      </c>
      <c r="Q57" s="77">
        <v>3110</v>
      </c>
      <c r="R57" t="s">
        <v>185</v>
      </c>
      <c r="S57" t="s">
        <v>185</v>
      </c>
      <c r="T57" t="s">
        <v>185</v>
      </c>
      <c r="U57" t="s">
        <v>185</v>
      </c>
      <c r="V57" t="s">
        <v>185</v>
      </c>
      <c r="W57">
        <v>580</v>
      </c>
      <c r="X57">
        <v>6480</v>
      </c>
      <c r="Y57">
        <v>93300</v>
      </c>
      <c r="Z57">
        <v>103650</v>
      </c>
      <c r="AA57">
        <v>62190</v>
      </c>
      <c r="AB57">
        <v>62190</v>
      </c>
      <c r="AC57">
        <v>74640</v>
      </c>
      <c r="AD57">
        <v>497580</v>
      </c>
      <c r="AE57">
        <v>93300</v>
      </c>
    </row>
    <row r="58" customHeight="1" spans="1:31">
      <c r="A58" s="78">
        <v>55</v>
      </c>
      <c r="B58" s="78">
        <v>600</v>
      </c>
      <c r="C58" s="78">
        <f t="shared" si="1"/>
        <v>1090750</v>
      </c>
      <c r="D58" s="79"/>
      <c r="E58" s="79"/>
      <c r="F58" s="79"/>
      <c r="G58" s="79"/>
      <c r="H58" s="79"/>
      <c r="I58" s="79">
        <v>29</v>
      </c>
      <c r="J58" s="79">
        <v>216</v>
      </c>
      <c r="K58" s="79">
        <v>3394</v>
      </c>
      <c r="L58" s="79">
        <v>2262</v>
      </c>
      <c r="M58" s="79">
        <v>2262</v>
      </c>
      <c r="N58" s="79">
        <v>2262</v>
      </c>
      <c r="O58" s="79">
        <v>2489</v>
      </c>
      <c r="P58" s="79">
        <v>9050</v>
      </c>
      <c r="Q58" s="79">
        <v>3846</v>
      </c>
      <c r="S58" t="s">
        <v>185</v>
      </c>
      <c r="T58" t="s">
        <v>185</v>
      </c>
      <c r="U58" t="s">
        <v>185</v>
      </c>
      <c r="V58" t="s">
        <v>185</v>
      </c>
      <c r="W58">
        <v>580</v>
      </c>
      <c r="X58">
        <v>6480</v>
      </c>
      <c r="Y58">
        <v>101820</v>
      </c>
      <c r="Z58">
        <v>113100</v>
      </c>
      <c r="AA58">
        <v>67860</v>
      </c>
      <c r="AB58">
        <v>67860</v>
      </c>
      <c r="AC58">
        <v>74670</v>
      </c>
      <c r="AD58">
        <v>543000</v>
      </c>
      <c r="AE58">
        <v>115380</v>
      </c>
    </row>
    <row r="59" customHeight="1" spans="1:31">
      <c r="A59" s="78">
        <v>56</v>
      </c>
      <c r="B59" s="78">
        <v>620</v>
      </c>
      <c r="C59" s="78">
        <f t="shared" si="1"/>
        <v>1194130</v>
      </c>
      <c r="D59" s="79"/>
      <c r="E59" s="79"/>
      <c r="F59" s="79"/>
      <c r="G59" s="79"/>
      <c r="H59" s="79"/>
      <c r="I59" s="79">
        <v>29</v>
      </c>
      <c r="J59" s="79">
        <v>216</v>
      </c>
      <c r="K59" s="79">
        <v>3671</v>
      </c>
      <c r="L59" s="79">
        <v>2448</v>
      </c>
      <c r="M59" s="79">
        <v>2448</v>
      </c>
      <c r="N59" s="79">
        <v>2448</v>
      </c>
      <c r="O59" s="79">
        <v>2692</v>
      </c>
      <c r="P59" s="79">
        <v>9790</v>
      </c>
      <c r="Q59" s="79">
        <v>4650</v>
      </c>
      <c r="R59" t="s">
        <v>185</v>
      </c>
      <c r="S59" t="s">
        <v>185</v>
      </c>
      <c r="T59" t="s">
        <v>185</v>
      </c>
      <c r="U59" t="s">
        <v>185</v>
      </c>
      <c r="V59" t="s">
        <v>185</v>
      </c>
      <c r="W59">
        <v>580</v>
      </c>
      <c r="X59">
        <v>6480</v>
      </c>
      <c r="Y59">
        <v>110130</v>
      </c>
      <c r="Z59">
        <v>122400</v>
      </c>
      <c r="AA59">
        <v>73440</v>
      </c>
      <c r="AB59">
        <v>73440</v>
      </c>
      <c r="AC59">
        <v>80760</v>
      </c>
      <c r="AD59">
        <v>587400</v>
      </c>
      <c r="AE59">
        <v>139500</v>
      </c>
    </row>
    <row r="60" customHeight="1" spans="1:31">
      <c r="A60" s="78">
        <v>57</v>
      </c>
      <c r="B60" s="78">
        <v>640</v>
      </c>
      <c r="C60" s="78">
        <f t="shared" si="1"/>
        <v>1307420</v>
      </c>
      <c r="D60" s="79"/>
      <c r="E60" s="79"/>
      <c r="F60" s="79"/>
      <c r="G60" s="79"/>
      <c r="H60" s="79"/>
      <c r="I60" s="79">
        <v>29</v>
      </c>
      <c r="J60" s="79">
        <v>216</v>
      </c>
      <c r="K60" s="79">
        <v>3973</v>
      </c>
      <c r="L60" s="79">
        <v>2648</v>
      </c>
      <c r="M60" s="79">
        <v>2648</v>
      </c>
      <c r="N60" s="79">
        <v>2648</v>
      </c>
      <c r="O60" s="79">
        <v>2913</v>
      </c>
      <c r="P60" s="79">
        <v>10594</v>
      </c>
      <c r="Q60" s="79">
        <v>5562</v>
      </c>
      <c r="R60" t="s">
        <v>185</v>
      </c>
      <c r="S60" t="s">
        <v>185</v>
      </c>
      <c r="T60" t="s">
        <v>185</v>
      </c>
      <c r="U60" t="s">
        <v>185</v>
      </c>
      <c r="V60" t="s">
        <v>185</v>
      </c>
      <c r="W60">
        <v>580</v>
      </c>
      <c r="X60">
        <v>6480</v>
      </c>
      <c r="Y60">
        <v>119190</v>
      </c>
      <c r="Z60">
        <v>132400</v>
      </c>
      <c r="AA60">
        <v>79440</v>
      </c>
      <c r="AB60">
        <v>79440</v>
      </c>
      <c r="AC60">
        <v>87390</v>
      </c>
      <c r="AD60">
        <v>635640</v>
      </c>
      <c r="AE60">
        <v>166860</v>
      </c>
    </row>
    <row r="61" customHeight="1" spans="1:31">
      <c r="A61" s="78">
        <v>58</v>
      </c>
      <c r="B61" s="78">
        <v>660</v>
      </c>
      <c r="C61" s="78">
        <f t="shared" si="1"/>
        <v>1431600</v>
      </c>
      <c r="D61" s="79"/>
      <c r="E61" s="79"/>
      <c r="F61" s="79"/>
      <c r="G61" s="79"/>
      <c r="H61" s="79"/>
      <c r="I61" s="79">
        <v>29</v>
      </c>
      <c r="J61" s="79">
        <v>216</v>
      </c>
      <c r="K61" s="79">
        <v>4300</v>
      </c>
      <c r="L61" s="79">
        <v>2866</v>
      </c>
      <c r="M61" s="79">
        <v>2866</v>
      </c>
      <c r="N61" s="79">
        <v>2866</v>
      </c>
      <c r="O61" s="79">
        <v>3153</v>
      </c>
      <c r="P61" s="79">
        <v>11465</v>
      </c>
      <c r="Q61" s="79">
        <v>6593</v>
      </c>
      <c r="R61" t="s">
        <v>185</v>
      </c>
      <c r="S61" t="s">
        <v>185</v>
      </c>
      <c r="T61" t="s">
        <v>185</v>
      </c>
      <c r="U61" t="s">
        <v>185</v>
      </c>
      <c r="V61" t="s">
        <v>185</v>
      </c>
      <c r="W61">
        <v>580</v>
      </c>
      <c r="X61">
        <v>6480</v>
      </c>
      <c r="Y61">
        <v>129000</v>
      </c>
      <c r="Z61">
        <v>143300</v>
      </c>
      <c r="AA61">
        <v>85980</v>
      </c>
      <c r="AB61">
        <v>85980</v>
      </c>
      <c r="AC61">
        <v>94590</v>
      </c>
      <c r="AD61">
        <v>687900</v>
      </c>
      <c r="AE61">
        <v>197790</v>
      </c>
    </row>
    <row r="62" customHeight="1" spans="1:31">
      <c r="A62" s="78">
        <v>59</v>
      </c>
      <c r="B62" s="78">
        <v>680</v>
      </c>
      <c r="C62" s="78">
        <f t="shared" si="1"/>
        <v>1567770</v>
      </c>
      <c r="D62" s="79"/>
      <c r="E62" s="79"/>
      <c r="F62" s="79"/>
      <c r="G62" s="79"/>
      <c r="H62" s="79"/>
      <c r="I62" s="79">
        <v>29</v>
      </c>
      <c r="J62" s="79">
        <v>216</v>
      </c>
      <c r="K62" s="79">
        <v>4654</v>
      </c>
      <c r="L62" s="79">
        <v>3103</v>
      </c>
      <c r="M62" s="79">
        <v>3103</v>
      </c>
      <c r="N62" s="79">
        <v>3103</v>
      </c>
      <c r="O62" s="79">
        <v>3413</v>
      </c>
      <c r="P62" s="79">
        <v>12411</v>
      </c>
      <c r="Q62" s="79">
        <v>7757</v>
      </c>
      <c r="R62" t="s">
        <v>185</v>
      </c>
      <c r="S62" t="s">
        <v>185</v>
      </c>
      <c r="T62" t="s">
        <v>185</v>
      </c>
      <c r="U62" t="s">
        <v>185</v>
      </c>
      <c r="V62" t="s">
        <v>185</v>
      </c>
      <c r="W62">
        <v>580</v>
      </c>
      <c r="X62">
        <v>6480</v>
      </c>
      <c r="Y62">
        <v>139620</v>
      </c>
      <c r="Z62">
        <v>155150</v>
      </c>
      <c r="AA62">
        <v>93090</v>
      </c>
      <c r="AB62">
        <v>93090</v>
      </c>
      <c r="AC62">
        <v>102390</v>
      </c>
      <c r="AD62">
        <v>744660</v>
      </c>
      <c r="AE62">
        <v>232710</v>
      </c>
    </row>
    <row r="63" customHeight="1" spans="1:31">
      <c r="A63" s="78">
        <v>60</v>
      </c>
      <c r="B63" s="78">
        <v>700</v>
      </c>
      <c r="C63" s="78">
        <f t="shared" si="1"/>
        <v>1720870</v>
      </c>
      <c r="D63" s="79"/>
      <c r="E63" s="79"/>
      <c r="F63" s="79"/>
      <c r="G63" s="79"/>
      <c r="H63" s="79"/>
      <c r="I63" s="79">
        <v>29</v>
      </c>
      <c r="J63" s="79">
        <v>216</v>
      </c>
      <c r="K63" s="79">
        <v>5080</v>
      </c>
      <c r="L63" s="79">
        <v>3387</v>
      </c>
      <c r="M63" s="79">
        <v>3387</v>
      </c>
      <c r="N63" s="79">
        <v>3387</v>
      </c>
      <c r="O63" s="79">
        <v>3387</v>
      </c>
      <c r="P63" s="79">
        <v>13548</v>
      </c>
      <c r="Q63" s="79">
        <v>9145</v>
      </c>
      <c r="R63" t="s">
        <v>185</v>
      </c>
      <c r="S63" t="s">
        <v>185</v>
      </c>
      <c r="T63" t="s">
        <v>185</v>
      </c>
      <c r="U63" t="s">
        <v>185</v>
      </c>
      <c r="V63" t="s">
        <v>185</v>
      </c>
      <c r="W63">
        <v>580</v>
      </c>
      <c r="X63">
        <v>6480</v>
      </c>
      <c r="Y63">
        <v>152400</v>
      </c>
      <c r="Z63">
        <v>169350</v>
      </c>
      <c r="AA63">
        <v>101610</v>
      </c>
      <c r="AB63">
        <v>101610</v>
      </c>
      <c r="AC63">
        <v>101610</v>
      </c>
      <c r="AD63">
        <v>812880</v>
      </c>
      <c r="AE63">
        <v>274350</v>
      </c>
    </row>
    <row r="64" customHeight="1" spans="1:31">
      <c r="A64" s="78">
        <v>61</v>
      </c>
      <c r="B64" s="78">
        <v>720</v>
      </c>
      <c r="C64" s="78">
        <f t="shared" si="1"/>
        <v>1880690</v>
      </c>
      <c r="D64" s="79"/>
      <c r="E64" s="79"/>
      <c r="F64" s="79"/>
      <c r="G64" s="79"/>
      <c r="H64" s="79"/>
      <c r="I64" s="79">
        <v>29</v>
      </c>
      <c r="J64" s="79">
        <v>216</v>
      </c>
      <c r="K64" s="79">
        <v>5457</v>
      </c>
      <c r="L64" s="79">
        <v>3638</v>
      </c>
      <c r="M64" s="79">
        <v>3638</v>
      </c>
      <c r="N64" s="79">
        <v>3638</v>
      </c>
      <c r="O64" s="79">
        <v>3638</v>
      </c>
      <c r="P64" s="79">
        <v>14553</v>
      </c>
      <c r="Q64" s="79">
        <v>10914</v>
      </c>
      <c r="R64" t="s">
        <v>185</v>
      </c>
      <c r="S64" t="s">
        <v>185</v>
      </c>
      <c r="T64" t="s">
        <v>185</v>
      </c>
      <c r="U64" t="s">
        <v>185</v>
      </c>
      <c r="V64" t="s">
        <v>185</v>
      </c>
      <c r="W64">
        <v>580</v>
      </c>
      <c r="X64">
        <v>6480</v>
      </c>
      <c r="Y64">
        <v>163710</v>
      </c>
      <c r="Z64">
        <v>181900</v>
      </c>
      <c r="AA64">
        <v>109140</v>
      </c>
      <c r="AB64">
        <v>109140</v>
      </c>
      <c r="AC64">
        <v>109140</v>
      </c>
      <c r="AD64">
        <v>873180</v>
      </c>
      <c r="AE64">
        <v>327420</v>
      </c>
    </row>
    <row r="65" customHeight="1" spans="1:31">
      <c r="A65" s="78">
        <v>62</v>
      </c>
      <c r="B65" s="78">
        <v>740</v>
      </c>
      <c r="C65" s="78">
        <f t="shared" si="1"/>
        <v>2064490</v>
      </c>
      <c r="D65" s="79"/>
      <c r="E65" s="79"/>
      <c r="F65" s="79"/>
      <c r="G65" s="79"/>
      <c r="H65" s="79"/>
      <c r="I65" s="79">
        <v>29</v>
      </c>
      <c r="J65" s="79">
        <v>216</v>
      </c>
      <c r="K65" s="79">
        <v>5958</v>
      </c>
      <c r="L65" s="79">
        <v>3972</v>
      </c>
      <c r="M65" s="79">
        <v>3972</v>
      </c>
      <c r="N65" s="79">
        <v>3972</v>
      </c>
      <c r="O65" s="79">
        <v>3972</v>
      </c>
      <c r="P65" s="79">
        <v>15887</v>
      </c>
      <c r="Q65" s="79">
        <v>12313</v>
      </c>
      <c r="R65" t="s">
        <v>185</v>
      </c>
      <c r="S65" t="s">
        <v>185</v>
      </c>
      <c r="T65" t="s">
        <v>185</v>
      </c>
      <c r="U65" t="s">
        <v>185</v>
      </c>
      <c r="V65" t="s">
        <v>185</v>
      </c>
      <c r="W65">
        <v>580</v>
      </c>
      <c r="X65">
        <v>6480</v>
      </c>
      <c r="Y65">
        <v>178740</v>
      </c>
      <c r="Z65">
        <v>198600</v>
      </c>
      <c r="AA65">
        <v>119160</v>
      </c>
      <c r="AB65">
        <v>119160</v>
      </c>
      <c r="AC65">
        <v>119160</v>
      </c>
      <c r="AD65">
        <v>953220</v>
      </c>
      <c r="AE65">
        <v>369390</v>
      </c>
    </row>
    <row r="66" customHeight="1" spans="1:31">
      <c r="A66" s="78">
        <v>63</v>
      </c>
      <c r="B66" s="78">
        <v>760</v>
      </c>
      <c r="C66" s="78">
        <f t="shared" si="1"/>
        <v>2266200</v>
      </c>
      <c r="D66" s="79"/>
      <c r="E66" s="79"/>
      <c r="F66" s="79"/>
      <c r="G66" s="79"/>
      <c r="H66" s="79"/>
      <c r="I66" s="79">
        <v>29</v>
      </c>
      <c r="J66" s="79">
        <v>216</v>
      </c>
      <c r="K66" s="79">
        <v>6504</v>
      </c>
      <c r="L66" s="79">
        <v>4336</v>
      </c>
      <c r="M66" s="79">
        <v>4336</v>
      </c>
      <c r="N66" s="79">
        <v>4336</v>
      </c>
      <c r="O66" s="79">
        <v>4336</v>
      </c>
      <c r="P66" s="79">
        <v>17345</v>
      </c>
      <c r="Q66" s="79">
        <v>13876</v>
      </c>
      <c r="R66" t="s">
        <v>185</v>
      </c>
      <c r="S66" t="s">
        <v>185</v>
      </c>
      <c r="T66" t="s">
        <v>185</v>
      </c>
      <c r="U66" t="s">
        <v>185</v>
      </c>
      <c r="V66" t="s">
        <v>185</v>
      </c>
      <c r="W66">
        <v>580</v>
      </c>
      <c r="X66">
        <v>6480</v>
      </c>
      <c r="Y66">
        <v>195120</v>
      </c>
      <c r="Z66">
        <v>216800</v>
      </c>
      <c r="AA66">
        <v>130080</v>
      </c>
      <c r="AB66">
        <v>130080</v>
      </c>
      <c r="AC66">
        <v>130080</v>
      </c>
      <c r="AD66">
        <v>1040700</v>
      </c>
      <c r="AE66">
        <v>416280</v>
      </c>
    </row>
    <row r="67" customHeight="1" spans="1:31">
      <c r="A67" s="78">
        <v>64</v>
      </c>
      <c r="B67" s="78">
        <v>780</v>
      </c>
      <c r="C67" s="78">
        <f t="shared" si="1"/>
        <v>2487760</v>
      </c>
      <c r="D67" s="79"/>
      <c r="E67" s="79"/>
      <c r="F67" s="79"/>
      <c r="G67" s="79"/>
      <c r="H67" s="79"/>
      <c r="I67" s="79">
        <v>29</v>
      </c>
      <c r="J67" s="79">
        <v>216</v>
      </c>
      <c r="K67" s="79">
        <v>7101</v>
      </c>
      <c r="L67" s="79">
        <v>4734</v>
      </c>
      <c r="M67" s="79">
        <v>4734</v>
      </c>
      <c r="N67" s="79">
        <v>4734</v>
      </c>
      <c r="O67" s="79">
        <v>4734</v>
      </c>
      <c r="P67" s="79">
        <v>18937</v>
      </c>
      <c r="Q67" s="79">
        <v>15623</v>
      </c>
      <c r="R67" t="s">
        <v>185</v>
      </c>
      <c r="S67" t="s">
        <v>185</v>
      </c>
      <c r="T67" t="s">
        <v>185</v>
      </c>
      <c r="U67" t="s">
        <v>185</v>
      </c>
      <c r="V67" t="s">
        <v>185</v>
      </c>
      <c r="W67">
        <v>580</v>
      </c>
      <c r="X67">
        <v>6480</v>
      </c>
      <c r="Y67">
        <v>213030</v>
      </c>
      <c r="Z67">
        <v>236700</v>
      </c>
      <c r="AA67">
        <v>142020</v>
      </c>
      <c r="AB67">
        <v>142020</v>
      </c>
      <c r="AC67">
        <v>142020</v>
      </c>
      <c r="AD67">
        <v>1136220</v>
      </c>
      <c r="AE67">
        <v>468690</v>
      </c>
    </row>
    <row r="68" customHeight="1" spans="1:31">
      <c r="A68" s="78">
        <v>65</v>
      </c>
      <c r="B68" s="78">
        <v>800</v>
      </c>
      <c r="C68" s="78">
        <f t="shared" ref="C68:C102" si="2">SUM(R68:AE68)</f>
        <v>2731090</v>
      </c>
      <c r="D68" s="79"/>
      <c r="E68" s="79"/>
      <c r="F68" s="79"/>
      <c r="G68" s="79"/>
      <c r="H68" s="79"/>
      <c r="I68" s="79">
        <v>29</v>
      </c>
      <c r="J68" s="79">
        <v>216</v>
      </c>
      <c r="K68" s="79">
        <v>7753</v>
      </c>
      <c r="L68" s="79">
        <v>5169</v>
      </c>
      <c r="M68" s="79">
        <v>5169</v>
      </c>
      <c r="N68" s="79">
        <v>5169</v>
      </c>
      <c r="O68" s="79">
        <v>5169</v>
      </c>
      <c r="P68" s="79">
        <v>20676</v>
      </c>
      <c r="Q68" s="79">
        <v>17574</v>
      </c>
      <c r="R68" t="s">
        <v>185</v>
      </c>
      <c r="S68" t="s">
        <v>185</v>
      </c>
      <c r="T68" t="s">
        <v>185</v>
      </c>
      <c r="U68" t="s">
        <v>185</v>
      </c>
      <c r="V68" t="s">
        <v>185</v>
      </c>
      <c r="W68">
        <v>580</v>
      </c>
      <c r="X68">
        <v>6480</v>
      </c>
      <c r="Y68">
        <v>232590</v>
      </c>
      <c r="Z68">
        <v>258450</v>
      </c>
      <c r="AA68">
        <v>155070</v>
      </c>
      <c r="AB68">
        <v>155070</v>
      </c>
      <c r="AC68">
        <v>155070</v>
      </c>
      <c r="AD68">
        <v>1240560</v>
      </c>
      <c r="AE68">
        <v>527220</v>
      </c>
    </row>
    <row r="69" customHeight="1" spans="1:31">
      <c r="A69" s="78">
        <v>66</v>
      </c>
      <c r="B69" s="78">
        <v>820</v>
      </c>
      <c r="C69" s="78">
        <f t="shared" si="2"/>
        <v>2998260</v>
      </c>
      <c r="D69" s="79"/>
      <c r="E69" s="79"/>
      <c r="F69" s="79"/>
      <c r="G69" s="79"/>
      <c r="H69" s="79"/>
      <c r="I69" s="79">
        <v>29</v>
      </c>
      <c r="J69" s="79">
        <v>216</v>
      </c>
      <c r="K69" s="79">
        <v>8465</v>
      </c>
      <c r="L69" s="79">
        <v>5644</v>
      </c>
      <c r="M69" s="79">
        <v>5644</v>
      </c>
      <c r="N69" s="79">
        <v>5644</v>
      </c>
      <c r="O69" s="79">
        <v>5644</v>
      </c>
      <c r="P69" s="79">
        <v>22575</v>
      </c>
      <c r="Q69" s="79">
        <v>19753</v>
      </c>
      <c r="R69" t="s">
        <v>185</v>
      </c>
      <c r="S69" t="s">
        <v>185</v>
      </c>
      <c r="T69" t="s">
        <v>185</v>
      </c>
      <c r="U69" t="s">
        <v>185</v>
      </c>
      <c r="V69" t="s">
        <v>185</v>
      </c>
      <c r="W69">
        <v>580</v>
      </c>
      <c r="X69">
        <v>6480</v>
      </c>
      <c r="Y69">
        <v>253950</v>
      </c>
      <c r="Z69">
        <v>282200</v>
      </c>
      <c r="AA69">
        <v>169320</v>
      </c>
      <c r="AB69">
        <v>169320</v>
      </c>
      <c r="AC69">
        <v>169320</v>
      </c>
      <c r="AD69">
        <v>1354500</v>
      </c>
      <c r="AE69">
        <v>592590</v>
      </c>
    </row>
    <row r="70" customHeight="1" spans="1:31">
      <c r="A70" s="78">
        <v>67</v>
      </c>
      <c r="B70" s="78">
        <v>840</v>
      </c>
      <c r="C70" s="78">
        <f t="shared" si="2"/>
        <v>3291490</v>
      </c>
      <c r="D70" s="79"/>
      <c r="E70" s="79"/>
      <c r="F70" s="79"/>
      <c r="G70" s="79"/>
      <c r="H70" s="79"/>
      <c r="I70" s="79">
        <v>29</v>
      </c>
      <c r="J70" s="79">
        <v>216</v>
      </c>
      <c r="K70" s="79">
        <v>9243</v>
      </c>
      <c r="L70" s="79">
        <v>6162</v>
      </c>
      <c r="M70" s="79">
        <v>6162</v>
      </c>
      <c r="N70" s="79">
        <v>6162</v>
      </c>
      <c r="O70" s="79">
        <v>6162</v>
      </c>
      <c r="P70" s="79">
        <v>24649</v>
      </c>
      <c r="Q70" s="79">
        <v>22184</v>
      </c>
      <c r="R70" t="s">
        <v>185</v>
      </c>
      <c r="S70" t="s">
        <v>185</v>
      </c>
      <c r="T70" t="s">
        <v>185</v>
      </c>
      <c r="U70" t="s">
        <v>185</v>
      </c>
      <c r="V70" t="s">
        <v>185</v>
      </c>
      <c r="W70">
        <v>580</v>
      </c>
      <c r="X70">
        <v>6480</v>
      </c>
      <c r="Y70">
        <v>277290</v>
      </c>
      <c r="Z70">
        <v>308100</v>
      </c>
      <c r="AA70">
        <v>184860</v>
      </c>
      <c r="AB70">
        <v>184860</v>
      </c>
      <c r="AC70">
        <v>184860</v>
      </c>
      <c r="AD70">
        <v>1478940</v>
      </c>
      <c r="AE70">
        <v>665520</v>
      </c>
    </row>
    <row r="71" customHeight="1" spans="1:31">
      <c r="A71" s="78">
        <v>68</v>
      </c>
      <c r="B71" s="78">
        <v>860</v>
      </c>
      <c r="C71" s="78">
        <f t="shared" si="2"/>
        <v>3613630</v>
      </c>
      <c r="D71" s="79"/>
      <c r="E71" s="79"/>
      <c r="F71" s="79"/>
      <c r="G71" s="79"/>
      <c r="H71" s="79"/>
      <c r="I71" s="79">
        <v>29</v>
      </c>
      <c r="J71" s="79">
        <v>216</v>
      </c>
      <c r="K71" s="79">
        <v>10093</v>
      </c>
      <c r="L71" s="79">
        <v>6729</v>
      </c>
      <c r="M71" s="79">
        <v>6729</v>
      </c>
      <c r="N71" s="79">
        <v>6729</v>
      </c>
      <c r="O71" s="79">
        <v>6729</v>
      </c>
      <c r="P71" s="79">
        <v>26914</v>
      </c>
      <c r="Q71" s="79">
        <v>24896</v>
      </c>
      <c r="R71" t="s">
        <v>185</v>
      </c>
      <c r="S71" t="s">
        <v>185</v>
      </c>
      <c r="T71" t="s">
        <v>185</v>
      </c>
      <c r="U71" t="s">
        <v>185</v>
      </c>
      <c r="V71" t="s">
        <v>185</v>
      </c>
      <c r="W71">
        <v>580</v>
      </c>
      <c r="X71">
        <v>6480</v>
      </c>
      <c r="Y71">
        <v>302790</v>
      </c>
      <c r="Z71">
        <v>336450</v>
      </c>
      <c r="AA71">
        <v>201870</v>
      </c>
      <c r="AB71">
        <v>201870</v>
      </c>
      <c r="AC71">
        <v>201870</v>
      </c>
      <c r="AD71">
        <v>1614840</v>
      </c>
      <c r="AE71">
        <v>746880</v>
      </c>
    </row>
    <row r="72" customHeight="1" spans="1:31">
      <c r="A72" s="78">
        <v>69</v>
      </c>
      <c r="B72" s="78">
        <v>880</v>
      </c>
      <c r="C72" s="78">
        <f t="shared" si="2"/>
        <v>3967210</v>
      </c>
      <c r="D72" s="79"/>
      <c r="E72" s="79"/>
      <c r="F72" s="79"/>
      <c r="G72" s="79"/>
      <c r="H72" s="79"/>
      <c r="I72" s="79">
        <v>29</v>
      </c>
      <c r="J72" s="79">
        <v>216</v>
      </c>
      <c r="K72" s="79">
        <v>11021</v>
      </c>
      <c r="L72" s="79">
        <v>7347</v>
      </c>
      <c r="M72" s="79">
        <v>7347</v>
      </c>
      <c r="N72" s="79">
        <v>7347</v>
      </c>
      <c r="O72" s="79">
        <v>7347</v>
      </c>
      <c r="P72" s="79">
        <v>29389</v>
      </c>
      <c r="Q72" s="79">
        <v>27920</v>
      </c>
      <c r="R72" t="s">
        <v>185</v>
      </c>
      <c r="S72" t="s">
        <v>185</v>
      </c>
      <c r="T72" t="s">
        <v>185</v>
      </c>
      <c r="U72" t="s">
        <v>185</v>
      </c>
      <c r="V72" t="s">
        <v>185</v>
      </c>
      <c r="W72">
        <v>580</v>
      </c>
      <c r="X72">
        <v>6480</v>
      </c>
      <c r="Y72">
        <v>330630</v>
      </c>
      <c r="Z72">
        <v>367350</v>
      </c>
      <c r="AA72">
        <v>220410</v>
      </c>
      <c r="AB72">
        <v>220410</v>
      </c>
      <c r="AC72">
        <v>220410</v>
      </c>
      <c r="AD72">
        <v>1763340</v>
      </c>
      <c r="AE72">
        <v>837600</v>
      </c>
    </row>
    <row r="73" customHeight="1" spans="1:31">
      <c r="A73" s="78">
        <v>70</v>
      </c>
      <c r="B73" s="78">
        <v>900</v>
      </c>
      <c r="C73" s="78">
        <f t="shared" si="2"/>
        <v>4347350</v>
      </c>
      <c r="D73" s="79"/>
      <c r="E73" s="79"/>
      <c r="F73" s="79"/>
      <c r="G73" s="79"/>
      <c r="H73" s="79"/>
      <c r="I73" s="79">
        <v>29</v>
      </c>
      <c r="J73" s="79">
        <v>216</v>
      </c>
      <c r="K73" s="79">
        <v>11946</v>
      </c>
      <c r="L73" s="79">
        <v>7964</v>
      </c>
      <c r="M73" s="79">
        <v>7964</v>
      </c>
      <c r="N73" s="79">
        <v>7964</v>
      </c>
      <c r="O73" s="79">
        <v>7964</v>
      </c>
      <c r="P73" s="79">
        <v>31855</v>
      </c>
      <c r="Q73" s="79">
        <v>31855</v>
      </c>
      <c r="R73" t="s">
        <v>185</v>
      </c>
      <c r="S73" t="s">
        <v>185</v>
      </c>
      <c r="T73" t="s">
        <v>185</v>
      </c>
      <c r="U73" t="s">
        <v>185</v>
      </c>
      <c r="V73" t="s">
        <v>185</v>
      </c>
      <c r="W73">
        <v>580</v>
      </c>
      <c r="X73">
        <v>6480</v>
      </c>
      <c r="Y73">
        <v>358380</v>
      </c>
      <c r="Z73">
        <v>398200</v>
      </c>
      <c r="AA73">
        <v>238920</v>
      </c>
      <c r="AB73">
        <v>238920</v>
      </c>
      <c r="AC73">
        <v>238920</v>
      </c>
      <c r="AD73">
        <v>1911300</v>
      </c>
      <c r="AE73">
        <v>955650</v>
      </c>
    </row>
    <row r="74" customHeight="1" spans="1:31">
      <c r="A74" s="78">
        <v>71</v>
      </c>
      <c r="B74" s="78">
        <v>920</v>
      </c>
      <c r="C74" s="78">
        <f t="shared" si="2"/>
        <v>4782140</v>
      </c>
      <c r="D74" s="79"/>
      <c r="E74" s="79"/>
      <c r="F74" s="79"/>
      <c r="G74" s="79"/>
      <c r="H74" s="79"/>
      <c r="I74" s="79">
        <v>29</v>
      </c>
      <c r="J74" s="79">
        <v>216</v>
      </c>
      <c r="K74" s="79">
        <v>13142</v>
      </c>
      <c r="L74" s="79">
        <v>8762</v>
      </c>
      <c r="M74" s="79">
        <v>8762</v>
      </c>
      <c r="N74" s="79">
        <v>8762</v>
      </c>
      <c r="O74" s="79">
        <v>8762</v>
      </c>
      <c r="P74" s="79">
        <v>35046</v>
      </c>
      <c r="Q74" s="79">
        <v>35046</v>
      </c>
      <c r="R74" t="s">
        <v>185</v>
      </c>
      <c r="S74" t="s">
        <v>185</v>
      </c>
      <c r="T74" t="s">
        <v>185</v>
      </c>
      <c r="U74" t="s">
        <v>185</v>
      </c>
      <c r="V74" t="s">
        <v>185</v>
      </c>
      <c r="W74">
        <v>580</v>
      </c>
      <c r="X74">
        <v>6480</v>
      </c>
      <c r="Y74">
        <v>394260</v>
      </c>
      <c r="Z74">
        <v>438100</v>
      </c>
      <c r="AA74">
        <v>262860</v>
      </c>
      <c r="AB74">
        <v>262860</v>
      </c>
      <c r="AC74">
        <v>262860</v>
      </c>
      <c r="AD74">
        <v>2102760</v>
      </c>
      <c r="AE74">
        <v>1051380</v>
      </c>
    </row>
    <row r="75" customHeight="1" spans="1:31">
      <c r="A75" s="78">
        <v>72</v>
      </c>
      <c r="B75" s="78">
        <v>940</v>
      </c>
      <c r="C75" s="78">
        <f t="shared" si="2"/>
        <v>5260330</v>
      </c>
      <c r="D75" s="79"/>
      <c r="E75" s="79"/>
      <c r="F75" s="79"/>
      <c r="G75" s="79"/>
      <c r="H75" s="79"/>
      <c r="I75" s="79">
        <v>29</v>
      </c>
      <c r="J75" s="79">
        <v>216</v>
      </c>
      <c r="K75" s="79">
        <v>14459</v>
      </c>
      <c r="L75" s="79">
        <v>9639</v>
      </c>
      <c r="M75" s="79">
        <v>9639</v>
      </c>
      <c r="N75" s="79">
        <v>9639</v>
      </c>
      <c r="O75" s="79">
        <v>9639</v>
      </c>
      <c r="P75" s="79">
        <v>38556</v>
      </c>
      <c r="Q75" s="79">
        <v>38556</v>
      </c>
      <c r="R75" t="s">
        <v>185</v>
      </c>
      <c r="S75" t="s">
        <v>185</v>
      </c>
      <c r="T75" t="s">
        <v>185</v>
      </c>
      <c r="U75" t="s">
        <v>185</v>
      </c>
      <c r="V75" t="s">
        <v>185</v>
      </c>
      <c r="W75">
        <v>580</v>
      </c>
      <c r="X75">
        <v>6480</v>
      </c>
      <c r="Y75">
        <v>433770</v>
      </c>
      <c r="Z75">
        <v>481950</v>
      </c>
      <c r="AA75">
        <v>289170</v>
      </c>
      <c r="AB75">
        <v>289170</v>
      </c>
      <c r="AC75">
        <v>289170</v>
      </c>
      <c r="AD75">
        <v>2313360</v>
      </c>
      <c r="AE75">
        <v>1156680</v>
      </c>
    </row>
    <row r="76" customHeight="1" spans="1:31">
      <c r="A76" s="78">
        <v>73</v>
      </c>
      <c r="B76" s="78">
        <v>960</v>
      </c>
      <c r="C76" s="78">
        <f t="shared" si="2"/>
        <v>5786330</v>
      </c>
      <c r="D76" s="79"/>
      <c r="E76" s="79"/>
      <c r="F76" s="79"/>
      <c r="G76" s="79"/>
      <c r="H76" s="79"/>
      <c r="I76" s="79">
        <v>29</v>
      </c>
      <c r="J76" s="79">
        <v>216</v>
      </c>
      <c r="K76" s="79">
        <v>15906</v>
      </c>
      <c r="L76" s="79">
        <v>10604</v>
      </c>
      <c r="M76" s="79">
        <v>10604</v>
      </c>
      <c r="N76" s="79">
        <v>10604</v>
      </c>
      <c r="O76" s="79">
        <v>10604</v>
      </c>
      <c r="P76" s="79">
        <v>42417</v>
      </c>
      <c r="Q76" s="79">
        <v>42417</v>
      </c>
      <c r="R76" t="s">
        <v>185</v>
      </c>
      <c r="S76" t="s">
        <v>185</v>
      </c>
      <c r="T76" t="s">
        <v>185</v>
      </c>
      <c r="U76" t="s">
        <v>185</v>
      </c>
      <c r="V76" t="s">
        <v>185</v>
      </c>
      <c r="W76">
        <v>580</v>
      </c>
      <c r="X76">
        <v>6480</v>
      </c>
      <c r="Y76">
        <v>477180</v>
      </c>
      <c r="Z76">
        <v>530200</v>
      </c>
      <c r="AA76">
        <v>318120</v>
      </c>
      <c r="AB76">
        <v>318120</v>
      </c>
      <c r="AC76">
        <v>318120</v>
      </c>
      <c r="AD76">
        <v>2545020</v>
      </c>
      <c r="AE76">
        <v>1272510</v>
      </c>
    </row>
    <row r="77" customHeight="1" spans="1:31">
      <c r="A77" s="78">
        <v>74</v>
      </c>
      <c r="B77" s="78">
        <v>980</v>
      </c>
      <c r="C77" s="78">
        <f t="shared" si="2"/>
        <v>6365030</v>
      </c>
      <c r="D77" s="79"/>
      <c r="E77" s="79"/>
      <c r="F77" s="79"/>
      <c r="G77" s="79"/>
      <c r="H77" s="79"/>
      <c r="I77" s="79">
        <v>29</v>
      </c>
      <c r="J77" s="79">
        <v>216</v>
      </c>
      <c r="K77" s="79">
        <v>17499</v>
      </c>
      <c r="L77" s="79">
        <v>11666</v>
      </c>
      <c r="M77" s="79">
        <v>11666</v>
      </c>
      <c r="N77" s="79">
        <v>11666</v>
      </c>
      <c r="O77" s="79">
        <v>11666</v>
      </c>
      <c r="P77" s="79">
        <v>46664</v>
      </c>
      <c r="Q77" s="79">
        <v>46664</v>
      </c>
      <c r="R77" t="s">
        <v>185</v>
      </c>
      <c r="S77" t="s">
        <v>185</v>
      </c>
      <c r="T77" t="s">
        <v>185</v>
      </c>
      <c r="U77" t="s">
        <v>185</v>
      </c>
      <c r="V77" t="s">
        <v>185</v>
      </c>
      <c r="W77">
        <v>580</v>
      </c>
      <c r="X77">
        <v>6480</v>
      </c>
      <c r="Y77">
        <v>524970</v>
      </c>
      <c r="Z77">
        <v>583300</v>
      </c>
      <c r="AA77">
        <v>349980</v>
      </c>
      <c r="AB77">
        <v>349980</v>
      </c>
      <c r="AC77">
        <v>349980</v>
      </c>
      <c r="AD77">
        <v>2799840</v>
      </c>
      <c r="AE77">
        <v>1399920</v>
      </c>
    </row>
    <row r="78" customHeight="1" spans="1:31">
      <c r="A78" s="78">
        <v>75</v>
      </c>
      <c r="B78" s="78">
        <v>1000</v>
      </c>
      <c r="C78" s="78">
        <f t="shared" si="2"/>
        <v>7001590</v>
      </c>
      <c r="D78" s="79"/>
      <c r="E78" s="79"/>
      <c r="F78" s="79"/>
      <c r="G78" s="79"/>
      <c r="H78" s="79"/>
      <c r="I78" s="79">
        <v>29</v>
      </c>
      <c r="J78" s="79">
        <v>216</v>
      </c>
      <c r="K78" s="79">
        <v>19251</v>
      </c>
      <c r="L78" s="79">
        <v>12834</v>
      </c>
      <c r="M78" s="79">
        <v>12834</v>
      </c>
      <c r="N78" s="79">
        <v>12834</v>
      </c>
      <c r="O78" s="79">
        <v>12834</v>
      </c>
      <c r="P78" s="79">
        <v>51336</v>
      </c>
      <c r="Q78" s="79">
        <v>51336</v>
      </c>
      <c r="R78" t="s">
        <v>185</v>
      </c>
      <c r="S78" t="s">
        <v>185</v>
      </c>
      <c r="T78" t="s">
        <v>185</v>
      </c>
      <c r="U78" t="s">
        <v>185</v>
      </c>
      <c r="V78" t="s">
        <v>185</v>
      </c>
      <c r="W78">
        <v>580</v>
      </c>
      <c r="X78">
        <v>6480</v>
      </c>
      <c r="Y78">
        <v>577530</v>
      </c>
      <c r="Z78">
        <v>641700</v>
      </c>
      <c r="AA78">
        <v>385020</v>
      </c>
      <c r="AB78">
        <v>385020</v>
      </c>
      <c r="AC78">
        <v>385020</v>
      </c>
      <c r="AD78">
        <v>3080160</v>
      </c>
      <c r="AE78">
        <v>1540080</v>
      </c>
    </row>
    <row r="79" customHeight="1" spans="1:31">
      <c r="A79" s="78">
        <v>76</v>
      </c>
      <c r="B79" s="78">
        <v>1020</v>
      </c>
      <c r="C79" s="78">
        <f t="shared" si="2"/>
        <v>7701810</v>
      </c>
      <c r="D79" s="79"/>
      <c r="E79" s="79"/>
      <c r="F79" s="79"/>
      <c r="G79" s="79"/>
      <c r="H79" s="79"/>
      <c r="I79" s="79">
        <v>29</v>
      </c>
      <c r="J79" s="79">
        <v>216</v>
      </c>
      <c r="K79" s="79">
        <v>21178</v>
      </c>
      <c r="L79" s="79">
        <v>14119</v>
      </c>
      <c r="M79" s="79">
        <v>14119</v>
      </c>
      <c r="N79" s="79">
        <v>14119</v>
      </c>
      <c r="O79" s="79">
        <v>14119</v>
      </c>
      <c r="P79" s="79">
        <v>56475</v>
      </c>
      <c r="Q79" s="79">
        <v>56475</v>
      </c>
      <c r="R79" t="s">
        <v>185</v>
      </c>
      <c r="S79" t="s">
        <v>185</v>
      </c>
      <c r="T79" t="s">
        <v>185</v>
      </c>
      <c r="U79" t="s">
        <v>185</v>
      </c>
      <c r="V79" t="s">
        <v>185</v>
      </c>
      <c r="W79">
        <v>580</v>
      </c>
      <c r="X79">
        <v>6480</v>
      </c>
      <c r="Y79">
        <v>635340</v>
      </c>
      <c r="Z79">
        <v>705950</v>
      </c>
      <c r="AA79">
        <v>423570</v>
      </c>
      <c r="AB79">
        <v>423570</v>
      </c>
      <c r="AC79">
        <v>423570</v>
      </c>
      <c r="AD79">
        <v>3388500</v>
      </c>
      <c r="AE79">
        <v>1694250</v>
      </c>
    </row>
    <row r="80" customHeight="1" spans="1:31">
      <c r="A80" s="78">
        <v>77</v>
      </c>
      <c r="B80" s="78">
        <v>1040</v>
      </c>
      <c r="C80" s="78">
        <f t="shared" si="2"/>
        <v>8472000</v>
      </c>
      <c r="D80" s="79"/>
      <c r="E80" s="79"/>
      <c r="F80" s="79"/>
      <c r="G80" s="79"/>
      <c r="H80" s="79"/>
      <c r="I80" s="79">
        <v>29</v>
      </c>
      <c r="J80" s="79">
        <v>216</v>
      </c>
      <c r="K80" s="79">
        <v>23298</v>
      </c>
      <c r="L80" s="79">
        <v>15532</v>
      </c>
      <c r="M80" s="79">
        <v>15532</v>
      </c>
      <c r="N80" s="79">
        <v>15532</v>
      </c>
      <c r="O80" s="79">
        <v>15532</v>
      </c>
      <c r="P80" s="79">
        <v>62128</v>
      </c>
      <c r="Q80" s="79">
        <v>62128</v>
      </c>
      <c r="R80" t="s">
        <v>185</v>
      </c>
      <c r="S80" t="s">
        <v>185</v>
      </c>
      <c r="T80" t="s">
        <v>185</v>
      </c>
      <c r="U80" t="s">
        <v>185</v>
      </c>
      <c r="V80" t="s">
        <v>185</v>
      </c>
      <c r="W80">
        <v>580</v>
      </c>
      <c r="X80">
        <v>6480</v>
      </c>
      <c r="Y80">
        <v>698940</v>
      </c>
      <c r="Z80">
        <v>776600</v>
      </c>
      <c r="AA80">
        <v>465960</v>
      </c>
      <c r="AB80">
        <v>465960</v>
      </c>
      <c r="AC80">
        <v>465960</v>
      </c>
      <c r="AD80">
        <v>3727680</v>
      </c>
      <c r="AE80">
        <v>1863840</v>
      </c>
    </row>
    <row r="81" customHeight="1" spans="1:31">
      <c r="A81" s="78">
        <v>78</v>
      </c>
      <c r="B81" s="78">
        <v>1060</v>
      </c>
      <c r="C81" s="78">
        <f t="shared" si="2"/>
        <v>9319140</v>
      </c>
      <c r="D81" s="79"/>
      <c r="E81" s="79"/>
      <c r="F81" s="79"/>
      <c r="G81" s="79"/>
      <c r="H81" s="79"/>
      <c r="I81" s="79">
        <v>29</v>
      </c>
      <c r="J81" s="79">
        <v>216</v>
      </c>
      <c r="K81" s="79">
        <v>25630</v>
      </c>
      <c r="L81" s="79">
        <v>17086</v>
      </c>
      <c r="M81" s="79">
        <v>17086</v>
      </c>
      <c r="N81" s="79">
        <v>17086</v>
      </c>
      <c r="O81" s="79">
        <v>17086</v>
      </c>
      <c r="P81" s="79">
        <v>68346</v>
      </c>
      <c r="Q81" s="79">
        <v>68346</v>
      </c>
      <c r="R81" t="s">
        <v>185</v>
      </c>
      <c r="S81" t="s">
        <v>185</v>
      </c>
      <c r="T81" t="s">
        <v>185</v>
      </c>
      <c r="U81" t="s">
        <v>185</v>
      </c>
      <c r="V81" t="s">
        <v>185</v>
      </c>
      <c r="W81">
        <v>580</v>
      </c>
      <c r="X81">
        <v>6480</v>
      </c>
      <c r="Y81">
        <v>768900</v>
      </c>
      <c r="Z81">
        <v>854300</v>
      </c>
      <c r="AA81">
        <v>512580</v>
      </c>
      <c r="AB81">
        <v>512580</v>
      </c>
      <c r="AC81">
        <v>512580</v>
      </c>
      <c r="AD81">
        <v>4100760</v>
      </c>
      <c r="AE81">
        <v>2050380</v>
      </c>
    </row>
    <row r="82" customHeight="1" spans="1:31">
      <c r="A82" s="78">
        <v>79</v>
      </c>
      <c r="B82" s="78">
        <v>1080</v>
      </c>
      <c r="C82" s="78">
        <f t="shared" si="2"/>
        <v>10251090</v>
      </c>
      <c r="D82" s="79"/>
      <c r="E82" s="79"/>
      <c r="F82" s="79"/>
      <c r="G82" s="79"/>
      <c r="H82" s="79"/>
      <c r="I82" s="79">
        <v>29</v>
      </c>
      <c r="J82" s="79">
        <v>216</v>
      </c>
      <c r="K82" s="79">
        <v>28195</v>
      </c>
      <c r="L82" s="79">
        <v>18796</v>
      </c>
      <c r="M82" s="79">
        <v>18796</v>
      </c>
      <c r="N82" s="79">
        <v>18796</v>
      </c>
      <c r="O82" s="79">
        <v>18796</v>
      </c>
      <c r="P82" s="79">
        <v>75186</v>
      </c>
      <c r="Q82" s="79">
        <v>75186</v>
      </c>
      <c r="R82" t="s">
        <v>185</v>
      </c>
      <c r="S82" t="s">
        <v>185</v>
      </c>
      <c r="T82" t="s">
        <v>185</v>
      </c>
      <c r="U82" t="s">
        <v>185</v>
      </c>
      <c r="V82" t="s">
        <v>185</v>
      </c>
      <c r="W82">
        <v>580</v>
      </c>
      <c r="X82">
        <v>6480</v>
      </c>
      <c r="Y82">
        <v>845850</v>
      </c>
      <c r="Z82">
        <v>939800</v>
      </c>
      <c r="AA82">
        <v>563880</v>
      </c>
      <c r="AB82">
        <v>563880</v>
      </c>
      <c r="AC82">
        <v>563880</v>
      </c>
      <c r="AD82">
        <v>4511160</v>
      </c>
      <c r="AE82">
        <v>2255580</v>
      </c>
    </row>
    <row r="83" customHeight="1" spans="1:31">
      <c r="A83" s="78">
        <v>80</v>
      </c>
      <c r="B83" s="78">
        <v>1100</v>
      </c>
      <c r="C83" s="78">
        <f t="shared" si="2"/>
        <v>11276220</v>
      </c>
      <c r="D83" s="79"/>
      <c r="E83" s="79"/>
      <c r="F83" s="79"/>
      <c r="G83" s="79"/>
      <c r="H83" s="79"/>
      <c r="I83" s="79">
        <v>29</v>
      </c>
      <c r="J83" s="79">
        <v>216</v>
      </c>
      <c r="K83" s="79">
        <v>31016</v>
      </c>
      <c r="L83" s="79">
        <v>20677</v>
      </c>
      <c r="M83" s="79">
        <v>20677</v>
      </c>
      <c r="N83" s="79">
        <v>20677</v>
      </c>
      <c r="O83" s="79">
        <v>20677</v>
      </c>
      <c r="P83" s="79">
        <v>82710</v>
      </c>
      <c r="Q83" s="79">
        <v>82710</v>
      </c>
      <c r="R83" t="s">
        <v>185</v>
      </c>
      <c r="S83" t="s">
        <v>185</v>
      </c>
      <c r="T83" t="s">
        <v>185</v>
      </c>
      <c r="U83" t="s">
        <v>185</v>
      </c>
      <c r="V83" t="s">
        <v>185</v>
      </c>
      <c r="W83">
        <v>580</v>
      </c>
      <c r="X83">
        <v>6480</v>
      </c>
      <c r="Y83">
        <v>930480</v>
      </c>
      <c r="Z83">
        <v>1033850</v>
      </c>
      <c r="AA83">
        <v>620310</v>
      </c>
      <c r="AB83">
        <v>620310</v>
      </c>
      <c r="AC83">
        <v>620310</v>
      </c>
      <c r="AD83">
        <v>4962600</v>
      </c>
      <c r="AE83">
        <v>2481300</v>
      </c>
    </row>
    <row r="84" customHeight="1" spans="1:31">
      <c r="A84" s="78">
        <v>81</v>
      </c>
      <c r="B84" s="78">
        <v>1120</v>
      </c>
      <c r="C84" s="78">
        <f t="shared" si="2"/>
        <v>12403980</v>
      </c>
      <c r="D84" s="79"/>
      <c r="E84" s="79"/>
      <c r="F84" s="79"/>
      <c r="G84" s="79"/>
      <c r="H84" s="79"/>
      <c r="I84" s="79">
        <v>29</v>
      </c>
      <c r="J84" s="79">
        <v>216</v>
      </c>
      <c r="K84" s="79">
        <v>34120</v>
      </c>
      <c r="L84" s="79">
        <v>22747</v>
      </c>
      <c r="M84" s="79">
        <v>22747</v>
      </c>
      <c r="N84" s="79">
        <v>22747</v>
      </c>
      <c r="O84" s="79">
        <v>22747</v>
      </c>
      <c r="P84" s="79">
        <v>90986</v>
      </c>
      <c r="Q84" s="79">
        <v>90986</v>
      </c>
      <c r="R84" t="s">
        <v>185</v>
      </c>
      <c r="S84" t="s">
        <v>185</v>
      </c>
      <c r="T84" t="s">
        <v>185</v>
      </c>
      <c r="U84" t="s">
        <v>185</v>
      </c>
      <c r="V84" t="s">
        <v>185</v>
      </c>
      <c r="W84">
        <v>580</v>
      </c>
      <c r="X84">
        <v>6480</v>
      </c>
      <c r="Y84">
        <v>1023600</v>
      </c>
      <c r="Z84">
        <v>1137350</v>
      </c>
      <c r="AA84">
        <v>682410</v>
      </c>
      <c r="AB84">
        <v>682410</v>
      </c>
      <c r="AC84">
        <v>682410</v>
      </c>
      <c r="AD84">
        <v>5459160</v>
      </c>
      <c r="AE84">
        <v>2729580</v>
      </c>
    </row>
    <row r="85" customHeight="1" spans="1:31">
      <c r="A85" s="78">
        <v>82</v>
      </c>
      <c r="B85" s="78">
        <v>1140</v>
      </c>
      <c r="C85" s="78">
        <f t="shared" si="2"/>
        <v>13644400</v>
      </c>
      <c r="D85" s="79"/>
      <c r="E85" s="79"/>
      <c r="F85" s="79"/>
      <c r="G85" s="79"/>
      <c r="H85" s="79"/>
      <c r="I85" s="79">
        <v>29</v>
      </c>
      <c r="J85" s="79">
        <v>216</v>
      </c>
      <c r="K85" s="79">
        <v>37534</v>
      </c>
      <c r="L85" s="79">
        <v>25023</v>
      </c>
      <c r="M85" s="79">
        <v>25023</v>
      </c>
      <c r="N85" s="79">
        <v>25023</v>
      </c>
      <c r="O85" s="79">
        <v>25023</v>
      </c>
      <c r="P85" s="79">
        <v>100090</v>
      </c>
      <c r="Q85" s="79">
        <v>100090</v>
      </c>
      <c r="R85" t="s">
        <v>185</v>
      </c>
      <c r="S85" t="s">
        <v>185</v>
      </c>
      <c r="T85" t="s">
        <v>185</v>
      </c>
      <c r="U85" t="s">
        <v>185</v>
      </c>
      <c r="V85" t="s">
        <v>185</v>
      </c>
      <c r="W85">
        <v>580</v>
      </c>
      <c r="X85">
        <v>6480</v>
      </c>
      <c r="Y85">
        <v>1126020</v>
      </c>
      <c r="Z85">
        <v>1251150</v>
      </c>
      <c r="AA85">
        <v>750690</v>
      </c>
      <c r="AB85">
        <v>750690</v>
      </c>
      <c r="AC85">
        <v>750690</v>
      </c>
      <c r="AD85">
        <v>6005400</v>
      </c>
      <c r="AE85">
        <v>3002700</v>
      </c>
    </row>
    <row r="86" customHeight="1" spans="1:31">
      <c r="A86" s="78">
        <v>83</v>
      </c>
      <c r="B86" s="78">
        <v>1160</v>
      </c>
      <c r="C86" s="78">
        <f t="shared" si="2"/>
        <v>15008820</v>
      </c>
      <c r="D86" s="79"/>
      <c r="E86" s="79"/>
      <c r="F86" s="79"/>
      <c r="G86" s="79"/>
      <c r="H86" s="79"/>
      <c r="I86" s="79">
        <v>29</v>
      </c>
      <c r="J86" s="79">
        <v>216</v>
      </c>
      <c r="K86" s="79">
        <v>41289</v>
      </c>
      <c r="L86" s="79">
        <v>27526</v>
      </c>
      <c r="M86" s="79">
        <v>27526</v>
      </c>
      <c r="N86" s="79">
        <v>27526</v>
      </c>
      <c r="O86" s="79">
        <v>27526</v>
      </c>
      <c r="P86" s="79">
        <v>110105</v>
      </c>
      <c r="Q86" s="79">
        <v>110105</v>
      </c>
      <c r="R86" t="s">
        <v>185</v>
      </c>
      <c r="S86" t="s">
        <v>185</v>
      </c>
      <c r="T86" t="s">
        <v>185</v>
      </c>
      <c r="U86" t="s">
        <v>185</v>
      </c>
      <c r="V86" t="s">
        <v>185</v>
      </c>
      <c r="W86">
        <v>580</v>
      </c>
      <c r="X86">
        <v>6480</v>
      </c>
      <c r="Y86">
        <v>1238670</v>
      </c>
      <c r="Z86">
        <v>1376300</v>
      </c>
      <c r="AA86">
        <v>825780</v>
      </c>
      <c r="AB86">
        <v>825780</v>
      </c>
      <c r="AC86">
        <v>825780</v>
      </c>
      <c r="AD86">
        <v>6606300</v>
      </c>
      <c r="AE86">
        <v>3303150</v>
      </c>
    </row>
    <row r="87" customHeight="1" spans="1:31">
      <c r="A87" s="78">
        <v>84</v>
      </c>
      <c r="B87" s="78">
        <v>1180</v>
      </c>
      <c r="C87" s="78">
        <f t="shared" si="2"/>
        <v>16509660</v>
      </c>
      <c r="D87" s="79"/>
      <c r="E87" s="79"/>
      <c r="F87" s="79"/>
      <c r="G87" s="79"/>
      <c r="H87" s="79"/>
      <c r="I87" s="79">
        <v>29</v>
      </c>
      <c r="J87" s="79">
        <v>216</v>
      </c>
      <c r="K87" s="79">
        <v>45420</v>
      </c>
      <c r="L87" s="79">
        <v>30280</v>
      </c>
      <c r="M87" s="79">
        <v>30280</v>
      </c>
      <c r="N87" s="79">
        <v>30280</v>
      </c>
      <c r="O87" s="79">
        <v>30280</v>
      </c>
      <c r="P87" s="79">
        <v>121120</v>
      </c>
      <c r="Q87" s="79">
        <v>121120</v>
      </c>
      <c r="R87" t="s">
        <v>185</v>
      </c>
      <c r="S87" t="s">
        <v>185</v>
      </c>
      <c r="T87" t="s">
        <v>185</v>
      </c>
      <c r="U87" t="s">
        <v>185</v>
      </c>
      <c r="V87" t="s">
        <v>185</v>
      </c>
      <c r="W87">
        <v>580</v>
      </c>
      <c r="X87">
        <v>6480</v>
      </c>
      <c r="Y87">
        <v>1362600</v>
      </c>
      <c r="Z87">
        <v>1514000</v>
      </c>
      <c r="AA87">
        <v>908400</v>
      </c>
      <c r="AB87">
        <v>908400</v>
      </c>
      <c r="AC87">
        <v>908400</v>
      </c>
      <c r="AD87">
        <v>7267200</v>
      </c>
      <c r="AE87">
        <v>3633600</v>
      </c>
    </row>
    <row r="88" customHeight="1" spans="1:31">
      <c r="A88" s="78">
        <v>85</v>
      </c>
      <c r="B88" s="78">
        <v>1200</v>
      </c>
      <c r="C88" s="78">
        <f t="shared" si="2"/>
        <v>18160660</v>
      </c>
      <c r="D88" s="79"/>
      <c r="E88" s="79"/>
      <c r="F88" s="79"/>
      <c r="G88" s="79"/>
      <c r="H88" s="79"/>
      <c r="I88" s="79">
        <v>29</v>
      </c>
      <c r="J88" s="79">
        <v>216</v>
      </c>
      <c r="K88" s="79">
        <v>49964</v>
      </c>
      <c r="L88" s="79">
        <v>33309</v>
      </c>
      <c r="M88" s="79">
        <v>33309</v>
      </c>
      <c r="N88" s="79">
        <v>33309</v>
      </c>
      <c r="O88" s="79">
        <v>33309</v>
      </c>
      <c r="P88" s="79">
        <v>133238</v>
      </c>
      <c r="Q88" s="79">
        <v>133238</v>
      </c>
      <c r="R88" t="s">
        <v>185</v>
      </c>
      <c r="S88" t="s">
        <v>185</v>
      </c>
      <c r="T88" t="s">
        <v>185</v>
      </c>
      <c r="U88" t="s">
        <v>185</v>
      </c>
      <c r="V88" t="s">
        <v>185</v>
      </c>
      <c r="W88">
        <v>580</v>
      </c>
      <c r="X88">
        <v>6480</v>
      </c>
      <c r="Y88">
        <v>1498920</v>
      </c>
      <c r="Z88">
        <v>1665450</v>
      </c>
      <c r="AA88">
        <v>999270</v>
      </c>
      <c r="AB88">
        <v>999270</v>
      </c>
      <c r="AC88">
        <v>999270</v>
      </c>
      <c r="AD88">
        <v>7994280</v>
      </c>
      <c r="AE88">
        <v>3997140</v>
      </c>
    </row>
    <row r="89" customHeight="1" spans="1:31">
      <c r="A89" s="78">
        <v>86</v>
      </c>
      <c r="B89" s="78">
        <v>1220</v>
      </c>
      <c r="C89" s="78">
        <f t="shared" si="2"/>
        <v>19976860</v>
      </c>
      <c r="D89" s="79"/>
      <c r="E89" s="79"/>
      <c r="F89" s="79"/>
      <c r="G89" s="79"/>
      <c r="H89" s="79"/>
      <c r="I89" s="79">
        <v>29</v>
      </c>
      <c r="J89" s="79">
        <v>216</v>
      </c>
      <c r="K89" s="79">
        <v>54963</v>
      </c>
      <c r="L89" s="79">
        <v>36642</v>
      </c>
      <c r="M89" s="79">
        <v>36642</v>
      </c>
      <c r="N89" s="79">
        <v>36642</v>
      </c>
      <c r="O89" s="79">
        <v>36642</v>
      </c>
      <c r="P89" s="79">
        <v>146567</v>
      </c>
      <c r="Q89" s="79">
        <v>146567</v>
      </c>
      <c r="R89" t="s">
        <v>185</v>
      </c>
      <c r="S89" t="s">
        <v>185</v>
      </c>
      <c r="T89" t="s">
        <v>185</v>
      </c>
      <c r="U89" t="s">
        <v>185</v>
      </c>
      <c r="V89" t="s">
        <v>185</v>
      </c>
      <c r="W89">
        <v>580</v>
      </c>
      <c r="X89">
        <v>6480</v>
      </c>
      <c r="Y89">
        <v>1648890</v>
      </c>
      <c r="Z89">
        <v>1832100</v>
      </c>
      <c r="AA89">
        <v>1099260</v>
      </c>
      <c r="AB89">
        <v>1099260</v>
      </c>
      <c r="AC89">
        <v>1099260</v>
      </c>
      <c r="AD89">
        <v>8794020</v>
      </c>
      <c r="AE89">
        <v>4397010</v>
      </c>
    </row>
    <row r="90" customHeight="1" spans="1:31">
      <c r="A90" s="78">
        <v>87</v>
      </c>
      <c r="B90" s="78">
        <v>1240</v>
      </c>
      <c r="C90" s="78">
        <f t="shared" si="2"/>
        <v>21974480</v>
      </c>
      <c r="D90" s="79"/>
      <c r="E90" s="79"/>
      <c r="F90" s="79"/>
      <c r="G90" s="79"/>
      <c r="H90" s="79"/>
      <c r="I90" s="79">
        <v>29</v>
      </c>
      <c r="J90" s="79">
        <v>216</v>
      </c>
      <c r="K90" s="79">
        <v>60461</v>
      </c>
      <c r="L90" s="79">
        <v>40307</v>
      </c>
      <c r="M90" s="79">
        <v>40307</v>
      </c>
      <c r="N90" s="79">
        <v>40307</v>
      </c>
      <c r="O90" s="79">
        <v>40307</v>
      </c>
      <c r="P90" s="79">
        <v>161229</v>
      </c>
      <c r="Q90" s="79">
        <v>161229</v>
      </c>
      <c r="R90" t="s">
        <v>185</v>
      </c>
      <c r="S90" t="s">
        <v>185</v>
      </c>
      <c r="T90" t="s">
        <v>185</v>
      </c>
      <c r="U90" t="s">
        <v>185</v>
      </c>
      <c r="V90" t="s">
        <v>185</v>
      </c>
      <c r="W90">
        <v>580</v>
      </c>
      <c r="X90">
        <v>6480</v>
      </c>
      <c r="Y90">
        <v>1813830</v>
      </c>
      <c r="Z90">
        <v>2015350</v>
      </c>
      <c r="AA90">
        <v>1209210</v>
      </c>
      <c r="AB90">
        <v>1209210</v>
      </c>
      <c r="AC90">
        <v>1209210</v>
      </c>
      <c r="AD90">
        <v>9673740</v>
      </c>
      <c r="AE90">
        <v>4836870</v>
      </c>
    </row>
    <row r="91" customHeight="1" spans="1:31">
      <c r="A91" s="78">
        <v>88</v>
      </c>
      <c r="B91" s="78">
        <v>1260</v>
      </c>
      <c r="C91" s="78">
        <f t="shared" si="2"/>
        <v>24171920</v>
      </c>
      <c r="D91" s="79"/>
      <c r="E91" s="79"/>
      <c r="F91" s="79"/>
      <c r="G91" s="79"/>
      <c r="H91" s="79"/>
      <c r="I91" s="79">
        <v>29</v>
      </c>
      <c r="J91" s="79">
        <v>216</v>
      </c>
      <c r="K91" s="79">
        <v>66509</v>
      </c>
      <c r="L91" s="79">
        <v>44339</v>
      </c>
      <c r="M91" s="79">
        <v>44339</v>
      </c>
      <c r="N91" s="79">
        <v>44339</v>
      </c>
      <c r="O91" s="79">
        <v>44339</v>
      </c>
      <c r="P91" s="79">
        <v>177357</v>
      </c>
      <c r="Q91" s="79">
        <v>177357</v>
      </c>
      <c r="R91" t="s">
        <v>185</v>
      </c>
      <c r="S91" t="s">
        <v>185</v>
      </c>
      <c r="T91" t="s">
        <v>185</v>
      </c>
      <c r="U91" t="s">
        <v>185</v>
      </c>
      <c r="V91" t="s">
        <v>185</v>
      </c>
      <c r="W91">
        <v>580</v>
      </c>
      <c r="X91">
        <v>6480</v>
      </c>
      <c r="Y91">
        <v>1995270</v>
      </c>
      <c r="Z91">
        <v>2216950</v>
      </c>
      <c r="AA91">
        <v>1330170</v>
      </c>
      <c r="AB91">
        <v>1330170</v>
      </c>
      <c r="AC91">
        <v>1330170</v>
      </c>
      <c r="AD91">
        <v>10641420</v>
      </c>
      <c r="AE91">
        <v>5320710</v>
      </c>
    </row>
    <row r="92" customHeight="1" spans="1:31">
      <c r="A92" s="78">
        <v>89</v>
      </c>
      <c r="B92" s="78">
        <v>1280</v>
      </c>
      <c r="C92" s="78">
        <f t="shared" si="2"/>
        <v>26589330</v>
      </c>
      <c r="D92" s="79"/>
      <c r="E92" s="79"/>
      <c r="F92" s="79"/>
      <c r="G92" s="79"/>
      <c r="H92" s="79"/>
      <c r="I92" s="79">
        <v>29</v>
      </c>
      <c r="J92" s="79">
        <v>216</v>
      </c>
      <c r="K92" s="79">
        <v>73162</v>
      </c>
      <c r="L92" s="79">
        <v>48775</v>
      </c>
      <c r="M92" s="79">
        <v>48775</v>
      </c>
      <c r="N92" s="79">
        <v>48775</v>
      </c>
      <c r="O92" s="79">
        <v>48775</v>
      </c>
      <c r="P92" s="79">
        <v>195099</v>
      </c>
      <c r="Q92" s="79">
        <v>195099</v>
      </c>
      <c r="R92" t="s">
        <v>185</v>
      </c>
      <c r="S92" t="s">
        <v>185</v>
      </c>
      <c r="T92" t="s">
        <v>185</v>
      </c>
      <c r="U92" t="s">
        <v>185</v>
      </c>
      <c r="V92" t="s">
        <v>185</v>
      </c>
      <c r="W92">
        <v>580</v>
      </c>
      <c r="X92">
        <v>6480</v>
      </c>
      <c r="Y92">
        <v>2194860</v>
      </c>
      <c r="Z92">
        <v>2438750</v>
      </c>
      <c r="AA92">
        <v>1463250</v>
      </c>
      <c r="AB92">
        <v>1463250</v>
      </c>
      <c r="AC92">
        <v>1463250</v>
      </c>
      <c r="AD92">
        <v>11705940</v>
      </c>
      <c r="AE92">
        <v>5852970</v>
      </c>
    </row>
    <row r="93" customHeight="1" spans="1:31">
      <c r="A93" s="78">
        <v>90</v>
      </c>
      <c r="B93" s="78">
        <v>1300</v>
      </c>
      <c r="C93" s="78">
        <f t="shared" si="2"/>
        <v>29248140</v>
      </c>
      <c r="D93" s="79"/>
      <c r="E93" s="79"/>
      <c r="F93" s="79"/>
      <c r="G93" s="79"/>
      <c r="H93" s="79"/>
      <c r="I93" s="79">
        <v>29</v>
      </c>
      <c r="J93" s="79">
        <v>216</v>
      </c>
      <c r="K93" s="79">
        <v>80480</v>
      </c>
      <c r="L93" s="79">
        <v>53653</v>
      </c>
      <c r="M93" s="79">
        <v>53653</v>
      </c>
      <c r="N93" s="79">
        <v>53653</v>
      </c>
      <c r="O93" s="79">
        <v>53653</v>
      </c>
      <c r="P93" s="79">
        <v>214614</v>
      </c>
      <c r="Q93" s="79">
        <v>214614</v>
      </c>
      <c r="R93" t="s">
        <v>185</v>
      </c>
      <c r="S93" t="s">
        <v>185</v>
      </c>
      <c r="T93" t="s">
        <v>185</v>
      </c>
      <c r="U93" t="s">
        <v>185</v>
      </c>
      <c r="V93" t="s">
        <v>185</v>
      </c>
      <c r="W93">
        <v>580</v>
      </c>
      <c r="X93">
        <v>6480</v>
      </c>
      <c r="Y93">
        <v>2414400</v>
      </c>
      <c r="Z93">
        <v>2682650</v>
      </c>
      <c r="AA93">
        <v>1609590</v>
      </c>
      <c r="AB93">
        <v>1609590</v>
      </c>
      <c r="AC93">
        <v>1609590</v>
      </c>
      <c r="AD93">
        <v>12876840</v>
      </c>
      <c r="AE93">
        <v>6438420</v>
      </c>
    </row>
    <row r="94" customHeight="1" spans="1:31">
      <c r="A94" s="78">
        <v>91</v>
      </c>
      <c r="B94" s="78">
        <v>1320</v>
      </c>
      <c r="C94" s="78">
        <f t="shared" si="2"/>
        <v>32173050</v>
      </c>
      <c r="D94" s="79"/>
      <c r="E94" s="79"/>
      <c r="F94" s="79"/>
      <c r="G94" s="79"/>
      <c r="H94" s="79"/>
      <c r="I94" s="79">
        <v>29</v>
      </c>
      <c r="J94" s="79">
        <v>216</v>
      </c>
      <c r="K94" s="79">
        <v>88530</v>
      </c>
      <c r="L94" s="79">
        <v>59020</v>
      </c>
      <c r="M94" s="79">
        <v>59020</v>
      </c>
      <c r="N94" s="79">
        <v>59020</v>
      </c>
      <c r="O94" s="79">
        <v>59020</v>
      </c>
      <c r="P94" s="79">
        <v>236081</v>
      </c>
      <c r="Q94" s="79">
        <v>236081</v>
      </c>
      <c r="R94" t="s">
        <v>185</v>
      </c>
      <c r="S94" t="s">
        <v>185</v>
      </c>
      <c r="T94" t="s">
        <v>185</v>
      </c>
      <c r="U94" t="s">
        <v>185</v>
      </c>
      <c r="V94" t="s">
        <v>185</v>
      </c>
      <c r="W94">
        <v>580</v>
      </c>
      <c r="X94">
        <v>6480</v>
      </c>
      <c r="Y94">
        <v>2655900</v>
      </c>
      <c r="Z94">
        <v>2951000</v>
      </c>
      <c r="AA94">
        <v>1770600</v>
      </c>
      <c r="AB94">
        <v>1770600</v>
      </c>
      <c r="AC94">
        <v>1770600</v>
      </c>
      <c r="AD94">
        <v>14164860</v>
      </c>
      <c r="AE94">
        <v>7082430</v>
      </c>
    </row>
    <row r="95" customHeight="1" spans="1:31">
      <c r="A95" s="78">
        <v>92</v>
      </c>
      <c r="B95" s="78">
        <v>1340</v>
      </c>
      <c r="C95" s="78">
        <f t="shared" si="2"/>
        <v>35390290</v>
      </c>
      <c r="D95" s="79"/>
      <c r="E95" s="79"/>
      <c r="F95" s="79"/>
      <c r="G95" s="79"/>
      <c r="H95" s="79"/>
      <c r="I95" s="79">
        <v>29</v>
      </c>
      <c r="J95" s="79">
        <v>216</v>
      </c>
      <c r="K95" s="79">
        <v>97385</v>
      </c>
      <c r="L95" s="79">
        <v>64923</v>
      </c>
      <c r="M95" s="79">
        <v>64923</v>
      </c>
      <c r="N95" s="79">
        <v>64923</v>
      </c>
      <c r="O95" s="79">
        <v>64923</v>
      </c>
      <c r="P95" s="79">
        <v>259694</v>
      </c>
      <c r="Q95" s="79">
        <v>259694</v>
      </c>
      <c r="R95" t="s">
        <v>185</v>
      </c>
      <c r="S95" t="s">
        <v>185</v>
      </c>
      <c r="T95" t="s">
        <v>185</v>
      </c>
      <c r="U95" t="s">
        <v>185</v>
      </c>
      <c r="V95" t="s">
        <v>185</v>
      </c>
      <c r="W95">
        <v>580</v>
      </c>
      <c r="X95">
        <v>6480</v>
      </c>
      <c r="Y95">
        <v>2921550</v>
      </c>
      <c r="Z95">
        <v>3246150</v>
      </c>
      <c r="AA95">
        <v>1947690</v>
      </c>
      <c r="AB95">
        <v>1947690</v>
      </c>
      <c r="AC95">
        <v>1947690</v>
      </c>
      <c r="AD95">
        <v>15581640</v>
      </c>
      <c r="AE95">
        <v>7790820</v>
      </c>
    </row>
    <row r="96" customHeight="1" spans="1:31">
      <c r="A96" s="78">
        <v>93</v>
      </c>
      <c r="B96" s="78">
        <v>1360</v>
      </c>
      <c r="C96" s="78">
        <f t="shared" si="2"/>
        <v>38929430</v>
      </c>
      <c r="D96" s="79"/>
      <c r="E96" s="79"/>
      <c r="F96" s="79"/>
      <c r="G96" s="79"/>
      <c r="H96" s="79"/>
      <c r="I96" s="79">
        <v>29</v>
      </c>
      <c r="J96" s="79">
        <v>216</v>
      </c>
      <c r="K96" s="79">
        <v>107126</v>
      </c>
      <c r="L96" s="79">
        <v>71417</v>
      </c>
      <c r="M96" s="79">
        <v>71417</v>
      </c>
      <c r="N96" s="79">
        <v>71417</v>
      </c>
      <c r="O96" s="79">
        <v>71417</v>
      </c>
      <c r="P96" s="79">
        <v>285669</v>
      </c>
      <c r="Q96" s="79">
        <v>285669</v>
      </c>
      <c r="R96" t="s">
        <v>185</v>
      </c>
      <c r="S96" t="s">
        <v>185</v>
      </c>
      <c r="T96" t="s">
        <v>185</v>
      </c>
      <c r="U96" t="s">
        <v>185</v>
      </c>
      <c r="V96" t="s">
        <v>185</v>
      </c>
      <c r="W96">
        <v>580</v>
      </c>
      <c r="X96">
        <v>6480</v>
      </c>
      <c r="Y96">
        <v>3213780</v>
      </c>
      <c r="Z96">
        <v>3570850</v>
      </c>
      <c r="AA96">
        <v>2142510</v>
      </c>
      <c r="AB96">
        <v>2142510</v>
      </c>
      <c r="AC96">
        <v>2142510</v>
      </c>
      <c r="AD96">
        <v>17140140</v>
      </c>
      <c r="AE96">
        <v>8570070</v>
      </c>
    </row>
    <row r="97" customHeight="1" spans="1:31">
      <c r="A97" s="78">
        <v>94</v>
      </c>
      <c r="B97" s="78">
        <v>1380</v>
      </c>
      <c r="C97" s="78">
        <f t="shared" si="2"/>
        <v>42822350</v>
      </c>
      <c r="D97" s="79"/>
      <c r="E97" s="79"/>
      <c r="F97" s="79"/>
      <c r="G97" s="79"/>
      <c r="H97" s="79"/>
      <c r="I97" s="79">
        <v>29</v>
      </c>
      <c r="J97" s="79">
        <v>216</v>
      </c>
      <c r="K97" s="79">
        <v>117840</v>
      </c>
      <c r="L97" s="79">
        <v>78560</v>
      </c>
      <c r="M97" s="79">
        <v>78560</v>
      </c>
      <c r="N97" s="79">
        <v>78560</v>
      </c>
      <c r="O97" s="79">
        <v>78560</v>
      </c>
      <c r="P97" s="79">
        <v>314241</v>
      </c>
      <c r="Q97" s="79">
        <v>314241</v>
      </c>
      <c r="R97" t="s">
        <v>185</v>
      </c>
      <c r="S97" t="s">
        <v>185</v>
      </c>
      <c r="T97" t="s">
        <v>185</v>
      </c>
      <c r="U97" t="s">
        <v>185</v>
      </c>
      <c r="V97" t="s">
        <v>185</v>
      </c>
      <c r="W97">
        <v>580</v>
      </c>
      <c r="X97">
        <v>6480</v>
      </c>
      <c r="Y97">
        <v>3535200</v>
      </c>
      <c r="Z97">
        <v>3928000</v>
      </c>
      <c r="AA97">
        <v>2356800</v>
      </c>
      <c r="AB97">
        <v>2356800</v>
      </c>
      <c r="AC97">
        <v>2356800</v>
      </c>
      <c r="AD97">
        <v>18854460</v>
      </c>
      <c r="AE97">
        <v>9427230</v>
      </c>
    </row>
    <row r="98" customHeight="1" spans="1:31">
      <c r="A98" s="78">
        <v>95</v>
      </c>
      <c r="B98" s="78">
        <v>1400</v>
      </c>
      <c r="C98" s="78">
        <f t="shared" si="2"/>
        <v>47104660</v>
      </c>
      <c r="D98" s="79"/>
      <c r="E98" s="79"/>
      <c r="F98" s="79"/>
      <c r="G98" s="79"/>
      <c r="H98" s="79"/>
      <c r="I98" s="79">
        <v>29</v>
      </c>
      <c r="J98" s="79">
        <v>216</v>
      </c>
      <c r="K98" s="79">
        <v>129626</v>
      </c>
      <c r="L98" s="79">
        <v>86418</v>
      </c>
      <c r="M98" s="79">
        <v>86418</v>
      </c>
      <c r="N98" s="79">
        <v>86418</v>
      </c>
      <c r="O98" s="79">
        <v>86418</v>
      </c>
      <c r="P98" s="79">
        <v>345670</v>
      </c>
      <c r="Q98" s="79">
        <v>345670</v>
      </c>
      <c r="R98" t="s">
        <v>185</v>
      </c>
      <c r="S98" t="s">
        <v>185</v>
      </c>
      <c r="T98" t="s">
        <v>185</v>
      </c>
      <c r="U98" t="s">
        <v>185</v>
      </c>
      <c r="V98" t="s">
        <v>185</v>
      </c>
      <c r="W98">
        <v>580</v>
      </c>
      <c r="X98">
        <v>6480</v>
      </c>
      <c r="Y98">
        <v>3888780</v>
      </c>
      <c r="Z98">
        <v>4320900</v>
      </c>
      <c r="AA98">
        <v>2592540</v>
      </c>
      <c r="AB98">
        <v>2592540</v>
      </c>
      <c r="AC98">
        <v>2592540</v>
      </c>
      <c r="AD98">
        <v>20740200</v>
      </c>
      <c r="AE98">
        <v>10370100</v>
      </c>
    </row>
    <row r="99" customHeight="1" spans="1:31">
      <c r="A99" s="78">
        <v>96</v>
      </c>
      <c r="B99" s="78">
        <v>1420</v>
      </c>
      <c r="C99" s="78">
        <f t="shared" si="2"/>
        <v>51815200</v>
      </c>
      <c r="D99" s="79"/>
      <c r="E99" s="79"/>
      <c r="F99" s="79"/>
      <c r="G99" s="79"/>
      <c r="H99" s="79"/>
      <c r="I99" s="79">
        <v>29</v>
      </c>
      <c r="J99" s="79">
        <v>216</v>
      </c>
      <c r="K99" s="79">
        <v>142591</v>
      </c>
      <c r="L99" s="79">
        <v>95061</v>
      </c>
      <c r="M99" s="79">
        <v>95061</v>
      </c>
      <c r="N99" s="79">
        <v>95061</v>
      </c>
      <c r="O99" s="79">
        <v>95061</v>
      </c>
      <c r="P99" s="79">
        <v>380243</v>
      </c>
      <c r="Q99" s="79">
        <v>380243</v>
      </c>
      <c r="R99" t="s">
        <v>185</v>
      </c>
      <c r="S99" t="s">
        <v>185</v>
      </c>
      <c r="T99" t="s">
        <v>185</v>
      </c>
      <c r="U99" t="s">
        <v>185</v>
      </c>
      <c r="V99" t="s">
        <v>185</v>
      </c>
      <c r="W99">
        <v>580</v>
      </c>
      <c r="X99">
        <v>6480</v>
      </c>
      <c r="Y99">
        <v>4277730</v>
      </c>
      <c r="Z99">
        <v>4753050</v>
      </c>
      <c r="AA99">
        <v>2851830</v>
      </c>
      <c r="AB99">
        <v>2851830</v>
      </c>
      <c r="AC99">
        <v>2851830</v>
      </c>
      <c r="AD99">
        <v>22814580</v>
      </c>
      <c r="AE99">
        <v>11407290</v>
      </c>
    </row>
    <row r="100" customHeight="1" spans="1:31">
      <c r="A100" s="78">
        <v>97</v>
      </c>
      <c r="B100" s="78">
        <v>1440</v>
      </c>
      <c r="C100" s="78">
        <f t="shared" si="2"/>
        <v>56996710</v>
      </c>
      <c r="D100" s="79"/>
      <c r="E100" s="79"/>
      <c r="F100" s="79"/>
      <c r="G100" s="79"/>
      <c r="H100" s="79"/>
      <c r="I100" s="79">
        <v>29</v>
      </c>
      <c r="J100" s="79">
        <v>216</v>
      </c>
      <c r="K100" s="79">
        <v>156852</v>
      </c>
      <c r="L100" s="79">
        <v>104568</v>
      </c>
      <c r="M100" s="79">
        <v>104568</v>
      </c>
      <c r="N100" s="79">
        <v>104568</v>
      </c>
      <c r="O100" s="79">
        <v>104568</v>
      </c>
      <c r="P100" s="79">
        <v>418273</v>
      </c>
      <c r="Q100" s="79">
        <v>418273</v>
      </c>
      <c r="R100" t="s">
        <v>185</v>
      </c>
      <c r="S100" t="s">
        <v>185</v>
      </c>
      <c r="T100" t="s">
        <v>185</v>
      </c>
      <c r="U100" t="s">
        <v>185</v>
      </c>
      <c r="V100" t="s">
        <v>185</v>
      </c>
      <c r="W100">
        <v>580</v>
      </c>
      <c r="X100">
        <v>6480</v>
      </c>
      <c r="Y100">
        <v>4705560</v>
      </c>
      <c r="Z100">
        <v>5228400</v>
      </c>
      <c r="AA100">
        <v>3137040</v>
      </c>
      <c r="AB100">
        <v>3137040</v>
      </c>
      <c r="AC100">
        <v>3137040</v>
      </c>
      <c r="AD100">
        <v>25096380</v>
      </c>
      <c r="AE100">
        <v>12548190</v>
      </c>
    </row>
    <row r="101" customHeight="1" spans="1:31">
      <c r="A101" s="78">
        <v>98</v>
      </c>
      <c r="B101" s="78">
        <v>1460</v>
      </c>
      <c r="C101" s="78">
        <f t="shared" si="2"/>
        <v>62696320</v>
      </c>
      <c r="D101" s="79"/>
      <c r="E101" s="79"/>
      <c r="F101" s="79"/>
      <c r="G101" s="79"/>
      <c r="H101" s="79"/>
      <c r="I101" s="79">
        <v>29</v>
      </c>
      <c r="J101" s="79">
        <v>216</v>
      </c>
      <c r="K101" s="79">
        <v>172539</v>
      </c>
      <c r="L101" s="79">
        <v>115026</v>
      </c>
      <c r="M101" s="79">
        <v>115026</v>
      </c>
      <c r="N101" s="79">
        <v>115026</v>
      </c>
      <c r="O101" s="79">
        <v>115026</v>
      </c>
      <c r="P101" s="79">
        <v>460105</v>
      </c>
      <c r="Q101" s="79">
        <v>460105</v>
      </c>
      <c r="R101" t="s">
        <v>185</v>
      </c>
      <c r="S101" t="s">
        <v>185</v>
      </c>
      <c r="T101" t="s">
        <v>185</v>
      </c>
      <c r="U101" t="s">
        <v>185</v>
      </c>
      <c r="V101" t="s">
        <v>185</v>
      </c>
      <c r="W101">
        <v>580</v>
      </c>
      <c r="X101">
        <v>6480</v>
      </c>
      <c r="Y101">
        <v>5176170</v>
      </c>
      <c r="Z101">
        <v>5751300</v>
      </c>
      <c r="AA101">
        <v>3450780</v>
      </c>
      <c r="AB101">
        <v>3450780</v>
      </c>
      <c r="AC101">
        <v>3450780</v>
      </c>
      <c r="AD101">
        <v>27606300</v>
      </c>
      <c r="AE101">
        <v>13803150</v>
      </c>
    </row>
    <row r="102" customHeight="1" spans="1:31">
      <c r="A102" s="78">
        <v>99</v>
      </c>
      <c r="B102" s="78">
        <v>1480</v>
      </c>
      <c r="C102" s="78">
        <f t="shared" si="2"/>
        <v>68966000</v>
      </c>
      <c r="D102" s="79"/>
      <c r="E102" s="79"/>
      <c r="F102" s="79"/>
      <c r="G102" s="79"/>
      <c r="H102" s="79"/>
      <c r="I102" s="79">
        <v>29</v>
      </c>
      <c r="J102" s="79">
        <v>216</v>
      </c>
      <c r="K102" s="79">
        <v>189795</v>
      </c>
      <c r="L102" s="79">
        <v>126530</v>
      </c>
      <c r="M102" s="79">
        <v>126530</v>
      </c>
      <c r="N102" s="79">
        <v>126530</v>
      </c>
      <c r="O102" s="79">
        <v>126530</v>
      </c>
      <c r="P102" s="79">
        <v>506121</v>
      </c>
      <c r="Q102" s="79">
        <v>506121</v>
      </c>
      <c r="R102" t="s">
        <v>185</v>
      </c>
      <c r="S102" t="s">
        <v>185</v>
      </c>
      <c r="T102" t="s">
        <v>185</v>
      </c>
      <c r="U102" t="s">
        <v>185</v>
      </c>
      <c r="V102" t="s">
        <v>185</v>
      </c>
      <c r="W102">
        <v>580</v>
      </c>
      <c r="X102">
        <v>6480</v>
      </c>
      <c r="Y102">
        <v>5693850</v>
      </c>
      <c r="Z102">
        <v>6326500</v>
      </c>
      <c r="AA102">
        <v>3795900</v>
      </c>
      <c r="AB102">
        <v>3795900</v>
      </c>
      <c r="AC102">
        <v>3795900</v>
      </c>
      <c r="AD102">
        <v>30367260</v>
      </c>
      <c r="AE102">
        <v>15183630</v>
      </c>
    </row>
    <row r="103" customFormat="1" customHeight="1" spans="2:3">
      <c r="B103" s="1"/>
      <c r="C103" s="62"/>
    </row>
    <row r="104" customFormat="1" customHeight="1" spans="2:3">
      <c r="B104" s="1"/>
      <c r="C104" s="62"/>
    </row>
    <row r="105" customFormat="1" customHeight="1" spans="2:3">
      <c r="B105" s="1"/>
      <c r="C105" s="62"/>
    </row>
    <row r="106" customFormat="1" customHeight="1" spans="2:3">
      <c r="B106" s="1"/>
      <c r="C106" s="62"/>
    </row>
    <row r="107" customFormat="1" customHeight="1" spans="2:3">
      <c r="B107" s="1"/>
      <c r="C107" s="62"/>
    </row>
    <row r="108" customFormat="1" customHeight="1" spans="2:3">
      <c r="B108" s="1"/>
      <c r="C108" s="62"/>
    </row>
    <row r="109" customFormat="1" customHeight="1" spans="2:3">
      <c r="B109" s="1"/>
      <c r="C109" s="62"/>
    </row>
    <row r="110" customFormat="1" customHeight="1" spans="2:3">
      <c r="B110" s="1"/>
      <c r="C110" s="62"/>
    </row>
    <row r="111" customFormat="1" customHeight="1" spans="2:3">
      <c r="B111" s="1"/>
      <c r="C111" s="62"/>
    </row>
    <row r="112" customFormat="1" customHeight="1" spans="2:3">
      <c r="B112" s="1"/>
      <c r="C112" s="62"/>
    </row>
    <row r="113" customFormat="1" customHeight="1" spans="2:3">
      <c r="B113" s="1"/>
      <c r="C113" s="62"/>
    </row>
    <row r="114" customFormat="1" customHeight="1" spans="2:3">
      <c r="B114" s="1"/>
      <c r="C114" s="62"/>
    </row>
    <row r="115" customFormat="1" customHeight="1" spans="2:3">
      <c r="B115" s="1"/>
      <c r="C115" s="62"/>
    </row>
    <row r="116" customFormat="1" customHeight="1" spans="2:3">
      <c r="B116" s="1"/>
      <c r="C116" s="62"/>
    </row>
    <row r="117" customFormat="1" customHeight="1" spans="2:3">
      <c r="B117" s="1"/>
      <c r="C117" s="62"/>
    </row>
    <row r="118" customFormat="1" customHeight="1" spans="2:3">
      <c r="B118" s="1"/>
      <c r="C118" s="62"/>
    </row>
    <row r="119" customFormat="1" customHeight="1" spans="2:3">
      <c r="B119" s="1"/>
      <c r="C119" s="62"/>
    </row>
    <row r="120" customFormat="1" customHeight="1" spans="2:3">
      <c r="B120" s="1"/>
      <c r="C120" s="62"/>
    </row>
    <row r="121" customFormat="1" customHeight="1" spans="2:3">
      <c r="B121" s="1"/>
      <c r="C121" s="62"/>
    </row>
    <row r="122" customFormat="1" customHeight="1" spans="2:3">
      <c r="B122" s="1"/>
      <c r="C122" s="62"/>
    </row>
    <row r="123" customFormat="1" customHeight="1" spans="2:3">
      <c r="B123" s="1"/>
      <c r="C123" s="62"/>
    </row>
    <row r="124" customFormat="1" customHeight="1" spans="2:3">
      <c r="B124" s="1"/>
      <c r="C124" s="62"/>
    </row>
    <row r="125" customFormat="1" customHeight="1" spans="2:3">
      <c r="B125" s="1"/>
      <c r="C125" s="62"/>
    </row>
    <row r="126" customFormat="1" customHeight="1" spans="2:3">
      <c r="B126" s="1"/>
      <c r="C126" s="62"/>
    </row>
    <row r="127" customFormat="1" customHeight="1" spans="2:3">
      <c r="B127" s="1"/>
      <c r="C127" s="62"/>
    </row>
    <row r="128" customFormat="1" customHeight="1" spans="2:3">
      <c r="B128" s="1"/>
      <c r="C128" s="62"/>
    </row>
    <row r="129" customFormat="1" customHeight="1" spans="2:3">
      <c r="B129" s="1"/>
      <c r="C129" s="62"/>
    </row>
    <row r="130" customFormat="1" customHeight="1" spans="2:3">
      <c r="B130" s="1"/>
      <c r="C130" s="62"/>
    </row>
    <row r="131" customFormat="1" customHeight="1" spans="2:3">
      <c r="B131" s="1"/>
      <c r="C131" s="62"/>
    </row>
    <row r="132" customFormat="1" customHeight="1" spans="2:3">
      <c r="B132" s="1"/>
      <c r="C132" s="62"/>
    </row>
    <row r="133" customFormat="1" customHeight="1" spans="2:3">
      <c r="B133" s="1"/>
      <c r="C133" s="62"/>
    </row>
    <row r="134" customFormat="1" customHeight="1" spans="2:3">
      <c r="B134" s="1"/>
      <c r="C134" s="62"/>
    </row>
    <row r="135" customFormat="1" customHeight="1" spans="2:3">
      <c r="B135" s="1"/>
      <c r="C135" s="62"/>
    </row>
    <row r="136" customFormat="1" customHeight="1" spans="2:3">
      <c r="B136" s="1"/>
      <c r="C136" s="62"/>
    </row>
    <row r="137" customFormat="1" customHeight="1" spans="2:3">
      <c r="B137" s="1"/>
      <c r="C137" s="62"/>
    </row>
    <row r="138" customFormat="1" customHeight="1" spans="2:3">
      <c r="B138" s="1"/>
      <c r="C138" s="83"/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2:H22"/>
  <sheetViews>
    <sheetView showGridLines="0" tabSelected="1" workbookViewId="0">
      <selection activeCell="C13" sqref="C13"/>
    </sheetView>
  </sheetViews>
  <sheetFormatPr defaultColWidth="9" defaultRowHeight="20" customHeight="1" outlineLevelCol="7"/>
  <cols>
    <col min="1" max="1" width="14.75" customWidth="1"/>
    <col min="2" max="2" width="9.625" customWidth="1"/>
    <col min="3" max="5" width="14.625" customWidth="1"/>
    <col min="6" max="7" width="9.875" customWidth="1"/>
    <col min="8" max="8" width="38.25" customWidth="1"/>
    <col min="9" max="9" width="11.75" customWidth="1"/>
  </cols>
  <sheetData>
    <row r="2" ht="36" customHeight="1" spans="1:8">
      <c r="A2" s="2" t="s">
        <v>186</v>
      </c>
      <c r="B2" s="2" t="s">
        <v>187</v>
      </c>
      <c r="C2" s="2" t="s">
        <v>188</v>
      </c>
      <c r="D2" s="9" t="s">
        <v>189</v>
      </c>
      <c r="E2" s="2" t="s">
        <v>190</v>
      </c>
      <c r="F2" s="2" t="s">
        <v>191</v>
      </c>
      <c r="G2" s="2" t="s">
        <v>192</v>
      </c>
      <c r="H2" s="2" t="s">
        <v>193</v>
      </c>
    </row>
    <row r="3" customHeight="1" spans="1:6">
      <c r="A3" t="s">
        <v>194</v>
      </c>
      <c r="B3" t="s">
        <v>195</v>
      </c>
      <c r="C3">
        <v>20</v>
      </c>
      <c r="D3">
        <f t="shared" ref="D3:D16" si="0">E3/10000</f>
        <v>3.067</v>
      </c>
      <c r="E3">
        <f>VLOOKUP(C3,生活水平!$A$4:$C$102,3,FALSE)</f>
        <v>30670</v>
      </c>
      <c r="F3">
        <v>20</v>
      </c>
    </row>
    <row r="4" customHeight="1" spans="1:6">
      <c r="A4" t="s">
        <v>196</v>
      </c>
      <c r="B4" t="s">
        <v>195</v>
      </c>
      <c r="C4">
        <v>20</v>
      </c>
      <c r="D4">
        <f t="shared" si="0"/>
        <v>3.067</v>
      </c>
      <c r="E4">
        <f>VLOOKUP(C4,生活水平!$A$4:$C$102,3,FALSE)</f>
        <v>30670</v>
      </c>
      <c r="F4">
        <v>6</v>
      </c>
    </row>
    <row r="5" customHeight="1" spans="1:6">
      <c r="A5" t="s">
        <v>197</v>
      </c>
      <c r="B5" t="s">
        <v>195</v>
      </c>
      <c r="C5">
        <v>20</v>
      </c>
      <c r="D5">
        <f t="shared" si="0"/>
        <v>3.067</v>
      </c>
      <c r="E5">
        <f>VLOOKUP(C5,生活水平!$A$4:$C$102,3,FALSE)</f>
        <v>30670</v>
      </c>
      <c r="F5">
        <v>18</v>
      </c>
    </row>
    <row r="6" customHeight="1" spans="1:6">
      <c r="A6" t="s">
        <v>198</v>
      </c>
      <c r="B6" t="s">
        <v>199</v>
      </c>
      <c r="C6">
        <v>10</v>
      </c>
      <c r="D6">
        <f t="shared" si="0"/>
        <v>0.783</v>
      </c>
      <c r="E6">
        <f>VLOOKUP(C6,生活水平!$A$4:$C$102,3,FALSE)</f>
        <v>7830</v>
      </c>
      <c r="F6">
        <v>3</v>
      </c>
    </row>
    <row r="7" customHeight="1" spans="1:6">
      <c r="A7" t="s">
        <v>200</v>
      </c>
      <c r="B7" t="s">
        <v>199</v>
      </c>
      <c r="C7">
        <v>10</v>
      </c>
      <c r="D7">
        <f t="shared" si="0"/>
        <v>0.783</v>
      </c>
      <c r="E7">
        <f>VLOOKUP(C7,生活水平!$A$4:$C$102,3,FALSE)</f>
        <v>7830</v>
      </c>
      <c r="F7">
        <v>3</v>
      </c>
    </row>
    <row r="8" customHeight="1" spans="1:6">
      <c r="A8" t="s">
        <v>201</v>
      </c>
      <c r="B8" t="s">
        <v>199</v>
      </c>
      <c r="C8">
        <v>10</v>
      </c>
      <c r="D8">
        <f t="shared" si="0"/>
        <v>0.783</v>
      </c>
      <c r="E8">
        <f>VLOOKUP(C8,生活水平!$A$4:$C$102,3,FALSE)</f>
        <v>7830</v>
      </c>
      <c r="F8">
        <v>3</v>
      </c>
    </row>
    <row r="9" customHeight="1" spans="1:6">
      <c r="A9" t="s">
        <v>202</v>
      </c>
      <c r="B9" t="s">
        <v>199</v>
      </c>
      <c r="C9">
        <v>10</v>
      </c>
      <c r="D9">
        <f t="shared" si="0"/>
        <v>0.783</v>
      </c>
      <c r="E9">
        <f>VLOOKUP(C9,生活水平!$A$4:$C$102,3,FALSE)</f>
        <v>7830</v>
      </c>
      <c r="F9">
        <v>4</v>
      </c>
    </row>
    <row r="10" customHeight="1" spans="1:6">
      <c r="A10" t="s">
        <v>203</v>
      </c>
      <c r="B10" t="s">
        <v>199</v>
      </c>
      <c r="C10">
        <v>10</v>
      </c>
      <c r="D10">
        <f t="shared" si="0"/>
        <v>0.783</v>
      </c>
      <c r="E10">
        <f>VLOOKUP(C10,生活水平!$A$4:$C$102,3,FALSE)</f>
        <v>7830</v>
      </c>
      <c r="F10">
        <v>5</v>
      </c>
    </row>
    <row r="11" customHeight="1" spans="1:6">
      <c r="A11" t="s">
        <v>204</v>
      </c>
      <c r="B11" t="s">
        <v>199</v>
      </c>
      <c r="C11">
        <v>10</v>
      </c>
      <c r="D11">
        <f t="shared" si="0"/>
        <v>0.783</v>
      </c>
      <c r="E11">
        <f>VLOOKUP(C11,生活水平!$A$4:$C$102,3,FALSE)</f>
        <v>7830</v>
      </c>
      <c r="F11">
        <v>3</v>
      </c>
    </row>
    <row r="12" customHeight="1" spans="1:6">
      <c r="A12" t="s">
        <v>205</v>
      </c>
      <c r="B12" t="s">
        <v>206</v>
      </c>
      <c r="C12">
        <v>7</v>
      </c>
      <c r="D12">
        <f t="shared" si="0"/>
        <v>0.549</v>
      </c>
      <c r="E12">
        <f>VLOOKUP(C12,生活水平!$A$4:$C$102,3,FALSE)</f>
        <v>5490</v>
      </c>
      <c r="F12">
        <v>2</v>
      </c>
    </row>
    <row r="13" customHeight="1" spans="1:6">
      <c r="A13" t="s">
        <v>207</v>
      </c>
      <c r="B13" t="s">
        <v>206</v>
      </c>
      <c r="C13">
        <v>5</v>
      </c>
      <c r="D13">
        <f t="shared" si="0"/>
        <v>0.465</v>
      </c>
      <c r="E13">
        <f>VLOOKUP(C13,生活水平!$A$4:$C$102,3,FALSE)</f>
        <v>4650</v>
      </c>
      <c r="F13">
        <v>0.2</v>
      </c>
    </row>
    <row r="14" customHeight="1" spans="1:6">
      <c r="A14" t="s">
        <v>208</v>
      </c>
      <c r="B14" t="s">
        <v>206</v>
      </c>
      <c r="C14">
        <v>5</v>
      </c>
      <c r="D14">
        <f t="shared" si="0"/>
        <v>0.465</v>
      </c>
      <c r="E14">
        <f>VLOOKUP(C14,生活水平!$A$4:$C$102,3,FALSE)</f>
        <v>4650</v>
      </c>
      <c r="F14">
        <v>1</v>
      </c>
    </row>
    <row r="15" customHeight="1" spans="1:6">
      <c r="A15" t="s">
        <v>209</v>
      </c>
      <c r="B15" t="s">
        <v>206</v>
      </c>
      <c r="C15">
        <v>1</v>
      </c>
      <c r="D15">
        <f t="shared" si="0"/>
        <v>0.325</v>
      </c>
      <c r="E15">
        <f>VLOOKUP(C15,生活水平!$A$4:$C$102,3,FALSE)</f>
        <v>3250</v>
      </c>
      <c r="F15">
        <v>0</v>
      </c>
    </row>
    <row r="16" customHeight="1" spans="1:6">
      <c r="A16" t="s">
        <v>210</v>
      </c>
      <c r="B16" t="s">
        <v>206</v>
      </c>
      <c r="C16">
        <v>10</v>
      </c>
      <c r="D16">
        <f t="shared" si="0"/>
        <v>0.783</v>
      </c>
      <c r="E16">
        <f>VLOOKUP(C16,生活水平!$A$4:$C$102,3,FALSE)</f>
        <v>7830</v>
      </c>
      <c r="F16">
        <v>3</v>
      </c>
    </row>
    <row r="19" customHeight="1" spans="1:8">
      <c r="A19" t="s">
        <v>211</v>
      </c>
      <c r="B19" t="s">
        <v>199</v>
      </c>
      <c r="H19" t="s">
        <v>212</v>
      </c>
    </row>
    <row r="21" customHeight="1" spans="1:8">
      <c r="A21" s="58" t="s">
        <v>213</v>
      </c>
      <c r="B21" s="59"/>
      <c r="C21" s="59"/>
      <c r="D21" s="59"/>
      <c r="E21" s="59"/>
      <c r="F21" s="59"/>
      <c r="G21" s="59"/>
      <c r="H21" s="59"/>
    </row>
    <row r="22" ht="40" customHeight="1" spans="1:8">
      <c r="A22" s="2" t="s">
        <v>186</v>
      </c>
      <c r="B22" s="2" t="s">
        <v>187</v>
      </c>
      <c r="C22" s="2" t="s">
        <v>188</v>
      </c>
      <c r="D22" s="9" t="s">
        <v>189</v>
      </c>
      <c r="E22" s="2" t="s">
        <v>190</v>
      </c>
      <c r="F22" s="2" t="s">
        <v>191</v>
      </c>
      <c r="G22" s="2" t="s">
        <v>192</v>
      </c>
      <c r="H22" s="2" t="s">
        <v>193</v>
      </c>
    </row>
  </sheetData>
  <mergeCells count="1">
    <mergeCell ref="A21:H21"/>
  </mergeCells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P68"/>
  <sheetViews>
    <sheetView showGridLines="0" workbookViewId="0">
      <selection activeCell="G13" sqref="G13"/>
    </sheetView>
  </sheetViews>
  <sheetFormatPr defaultColWidth="9" defaultRowHeight="20" customHeight="1"/>
  <cols>
    <col min="1" max="1" width="14.625" customWidth="1"/>
    <col min="2" max="2" width="15.6916666666667" customWidth="1"/>
    <col min="3" max="3" width="17" customWidth="1"/>
    <col min="4" max="4" width="5.625" customWidth="1"/>
    <col min="5" max="5" width="17" customWidth="1"/>
    <col min="6" max="6" width="5.625" customWidth="1"/>
    <col min="7" max="7" width="17" customWidth="1"/>
    <col min="8" max="8" width="5.625" customWidth="1"/>
    <col min="9" max="9" width="17" customWidth="1"/>
    <col min="10" max="10" width="5.625" customWidth="1"/>
    <col min="11" max="11" width="17" customWidth="1"/>
    <col min="12" max="12" width="5.625" customWidth="1"/>
    <col min="13" max="13" width="8.875" style="1" customWidth="1"/>
    <col min="15" max="15" width="13.625" customWidth="1"/>
    <col min="16" max="16" width="16.875" customWidth="1"/>
  </cols>
  <sheetData>
    <row r="1" ht="40" customHeight="1" spans="1:4">
      <c r="A1" s="55"/>
      <c r="B1" s="3"/>
      <c r="C1" s="9" t="s">
        <v>214</v>
      </c>
      <c r="D1" s="2">
        <v>68</v>
      </c>
    </row>
    <row r="2" customHeight="1" spans="1:15">
      <c r="A2" s="2" t="s">
        <v>215</v>
      </c>
      <c r="B2" s="2" t="s">
        <v>216</v>
      </c>
      <c r="C2" s="2" t="s">
        <v>217</v>
      </c>
      <c r="D2" s="2" t="s">
        <v>218</v>
      </c>
      <c r="E2" s="2" t="s">
        <v>217</v>
      </c>
      <c r="F2" s="2" t="s">
        <v>218</v>
      </c>
      <c r="G2" s="2" t="s">
        <v>217</v>
      </c>
      <c r="H2" s="2" t="s">
        <v>218</v>
      </c>
      <c r="I2" s="2" t="s">
        <v>217</v>
      </c>
      <c r="J2" s="2" t="s">
        <v>218</v>
      </c>
      <c r="K2" s="2" t="s">
        <v>217</v>
      </c>
      <c r="L2" s="2" t="s">
        <v>218</v>
      </c>
      <c r="M2" s="2" t="s">
        <v>219</v>
      </c>
      <c r="N2" s="2" t="s">
        <v>220</v>
      </c>
      <c r="O2" s="2" t="s">
        <v>221</v>
      </c>
    </row>
    <row r="3" customHeight="1" spans="1:16">
      <c r="A3" t="s">
        <v>222</v>
      </c>
      <c r="B3" s="51" t="s">
        <v>223</v>
      </c>
      <c r="C3" s="56" t="s">
        <v>224</v>
      </c>
      <c r="D3" s="57">
        <v>5</v>
      </c>
      <c r="E3" s="56" t="s">
        <v>225</v>
      </c>
      <c r="F3" s="57">
        <v>5</v>
      </c>
      <c r="G3" s="56" t="s">
        <v>226</v>
      </c>
      <c r="H3" s="57">
        <v>5</v>
      </c>
      <c r="I3" s="56" t="s">
        <v>226</v>
      </c>
      <c r="J3" s="57">
        <v>5</v>
      </c>
      <c r="K3" s="56" t="s">
        <v>227</v>
      </c>
      <c r="L3" s="57">
        <v>8</v>
      </c>
      <c r="M3" s="1" t="s">
        <v>126</v>
      </c>
      <c r="N3" s="1"/>
      <c r="P3" t="str">
        <f t="shared" ref="P3:P11" si="0">"building_"&amp;B3</f>
        <v>building_食品厂</v>
      </c>
    </row>
    <row r="4" customHeight="1" spans="1:16">
      <c r="A4" t="s">
        <v>222</v>
      </c>
      <c r="B4" s="51" t="s">
        <v>228</v>
      </c>
      <c r="C4" s="56" t="s">
        <v>224</v>
      </c>
      <c r="D4" s="57">
        <v>5</v>
      </c>
      <c r="E4" s="56" t="s">
        <v>225</v>
      </c>
      <c r="F4" s="57">
        <v>5</v>
      </c>
      <c r="G4" s="56" t="s">
        <v>226</v>
      </c>
      <c r="H4" s="57">
        <v>5</v>
      </c>
      <c r="I4" s="56" t="s">
        <v>226</v>
      </c>
      <c r="J4" s="57">
        <v>5</v>
      </c>
      <c r="K4" s="56" t="s">
        <v>227</v>
      </c>
      <c r="L4" s="57">
        <v>8</v>
      </c>
      <c r="M4" s="1" t="s">
        <v>140</v>
      </c>
      <c r="N4" s="1"/>
      <c r="P4" t="str">
        <f t="shared" si="0"/>
        <v>building_酿酒厂</v>
      </c>
    </row>
    <row r="5" customHeight="1" spans="1:16">
      <c r="A5" t="s">
        <v>222</v>
      </c>
      <c r="B5" s="51" t="s">
        <v>229</v>
      </c>
      <c r="C5" s="56" t="s">
        <v>224</v>
      </c>
      <c r="D5" s="57">
        <v>5</v>
      </c>
      <c r="E5" s="56" t="s">
        <v>226</v>
      </c>
      <c r="F5" s="57">
        <v>5</v>
      </c>
      <c r="G5" s="56" t="s">
        <v>226</v>
      </c>
      <c r="H5" s="57">
        <v>5</v>
      </c>
      <c r="I5" s="56" t="s">
        <v>227</v>
      </c>
      <c r="J5" s="57">
        <v>8</v>
      </c>
      <c r="K5" s="56"/>
      <c r="L5" s="57"/>
      <c r="M5" s="1" t="s">
        <v>127</v>
      </c>
      <c r="N5" s="1"/>
      <c r="P5" t="str">
        <f t="shared" si="0"/>
        <v>building_造纸厂</v>
      </c>
    </row>
    <row r="6" customHeight="1" spans="1:16">
      <c r="A6" t="s">
        <v>222</v>
      </c>
      <c r="B6" s="51" t="s">
        <v>230</v>
      </c>
      <c r="C6" s="56" t="s">
        <v>224</v>
      </c>
      <c r="D6" s="57">
        <v>5</v>
      </c>
      <c r="E6" s="56" t="s">
        <v>225</v>
      </c>
      <c r="F6" s="57">
        <v>5</v>
      </c>
      <c r="G6" s="56" t="s">
        <v>226</v>
      </c>
      <c r="H6" s="57">
        <v>5</v>
      </c>
      <c r="I6" s="56" t="s">
        <v>226</v>
      </c>
      <c r="J6" s="57">
        <v>5</v>
      </c>
      <c r="K6" s="56" t="s">
        <v>227</v>
      </c>
      <c r="L6" s="57">
        <v>8</v>
      </c>
      <c r="M6" s="1" t="s">
        <v>135</v>
      </c>
      <c r="N6" s="1" t="s">
        <v>231</v>
      </c>
      <c r="P6" t="str">
        <f t="shared" si="0"/>
        <v>building_纺织厂</v>
      </c>
    </row>
    <row r="7" customHeight="1" spans="1:16">
      <c r="A7" t="s">
        <v>222</v>
      </c>
      <c r="B7" s="51" t="s">
        <v>232</v>
      </c>
      <c r="C7" s="56" t="s">
        <v>224</v>
      </c>
      <c r="D7" s="57">
        <v>5</v>
      </c>
      <c r="E7" s="56" t="s">
        <v>225</v>
      </c>
      <c r="F7" s="57">
        <v>5</v>
      </c>
      <c r="G7" s="56" t="s">
        <v>226</v>
      </c>
      <c r="H7" s="57">
        <v>5</v>
      </c>
      <c r="I7" s="56" t="s">
        <v>226</v>
      </c>
      <c r="J7" s="57">
        <v>5</v>
      </c>
      <c r="K7" s="56" t="s">
        <v>227</v>
      </c>
      <c r="L7" s="57">
        <v>8</v>
      </c>
      <c r="M7" s="1" t="s">
        <v>137</v>
      </c>
      <c r="N7" s="1" t="s">
        <v>138</v>
      </c>
      <c r="P7" t="str">
        <f t="shared" si="0"/>
        <v>building_家具厂</v>
      </c>
    </row>
    <row r="8" customHeight="1" spans="1:16">
      <c r="A8" t="s">
        <v>222</v>
      </c>
      <c r="B8" s="51" t="s">
        <v>233</v>
      </c>
      <c r="C8" s="56" t="s">
        <v>224</v>
      </c>
      <c r="D8" s="57">
        <v>5</v>
      </c>
      <c r="E8" s="56" t="s">
        <v>225</v>
      </c>
      <c r="F8" s="57">
        <v>5</v>
      </c>
      <c r="G8" s="56" t="s">
        <v>226</v>
      </c>
      <c r="H8" s="57">
        <v>5</v>
      </c>
      <c r="I8" s="56" t="s">
        <v>226</v>
      </c>
      <c r="J8" s="57">
        <v>5</v>
      </c>
      <c r="K8" s="56" t="s">
        <v>227</v>
      </c>
      <c r="L8" s="57">
        <v>8</v>
      </c>
      <c r="M8" s="1" t="s">
        <v>131</v>
      </c>
      <c r="N8" s="1" t="s">
        <v>234</v>
      </c>
      <c r="P8" t="str">
        <f t="shared" si="0"/>
        <v>building_玻璃厂</v>
      </c>
    </row>
    <row r="9" customHeight="1" spans="1:16">
      <c r="A9" t="s">
        <v>222</v>
      </c>
      <c r="B9" s="51" t="s">
        <v>235</v>
      </c>
      <c r="C9" s="56" t="s">
        <v>224</v>
      </c>
      <c r="D9" s="57">
        <v>5</v>
      </c>
      <c r="E9" s="56" t="s">
        <v>225</v>
      </c>
      <c r="F9" s="57">
        <v>5</v>
      </c>
      <c r="G9" s="56" t="s">
        <v>226</v>
      </c>
      <c r="H9" s="57">
        <v>5</v>
      </c>
      <c r="I9" s="56" t="s">
        <v>226</v>
      </c>
      <c r="J9" s="57">
        <v>5</v>
      </c>
      <c r="K9" s="56" t="s">
        <v>227</v>
      </c>
      <c r="L9" s="57">
        <v>8</v>
      </c>
      <c r="M9" s="1" t="s">
        <v>128</v>
      </c>
      <c r="N9" s="1" t="s">
        <v>148</v>
      </c>
      <c r="P9" t="str">
        <f t="shared" si="0"/>
        <v>building_化工厂</v>
      </c>
    </row>
    <row r="10" customHeight="1" spans="1:16">
      <c r="A10" t="s">
        <v>222</v>
      </c>
      <c r="B10" s="51" t="s">
        <v>236</v>
      </c>
      <c r="C10" s="56" t="s">
        <v>224</v>
      </c>
      <c r="D10" s="57">
        <v>5</v>
      </c>
      <c r="E10" s="56" t="s">
        <v>226</v>
      </c>
      <c r="F10" s="57">
        <v>5</v>
      </c>
      <c r="G10" s="56" t="s">
        <v>226</v>
      </c>
      <c r="H10" s="57">
        <v>5</v>
      </c>
      <c r="I10" s="56" t="s">
        <v>227</v>
      </c>
      <c r="J10" s="57">
        <v>8</v>
      </c>
      <c r="K10" s="56"/>
      <c r="L10" s="57"/>
      <c r="M10" s="1" t="s">
        <v>145</v>
      </c>
      <c r="N10" s="1"/>
      <c r="P10" t="str">
        <f t="shared" si="0"/>
        <v>building_工具作坊</v>
      </c>
    </row>
    <row r="11" customHeight="1" spans="1:16">
      <c r="A11" t="s">
        <v>222</v>
      </c>
      <c r="B11" s="51" t="s">
        <v>237</v>
      </c>
      <c r="C11" s="56" t="s">
        <v>224</v>
      </c>
      <c r="D11" s="57">
        <v>5</v>
      </c>
      <c r="E11" s="56" t="s">
        <v>226</v>
      </c>
      <c r="F11" s="57">
        <v>5</v>
      </c>
      <c r="G11" s="56" t="s">
        <v>226</v>
      </c>
      <c r="H11" s="57">
        <v>5</v>
      </c>
      <c r="I11" s="56" t="s">
        <v>227</v>
      </c>
      <c r="J11" s="57">
        <v>8</v>
      </c>
      <c r="K11" s="56"/>
      <c r="L11" s="57"/>
      <c r="M11" s="1" t="s">
        <v>146</v>
      </c>
      <c r="N11" s="1"/>
      <c r="P11" t="str">
        <f t="shared" si="0"/>
        <v>building_魔偶工厂</v>
      </c>
    </row>
    <row r="12" customHeight="1" spans="1:16">
      <c r="A12" t="s">
        <v>222</v>
      </c>
      <c r="B12" s="51" t="s">
        <v>238</v>
      </c>
      <c r="C12" s="56" t="s">
        <v>224</v>
      </c>
      <c r="D12" s="57">
        <v>5</v>
      </c>
      <c r="E12" s="56" t="s">
        <v>225</v>
      </c>
      <c r="F12" s="57">
        <v>5</v>
      </c>
      <c r="G12" s="56" t="s">
        <v>226</v>
      </c>
      <c r="H12" s="57">
        <v>5</v>
      </c>
      <c r="I12" s="56" t="s">
        <v>226</v>
      </c>
      <c r="J12" s="57">
        <v>5</v>
      </c>
      <c r="K12" s="56" t="s">
        <v>227</v>
      </c>
      <c r="L12" s="57">
        <v>8</v>
      </c>
      <c r="P12" t="str">
        <f t="shared" ref="P12:P34" si="1">"building_"&amp;B12</f>
        <v>building_科学武器厂</v>
      </c>
    </row>
    <row r="13" customHeight="1" spans="1:16">
      <c r="A13" t="s">
        <v>222</v>
      </c>
      <c r="B13" s="51" t="s">
        <v>239</v>
      </c>
      <c r="C13" s="56" t="s">
        <v>224</v>
      </c>
      <c r="D13" s="57">
        <v>5</v>
      </c>
      <c r="E13" s="56" t="s">
        <v>225</v>
      </c>
      <c r="F13" s="57">
        <v>5</v>
      </c>
      <c r="G13" s="56" t="s">
        <v>226</v>
      </c>
      <c r="H13" s="57">
        <v>5</v>
      </c>
      <c r="I13" s="56" t="s">
        <v>226</v>
      </c>
      <c r="J13" s="57">
        <v>5</v>
      </c>
      <c r="K13" s="56" t="s">
        <v>227</v>
      </c>
      <c r="L13" s="57">
        <v>8</v>
      </c>
      <c r="P13" t="str">
        <f t="shared" si="1"/>
        <v>building_魔导武器厂</v>
      </c>
    </row>
    <row r="14" customHeight="1" spans="13:13">
      <c r="M14"/>
    </row>
    <row r="15" customHeight="1" spans="1:16">
      <c r="A15" t="s">
        <v>240</v>
      </c>
      <c r="B15" s="51" t="s">
        <v>241</v>
      </c>
      <c r="C15" s="56" t="s">
        <v>224</v>
      </c>
      <c r="D15" s="57">
        <v>5</v>
      </c>
      <c r="E15" s="56" t="s">
        <v>226</v>
      </c>
      <c r="F15" s="57">
        <v>5</v>
      </c>
      <c r="G15" s="56" t="s">
        <v>226</v>
      </c>
      <c r="H15" s="57">
        <v>5</v>
      </c>
      <c r="I15" s="56" t="s">
        <v>227</v>
      </c>
      <c r="J15" s="57">
        <v>8</v>
      </c>
      <c r="K15" s="56"/>
      <c r="L15" s="57"/>
      <c r="P15" t="str">
        <f t="shared" si="1"/>
        <v>building_合成材料工厂</v>
      </c>
    </row>
    <row r="16" customHeight="1" spans="1:16">
      <c r="A16" t="s">
        <v>240</v>
      </c>
      <c r="B16" s="51" t="s">
        <v>242</v>
      </c>
      <c r="C16" s="56" t="s">
        <v>224</v>
      </c>
      <c r="D16" s="57">
        <v>5</v>
      </c>
      <c r="E16" s="56" t="s">
        <v>226</v>
      </c>
      <c r="F16" s="57">
        <v>5</v>
      </c>
      <c r="G16" s="56" t="s">
        <v>226</v>
      </c>
      <c r="H16" s="57">
        <v>5</v>
      </c>
      <c r="I16" s="56" t="s">
        <v>227</v>
      </c>
      <c r="J16" s="57">
        <v>8</v>
      </c>
      <c r="K16" s="56"/>
      <c r="L16" s="57"/>
      <c r="M16" s="1" t="s">
        <v>129</v>
      </c>
      <c r="N16" s="1"/>
      <c r="P16" t="str">
        <f t="shared" si="1"/>
        <v>building_钢铁厂</v>
      </c>
    </row>
    <row r="17" customHeight="1" spans="1:16">
      <c r="A17" t="s">
        <v>240</v>
      </c>
      <c r="B17" s="51" t="s">
        <v>243</v>
      </c>
      <c r="C17" s="56" t="s">
        <v>224</v>
      </c>
      <c r="D17" s="57">
        <v>5</v>
      </c>
      <c r="E17" s="56" t="s">
        <v>226</v>
      </c>
      <c r="F17" s="57">
        <v>5</v>
      </c>
      <c r="G17" s="56" t="s">
        <v>226</v>
      </c>
      <c r="H17" s="57">
        <v>5</v>
      </c>
      <c r="I17" s="56" t="s">
        <v>227</v>
      </c>
      <c r="J17" s="57">
        <v>8</v>
      </c>
      <c r="K17" s="56"/>
      <c r="L17" s="57"/>
      <c r="M17" s="1" t="s">
        <v>154</v>
      </c>
      <c r="N17" s="1"/>
      <c r="P17" t="str">
        <f t="shared" si="1"/>
        <v>building_炼金厂</v>
      </c>
    </row>
    <row r="18" customHeight="1" spans="1:16">
      <c r="A18" t="s">
        <v>240</v>
      </c>
      <c r="B18" s="51" t="s">
        <v>244</v>
      </c>
      <c r="C18" s="56" t="s">
        <v>224</v>
      </c>
      <c r="D18" s="57">
        <v>5</v>
      </c>
      <c r="E18" s="56" t="s">
        <v>226</v>
      </c>
      <c r="F18" s="57">
        <v>5</v>
      </c>
      <c r="G18" s="56" t="s">
        <v>226</v>
      </c>
      <c r="H18" s="57">
        <v>5</v>
      </c>
      <c r="I18" s="56" t="s">
        <v>227</v>
      </c>
      <c r="J18" s="57">
        <v>8</v>
      </c>
      <c r="K18" s="56"/>
      <c r="L18" s="57"/>
      <c r="M18" s="1" t="s">
        <v>151</v>
      </c>
      <c r="N18" s="1"/>
      <c r="P18" t="str">
        <f t="shared" si="1"/>
        <v>building_晶体萃取厂</v>
      </c>
    </row>
    <row r="19" customHeight="1" spans="1:16">
      <c r="A19" t="s">
        <v>240</v>
      </c>
      <c r="B19" s="51" t="s">
        <v>245</v>
      </c>
      <c r="C19" s="56" t="s">
        <v>224</v>
      </c>
      <c r="D19" s="57">
        <v>5</v>
      </c>
      <c r="E19" s="56" t="s">
        <v>226</v>
      </c>
      <c r="F19" s="57">
        <v>5</v>
      </c>
      <c r="G19" s="56" t="s">
        <v>226</v>
      </c>
      <c r="H19" s="57">
        <v>5</v>
      </c>
      <c r="I19" s="56" t="s">
        <v>227</v>
      </c>
      <c r="J19" s="57">
        <v>8</v>
      </c>
      <c r="K19" s="56"/>
      <c r="L19" s="57"/>
      <c r="M19" s="1" t="s">
        <v>149</v>
      </c>
      <c r="N19" s="1"/>
      <c r="P19" t="str">
        <f t="shared" si="1"/>
        <v>building_科学动力厂</v>
      </c>
    </row>
    <row r="20" customHeight="1" spans="1:16">
      <c r="A20" t="s">
        <v>240</v>
      </c>
      <c r="B20" s="51" t="s">
        <v>246</v>
      </c>
      <c r="C20" s="56" t="s">
        <v>224</v>
      </c>
      <c r="D20" s="57">
        <v>5</v>
      </c>
      <c r="E20" s="56" t="s">
        <v>226</v>
      </c>
      <c r="F20" s="57">
        <v>5</v>
      </c>
      <c r="G20" s="56" t="s">
        <v>226</v>
      </c>
      <c r="H20" s="57">
        <v>5</v>
      </c>
      <c r="I20" s="56" t="s">
        <v>227</v>
      </c>
      <c r="J20" s="57">
        <v>8</v>
      </c>
      <c r="K20" s="56"/>
      <c r="L20" s="57"/>
      <c r="M20" s="1" t="s">
        <v>150</v>
      </c>
      <c r="N20" s="1"/>
      <c r="P20" t="str">
        <f t="shared" si="1"/>
        <v>building_魔导动力厂</v>
      </c>
    </row>
    <row r="21" customHeight="1" spans="1:16">
      <c r="A21" t="s">
        <v>240</v>
      </c>
      <c r="B21" s="51" t="s">
        <v>247</v>
      </c>
      <c r="C21" s="56" t="s">
        <v>224</v>
      </c>
      <c r="D21" s="57">
        <v>5</v>
      </c>
      <c r="E21" s="56" t="s">
        <v>225</v>
      </c>
      <c r="F21" s="57">
        <v>5</v>
      </c>
      <c r="G21" s="56" t="s">
        <v>226</v>
      </c>
      <c r="H21" s="57">
        <v>5</v>
      </c>
      <c r="I21" s="56" t="s">
        <v>226</v>
      </c>
      <c r="J21" s="57">
        <v>5</v>
      </c>
      <c r="K21" s="56" t="s">
        <v>227</v>
      </c>
      <c r="L21" s="57">
        <v>8</v>
      </c>
      <c r="P21" t="str">
        <f t="shared" si="1"/>
        <v>building_魔能军械厂</v>
      </c>
    </row>
    <row r="22" customHeight="1" spans="1:16">
      <c r="A22" t="s">
        <v>240</v>
      </c>
      <c r="B22" s="51" t="s">
        <v>248</v>
      </c>
      <c r="C22" s="56" t="s">
        <v>224</v>
      </c>
      <c r="D22" s="57">
        <v>5</v>
      </c>
      <c r="E22" s="56" t="s">
        <v>225</v>
      </c>
      <c r="F22" s="57">
        <v>5</v>
      </c>
      <c r="G22" s="56" t="s">
        <v>226</v>
      </c>
      <c r="H22" s="57">
        <v>5</v>
      </c>
      <c r="I22" s="56" t="s">
        <v>226</v>
      </c>
      <c r="J22" s="57">
        <v>5</v>
      </c>
      <c r="K22" s="56" t="s">
        <v>227</v>
      </c>
      <c r="L22" s="57">
        <v>8</v>
      </c>
      <c r="P22" t="str">
        <f t="shared" si="1"/>
        <v>building_科学军械厂</v>
      </c>
    </row>
    <row r="23" customFormat="1" customHeight="1"/>
    <row r="24" customHeight="1" spans="1:16">
      <c r="A24" t="s">
        <v>249</v>
      </c>
      <c r="B24" s="51" t="s">
        <v>250</v>
      </c>
      <c r="C24" s="56" t="s">
        <v>224</v>
      </c>
      <c r="D24" s="57">
        <v>5</v>
      </c>
      <c r="E24" s="56" t="s">
        <v>227</v>
      </c>
      <c r="F24" s="57">
        <v>5</v>
      </c>
      <c r="G24" s="56" t="s">
        <v>251</v>
      </c>
      <c r="H24" s="57"/>
      <c r="I24" s="56"/>
      <c r="J24" s="57"/>
      <c r="K24" s="56"/>
      <c r="L24" s="57"/>
      <c r="M24" s="1" t="s">
        <v>147</v>
      </c>
      <c r="P24" t="str">
        <f t="shared" si="1"/>
        <v>building_道路</v>
      </c>
    </row>
    <row r="25" customHeight="1" spans="1:16">
      <c r="A25" t="s">
        <v>249</v>
      </c>
      <c r="B25" s="51" t="s">
        <v>252</v>
      </c>
      <c r="C25" s="56" t="s">
        <v>224</v>
      </c>
      <c r="D25" s="57">
        <v>5</v>
      </c>
      <c r="E25" s="56" t="s">
        <v>227</v>
      </c>
      <c r="F25" s="57">
        <v>5</v>
      </c>
      <c r="G25" s="56" t="s">
        <v>251</v>
      </c>
      <c r="H25" s="57"/>
      <c r="I25" s="56"/>
      <c r="J25" s="57"/>
      <c r="K25" s="56"/>
      <c r="L25" s="57"/>
      <c r="M25" s="1" t="s">
        <v>147</v>
      </c>
      <c r="P25" t="str">
        <f t="shared" si="1"/>
        <v>building_铁路</v>
      </c>
    </row>
    <row r="26" customHeight="1" spans="1:16">
      <c r="A26" t="s">
        <v>249</v>
      </c>
      <c r="B26" s="51" t="s">
        <v>253</v>
      </c>
      <c r="C26" s="56" t="s">
        <v>224</v>
      </c>
      <c r="D26" s="57">
        <v>5</v>
      </c>
      <c r="E26" s="56" t="s">
        <v>227</v>
      </c>
      <c r="F26" s="57">
        <v>5</v>
      </c>
      <c r="G26" s="56" t="s">
        <v>251</v>
      </c>
      <c r="H26" s="57"/>
      <c r="I26" s="56"/>
      <c r="J26" s="57"/>
      <c r="K26" s="56"/>
      <c r="L26" s="57"/>
      <c r="M26" s="1" t="s">
        <v>147</v>
      </c>
      <c r="P26" t="str">
        <f t="shared" si="1"/>
        <v>building_传送阵</v>
      </c>
    </row>
    <row r="27" customHeight="1" spans="1:16">
      <c r="A27" t="s">
        <v>249</v>
      </c>
      <c r="B27" s="51" t="s">
        <v>254</v>
      </c>
      <c r="C27" s="56"/>
      <c r="D27" s="57"/>
      <c r="E27" s="56"/>
      <c r="F27" s="57"/>
      <c r="G27" s="56"/>
      <c r="H27" s="57"/>
      <c r="I27" s="56"/>
      <c r="J27" s="57"/>
      <c r="K27" s="56"/>
      <c r="L27" s="57"/>
      <c r="P27" t="str">
        <f t="shared" si="1"/>
        <v>building_贸易中心</v>
      </c>
    </row>
    <row r="28" customFormat="1" customHeight="1"/>
    <row r="29" customHeight="1" spans="1:16">
      <c r="A29" t="s">
        <v>249</v>
      </c>
      <c r="B29" s="51" t="s">
        <v>255</v>
      </c>
      <c r="C29" s="56" t="s">
        <v>224</v>
      </c>
      <c r="D29" s="57">
        <v>5</v>
      </c>
      <c r="E29" s="56" t="s">
        <v>227</v>
      </c>
      <c r="F29" s="57">
        <v>8</v>
      </c>
      <c r="G29" s="56" t="s">
        <v>227</v>
      </c>
      <c r="H29" s="57">
        <v>8</v>
      </c>
      <c r="I29" s="56"/>
      <c r="J29" s="57"/>
      <c r="K29" s="56"/>
      <c r="L29" s="57"/>
      <c r="M29" s="1" t="s">
        <v>130</v>
      </c>
      <c r="P29" t="str">
        <f t="shared" si="1"/>
        <v>building_艺术学院</v>
      </c>
    </row>
    <row r="30" customHeight="1" spans="1:16">
      <c r="A30" t="s">
        <v>249</v>
      </c>
      <c r="B30" s="51" t="s">
        <v>256</v>
      </c>
      <c r="C30" s="56" t="s">
        <v>224</v>
      </c>
      <c r="D30" s="57">
        <v>5</v>
      </c>
      <c r="E30" s="56" t="s">
        <v>224</v>
      </c>
      <c r="F30" s="57">
        <v>5</v>
      </c>
      <c r="G30" s="56" t="s">
        <v>257</v>
      </c>
      <c r="H30" s="57">
        <v>5</v>
      </c>
      <c r="I30" s="56" t="s">
        <v>227</v>
      </c>
      <c r="J30" s="57">
        <v>8</v>
      </c>
      <c r="K30" s="56"/>
      <c r="L30" s="57"/>
      <c r="M30" s="1" t="s">
        <v>130</v>
      </c>
      <c r="P30" t="str">
        <f t="shared" si="1"/>
        <v>building_城镇中心</v>
      </c>
    </row>
    <row r="31" customFormat="1" customHeight="1"/>
    <row r="32" customHeight="1" spans="1:16">
      <c r="A32" t="s">
        <v>249</v>
      </c>
      <c r="B32" s="51" t="s">
        <v>258</v>
      </c>
      <c r="C32" s="56" t="s">
        <v>224</v>
      </c>
      <c r="D32" s="57">
        <v>5</v>
      </c>
      <c r="E32" s="56"/>
      <c r="F32" s="57"/>
      <c r="G32" s="56"/>
      <c r="H32" s="57"/>
      <c r="I32" s="56"/>
      <c r="J32" s="57"/>
      <c r="K32" s="56"/>
      <c r="L32" s="57"/>
      <c r="M32" s="1" t="s">
        <v>166</v>
      </c>
      <c r="P32" t="str">
        <f t="shared" si="1"/>
        <v>building_建造部门</v>
      </c>
    </row>
    <row r="33" customFormat="1" customHeight="1"/>
    <row r="34" customHeight="1" spans="1:16">
      <c r="A34" t="s">
        <v>240</v>
      </c>
      <c r="B34" s="51" t="s">
        <v>259</v>
      </c>
      <c r="C34" s="56" t="s">
        <v>224</v>
      </c>
      <c r="D34" s="57">
        <v>5</v>
      </c>
      <c r="E34" s="56" t="s">
        <v>227</v>
      </c>
      <c r="F34" s="57">
        <v>8</v>
      </c>
      <c r="G34" s="56"/>
      <c r="H34" s="57"/>
      <c r="I34" s="56"/>
      <c r="J34" s="57"/>
      <c r="K34" s="56"/>
      <c r="L34" s="57"/>
      <c r="P34" t="str">
        <f t="shared" si="1"/>
        <v>building_港口</v>
      </c>
    </row>
    <row r="35" customHeight="1" spans="1:16">
      <c r="A35" t="s">
        <v>240</v>
      </c>
      <c r="B35" s="51" t="s">
        <v>260</v>
      </c>
      <c r="C35" s="56" t="s">
        <v>224</v>
      </c>
      <c r="D35" s="57">
        <v>5</v>
      </c>
      <c r="E35" s="56" t="s">
        <v>227</v>
      </c>
      <c r="F35" s="57">
        <v>8</v>
      </c>
      <c r="G35" s="56" t="s">
        <v>227</v>
      </c>
      <c r="H35" s="57">
        <v>8</v>
      </c>
      <c r="I35" s="56"/>
      <c r="J35" s="57"/>
      <c r="K35" s="56"/>
      <c r="L35" s="57"/>
      <c r="P35" t="str">
        <f t="shared" ref="P35:P67" si="2">"building_"&amp;B35</f>
        <v>building_行政机构</v>
      </c>
    </row>
    <row r="36" customHeight="1" spans="1:16">
      <c r="A36" t="s">
        <v>240</v>
      </c>
      <c r="B36" s="51" t="s">
        <v>261</v>
      </c>
      <c r="C36" s="56" t="s">
        <v>224</v>
      </c>
      <c r="D36" s="57">
        <v>5</v>
      </c>
      <c r="E36" s="56" t="s">
        <v>227</v>
      </c>
      <c r="F36" s="57">
        <v>8</v>
      </c>
      <c r="G36" s="56" t="s">
        <v>227</v>
      </c>
      <c r="H36" s="57">
        <v>8</v>
      </c>
      <c r="I36" s="56"/>
      <c r="J36" s="57"/>
      <c r="K36" s="56"/>
      <c r="L36" s="57"/>
      <c r="P36" t="str">
        <f t="shared" si="2"/>
        <v>building_大学</v>
      </c>
    </row>
    <row r="37" customFormat="1" customHeight="1"/>
    <row r="38" customHeight="1" spans="1:16">
      <c r="A38" t="s">
        <v>262</v>
      </c>
      <c r="B38" s="51" t="s">
        <v>263</v>
      </c>
      <c r="C38" s="56" t="s">
        <v>224</v>
      </c>
      <c r="D38" s="57">
        <v>5</v>
      </c>
      <c r="E38" s="56" t="s">
        <v>225</v>
      </c>
      <c r="F38" s="57">
        <v>5</v>
      </c>
      <c r="G38" s="56" t="s">
        <v>226</v>
      </c>
      <c r="H38" s="57">
        <v>5</v>
      </c>
      <c r="I38" s="56" t="s">
        <v>226</v>
      </c>
      <c r="J38" s="57">
        <v>5</v>
      </c>
      <c r="K38" s="56" t="s">
        <v>227</v>
      </c>
      <c r="L38" s="57">
        <v>8</v>
      </c>
      <c r="P38" t="str">
        <f t="shared" si="2"/>
        <v>building_煤矿</v>
      </c>
    </row>
    <row r="39" customHeight="1" spans="1:16">
      <c r="A39" t="s">
        <v>262</v>
      </c>
      <c r="B39" s="51" t="s">
        <v>264</v>
      </c>
      <c r="C39" s="56" t="s">
        <v>224</v>
      </c>
      <c r="D39" s="57">
        <v>5</v>
      </c>
      <c r="E39" s="56" t="s">
        <v>225</v>
      </c>
      <c r="F39" s="57">
        <v>5</v>
      </c>
      <c r="G39" s="56" t="s">
        <v>226</v>
      </c>
      <c r="H39" s="57">
        <v>5</v>
      </c>
      <c r="I39" s="56" t="s">
        <v>226</v>
      </c>
      <c r="J39" s="57">
        <v>5</v>
      </c>
      <c r="K39" s="56" t="s">
        <v>227</v>
      </c>
      <c r="L39" s="57">
        <v>8</v>
      </c>
      <c r="P39" t="str">
        <f t="shared" si="2"/>
        <v>building_铁矿</v>
      </c>
    </row>
    <row r="40" customHeight="1" spans="1:16">
      <c r="A40" t="s">
        <v>262</v>
      </c>
      <c r="B40" s="51" t="s">
        <v>265</v>
      </c>
      <c r="C40" s="56" t="s">
        <v>224</v>
      </c>
      <c r="D40" s="57">
        <v>5</v>
      </c>
      <c r="E40" s="56" t="s">
        <v>225</v>
      </c>
      <c r="F40" s="57">
        <v>5</v>
      </c>
      <c r="G40" s="56" t="s">
        <v>226</v>
      </c>
      <c r="H40" s="57">
        <v>5</v>
      </c>
      <c r="I40" s="56" t="s">
        <v>226</v>
      </c>
      <c r="J40" s="57">
        <v>5</v>
      </c>
      <c r="K40" s="56" t="s">
        <v>227</v>
      </c>
      <c r="L40" s="57">
        <v>8</v>
      </c>
      <c r="P40" t="str">
        <f t="shared" si="2"/>
        <v>building_铅矿</v>
      </c>
    </row>
    <row r="41" customHeight="1" spans="1:16">
      <c r="A41" t="s">
        <v>262</v>
      </c>
      <c r="B41" s="51" t="s">
        <v>266</v>
      </c>
      <c r="C41" s="56" t="s">
        <v>224</v>
      </c>
      <c r="D41" s="57">
        <v>5</v>
      </c>
      <c r="E41" s="56" t="s">
        <v>225</v>
      </c>
      <c r="F41" s="57">
        <v>5</v>
      </c>
      <c r="G41" s="56" t="s">
        <v>226</v>
      </c>
      <c r="H41" s="57">
        <v>5</v>
      </c>
      <c r="I41" s="56" t="s">
        <v>226</v>
      </c>
      <c r="J41" s="57">
        <v>5</v>
      </c>
      <c r="K41" s="56" t="s">
        <v>227</v>
      </c>
      <c r="L41" s="57">
        <v>8</v>
      </c>
      <c r="P41" t="str">
        <f t="shared" si="2"/>
        <v>building_硫矿</v>
      </c>
    </row>
    <row r="42" customHeight="1" spans="1:16">
      <c r="A42" t="s">
        <v>262</v>
      </c>
      <c r="B42" s="51" t="s">
        <v>267</v>
      </c>
      <c r="C42" s="56" t="s">
        <v>224</v>
      </c>
      <c r="D42" s="57">
        <v>5</v>
      </c>
      <c r="E42" s="56" t="s">
        <v>225</v>
      </c>
      <c r="F42" s="57">
        <v>5</v>
      </c>
      <c r="G42" s="56" t="s">
        <v>226</v>
      </c>
      <c r="H42" s="57">
        <v>5</v>
      </c>
      <c r="I42" s="56" t="s">
        <v>226</v>
      </c>
      <c r="J42" s="57">
        <v>5</v>
      </c>
      <c r="K42" s="56" t="s">
        <v>227</v>
      </c>
      <c r="L42" s="57">
        <v>8</v>
      </c>
      <c r="P42" t="str">
        <f t="shared" si="2"/>
        <v>building_金矿</v>
      </c>
    </row>
    <row r="43" customHeight="1" spans="1:16">
      <c r="A43" t="s">
        <v>262</v>
      </c>
      <c r="B43" s="51" t="s">
        <v>268</v>
      </c>
      <c r="C43" s="56" t="s">
        <v>224</v>
      </c>
      <c r="D43" s="57">
        <v>5</v>
      </c>
      <c r="E43" s="56" t="s">
        <v>225</v>
      </c>
      <c r="F43" s="57">
        <v>5</v>
      </c>
      <c r="G43" s="56" t="s">
        <v>226</v>
      </c>
      <c r="H43" s="57">
        <v>5</v>
      </c>
      <c r="I43" s="56" t="s">
        <v>226</v>
      </c>
      <c r="J43" s="57">
        <v>5</v>
      </c>
      <c r="K43" s="56" t="s">
        <v>227</v>
      </c>
      <c r="L43" s="57">
        <v>8</v>
      </c>
      <c r="P43" t="str">
        <f t="shared" si="2"/>
        <v>building_油井</v>
      </c>
    </row>
    <row r="44" customFormat="1" customHeight="1"/>
    <row r="45" customHeight="1" spans="1:16">
      <c r="A45" t="s">
        <v>222</v>
      </c>
      <c r="B45" s="51" t="s">
        <v>269</v>
      </c>
      <c r="C45" s="56" t="s">
        <v>224</v>
      </c>
      <c r="D45" s="57">
        <v>5</v>
      </c>
      <c r="E45" s="56" t="s">
        <v>226</v>
      </c>
      <c r="F45" s="57">
        <v>5</v>
      </c>
      <c r="G45" s="56" t="s">
        <v>226</v>
      </c>
      <c r="H45" s="57">
        <v>5</v>
      </c>
      <c r="I45" s="56" t="s">
        <v>227</v>
      </c>
      <c r="J45" s="57">
        <v>8</v>
      </c>
      <c r="K45" s="56"/>
      <c r="L45" s="57"/>
      <c r="P45" t="str">
        <f t="shared" si="2"/>
        <v>building_棉花</v>
      </c>
    </row>
    <row r="46" customHeight="1" spans="1:16">
      <c r="A46" t="s">
        <v>222</v>
      </c>
      <c r="B46" s="51" t="s">
        <v>111</v>
      </c>
      <c r="C46" s="56" t="s">
        <v>224</v>
      </c>
      <c r="D46" s="57">
        <v>5</v>
      </c>
      <c r="E46" s="56" t="s">
        <v>226</v>
      </c>
      <c r="F46" s="57">
        <v>5</v>
      </c>
      <c r="G46" s="56" t="s">
        <v>226</v>
      </c>
      <c r="H46" s="57">
        <v>5</v>
      </c>
      <c r="I46" s="56" t="s">
        <v>227</v>
      </c>
      <c r="J46" s="57">
        <v>8</v>
      </c>
      <c r="K46" s="56"/>
      <c r="L46" s="57"/>
      <c r="P46" t="str">
        <f t="shared" si="2"/>
        <v>building_染料</v>
      </c>
    </row>
    <row r="47" customHeight="1" spans="1:16">
      <c r="A47" t="s">
        <v>222</v>
      </c>
      <c r="B47" s="51" t="s">
        <v>270</v>
      </c>
      <c r="C47" s="56" t="s">
        <v>224</v>
      </c>
      <c r="D47" s="57">
        <v>5</v>
      </c>
      <c r="E47" s="56" t="s">
        <v>226</v>
      </c>
      <c r="F47" s="57">
        <v>5</v>
      </c>
      <c r="G47" s="56" t="s">
        <v>226</v>
      </c>
      <c r="H47" s="57">
        <v>5</v>
      </c>
      <c r="I47" s="56" t="s">
        <v>227</v>
      </c>
      <c r="J47" s="57">
        <v>8</v>
      </c>
      <c r="K47" s="56"/>
      <c r="L47" s="57"/>
      <c r="P47" t="str">
        <f t="shared" si="2"/>
        <v>building_鸦片</v>
      </c>
    </row>
    <row r="48" customHeight="1" spans="1:16">
      <c r="A48" t="s">
        <v>222</v>
      </c>
      <c r="B48" s="51" t="s">
        <v>271</v>
      </c>
      <c r="C48" s="56" t="s">
        <v>224</v>
      </c>
      <c r="D48" s="57">
        <v>5</v>
      </c>
      <c r="E48" s="56" t="s">
        <v>226</v>
      </c>
      <c r="F48" s="57">
        <v>5</v>
      </c>
      <c r="G48" s="56" t="s">
        <v>226</v>
      </c>
      <c r="H48" s="57">
        <v>5</v>
      </c>
      <c r="I48" s="56" t="s">
        <v>227</v>
      </c>
      <c r="J48" s="57">
        <v>8</v>
      </c>
      <c r="K48" s="56"/>
      <c r="L48" s="57"/>
      <c r="P48" t="str">
        <f t="shared" si="2"/>
        <v>building_茶叶</v>
      </c>
    </row>
    <row r="49" customHeight="1" spans="1:16">
      <c r="A49" t="s">
        <v>222</v>
      </c>
      <c r="B49" s="51" t="s">
        <v>117</v>
      </c>
      <c r="C49" s="56" t="s">
        <v>224</v>
      </c>
      <c r="D49" s="57">
        <v>5</v>
      </c>
      <c r="E49" s="56" t="s">
        <v>226</v>
      </c>
      <c r="F49" s="57">
        <v>5</v>
      </c>
      <c r="G49" s="56" t="s">
        <v>226</v>
      </c>
      <c r="H49" s="57">
        <v>5</v>
      </c>
      <c r="I49" s="56" t="s">
        <v>227</v>
      </c>
      <c r="J49" s="57">
        <v>8</v>
      </c>
      <c r="K49" s="56"/>
      <c r="L49" s="57"/>
      <c r="P49" t="str">
        <f t="shared" si="2"/>
        <v>building_烟草</v>
      </c>
    </row>
    <row r="50" customHeight="1" spans="1:16">
      <c r="A50" t="s">
        <v>222</v>
      </c>
      <c r="B50" s="51" t="s">
        <v>272</v>
      </c>
      <c r="C50" s="56" t="s">
        <v>224</v>
      </c>
      <c r="D50" s="57">
        <v>5</v>
      </c>
      <c r="E50" s="56" t="s">
        <v>226</v>
      </c>
      <c r="F50" s="57">
        <v>5</v>
      </c>
      <c r="G50" s="56" t="s">
        <v>226</v>
      </c>
      <c r="H50" s="57">
        <v>5</v>
      </c>
      <c r="I50" s="56" t="s">
        <v>227</v>
      </c>
      <c r="J50" s="57">
        <v>8</v>
      </c>
      <c r="K50" s="56"/>
      <c r="L50" s="57"/>
      <c r="P50" t="str">
        <f t="shared" si="2"/>
        <v>building_香蕉</v>
      </c>
    </row>
    <row r="51" customHeight="1" spans="1:16">
      <c r="A51" t="s">
        <v>222</v>
      </c>
      <c r="B51" s="51" t="s">
        <v>273</v>
      </c>
      <c r="C51" s="56" t="s">
        <v>224</v>
      </c>
      <c r="D51" s="57">
        <v>5</v>
      </c>
      <c r="E51" s="56" t="s">
        <v>226</v>
      </c>
      <c r="F51" s="57">
        <v>5</v>
      </c>
      <c r="G51" s="56" t="s">
        <v>226</v>
      </c>
      <c r="H51" s="57">
        <v>5</v>
      </c>
      <c r="I51" s="56" t="s">
        <v>227</v>
      </c>
      <c r="J51" s="57">
        <v>8</v>
      </c>
      <c r="K51" s="56"/>
      <c r="L51" s="57"/>
      <c r="P51" t="str">
        <f t="shared" si="2"/>
        <v>building_糖类</v>
      </c>
    </row>
    <row r="52" customHeight="1" spans="1:16">
      <c r="A52" t="s">
        <v>222</v>
      </c>
      <c r="B52" s="51" t="s">
        <v>120</v>
      </c>
      <c r="C52" s="56" t="s">
        <v>224</v>
      </c>
      <c r="D52" s="57">
        <v>5</v>
      </c>
      <c r="E52" s="56" t="s">
        <v>226</v>
      </c>
      <c r="F52" s="57">
        <v>5</v>
      </c>
      <c r="G52" s="56" t="s">
        <v>226</v>
      </c>
      <c r="H52" s="57">
        <v>5</v>
      </c>
      <c r="I52" s="56" t="s">
        <v>227</v>
      </c>
      <c r="J52" s="57">
        <v>8</v>
      </c>
      <c r="K52" s="56"/>
      <c r="L52" s="57"/>
      <c r="P52" t="str">
        <f t="shared" si="2"/>
        <v>building_丝绸</v>
      </c>
    </row>
    <row r="53" customHeight="1" spans="1:16">
      <c r="A53" t="s">
        <v>222</v>
      </c>
      <c r="B53" s="51" t="s">
        <v>274</v>
      </c>
      <c r="C53" s="56" t="s">
        <v>224</v>
      </c>
      <c r="D53" s="57">
        <v>5</v>
      </c>
      <c r="E53" s="56" t="s">
        <v>226</v>
      </c>
      <c r="F53" s="57">
        <v>5</v>
      </c>
      <c r="G53" s="56" t="s">
        <v>226</v>
      </c>
      <c r="H53" s="57">
        <v>5</v>
      </c>
      <c r="I53" s="56" t="s">
        <v>227</v>
      </c>
      <c r="J53" s="57">
        <v>8</v>
      </c>
      <c r="K53" s="56"/>
      <c r="L53" s="57"/>
      <c r="P53" t="str">
        <f t="shared" si="2"/>
        <v>building_伐木场</v>
      </c>
    </row>
    <row r="54" customHeight="1" spans="1:16">
      <c r="A54" t="s">
        <v>222</v>
      </c>
      <c r="B54" s="51" t="s">
        <v>112</v>
      </c>
      <c r="C54" s="56" t="s">
        <v>224</v>
      </c>
      <c r="D54" s="57">
        <v>5</v>
      </c>
      <c r="E54" s="56" t="s">
        <v>226</v>
      </c>
      <c r="F54" s="57">
        <v>5</v>
      </c>
      <c r="G54" s="56" t="s">
        <v>226</v>
      </c>
      <c r="H54" s="57">
        <v>5</v>
      </c>
      <c r="I54" s="56" t="s">
        <v>227</v>
      </c>
      <c r="J54" s="57">
        <v>8</v>
      </c>
      <c r="K54" s="56"/>
      <c r="L54" s="57"/>
      <c r="P54" t="str">
        <f t="shared" si="2"/>
        <v>building_树胶</v>
      </c>
    </row>
    <row r="55" customHeight="1" spans="1:16">
      <c r="A55" t="s">
        <v>222</v>
      </c>
      <c r="B55" s="51" t="s">
        <v>275</v>
      </c>
      <c r="C55" s="56" t="s">
        <v>224</v>
      </c>
      <c r="D55" s="57">
        <v>5</v>
      </c>
      <c r="E55" s="56" t="s">
        <v>226</v>
      </c>
      <c r="F55" s="57">
        <v>5</v>
      </c>
      <c r="G55" s="56" t="s">
        <v>226</v>
      </c>
      <c r="H55" s="57">
        <v>5</v>
      </c>
      <c r="I55" s="56" t="s">
        <v>227</v>
      </c>
      <c r="J55" s="57">
        <v>8</v>
      </c>
      <c r="K55" s="56"/>
      <c r="L55" s="57"/>
      <c r="P55" t="str">
        <f t="shared" si="2"/>
        <v>building_黑麦</v>
      </c>
    </row>
    <row r="56" customHeight="1" spans="1:16">
      <c r="A56" t="s">
        <v>222</v>
      </c>
      <c r="B56" s="51" t="s">
        <v>276</v>
      </c>
      <c r="C56" s="56" t="s">
        <v>224</v>
      </c>
      <c r="D56" s="57">
        <v>5</v>
      </c>
      <c r="E56" s="56" t="s">
        <v>226</v>
      </c>
      <c r="F56" s="57">
        <v>5</v>
      </c>
      <c r="G56" s="56" t="s">
        <v>226</v>
      </c>
      <c r="H56" s="57">
        <v>5</v>
      </c>
      <c r="I56" s="56" t="s">
        <v>227</v>
      </c>
      <c r="J56" s="57">
        <v>8</v>
      </c>
      <c r="K56" s="56"/>
      <c r="L56" s="57"/>
      <c r="P56" t="str">
        <f t="shared" si="2"/>
        <v>building_小麦</v>
      </c>
    </row>
    <row r="57" customHeight="1" spans="1:16">
      <c r="A57" t="s">
        <v>222</v>
      </c>
      <c r="B57" s="51" t="s">
        <v>277</v>
      </c>
      <c r="C57" s="56" t="s">
        <v>224</v>
      </c>
      <c r="D57" s="57">
        <v>5</v>
      </c>
      <c r="E57" s="56" t="s">
        <v>226</v>
      </c>
      <c r="F57" s="57">
        <v>5</v>
      </c>
      <c r="G57" s="56" t="s">
        <v>226</v>
      </c>
      <c r="H57" s="57">
        <v>5</v>
      </c>
      <c r="I57" s="56" t="s">
        <v>227</v>
      </c>
      <c r="J57" s="57">
        <v>8</v>
      </c>
      <c r="K57" s="56"/>
      <c r="L57" s="57"/>
      <c r="P57" t="str">
        <f t="shared" si="2"/>
        <v>building_大米</v>
      </c>
    </row>
    <row r="58" customHeight="1" spans="1:16">
      <c r="A58" t="s">
        <v>222</v>
      </c>
      <c r="B58" s="51" t="s">
        <v>278</v>
      </c>
      <c r="C58" s="56" t="s">
        <v>224</v>
      </c>
      <c r="D58" s="57">
        <v>5</v>
      </c>
      <c r="E58" s="56" t="s">
        <v>226</v>
      </c>
      <c r="F58" s="57">
        <v>5</v>
      </c>
      <c r="G58" s="56" t="s">
        <v>226</v>
      </c>
      <c r="H58" s="57">
        <v>5</v>
      </c>
      <c r="I58" s="56" t="s">
        <v>227</v>
      </c>
      <c r="J58" s="57">
        <v>8</v>
      </c>
      <c r="K58" s="56"/>
      <c r="L58" s="57"/>
      <c r="P58" t="str">
        <f t="shared" si="2"/>
        <v>building_玉米</v>
      </c>
    </row>
    <row r="59" customHeight="1" spans="1:16">
      <c r="A59" t="s">
        <v>222</v>
      </c>
      <c r="B59" s="51" t="s">
        <v>279</v>
      </c>
      <c r="C59" s="56" t="s">
        <v>224</v>
      </c>
      <c r="D59" s="57">
        <v>5</v>
      </c>
      <c r="E59" s="56" t="s">
        <v>226</v>
      </c>
      <c r="F59" s="57">
        <v>5</v>
      </c>
      <c r="G59" s="56" t="s">
        <v>226</v>
      </c>
      <c r="H59" s="57">
        <v>5</v>
      </c>
      <c r="I59" s="56" t="s">
        <v>227</v>
      </c>
      <c r="J59" s="57">
        <v>8</v>
      </c>
      <c r="K59" s="56"/>
      <c r="L59" s="57"/>
      <c r="P59" t="str">
        <f t="shared" si="2"/>
        <v>building_小米</v>
      </c>
    </row>
    <row r="60" customHeight="1" spans="1:16">
      <c r="A60" t="s">
        <v>222</v>
      </c>
      <c r="B60" s="51" t="s">
        <v>280</v>
      </c>
      <c r="C60" s="56" t="s">
        <v>224</v>
      </c>
      <c r="D60" s="57">
        <v>5</v>
      </c>
      <c r="E60" s="56" t="s">
        <v>226</v>
      </c>
      <c r="F60" s="57">
        <v>5</v>
      </c>
      <c r="G60" s="56" t="s">
        <v>226</v>
      </c>
      <c r="H60" s="57">
        <v>5</v>
      </c>
      <c r="I60" s="56" t="s">
        <v>227</v>
      </c>
      <c r="J60" s="57">
        <v>8</v>
      </c>
      <c r="K60" s="56"/>
      <c r="L60" s="57"/>
      <c r="P60" t="str">
        <f t="shared" si="2"/>
        <v>building_牧场</v>
      </c>
    </row>
    <row r="61" customHeight="1" spans="1:16">
      <c r="A61" t="s">
        <v>222</v>
      </c>
      <c r="B61" s="51" t="s">
        <v>281</v>
      </c>
      <c r="C61" s="56" t="s">
        <v>224</v>
      </c>
      <c r="D61" s="57">
        <v>5</v>
      </c>
      <c r="E61" s="56" t="s">
        <v>226</v>
      </c>
      <c r="F61" s="57">
        <v>5</v>
      </c>
      <c r="G61" s="56" t="s">
        <v>226</v>
      </c>
      <c r="H61" s="57">
        <v>5</v>
      </c>
      <c r="I61" s="56" t="s">
        <v>227</v>
      </c>
      <c r="J61" s="57">
        <v>8</v>
      </c>
      <c r="K61" s="56"/>
      <c r="L61" s="57"/>
      <c r="P61" t="str">
        <f t="shared" si="2"/>
        <v>building_渔船码头</v>
      </c>
    </row>
    <row r="62" customHeight="1" spans="1:16">
      <c r="A62" t="s">
        <v>222</v>
      </c>
      <c r="B62" s="51" t="s">
        <v>282</v>
      </c>
      <c r="C62" s="56" t="s">
        <v>224</v>
      </c>
      <c r="D62" s="57">
        <v>5</v>
      </c>
      <c r="E62" s="56" t="s">
        <v>226</v>
      </c>
      <c r="F62" s="57">
        <v>5</v>
      </c>
      <c r="G62" s="56" t="s">
        <v>226</v>
      </c>
      <c r="H62" s="57">
        <v>5</v>
      </c>
      <c r="I62" s="56" t="s">
        <v>227</v>
      </c>
      <c r="J62" s="57">
        <v>8</v>
      </c>
      <c r="K62" s="56"/>
      <c r="L62" s="57"/>
      <c r="P62" t="str">
        <f t="shared" si="2"/>
        <v>building_捕鲸站</v>
      </c>
    </row>
    <row r="63" customFormat="1" customHeight="1"/>
    <row r="64" customHeight="1" spans="1:16">
      <c r="A64" t="s">
        <v>240</v>
      </c>
      <c r="B64" s="51" t="s">
        <v>283</v>
      </c>
      <c r="C64" s="56"/>
      <c r="D64" s="57"/>
      <c r="E64" s="56"/>
      <c r="F64" s="57"/>
      <c r="G64" s="56"/>
      <c r="H64" s="57"/>
      <c r="I64" s="56"/>
      <c r="J64" s="57"/>
      <c r="K64" s="56"/>
      <c r="L64" s="57"/>
      <c r="P64" t="str">
        <f>"building_"&amp;B64</f>
        <v>building_常备军营</v>
      </c>
    </row>
    <row r="65" customHeight="1" spans="1:16">
      <c r="A65" t="s">
        <v>240</v>
      </c>
      <c r="B65" s="51" t="s">
        <v>284</v>
      </c>
      <c r="C65" s="56"/>
      <c r="D65" s="57"/>
      <c r="E65" s="56"/>
      <c r="F65" s="57"/>
      <c r="G65" s="56"/>
      <c r="H65" s="57"/>
      <c r="I65" s="56"/>
      <c r="J65" s="57"/>
      <c r="K65" s="56"/>
      <c r="L65" s="57"/>
      <c r="P65" t="str">
        <f>"building_"&amp;B65</f>
        <v>building_动员军营</v>
      </c>
    </row>
    <row r="66" customHeight="1" spans="1:16">
      <c r="A66" t="s">
        <v>240</v>
      </c>
      <c r="B66" s="51" t="s">
        <v>285</v>
      </c>
      <c r="C66" s="56"/>
      <c r="D66" s="57"/>
      <c r="E66" s="56"/>
      <c r="F66" s="57"/>
      <c r="G66" s="56"/>
      <c r="H66" s="57"/>
      <c r="I66" s="56"/>
      <c r="J66" s="57"/>
      <c r="K66" s="56"/>
      <c r="L66" s="57"/>
      <c r="P66" t="str">
        <f>"building_"&amp;B66</f>
        <v>building_军港</v>
      </c>
    </row>
    <row r="67" customFormat="1" customHeight="1"/>
    <row r="68" customHeight="1" spans="1:16">
      <c r="A68" t="s">
        <v>222</v>
      </c>
      <c r="B68" s="51" t="s">
        <v>286</v>
      </c>
      <c r="C68" s="56"/>
      <c r="D68" s="57"/>
      <c r="E68" s="56"/>
      <c r="F68" s="57"/>
      <c r="G68" s="56"/>
      <c r="H68" s="57"/>
      <c r="I68" s="56"/>
      <c r="J68" s="57"/>
      <c r="K68" s="56"/>
      <c r="L68" s="57"/>
      <c r="P68" t="str">
        <f>"building_"&amp;B68</f>
        <v>building_自给农场</v>
      </c>
    </row>
  </sheetData>
  <mergeCells count="1">
    <mergeCell ref="A1:B1"/>
  </mergeCell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BuildingTransformer">
          <controlPr defaultSize="0" r:id="rId4">
            <anchor moveWithCells="1">
              <from>
                <xdr:col>0</xdr:col>
                <xdr:colOff>28575</xdr:colOff>
                <xdr:row>0</xdr:row>
                <xdr:rowOff>28575</xdr:rowOff>
              </from>
              <to>
                <xdr:col>1</xdr:col>
                <xdr:colOff>1181100</xdr:colOff>
                <xdr:row>0</xdr:row>
                <xdr:rowOff>485775</xdr:rowOff>
              </to>
            </anchor>
          </controlPr>
        </control>
      </mc:Choice>
      <mc:Fallback>
        <control shapeId="1025" r:id="rId3" name="BuildingTransforme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2:E1205"/>
  <sheetViews>
    <sheetView showGridLines="0" zoomScale="90" zoomScaleNormal="90" workbookViewId="0">
      <selection activeCell="D13" sqref="D13:D16"/>
    </sheetView>
  </sheetViews>
  <sheetFormatPr defaultColWidth="9" defaultRowHeight="21" customHeight="1" outlineLevelCol="4"/>
  <cols>
    <col min="1" max="1" width="14.625" style="1" customWidth="1"/>
    <col min="2" max="2" width="22.875" style="51" customWidth="1"/>
    <col min="3" max="3" width="26.875" style="52" customWidth="1"/>
    <col min="4" max="4" width="23.75" style="1" customWidth="1"/>
    <col min="5" max="5" width="14.625" style="52" customWidth="1"/>
  </cols>
  <sheetData>
    <row r="2" customHeight="1" spans="1:5">
      <c r="A2" s="2" t="s">
        <v>215</v>
      </c>
      <c r="B2" s="2" t="s">
        <v>216</v>
      </c>
      <c r="C2" s="2" t="s">
        <v>287</v>
      </c>
      <c r="D2" s="2" t="s">
        <v>217</v>
      </c>
      <c r="E2" s="2" t="s">
        <v>288</v>
      </c>
    </row>
    <row r="3" customHeight="1" spans="1:5">
      <c r="A3" s="1" t="s">
        <v>222</v>
      </c>
      <c r="B3" s="53" t="s">
        <v>289</v>
      </c>
      <c r="C3" s="5" t="s">
        <v>290</v>
      </c>
      <c r="D3" s="1" t="s">
        <v>224</v>
      </c>
      <c r="E3" s="5">
        <v>1</v>
      </c>
    </row>
    <row r="4" customHeight="1" spans="1:5">
      <c r="A4" s="1" t="s">
        <v>222</v>
      </c>
      <c r="B4" s="53" t="s">
        <v>289</v>
      </c>
      <c r="C4" s="5" t="s">
        <v>290</v>
      </c>
      <c r="D4" s="1" t="s">
        <v>224</v>
      </c>
      <c r="E4" s="5">
        <v>2</v>
      </c>
    </row>
    <row r="5" customHeight="1" spans="1:5">
      <c r="A5" s="1" t="s">
        <v>222</v>
      </c>
      <c r="B5" s="53" t="s">
        <v>289</v>
      </c>
      <c r="C5" s="5" t="s">
        <v>290</v>
      </c>
      <c r="D5" s="1" t="s">
        <v>224</v>
      </c>
      <c r="E5" s="5">
        <v>3</v>
      </c>
    </row>
    <row r="6" customHeight="1" spans="1:5">
      <c r="A6" s="1" t="s">
        <v>222</v>
      </c>
      <c r="B6" s="53" t="s">
        <v>289</v>
      </c>
      <c r="C6" s="5" t="s">
        <v>290</v>
      </c>
      <c r="D6" s="1" t="s">
        <v>224</v>
      </c>
      <c r="E6" s="5">
        <v>4</v>
      </c>
    </row>
    <row r="7" customHeight="1" spans="1:5">
      <c r="A7" s="1" t="s">
        <v>222</v>
      </c>
      <c r="B7" s="53" t="s">
        <v>289</v>
      </c>
      <c r="C7" s="5" t="s">
        <v>290</v>
      </c>
      <c r="D7" s="1" t="s">
        <v>224</v>
      </c>
      <c r="E7" s="5">
        <v>5</v>
      </c>
    </row>
    <row r="8" customHeight="1" spans="1:5">
      <c r="A8" s="1" t="s">
        <v>222</v>
      </c>
      <c r="B8" s="53" t="s">
        <v>289</v>
      </c>
      <c r="C8" s="18" t="s">
        <v>291</v>
      </c>
      <c r="D8" s="1" t="s">
        <v>225</v>
      </c>
      <c r="E8" s="18">
        <v>1</v>
      </c>
    </row>
    <row r="9" customHeight="1" spans="1:5">
      <c r="A9" s="1" t="s">
        <v>222</v>
      </c>
      <c r="B9" s="53" t="s">
        <v>289</v>
      </c>
      <c r="C9" s="18" t="s">
        <v>291</v>
      </c>
      <c r="D9" s="1" t="s">
        <v>225</v>
      </c>
      <c r="E9" s="18">
        <v>2</v>
      </c>
    </row>
    <row r="10" customHeight="1" spans="1:5">
      <c r="A10" s="1" t="s">
        <v>222</v>
      </c>
      <c r="B10" s="53" t="s">
        <v>289</v>
      </c>
      <c r="C10" s="18" t="s">
        <v>291</v>
      </c>
      <c r="D10" s="1" t="s">
        <v>225</v>
      </c>
      <c r="E10" s="18">
        <v>3</v>
      </c>
    </row>
    <row r="11" customHeight="1" spans="1:5">
      <c r="A11" s="1" t="s">
        <v>222</v>
      </c>
      <c r="B11" s="53" t="s">
        <v>289</v>
      </c>
      <c r="C11" s="18" t="s">
        <v>291</v>
      </c>
      <c r="D11" s="1" t="s">
        <v>225</v>
      </c>
      <c r="E11" s="18">
        <v>4</v>
      </c>
    </row>
    <row r="12" customHeight="1" spans="1:5">
      <c r="A12" s="1" t="s">
        <v>222</v>
      </c>
      <c r="B12" s="53" t="s">
        <v>289</v>
      </c>
      <c r="C12" s="18" t="s">
        <v>291</v>
      </c>
      <c r="D12" s="1" t="s">
        <v>225</v>
      </c>
      <c r="E12" s="18">
        <v>5</v>
      </c>
    </row>
    <row r="13" customHeight="1" spans="1:5">
      <c r="A13" s="1" t="s">
        <v>222</v>
      </c>
      <c r="B13" s="53" t="s">
        <v>289</v>
      </c>
      <c r="C13" s="5" t="s">
        <v>292</v>
      </c>
      <c r="D13" s="1" t="s">
        <v>226</v>
      </c>
      <c r="E13" s="5">
        <v>1</v>
      </c>
    </row>
    <row r="14" customHeight="1" spans="1:5">
      <c r="A14" s="1" t="s">
        <v>222</v>
      </c>
      <c r="B14" s="53" t="s">
        <v>289</v>
      </c>
      <c r="C14" s="5" t="s">
        <v>292</v>
      </c>
      <c r="D14" s="1" t="s">
        <v>226</v>
      </c>
      <c r="E14" s="5">
        <v>2</v>
      </c>
    </row>
    <row r="15" customHeight="1" spans="1:5">
      <c r="A15" s="1" t="s">
        <v>222</v>
      </c>
      <c r="B15" s="53" t="s">
        <v>289</v>
      </c>
      <c r="C15" s="5" t="s">
        <v>292</v>
      </c>
      <c r="D15" s="1" t="s">
        <v>226</v>
      </c>
      <c r="E15" s="5">
        <v>3</v>
      </c>
    </row>
    <row r="16" customHeight="1" spans="1:5">
      <c r="A16" s="1" t="s">
        <v>222</v>
      </c>
      <c r="B16" s="53" t="s">
        <v>289</v>
      </c>
      <c r="C16" s="5" t="s">
        <v>292</v>
      </c>
      <c r="D16" s="1" t="s">
        <v>226</v>
      </c>
      <c r="E16" s="5">
        <v>4</v>
      </c>
    </row>
    <row r="17" customHeight="1" spans="1:5">
      <c r="A17" s="1" t="s">
        <v>222</v>
      </c>
      <c r="B17" s="53" t="s">
        <v>289</v>
      </c>
      <c r="C17" s="5" t="s">
        <v>292</v>
      </c>
      <c r="D17" s="1" t="s">
        <v>226</v>
      </c>
      <c r="E17" s="5">
        <v>5</v>
      </c>
    </row>
    <row r="18" customHeight="1" spans="1:5">
      <c r="A18" s="1" t="s">
        <v>222</v>
      </c>
      <c r="B18" s="53" t="s">
        <v>289</v>
      </c>
      <c r="C18" s="18" t="s">
        <v>292</v>
      </c>
      <c r="D18" s="1" t="s">
        <v>226</v>
      </c>
      <c r="E18" s="18">
        <v>1</v>
      </c>
    </row>
    <row r="19" customHeight="1" spans="1:5">
      <c r="A19" s="1" t="s">
        <v>222</v>
      </c>
      <c r="B19" s="53" t="s">
        <v>289</v>
      </c>
      <c r="C19" s="18" t="s">
        <v>292</v>
      </c>
      <c r="D19" s="1" t="s">
        <v>226</v>
      </c>
      <c r="E19" s="18">
        <v>2</v>
      </c>
    </row>
    <row r="20" customHeight="1" spans="1:5">
      <c r="A20" s="1" t="s">
        <v>222</v>
      </c>
      <c r="B20" s="53" t="s">
        <v>289</v>
      </c>
      <c r="C20" s="18" t="s">
        <v>292</v>
      </c>
      <c r="D20" s="1" t="s">
        <v>226</v>
      </c>
      <c r="E20" s="18">
        <v>3</v>
      </c>
    </row>
    <row r="21" customHeight="1" spans="1:5">
      <c r="A21" s="1" t="s">
        <v>222</v>
      </c>
      <c r="B21" s="53" t="s">
        <v>289</v>
      </c>
      <c r="C21" s="18" t="s">
        <v>292</v>
      </c>
      <c r="D21" s="1" t="s">
        <v>226</v>
      </c>
      <c r="E21" s="18">
        <v>4</v>
      </c>
    </row>
    <row r="22" customHeight="1" spans="1:5">
      <c r="A22" s="1" t="s">
        <v>222</v>
      </c>
      <c r="B22" s="53" t="s">
        <v>289</v>
      </c>
      <c r="C22" s="18" t="s">
        <v>292</v>
      </c>
      <c r="D22" s="1" t="s">
        <v>226</v>
      </c>
      <c r="E22" s="18">
        <v>5</v>
      </c>
    </row>
    <row r="23" customHeight="1" spans="1:5">
      <c r="A23" s="1" t="s">
        <v>293</v>
      </c>
      <c r="B23" s="53" t="s">
        <v>289</v>
      </c>
      <c r="C23" s="5" t="s">
        <v>294</v>
      </c>
      <c r="D23" s="1" t="s">
        <v>227</v>
      </c>
      <c r="E23" s="5">
        <v>1</v>
      </c>
    </row>
    <row r="24" customHeight="1" spans="1:5">
      <c r="A24" s="1" t="s">
        <v>293</v>
      </c>
      <c r="B24" s="53" t="s">
        <v>289</v>
      </c>
      <c r="C24" s="5" t="s">
        <v>294</v>
      </c>
      <c r="D24" s="1" t="s">
        <v>227</v>
      </c>
      <c r="E24" s="5">
        <v>2</v>
      </c>
    </row>
    <row r="25" customHeight="1" spans="1:5">
      <c r="A25" s="1" t="s">
        <v>293</v>
      </c>
      <c r="B25" s="53" t="s">
        <v>289</v>
      </c>
      <c r="C25" s="5" t="s">
        <v>294</v>
      </c>
      <c r="D25" s="1" t="s">
        <v>227</v>
      </c>
      <c r="E25" s="5">
        <v>3</v>
      </c>
    </row>
    <row r="26" customHeight="1" spans="1:5">
      <c r="A26" s="1" t="s">
        <v>293</v>
      </c>
      <c r="B26" s="53" t="s">
        <v>289</v>
      </c>
      <c r="C26" s="5" t="s">
        <v>294</v>
      </c>
      <c r="D26" s="1" t="s">
        <v>227</v>
      </c>
      <c r="E26" s="5">
        <v>4</v>
      </c>
    </row>
    <row r="27" customHeight="1" spans="1:5">
      <c r="A27" s="1" t="s">
        <v>293</v>
      </c>
      <c r="B27" s="53" t="s">
        <v>289</v>
      </c>
      <c r="C27" s="5" t="s">
        <v>294</v>
      </c>
      <c r="D27" s="1" t="s">
        <v>227</v>
      </c>
      <c r="E27" s="5">
        <v>5</v>
      </c>
    </row>
    <row r="28" customHeight="1" spans="1:5">
      <c r="A28" s="1" t="s">
        <v>293</v>
      </c>
      <c r="B28" s="53" t="s">
        <v>289</v>
      </c>
      <c r="C28" s="5" t="s">
        <v>294</v>
      </c>
      <c r="D28" s="1" t="s">
        <v>227</v>
      </c>
      <c r="E28" s="5">
        <v>6</v>
      </c>
    </row>
    <row r="29" customHeight="1" spans="1:5">
      <c r="A29" s="1" t="s">
        <v>293</v>
      </c>
      <c r="B29" s="53" t="s">
        <v>289</v>
      </c>
      <c r="C29" s="5" t="s">
        <v>294</v>
      </c>
      <c r="D29" s="1" t="s">
        <v>227</v>
      </c>
      <c r="E29" s="5">
        <v>7</v>
      </c>
    </row>
    <row r="30" customHeight="1" spans="1:5">
      <c r="A30" s="1" t="s">
        <v>293</v>
      </c>
      <c r="B30" s="53" t="s">
        <v>289</v>
      </c>
      <c r="C30" s="5" t="s">
        <v>294</v>
      </c>
      <c r="D30" s="1" t="s">
        <v>227</v>
      </c>
      <c r="E30" s="5">
        <v>8</v>
      </c>
    </row>
    <row r="31" customHeight="1" spans="1:5">
      <c r="A31" s="1" t="s">
        <v>222</v>
      </c>
      <c r="B31" s="54" t="s">
        <v>295</v>
      </c>
      <c r="C31" s="18" t="s">
        <v>296</v>
      </c>
      <c r="D31" s="1" t="s">
        <v>224</v>
      </c>
      <c r="E31" s="18">
        <v>1</v>
      </c>
    </row>
    <row r="32" customHeight="1" spans="1:5">
      <c r="A32" s="1" t="s">
        <v>222</v>
      </c>
      <c r="B32" s="54" t="s">
        <v>295</v>
      </c>
      <c r="C32" s="18" t="s">
        <v>296</v>
      </c>
      <c r="D32" s="1" t="s">
        <v>224</v>
      </c>
      <c r="E32" s="18">
        <v>2</v>
      </c>
    </row>
    <row r="33" customHeight="1" spans="1:5">
      <c r="A33" s="1" t="s">
        <v>222</v>
      </c>
      <c r="B33" s="54" t="s">
        <v>295</v>
      </c>
      <c r="C33" s="18" t="s">
        <v>296</v>
      </c>
      <c r="D33" s="1" t="s">
        <v>224</v>
      </c>
      <c r="E33" s="18">
        <v>3</v>
      </c>
    </row>
    <row r="34" customHeight="1" spans="1:5">
      <c r="A34" s="1" t="s">
        <v>222</v>
      </c>
      <c r="B34" s="54" t="s">
        <v>295</v>
      </c>
      <c r="C34" s="18" t="s">
        <v>296</v>
      </c>
      <c r="D34" s="1" t="s">
        <v>224</v>
      </c>
      <c r="E34" s="18">
        <v>4</v>
      </c>
    </row>
    <row r="35" customHeight="1" spans="1:5">
      <c r="A35" s="1" t="s">
        <v>222</v>
      </c>
      <c r="B35" s="54" t="s">
        <v>295</v>
      </c>
      <c r="C35" s="18" t="s">
        <v>296</v>
      </c>
      <c r="D35" s="1" t="s">
        <v>224</v>
      </c>
      <c r="E35" s="18">
        <v>5</v>
      </c>
    </row>
    <row r="36" customHeight="1" spans="1:5">
      <c r="A36" s="1" t="s">
        <v>222</v>
      </c>
      <c r="B36" s="54" t="s">
        <v>295</v>
      </c>
      <c r="C36" s="5" t="s">
        <v>297</v>
      </c>
      <c r="D36" s="1" t="s">
        <v>225</v>
      </c>
      <c r="E36" s="5">
        <v>1</v>
      </c>
    </row>
    <row r="37" customHeight="1" spans="1:5">
      <c r="A37" s="1" t="s">
        <v>222</v>
      </c>
      <c r="B37" s="54" t="s">
        <v>295</v>
      </c>
      <c r="C37" s="5" t="s">
        <v>297</v>
      </c>
      <c r="D37" s="1" t="s">
        <v>225</v>
      </c>
      <c r="E37" s="5">
        <v>2</v>
      </c>
    </row>
    <row r="38" customHeight="1" spans="1:5">
      <c r="A38" s="1" t="s">
        <v>222</v>
      </c>
      <c r="B38" s="54" t="s">
        <v>295</v>
      </c>
      <c r="C38" s="5" t="s">
        <v>297</v>
      </c>
      <c r="D38" s="1" t="s">
        <v>225</v>
      </c>
      <c r="E38" s="5">
        <v>3</v>
      </c>
    </row>
    <row r="39" customHeight="1" spans="1:5">
      <c r="A39" s="1" t="s">
        <v>222</v>
      </c>
      <c r="B39" s="54" t="s">
        <v>295</v>
      </c>
      <c r="C39" s="5" t="s">
        <v>297</v>
      </c>
      <c r="D39" s="1" t="s">
        <v>225</v>
      </c>
      <c r="E39" s="5">
        <v>4</v>
      </c>
    </row>
    <row r="40" customHeight="1" spans="1:5">
      <c r="A40" s="1" t="s">
        <v>222</v>
      </c>
      <c r="B40" s="54" t="s">
        <v>295</v>
      </c>
      <c r="C40" s="5" t="s">
        <v>297</v>
      </c>
      <c r="D40" s="1" t="s">
        <v>225</v>
      </c>
      <c r="E40" s="5">
        <v>5</v>
      </c>
    </row>
    <row r="41" customHeight="1" spans="1:5">
      <c r="A41" s="1" t="s">
        <v>222</v>
      </c>
      <c r="B41" s="54" t="s">
        <v>295</v>
      </c>
      <c r="C41" s="18" t="s">
        <v>298</v>
      </c>
      <c r="D41" s="1" t="s">
        <v>226</v>
      </c>
      <c r="E41" s="18">
        <v>1</v>
      </c>
    </row>
    <row r="42" customHeight="1" spans="1:5">
      <c r="A42" s="1" t="s">
        <v>222</v>
      </c>
      <c r="B42" s="54" t="s">
        <v>295</v>
      </c>
      <c r="C42" s="18" t="s">
        <v>298</v>
      </c>
      <c r="D42" s="1" t="s">
        <v>226</v>
      </c>
      <c r="E42" s="18">
        <v>2</v>
      </c>
    </row>
    <row r="43" customHeight="1" spans="1:5">
      <c r="A43" s="1" t="s">
        <v>222</v>
      </c>
      <c r="B43" s="54" t="s">
        <v>295</v>
      </c>
      <c r="C43" s="18" t="s">
        <v>298</v>
      </c>
      <c r="D43" s="1" t="s">
        <v>226</v>
      </c>
      <c r="E43" s="18">
        <v>3</v>
      </c>
    </row>
    <row r="44" customHeight="1" spans="1:5">
      <c r="A44" s="1" t="s">
        <v>222</v>
      </c>
      <c r="B44" s="54" t="s">
        <v>295</v>
      </c>
      <c r="C44" s="18" t="s">
        <v>298</v>
      </c>
      <c r="D44" s="1" t="s">
        <v>226</v>
      </c>
      <c r="E44" s="18">
        <v>4</v>
      </c>
    </row>
    <row r="45" customHeight="1" spans="1:5">
      <c r="A45" s="1" t="s">
        <v>222</v>
      </c>
      <c r="B45" s="54" t="s">
        <v>295</v>
      </c>
      <c r="C45" s="18" t="s">
        <v>298</v>
      </c>
      <c r="D45" s="1" t="s">
        <v>226</v>
      </c>
      <c r="E45" s="18">
        <v>5</v>
      </c>
    </row>
    <row r="46" customHeight="1" spans="1:5">
      <c r="A46" s="1" t="s">
        <v>222</v>
      </c>
      <c r="B46" s="54" t="s">
        <v>295</v>
      </c>
      <c r="C46" s="5" t="s">
        <v>298</v>
      </c>
      <c r="D46" s="1" t="s">
        <v>226</v>
      </c>
      <c r="E46" s="5">
        <v>1</v>
      </c>
    </row>
    <row r="47" customHeight="1" spans="1:5">
      <c r="A47" s="1" t="s">
        <v>222</v>
      </c>
      <c r="B47" s="54" t="s">
        <v>295</v>
      </c>
      <c r="C47" s="5" t="s">
        <v>298</v>
      </c>
      <c r="D47" s="1" t="s">
        <v>226</v>
      </c>
      <c r="E47" s="5">
        <v>2</v>
      </c>
    </row>
    <row r="48" customHeight="1" spans="1:5">
      <c r="A48" s="1" t="s">
        <v>222</v>
      </c>
      <c r="B48" s="54" t="s">
        <v>295</v>
      </c>
      <c r="C48" s="5" t="s">
        <v>298</v>
      </c>
      <c r="D48" s="1" t="s">
        <v>226</v>
      </c>
      <c r="E48" s="5">
        <v>3</v>
      </c>
    </row>
    <row r="49" customHeight="1" spans="1:5">
      <c r="A49" s="1" t="s">
        <v>222</v>
      </c>
      <c r="B49" s="54" t="s">
        <v>295</v>
      </c>
      <c r="C49" s="5" t="s">
        <v>298</v>
      </c>
      <c r="D49" s="1" t="s">
        <v>226</v>
      </c>
      <c r="E49" s="5">
        <v>4</v>
      </c>
    </row>
    <row r="50" customHeight="1" spans="1:5">
      <c r="A50" s="1" t="s">
        <v>222</v>
      </c>
      <c r="B50" s="54" t="s">
        <v>295</v>
      </c>
      <c r="C50" s="5" t="s">
        <v>298</v>
      </c>
      <c r="D50" s="1" t="s">
        <v>226</v>
      </c>
      <c r="E50" s="5">
        <v>5</v>
      </c>
    </row>
    <row r="51" customHeight="1" spans="1:5">
      <c r="A51" s="1" t="s">
        <v>293</v>
      </c>
      <c r="B51" s="54" t="s">
        <v>295</v>
      </c>
      <c r="C51" s="18" t="s">
        <v>299</v>
      </c>
      <c r="D51" s="1" t="s">
        <v>227</v>
      </c>
      <c r="E51" s="18">
        <v>1</v>
      </c>
    </row>
    <row r="52" customHeight="1" spans="1:5">
      <c r="A52" s="1" t="s">
        <v>293</v>
      </c>
      <c r="B52" s="54" t="s">
        <v>295</v>
      </c>
      <c r="C52" s="18" t="s">
        <v>299</v>
      </c>
      <c r="D52" s="1" t="s">
        <v>227</v>
      </c>
      <c r="E52" s="18">
        <v>2</v>
      </c>
    </row>
    <row r="53" customHeight="1" spans="1:5">
      <c r="A53" s="1" t="s">
        <v>293</v>
      </c>
      <c r="B53" s="54" t="s">
        <v>295</v>
      </c>
      <c r="C53" s="18" t="s">
        <v>299</v>
      </c>
      <c r="D53" s="1" t="s">
        <v>227</v>
      </c>
      <c r="E53" s="18">
        <v>3</v>
      </c>
    </row>
    <row r="54" customHeight="1" spans="1:5">
      <c r="A54" s="1" t="s">
        <v>293</v>
      </c>
      <c r="B54" s="54" t="s">
        <v>295</v>
      </c>
      <c r="C54" s="18" t="s">
        <v>299</v>
      </c>
      <c r="D54" s="1" t="s">
        <v>227</v>
      </c>
      <c r="E54" s="18">
        <v>4</v>
      </c>
    </row>
    <row r="55" customHeight="1" spans="1:5">
      <c r="A55" s="1" t="s">
        <v>293</v>
      </c>
      <c r="B55" s="54" t="s">
        <v>295</v>
      </c>
      <c r="C55" s="18" t="s">
        <v>299</v>
      </c>
      <c r="D55" s="1" t="s">
        <v>227</v>
      </c>
      <c r="E55" s="18">
        <v>5</v>
      </c>
    </row>
    <row r="56" customHeight="1" spans="1:5">
      <c r="A56" s="1" t="s">
        <v>293</v>
      </c>
      <c r="B56" s="54" t="s">
        <v>295</v>
      </c>
      <c r="C56" s="18" t="s">
        <v>299</v>
      </c>
      <c r="D56" s="1" t="s">
        <v>227</v>
      </c>
      <c r="E56" s="18">
        <v>6</v>
      </c>
    </row>
    <row r="57" customHeight="1" spans="1:5">
      <c r="A57" s="1" t="s">
        <v>293</v>
      </c>
      <c r="B57" s="54" t="s">
        <v>295</v>
      </c>
      <c r="C57" s="18" t="s">
        <v>299</v>
      </c>
      <c r="D57" s="1" t="s">
        <v>227</v>
      </c>
      <c r="E57" s="18">
        <v>7</v>
      </c>
    </row>
    <row r="58" customHeight="1" spans="1:5">
      <c r="A58" s="1" t="s">
        <v>293</v>
      </c>
      <c r="B58" s="54" t="s">
        <v>295</v>
      </c>
      <c r="C58" s="18" t="s">
        <v>299</v>
      </c>
      <c r="D58" s="1" t="s">
        <v>227</v>
      </c>
      <c r="E58" s="18">
        <v>8</v>
      </c>
    </row>
    <row r="59" customHeight="1" spans="1:5">
      <c r="A59" s="1" t="s">
        <v>222</v>
      </c>
      <c r="B59" s="53" t="s">
        <v>300</v>
      </c>
      <c r="C59" s="5" t="s">
        <v>301</v>
      </c>
      <c r="D59" s="1" t="s">
        <v>224</v>
      </c>
      <c r="E59" s="5">
        <v>1</v>
      </c>
    </row>
    <row r="60" customHeight="1" spans="1:5">
      <c r="A60" s="1" t="s">
        <v>222</v>
      </c>
      <c r="B60" s="53" t="s">
        <v>300</v>
      </c>
      <c r="C60" s="5" t="s">
        <v>301</v>
      </c>
      <c r="D60" s="1" t="s">
        <v>224</v>
      </c>
      <c r="E60" s="5">
        <v>2</v>
      </c>
    </row>
    <row r="61" customHeight="1" spans="1:5">
      <c r="A61" s="1" t="s">
        <v>222</v>
      </c>
      <c r="B61" s="53" t="s">
        <v>300</v>
      </c>
      <c r="C61" s="5" t="s">
        <v>301</v>
      </c>
      <c r="D61" s="1" t="s">
        <v>224</v>
      </c>
      <c r="E61" s="5">
        <v>3</v>
      </c>
    </row>
    <row r="62" customHeight="1" spans="1:5">
      <c r="A62" s="1" t="s">
        <v>222</v>
      </c>
      <c r="B62" s="53" t="s">
        <v>300</v>
      </c>
      <c r="C62" s="5" t="s">
        <v>301</v>
      </c>
      <c r="D62" s="1" t="s">
        <v>224</v>
      </c>
      <c r="E62" s="5">
        <v>4</v>
      </c>
    </row>
    <row r="63" customHeight="1" spans="1:5">
      <c r="A63" s="1" t="s">
        <v>222</v>
      </c>
      <c r="B63" s="53" t="s">
        <v>300</v>
      </c>
      <c r="C63" s="5" t="s">
        <v>301</v>
      </c>
      <c r="D63" s="1" t="s">
        <v>224</v>
      </c>
      <c r="E63" s="5">
        <v>5</v>
      </c>
    </row>
    <row r="64" customHeight="1" spans="1:5">
      <c r="A64" s="1" t="s">
        <v>222</v>
      </c>
      <c r="B64" s="53" t="s">
        <v>300</v>
      </c>
      <c r="C64" s="18" t="s">
        <v>302</v>
      </c>
      <c r="D64" s="1" t="s">
        <v>226</v>
      </c>
      <c r="E64" s="18">
        <v>1</v>
      </c>
    </row>
    <row r="65" customHeight="1" spans="1:5">
      <c r="A65" s="1" t="s">
        <v>222</v>
      </c>
      <c r="B65" s="53" t="s">
        <v>300</v>
      </c>
      <c r="C65" s="18" t="s">
        <v>302</v>
      </c>
      <c r="D65" s="1" t="s">
        <v>226</v>
      </c>
      <c r="E65" s="18">
        <v>2</v>
      </c>
    </row>
    <row r="66" customHeight="1" spans="1:5">
      <c r="A66" s="1" t="s">
        <v>222</v>
      </c>
      <c r="B66" s="53" t="s">
        <v>300</v>
      </c>
      <c r="C66" s="18" t="s">
        <v>302</v>
      </c>
      <c r="D66" s="1" t="s">
        <v>226</v>
      </c>
      <c r="E66" s="18">
        <v>3</v>
      </c>
    </row>
    <row r="67" customHeight="1" spans="1:5">
      <c r="A67" s="1" t="s">
        <v>222</v>
      </c>
      <c r="B67" s="53" t="s">
        <v>300</v>
      </c>
      <c r="C67" s="18" t="s">
        <v>302</v>
      </c>
      <c r="D67" s="1" t="s">
        <v>226</v>
      </c>
      <c r="E67" s="18">
        <v>4</v>
      </c>
    </row>
    <row r="68" customHeight="1" spans="1:5">
      <c r="A68" s="1" t="s">
        <v>222</v>
      </c>
      <c r="B68" s="53" t="s">
        <v>300</v>
      </c>
      <c r="C68" s="18" t="s">
        <v>302</v>
      </c>
      <c r="D68" s="1" t="s">
        <v>226</v>
      </c>
      <c r="E68" s="18">
        <v>5</v>
      </c>
    </row>
    <row r="69" customHeight="1" spans="1:5">
      <c r="A69" s="1" t="s">
        <v>222</v>
      </c>
      <c r="B69" s="53" t="s">
        <v>300</v>
      </c>
      <c r="C69" s="5" t="s">
        <v>302</v>
      </c>
      <c r="D69" s="1" t="s">
        <v>226</v>
      </c>
      <c r="E69" s="5">
        <v>1</v>
      </c>
    </row>
    <row r="70" customHeight="1" spans="1:5">
      <c r="A70" s="1" t="s">
        <v>222</v>
      </c>
      <c r="B70" s="53" t="s">
        <v>300</v>
      </c>
      <c r="C70" s="5" t="s">
        <v>302</v>
      </c>
      <c r="D70" s="1" t="s">
        <v>226</v>
      </c>
      <c r="E70" s="5">
        <v>2</v>
      </c>
    </row>
    <row r="71" customHeight="1" spans="1:5">
      <c r="A71" s="1" t="s">
        <v>222</v>
      </c>
      <c r="B71" s="53" t="s">
        <v>300</v>
      </c>
      <c r="C71" s="5" t="s">
        <v>302</v>
      </c>
      <c r="D71" s="1" t="s">
        <v>226</v>
      </c>
      <c r="E71" s="5">
        <v>3</v>
      </c>
    </row>
    <row r="72" customHeight="1" spans="1:5">
      <c r="A72" s="1" t="s">
        <v>222</v>
      </c>
      <c r="B72" s="53" t="s">
        <v>300</v>
      </c>
      <c r="C72" s="5" t="s">
        <v>302</v>
      </c>
      <c r="D72" s="1" t="s">
        <v>226</v>
      </c>
      <c r="E72" s="5">
        <v>4</v>
      </c>
    </row>
    <row r="73" customHeight="1" spans="1:5">
      <c r="A73" s="1" t="s">
        <v>222</v>
      </c>
      <c r="B73" s="53" t="s">
        <v>300</v>
      </c>
      <c r="C73" s="5" t="s">
        <v>302</v>
      </c>
      <c r="D73" s="1" t="s">
        <v>226</v>
      </c>
      <c r="E73" s="5">
        <v>5</v>
      </c>
    </row>
    <row r="74" customHeight="1" spans="1:5">
      <c r="A74" s="1" t="s">
        <v>293</v>
      </c>
      <c r="B74" s="53" t="s">
        <v>300</v>
      </c>
      <c r="C74" s="18" t="s">
        <v>303</v>
      </c>
      <c r="D74" s="1" t="s">
        <v>227</v>
      </c>
      <c r="E74" s="18">
        <v>1</v>
      </c>
    </row>
    <row r="75" customHeight="1" spans="1:5">
      <c r="A75" s="1" t="s">
        <v>293</v>
      </c>
      <c r="B75" s="53" t="s">
        <v>300</v>
      </c>
      <c r="C75" s="18" t="s">
        <v>303</v>
      </c>
      <c r="D75" s="1" t="s">
        <v>227</v>
      </c>
      <c r="E75" s="18">
        <v>2</v>
      </c>
    </row>
    <row r="76" customHeight="1" spans="1:5">
      <c r="A76" s="1" t="s">
        <v>293</v>
      </c>
      <c r="B76" s="53" t="s">
        <v>300</v>
      </c>
      <c r="C76" s="18" t="s">
        <v>303</v>
      </c>
      <c r="D76" s="1" t="s">
        <v>227</v>
      </c>
      <c r="E76" s="18">
        <v>3</v>
      </c>
    </row>
    <row r="77" customHeight="1" spans="1:5">
      <c r="A77" s="1" t="s">
        <v>293</v>
      </c>
      <c r="B77" s="53" t="s">
        <v>300</v>
      </c>
      <c r="C77" s="18" t="s">
        <v>303</v>
      </c>
      <c r="D77" s="1" t="s">
        <v>227</v>
      </c>
      <c r="E77" s="18">
        <v>4</v>
      </c>
    </row>
    <row r="78" customHeight="1" spans="1:5">
      <c r="A78" s="1" t="s">
        <v>293</v>
      </c>
      <c r="B78" s="53" t="s">
        <v>300</v>
      </c>
      <c r="C78" s="18" t="s">
        <v>303</v>
      </c>
      <c r="D78" s="1" t="s">
        <v>227</v>
      </c>
      <c r="E78" s="18">
        <v>5</v>
      </c>
    </row>
    <row r="79" customHeight="1" spans="1:5">
      <c r="A79" s="1" t="s">
        <v>293</v>
      </c>
      <c r="B79" s="53" t="s">
        <v>300</v>
      </c>
      <c r="C79" s="18" t="s">
        <v>303</v>
      </c>
      <c r="D79" s="1" t="s">
        <v>227</v>
      </c>
      <c r="E79" s="18">
        <v>6</v>
      </c>
    </row>
    <row r="80" customHeight="1" spans="1:5">
      <c r="A80" s="1" t="s">
        <v>293</v>
      </c>
      <c r="B80" s="53" t="s">
        <v>300</v>
      </c>
      <c r="C80" s="18" t="s">
        <v>303</v>
      </c>
      <c r="D80" s="1" t="s">
        <v>227</v>
      </c>
      <c r="E80" s="18">
        <v>7</v>
      </c>
    </row>
    <row r="81" customHeight="1" spans="1:5">
      <c r="A81" s="1" t="s">
        <v>293</v>
      </c>
      <c r="B81" s="53" t="s">
        <v>300</v>
      </c>
      <c r="C81" s="18" t="s">
        <v>303</v>
      </c>
      <c r="D81" s="1" t="s">
        <v>227</v>
      </c>
      <c r="E81" s="18">
        <v>8</v>
      </c>
    </row>
    <row r="82" customHeight="1" spans="1:5">
      <c r="A82" s="1" t="s">
        <v>222</v>
      </c>
      <c r="B82" s="54" t="s">
        <v>304</v>
      </c>
      <c r="C82" s="5" t="s">
        <v>305</v>
      </c>
      <c r="D82" s="1" t="s">
        <v>224</v>
      </c>
      <c r="E82" s="5">
        <v>1</v>
      </c>
    </row>
    <row r="83" customHeight="1" spans="1:5">
      <c r="A83" s="1" t="s">
        <v>222</v>
      </c>
      <c r="B83" s="54" t="s">
        <v>304</v>
      </c>
      <c r="C83" s="5" t="s">
        <v>305</v>
      </c>
      <c r="D83" s="1" t="s">
        <v>224</v>
      </c>
      <c r="E83" s="5">
        <v>2</v>
      </c>
    </row>
    <row r="84" customHeight="1" spans="1:5">
      <c r="A84" s="1" t="s">
        <v>222</v>
      </c>
      <c r="B84" s="54" t="s">
        <v>304</v>
      </c>
      <c r="C84" s="5" t="s">
        <v>305</v>
      </c>
      <c r="D84" s="1" t="s">
        <v>224</v>
      </c>
      <c r="E84" s="5">
        <v>3</v>
      </c>
    </row>
    <row r="85" customHeight="1" spans="1:5">
      <c r="A85" s="1" t="s">
        <v>222</v>
      </c>
      <c r="B85" s="54" t="s">
        <v>304</v>
      </c>
      <c r="C85" s="5" t="s">
        <v>305</v>
      </c>
      <c r="D85" s="1" t="s">
        <v>224</v>
      </c>
      <c r="E85" s="5">
        <v>4</v>
      </c>
    </row>
    <row r="86" customHeight="1" spans="1:5">
      <c r="A86" s="1" t="s">
        <v>222</v>
      </c>
      <c r="B86" s="54" t="s">
        <v>304</v>
      </c>
      <c r="C86" s="5" t="s">
        <v>305</v>
      </c>
      <c r="D86" s="1" t="s">
        <v>224</v>
      </c>
      <c r="E86" s="5">
        <v>5</v>
      </c>
    </row>
    <row r="87" customHeight="1" spans="1:5">
      <c r="A87" s="1" t="s">
        <v>222</v>
      </c>
      <c r="B87" s="54" t="s">
        <v>304</v>
      </c>
      <c r="C87" s="18" t="s">
        <v>306</v>
      </c>
      <c r="D87" s="1" t="s">
        <v>225</v>
      </c>
      <c r="E87" s="18">
        <v>1</v>
      </c>
    </row>
    <row r="88" customHeight="1" spans="1:5">
      <c r="A88" s="1" t="s">
        <v>222</v>
      </c>
      <c r="B88" s="54" t="s">
        <v>304</v>
      </c>
      <c r="C88" s="18" t="s">
        <v>306</v>
      </c>
      <c r="D88" s="1" t="s">
        <v>225</v>
      </c>
      <c r="E88" s="18">
        <v>2</v>
      </c>
    </row>
    <row r="89" customHeight="1" spans="1:5">
      <c r="A89" s="1" t="s">
        <v>222</v>
      </c>
      <c r="B89" s="54" t="s">
        <v>304</v>
      </c>
      <c r="C89" s="18" t="s">
        <v>306</v>
      </c>
      <c r="D89" s="1" t="s">
        <v>225</v>
      </c>
      <c r="E89" s="18">
        <v>3</v>
      </c>
    </row>
    <row r="90" customHeight="1" spans="1:5">
      <c r="A90" s="1" t="s">
        <v>222</v>
      </c>
      <c r="B90" s="54" t="s">
        <v>304</v>
      </c>
      <c r="C90" s="18" t="s">
        <v>306</v>
      </c>
      <c r="D90" s="1" t="s">
        <v>225</v>
      </c>
      <c r="E90" s="18">
        <v>4</v>
      </c>
    </row>
    <row r="91" customHeight="1" spans="1:5">
      <c r="A91" s="1" t="s">
        <v>222</v>
      </c>
      <c r="B91" s="54" t="s">
        <v>304</v>
      </c>
      <c r="C91" s="18" t="s">
        <v>306</v>
      </c>
      <c r="D91" s="1" t="s">
        <v>225</v>
      </c>
      <c r="E91" s="18">
        <v>5</v>
      </c>
    </row>
    <row r="92" customHeight="1" spans="1:5">
      <c r="A92" s="1" t="s">
        <v>222</v>
      </c>
      <c r="B92" s="54" t="s">
        <v>304</v>
      </c>
      <c r="C92" s="5" t="s">
        <v>307</v>
      </c>
      <c r="D92" s="1" t="s">
        <v>226</v>
      </c>
      <c r="E92" s="5">
        <v>1</v>
      </c>
    </row>
    <row r="93" customHeight="1" spans="1:5">
      <c r="A93" s="1" t="s">
        <v>222</v>
      </c>
      <c r="B93" s="54" t="s">
        <v>304</v>
      </c>
      <c r="C93" s="5" t="s">
        <v>307</v>
      </c>
      <c r="D93" s="1" t="s">
        <v>226</v>
      </c>
      <c r="E93" s="5">
        <v>2</v>
      </c>
    </row>
    <row r="94" customHeight="1" spans="1:5">
      <c r="A94" s="1" t="s">
        <v>222</v>
      </c>
      <c r="B94" s="54" t="s">
        <v>304</v>
      </c>
      <c r="C94" s="5" t="s">
        <v>307</v>
      </c>
      <c r="D94" s="1" t="s">
        <v>226</v>
      </c>
      <c r="E94" s="5">
        <v>3</v>
      </c>
    </row>
    <row r="95" customHeight="1" spans="1:5">
      <c r="A95" s="1" t="s">
        <v>222</v>
      </c>
      <c r="B95" s="54" t="s">
        <v>304</v>
      </c>
      <c r="C95" s="5" t="s">
        <v>307</v>
      </c>
      <c r="D95" s="1" t="s">
        <v>226</v>
      </c>
      <c r="E95" s="5">
        <v>4</v>
      </c>
    </row>
    <row r="96" customHeight="1" spans="1:5">
      <c r="A96" s="1" t="s">
        <v>222</v>
      </c>
      <c r="B96" s="54" t="s">
        <v>304</v>
      </c>
      <c r="C96" s="5" t="s">
        <v>307</v>
      </c>
      <c r="D96" s="1" t="s">
        <v>226</v>
      </c>
      <c r="E96" s="5">
        <v>5</v>
      </c>
    </row>
    <row r="97" customHeight="1" spans="1:5">
      <c r="A97" s="1" t="s">
        <v>222</v>
      </c>
      <c r="B97" s="54" t="s">
        <v>304</v>
      </c>
      <c r="C97" s="18" t="s">
        <v>307</v>
      </c>
      <c r="D97" s="1" t="s">
        <v>226</v>
      </c>
      <c r="E97" s="18">
        <v>1</v>
      </c>
    </row>
    <row r="98" customHeight="1" spans="1:5">
      <c r="A98" s="1" t="s">
        <v>222</v>
      </c>
      <c r="B98" s="54" t="s">
        <v>304</v>
      </c>
      <c r="C98" s="18" t="s">
        <v>307</v>
      </c>
      <c r="D98" s="1" t="s">
        <v>226</v>
      </c>
      <c r="E98" s="18">
        <v>2</v>
      </c>
    </row>
    <row r="99" customHeight="1" spans="1:5">
      <c r="A99" s="1" t="s">
        <v>222</v>
      </c>
      <c r="B99" s="54" t="s">
        <v>304</v>
      </c>
      <c r="C99" s="18" t="s">
        <v>307</v>
      </c>
      <c r="D99" s="1" t="s">
        <v>226</v>
      </c>
      <c r="E99" s="18">
        <v>3</v>
      </c>
    </row>
    <row r="100" customHeight="1" spans="1:5">
      <c r="A100" s="1" t="s">
        <v>222</v>
      </c>
      <c r="B100" s="54" t="s">
        <v>304</v>
      </c>
      <c r="C100" s="18" t="s">
        <v>307</v>
      </c>
      <c r="D100" s="1" t="s">
        <v>226</v>
      </c>
      <c r="E100" s="18">
        <v>4</v>
      </c>
    </row>
    <row r="101" customHeight="1" spans="1:5">
      <c r="A101" s="1" t="s">
        <v>222</v>
      </c>
      <c r="B101" s="54" t="s">
        <v>304</v>
      </c>
      <c r="C101" s="18" t="s">
        <v>307</v>
      </c>
      <c r="D101" s="1" t="s">
        <v>226</v>
      </c>
      <c r="E101" s="18">
        <v>5</v>
      </c>
    </row>
    <row r="102" customHeight="1" spans="1:5">
      <c r="A102" s="1" t="s">
        <v>293</v>
      </c>
      <c r="B102" s="54" t="s">
        <v>304</v>
      </c>
      <c r="C102" s="5" t="s">
        <v>308</v>
      </c>
      <c r="D102" s="1" t="s">
        <v>227</v>
      </c>
      <c r="E102" s="5">
        <v>1</v>
      </c>
    </row>
    <row r="103" customHeight="1" spans="1:5">
      <c r="A103" s="1" t="s">
        <v>293</v>
      </c>
      <c r="B103" s="54" t="s">
        <v>304</v>
      </c>
      <c r="C103" s="5" t="s">
        <v>308</v>
      </c>
      <c r="D103" s="1" t="s">
        <v>227</v>
      </c>
      <c r="E103" s="5">
        <v>2</v>
      </c>
    </row>
    <row r="104" customHeight="1" spans="1:5">
      <c r="A104" s="1" t="s">
        <v>293</v>
      </c>
      <c r="B104" s="54" t="s">
        <v>304</v>
      </c>
      <c r="C104" s="5" t="s">
        <v>308</v>
      </c>
      <c r="D104" s="1" t="s">
        <v>227</v>
      </c>
      <c r="E104" s="5">
        <v>3</v>
      </c>
    </row>
    <row r="105" customHeight="1" spans="1:5">
      <c r="A105" s="1" t="s">
        <v>293</v>
      </c>
      <c r="B105" s="54" t="s">
        <v>304</v>
      </c>
      <c r="C105" s="5" t="s">
        <v>308</v>
      </c>
      <c r="D105" s="1" t="s">
        <v>227</v>
      </c>
      <c r="E105" s="5">
        <v>4</v>
      </c>
    </row>
    <row r="106" customHeight="1" spans="1:5">
      <c r="A106" s="1" t="s">
        <v>293</v>
      </c>
      <c r="B106" s="54" t="s">
        <v>304</v>
      </c>
      <c r="C106" s="5" t="s">
        <v>308</v>
      </c>
      <c r="D106" s="1" t="s">
        <v>227</v>
      </c>
      <c r="E106" s="5">
        <v>5</v>
      </c>
    </row>
    <row r="107" customHeight="1" spans="1:5">
      <c r="A107" s="1" t="s">
        <v>293</v>
      </c>
      <c r="B107" s="54" t="s">
        <v>304</v>
      </c>
      <c r="C107" s="5" t="s">
        <v>308</v>
      </c>
      <c r="D107" s="1" t="s">
        <v>227</v>
      </c>
      <c r="E107" s="5">
        <v>6</v>
      </c>
    </row>
    <row r="108" customHeight="1" spans="1:5">
      <c r="A108" s="1" t="s">
        <v>293</v>
      </c>
      <c r="B108" s="54" t="s">
        <v>304</v>
      </c>
      <c r="C108" s="5" t="s">
        <v>308</v>
      </c>
      <c r="D108" s="1" t="s">
        <v>227</v>
      </c>
      <c r="E108" s="5">
        <v>7</v>
      </c>
    </row>
    <row r="109" customHeight="1" spans="1:5">
      <c r="A109" s="1" t="s">
        <v>293</v>
      </c>
      <c r="B109" s="54" t="s">
        <v>304</v>
      </c>
      <c r="C109" s="5" t="s">
        <v>308</v>
      </c>
      <c r="D109" s="1" t="s">
        <v>227</v>
      </c>
      <c r="E109" s="5">
        <v>8</v>
      </c>
    </row>
    <row r="110" customHeight="1" spans="1:5">
      <c r="A110" s="1" t="s">
        <v>222</v>
      </c>
      <c r="B110" s="53" t="s">
        <v>309</v>
      </c>
      <c r="C110" s="18" t="s">
        <v>310</v>
      </c>
      <c r="D110" s="1" t="s">
        <v>224</v>
      </c>
      <c r="E110" s="18">
        <v>1</v>
      </c>
    </row>
    <row r="111" customHeight="1" spans="1:5">
      <c r="A111" s="1" t="s">
        <v>222</v>
      </c>
      <c r="B111" s="53" t="s">
        <v>309</v>
      </c>
      <c r="C111" s="18" t="s">
        <v>310</v>
      </c>
      <c r="D111" s="1" t="s">
        <v>224</v>
      </c>
      <c r="E111" s="18">
        <v>2</v>
      </c>
    </row>
    <row r="112" customHeight="1" spans="1:5">
      <c r="A112" s="1" t="s">
        <v>222</v>
      </c>
      <c r="B112" s="53" t="s">
        <v>309</v>
      </c>
      <c r="C112" s="18" t="s">
        <v>310</v>
      </c>
      <c r="D112" s="1" t="s">
        <v>224</v>
      </c>
      <c r="E112" s="18">
        <v>3</v>
      </c>
    </row>
    <row r="113" customHeight="1" spans="1:5">
      <c r="A113" s="1" t="s">
        <v>222</v>
      </c>
      <c r="B113" s="53" t="s">
        <v>309</v>
      </c>
      <c r="C113" s="18" t="s">
        <v>310</v>
      </c>
      <c r="D113" s="1" t="s">
        <v>224</v>
      </c>
      <c r="E113" s="18">
        <v>4</v>
      </c>
    </row>
    <row r="114" customHeight="1" spans="1:5">
      <c r="A114" s="1" t="s">
        <v>222</v>
      </c>
      <c r="B114" s="53" t="s">
        <v>309</v>
      </c>
      <c r="C114" s="18" t="s">
        <v>310</v>
      </c>
      <c r="D114" s="1" t="s">
        <v>224</v>
      </c>
      <c r="E114" s="18">
        <v>5</v>
      </c>
    </row>
    <row r="115" customHeight="1" spans="1:5">
      <c r="A115" s="1" t="s">
        <v>222</v>
      </c>
      <c r="B115" s="53" t="s">
        <v>309</v>
      </c>
      <c r="C115" s="5" t="s">
        <v>311</v>
      </c>
      <c r="D115" s="1" t="s">
        <v>225</v>
      </c>
      <c r="E115" s="5">
        <v>1</v>
      </c>
    </row>
    <row r="116" customHeight="1" spans="1:5">
      <c r="A116" s="1" t="s">
        <v>222</v>
      </c>
      <c r="B116" s="53" t="s">
        <v>309</v>
      </c>
      <c r="C116" s="5" t="s">
        <v>311</v>
      </c>
      <c r="D116" s="1" t="s">
        <v>225</v>
      </c>
      <c r="E116" s="5">
        <v>2</v>
      </c>
    </row>
    <row r="117" customHeight="1" spans="1:5">
      <c r="A117" s="1" t="s">
        <v>222</v>
      </c>
      <c r="B117" s="53" t="s">
        <v>309</v>
      </c>
      <c r="C117" s="5" t="s">
        <v>311</v>
      </c>
      <c r="D117" s="1" t="s">
        <v>225</v>
      </c>
      <c r="E117" s="5">
        <v>3</v>
      </c>
    </row>
    <row r="118" customHeight="1" spans="1:5">
      <c r="A118" s="1" t="s">
        <v>222</v>
      </c>
      <c r="B118" s="53" t="s">
        <v>309</v>
      </c>
      <c r="C118" s="5" t="s">
        <v>311</v>
      </c>
      <c r="D118" s="1" t="s">
        <v>225</v>
      </c>
      <c r="E118" s="5">
        <v>4</v>
      </c>
    </row>
    <row r="119" customHeight="1" spans="1:5">
      <c r="A119" s="1" t="s">
        <v>222</v>
      </c>
      <c r="B119" s="53" t="s">
        <v>309</v>
      </c>
      <c r="C119" s="5" t="s">
        <v>311</v>
      </c>
      <c r="D119" s="1" t="s">
        <v>225</v>
      </c>
      <c r="E119" s="5">
        <v>5</v>
      </c>
    </row>
    <row r="120" customHeight="1" spans="1:5">
      <c r="A120" s="1" t="s">
        <v>222</v>
      </c>
      <c r="B120" s="53" t="s">
        <v>309</v>
      </c>
      <c r="C120" s="18" t="s">
        <v>312</v>
      </c>
      <c r="D120" s="1" t="s">
        <v>226</v>
      </c>
      <c r="E120" s="18">
        <v>1</v>
      </c>
    </row>
    <row r="121" customHeight="1" spans="1:5">
      <c r="A121" s="1" t="s">
        <v>222</v>
      </c>
      <c r="B121" s="53" t="s">
        <v>309</v>
      </c>
      <c r="C121" s="18" t="s">
        <v>312</v>
      </c>
      <c r="D121" s="1" t="s">
        <v>226</v>
      </c>
      <c r="E121" s="18">
        <v>2</v>
      </c>
    </row>
    <row r="122" customHeight="1" spans="1:5">
      <c r="A122" s="1" t="s">
        <v>222</v>
      </c>
      <c r="B122" s="53" t="s">
        <v>309</v>
      </c>
      <c r="C122" s="18" t="s">
        <v>312</v>
      </c>
      <c r="D122" s="1" t="s">
        <v>226</v>
      </c>
      <c r="E122" s="18">
        <v>3</v>
      </c>
    </row>
    <row r="123" customHeight="1" spans="1:5">
      <c r="A123" s="1" t="s">
        <v>222</v>
      </c>
      <c r="B123" s="53" t="s">
        <v>309</v>
      </c>
      <c r="C123" s="18" t="s">
        <v>312</v>
      </c>
      <c r="D123" s="1" t="s">
        <v>226</v>
      </c>
      <c r="E123" s="18">
        <v>4</v>
      </c>
    </row>
    <row r="124" customHeight="1" spans="1:5">
      <c r="A124" s="1" t="s">
        <v>222</v>
      </c>
      <c r="B124" s="53" t="s">
        <v>309</v>
      </c>
      <c r="C124" s="18" t="s">
        <v>312</v>
      </c>
      <c r="D124" s="1" t="s">
        <v>226</v>
      </c>
      <c r="E124" s="18">
        <v>5</v>
      </c>
    </row>
    <row r="125" customHeight="1" spans="1:5">
      <c r="A125" s="1" t="s">
        <v>222</v>
      </c>
      <c r="B125" s="53" t="s">
        <v>309</v>
      </c>
      <c r="C125" s="5" t="s">
        <v>312</v>
      </c>
      <c r="D125" s="1" t="s">
        <v>226</v>
      </c>
      <c r="E125" s="5">
        <v>1</v>
      </c>
    </row>
    <row r="126" customHeight="1" spans="1:5">
      <c r="A126" s="1" t="s">
        <v>222</v>
      </c>
      <c r="B126" s="53" t="s">
        <v>309</v>
      </c>
      <c r="C126" s="5" t="s">
        <v>312</v>
      </c>
      <c r="D126" s="1" t="s">
        <v>226</v>
      </c>
      <c r="E126" s="5">
        <v>2</v>
      </c>
    </row>
    <row r="127" customHeight="1" spans="1:5">
      <c r="A127" s="1" t="s">
        <v>222</v>
      </c>
      <c r="B127" s="53" t="s">
        <v>309</v>
      </c>
      <c r="C127" s="5" t="s">
        <v>312</v>
      </c>
      <c r="D127" s="1" t="s">
        <v>226</v>
      </c>
      <c r="E127" s="5">
        <v>3</v>
      </c>
    </row>
    <row r="128" customHeight="1" spans="1:5">
      <c r="A128" s="1" t="s">
        <v>222</v>
      </c>
      <c r="B128" s="53" t="s">
        <v>309</v>
      </c>
      <c r="C128" s="5" t="s">
        <v>312</v>
      </c>
      <c r="D128" s="1" t="s">
        <v>226</v>
      </c>
      <c r="E128" s="5">
        <v>4</v>
      </c>
    </row>
    <row r="129" customHeight="1" spans="1:5">
      <c r="A129" s="1" t="s">
        <v>222</v>
      </c>
      <c r="B129" s="53" t="s">
        <v>309</v>
      </c>
      <c r="C129" s="5" t="s">
        <v>312</v>
      </c>
      <c r="D129" s="1" t="s">
        <v>226</v>
      </c>
      <c r="E129" s="5">
        <v>5</v>
      </c>
    </row>
    <row r="130" customHeight="1" spans="1:5">
      <c r="A130" s="1" t="s">
        <v>293</v>
      </c>
      <c r="B130" s="53" t="s">
        <v>309</v>
      </c>
      <c r="C130" s="18" t="s">
        <v>313</v>
      </c>
      <c r="D130" s="1" t="s">
        <v>227</v>
      </c>
      <c r="E130" s="18">
        <v>1</v>
      </c>
    </row>
    <row r="131" customHeight="1" spans="1:5">
      <c r="A131" s="1" t="s">
        <v>293</v>
      </c>
      <c r="B131" s="53" t="s">
        <v>309</v>
      </c>
      <c r="C131" s="18" t="s">
        <v>313</v>
      </c>
      <c r="D131" s="1" t="s">
        <v>227</v>
      </c>
      <c r="E131" s="18">
        <v>2</v>
      </c>
    </row>
    <row r="132" customHeight="1" spans="1:5">
      <c r="A132" s="1" t="s">
        <v>293</v>
      </c>
      <c r="B132" s="53" t="s">
        <v>309</v>
      </c>
      <c r="C132" s="18" t="s">
        <v>313</v>
      </c>
      <c r="D132" s="1" t="s">
        <v>227</v>
      </c>
      <c r="E132" s="18">
        <v>3</v>
      </c>
    </row>
    <row r="133" customHeight="1" spans="1:5">
      <c r="A133" s="1" t="s">
        <v>293</v>
      </c>
      <c r="B133" s="53" t="s">
        <v>309</v>
      </c>
      <c r="C133" s="18" t="s">
        <v>313</v>
      </c>
      <c r="D133" s="1" t="s">
        <v>227</v>
      </c>
      <c r="E133" s="18">
        <v>4</v>
      </c>
    </row>
    <row r="134" customHeight="1" spans="1:5">
      <c r="A134" s="1" t="s">
        <v>293</v>
      </c>
      <c r="B134" s="53" t="s">
        <v>309</v>
      </c>
      <c r="C134" s="18" t="s">
        <v>313</v>
      </c>
      <c r="D134" s="1" t="s">
        <v>227</v>
      </c>
      <c r="E134" s="18">
        <v>5</v>
      </c>
    </row>
    <row r="135" customHeight="1" spans="1:5">
      <c r="A135" s="1" t="s">
        <v>293</v>
      </c>
      <c r="B135" s="53" t="s">
        <v>309</v>
      </c>
      <c r="C135" s="18" t="s">
        <v>313</v>
      </c>
      <c r="D135" s="1" t="s">
        <v>227</v>
      </c>
      <c r="E135" s="18">
        <v>6</v>
      </c>
    </row>
    <row r="136" customHeight="1" spans="1:5">
      <c r="A136" s="1" t="s">
        <v>293</v>
      </c>
      <c r="B136" s="53" t="s">
        <v>309</v>
      </c>
      <c r="C136" s="18" t="s">
        <v>313</v>
      </c>
      <c r="D136" s="1" t="s">
        <v>227</v>
      </c>
      <c r="E136" s="18">
        <v>7</v>
      </c>
    </row>
    <row r="137" customHeight="1" spans="1:5">
      <c r="A137" s="1" t="s">
        <v>293</v>
      </c>
      <c r="B137" s="53" t="s">
        <v>309</v>
      </c>
      <c r="C137" s="18" t="s">
        <v>313</v>
      </c>
      <c r="D137" s="1" t="s">
        <v>227</v>
      </c>
      <c r="E137" s="18">
        <v>8</v>
      </c>
    </row>
    <row r="138" customHeight="1" spans="1:5">
      <c r="A138" s="1" t="s">
        <v>222</v>
      </c>
      <c r="B138" s="54" t="s">
        <v>314</v>
      </c>
      <c r="C138" s="5" t="s">
        <v>315</v>
      </c>
      <c r="D138" s="1" t="s">
        <v>224</v>
      </c>
      <c r="E138" s="5">
        <v>1</v>
      </c>
    </row>
    <row r="139" customHeight="1" spans="1:5">
      <c r="A139" s="1" t="s">
        <v>222</v>
      </c>
      <c r="B139" s="54" t="s">
        <v>314</v>
      </c>
      <c r="C139" s="5" t="s">
        <v>315</v>
      </c>
      <c r="D139" s="1" t="s">
        <v>224</v>
      </c>
      <c r="E139" s="5">
        <v>2</v>
      </c>
    </row>
    <row r="140" customHeight="1" spans="1:5">
      <c r="A140" s="1" t="s">
        <v>222</v>
      </c>
      <c r="B140" s="54" t="s">
        <v>314</v>
      </c>
      <c r="C140" s="5" t="s">
        <v>315</v>
      </c>
      <c r="D140" s="1" t="s">
        <v>224</v>
      </c>
      <c r="E140" s="5">
        <v>3</v>
      </c>
    </row>
    <row r="141" customHeight="1" spans="1:5">
      <c r="A141" s="1" t="s">
        <v>222</v>
      </c>
      <c r="B141" s="54" t="s">
        <v>314</v>
      </c>
      <c r="C141" s="5" t="s">
        <v>315</v>
      </c>
      <c r="D141" s="1" t="s">
        <v>224</v>
      </c>
      <c r="E141" s="5">
        <v>4</v>
      </c>
    </row>
    <row r="142" customHeight="1" spans="1:5">
      <c r="A142" s="1" t="s">
        <v>222</v>
      </c>
      <c r="B142" s="54" t="s">
        <v>314</v>
      </c>
      <c r="C142" s="5" t="s">
        <v>315</v>
      </c>
      <c r="D142" s="1" t="s">
        <v>224</v>
      </c>
      <c r="E142" s="5">
        <v>5</v>
      </c>
    </row>
    <row r="143" customHeight="1" spans="1:5">
      <c r="A143" s="1" t="s">
        <v>222</v>
      </c>
      <c r="B143" s="54" t="s">
        <v>314</v>
      </c>
      <c r="C143" s="18" t="s">
        <v>316</v>
      </c>
      <c r="D143" s="1" t="s">
        <v>225</v>
      </c>
      <c r="E143" s="18">
        <v>1</v>
      </c>
    </row>
    <row r="144" customHeight="1" spans="1:5">
      <c r="A144" s="1" t="s">
        <v>222</v>
      </c>
      <c r="B144" s="54" t="s">
        <v>314</v>
      </c>
      <c r="C144" s="18" t="s">
        <v>316</v>
      </c>
      <c r="D144" s="1" t="s">
        <v>225</v>
      </c>
      <c r="E144" s="18">
        <v>2</v>
      </c>
    </row>
    <row r="145" customHeight="1" spans="1:5">
      <c r="A145" s="1" t="s">
        <v>222</v>
      </c>
      <c r="B145" s="54" t="s">
        <v>314</v>
      </c>
      <c r="C145" s="18" t="s">
        <v>316</v>
      </c>
      <c r="D145" s="1" t="s">
        <v>225</v>
      </c>
      <c r="E145" s="18">
        <v>3</v>
      </c>
    </row>
    <row r="146" customHeight="1" spans="1:5">
      <c r="A146" s="1" t="s">
        <v>222</v>
      </c>
      <c r="B146" s="54" t="s">
        <v>314</v>
      </c>
      <c r="C146" s="18" t="s">
        <v>316</v>
      </c>
      <c r="D146" s="1" t="s">
        <v>225</v>
      </c>
      <c r="E146" s="18">
        <v>4</v>
      </c>
    </row>
    <row r="147" customHeight="1" spans="1:5">
      <c r="A147" s="1" t="s">
        <v>222</v>
      </c>
      <c r="B147" s="54" t="s">
        <v>314</v>
      </c>
      <c r="C147" s="18" t="s">
        <v>316</v>
      </c>
      <c r="D147" s="1" t="s">
        <v>225</v>
      </c>
      <c r="E147" s="18">
        <v>5</v>
      </c>
    </row>
    <row r="148" customHeight="1" spans="1:5">
      <c r="A148" s="1" t="s">
        <v>222</v>
      </c>
      <c r="B148" s="54" t="s">
        <v>314</v>
      </c>
      <c r="C148" s="5" t="s">
        <v>317</v>
      </c>
      <c r="D148" s="1" t="s">
        <v>226</v>
      </c>
      <c r="E148" s="5">
        <v>1</v>
      </c>
    </row>
    <row r="149" customHeight="1" spans="1:5">
      <c r="A149" s="1" t="s">
        <v>222</v>
      </c>
      <c r="B149" s="54" t="s">
        <v>314</v>
      </c>
      <c r="C149" s="5" t="s">
        <v>317</v>
      </c>
      <c r="D149" s="1" t="s">
        <v>226</v>
      </c>
      <c r="E149" s="5">
        <v>2</v>
      </c>
    </row>
    <row r="150" customHeight="1" spans="1:5">
      <c r="A150" s="1" t="s">
        <v>222</v>
      </c>
      <c r="B150" s="54" t="s">
        <v>314</v>
      </c>
      <c r="C150" s="5" t="s">
        <v>317</v>
      </c>
      <c r="D150" s="1" t="s">
        <v>226</v>
      </c>
      <c r="E150" s="5">
        <v>3</v>
      </c>
    </row>
    <row r="151" customHeight="1" spans="1:5">
      <c r="A151" s="1" t="s">
        <v>222</v>
      </c>
      <c r="B151" s="54" t="s">
        <v>314</v>
      </c>
      <c r="C151" s="5" t="s">
        <v>317</v>
      </c>
      <c r="D151" s="1" t="s">
        <v>226</v>
      </c>
      <c r="E151" s="5">
        <v>4</v>
      </c>
    </row>
    <row r="152" customHeight="1" spans="1:5">
      <c r="A152" s="1" t="s">
        <v>222</v>
      </c>
      <c r="B152" s="54" t="s">
        <v>314</v>
      </c>
      <c r="C152" s="5" t="s">
        <v>317</v>
      </c>
      <c r="D152" s="1" t="s">
        <v>226</v>
      </c>
      <c r="E152" s="5">
        <v>5</v>
      </c>
    </row>
    <row r="153" customHeight="1" spans="1:5">
      <c r="A153" s="1" t="s">
        <v>222</v>
      </c>
      <c r="B153" s="54" t="s">
        <v>314</v>
      </c>
      <c r="C153" s="18" t="s">
        <v>317</v>
      </c>
      <c r="D153" s="1" t="s">
        <v>226</v>
      </c>
      <c r="E153" s="18">
        <v>1</v>
      </c>
    </row>
    <row r="154" customHeight="1" spans="1:5">
      <c r="A154" s="1" t="s">
        <v>222</v>
      </c>
      <c r="B154" s="54" t="s">
        <v>314</v>
      </c>
      <c r="C154" s="18" t="s">
        <v>317</v>
      </c>
      <c r="D154" s="1" t="s">
        <v>226</v>
      </c>
      <c r="E154" s="18">
        <v>2</v>
      </c>
    </row>
    <row r="155" customHeight="1" spans="1:5">
      <c r="A155" s="1" t="s">
        <v>222</v>
      </c>
      <c r="B155" s="54" t="s">
        <v>314</v>
      </c>
      <c r="C155" s="18" t="s">
        <v>317</v>
      </c>
      <c r="D155" s="1" t="s">
        <v>226</v>
      </c>
      <c r="E155" s="18">
        <v>3</v>
      </c>
    </row>
    <row r="156" customHeight="1" spans="1:5">
      <c r="A156" s="1" t="s">
        <v>222</v>
      </c>
      <c r="B156" s="54" t="s">
        <v>314</v>
      </c>
      <c r="C156" s="18" t="s">
        <v>317</v>
      </c>
      <c r="D156" s="1" t="s">
        <v>226</v>
      </c>
      <c r="E156" s="18">
        <v>4</v>
      </c>
    </row>
    <row r="157" customHeight="1" spans="1:5">
      <c r="A157" s="1" t="s">
        <v>222</v>
      </c>
      <c r="B157" s="54" t="s">
        <v>314</v>
      </c>
      <c r="C157" s="18" t="s">
        <v>317</v>
      </c>
      <c r="D157" s="1" t="s">
        <v>226</v>
      </c>
      <c r="E157" s="18">
        <v>5</v>
      </c>
    </row>
    <row r="158" customHeight="1" spans="1:5">
      <c r="A158" s="1" t="s">
        <v>293</v>
      </c>
      <c r="B158" s="54" t="s">
        <v>314</v>
      </c>
      <c r="C158" s="5" t="s">
        <v>318</v>
      </c>
      <c r="D158" s="1" t="s">
        <v>227</v>
      </c>
      <c r="E158" s="5">
        <v>1</v>
      </c>
    </row>
    <row r="159" customHeight="1" spans="1:5">
      <c r="A159" s="1" t="s">
        <v>293</v>
      </c>
      <c r="B159" s="54" t="s">
        <v>314</v>
      </c>
      <c r="C159" s="5" t="s">
        <v>318</v>
      </c>
      <c r="D159" s="1" t="s">
        <v>227</v>
      </c>
      <c r="E159" s="5">
        <v>2</v>
      </c>
    </row>
    <row r="160" customHeight="1" spans="1:5">
      <c r="A160" s="1" t="s">
        <v>293</v>
      </c>
      <c r="B160" s="54" t="s">
        <v>314</v>
      </c>
      <c r="C160" s="5" t="s">
        <v>318</v>
      </c>
      <c r="D160" s="1" t="s">
        <v>227</v>
      </c>
      <c r="E160" s="5">
        <v>3</v>
      </c>
    </row>
    <row r="161" customHeight="1" spans="1:5">
      <c r="A161" s="1" t="s">
        <v>293</v>
      </c>
      <c r="B161" s="54" t="s">
        <v>314</v>
      </c>
      <c r="C161" s="5" t="s">
        <v>318</v>
      </c>
      <c r="D161" s="1" t="s">
        <v>227</v>
      </c>
      <c r="E161" s="5">
        <v>4</v>
      </c>
    </row>
    <row r="162" customHeight="1" spans="1:5">
      <c r="A162" s="1" t="s">
        <v>293</v>
      </c>
      <c r="B162" s="54" t="s">
        <v>314</v>
      </c>
      <c r="C162" s="5" t="s">
        <v>318</v>
      </c>
      <c r="D162" s="1" t="s">
        <v>227</v>
      </c>
      <c r="E162" s="5">
        <v>5</v>
      </c>
    </row>
    <row r="163" customHeight="1" spans="1:5">
      <c r="A163" s="1" t="s">
        <v>293</v>
      </c>
      <c r="B163" s="54" t="s">
        <v>314</v>
      </c>
      <c r="C163" s="5" t="s">
        <v>318</v>
      </c>
      <c r="D163" s="1" t="s">
        <v>227</v>
      </c>
      <c r="E163" s="5">
        <v>6</v>
      </c>
    </row>
    <row r="164" customHeight="1" spans="1:5">
      <c r="A164" s="1" t="s">
        <v>293</v>
      </c>
      <c r="B164" s="54" t="s">
        <v>314</v>
      </c>
      <c r="C164" s="5" t="s">
        <v>318</v>
      </c>
      <c r="D164" s="1" t="s">
        <v>227</v>
      </c>
      <c r="E164" s="5">
        <v>7</v>
      </c>
    </row>
    <row r="165" customHeight="1" spans="1:5">
      <c r="A165" s="1" t="s">
        <v>293</v>
      </c>
      <c r="B165" s="54" t="s">
        <v>314</v>
      </c>
      <c r="C165" s="5" t="s">
        <v>318</v>
      </c>
      <c r="D165" s="1" t="s">
        <v>227</v>
      </c>
      <c r="E165" s="5">
        <v>8</v>
      </c>
    </row>
    <row r="166" customHeight="1" spans="1:5">
      <c r="A166" s="1" t="s">
        <v>222</v>
      </c>
      <c r="B166" s="53" t="s">
        <v>319</v>
      </c>
      <c r="C166" s="18" t="s">
        <v>320</v>
      </c>
      <c r="D166" s="1" t="s">
        <v>224</v>
      </c>
      <c r="E166" s="18">
        <v>1</v>
      </c>
    </row>
    <row r="167" customHeight="1" spans="1:5">
      <c r="A167" s="1" t="s">
        <v>222</v>
      </c>
      <c r="B167" s="53" t="s">
        <v>319</v>
      </c>
      <c r="C167" s="18" t="s">
        <v>320</v>
      </c>
      <c r="D167" s="1" t="s">
        <v>224</v>
      </c>
      <c r="E167" s="18">
        <v>2</v>
      </c>
    </row>
    <row r="168" customHeight="1" spans="1:5">
      <c r="A168" s="1" t="s">
        <v>222</v>
      </c>
      <c r="B168" s="53" t="s">
        <v>319</v>
      </c>
      <c r="C168" s="18" t="s">
        <v>320</v>
      </c>
      <c r="D168" s="1" t="s">
        <v>224</v>
      </c>
      <c r="E168" s="18">
        <v>3</v>
      </c>
    </row>
    <row r="169" customHeight="1" spans="1:5">
      <c r="A169" s="1" t="s">
        <v>222</v>
      </c>
      <c r="B169" s="53" t="s">
        <v>319</v>
      </c>
      <c r="C169" s="18" t="s">
        <v>320</v>
      </c>
      <c r="D169" s="1" t="s">
        <v>224</v>
      </c>
      <c r="E169" s="18">
        <v>4</v>
      </c>
    </row>
    <row r="170" customHeight="1" spans="1:5">
      <c r="A170" s="1" t="s">
        <v>222</v>
      </c>
      <c r="B170" s="53" t="s">
        <v>319</v>
      </c>
      <c r="C170" s="18" t="s">
        <v>320</v>
      </c>
      <c r="D170" s="1" t="s">
        <v>224</v>
      </c>
      <c r="E170" s="18">
        <v>5</v>
      </c>
    </row>
    <row r="171" customHeight="1" spans="1:5">
      <c r="A171" s="1" t="s">
        <v>222</v>
      </c>
      <c r="B171" s="53" t="s">
        <v>319</v>
      </c>
      <c r="C171" s="5" t="s">
        <v>321</v>
      </c>
      <c r="D171" s="1" t="s">
        <v>225</v>
      </c>
      <c r="E171" s="5">
        <v>1</v>
      </c>
    </row>
    <row r="172" customHeight="1" spans="1:5">
      <c r="A172" s="1" t="s">
        <v>222</v>
      </c>
      <c r="B172" s="53" t="s">
        <v>319</v>
      </c>
      <c r="C172" s="5" t="s">
        <v>321</v>
      </c>
      <c r="D172" s="1" t="s">
        <v>225</v>
      </c>
      <c r="E172" s="5">
        <v>2</v>
      </c>
    </row>
    <row r="173" customHeight="1" spans="1:5">
      <c r="A173" s="1" t="s">
        <v>222</v>
      </c>
      <c r="B173" s="53" t="s">
        <v>319</v>
      </c>
      <c r="C173" s="5" t="s">
        <v>321</v>
      </c>
      <c r="D173" s="1" t="s">
        <v>225</v>
      </c>
      <c r="E173" s="5">
        <v>3</v>
      </c>
    </row>
    <row r="174" customHeight="1" spans="1:5">
      <c r="A174" s="1" t="s">
        <v>222</v>
      </c>
      <c r="B174" s="53" t="s">
        <v>319</v>
      </c>
      <c r="C174" s="5" t="s">
        <v>321</v>
      </c>
      <c r="D174" s="1" t="s">
        <v>225</v>
      </c>
      <c r="E174" s="5">
        <v>4</v>
      </c>
    </row>
    <row r="175" customHeight="1" spans="1:5">
      <c r="A175" s="1" t="s">
        <v>222</v>
      </c>
      <c r="B175" s="53" t="s">
        <v>319</v>
      </c>
      <c r="C175" s="5" t="s">
        <v>321</v>
      </c>
      <c r="D175" s="1" t="s">
        <v>225</v>
      </c>
      <c r="E175" s="5">
        <v>5</v>
      </c>
    </row>
    <row r="176" customHeight="1" spans="1:5">
      <c r="A176" s="1" t="s">
        <v>222</v>
      </c>
      <c r="B176" s="53" t="s">
        <v>319</v>
      </c>
      <c r="C176" s="18" t="s">
        <v>322</v>
      </c>
      <c r="D176" s="1" t="s">
        <v>226</v>
      </c>
      <c r="E176" s="18">
        <v>1</v>
      </c>
    </row>
    <row r="177" customHeight="1" spans="1:5">
      <c r="A177" s="1" t="s">
        <v>222</v>
      </c>
      <c r="B177" s="53" t="s">
        <v>319</v>
      </c>
      <c r="C177" s="18" t="s">
        <v>322</v>
      </c>
      <c r="D177" s="1" t="s">
        <v>226</v>
      </c>
      <c r="E177" s="18">
        <v>2</v>
      </c>
    </row>
    <row r="178" customHeight="1" spans="1:5">
      <c r="A178" s="1" t="s">
        <v>222</v>
      </c>
      <c r="B178" s="53" t="s">
        <v>319</v>
      </c>
      <c r="C178" s="18" t="s">
        <v>322</v>
      </c>
      <c r="D178" s="1" t="s">
        <v>226</v>
      </c>
      <c r="E178" s="18">
        <v>3</v>
      </c>
    </row>
    <row r="179" customHeight="1" spans="1:5">
      <c r="A179" s="1" t="s">
        <v>222</v>
      </c>
      <c r="B179" s="53" t="s">
        <v>319</v>
      </c>
      <c r="C179" s="18" t="s">
        <v>322</v>
      </c>
      <c r="D179" s="1" t="s">
        <v>226</v>
      </c>
      <c r="E179" s="18">
        <v>4</v>
      </c>
    </row>
    <row r="180" customHeight="1" spans="1:5">
      <c r="A180" s="1" t="s">
        <v>222</v>
      </c>
      <c r="B180" s="53" t="s">
        <v>319</v>
      </c>
      <c r="C180" s="18" t="s">
        <v>322</v>
      </c>
      <c r="D180" s="1" t="s">
        <v>226</v>
      </c>
      <c r="E180" s="18">
        <v>5</v>
      </c>
    </row>
    <row r="181" customHeight="1" spans="1:5">
      <c r="A181" s="1" t="s">
        <v>222</v>
      </c>
      <c r="B181" s="53" t="s">
        <v>319</v>
      </c>
      <c r="C181" s="5" t="s">
        <v>322</v>
      </c>
      <c r="D181" s="1" t="s">
        <v>226</v>
      </c>
      <c r="E181" s="5">
        <v>1</v>
      </c>
    </row>
    <row r="182" customHeight="1" spans="1:5">
      <c r="A182" s="1" t="s">
        <v>222</v>
      </c>
      <c r="B182" s="53" t="s">
        <v>319</v>
      </c>
      <c r="C182" s="5" t="s">
        <v>322</v>
      </c>
      <c r="D182" s="1" t="s">
        <v>226</v>
      </c>
      <c r="E182" s="5">
        <v>2</v>
      </c>
    </row>
    <row r="183" customHeight="1" spans="1:5">
      <c r="A183" s="1" t="s">
        <v>222</v>
      </c>
      <c r="B183" s="53" t="s">
        <v>319</v>
      </c>
      <c r="C183" s="5" t="s">
        <v>322</v>
      </c>
      <c r="D183" s="1" t="s">
        <v>226</v>
      </c>
      <c r="E183" s="5">
        <v>3</v>
      </c>
    </row>
    <row r="184" customHeight="1" spans="1:5">
      <c r="A184" s="1" t="s">
        <v>222</v>
      </c>
      <c r="B184" s="53" t="s">
        <v>319</v>
      </c>
      <c r="C184" s="5" t="s">
        <v>322</v>
      </c>
      <c r="D184" s="1" t="s">
        <v>226</v>
      </c>
      <c r="E184" s="5">
        <v>4</v>
      </c>
    </row>
    <row r="185" customHeight="1" spans="1:5">
      <c r="A185" s="1" t="s">
        <v>222</v>
      </c>
      <c r="B185" s="53" t="s">
        <v>319</v>
      </c>
      <c r="C185" s="5" t="s">
        <v>322</v>
      </c>
      <c r="D185" s="1" t="s">
        <v>226</v>
      </c>
      <c r="E185" s="5">
        <v>5</v>
      </c>
    </row>
    <row r="186" customHeight="1" spans="1:5">
      <c r="A186" s="1" t="s">
        <v>293</v>
      </c>
      <c r="B186" s="53" t="s">
        <v>319</v>
      </c>
      <c r="C186" s="18" t="s">
        <v>323</v>
      </c>
      <c r="D186" s="1" t="s">
        <v>227</v>
      </c>
      <c r="E186" s="18">
        <v>1</v>
      </c>
    </row>
    <row r="187" customHeight="1" spans="1:5">
      <c r="A187" s="1" t="s">
        <v>293</v>
      </c>
      <c r="B187" s="53" t="s">
        <v>319</v>
      </c>
      <c r="C187" s="18" t="s">
        <v>323</v>
      </c>
      <c r="D187" s="1" t="s">
        <v>227</v>
      </c>
      <c r="E187" s="18">
        <v>2</v>
      </c>
    </row>
    <row r="188" customHeight="1" spans="1:5">
      <c r="A188" s="1" t="s">
        <v>293</v>
      </c>
      <c r="B188" s="53" t="s">
        <v>319</v>
      </c>
      <c r="C188" s="18" t="s">
        <v>323</v>
      </c>
      <c r="D188" s="1" t="s">
        <v>227</v>
      </c>
      <c r="E188" s="18">
        <v>3</v>
      </c>
    </row>
    <row r="189" customHeight="1" spans="1:5">
      <c r="A189" s="1" t="s">
        <v>293</v>
      </c>
      <c r="B189" s="53" t="s">
        <v>319</v>
      </c>
      <c r="C189" s="18" t="s">
        <v>323</v>
      </c>
      <c r="D189" s="1" t="s">
        <v>227</v>
      </c>
      <c r="E189" s="18">
        <v>4</v>
      </c>
    </row>
    <row r="190" customHeight="1" spans="1:5">
      <c r="A190" s="1" t="s">
        <v>293</v>
      </c>
      <c r="B190" s="53" t="s">
        <v>319</v>
      </c>
      <c r="C190" s="18" t="s">
        <v>323</v>
      </c>
      <c r="D190" s="1" t="s">
        <v>227</v>
      </c>
      <c r="E190" s="18">
        <v>5</v>
      </c>
    </row>
    <row r="191" customHeight="1" spans="1:5">
      <c r="A191" s="1" t="s">
        <v>293</v>
      </c>
      <c r="B191" s="53" t="s">
        <v>319</v>
      </c>
      <c r="C191" s="18" t="s">
        <v>323</v>
      </c>
      <c r="D191" s="1" t="s">
        <v>227</v>
      </c>
      <c r="E191" s="18">
        <v>6</v>
      </c>
    </row>
    <row r="192" customHeight="1" spans="1:5">
      <c r="A192" s="1" t="s">
        <v>293</v>
      </c>
      <c r="B192" s="53" t="s">
        <v>319</v>
      </c>
      <c r="C192" s="18" t="s">
        <v>323</v>
      </c>
      <c r="D192" s="1" t="s">
        <v>227</v>
      </c>
      <c r="E192" s="18">
        <v>7</v>
      </c>
    </row>
    <row r="193" customHeight="1" spans="1:5">
      <c r="A193" s="1" t="s">
        <v>293</v>
      </c>
      <c r="B193" s="53" t="s">
        <v>319</v>
      </c>
      <c r="C193" s="18" t="s">
        <v>323</v>
      </c>
      <c r="D193" s="1" t="s">
        <v>227</v>
      </c>
      <c r="E193" s="18">
        <v>8</v>
      </c>
    </row>
    <row r="194" customHeight="1" spans="1:5">
      <c r="A194" s="1" t="s">
        <v>222</v>
      </c>
      <c r="B194" s="54" t="s">
        <v>324</v>
      </c>
      <c r="C194" s="5" t="s">
        <v>325</v>
      </c>
      <c r="D194" s="1" t="s">
        <v>224</v>
      </c>
      <c r="E194" s="5">
        <v>1</v>
      </c>
    </row>
    <row r="195" customHeight="1" spans="1:5">
      <c r="A195" s="1" t="s">
        <v>222</v>
      </c>
      <c r="B195" s="54" t="s">
        <v>324</v>
      </c>
      <c r="C195" s="5" t="s">
        <v>325</v>
      </c>
      <c r="D195" s="1" t="s">
        <v>224</v>
      </c>
      <c r="E195" s="5">
        <v>2</v>
      </c>
    </row>
    <row r="196" customHeight="1" spans="1:5">
      <c r="A196" s="1" t="s">
        <v>222</v>
      </c>
      <c r="B196" s="54" t="s">
        <v>324</v>
      </c>
      <c r="C196" s="5" t="s">
        <v>325</v>
      </c>
      <c r="D196" s="1" t="s">
        <v>224</v>
      </c>
      <c r="E196" s="5">
        <v>3</v>
      </c>
    </row>
    <row r="197" customHeight="1" spans="1:5">
      <c r="A197" s="1" t="s">
        <v>222</v>
      </c>
      <c r="B197" s="54" t="s">
        <v>324</v>
      </c>
      <c r="C197" s="5" t="s">
        <v>325</v>
      </c>
      <c r="D197" s="1" t="s">
        <v>224</v>
      </c>
      <c r="E197" s="5">
        <v>4</v>
      </c>
    </row>
    <row r="198" customHeight="1" spans="1:5">
      <c r="A198" s="1" t="s">
        <v>222</v>
      </c>
      <c r="B198" s="54" t="s">
        <v>324</v>
      </c>
      <c r="C198" s="5" t="s">
        <v>325</v>
      </c>
      <c r="D198" s="1" t="s">
        <v>224</v>
      </c>
      <c r="E198" s="5">
        <v>5</v>
      </c>
    </row>
    <row r="199" customHeight="1" spans="1:5">
      <c r="A199" s="1" t="s">
        <v>222</v>
      </c>
      <c r="B199" s="54" t="s">
        <v>324</v>
      </c>
      <c r="C199" s="18" t="s">
        <v>326</v>
      </c>
      <c r="D199" s="1" t="s">
        <v>226</v>
      </c>
      <c r="E199" s="18">
        <v>1</v>
      </c>
    </row>
    <row r="200" customHeight="1" spans="1:5">
      <c r="A200" s="1" t="s">
        <v>222</v>
      </c>
      <c r="B200" s="54" t="s">
        <v>324</v>
      </c>
      <c r="C200" s="18" t="s">
        <v>326</v>
      </c>
      <c r="D200" s="1" t="s">
        <v>226</v>
      </c>
      <c r="E200" s="18">
        <v>2</v>
      </c>
    </row>
    <row r="201" customHeight="1" spans="1:5">
      <c r="A201" s="1" t="s">
        <v>222</v>
      </c>
      <c r="B201" s="54" t="s">
        <v>324</v>
      </c>
      <c r="C201" s="18" t="s">
        <v>326</v>
      </c>
      <c r="D201" s="1" t="s">
        <v>226</v>
      </c>
      <c r="E201" s="18">
        <v>3</v>
      </c>
    </row>
    <row r="202" customHeight="1" spans="1:5">
      <c r="A202" s="1" t="s">
        <v>222</v>
      </c>
      <c r="B202" s="54" t="s">
        <v>324</v>
      </c>
      <c r="C202" s="18" t="s">
        <v>326</v>
      </c>
      <c r="D202" s="1" t="s">
        <v>226</v>
      </c>
      <c r="E202" s="18">
        <v>4</v>
      </c>
    </row>
    <row r="203" customHeight="1" spans="1:5">
      <c r="A203" s="1" t="s">
        <v>222</v>
      </c>
      <c r="B203" s="54" t="s">
        <v>324</v>
      </c>
      <c r="C203" s="18" t="s">
        <v>326</v>
      </c>
      <c r="D203" s="1" t="s">
        <v>226</v>
      </c>
      <c r="E203" s="18">
        <v>5</v>
      </c>
    </row>
    <row r="204" customHeight="1" spans="1:5">
      <c r="A204" s="1" t="s">
        <v>222</v>
      </c>
      <c r="B204" s="54" t="s">
        <v>324</v>
      </c>
      <c r="C204" s="5" t="s">
        <v>326</v>
      </c>
      <c r="D204" s="1" t="s">
        <v>226</v>
      </c>
      <c r="E204" s="5">
        <v>1</v>
      </c>
    </row>
    <row r="205" customHeight="1" spans="1:5">
      <c r="A205" s="1" t="s">
        <v>222</v>
      </c>
      <c r="B205" s="54" t="s">
        <v>324</v>
      </c>
      <c r="C205" s="5" t="s">
        <v>326</v>
      </c>
      <c r="D205" s="1" t="s">
        <v>226</v>
      </c>
      <c r="E205" s="5">
        <v>2</v>
      </c>
    </row>
    <row r="206" customHeight="1" spans="1:5">
      <c r="A206" s="1" t="s">
        <v>222</v>
      </c>
      <c r="B206" s="54" t="s">
        <v>324</v>
      </c>
      <c r="C206" s="5" t="s">
        <v>326</v>
      </c>
      <c r="D206" s="1" t="s">
        <v>226</v>
      </c>
      <c r="E206" s="5">
        <v>3</v>
      </c>
    </row>
    <row r="207" customHeight="1" spans="1:5">
      <c r="A207" s="1" t="s">
        <v>222</v>
      </c>
      <c r="B207" s="54" t="s">
        <v>324</v>
      </c>
      <c r="C207" s="5" t="s">
        <v>326</v>
      </c>
      <c r="D207" s="1" t="s">
        <v>226</v>
      </c>
      <c r="E207" s="5">
        <v>4</v>
      </c>
    </row>
    <row r="208" customHeight="1" spans="1:5">
      <c r="A208" s="1" t="s">
        <v>222</v>
      </c>
      <c r="B208" s="54" t="s">
        <v>324</v>
      </c>
      <c r="C208" s="5" t="s">
        <v>326</v>
      </c>
      <c r="D208" s="1" t="s">
        <v>226</v>
      </c>
      <c r="E208" s="5">
        <v>5</v>
      </c>
    </row>
    <row r="209" customHeight="1" spans="1:5">
      <c r="A209" s="1" t="s">
        <v>293</v>
      </c>
      <c r="B209" s="54" t="s">
        <v>324</v>
      </c>
      <c r="C209" s="18" t="s">
        <v>327</v>
      </c>
      <c r="D209" s="1" t="s">
        <v>227</v>
      </c>
      <c r="E209" s="18">
        <v>1</v>
      </c>
    </row>
    <row r="210" customHeight="1" spans="1:5">
      <c r="A210" s="1" t="s">
        <v>293</v>
      </c>
      <c r="B210" s="54" t="s">
        <v>324</v>
      </c>
      <c r="C210" s="18" t="s">
        <v>327</v>
      </c>
      <c r="D210" s="1" t="s">
        <v>227</v>
      </c>
      <c r="E210" s="18">
        <v>2</v>
      </c>
    </row>
    <row r="211" customHeight="1" spans="1:5">
      <c r="A211" s="1" t="s">
        <v>293</v>
      </c>
      <c r="B211" s="54" t="s">
        <v>324</v>
      </c>
      <c r="C211" s="18" t="s">
        <v>327</v>
      </c>
      <c r="D211" s="1" t="s">
        <v>227</v>
      </c>
      <c r="E211" s="18">
        <v>3</v>
      </c>
    </row>
    <row r="212" customHeight="1" spans="1:5">
      <c r="A212" s="1" t="s">
        <v>293</v>
      </c>
      <c r="B212" s="54" t="s">
        <v>324</v>
      </c>
      <c r="C212" s="18" t="s">
        <v>327</v>
      </c>
      <c r="D212" s="1" t="s">
        <v>227</v>
      </c>
      <c r="E212" s="18">
        <v>4</v>
      </c>
    </row>
    <row r="213" customHeight="1" spans="1:5">
      <c r="A213" s="1" t="s">
        <v>293</v>
      </c>
      <c r="B213" s="54" t="s">
        <v>324</v>
      </c>
      <c r="C213" s="18" t="s">
        <v>327</v>
      </c>
      <c r="D213" s="1" t="s">
        <v>227</v>
      </c>
      <c r="E213" s="18">
        <v>5</v>
      </c>
    </row>
    <row r="214" customHeight="1" spans="1:5">
      <c r="A214" s="1" t="s">
        <v>293</v>
      </c>
      <c r="B214" s="54" t="s">
        <v>324</v>
      </c>
      <c r="C214" s="18" t="s">
        <v>327</v>
      </c>
      <c r="D214" s="1" t="s">
        <v>227</v>
      </c>
      <c r="E214" s="18">
        <v>6</v>
      </c>
    </row>
    <row r="215" customHeight="1" spans="1:5">
      <c r="A215" s="1" t="s">
        <v>293</v>
      </c>
      <c r="B215" s="54" t="s">
        <v>324</v>
      </c>
      <c r="C215" s="18" t="s">
        <v>327</v>
      </c>
      <c r="D215" s="1" t="s">
        <v>227</v>
      </c>
      <c r="E215" s="18">
        <v>7</v>
      </c>
    </row>
    <row r="216" customHeight="1" spans="1:5">
      <c r="A216" s="1" t="s">
        <v>293</v>
      </c>
      <c r="B216" s="54" t="s">
        <v>324</v>
      </c>
      <c r="C216" s="18" t="s">
        <v>327</v>
      </c>
      <c r="D216" s="1" t="s">
        <v>227</v>
      </c>
      <c r="E216" s="18">
        <v>8</v>
      </c>
    </row>
    <row r="217" customHeight="1" spans="1:5">
      <c r="A217" s="1" t="s">
        <v>222</v>
      </c>
      <c r="B217" s="53" t="s">
        <v>328</v>
      </c>
      <c r="C217" s="5" t="s">
        <v>329</v>
      </c>
      <c r="D217" s="1" t="s">
        <v>224</v>
      </c>
      <c r="E217" s="5">
        <v>1</v>
      </c>
    </row>
    <row r="218" customHeight="1" spans="1:5">
      <c r="A218" s="1" t="s">
        <v>222</v>
      </c>
      <c r="B218" s="53" t="s">
        <v>328</v>
      </c>
      <c r="C218" s="5" t="s">
        <v>329</v>
      </c>
      <c r="D218" s="1" t="s">
        <v>224</v>
      </c>
      <c r="E218" s="5">
        <v>2</v>
      </c>
    </row>
    <row r="219" customHeight="1" spans="1:5">
      <c r="A219" s="1" t="s">
        <v>222</v>
      </c>
      <c r="B219" s="53" t="s">
        <v>328</v>
      </c>
      <c r="C219" s="5" t="s">
        <v>329</v>
      </c>
      <c r="D219" s="1" t="s">
        <v>224</v>
      </c>
      <c r="E219" s="5">
        <v>3</v>
      </c>
    </row>
    <row r="220" customHeight="1" spans="1:5">
      <c r="A220" s="1" t="s">
        <v>222</v>
      </c>
      <c r="B220" s="53" t="s">
        <v>328</v>
      </c>
      <c r="C220" s="5" t="s">
        <v>329</v>
      </c>
      <c r="D220" s="1" t="s">
        <v>224</v>
      </c>
      <c r="E220" s="5">
        <v>4</v>
      </c>
    </row>
    <row r="221" customHeight="1" spans="1:5">
      <c r="A221" s="1" t="s">
        <v>222</v>
      </c>
      <c r="B221" s="53" t="s">
        <v>328</v>
      </c>
      <c r="C221" s="5" t="s">
        <v>329</v>
      </c>
      <c r="D221" s="1" t="s">
        <v>224</v>
      </c>
      <c r="E221" s="5">
        <v>5</v>
      </c>
    </row>
    <row r="222" customHeight="1" spans="1:5">
      <c r="A222" s="1" t="s">
        <v>222</v>
      </c>
      <c r="B222" s="53" t="s">
        <v>328</v>
      </c>
      <c r="C222" s="18" t="s">
        <v>330</v>
      </c>
      <c r="D222" s="1" t="s">
        <v>226</v>
      </c>
      <c r="E222" s="18">
        <v>1</v>
      </c>
    </row>
    <row r="223" customHeight="1" spans="1:5">
      <c r="A223" s="1" t="s">
        <v>222</v>
      </c>
      <c r="B223" s="53" t="s">
        <v>328</v>
      </c>
      <c r="C223" s="18" t="s">
        <v>330</v>
      </c>
      <c r="D223" s="1" t="s">
        <v>226</v>
      </c>
      <c r="E223" s="18">
        <v>2</v>
      </c>
    </row>
    <row r="224" customHeight="1" spans="1:5">
      <c r="A224" s="1" t="s">
        <v>222</v>
      </c>
      <c r="B224" s="53" t="s">
        <v>328</v>
      </c>
      <c r="C224" s="18" t="s">
        <v>330</v>
      </c>
      <c r="D224" s="1" t="s">
        <v>226</v>
      </c>
      <c r="E224" s="18">
        <v>3</v>
      </c>
    </row>
    <row r="225" customHeight="1" spans="1:5">
      <c r="A225" s="1" t="s">
        <v>222</v>
      </c>
      <c r="B225" s="53" t="s">
        <v>328</v>
      </c>
      <c r="C225" s="18" t="s">
        <v>330</v>
      </c>
      <c r="D225" s="1" t="s">
        <v>226</v>
      </c>
      <c r="E225" s="18">
        <v>4</v>
      </c>
    </row>
    <row r="226" customHeight="1" spans="1:5">
      <c r="A226" s="1" t="s">
        <v>222</v>
      </c>
      <c r="B226" s="53" t="s">
        <v>328</v>
      </c>
      <c r="C226" s="18" t="s">
        <v>330</v>
      </c>
      <c r="D226" s="1" t="s">
        <v>226</v>
      </c>
      <c r="E226" s="18">
        <v>5</v>
      </c>
    </row>
    <row r="227" customHeight="1" spans="1:5">
      <c r="A227" s="1" t="s">
        <v>222</v>
      </c>
      <c r="B227" s="53" t="s">
        <v>328</v>
      </c>
      <c r="C227" s="5" t="s">
        <v>330</v>
      </c>
      <c r="D227" s="1" t="s">
        <v>226</v>
      </c>
      <c r="E227" s="5">
        <v>1</v>
      </c>
    </row>
    <row r="228" customHeight="1" spans="1:5">
      <c r="A228" s="1" t="s">
        <v>222</v>
      </c>
      <c r="B228" s="53" t="s">
        <v>328</v>
      </c>
      <c r="C228" s="5" t="s">
        <v>330</v>
      </c>
      <c r="D228" s="1" t="s">
        <v>226</v>
      </c>
      <c r="E228" s="5">
        <v>2</v>
      </c>
    </row>
    <row r="229" customHeight="1" spans="1:5">
      <c r="A229" s="1" t="s">
        <v>222</v>
      </c>
      <c r="B229" s="53" t="s">
        <v>328</v>
      </c>
      <c r="C229" s="5" t="s">
        <v>330</v>
      </c>
      <c r="D229" s="1" t="s">
        <v>226</v>
      </c>
      <c r="E229" s="5">
        <v>3</v>
      </c>
    </row>
    <row r="230" customHeight="1" spans="1:5">
      <c r="A230" s="1" t="s">
        <v>222</v>
      </c>
      <c r="B230" s="53" t="s">
        <v>328</v>
      </c>
      <c r="C230" s="5" t="s">
        <v>330</v>
      </c>
      <c r="D230" s="1" t="s">
        <v>226</v>
      </c>
      <c r="E230" s="5">
        <v>4</v>
      </c>
    </row>
    <row r="231" customHeight="1" spans="1:5">
      <c r="A231" s="1" t="s">
        <v>222</v>
      </c>
      <c r="B231" s="53" t="s">
        <v>328</v>
      </c>
      <c r="C231" s="5" t="s">
        <v>330</v>
      </c>
      <c r="D231" s="1" t="s">
        <v>226</v>
      </c>
      <c r="E231" s="5">
        <v>5</v>
      </c>
    </row>
    <row r="232" customHeight="1" spans="1:5">
      <c r="A232" s="1" t="s">
        <v>293</v>
      </c>
      <c r="B232" s="53" t="s">
        <v>328</v>
      </c>
      <c r="C232" s="18" t="s">
        <v>331</v>
      </c>
      <c r="D232" s="1" t="s">
        <v>227</v>
      </c>
      <c r="E232" s="18">
        <v>1</v>
      </c>
    </row>
    <row r="233" customHeight="1" spans="1:5">
      <c r="A233" s="1" t="s">
        <v>293</v>
      </c>
      <c r="B233" s="53" t="s">
        <v>328</v>
      </c>
      <c r="C233" s="18" t="s">
        <v>331</v>
      </c>
      <c r="D233" s="1" t="s">
        <v>227</v>
      </c>
      <c r="E233" s="18">
        <v>2</v>
      </c>
    </row>
    <row r="234" customHeight="1" spans="1:5">
      <c r="A234" s="1" t="s">
        <v>293</v>
      </c>
      <c r="B234" s="53" t="s">
        <v>328</v>
      </c>
      <c r="C234" s="18" t="s">
        <v>331</v>
      </c>
      <c r="D234" s="1" t="s">
        <v>227</v>
      </c>
      <c r="E234" s="18">
        <v>3</v>
      </c>
    </row>
    <row r="235" customHeight="1" spans="1:5">
      <c r="A235" s="1" t="s">
        <v>293</v>
      </c>
      <c r="B235" s="53" t="s">
        <v>328</v>
      </c>
      <c r="C235" s="18" t="s">
        <v>331</v>
      </c>
      <c r="D235" s="1" t="s">
        <v>227</v>
      </c>
      <c r="E235" s="18">
        <v>4</v>
      </c>
    </row>
    <row r="236" customHeight="1" spans="1:5">
      <c r="A236" s="1" t="s">
        <v>293</v>
      </c>
      <c r="B236" s="53" t="s">
        <v>328</v>
      </c>
      <c r="C236" s="18" t="s">
        <v>331</v>
      </c>
      <c r="D236" s="1" t="s">
        <v>227</v>
      </c>
      <c r="E236" s="18">
        <v>5</v>
      </c>
    </row>
    <row r="237" customHeight="1" spans="1:5">
      <c r="A237" s="1" t="s">
        <v>293</v>
      </c>
      <c r="B237" s="53" t="s">
        <v>328</v>
      </c>
      <c r="C237" s="18" t="s">
        <v>331</v>
      </c>
      <c r="D237" s="1" t="s">
        <v>227</v>
      </c>
      <c r="E237" s="18">
        <v>6</v>
      </c>
    </row>
    <row r="238" customHeight="1" spans="1:5">
      <c r="A238" s="1" t="s">
        <v>293</v>
      </c>
      <c r="B238" s="53" t="s">
        <v>328</v>
      </c>
      <c r="C238" s="18" t="s">
        <v>331</v>
      </c>
      <c r="D238" s="1" t="s">
        <v>227</v>
      </c>
      <c r="E238" s="18">
        <v>7</v>
      </c>
    </row>
    <row r="239" customHeight="1" spans="1:5">
      <c r="A239" s="1" t="s">
        <v>293</v>
      </c>
      <c r="B239" s="53" t="s">
        <v>328</v>
      </c>
      <c r="C239" s="18" t="s">
        <v>331</v>
      </c>
      <c r="D239" s="1" t="s">
        <v>227</v>
      </c>
      <c r="E239" s="18">
        <v>8</v>
      </c>
    </row>
    <row r="240" customHeight="1" spans="1:5">
      <c r="A240" s="1" t="s">
        <v>222</v>
      </c>
      <c r="B240" s="54" t="s">
        <v>332</v>
      </c>
      <c r="C240" s="5" t="s">
        <v>333</v>
      </c>
      <c r="D240" s="1" t="s">
        <v>224</v>
      </c>
      <c r="E240" s="5">
        <v>1</v>
      </c>
    </row>
    <row r="241" customHeight="1" spans="1:5">
      <c r="A241" s="1" t="s">
        <v>222</v>
      </c>
      <c r="B241" s="54" t="s">
        <v>332</v>
      </c>
      <c r="C241" s="5" t="s">
        <v>333</v>
      </c>
      <c r="D241" s="1" t="s">
        <v>224</v>
      </c>
      <c r="E241" s="5">
        <v>2</v>
      </c>
    </row>
    <row r="242" customHeight="1" spans="1:5">
      <c r="A242" s="1" t="s">
        <v>222</v>
      </c>
      <c r="B242" s="54" t="s">
        <v>332</v>
      </c>
      <c r="C242" s="5" t="s">
        <v>333</v>
      </c>
      <c r="D242" s="1" t="s">
        <v>224</v>
      </c>
      <c r="E242" s="5">
        <v>3</v>
      </c>
    </row>
    <row r="243" customHeight="1" spans="1:5">
      <c r="A243" s="1" t="s">
        <v>222</v>
      </c>
      <c r="B243" s="54" t="s">
        <v>332</v>
      </c>
      <c r="C243" s="5" t="s">
        <v>333</v>
      </c>
      <c r="D243" s="1" t="s">
        <v>224</v>
      </c>
      <c r="E243" s="5">
        <v>4</v>
      </c>
    </row>
    <row r="244" customHeight="1" spans="1:5">
      <c r="A244" s="1" t="s">
        <v>222</v>
      </c>
      <c r="B244" s="54" t="s">
        <v>332</v>
      </c>
      <c r="C244" s="5" t="s">
        <v>333</v>
      </c>
      <c r="D244" s="1" t="s">
        <v>224</v>
      </c>
      <c r="E244" s="5">
        <v>5</v>
      </c>
    </row>
    <row r="245" customHeight="1" spans="1:5">
      <c r="A245" s="1" t="s">
        <v>222</v>
      </c>
      <c r="B245" s="54" t="s">
        <v>332</v>
      </c>
      <c r="C245" s="18" t="s">
        <v>334</v>
      </c>
      <c r="D245" s="1" t="s">
        <v>225</v>
      </c>
      <c r="E245" s="18">
        <v>1</v>
      </c>
    </row>
    <row r="246" customHeight="1" spans="1:5">
      <c r="A246" s="1" t="s">
        <v>222</v>
      </c>
      <c r="B246" s="54" t="s">
        <v>332</v>
      </c>
      <c r="C246" s="18" t="s">
        <v>334</v>
      </c>
      <c r="D246" s="1" t="s">
        <v>225</v>
      </c>
      <c r="E246" s="18">
        <v>2</v>
      </c>
    </row>
    <row r="247" customHeight="1" spans="1:5">
      <c r="A247" s="1" t="s">
        <v>222</v>
      </c>
      <c r="B247" s="54" t="s">
        <v>332</v>
      </c>
      <c r="C247" s="18" t="s">
        <v>334</v>
      </c>
      <c r="D247" s="1" t="s">
        <v>225</v>
      </c>
      <c r="E247" s="18">
        <v>3</v>
      </c>
    </row>
    <row r="248" customHeight="1" spans="1:5">
      <c r="A248" s="1" t="s">
        <v>222</v>
      </c>
      <c r="B248" s="54" t="s">
        <v>332</v>
      </c>
      <c r="C248" s="18" t="s">
        <v>334</v>
      </c>
      <c r="D248" s="1" t="s">
        <v>225</v>
      </c>
      <c r="E248" s="18">
        <v>4</v>
      </c>
    </row>
    <row r="249" customHeight="1" spans="1:5">
      <c r="A249" s="1" t="s">
        <v>222</v>
      </c>
      <c r="B249" s="54" t="s">
        <v>332</v>
      </c>
      <c r="C249" s="18" t="s">
        <v>334</v>
      </c>
      <c r="D249" s="1" t="s">
        <v>225</v>
      </c>
      <c r="E249" s="18">
        <v>5</v>
      </c>
    </row>
    <row r="250" customHeight="1" spans="1:5">
      <c r="A250" s="1" t="s">
        <v>222</v>
      </c>
      <c r="B250" s="54" t="s">
        <v>332</v>
      </c>
      <c r="C250" s="5" t="s">
        <v>335</v>
      </c>
      <c r="D250" s="1" t="s">
        <v>226</v>
      </c>
      <c r="E250" s="5">
        <v>1</v>
      </c>
    </row>
    <row r="251" customHeight="1" spans="1:5">
      <c r="A251" s="1" t="s">
        <v>222</v>
      </c>
      <c r="B251" s="54" t="s">
        <v>332</v>
      </c>
      <c r="C251" s="5" t="s">
        <v>335</v>
      </c>
      <c r="D251" s="1" t="s">
        <v>226</v>
      </c>
      <c r="E251" s="5">
        <v>2</v>
      </c>
    </row>
    <row r="252" customHeight="1" spans="1:5">
      <c r="A252" s="1" t="s">
        <v>222</v>
      </c>
      <c r="B252" s="54" t="s">
        <v>332</v>
      </c>
      <c r="C252" s="5" t="s">
        <v>335</v>
      </c>
      <c r="D252" s="1" t="s">
        <v>226</v>
      </c>
      <c r="E252" s="5">
        <v>3</v>
      </c>
    </row>
    <row r="253" customHeight="1" spans="1:5">
      <c r="A253" s="1" t="s">
        <v>222</v>
      </c>
      <c r="B253" s="54" t="s">
        <v>332</v>
      </c>
      <c r="C253" s="5" t="s">
        <v>335</v>
      </c>
      <c r="D253" s="1" t="s">
        <v>226</v>
      </c>
      <c r="E253" s="5">
        <v>4</v>
      </c>
    </row>
    <row r="254" customHeight="1" spans="1:5">
      <c r="A254" s="1" t="s">
        <v>222</v>
      </c>
      <c r="B254" s="54" t="s">
        <v>332</v>
      </c>
      <c r="C254" s="5" t="s">
        <v>335</v>
      </c>
      <c r="D254" s="1" t="s">
        <v>226</v>
      </c>
      <c r="E254" s="5">
        <v>5</v>
      </c>
    </row>
    <row r="255" customHeight="1" spans="1:5">
      <c r="A255" s="1" t="s">
        <v>222</v>
      </c>
      <c r="B255" s="54" t="s">
        <v>332</v>
      </c>
      <c r="C255" s="18" t="s">
        <v>335</v>
      </c>
      <c r="D255" s="1" t="s">
        <v>226</v>
      </c>
      <c r="E255" s="18">
        <v>1</v>
      </c>
    </row>
    <row r="256" customHeight="1" spans="1:5">
      <c r="A256" s="1" t="s">
        <v>222</v>
      </c>
      <c r="B256" s="54" t="s">
        <v>332</v>
      </c>
      <c r="C256" s="18" t="s">
        <v>335</v>
      </c>
      <c r="D256" s="1" t="s">
        <v>226</v>
      </c>
      <c r="E256" s="18">
        <v>2</v>
      </c>
    </row>
    <row r="257" customHeight="1" spans="1:5">
      <c r="A257" s="1" t="s">
        <v>222</v>
      </c>
      <c r="B257" s="54" t="s">
        <v>332</v>
      </c>
      <c r="C257" s="18" t="s">
        <v>335</v>
      </c>
      <c r="D257" s="1" t="s">
        <v>226</v>
      </c>
      <c r="E257" s="18">
        <v>3</v>
      </c>
    </row>
    <row r="258" customHeight="1" spans="1:5">
      <c r="A258" s="1" t="s">
        <v>222</v>
      </c>
      <c r="B258" s="54" t="s">
        <v>332</v>
      </c>
      <c r="C258" s="18" t="s">
        <v>335</v>
      </c>
      <c r="D258" s="1" t="s">
        <v>226</v>
      </c>
      <c r="E258" s="18">
        <v>4</v>
      </c>
    </row>
    <row r="259" customHeight="1" spans="1:5">
      <c r="A259" s="1" t="s">
        <v>222</v>
      </c>
      <c r="B259" s="54" t="s">
        <v>332</v>
      </c>
      <c r="C259" s="18" t="s">
        <v>335</v>
      </c>
      <c r="D259" s="1" t="s">
        <v>226</v>
      </c>
      <c r="E259" s="18">
        <v>5</v>
      </c>
    </row>
    <row r="260" customHeight="1" spans="1:5">
      <c r="A260" s="1" t="s">
        <v>293</v>
      </c>
      <c r="B260" s="54" t="s">
        <v>332</v>
      </c>
      <c r="C260" s="5" t="s">
        <v>336</v>
      </c>
      <c r="D260" s="1" t="s">
        <v>227</v>
      </c>
      <c r="E260" s="5">
        <v>1</v>
      </c>
    </row>
    <row r="261" customHeight="1" spans="1:5">
      <c r="A261" s="1" t="s">
        <v>293</v>
      </c>
      <c r="B261" s="54" t="s">
        <v>332</v>
      </c>
      <c r="C261" s="5" t="s">
        <v>336</v>
      </c>
      <c r="D261" s="1" t="s">
        <v>227</v>
      </c>
      <c r="E261" s="5">
        <v>2</v>
      </c>
    </row>
    <row r="262" customHeight="1" spans="1:5">
      <c r="A262" s="1" t="s">
        <v>293</v>
      </c>
      <c r="B262" s="54" t="s">
        <v>332</v>
      </c>
      <c r="C262" s="5" t="s">
        <v>336</v>
      </c>
      <c r="D262" s="1" t="s">
        <v>227</v>
      </c>
      <c r="E262" s="5">
        <v>3</v>
      </c>
    </row>
    <row r="263" customHeight="1" spans="1:5">
      <c r="A263" s="1" t="s">
        <v>293</v>
      </c>
      <c r="B263" s="54" t="s">
        <v>332</v>
      </c>
      <c r="C263" s="5" t="s">
        <v>336</v>
      </c>
      <c r="D263" s="1" t="s">
        <v>227</v>
      </c>
      <c r="E263" s="5">
        <v>4</v>
      </c>
    </row>
    <row r="264" customHeight="1" spans="1:5">
      <c r="A264" s="1" t="s">
        <v>293</v>
      </c>
      <c r="B264" s="54" t="s">
        <v>332</v>
      </c>
      <c r="C264" s="5" t="s">
        <v>336</v>
      </c>
      <c r="D264" s="1" t="s">
        <v>227</v>
      </c>
      <c r="E264" s="5">
        <v>5</v>
      </c>
    </row>
    <row r="265" customHeight="1" spans="1:5">
      <c r="A265" s="1" t="s">
        <v>293</v>
      </c>
      <c r="B265" s="54" t="s">
        <v>332</v>
      </c>
      <c r="C265" s="5" t="s">
        <v>336</v>
      </c>
      <c r="D265" s="1" t="s">
        <v>227</v>
      </c>
      <c r="E265" s="5">
        <v>6</v>
      </c>
    </row>
    <row r="266" customHeight="1" spans="1:5">
      <c r="A266" s="1" t="s">
        <v>293</v>
      </c>
      <c r="B266" s="54" t="s">
        <v>332</v>
      </c>
      <c r="C266" s="5" t="s">
        <v>336</v>
      </c>
      <c r="D266" s="1" t="s">
        <v>227</v>
      </c>
      <c r="E266" s="5">
        <v>7</v>
      </c>
    </row>
    <row r="267" customHeight="1" spans="1:5">
      <c r="A267" s="1" t="s">
        <v>293</v>
      </c>
      <c r="B267" s="54" t="s">
        <v>332</v>
      </c>
      <c r="C267" s="5" t="s">
        <v>336</v>
      </c>
      <c r="D267" s="1" t="s">
        <v>227</v>
      </c>
      <c r="E267" s="5">
        <v>8</v>
      </c>
    </row>
    <row r="268" customHeight="1" spans="1:5">
      <c r="A268" s="1" t="s">
        <v>222</v>
      </c>
      <c r="B268" s="53" t="s">
        <v>337</v>
      </c>
      <c r="C268" s="18" t="s">
        <v>338</v>
      </c>
      <c r="D268" s="1" t="s">
        <v>224</v>
      </c>
      <c r="E268" s="18">
        <v>1</v>
      </c>
    </row>
    <row r="269" customHeight="1" spans="1:5">
      <c r="A269" s="1" t="s">
        <v>222</v>
      </c>
      <c r="B269" s="53" t="s">
        <v>337</v>
      </c>
      <c r="C269" s="18" t="s">
        <v>338</v>
      </c>
      <c r="D269" s="1" t="s">
        <v>224</v>
      </c>
      <c r="E269" s="18">
        <v>2</v>
      </c>
    </row>
    <row r="270" customHeight="1" spans="1:5">
      <c r="A270" s="1" t="s">
        <v>222</v>
      </c>
      <c r="B270" s="53" t="s">
        <v>337</v>
      </c>
      <c r="C270" s="18" t="s">
        <v>338</v>
      </c>
      <c r="D270" s="1" t="s">
        <v>224</v>
      </c>
      <c r="E270" s="18">
        <v>3</v>
      </c>
    </row>
    <row r="271" customHeight="1" spans="1:5">
      <c r="A271" s="1" t="s">
        <v>222</v>
      </c>
      <c r="B271" s="53" t="s">
        <v>337</v>
      </c>
      <c r="C271" s="18" t="s">
        <v>338</v>
      </c>
      <c r="D271" s="1" t="s">
        <v>224</v>
      </c>
      <c r="E271" s="18">
        <v>4</v>
      </c>
    </row>
    <row r="272" customHeight="1" spans="1:5">
      <c r="A272" s="1" t="s">
        <v>222</v>
      </c>
      <c r="B272" s="53" t="s">
        <v>337</v>
      </c>
      <c r="C272" s="18" t="s">
        <v>338</v>
      </c>
      <c r="D272" s="1" t="s">
        <v>224</v>
      </c>
      <c r="E272" s="18">
        <v>5</v>
      </c>
    </row>
    <row r="273" customHeight="1" spans="1:5">
      <c r="A273" s="1" t="s">
        <v>222</v>
      </c>
      <c r="B273" s="53" t="s">
        <v>337</v>
      </c>
      <c r="C273" s="5" t="s">
        <v>339</v>
      </c>
      <c r="D273" s="1" t="s">
        <v>225</v>
      </c>
      <c r="E273" s="5">
        <v>1</v>
      </c>
    </row>
    <row r="274" customHeight="1" spans="1:5">
      <c r="A274" s="1" t="s">
        <v>222</v>
      </c>
      <c r="B274" s="53" t="s">
        <v>337</v>
      </c>
      <c r="C274" s="5" t="s">
        <v>339</v>
      </c>
      <c r="D274" s="1" t="s">
        <v>225</v>
      </c>
      <c r="E274" s="5">
        <v>2</v>
      </c>
    </row>
    <row r="275" customHeight="1" spans="1:5">
      <c r="A275" s="1" t="s">
        <v>222</v>
      </c>
      <c r="B275" s="53" t="s">
        <v>337</v>
      </c>
      <c r="C275" s="5" t="s">
        <v>339</v>
      </c>
      <c r="D275" s="1" t="s">
        <v>225</v>
      </c>
      <c r="E275" s="5">
        <v>3</v>
      </c>
    </row>
    <row r="276" customHeight="1" spans="1:5">
      <c r="A276" s="1" t="s">
        <v>222</v>
      </c>
      <c r="B276" s="53" t="s">
        <v>337</v>
      </c>
      <c r="C276" s="5" t="s">
        <v>339</v>
      </c>
      <c r="D276" s="1" t="s">
        <v>225</v>
      </c>
      <c r="E276" s="5">
        <v>4</v>
      </c>
    </row>
    <row r="277" customHeight="1" spans="1:5">
      <c r="A277" s="1" t="s">
        <v>222</v>
      </c>
      <c r="B277" s="53" t="s">
        <v>337</v>
      </c>
      <c r="C277" s="5" t="s">
        <v>339</v>
      </c>
      <c r="D277" s="1" t="s">
        <v>225</v>
      </c>
      <c r="E277" s="5">
        <v>5</v>
      </c>
    </row>
    <row r="278" customHeight="1" spans="1:5">
      <c r="A278" s="1" t="s">
        <v>222</v>
      </c>
      <c r="B278" s="53" t="s">
        <v>337</v>
      </c>
      <c r="C278" s="18" t="s">
        <v>340</v>
      </c>
      <c r="D278" s="1" t="s">
        <v>226</v>
      </c>
      <c r="E278" s="18">
        <v>1</v>
      </c>
    </row>
    <row r="279" customHeight="1" spans="1:5">
      <c r="A279" s="1" t="s">
        <v>222</v>
      </c>
      <c r="B279" s="53" t="s">
        <v>337</v>
      </c>
      <c r="C279" s="18" t="s">
        <v>340</v>
      </c>
      <c r="D279" s="1" t="s">
        <v>226</v>
      </c>
      <c r="E279" s="18">
        <v>2</v>
      </c>
    </row>
    <row r="280" customHeight="1" spans="1:5">
      <c r="A280" s="1" t="s">
        <v>222</v>
      </c>
      <c r="B280" s="53" t="s">
        <v>337</v>
      </c>
      <c r="C280" s="18" t="s">
        <v>340</v>
      </c>
      <c r="D280" s="1" t="s">
        <v>226</v>
      </c>
      <c r="E280" s="18">
        <v>3</v>
      </c>
    </row>
    <row r="281" customHeight="1" spans="1:5">
      <c r="A281" s="1" t="s">
        <v>222</v>
      </c>
      <c r="B281" s="53" t="s">
        <v>337</v>
      </c>
      <c r="C281" s="18" t="s">
        <v>340</v>
      </c>
      <c r="D281" s="1" t="s">
        <v>226</v>
      </c>
      <c r="E281" s="18">
        <v>4</v>
      </c>
    </row>
    <row r="282" customHeight="1" spans="1:5">
      <c r="A282" s="1" t="s">
        <v>222</v>
      </c>
      <c r="B282" s="53" t="s">
        <v>337</v>
      </c>
      <c r="C282" s="18" t="s">
        <v>340</v>
      </c>
      <c r="D282" s="1" t="s">
        <v>226</v>
      </c>
      <c r="E282" s="18">
        <v>5</v>
      </c>
    </row>
    <row r="283" customHeight="1" spans="1:5">
      <c r="A283" s="1" t="s">
        <v>222</v>
      </c>
      <c r="B283" s="53" t="s">
        <v>337</v>
      </c>
      <c r="C283" s="5" t="s">
        <v>340</v>
      </c>
      <c r="D283" s="1" t="s">
        <v>226</v>
      </c>
      <c r="E283" s="5">
        <v>1</v>
      </c>
    </row>
    <row r="284" customHeight="1" spans="1:5">
      <c r="A284" s="1" t="s">
        <v>222</v>
      </c>
      <c r="B284" s="53" t="s">
        <v>337</v>
      </c>
      <c r="C284" s="5" t="s">
        <v>340</v>
      </c>
      <c r="D284" s="1" t="s">
        <v>226</v>
      </c>
      <c r="E284" s="5">
        <v>2</v>
      </c>
    </row>
    <row r="285" customHeight="1" spans="1:5">
      <c r="A285" s="1" t="s">
        <v>222</v>
      </c>
      <c r="B285" s="53" t="s">
        <v>337</v>
      </c>
      <c r="C285" s="5" t="s">
        <v>340</v>
      </c>
      <c r="D285" s="1" t="s">
        <v>226</v>
      </c>
      <c r="E285" s="5">
        <v>3</v>
      </c>
    </row>
    <row r="286" customHeight="1" spans="1:5">
      <c r="A286" s="1" t="s">
        <v>222</v>
      </c>
      <c r="B286" s="53" t="s">
        <v>337</v>
      </c>
      <c r="C286" s="5" t="s">
        <v>340</v>
      </c>
      <c r="D286" s="1" t="s">
        <v>226</v>
      </c>
      <c r="E286" s="5">
        <v>4</v>
      </c>
    </row>
    <row r="287" customHeight="1" spans="1:5">
      <c r="A287" s="1" t="s">
        <v>222</v>
      </c>
      <c r="B287" s="53" t="s">
        <v>337</v>
      </c>
      <c r="C287" s="5" t="s">
        <v>340</v>
      </c>
      <c r="D287" s="1" t="s">
        <v>226</v>
      </c>
      <c r="E287" s="5">
        <v>5</v>
      </c>
    </row>
    <row r="288" customHeight="1" spans="1:5">
      <c r="A288" s="1" t="s">
        <v>293</v>
      </c>
      <c r="B288" s="53" t="s">
        <v>337</v>
      </c>
      <c r="C288" s="18" t="s">
        <v>341</v>
      </c>
      <c r="D288" s="1" t="s">
        <v>227</v>
      </c>
      <c r="E288" s="18">
        <v>1</v>
      </c>
    </row>
    <row r="289" customHeight="1" spans="1:5">
      <c r="A289" s="1" t="s">
        <v>293</v>
      </c>
      <c r="B289" s="53" t="s">
        <v>337</v>
      </c>
      <c r="C289" s="18" t="s">
        <v>341</v>
      </c>
      <c r="D289" s="1" t="s">
        <v>227</v>
      </c>
      <c r="E289" s="18">
        <v>2</v>
      </c>
    </row>
    <row r="290" customHeight="1" spans="1:5">
      <c r="A290" s="1" t="s">
        <v>293</v>
      </c>
      <c r="B290" s="53" t="s">
        <v>337</v>
      </c>
      <c r="C290" s="18" t="s">
        <v>341</v>
      </c>
      <c r="D290" s="1" t="s">
        <v>227</v>
      </c>
      <c r="E290" s="18">
        <v>3</v>
      </c>
    </row>
    <row r="291" customHeight="1" spans="1:5">
      <c r="A291" s="1" t="s">
        <v>293</v>
      </c>
      <c r="B291" s="53" t="s">
        <v>337</v>
      </c>
      <c r="C291" s="18" t="s">
        <v>341</v>
      </c>
      <c r="D291" s="1" t="s">
        <v>227</v>
      </c>
      <c r="E291" s="18">
        <v>4</v>
      </c>
    </row>
    <row r="292" customHeight="1" spans="1:5">
      <c r="A292" s="1" t="s">
        <v>293</v>
      </c>
      <c r="B292" s="53" t="s">
        <v>337</v>
      </c>
      <c r="C292" s="18" t="s">
        <v>341</v>
      </c>
      <c r="D292" s="1" t="s">
        <v>227</v>
      </c>
      <c r="E292" s="18">
        <v>5</v>
      </c>
    </row>
    <row r="293" customHeight="1" spans="1:5">
      <c r="A293" s="1" t="s">
        <v>293</v>
      </c>
      <c r="B293" s="53" t="s">
        <v>337</v>
      </c>
      <c r="C293" s="18" t="s">
        <v>341</v>
      </c>
      <c r="D293" s="1" t="s">
        <v>227</v>
      </c>
      <c r="E293" s="18">
        <v>6</v>
      </c>
    </row>
    <row r="294" customHeight="1" spans="1:5">
      <c r="A294" s="1" t="s">
        <v>293</v>
      </c>
      <c r="B294" s="53" t="s">
        <v>337</v>
      </c>
      <c r="C294" s="18" t="s">
        <v>341</v>
      </c>
      <c r="D294" s="1" t="s">
        <v>227</v>
      </c>
      <c r="E294" s="18">
        <v>7</v>
      </c>
    </row>
    <row r="295" customHeight="1" spans="1:5">
      <c r="A295" s="1" t="s">
        <v>293</v>
      </c>
      <c r="B295" s="53" t="s">
        <v>337</v>
      </c>
      <c r="C295" s="18" t="s">
        <v>341</v>
      </c>
      <c r="D295" s="1" t="s">
        <v>227</v>
      </c>
      <c r="E295" s="18">
        <v>8</v>
      </c>
    </row>
    <row r="296" customHeight="1" spans="1:5">
      <c r="A296" s="1" t="s">
        <v>240</v>
      </c>
      <c r="B296" s="53" t="s">
        <v>342</v>
      </c>
      <c r="C296" s="5" t="s">
        <v>343</v>
      </c>
      <c r="D296" s="1" t="s">
        <v>224</v>
      </c>
      <c r="E296" s="5">
        <v>1</v>
      </c>
    </row>
    <row r="297" customHeight="1" spans="1:5">
      <c r="A297" s="1" t="s">
        <v>240</v>
      </c>
      <c r="B297" s="53" t="s">
        <v>342</v>
      </c>
      <c r="C297" s="5" t="s">
        <v>343</v>
      </c>
      <c r="D297" s="1" t="s">
        <v>224</v>
      </c>
      <c r="E297" s="5">
        <v>2</v>
      </c>
    </row>
    <row r="298" customHeight="1" spans="1:5">
      <c r="A298" s="1" t="s">
        <v>240</v>
      </c>
      <c r="B298" s="53" t="s">
        <v>342</v>
      </c>
      <c r="C298" s="5" t="s">
        <v>343</v>
      </c>
      <c r="D298" s="1" t="s">
        <v>224</v>
      </c>
      <c r="E298" s="5">
        <v>3</v>
      </c>
    </row>
    <row r="299" customHeight="1" spans="1:5">
      <c r="A299" s="1" t="s">
        <v>240</v>
      </c>
      <c r="B299" s="53" t="s">
        <v>342</v>
      </c>
      <c r="C299" s="5" t="s">
        <v>343</v>
      </c>
      <c r="D299" s="1" t="s">
        <v>224</v>
      </c>
      <c r="E299" s="5">
        <v>4</v>
      </c>
    </row>
    <row r="300" customHeight="1" spans="1:5">
      <c r="A300" s="1" t="s">
        <v>240</v>
      </c>
      <c r="B300" s="53" t="s">
        <v>342</v>
      </c>
      <c r="C300" s="5" t="s">
        <v>343</v>
      </c>
      <c r="D300" s="1" t="s">
        <v>224</v>
      </c>
      <c r="E300" s="5">
        <v>5</v>
      </c>
    </row>
    <row r="301" customHeight="1" spans="1:5">
      <c r="A301" s="1" t="s">
        <v>240</v>
      </c>
      <c r="B301" s="53" t="s">
        <v>342</v>
      </c>
      <c r="C301" s="18" t="s">
        <v>344</v>
      </c>
      <c r="D301" s="1" t="s">
        <v>226</v>
      </c>
      <c r="E301" s="18">
        <v>1</v>
      </c>
    </row>
    <row r="302" customHeight="1" spans="1:5">
      <c r="A302" s="1" t="s">
        <v>240</v>
      </c>
      <c r="B302" s="53" t="s">
        <v>342</v>
      </c>
      <c r="C302" s="18" t="s">
        <v>344</v>
      </c>
      <c r="D302" s="1" t="s">
        <v>226</v>
      </c>
      <c r="E302" s="18">
        <v>2</v>
      </c>
    </row>
    <row r="303" customHeight="1" spans="1:5">
      <c r="A303" s="1" t="s">
        <v>240</v>
      </c>
      <c r="B303" s="53" t="s">
        <v>342</v>
      </c>
      <c r="C303" s="18" t="s">
        <v>344</v>
      </c>
      <c r="D303" s="1" t="s">
        <v>226</v>
      </c>
      <c r="E303" s="18">
        <v>3</v>
      </c>
    </row>
    <row r="304" customHeight="1" spans="1:5">
      <c r="A304" s="1" t="s">
        <v>240</v>
      </c>
      <c r="B304" s="53" t="s">
        <v>342</v>
      </c>
      <c r="C304" s="18" t="s">
        <v>344</v>
      </c>
      <c r="D304" s="1" t="s">
        <v>226</v>
      </c>
      <c r="E304" s="18">
        <v>4</v>
      </c>
    </row>
    <row r="305" customHeight="1" spans="1:5">
      <c r="A305" s="1" t="s">
        <v>240</v>
      </c>
      <c r="B305" s="53" t="s">
        <v>342</v>
      </c>
      <c r="C305" s="18" t="s">
        <v>344</v>
      </c>
      <c r="D305" s="1" t="s">
        <v>226</v>
      </c>
      <c r="E305" s="18">
        <v>5</v>
      </c>
    </row>
    <row r="306" customHeight="1" spans="1:5">
      <c r="A306" s="1" t="s">
        <v>240</v>
      </c>
      <c r="B306" s="53" t="s">
        <v>342</v>
      </c>
      <c r="C306" s="5" t="s">
        <v>344</v>
      </c>
      <c r="D306" s="1" t="s">
        <v>226</v>
      </c>
      <c r="E306" s="5">
        <v>1</v>
      </c>
    </row>
    <row r="307" customHeight="1" spans="1:5">
      <c r="A307" s="1" t="s">
        <v>240</v>
      </c>
      <c r="B307" s="53" t="s">
        <v>342</v>
      </c>
      <c r="C307" s="5" t="s">
        <v>344</v>
      </c>
      <c r="D307" s="1" t="s">
        <v>226</v>
      </c>
      <c r="E307" s="5">
        <v>2</v>
      </c>
    </row>
    <row r="308" customHeight="1" spans="1:5">
      <c r="A308" s="1" t="s">
        <v>240</v>
      </c>
      <c r="B308" s="53" t="s">
        <v>342</v>
      </c>
      <c r="C308" s="5" t="s">
        <v>344</v>
      </c>
      <c r="D308" s="1" t="s">
        <v>226</v>
      </c>
      <c r="E308" s="5">
        <v>3</v>
      </c>
    </row>
    <row r="309" customHeight="1" spans="1:5">
      <c r="A309" s="1" t="s">
        <v>240</v>
      </c>
      <c r="B309" s="53" t="s">
        <v>342</v>
      </c>
      <c r="C309" s="5" t="s">
        <v>344</v>
      </c>
      <c r="D309" s="1" t="s">
        <v>226</v>
      </c>
      <c r="E309" s="5">
        <v>4</v>
      </c>
    </row>
    <row r="310" customHeight="1" spans="1:5">
      <c r="A310" s="1" t="s">
        <v>240</v>
      </c>
      <c r="B310" s="53" t="s">
        <v>342</v>
      </c>
      <c r="C310" s="5" t="s">
        <v>344</v>
      </c>
      <c r="D310" s="1" t="s">
        <v>226</v>
      </c>
      <c r="E310" s="5">
        <v>5</v>
      </c>
    </row>
    <row r="311" customHeight="1" spans="1:5">
      <c r="A311" s="1" t="s">
        <v>293</v>
      </c>
      <c r="B311" s="53" t="s">
        <v>342</v>
      </c>
      <c r="C311" s="18" t="s">
        <v>345</v>
      </c>
      <c r="D311" s="1" t="s">
        <v>227</v>
      </c>
      <c r="E311" s="18">
        <v>1</v>
      </c>
    </row>
    <row r="312" customHeight="1" spans="1:5">
      <c r="A312" s="1" t="s">
        <v>293</v>
      </c>
      <c r="B312" s="53" t="s">
        <v>342</v>
      </c>
      <c r="C312" s="18" t="s">
        <v>345</v>
      </c>
      <c r="D312" s="1" t="s">
        <v>227</v>
      </c>
      <c r="E312" s="18">
        <v>2</v>
      </c>
    </row>
    <row r="313" customHeight="1" spans="1:5">
      <c r="A313" s="1" t="s">
        <v>293</v>
      </c>
      <c r="B313" s="53" t="s">
        <v>342</v>
      </c>
      <c r="C313" s="18" t="s">
        <v>345</v>
      </c>
      <c r="D313" s="1" t="s">
        <v>227</v>
      </c>
      <c r="E313" s="18">
        <v>3</v>
      </c>
    </row>
    <row r="314" customHeight="1" spans="1:5">
      <c r="A314" s="1" t="s">
        <v>293</v>
      </c>
      <c r="B314" s="53" t="s">
        <v>342</v>
      </c>
      <c r="C314" s="18" t="s">
        <v>345</v>
      </c>
      <c r="D314" s="1" t="s">
        <v>227</v>
      </c>
      <c r="E314" s="18">
        <v>4</v>
      </c>
    </row>
    <row r="315" customHeight="1" spans="1:5">
      <c r="A315" s="1" t="s">
        <v>293</v>
      </c>
      <c r="B315" s="53" t="s">
        <v>342</v>
      </c>
      <c r="C315" s="18" t="s">
        <v>345</v>
      </c>
      <c r="D315" s="1" t="s">
        <v>227</v>
      </c>
      <c r="E315" s="18">
        <v>5</v>
      </c>
    </row>
    <row r="316" customHeight="1" spans="1:5">
      <c r="A316" s="1" t="s">
        <v>293</v>
      </c>
      <c r="B316" s="53" t="s">
        <v>342</v>
      </c>
      <c r="C316" s="18" t="s">
        <v>345</v>
      </c>
      <c r="D316" s="1" t="s">
        <v>227</v>
      </c>
      <c r="E316" s="18">
        <v>6</v>
      </c>
    </row>
    <row r="317" customHeight="1" spans="1:5">
      <c r="A317" s="1" t="s">
        <v>293</v>
      </c>
      <c r="B317" s="53" t="s">
        <v>342</v>
      </c>
      <c r="C317" s="18" t="s">
        <v>345</v>
      </c>
      <c r="D317" s="1" t="s">
        <v>227</v>
      </c>
      <c r="E317" s="18">
        <v>7</v>
      </c>
    </row>
    <row r="318" customHeight="1" spans="1:5">
      <c r="A318" s="1" t="s">
        <v>293</v>
      </c>
      <c r="B318" s="53" t="s">
        <v>342</v>
      </c>
      <c r="C318" s="18" t="s">
        <v>345</v>
      </c>
      <c r="D318" s="1" t="s">
        <v>227</v>
      </c>
      <c r="E318" s="18">
        <v>8</v>
      </c>
    </row>
    <row r="319" customHeight="1" spans="1:5">
      <c r="A319" s="1" t="s">
        <v>240</v>
      </c>
      <c r="B319" s="54" t="s">
        <v>346</v>
      </c>
      <c r="C319" s="5" t="s">
        <v>347</v>
      </c>
      <c r="D319" s="1" t="s">
        <v>224</v>
      </c>
      <c r="E319" s="5">
        <v>1</v>
      </c>
    </row>
    <row r="320" customHeight="1" spans="1:5">
      <c r="A320" s="1" t="s">
        <v>240</v>
      </c>
      <c r="B320" s="54" t="s">
        <v>346</v>
      </c>
      <c r="C320" s="5" t="s">
        <v>347</v>
      </c>
      <c r="D320" s="1" t="s">
        <v>224</v>
      </c>
      <c r="E320" s="5">
        <v>2</v>
      </c>
    </row>
    <row r="321" customHeight="1" spans="1:5">
      <c r="A321" s="1" t="s">
        <v>240</v>
      </c>
      <c r="B321" s="54" t="s">
        <v>346</v>
      </c>
      <c r="C321" s="5" t="s">
        <v>347</v>
      </c>
      <c r="D321" s="1" t="s">
        <v>224</v>
      </c>
      <c r="E321" s="5">
        <v>3</v>
      </c>
    </row>
    <row r="322" customHeight="1" spans="1:5">
      <c r="A322" s="1" t="s">
        <v>240</v>
      </c>
      <c r="B322" s="54" t="s">
        <v>346</v>
      </c>
      <c r="C322" s="5" t="s">
        <v>347</v>
      </c>
      <c r="D322" s="1" t="s">
        <v>224</v>
      </c>
      <c r="E322" s="5">
        <v>4</v>
      </c>
    </row>
    <row r="323" customHeight="1" spans="1:5">
      <c r="A323" s="1" t="s">
        <v>240</v>
      </c>
      <c r="B323" s="54" t="s">
        <v>346</v>
      </c>
      <c r="C323" s="5" t="s">
        <v>347</v>
      </c>
      <c r="D323" s="1" t="s">
        <v>224</v>
      </c>
      <c r="E323" s="5">
        <v>5</v>
      </c>
    </row>
    <row r="324" customHeight="1" spans="1:5">
      <c r="A324" s="1" t="s">
        <v>240</v>
      </c>
      <c r="B324" s="54" t="s">
        <v>346</v>
      </c>
      <c r="C324" s="18" t="s">
        <v>348</v>
      </c>
      <c r="D324" s="1" t="s">
        <v>226</v>
      </c>
      <c r="E324" s="18">
        <v>1</v>
      </c>
    </row>
    <row r="325" customHeight="1" spans="1:5">
      <c r="A325" s="1" t="s">
        <v>240</v>
      </c>
      <c r="B325" s="54" t="s">
        <v>346</v>
      </c>
      <c r="C325" s="18" t="s">
        <v>348</v>
      </c>
      <c r="D325" s="1" t="s">
        <v>226</v>
      </c>
      <c r="E325" s="18">
        <v>2</v>
      </c>
    </row>
    <row r="326" customHeight="1" spans="1:5">
      <c r="A326" s="1" t="s">
        <v>240</v>
      </c>
      <c r="B326" s="54" t="s">
        <v>346</v>
      </c>
      <c r="C326" s="18" t="s">
        <v>348</v>
      </c>
      <c r="D326" s="1" t="s">
        <v>226</v>
      </c>
      <c r="E326" s="18">
        <v>3</v>
      </c>
    </row>
    <row r="327" customHeight="1" spans="1:5">
      <c r="A327" s="1" t="s">
        <v>240</v>
      </c>
      <c r="B327" s="54" t="s">
        <v>346</v>
      </c>
      <c r="C327" s="18" t="s">
        <v>348</v>
      </c>
      <c r="D327" s="1" t="s">
        <v>226</v>
      </c>
      <c r="E327" s="18">
        <v>4</v>
      </c>
    </row>
    <row r="328" customHeight="1" spans="1:5">
      <c r="A328" s="1" t="s">
        <v>240</v>
      </c>
      <c r="B328" s="54" t="s">
        <v>346</v>
      </c>
      <c r="C328" s="18" t="s">
        <v>348</v>
      </c>
      <c r="D328" s="1" t="s">
        <v>226</v>
      </c>
      <c r="E328" s="18">
        <v>5</v>
      </c>
    </row>
    <row r="329" customHeight="1" spans="1:5">
      <c r="A329" s="1" t="s">
        <v>240</v>
      </c>
      <c r="B329" s="54" t="s">
        <v>346</v>
      </c>
      <c r="C329" s="5" t="s">
        <v>348</v>
      </c>
      <c r="D329" s="1" t="s">
        <v>226</v>
      </c>
      <c r="E329" s="5">
        <v>1</v>
      </c>
    </row>
    <row r="330" customHeight="1" spans="1:5">
      <c r="A330" s="1" t="s">
        <v>240</v>
      </c>
      <c r="B330" s="54" t="s">
        <v>346</v>
      </c>
      <c r="C330" s="5" t="s">
        <v>348</v>
      </c>
      <c r="D330" s="1" t="s">
        <v>226</v>
      </c>
      <c r="E330" s="5">
        <v>2</v>
      </c>
    </row>
    <row r="331" customHeight="1" spans="1:5">
      <c r="A331" s="1" t="s">
        <v>240</v>
      </c>
      <c r="B331" s="54" t="s">
        <v>346</v>
      </c>
      <c r="C331" s="5" t="s">
        <v>348</v>
      </c>
      <c r="D331" s="1" t="s">
        <v>226</v>
      </c>
      <c r="E331" s="5">
        <v>3</v>
      </c>
    </row>
    <row r="332" customHeight="1" spans="1:5">
      <c r="A332" s="1" t="s">
        <v>240</v>
      </c>
      <c r="B332" s="54" t="s">
        <v>346</v>
      </c>
      <c r="C332" s="5" t="s">
        <v>348</v>
      </c>
      <c r="D332" s="1" t="s">
        <v>226</v>
      </c>
      <c r="E332" s="5">
        <v>4</v>
      </c>
    </row>
    <row r="333" customHeight="1" spans="1:5">
      <c r="A333" s="1" t="s">
        <v>240</v>
      </c>
      <c r="B333" s="54" t="s">
        <v>346</v>
      </c>
      <c r="C333" s="5" t="s">
        <v>348</v>
      </c>
      <c r="D333" s="1" t="s">
        <v>226</v>
      </c>
      <c r="E333" s="5">
        <v>5</v>
      </c>
    </row>
    <row r="334" customHeight="1" spans="1:5">
      <c r="A334" s="1" t="s">
        <v>293</v>
      </c>
      <c r="B334" s="54" t="s">
        <v>346</v>
      </c>
      <c r="C334" s="18" t="s">
        <v>349</v>
      </c>
      <c r="D334" s="1" t="s">
        <v>227</v>
      </c>
      <c r="E334" s="18">
        <v>1</v>
      </c>
    </row>
    <row r="335" customHeight="1" spans="1:5">
      <c r="A335" s="1" t="s">
        <v>293</v>
      </c>
      <c r="B335" s="54" t="s">
        <v>346</v>
      </c>
      <c r="C335" s="18" t="s">
        <v>349</v>
      </c>
      <c r="D335" s="1" t="s">
        <v>227</v>
      </c>
      <c r="E335" s="18">
        <v>2</v>
      </c>
    </row>
    <row r="336" customHeight="1" spans="1:5">
      <c r="A336" s="1" t="s">
        <v>293</v>
      </c>
      <c r="B336" s="54" t="s">
        <v>346</v>
      </c>
      <c r="C336" s="18" t="s">
        <v>349</v>
      </c>
      <c r="D336" s="1" t="s">
        <v>227</v>
      </c>
      <c r="E336" s="18">
        <v>3</v>
      </c>
    </row>
    <row r="337" customHeight="1" spans="1:5">
      <c r="A337" s="1" t="s">
        <v>293</v>
      </c>
      <c r="B337" s="54" t="s">
        <v>346</v>
      </c>
      <c r="C337" s="18" t="s">
        <v>349</v>
      </c>
      <c r="D337" s="1" t="s">
        <v>227</v>
      </c>
      <c r="E337" s="18">
        <v>4</v>
      </c>
    </row>
    <row r="338" customHeight="1" spans="1:5">
      <c r="A338" s="1" t="s">
        <v>293</v>
      </c>
      <c r="B338" s="54" t="s">
        <v>346</v>
      </c>
      <c r="C338" s="18" t="s">
        <v>349</v>
      </c>
      <c r="D338" s="1" t="s">
        <v>227</v>
      </c>
      <c r="E338" s="18">
        <v>5</v>
      </c>
    </row>
    <row r="339" customHeight="1" spans="1:5">
      <c r="A339" s="1" t="s">
        <v>293</v>
      </c>
      <c r="B339" s="54" t="s">
        <v>346</v>
      </c>
      <c r="C339" s="18" t="s">
        <v>349</v>
      </c>
      <c r="D339" s="1" t="s">
        <v>227</v>
      </c>
      <c r="E339" s="18">
        <v>6</v>
      </c>
    </row>
    <row r="340" customHeight="1" spans="1:5">
      <c r="A340" s="1" t="s">
        <v>293</v>
      </c>
      <c r="B340" s="54" t="s">
        <v>346</v>
      </c>
      <c r="C340" s="18" t="s">
        <v>349</v>
      </c>
      <c r="D340" s="1" t="s">
        <v>227</v>
      </c>
      <c r="E340" s="18">
        <v>7</v>
      </c>
    </row>
    <row r="341" customHeight="1" spans="1:5">
      <c r="A341" s="1" t="s">
        <v>293</v>
      </c>
      <c r="B341" s="54" t="s">
        <v>346</v>
      </c>
      <c r="C341" s="18" t="s">
        <v>349</v>
      </c>
      <c r="D341" s="1" t="s">
        <v>227</v>
      </c>
      <c r="E341" s="18">
        <v>8</v>
      </c>
    </row>
    <row r="342" customHeight="1" spans="1:5">
      <c r="A342" s="1" t="s">
        <v>240</v>
      </c>
      <c r="B342" s="53" t="s">
        <v>350</v>
      </c>
      <c r="C342" s="5" t="s">
        <v>351</v>
      </c>
      <c r="D342" s="1" t="s">
        <v>224</v>
      </c>
      <c r="E342" s="5">
        <v>1</v>
      </c>
    </row>
    <row r="343" customHeight="1" spans="1:5">
      <c r="A343" s="1" t="s">
        <v>240</v>
      </c>
      <c r="B343" s="53" t="s">
        <v>350</v>
      </c>
      <c r="C343" s="5" t="s">
        <v>351</v>
      </c>
      <c r="D343" s="1" t="s">
        <v>224</v>
      </c>
      <c r="E343" s="5">
        <v>2</v>
      </c>
    </row>
    <row r="344" customHeight="1" spans="1:5">
      <c r="A344" s="1" t="s">
        <v>240</v>
      </c>
      <c r="B344" s="53" t="s">
        <v>350</v>
      </c>
      <c r="C344" s="5" t="s">
        <v>351</v>
      </c>
      <c r="D344" s="1" t="s">
        <v>224</v>
      </c>
      <c r="E344" s="5">
        <v>3</v>
      </c>
    </row>
    <row r="345" customHeight="1" spans="1:5">
      <c r="A345" s="1" t="s">
        <v>240</v>
      </c>
      <c r="B345" s="53" t="s">
        <v>350</v>
      </c>
      <c r="C345" s="5" t="s">
        <v>351</v>
      </c>
      <c r="D345" s="1" t="s">
        <v>224</v>
      </c>
      <c r="E345" s="5">
        <v>4</v>
      </c>
    </row>
    <row r="346" customHeight="1" spans="1:5">
      <c r="A346" s="1" t="s">
        <v>240</v>
      </c>
      <c r="B346" s="53" t="s">
        <v>350</v>
      </c>
      <c r="C346" s="5" t="s">
        <v>351</v>
      </c>
      <c r="D346" s="1" t="s">
        <v>224</v>
      </c>
      <c r="E346" s="5">
        <v>5</v>
      </c>
    </row>
    <row r="347" customHeight="1" spans="1:5">
      <c r="A347" s="1" t="s">
        <v>240</v>
      </c>
      <c r="B347" s="53" t="s">
        <v>350</v>
      </c>
      <c r="C347" s="18" t="s">
        <v>352</v>
      </c>
      <c r="D347" s="1" t="s">
        <v>226</v>
      </c>
      <c r="E347" s="18">
        <v>1</v>
      </c>
    </row>
    <row r="348" customHeight="1" spans="1:5">
      <c r="A348" s="1" t="s">
        <v>240</v>
      </c>
      <c r="B348" s="53" t="s">
        <v>350</v>
      </c>
      <c r="C348" s="18" t="s">
        <v>352</v>
      </c>
      <c r="D348" s="1" t="s">
        <v>226</v>
      </c>
      <c r="E348" s="18">
        <v>2</v>
      </c>
    </row>
    <row r="349" customHeight="1" spans="1:5">
      <c r="A349" s="1" t="s">
        <v>240</v>
      </c>
      <c r="B349" s="53" t="s">
        <v>350</v>
      </c>
      <c r="C349" s="18" t="s">
        <v>352</v>
      </c>
      <c r="D349" s="1" t="s">
        <v>226</v>
      </c>
      <c r="E349" s="18">
        <v>3</v>
      </c>
    </row>
    <row r="350" customHeight="1" spans="1:5">
      <c r="A350" s="1" t="s">
        <v>240</v>
      </c>
      <c r="B350" s="53" t="s">
        <v>350</v>
      </c>
      <c r="C350" s="18" t="s">
        <v>352</v>
      </c>
      <c r="D350" s="1" t="s">
        <v>226</v>
      </c>
      <c r="E350" s="18">
        <v>4</v>
      </c>
    </row>
    <row r="351" customHeight="1" spans="1:5">
      <c r="A351" s="1" t="s">
        <v>240</v>
      </c>
      <c r="B351" s="53" t="s">
        <v>350</v>
      </c>
      <c r="C351" s="18" t="s">
        <v>352</v>
      </c>
      <c r="D351" s="1" t="s">
        <v>226</v>
      </c>
      <c r="E351" s="18">
        <v>5</v>
      </c>
    </row>
    <row r="352" customHeight="1" spans="1:5">
      <c r="A352" s="1" t="s">
        <v>240</v>
      </c>
      <c r="B352" s="53" t="s">
        <v>350</v>
      </c>
      <c r="C352" s="5" t="s">
        <v>352</v>
      </c>
      <c r="D352" s="1" t="s">
        <v>226</v>
      </c>
      <c r="E352" s="5">
        <v>1</v>
      </c>
    </row>
    <row r="353" customHeight="1" spans="1:5">
      <c r="A353" s="1" t="s">
        <v>240</v>
      </c>
      <c r="B353" s="53" t="s">
        <v>350</v>
      </c>
      <c r="C353" s="5" t="s">
        <v>352</v>
      </c>
      <c r="D353" s="1" t="s">
        <v>226</v>
      </c>
      <c r="E353" s="5">
        <v>2</v>
      </c>
    </row>
    <row r="354" customHeight="1" spans="1:5">
      <c r="A354" s="1" t="s">
        <v>240</v>
      </c>
      <c r="B354" s="53" t="s">
        <v>350</v>
      </c>
      <c r="C354" s="5" t="s">
        <v>352</v>
      </c>
      <c r="D354" s="1" t="s">
        <v>226</v>
      </c>
      <c r="E354" s="5">
        <v>3</v>
      </c>
    </row>
    <row r="355" customHeight="1" spans="1:5">
      <c r="A355" s="1" t="s">
        <v>240</v>
      </c>
      <c r="B355" s="53" t="s">
        <v>350</v>
      </c>
      <c r="C355" s="5" t="s">
        <v>352</v>
      </c>
      <c r="D355" s="1" t="s">
        <v>226</v>
      </c>
      <c r="E355" s="5">
        <v>4</v>
      </c>
    </row>
    <row r="356" customHeight="1" spans="1:5">
      <c r="A356" s="1" t="s">
        <v>240</v>
      </c>
      <c r="B356" s="53" t="s">
        <v>350</v>
      </c>
      <c r="C356" s="5" t="s">
        <v>352</v>
      </c>
      <c r="D356" s="1" t="s">
        <v>226</v>
      </c>
      <c r="E356" s="5">
        <v>5</v>
      </c>
    </row>
    <row r="357" customHeight="1" spans="1:5">
      <c r="A357" s="1" t="s">
        <v>293</v>
      </c>
      <c r="B357" s="53" t="s">
        <v>350</v>
      </c>
      <c r="C357" s="18" t="s">
        <v>353</v>
      </c>
      <c r="D357" s="1" t="s">
        <v>227</v>
      </c>
      <c r="E357" s="18">
        <v>1</v>
      </c>
    </row>
    <row r="358" customHeight="1" spans="1:5">
      <c r="A358" s="1" t="s">
        <v>293</v>
      </c>
      <c r="B358" s="53" t="s">
        <v>350</v>
      </c>
      <c r="C358" s="18" t="s">
        <v>353</v>
      </c>
      <c r="D358" s="1" t="s">
        <v>227</v>
      </c>
      <c r="E358" s="18">
        <v>2</v>
      </c>
    </row>
    <row r="359" customHeight="1" spans="1:5">
      <c r="A359" s="1" t="s">
        <v>293</v>
      </c>
      <c r="B359" s="53" t="s">
        <v>350</v>
      </c>
      <c r="C359" s="18" t="s">
        <v>353</v>
      </c>
      <c r="D359" s="1" t="s">
        <v>227</v>
      </c>
      <c r="E359" s="18">
        <v>3</v>
      </c>
    </row>
    <row r="360" customHeight="1" spans="1:5">
      <c r="A360" s="1" t="s">
        <v>293</v>
      </c>
      <c r="B360" s="53" t="s">
        <v>350</v>
      </c>
      <c r="C360" s="18" t="s">
        <v>353</v>
      </c>
      <c r="D360" s="1" t="s">
        <v>227</v>
      </c>
      <c r="E360" s="18">
        <v>4</v>
      </c>
    </row>
    <row r="361" customHeight="1" spans="1:5">
      <c r="A361" s="1" t="s">
        <v>293</v>
      </c>
      <c r="B361" s="53" t="s">
        <v>350</v>
      </c>
      <c r="C361" s="18" t="s">
        <v>353</v>
      </c>
      <c r="D361" s="1" t="s">
        <v>227</v>
      </c>
      <c r="E361" s="18">
        <v>5</v>
      </c>
    </row>
    <row r="362" customHeight="1" spans="1:5">
      <c r="A362" s="1" t="s">
        <v>293</v>
      </c>
      <c r="B362" s="53" t="s">
        <v>350</v>
      </c>
      <c r="C362" s="18" t="s">
        <v>353</v>
      </c>
      <c r="D362" s="1" t="s">
        <v>227</v>
      </c>
      <c r="E362" s="18">
        <v>6</v>
      </c>
    </row>
    <row r="363" customHeight="1" spans="1:5">
      <c r="A363" s="1" t="s">
        <v>293</v>
      </c>
      <c r="B363" s="53" t="s">
        <v>350</v>
      </c>
      <c r="C363" s="18" t="s">
        <v>353</v>
      </c>
      <c r="D363" s="1" t="s">
        <v>227</v>
      </c>
      <c r="E363" s="18">
        <v>7</v>
      </c>
    </row>
    <row r="364" customHeight="1" spans="1:5">
      <c r="A364" s="1" t="s">
        <v>293</v>
      </c>
      <c r="B364" s="53" t="s">
        <v>350</v>
      </c>
      <c r="C364" s="18" t="s">
        <v>353</v>
      </c>
      <c r="D364" s="1" t="s">
        <v>227</v>
      </c>
      <c r="E364" s="18">
        <v>8</v>
      </c>
    </row>
    <row r="365" customHeight="1" spans="1:5">
      <c r="A365" s="1" t="s">
        <v>240</v>
      </c>
      <c r="B365" s="54" t="s">
        <v>354</v>
      </c>
      <c r="C365" s="5" t="s">
        <v>355</v>
      </c>
      <c r="D365" s="1" t="s">
        <v>224</v>
      </c>
      <c r="E365" s="5">
        <v>1</v>
      </c>
    </row>
    <row r="366" customHeight="1" spans="1:5">
      <c r="A366" s="1" t="s">
        <v>240</v>
      </c>
      <c r="B366" s="54" t="s">
        <v>354</v>
      </c>
      <c r="C366" s="5" t="s">
        <v>355</v>
      </c>
      <c r="D366" s="1" t="s">
        <v>224</v>
      </c>
      <c r="E366" s="5">
        <v>2</v>
      </c>
    </row>
    <row r="367" customHeight="1" spans="1:5">
      <c r="A367" s="1" t="s">
        <v>240</v>
      </c>
      <c r="B367" s="54" t="s">
        <v>354</v>
      </c>
      <c r="C367" s="5" t="s">
        <v>355</v>
      </c>
      <c r="D367" s="1" t="s">
        <v>224</v>
      </c>
      <c r="E367" s="5">
        <v>3</v>
      </c>
    </row>
    <row r="368" customHeight="1" spans="1:5">
      <c r="A368" s="1" t="s">
        <v>240</v>
      </c>
      <c r="B368" s="54" t="s">
        <v>354</v>
      </c>
      <c r="C368" s="5" t="s">
        <v>355</v>
      </c>
      <c r="D368" s="1" t="s">
        <v>224</v>
      </c>
      <c r="E368" s="5">
        <v>4</v>
      </c>
    </row>
    <row r="369" customHeight="1" spans="1:5">
      <c r="A369" s="1" t="s">
        <v>240</v>
      </c>
      <c r="B369" s="54" t="s">
        <v>354</v>
      </c>
      <c r="C369" s="5" t="s">
        <v>355</v>
      </c>
      <c r="D369" s="1" t="s">
        <v>224</v>
      </c>
      <c r="E369" s="5">
        <v>5</v>
      </c>
    </row>
    <row r="370" customHeight="1" spans="1:5">
      <c r="A370" s="1" t="s">
        <v>240</v>
      </c>
      <c r="B370" s="54" t="s">
        <v>354</v>
      </c>
      <c r="C370" s="18" t="s">
        <v>356</v>
      </c>
      <c r="D370" s="1" t="s">
        <v>226</v>
      </c>
      <c r="E370" s="18">
        <v>1</v>
      </c>
    </row>
    <row r="371" customHeight="1" spans="1:5">
      <c r="A371" s="1" t="s">
        <v>240</v>
      </c>
      <c r="B371" s="54" t="s">
        <v>354</v>
      </c>
      <c r="C371" s="18" t="s">
        <v>356</v>
      </c>
      <c r="D371" s="1" t="s">
        <v>226</v>
      </c>
      <c r="E371" s="18">
        <v>2</v>
      </c>
    </row>
    <row r="372" customHeight="1" spans="1:5">
      <c r="A372" s="1" t="s">
        <v>240</v>
      </c>
      <c r="B372" s="54" t="s">
        <v>354</v>
      </c>
      <c r="C372" s="18" t="s">
        <v>356</v>
      </c>
      <c r="D372" s="1" t="s">
        <v>226</v>
      </c>
      <c r="E372" s="18">
        <v>3</v>
      </c>
    </row>
    <row r="373" customHeight="1" spans="1:5">
      <c r="A373" s="1" t="s">
        <v>240</v>
      </c>
      <c r="B373" s="54" t="s">
        <v>354</v>
      </c>
      <c r="C373" s="18" t="s">
        <v>356</v>
      </c>
      <c r="D373" s="1" t="s">
        <v>226</v>
      </c>
      <c r="E373" s="18">
        <v>4</v>
      </c>
    </row>
    <row r="374" customHeight="1" spans="1:5">
      <c r="A374" s="1" t="s">
        <v>240</v>
      </c>
      <c r="B374" s="54" t="s">
        <v>354</v>
      </c>
      <c r="C374" s="18" t="s">
        <v>356</v>
      </c>
      <c r="D374" s="1" t="s">
        <v>226</v>
      </c>
      <c r="E374" s="18">
        <v>5</v>
      </c>
    </row>
    <row r="375" customHeight="1" spans="1:5">
      <c r="A375" s="1" t="s">
        <v>240</v>
      </c>
      <c r="B375" s="54" t="s">
        <v>354</v>
      </c>
      <c r="C375" s="5" t="s">
        <v>356</v>
      </c>
      <c r="D375" s="1" t="s">
        <v>226</v>
      </c>
      <c r="E375" s="5">
        <v>1</v>
      </c>
    </row>
    <row r="376" customHeight="1" spans="1:5">
      <c r="A376" s="1" t="s">
        <v>240</v>
      </c>
      <c r="B376" s="54" t="s">
        <v>354</v>
      </c>
      <c r="C376" s="5" t="s">
        <v>356</v>
      </c>
      <c r="D376" s="1" t="s">
        <v>226</v>
      </c>
      <c r="E376" s="5">
        <v>2</v>
      </c>
    </row>
    <row r="377" customHeight="1" spans="1:5">
      <c r="A377" s="1" t="s">
        <v>240</v>
      </c>
      <c r="B377" s="54" t="s">
        <v>354</v>
      </c>
      <c r="C377" s="5" t="s">
        <v>356</v>
      </c>
      <c r="D377" s="1" t="s">
        <v>226</v>
      </c>
      <c r="E377" s="5">
        <v>3</v>
      </c>
    </row>
    <row r="378" customHeight="1" spans="1:5">
      <c r="A378" s="1" t="s">
        <v>240</v>
      </c>
      <c r="B378" s="54" t="s">
        <v>354</v>
      </c>
      <c r="C378" s="5" t="s">
        <v>356</v>
      </c>
      <c r="D378" s="1" t="s">
        <v>226</v>
      </c>
      <c r="E378" s="5">
        <v>4</v>
      </c>
    </row>
    <row r="379" customHeight="1" spans="1:5">
      <c r="A379" s="1" t="s">
        <v>240</v>
      </c>
      <c r="B379" s="54" t="s">
        <v>354</v>
      </c>
      <c r="C379" s="5" t="s">
        <v>356</v>
      </c>
      <c r="D379" s="1" t="s">
        <v>226</v>
      </c>
      <c r="E379" s="5">
        <v>5</v>
      </c>
    </row>
    <row r="380" customHeight="1" spans="1:5">
      <c r="A380" s="1" t="s">
        <v>293</v>
      </c>
      <c r="B380" s="54" t="s">
        <v>354</v>
      </c>
      <c r="C380" s="18" t="s">
        <v>357</v>
      </c>
      <c r="D380" s="1" t="s">
        <v>227</v>
      </c>
      <c r="E380" s="18">
        <v>1</v>
      </c>
    </row>
    <row r="381" customHeight="1" spans="1:5">
      <c r="A381" s="1" t="s">
        <v>293</v>
      </c>
      <c r="B381" s="54" t="s">
        <v>354</v>
      </c>
      <c r="C381" s="18" t="s">
        <v>357</v>
      </c>
      <c r="D381" s="1" t="s">
        <v>227</v>
      </c>
      <c r="E381" s="18">
        <v>2</v>
      </c>
    </row>
    <row r="382" customHeight="1" spans="1:5">
      <c r="A382" s="1" t="s">
        <v>293</v>
      </c>
      <c r="B382" s="54" t="s">
        <v>354</v>
      </c>
      <c r="C382" s="18" t="s">
        <v>357</v>
      </c>
      <c r="D382" s="1" t="s">
        <v>227</v>
      </c>
      <c r="E382" s="18">
        <v>3</v>
      </c>
    </row>
    <row r="383" customHeight="1" spans="1:5">
      <c r="A383" s="1" t="s">
        <v>293</v>
      </c>
      <c r="B383" s="54" t="s">
        <v>354</v>
      </c>
      <c r="C383" s="18" t="s">
        <v>357</v>
      </c>
      <c r="D383" s="1" t="s">
        <v>227</v>
      </c>
      <c r="E383" s="18">
        <v>4</v>
      </c>
    </row>
    <row r="384" customHeight="1" spans="1:5">
      <c r="A384" s="1" t="s">
        <v>293</v>
      </c>
      <c r="B384" s="54" t="s">
        <v>354</v>
      </c>
      <c r="C384" s="18" t="s">
        <v>357</v>
      </c>
      <c r="D384" s="1" t="s">
        <v>227</v>
      </c>
      <c r="E384" s="18">
        <v>5</v>
      </c>
    </row>
    <row r="385" customHeight="1" spans="1:5">
      <c r="A385" s="1" t="s">
        <v>293</v>
      </c>
      <c r="B385" s="54" t="s">
        <v>354</v>
      </c>
      <c r="C385" s="18" t="s">
        <v>357</v>
      </c>
      <c r="D385" s="1" t="s">
        <v>227</v>
      </c>
      <c r="E385" s="18">
        <v>6</v>
      </c>
    </row>
    <row r="386" customHeight="1" spans="1:5">
      <c r="A386" s="1" t="s">
        <v>293</v>
      </c>
      <c r="B386" s="54" t="s">
        <v>354</v>
      </c>
      <c r="C386" s="18" t="s">
        <v>357</v>
      </c>
      <c r="D386" s="1" t="s">
        <v>227</v>
      </c>
      <c r="E386" s="18">
        <v>7</v>
      </c>
    </row>
    <row r="387" customHeight="1" spans="1:5">
      <c r="A387" s="1" t="s">
        <v>293</v>
      </c>
      <c r="B387" s="54" t="s">
        <v>354</v>
      </c>
      <c r="C387" s="18" t="s">
        <v>357</v>
      </c>
      <c r="D387" s="1" t="s">
        <v>227</v>
      </c>
      <c r="E387" s="18">
        <v>8</v>
      </c>
    </row>
    <row r="388" customHeight="1" spans="1:5">
      <c r="A388" s="1" t="s">
        <v>240</v>
      </c>
      <c r="B388" s="53" t="s">
        <v>358</v>
      </c>
      <c r="C388" s="5" t="s">
        <v>359</v>
      </c>
      <c r="D388" s="1" t="s">
        <v>224</v>
      </c>
      <c r="E388" s="5">
        <v>1</v>
      </c>
    </row>
    <row r="389" customHeight="1" spans="1:5">
      <c r="A389" s="1" t="s">
        <v>240</v>
      </c>
      <c r="B389" s="53" t="s">
        <v>358</v>
      </c>
      <c r="C389" s="5" t="s">
        <v>359</v>
      </c>
      <c r="D389" s="1" t="s">
        <v>224</v>
      </c>
      <c r="E389" s="5">
        <v>2</v>
      </c>
    </row>
    <row r="390" customHeight="1" spans="1:5">
      <c r="A390" s="1" t="s">
        <v>240</v>
      </c>
      <c r="B390" s="53" t="s">
        <v>358</v>
      </c>
      <c r="C390" s="5" t="s">
        <v>359</v>
      </c>
      <c r="D390" s="1" t="s">
        <v>224</v>
      </c>
      <c r="E390" s="5">
        <v>3</v>
      </c>
    </row>
    <row r="391" customHeight="1" spans="1:5">
      <c r="A391" s="1" t="s">
        <v>240</v>
      </c>
      <c r="B391" s="53" t="s">
        <v>358</v>
      </c>
      <c r="C391" s="5" t="s">
        <v>359</v>
      </c>
      <c r="D391" s="1" t="s">
        <v>224</v>
      </c>
      <c r="E391" s="5">
        <v>4</v>
      </c>
    </row>
    <row r="392" customHeight="1" spans="1:5">
      <c r="A392" s="1" t="s">
        <v>240</v>
      </c>
      <c r="B392" s="53" t="s">
        <v>358</v>
      </c>
      <c r="C392" s="5" t="s">
        <v>359</v>
      </c>
      <c r="D392" s="1" t="s">
        <v>224</v>
      </c>
      <c r="E392" s="5">
        <v>5</v>
      </c>
    </row>
    <row r="393" customHeight="1" spans="1:5">
      <c r="A393" s="1" t="s">
        <v>240</v>
      </c>
      <c r="B393" s="53" t="s">
        <v>358</v>
      </c>
      <c r="C393" s="18" t="s">
        <v>360</v>
      </c>
      <c r="D393" s="1" t="s">
        <v>226</v>
      </c>
      <c r="E393" s="18">
        <v>1</v>
      </c>
    </row>
    <row r="394" customHeight="1" spans="1:5">
      <c r="A394" s="1" t="s">
        <v>240</v>
      </c>
      <c r="B394" s="53" t="s">
        <v>358</v>
      </c>
      <c r="C394" s="18" t="s">
        <v>360</v>
      </c>
      <c r="D394" s="1" t="s">
        <v>226</v>
      </c>
      <c r="E394" s="18">
        <v>2</v>
      </c>
    </row>
    <row r="395" customHeight="1" spans="1:5">
      <c r="A395" s="1" t="s">
        <v>240</v>
      </c>
      <c r="B395" s="53" t="s">
        <v>358</v>
      </c>
      <c r="C395" s="18" t="s">
        <v>360</v>
      </c>
      <c r="D395" s="1" t="s">
        <v>226</v>
      </c>
      <c r="E395" s="18">
        <v>3</v>
      </c>
    </row>
    <row r="396" customHeight="1" spans="1:5">
      <c r="A396" s="1" t="s">
        <v>240</v>
      </c>
      <c r="B396" s="53" t="s">
        <v>358</v>
      </c>
      <c r="C396" s="18" t="s">
        <v>360</v>
      </c>
      <c r="D396" s="1" t="s">
        <v>226</v>
      </c>
      <c r="E396" s="18">
        <v>4</v>
      </c>
    </row>
    <row r="397" customHeight="1" spans="1:5">
      <c r="A397" s="1" t="s">
        <v>240</v>
      </c>
      <c r="B397" s="53" t="s">
        <v>358</v>
      </c>
      <c r="C397" s="18" t="s">
        <v>360</v>
      </c>
      <c r="D397" s="1" t="s">
        <v>226</v>
      </c>
      <c r="E397" s="18">
        <v>5</v>
      </c>
    </row>
    <row r="398" customHeight="1" spans="1:5">
      <c r="A398" s="1" t="s">
        <v>240</v>
      </c>
      <c r="B398" s="53" t="s">
        <v>358</v>
      </c>
      <c r="C398" s="5" t="s">
        <v>360</v>
      </c>
      <c r="D398" s="1" t="s">
        <v>226</v>
      </c>
      <c r="E398" s="5">
        <v>1</v>
      </c>
    </row>
    <row r="399" customHeight="1" spans="1:5">
      <c r="A399" s="1" t="s">
        <v>240</v>
      </c>
      <c r="B399" s="53" t="s">
        <v>358</v>
      </c>
      <c r="C399" s="5" t="s">
        <v>360</v>
      </c>
      <c r="D399" s="1" t="s">
        <v>226</v>
      </c>
      <c r="E399" s="5">
        <v>2</v>
      </c>
    </row>
    <row r="400" customHeight="1" spans="1:5">
      <c r="A400" s="1" t="s">
        <v>240</v>
      </c>
      <c r="B400" s="53" t="s">
        <v>358</v>
      </c>
      <c r="C400" s="5" t="s">
        <v>360</v>
      </c>
      <c r="D400" s="1" t="s">
        <v>226</v>
      </c>
      <c r="E400" s="5">
        <v>3</v>
      </c>
    </row>
    <row r="401" customHeight="1" spans="1:5">
      <c r="A401" s="1" t="s">
        <v>240</v>
      </c>
      <c r="B401" s="53" t="s">
        <v>358</v>
      </c>
      <c r="C401" s="5" t="s">
        <v>360</v>
      </c>
      <c r="D401" s="1" t="s">
        <v>226</v>
      </c>
      <c r="E401" s="5">
        <v>4</v>
      </c>
    </row>
    <row r="402" customHeight="1" spans="1:5">
      <c r="A402" s="1" t="s">
        <v>240</v>
      </c>
      <c r="B402" s="53" t="s">
        <v>358</v>
      </c>
      <c r="C402" s="5" t="s">
        <v>360</v>
      </c>
      <c r="D402" s="1" t="s">
        <v>226</v>
      </c>
      <c r="E402" s="5">
        <v>5</v>
      </c>
    </row>
    <row r="403" customHeight="1" spans="1:5">
      <c r="A403" s="1" t="s">
        <v>293</v>
      </c>
      <c r="B403" s="53" t="s">
        <v>358</v>
      </c>
      <c r="C403" s="18" t="s">
        <v>361</v>
      </c>
      <c r="D403" s="1" t="s">
        <v>227</v>
      </c>
      <c r="E403" s="18">
        <v>1</v>
      </c>
    </row>
    <row r="404" customHeight="1" spans="1:5">
      <c r="A404" s="1" t="s">
        <v>293</v>
      </c>
      <c r="B404" s="53" t="s">
        <v>358</v>
      </c>
      <c r="C404" s="18" t="s">
        <v>361</v>
      </c>
      <c r="D404" s="1" t="s">
        <v>227</v>
      </c>
      <c r="E404" s="18">
        <v>2</v>
      </c>
    </row>
    <row r="405" customHeight="1" spans="1:5">
      <c r="A405" s="1" t="s">
        <v>293</v>
      </c>
      <c r="B405" s="53" t="s">
        <v>358</v>
      </c>
      <c r="C405" s="18" t="s">
        <v>361</v>
      </c>
      <c r="D405" s="1" t="s">
        <v>227</v>
      </c>
      <c r="E405" s="18">
        <v>3</v>
      </c>
    </row>
    <row r="406" customHeight="1" spans="1:5">
      <c r="A406" s="1" t="s">
        <v>293</v>
      </c>
      <c r="B406" s="53" t="s">
        <v>358</v>
      </c>
      <c r="C406" s="18" t="s">
        <v>361</v>
      </c>
      <c r="D406" s="1" t="s">
        <v>227</v>
      </c>
      <c r="E406" s="18">
        <v>4</v>
      </c>
    </row>
    <row r="407" customHeight="1" spans="1:5">
      <c r="A407" s="1" t="s">
        <v>293</v>
      </c>
      <c r="B407" s="53" t="s">
        <v>358</v>
      </c>
      <c r="C407" s="18" t="s">
        <v>361</v>
      </c>
      <c r="D407" s="1" t="s">
        <v>227</v>
      </c>
      <c r="E407" s="18">
        <v>5</v>
      </c>
    </row>
    <row r="408" customHeight="1" spans="1:5">
      <c r="A408" s="1" t="s">
        <v>293</v>
      </c>
      <c r="B408" s="53" t="s">
        <v>358</v>
      </c>
      <c r="C408" s="18" t="s">
        <v>361</v>
      </c>
      <c r="D408" s="1" t="s">
        <v>227</v>
      </c>
      <c r="E408" s="18">
        <v>6</v>
      </c>
    </row>
    <row r="409" customHeight="1" spans="1:5">
      <c r="A409" s="1" t="s">
        <v>293</v>
      </c>
      <c r="B409" s="53" t="s">
        <v>358</v>
      </c>
      <c r="C409" s="18" t="s">
        <v>361</v>
      </c>
      <c r="D409" s="1" t="s">
        <v>227</v>
      </c>
      <c r="E409" s="18">
        <v>7</v>
      </c>
    </row>
    <row r="410" customHeight="1" spans="1:5">
      <c r="A410" s="1" t="s">
        <v>293</v>
      </c>
      <c r="B410" s="53" t="s">
        <v>358</v>
      </c>
      <c r="C410" s="18" t="s">
        <v>361</v>
      </c>
      <c r="D410" s="1" t="s">
        <v>227</v>
      </c>
      <c r="E410" s="18">
        <v>8</v>
      </c>
    </row>
    <row r="411" customHeight="1" spans="1:5">
      <c r="A411" s="1" t="s">
        <v>240</v>
      </c>
      <c r="B411" s="54" t="s">
        <v>362</v>
      </c>
      <c r="C411" s="5" t="s">
        <v>363</v>
      </c>
      <c r="D411" s="1" t="s">
        <v>224</v>
      </c>
      <c r="E411" s="5">
        <v>1</v>
      </c>
    </row>
    <row r="412" customHeight="1" spans="1:5">
      <c r="A412" s="1" t="s">
        <v>240</v>
      </c>
      <c r="B412" s="54" t="s">
        <v>362</v>
      </c>
      <c r="C412" s="5" t="s">
        <v>363</v>
      </c>
      <c r="D412" s="1" t="s">
        <v>224</v>
      </c>
      <c r="E412" s="5">
        <v>2</v>
      </c>
    </row>
    <row r="413" customHeight="1" spans="1:5">
      <c r="A413" s="1" t="s">
        <v>240</v>
      </c>
      <c r="B413" s="54" t="s">
        <v>362</v>
      </c>
      <c r="C413" s="5" t="s">
        <v>363</v>
      </c>
      <c r="D413" s="1" t="s">
        <v>224</v>
      </c>
      <c r="E413" s="5">
        <v>3</v>
      </c>
    </row>
    <row r="414" customHeight="1" spans="1:5">
      <c r="A414" s="1" t="s">
        <v>240</v>
      </c>
      <c r="B414" s="54" t="s">
        <v>362</v>
      </c>
      <c r="C414" s="5" t="s">
        <v>363</v>
      </c>
      <c r="D414" s="1" t="s">
        <v>224</v>
      </c>
      <c r="E414" s="5">
        <v>4</v>
      </c>
    </row>
    <row r="415" customHeight="1" spans="1:5">
      <c r="A415" s="1" t="s">
        <v>240</v>
      </c>
      <c r="B415" s="54" t="s">
        <v>362</v>
      </c>
      <c r="C415" s="5" t="s">
        <v>363</v>
      </c>
      <c r="D415" s="1" t="s">
        <v>224</v>
      </c>
      <c r="E415" s="5">
        <v>5</v>
      </c>
    </row>
    <row r="416" customHeight="1" spans="1:5">
      <c r="A416" s="1" t="s">
        <v>240</v>
      </c>
      <c r="B416" s="54" t="s">
        <v>362</v>
      </c>
      <c r="C416" s="18" t="s">
        <v>364</v>
      </c>
      <c r="D416" s="1" t="s">
        <v>226</v>
      </c>
      <c r="E416" s="18">
        <v>1</v>
      </c>
    </row>
    <row r="417" customHeight="1" spans="1:5">
      <c r="A417" s="1" t="s">
        <v>240</v>
      </c>
      <c r="B417" s="54" t="s">
        <v>362</v>
      </c>
      <c r="C417" s="18" t="s">
        <v>364</v>
      </c>
      <c r="D417" s="1" t="s">
        <v>226</v>
      </c>
      <c r="E417" s="18">
        <v>2</v>
      </c>
    </row>
    <row r="418" customHeight="1" spans="1:5">
      <c r="A418" s="1" t="s">
        <v>240</v>
      </c>
      <c r="B418" s="54" t="s">
        <v>362</v>
      </c>
      <c r="C418" s="18" t="s">
        <v>364</v>
      </c>
      <c r="D418" s="1" t="s">
        <v>226</v>
      </c>
      <c r="E418" s="18">
        <v>3</v>
      </c>
    </row>
    <row r="419" customHeight="1" spans="1:5">
      <c r="A419" s="1" t="s">
        <v>240</v>
      </c>
      <c r="B419" s="54" t="s">
        <v>362</v>
      </c>
      <c r="C419" s="18" t="s">
        <v>364</v>
      </c>
      <c r="D419" s="1" t="s">
        <v>226</v>
      </c>
      <c r="E419" s="18">
        <v>4</v>
      </c>
    </row>
    <row r="420" customHeight="1" spans="1:5">
      <c r="A420" s="1" t="s">
        <v>240</v>
      </c>
      <c r="B420" s="54" t="s">
        <v>362</v>
      </c>
      <c r="C420" s="18" t="s">
        <v>364</v>
      </c>
      <c r="D420" s="1" t="s">
        <v>226</v>
      </c>
      <c r="E420" s="18">
        <v>5</v>
      </c>
    </row>
    <row r="421" customHeight="1" spans="1:5">
      <c r="A421" s="1" t="s">
        <v>240</v>
      </c>
      <c r="B421" s="54" t="s">
        <v>362</v>
      </c>
      <c r="C421" s="5" t="s">
        <v>364</v>
      </c>
      <c r="D421" s="1" t="s">
        <v>226</v>
      </c>
      <c r="E421" s="5">
        <v>1</v>
      </c>
    </row>
    <row r="422" customHeight="1" spans="1:5">
      <c r="A422" s="1" t="s">
        <v>240</v>
      </c>
      <c r="B422" s="54" t="s">
        <v>362</v>
      </c>
      <c r="C422" s="5" t="s">
        <v>364</v>
      </c>
      <c r="D422" s="1" t="s">
        <v>226</v>
      </c>
      <c r="E422" s="5">
        <v>2</v>
      </c>
    </row>
    <row r="423" customHeight="1" spans="1:5">
      <c r="A423" s="1" t="s">
        <v>240</v>
      </c>
      <c r="B423" s="54" t="s">
        <v>362</v>
      </c>
      <c r="C423" s="5" t="s">
        <v>364</v>
      </c>
      <c r="D423" s="1" t="s">
        <v>226</v>
      </c>
      <c r="E423" s="5">
        <v>3</v>
      </c>
    </row>
    <row r="424" customHeight="1" spans="1:5">
      <c r="A424" s="1" t="s">
        <v>240</v>
      </c>
      <c r="B424" s="54" t="s">
        <v>362</v>
      </c>
      <c r="C424" s="5" t="s">
        <v>364</v>
      </c>
      <c r="D424" s="1" t="s">
        <v>226</v>
      </c>
      <c r="E424" s="5">
        <v>4</v>
      </c>
    </row>
    <row r="425" customHeight="1" spans="1:5">
      <c r="A425" s="1" t="s">
        <v>240</v>
      </c>
      <c r="B425" s="54" t="s">
        <v>362</v>
      </c>
      <c r="C425" s="5" t="s">
        <v>364</v>
      </c>
      <c r="D425" s="1" t="s">
        <v>226</v>
      </c>
      <c r="E425" s="5">
        <v>5</v>
      </c>
    </row>
    <row r="426" customHeight="1" spans="1:5">
      <c r="A426" s="1" t="s">
        <v>293</v>
      </c>
      <c r="B426" s="54" t="s">
        <v>362</v>
      </c>
      <c r="C426" s="18" t="s">
        <v>365</v>
      </c>
      <c r="D426" s="1" t="s">
        <v>227</v>
      </c>
      <c r="E426" s="18">
        <v>1</v>
      </c>
    </row>
    <row r="427" customHeight="1" spans="1:5">
      <c r="A427" s="1" t="s">
        <v>293</v>
      </c>
      <c r="B427" s="54" t="s">
        <v>362</v>
      </c>
      <c r="C427" s="18" t="s">
        <v>365</v>
      </c>
      <c r="D427" s="1" t="s">
        <v>227</v>
      </c>
      <c r="E427" s="18">
        <v>2</v>
      </c>
    </row>
    <row r="428" customHeight="1" spans="1:5">
      <c r="A428" s="1" t="s">
        <v>293</v>
      </c>
      <c r="B428" s="54" t="s">
        <v>362</v>
      </c>
      <c r="C428" s="18" t="s">
        <v>365</v>
      </c>
      <c r="D428" s="1" t="s">
        <v>227</v>
      </c>
      <c r="E428" s="18">
        <v>3</v>
      </c>
    </row>
    <row r="429" customHeight="1" spans="1:5">
      <c r="A429" s="1" t="s">
        <v>293</v>
      </c>
      <c r="B429" s="54" t="s">
        <v>362</v>
      </c>
      <c r="C429" s="18" t="s">
        <v>365</v>
      </c>
      <c r="D429" s="1" t="s">
        <v>227</v>
      </c>
      <c r="E429" s="18">
        <v>4</v>
      </c>
    </row>
    <row r="430" customHeight="1" spans="1:5">
      <c r="A430" s="1" t="s">
        <v>293</v>
      </c>
      <c r="B430" s="54" t="s">
        <v>362</v>
      </c>
      <c r="C430" s="18" t="s">
        <v>365</v>
      </c>
      <c r="D430" s="1" t="s">
        <v>227</v>
      </c>
      <c r="E430" s="18">
        <v>5</v>
      </c>
    </row>
    <row r="431" customHeight="1" spans="1:5">
      <c r="A431" s="1" t="s">
        <v>293</v>
      </c>
      <c r="B431" s="54" t="s">
        <v>362</v>
      </c>
      <c r="C431" s="18" t="s">
        <v>365</v>
      </c>
      <c r="D431" s="1" t="s">
        <v>227</v>
      </c>
      <c r="E431" s="18">
        <v>6</v>
      </c>
    </row>
    <row r="432" customHeight="1" spans="1:5">
      <c r="A432" s="1" t="s">
        <v>293</v>
      </c>
      <c r="B432" s="54" t="s">
        <v>362</v>
      </c>
      <c r="C432" s="18" t="s">
        <v>365</v>
      </c>
      <c r="D432" s="1" t="s">
        <v>227</v>
      </c>
      <c r="E432" s="18">
        <v>7</v>
      </c>
    </row>
    <row r="433" customHeight="1" spans="1:5">
      <c r="A433" s="1" t="s">
        <v>293</v>
      </c>
      <c r="B433" s="54" t="s">
        <v>362</v>
      </c>
      <c r="C433" s="18" t="s">
        <v>365</v>
      </c>
      <c r="D433" s="1" t="s">
        <v>227</v>
      </c>
      <c r="E433" s="18">
        <v>8</v>
      </c>
    </row>
    <row r="434" customHeight="1" spans="1:5">
      <c r="A434" s="1" t="s">
        <v>240</v>
      </c>
      <c r="B434" s="53" t="s">
        <v>366</v>
      </c>
      <c r="C434" s="5" t="s">
        <v>367</v>
      </c>
      <c r="D434" s="1" t="s">
        <v>224</v>
      </c>
      <c r="E434" s="5">
        <v>1</v>
      </c>
    </row>
    <row r="435" customHeight="1" spans="1:5">
      <c r="A435" s="1" t="s">
        <v>240</v>
      </c>
      <c r="B435" s="53" t="s">
        <v>366</v>
      </c>
      <c r="C435" s="5" t="s">
        <v>367</v>
      </c>
      <c r="D435" s="1" t="s">
        <v>224</v>
      </c>
      <c r="E435" s="5">
        <v>2</v>
      </c>
    </row>
    <row r="436" customHeight="1" spans="1:5">
      <c r="A436" s="1" t="s">
        <v>240</v>
      </c>
      <c r="B436" s="53" t="s">
        <v>366</v>
      </c>
      <c r="C436" s="5" t="s">
        <v>367</v>
      </c>
      <c r="D436" s="1" t="s">
        <v>224</v>
      </c>
      <c r="E436" s="5">
        <v>3</v>
      </c>
    </row>
    <row r="437" customHeight="1" spans="1:5">
      <c r="A437" s="1" t="s">
        <v>240</v>
      </c>
      <c r="B437" s="53" t="s">
        <v>366</v>
      </c>
      <c r="C437" s="5" t="s">
        <v>367</v>
      </c>
      <c r="D437" s="1" t="s">
        <v>224</v>
      </c>
      <c r="E437" s="5">
        <v>4</v>
      </c>
    </row>
    <row r="438" customHeight="1" spans="1:5">
      <c r="A438" s="1" t="s">
        <v>240</v>
      </c>
      <c r="B438" s="53" t="s">
        <v>366</v>
      </c>
      <c r="C438" s="5" t="s">
        <v>367</v>
      </c>
      <c r="D438" s="1" t="s">
        <v>224</v>
      </c>
      <c r="E438" s="5">
        <v>5</v>
      </c>
    </row>
    <row r="439" customHeight="1" spans="1:5">
      <c r="A439" s="1" t="s">
        <v>240</v>
      </c>
      <c r="B439" s="53" t="s">
        <v>366</v>
      </c>
      <c r="C439" s="18" t="s">
        <v>368</v>
      </c>
      <c r="D439" s="1" t="s">
        <v>225</v>
      </c>
      <c r="E439" s="18">
        <v>1</v>
      </c>
    </row>
    <row r="440" customHeight="1" spans="1:5">
      <c r="A440" s="1" t="s">
        <v>240</v>
      </c>
      <c r="B440" s="53" t="s">
        <v>366</v>
      </c>
      <c r="C440" s="18" t="s">
        <v>368</v>
      </c>
      <c r="D440" s="1" t="s">
        <v>225</v>
      </c>
      <c r="E440" s="18">
        <v>2</v>
      </c>
    </row>
    <row r="441" customHeight="1" spans="1:5">
      <c r="A441" s="1" t="s">
        <v>240</v>
      </c>
      <c r="B441" s="53" t="s">
        <v>366</v>
      </c>
      <c r="C441" s="18" t="s">
        <v>368</v>
      </c>
      <c r="D441" s="1" t="s">
        <v>225</v>
      </c>
      <c r="E441" s="18">
        <v>3</v>
      </c>
    </row>
    <row r="442" customHeight="1" spans="1:5">
      <c r="A442" s="1" t="s">
        <v>240</v>
      </c>
      <c r="B442" s="53" t="s">
        <v>366</v>
      </c>
      <c r="C442" s="18" t="s">
        <v>368</v>
      </c>
      <c r="D442" s="1" t="s">
        <v>225</v>
      </c>
      <c r="E442" s="18">
        <v>4</v>
      </c>
    </row>
    <row r="443" customHeight="1" spans="1:5">
      <c r="A443" s="1" t="s">
        <v>240</v>
      </c>
      <c r="B443" s="53" t="s">
        <v>366</v>
      </c>
      <c r="C443" s="18" t="s">
        <v>368</v>
      </c>
      <c r="D443" s="1" t="s">
        <v>225</v>
      </c>
      <c r="E443" s="18">
        <v>5</v>
      </c>
    </row>
    <row r="444" customHeight="1" spans="1:5">
      <c r="A444" s="1" t="s">
        <v>240</v>
      </c>
      <c r="B444" s="53" t="s">
        <v>366</v>
      </c>
      <c r="C444" s="5" t="s">
        <v>369</v>
      </c>
      <c r="D444" s="1" t="s">
        <v>226</v>
      </c>
      <c r="E444" s="5">
        <v>1</v>
      </c>
    </row>
    <row r="445" customHeight="1" spans="1:5">
      <c r="A445" s="1" t="s">
        <v>240</v>
      </c>
      <c r="B445" s="53" t="s">
        <v>366</v>
      </c>
      <c r="C445" s="5" t="s">
        <v>369</v>
      </c>
      <c r="D445" s="1" t="s">
        <v>226</v>
      </c>
      <c r="E445" s="5">
        <v>2</v>
      </c>
    </row>
    <row r="446" customHeight="1" spans="1:5">
      <c r="A446" s="1" t="s">
        <v>240</v>
      </c>
      <c r="B446" s="53" t="s">
        <v>366</v>
      </c>
      <c r="C446" s="5" t="s">
        <v>369</v>
      </c>
      <c r="D446" s="1" t="s">
        <v>226</v>
      </c>
      <c r="E446" s="5">
        <v>3</v>
      </c>
    </row>
    <row r="447" customHeight="1" spans="1:5">
      <c r="A447" s="1" t="s">
        <v>240</v>
      </c>
      <c r="B447" s="53" t="s">
        <v>366</v>
      </c>
      <c r="C447" s="5" t="s">
        <v>369</v>
      </c>
      <c r="D447" s="1" t="s">
        <v>226</v>
      </c>
      <c r="E447" s="5">
        <v>4</v>
      </c>
    </row>
    <row r="448" customHeight="1" spans="1:5">
      <c r="A448" s="1" t="s">
        <v>240</v>
      </c>
      <c r="B448" s="53" t="s">
        <v>366</v>
      </c>
      <c r="C448" s="5" t="s">
        <v>369</v>
      </c>
      <c r="D448" s="1" t="s">
        <v>226</v>
      </c>
      <c r="E448" s="5">
        <v>5</v>
      </c>
    </row>
    <row r="449" customHeight="1" spans="1:5">
      <c r="A449" s="1" t="s">
        <v>240</v>
      </c>
      <c r="B449" s="53" t="s">
        <v>366</v>
      </c>
      <c r="C449" s="18" t="s">
        <v>369</v>
      </c>
      <c r="D449" s="1" t="s">
        <v>226</v>
      </c>
      <c r="E449" s="18">
        <v>1</v>
      </c>
    </row>
    <row r="450" customHeight="1" spans="1:5">
      <c r="A450" s="1" t="s">
        <v>240</v>
      </c>
      <c r="B450" s="53" t="s">
        <v>366</v>
      </c>
      <c r="C450" s="18" t="s">
        <v>369</v>
      </c>
      <c r="D450" s="1" t="s">
        <v>226</v>
      </c>
      <c r="E450" s="18">
        <v>2</v>
      </c>
    </row>
    <row r="451" customHeight="1" spans="1:5">
      <c r="A451" s="1" t="s">
        <v>240</v>
      </c>
      <c r="B451" s="53" t="s">
        <v>366</v>
      </c>
      <c r="C451" s="18" t="s">
        <v>369</v>
      </c>
      <c r="D451" s="1" t="s">
        <v>226</v>
      </c>
      <c r="E451" s="18">
        <v>3</v>
      </c>
    </row>
    <row r="452" customHeight="1" spans="1:5">
      <c r="A452" s="1" t="s">
        <v>240</v>
      </c>
      <c r="B452" s="53" t="s">
        <v>366</v>
      </c>
      <c r="C452" s="18" t="s">
        <v>369</v>
      </c>
      <c r="D452" s="1" t="s">
        <v>226</v>
      </c>
      <c r="E452" s="18">
        <v>4</v>
      </c>
    </row>
    <row r="453" customHeight="1" spans="1:5">
      <c r="A453" s="1" t="s">
        <v>240</v>
      </c>
      <c r="B453" s="53" t="s">
        <v>366</v>
      </c>
      <c r="C453" s="18" t="s">
        <v>369</v>
      </c>
      <c r="D453" s="1" t="s">
        <v>226</v>
      </c>
      <c r="E453" s="18">
        <v>5</v>
      </c>
    </row>
    <row r="454" customHeight="1" spans="1:5">
      <c r="A454" s="1" t="s">
        <v>293</v>
      </c>
      <c r="B454" s="53" t="s">
        <v>366</v>
      </c>
      <c r="C454" s="5" t="s">
        <v>370</v>
      </c>
      <c r="D454" s="1" t="s">
        <v>227</v>
      </c>
      <c r="E454" s="5">
        <v>1</v>
      </c>
    </row>
    <row r="455" customHeight="1" spans="1:5">
      <c r="A455" s="1" t="s">
        <v>293</v>
      </c>
      <c r="B455" s="53" t="s">
        <v>366</v>
      </c>
      <c r="C455" s="5" t="s">
        <v>370</v>
      </c>
      <c r="D455" s="1" t="s">
        <v>227</v>
      </c>
      <c r="E455" s="5">
        <v>2</v>
      </c>
    </row>
    <row r="456" customHeight="1" spans="1:5">
      <c r="A456" s="1" t="s">
        <v>293</v>
      </c>
      <c r="B456" s="53" t="s">
        <v>366</v>
      </c>
      <c r="C456" s="5" t="s">
        <v>370</v>
      </c>
      <c r="D456" s="1" t="s">
        <v>227</v>
      </c>
      <c r="E456" s="5">
        <v>3</v>
      </c>
    </row>
    <row r="457" customHeight="1" spans="1:5">
      <c r="A457" s="1" t="s">
        <v>293</v>
      </c>
      <c r="B457" s="53" t="s">
        <v>366</v>
      </c>
      <c r="C457" s="5" t="s">
        <v>370</v>
      </c>
      <c r="D457" s="1" t="s">
        <v>227</v>
      </c>
      <c r="E457" s="5">
        <v>4</v>
      </c>
    </row>
    <row r="458" customHeight="1" spans="1:5">
      <c r="A458" s="1" t="s">
        <v>293</v>
      </c>
      <c r="B458" s="53" t="s">
        <v>366</v>
      </c>
      <c r="C458" s="5" t="s">
        <v>370</v>
      </c>
      <c r="D458" s="1" t="s">
        <v>227</v>
      </c>
      <c r="E458" s="5">
        <v>5</v>
      </c>
    </row>
    <row r="459" customHeight="1" spans="1:5">
      <c r="A459" s="1" t="s">
        <v>293</v>
      </c>
      <c r="B459" s="53" t="s">
        <v>366</v>
      </c>
      <c r="C459" s="5" t="s">
        <v>370</v>
      </c>
      <c r="D459" s="1" t="s">
        <v>227</v>
      </c>
      <c r="E459" s="5">
        <v>6</v>
      </c>
    </row>
    <row r="460" customHeight="1" spans="1:5">
      <c r="A460" s="1" t="s">
        <v>293</v>
      </c>
      <c r="B460" s="53" t="s">
        <v>366</v>
      </c>
      <c r="C460" s="5" t="s">
        <v>370</v>
      </c>
      <c r="D460" s="1" t="s">
        <v>227</v>
      </c>
      <c r="E460" s="5">
        <v>7</v>
      </c>
    </row>
    <row r="461" customHeight="1" spans="1:5">
      <c r="A461" s="1" t="s">
        <v>293</v>
      </c>
      <c r="B461" s="53" t="s">
        <v>366</v>
      </c>
      <c r="C461" s="5" t="s">
        <v>370</v>
      </c>
      <c r="D461" s="1" t="s">
        <v>227</v>
      </c>
      <c r="E461" s="5">
        <v>8</v>
      </c>
    </row>
    <row r="462" customHeight="1" spans="1:5">
      <c r="A462" s="1" t="s">
        <v>240</v>
      </c>
      <c r="B462" s="54" t="s">
        <v>371</v>
      </c>
      <c r="C462" s="18" t="s">
        <v>372</v>
      </c>
      <c r="D462" s="1" t="s">
        <v>224</v>
      </c>
      <c r="E462" s="18">
        <v>1</v>
      </c>
    </row>
    <row r="463" customHeight="1" spans="1:5">
      <c r="A463" s="1" t="s">
        <v>240</v>
      </c>
      <c r="B463" s="54" t="s">
        <v>371</v>
      </c>
      <c r="C463" s="18" t="s">
        <v>372</v>
      </c>
      <c r="D463" s="1" t="s">
        <v>224</v>
      </c>
      <c r="E463" s="18">
        <v>2</v>
      </c>
    </row>
    <row r="464" customHeight="1" spans="1:5">
      <c r="A464" s="1" t="s">
        <v>240</v>
      </c>
      <c r="B464" s="54" t="s">
        <v>371</v>
      </c>
      <c r="C464" s="18" t="s">
        <v>372</v>
      </c>
      <c r="D464" s="1" t="s">
        <v>224</v>
      </c>
      <c r="E464" s="18">
        <v>3</v>
      </c>
    </row>
    <row r="465" customHeight="1" spans="1:5">
      <c r="A465" s="1" t="s">
        <v>240</v>
      </c>
      <c r="B465" s="54" t="s">
        <v>371</v>
      </c>
      <c r="C465" s="18" t="s">
        <v>372</v>
      </c>
      <c r="D465" s="1" t="s">
        <v>224</v>
      </c>
      <c r="E465" s="18">
        <v>4</v>
      </c>
    </row>
    <row r="466" customHeight="1" spans="1:5">
      <c r="A466" s="1" t="s">
        <v>240</v>
      </c>
      <c r="B466" s="54" t="s">
        <v>371</v>
      </c>
      <c r="C466" s="18" t="s">
        <v>372</v>
      </c>
      <c r="D466" s="1" t="s">
        <v>224</v>
      </c>
      <c r="E466" s="18">
        <v>5</v>
      </c>
    </row>
    <row r="467" customHeight="1" spans="1:5">
      <c r="A467" s="1" t="s">
        <v>240</v>
      </c>
      <c r="B467" s="54" t="s">
        <v>371</v>
      </c>
      <c r="C467" s="5" t="s">
        <v>373</v>
      </c>
      <c r="D467" s="1" t="s">
        <v>225</v>
      </c>
      <c r="E467" s="5">
        <v>1</v>
      </c>
    </row>
    <row r="468" customHeight="1" spans="1:5">
      <c r="A468" s="1" t="s">
        <v>240</v>
      </c>
      <c r="B468" s="54" t="s">
        <v>371</v>
      </c>
      <c r="C468" s="5" t="s">
        <v>373</v>
      </c>
      <c r="D468" s="1" t="s">
        <v>225</v>
      </c>
      <c r="E468" s="5">
        <v>2</v>
      </c>
    </row>
    <row r="469" customHeight="1" spans="1:5">
      <c r="A469" s="1" t="s">
        <v>240</v>
      </c>
      <c r="B469" s="54" t="s">
        <v>371</v>
      </c>
      <c r="C469" s="5" t="s">
        <v>373</v>
      </c>
      <c r="D469" s="1" t="s">
        <v>225</v>
      </c>
      <c r="E469" s="5">
        <v>3</v>
      </c>
    </row>
    <row r="470" customHeight="1" spans="1:5">
      <c r="A470" s="1" t="s">
        <v>240</v>
      </c>
      <c r="B470" s="54" t="s">
        <v>371</v>
      </c>
      <c r="C470" s="5" t="s">
        <v>373</v>
      </c>
      <c r="D470" s="1" t="s">
        <v>225</v>
      </c>
      <c r="E470" s="5">
        <v>4</v>
      </c>
    </row>
    <row r="471" customHeight="1" spans="1:5">
      <c r="A471" s="1" t="s">
        <v>240</v>
      </c>
      <c r="B471" s="54" t="s">
        <v>371</v>
      </c>
      <c r="C471" s="5" t="s">
        <v>373</v>
      </c>
      <c r="D471" s="1" t="s">
        <v>225</v>
      </c>
      <c r="E471" s="5">
        <v>5</v>
      </c>
    </row>
    <row r="472" customHeight="1" spans="1:5">
      <c r="A472" s="1" t="s">
        <v>240</v>
      </c>
      <c r="B472" s="54" t="s">
        <v>371</v>
      </c>
      <c r="C472" s="18" t="s">
        <v>374</v>
      </c>
      <c r="D472" s="1" t="s">
        <v>226</v>
      </c>
      <c r="E472" s="18">
        <v>1</v>
      </c>
    </row>
    <row r="473" customHeight="1" spans="1:5">
      <c r="A473" s="1" t="s">
        <v>240</v>
      </c>
      <c r="B473" s="54" t="s">
        <v>371</v>
      </c>
      <c r="C473" s="18" t="s">
        <v>374</v>
      </c>
      <c r="D473" s="1" t="s">
        <v>226</v>
      </c>
      <c r="E473" s="18">
        <v>2</v>
      </c>
    </row>
    <row r="474" customHeight="1" spans="1:5">
      <c r="A474" s="1" t="s">
        <v>240</v>
      </c>
      <c r="B474" s="54" t="s">
        <v>371</v>
      </c>
      <c r="C474" s="18" t="s">
        <v>374</v>
      </c>
      <c r="D474" s="1" t="s">
        <v>226</v>
      </c>
      <c r="E474" s="18">
        <v>3</v>
      </c>
    </row>
    <row r="475" customHeight="1" spans="1:5">
      <c r="A475" s="1" t="s">
        <v>240</v>
      </c>
      <c r="B475" s="54" t="s">
        <v>371</v>
      </c>
      <c r="C475" s="18" t="s">
        <v>374</v>
      </c>
      <c r="D475" s="1" t="s">
        <v>226</v>
      </c>
      <c r="E475" s="18">
        <v>4</v>
      </c>
    </row>
    <row r="476" customHeight="1" spans="1:5">
      <c r="A476" s="1" t="s">
        <v>240</v>
      </c>
      <c r="B476" s="54" t="s">
        <v>371</v>
      </c>
      <c r="C476" s="18" t="s">
        <v>374</v>
      </c>
      <c r="D476" s="1" t="s">
        <v>226</v>
      </c>
      <c r="E476" s="18">
        <v>5</v>
      </c>
    </row>
    <row r="477" customHeight="1" spans="1:5">
      <c r="A477" s="1" t="s">
        <v>240</v>
      </c>
      <c r="B477" s="54" t="s">
        <v>371</v>
      </c>
      <c r="C477" s="5" t="s">
        <v>374</v>
      </c>
      <c r="D477" s="1" t="s">
        <v>226</v>
      </c>
      <c r="E477" s="5">
        <v>1</v>
      </c>
    </row>
    <row r="478" customHeight="1" spans="1:5">
      <c r="A478" s="1" t="s">
        <v>240</v>
      </c>
      <c r="B478" s="54" t="s">
        <v>371</v>
      </c>
      <c r="C478" s="5" t="s">
        <v>374</v>
      </c>
      <c r="D478" s="1" t="s">
        <v>226</v>
      </c>
      <c r="E478" s="5">
        <v>2</v>
      </c>
    </row>
    <row r="479" customHeight="1" spans="1:5">
      <c r="A479" s="1" t="s">
        <v>240</v>
      </c>
      <c r="B479" s="54" t="s">
        <v>371</v>
      </c>
      <c r="C479" s="5" t="s">
        <v>374</v>
      </c>
      <c r="D479" s="1" t="s">
        <v>226</v>
      </c>
      <c r="E479" s="5">
        <v>3</v>
      </c>
    </row>
    <row r="480" customHeight="1" spans="1:5">
      <c r="A480" s="1" t="s">
        <v>240</v>
      </c>
      <c r="B480" s="54" t="s">
        <v>371</v>
      </c>
      <c r="C480" s="5" t="s">
        <v>374</v>
      </c>
      <c r="D480" s="1" t="s">
        <v>226</v>
      </c>
      <c r="E480" s="5">
        <v>4</v>
      </c>
    </row>
    <row r="481" customHeight="1" spans="1:5">
      <c r="A481" s="1" t="s">
        <v>240</v>
      </c>
      <c r="B481" s="54" t="s">
        <v>371</v>
      </c>
      <c r="C481" s="5" t="s">
        <v>374</v>
      </c>
      <c r="D481" s="1" t="s">
        <v>226</v>
      </c>
      <c r="E481" s="5">
        <v>5</v>
      </c>
    </row>
    <row r="482" customHeight="1" spans="1:5">
      <c r="A482" s="1" t="s">
        <v>293</v>
      </c>
      <c r="B482" s="54" t="s">
        <v>371</v>
      </c>
      <c r="C482" s="18" t="s">
        <v>375</v>
      </c>
      <c r="D482" s="1" t="s">
        <v>227</v>
      </c>
      <c r="E482" s="18">
        <v>1</v>
      </c>
    </row>
    <row r="483" customHeight="1" spans="1:5">
      <c r="A483" s="1" t="s">
        <v>293</v>
      </c>
      <c r="B483" s="54" t="s">
        <v>371</v>
      </c>
      <c r="C483" s="18" t="s">
        <v>375</v>
      </c>
      <c r="D483" s="1" t="s">
        <v>227</v>
      </c>
      <c r="E483" s="18">
        <v>2</v>
      </c>
    </row>
    <row r="484" customHeight="1" spans="1:5">
      <c r="A484" s="1" t="s">
        <v>293</v>
      </c>
      <c r="B484" s="54" t="s">
        <v>371</v>
      </c>
      <c r="C484" s="18" t="s">
        <v>375</v>
      </c>
      <c r="D484" s="1" t="s">
        <v>227</v>
      </c>
      <c r="E484" s="18">
        <v>3</v>
      </c>
    </row>
    <row r="485" customHeight="1" spans="1:5">
      <c r="A485" s="1" t="s">
        <v>293</v>
      </c>
      <c r="B485" s="54" t="s">
        <v>371</v>
      </c>
      <c r="C485" s="18" t="s">
        <v>375</v>
      </c>
      <c r="D485" s="1" t="s">
        <v>227</v>
      </c>
      <c r="E485" s="18">
        <v>4</v>
      </c>
    </row>
    <row r="486" customHeight="1" spans="1:5">
      <c r="A486" s="1" t="s">
        <v>293</v>
      </c>
      <c r="B486" s="54" t="s">
        <v>371</v>
      </c>
      <c r="C486" s="18" t="s">
        <v>375</v>
      </c>
      <c r="D486" s="1" t="s">
        <v>227</v>
      </c>
      <c r="E486" s="18">
        <v>5</v>
      </c>
    </row>
    <row r="487" customHeight="1" spans="1:5">
      <c r="A487" s="1" t="s">
        <v>293</v>
      </c>
      <c r="B487" s="54" t="s">
        <v>371</v>
      </c>
      <c r="C487" s="18" t="s">
        <v>375</v>
      </c>
      <c r="D487" s="1" t="s">
        <v>227</v>
      </c>
      <c r="E487" s="18">
        <v>6</v>
      </c>
    </row>
    <row r="488" customHeight="1" spans="1:5">
      <c r="A488" s="1" t="s">
        <v>293</v>
      </c>
      <c r="B488" s="54" t="s">
        <v>371</v>
      </c>
      <c r="C488" s="18" t="s">
        <v>375</v>
      </c>
      <c r="D488" s="1" t="s">
        <v>227</v>
      </c>
      <c r="E488" s="18">
        <v>7</v>
      </c>
    </row>
    <row r="489" customHeight="1" spans="1:5">
      <c r="A489" s="1" t="s">
        <v>293</v>
      </c>
      <c r="B489" s="54" t="s">
        <v>371</v>
      </c>
      <c r="C489" s="18" t="s">
        <v>375</v>
      </c>
      <c r="D489" s="1" t="s">
        <v>227</v>
      </c>
      <c r="E489" s="18">
        <v>8</v>
      </c>
    </row>
    <row r="490" customHeight="1" spans="1:5">
      <c r="A490" s="1" t="s">
        <v>249</v>
      </c>
      <c r="B490" s="54" t="s">
        <v>376</v>
      </c>
      <c r="C490" s="5" t="s">
        <v>377</v>
      </c>
      <c r="D490" s="1" t="s">
        <v>224</v>
      </c>
      <c r="E490" s="5">
        <v>1</v>
      </c>
    </row>
    <row r="491" customHeight="1" spans="1:5">
      <c r="A491" s="1" t="s">
        <v>249</v>
      </c>
      <c r="B491" s="54" t="s">
        <v>376</v>
      </c>
      <c r="C491" s="5" t="s">
        <v>377</v>
      </c>
      <c r="D491" s="1" t="s">
        <v>224</v>
      </c>
      <c r="E491" s="5">
        <v>2</v>
      </c>
    </row>
    <row r="492" customHeight="1" spans="1:5">
      <c r="A492" s="1" t="s">
        <v>249</v>
      </c>
      <c r="B492" s="54" t="s">
        <v>376</v>
      </c>
      <c r="C492" s="5" t="s">
        <v>377</v>
      </c>
      <c r="D492" s="1" t="s">
        <v>224</v>
      </c>
      <c r="E492" s="5">
        <v>3</v>
      </c>
    </row>
    <row r="493" customHeight="1" spans="1:5">
      <c r="A493" s="1" t="s">
        <v>249</v>
      </c>
      <c r="B493" s="54" t="s">
        <v>376</v>
      </c>
      <c r="C493" s="5" t="s">
        <v>377</v>
      </c>
      <c r="D493" s="1" t="s">
        <v>224</v>
      </c>
      <c r="E493" s="5">
        <v>4</v>
      </c>
    </row>
    <row r="494" customHeight="1" spans="1:5">
      <c r="A494" s="1" t="s">
        <v>249</v>
      </c>
      <c r="B494" s="54" t="s">
        <v>376</v>
      </c>
      <c r="C494" s="5" t="s">
        <v>377</v>
      </c>
      <c r="D494" s="1" t="s">
        <v>224</v>
      </c>
      <c r="E494" s="5">
        <v>5</v>
      </c>
    </row>
    <row r="495" customHeight="1" spans="1:5">
      <c r="A495" s="1" t="s">
        <v>293</v>
      </c>
      <c r="B495" s="54" t="s">
        <v>376</v>
      </c>
      <c r="C495" s="18" t="s">
        <v>378</v>
      </c>
      <c r="D495" s="1" t="s">
        <v>227</v>
      </c>
      <c r="E495" s="18">
        <v>1</v>
      </c>
    </row>
    <row r="496" customHeight="1" spans="1:5">
      <c r="A496" s="1" t="s">
        <v>293</v>
      </c>
      <c r="B496" s="54" t="s">
        <v>376</v>
      </c>
      <c r="C496" s="18" t="s">
        <v>378</v>
      </c>
      <c r="D496" s="1" t="s">
        <v>227</v>
      </c>
      <c r="E496" s="18">
        <v>2</v>
      </c>
    </row>
    <row r="497" customHeight="1" spans="1:5">
      <c r="A497" s="1" t="s">
        <v>293</v>
      </c>
      <c r="B497" s="54" t="s">
        <v>376</v>
      </c>
      <c r="C497" s="18" t="s">
        <v>378</v>
      </c>
      <c r="D497" s="1" t="s">
        <v>227</v>
      </c>
      <c r="E497" s="18">
        <v>3</v>
      </c>
    </row>
    <row r="498" customHeight="1" spans="1:5">
      <c r="A498" s="1" t="s">
        <v>293</v>
      </c>
      <c r="B498" s="54" t="s">
        <v>376</v>
      </c>
      <c r="C498" s="18" t="s">
        <v>378</v>
      </c>
      <c r="D498" s="1" t="s">
        <v>227</v>
      </c>
      <c r="E498" s="18">
        <v>4</v>
      </c>
    </row>
    <row r="499" customHeight="1" spans="1:5">
      <c r="A499" s="1" t="s">
        <v>293</v>
      </c>
      <c r="B499" s="54" t="s">
        <v>376</v>
      </c>
      <c r="C499" s="18" t="s">
        <v>378</v>
      </c>
      <c r="D499" s="1" t="s">
        <v>227</v>
      </c>
      <c r="E499" s="18">
        <v>5</v>
      </c>
    </row>
    <row r="500" customHeight="1" spans="1:5">
      <c r="A500" s="1" t="s">
        <v>249</v>
      </c>
      <c r="B500" s="53" t="s">
        <v>379</v>
      </c>
      <c r="C500" s="5" t="s">
        <v>380</v>
      </c>
      <c r="D500" s="1" t="s">
        <v>224</v>
      </c>
      <c r="E500" s="5">
        <v>1</v>
      </c>
    </row>
    <row r="501" customHeight="1" spans="1:5">
      <c r="A501" s="1" t="s">
        <v>249</v>
      </c>
      <c r="B501" s="53" t="s">
        <v>379</v>
      </c>
      <c r="C501" s="5" t="s">
        <v>380</v>
      </c>
      <c r="D501" s="1" t="s">
        <v>224</v>
      </c>
      <c r="E501" s="5">
        <v>2</v>
      </c>
    </row>
    <row r="502" customHeight="1" spans="1:5">
      <c r="A502" s="1" t="s">
        <v>249</v>
      </c>
      <c r="B502" s="53" t="s">
        <v>379</v>
      </c>
      <c r="C502" s="5" t="s">
        <v>380</v>
      </c>
      <c r="D502" s="1" t="s">
        <v>224</v>
      </c>
      <c r="E502" s="5">
        <v>3</v>
      </c>
    </row>
    <row r="503" customHeight="1" spans="1:5">
      <c r="A503" s="1" t="s">
        <v>249</v>
      </c>
      <c r="B503" s="53" t="s">
        <v>379</v>
      </c>
      <c r="C503" s="5" t="s">
        <v>380</v>
      </c>
      <c r="D503" s="1" t="s">
        <v>224</v>
      </c>
      <c r="E503" s="5">
        <v>4</v>
      </c>
    </row>
    <row r="504" customHeight="1" spans="1:5">
      <c r="A504" s="1" t="s">
        <v>249</v>
      </c>
      <c r="B504" s="53" t="s">
        <v>379</v>
      </c>
      <c r="C504" s="5" t="s">
        <v>380</v>
      </c>
      <c r="D504" s="1" t="s">
        <v>224</v>
      </c>
      <c r="E504" s="5">
        <v>5</v>
      </c>
    </row>
    <row r="505" customHeight="1" spans="1:5">
      <c r="A505" s="1" t="s">
        <v>293</v>
      </c>
      <c r="B505" s="53" t="s">
        <v>379</v>
      </c>
      <c r="C505" s="18" t="s">
        <v>381</v>
      </c>
      <c r="D505" s="1" t="s">
        <v>227</v>
      </c>
      <c r="E505" s="18">
        <v>1</v>
      </c>
    </row>
    <row r="506" customHeight="1" spans="1:5">
      <c r="A506" s="1" t="s">
        <v>293</v>
      </c>
      <c r="B506" s="53" t="s">
        <v>379</v>
      </c>
      <c r="C506" s="18" t="s">
        <v>381</v>
      </c>
      <c r="D506" s="1" t="s">
        <v>227</v>
      </c>
      <c r="E506" s="18">
        <v>2</v>
      </c>
    </row>
    <row r="507" customHeight="1" spans="1:5">
      <c r="A507" s="1" t="s">
        <v>293</v>
      </c>
      <c r="B507" s="53" t="s">
        <v>379</v>
      </c>
      <c r="C507" s="18" t="s">
        <v>381</v>
      </c>
      <c r="D507" s="1" t="s">
        <v>227</v>
      </c>
      <c r="E507" s="18">
        <v>3</v>
      </c>
    </row>
    <row r="508" customHeight="1" spans="1:5">
      <c r="A508" s="1" t="s">
        <v>293</v>
      </c>
      <c r="B508" s="53" t="s">
        <v>379</v>
      </c>
      <c r="C508" s="18" t="s">
        <v>381</v>
      </c>
      <c r="D508" s="1" t="s">
        <v>227</v>
      </c>
      <c r="E508" s="18">
        <v>4</v>
      </c>
    </row>
    <row r="509" customHeight="1" spans="1:5">
      <c r="A509" s="1" t="s">
        <v>293</v>
      </c>
      <c r="B509" s="53" t="s">
        <v>379</v>
      </c>
      <c r="C509" s="18" t="s">
        <v>381</v>
      </c>
      <c r="D509" s="1" t="s">
        <v>227</v>
      </c>
      <c r="E509" s="18">
        <v>5</v>
      </c>
    </row>
    <row r="510" customHeight="1" spans="1:5">
      <c r="A510" s="1" t="s">
        <v>249</v>
      </c>
      <c r="B510" s="54" t="s">
        <v>382</v>
      </c>
      <c r="C510" s="5" t="s">
        <v>383</v>
      </c>
      <c r="D510" s="1" t="s">
        <v>224</v>
      </c>
      <c r="E510" s="5">
        <v>1</v>
      </c>
    </row>
    <row r="511" customHeight="1" spans="1:5">
      <c r="A511" s="1" t="s">
        <v>249</v>
      </c>
      <c r="B511" s="54" t="s">
        <v>382</v>
      </c>
      <c r="C511" s="5" t="s">
        <v>383</v>
      </c>
      <c r="D511" s="1" t="s">
        <v>224</v>
      </c>
      <c r="E511" s="5">
        <v>2</v>
      </c>
    </row>
    <row r="512" customHeight="1" spans="1:5">
      <c r="A512" s="1" t="s">
        <v>249</v>
      </c>
      <c r="B512" s="54" t="s">
        <v>382</v>
      </c>
      <c r="C512" s="5" t="s">
        <v>383</v>
      </c>
      <c r="D512" s="1" t="s">
        <v>224</v>
      </c>
      <c r="E512" s="5">
        <v>3</v>
      </c>
    </row>
    <row r="513" customHeight="1" spans="1:5">
      <c r="A513" s="1" t="s">
        <v>249</v>
      </c>
      <c r="B513" s="54" t="s">
        <v>382</v>
      </c>
      <c r="C513" s="5" t="s">
        <v>383</v>
      </c>
      <c r="D513" s="1" t="s">
        <v>224</v>
      </c>
      <c r="E513" s="5">
        <v>4</v>
      </c>
    </row>
    <row r="514" customHeight="1" spans="1:5">
      <c r="A514" s="1" t="s">
        <v>249</v>
      </c>
      <c r="B514" s="54" t="s">
        <v>382</v>
      </c>
      <c r="C514" s="5" t="s">
        <v>383</v>
      </c>
      <c r="D514" s="1" t="s">
        <v>224</v>
      </c>
      <c r="E514" s="5">
        <v>5</v>
      </c>
    </row>
    <row r="515" customHeight="1" spans="1:5">
      <c r="A515" s="1" t="s">
        <v>293</v>
      </c>
      <c r="B515" s="54" t="s">
        <v>382</v>
      </c>
      <c r="C515" s="18" t="s">
        <v>384</v>
      </c>
      <c r="D515" s="1" t="s">
        <v>227</v>
      </c>
      <c r="E515" s="18">
        <v>1</v>
      </c>
    </row>
    <row r="516" customHeight="1" spans="1:5">
      <c r="A516" s="1" t="s">
        <v>293</v>
      </c>
      <c r="B516" s="54" t="s">
        <v>382</v>
      </c>
      <c r="C516" s="18" t="s">
        <v>384</v>
      </c>
      <c r="D516" s="1" t="s">
        <v>227</v>
      </c>
      <c r="E516" s="18">
        <v>2</v>
      </c>
    </row>
    <row r="517" customHeight="1" spans="1:5">
      <c r="A517" s="1" t="s">
        <v>293</v>
      </c>
      <c r="B517" s="54" t="s">
        <v>382</v>
      </c>
      <c r="C517" s="18" t="s">
        <v>384</v>
      </c>
      <c r="D517" s="1" t="s">
        <v>227</v>
      </c>
      <c r="E517" s="18">
        <v>3</v>
      </c>
    </row>
    <row r="518" customHeight="1" spans="1:5">
      <c r="A518" s="1" t="s">
        <v>293</v>
      </c>
      <c r="B518" s="54" t="s">
        <v>382</v>
      </c>
      <c r="C518" s="18" t="s">
        <v>384</v>
      </c>
      <c r="D518" s="1" t="s">
        <v>227</v>
      </c>
      <c r="E518" s="18">
        <v>4</v>
      </c>
    </row>
    <row r="519" customHeight="1" spans="1:5">
      <c r="A519" s="1" t="s">
        <v>293</v>
      </c>
      <c r="B519" s="54" t="s">
        <v>382</v>
      </c>
      <c r="C519" s="18" t="s">
        <v>384</v>
      </c>
      <c r="D519" s="1" t="s">
        <v>227</v>
      </c>
      <c r="E519" s="18">
        <v>5</v>
      </c>
    </row>
    <row r="520" customHeight="1" spans="1:5">
      <c r="A520" s="1" t="s">
        <v>249</v>
      </c>
      <c r="B520" s="53" t="s">
        <v>385</v>
      </c>
      <c r="C520" s="5" t="s">
        <v>386</v>
      </c>
      <c r="D520" s="1" t="s">
        <v>224</v>
      </c>
      <c r="E520" s="5">
        <v>1</v>
      </c>
    </row>
    <row r="521" customHeight="1" spans="1:5">
      <c r="A521" s="1" t="s">
        <v>249</v>
      </c>
      <c r="B521" s="53" t="s">
        <v>385</v>
      </c>
      <c r="C521" s="5" t="s">
        <v>386</v>
      </c>
      <c r="D521" s="1" t="s">
        <v>224</v>
      </c>
      <c r="E521" s="5">
        <v>2</v>
      </c>
    </row>
    <row r="522" customHeight="1" spans="1:5">
      <c r="A522" s="1" t="s">
        <v>249</v>
      </c>
      <c r="B522" s="53" t="s">
        <v>385</v>
      </c>
      <c r="C522" s="5" t="s">
        <v>386</v>
      </c>
      <c r="D522" s="1" t="s">
        <v>224</v>
      </c>
      <c r="E522" s="5">
        <v>3</v>
      </c>
    </row>
    <row r="523" customHeight="1" spans="1:5">
      <c r="A523" s="1" t="s">
        <v>249</v>
      </c>
      <c r="B523" s="53" t="s">
        <v>385</v>
      </c>
      <c r="C523" s="5" t="s">
        <v>386</v>
      </c>
      <c r="D523" s="1" t="s">
        <v>224</v>
      </c>
      <c r="E523" s="5">
        <v>4</v>
      </c>
    </row>
    <row r="524" customHeight="1" spans="1:5">
      <c r="A524" s="1" t="s">
        <v>249</v>
      </c>
      <c r="B524" s="53" t="s">
        <v>385</v>
      </c>
      <c r="C524" s="5" t="s">
        <v>386</v>
      </c>
      <c r="D524" s="1" t="s">
        <v>224</v>
      </c>
      <c r="E524" s="5">
        <v>5</v>
      </c>
    </row>
    <row r="525" customHeight="1" spans="1:5">
      <c r="A525" s="1" t="s">
        <v>293</v>
      </c>
      <c r="B525" s="53" t="s">
        <v>385</v>
      </c>
      <c r="C525" s="18" t="s">
        <v>387</v>
      </c>
      <c r="D525" s="1" t="s">
        <v>227</v>
      </c>
      <c r="E525" s="18">
        <v>1</v>
      </c>
    </row>
    <row r="526" customHeight="1" spans="1:5">
      <c r="A526" s="1" t="s">
        <v>293</v>
      </c>
      <c r="B526" s="53" t="s">
        <v>385</v>
      </c>
      <c r="C526" s="18" t="s">
        <v>387</v>
      </c>
      <c r="D526" s="1" t="s">
        <v>227</v>
      </c>
      <c r="E526" s="18">
        <v>2</v>
      </c>
    </row>
    <row r="527" customHeight="1" spans="1:5">
      <c r="A527" s="1" t="s">
        <v>293</v>
      </c>
      <c r="B527" s="53" t="s">
        <v>385</v>
      </c>
      <c r="C527" s="18" t="s">
        <v>387</v>
      </c>
      <c r="D527" s="1" t="s">
        <v>227</v>
      </c>
      <c r="E527" s="18">
        <v>3</v>
      </c>
    </row>
    <row r="528" customHeight="1" spans="1:5">
      <c r="A528" s="1" t="s">
        <v>293</v>
      </c>
      <c r="B528" s="53" t="s">
        <v>385</v>
      </c>
      <c r="C528" s="18" t="s">
        <v>387</v>
      </c>
      <c r="D528" s="1" t="s">
        <v>227</v>
      </c>
      <c r="E528" s="18">
        <v>4</v>
      </c>
    </row>
    <row r="529" customHeight="1" spans="1:5">
      <c r="A529" s="1" t="s">
        <v>293</v>
      </c>
      <c r="B529" s="53" t="s">
        <v>385</v>
      </c>
      <c r="C529" s="18" t="s">
        <v>387</v>
      </c>
      <c r="D529" s="1" t="s">
        <v>227</v>
      </c>
      <c r="E529" s="18">
        <v>5</v>
      </c>
    </row>
    <row r="530" customHeight="1" spans="1:5">
      <c r="A530" s="1" t="s">
        <v>293</v>
      </c>
      <c r="B530" s="53" t="s">
        <v>385</v>
      </c>
      <c r="C530" s="18" t="s">
        <v>387</v>
      </c>
      <c r="D530" s="1" t="s">
        <v>227</v>
      </c>
      <c r="E530" s="18">
        <v>6</v>
      </c>
    </row>
    <row r="531" customHeight="1" spans="1:5">
      <c r="A531" s="1" t="s">
        <v>293</v>
      </c>
      <c r="B531" s="53" t="s">
        <v>385</v>
      </c>
      <c r="C531" s="18" t="s">
        <v>387</v>
      </c>
      <c r="D531" s="1" t="s">
        <v>227</v>
      </c>
      <c r="E531" s="18">
        <v>7</v>
      </c>
    </row>
    <row r="532" customHeight="1" spans="1:5">
      <c r="A532" s="1" t="s">
        <v>293</v>
      </c>
      <c r="B532" s="53" t="s">
        <v>385</v>
      </c>
      <c r="C532" s="18" t="s">
        <v>387</v>
      </c>
      <c r="D532" s="1" t="s">
        <v>227</v>
      </c>
      <c r="E532" s="18">
        <v>8</v>
      </c>
    </row>
    <row r="533" customHeight="1" spans="1:5">
      <c r="A533" s="1" t="s">
        <v>293</v>
      </c>
      <c r="B533" s="53" t="s">
        <v>385</v>
      </c>
      <c r="C533" s="5" t="s">
        <v>387</v>
      </c>
      <c r="D533" s="1" t="s">
        <v>227</v>
      </c>
      <c r="E533" s="5">
        <v>1</v>
      </c>
    </row>
    <row r="534" customHeight="1" spans="1:5">
      <c r="A534" s="1" t="s">
        <v>293</v>
      </c>
      <c r="B534" s="53" t="s">
        <v>385</v>
      </c>
      <c r="C534" s="5" t="s">
        <v>387</v>
      </c>
      <c r="D534" s="1" t="s">
        <v>227</v>
      </c>
      <c r="E534" s="5">
        <v>2</v>
      </c>
    </row>
    <row r="535" customHeight="1" spans="1:5">
      <c r="A535" s="1" t="s">
        <v>293</v>
      </c>
      <c r="B535" s="53" t="s">
        <v>385</v>
      </c>
      <c r="C535" s="5" t="s">
        <v>387</v>
      </c>
      <c r="D535" s="1" t="s">
        <v>227</v>
      </c>
      <c r="E535" s="5">
        <v>3</v>
      </c>
    </row>
    <row r="536" customHeight="1" spans="1:5">
      <c r="A536" s="1" t="s">
        <v>293</v>
      </c>
      <c r="B536" s="53" t="s">
        <v>385</v>
      </c>
      <c r="C536" s="5" t="s">
        <v>387</v>
      </c>
      <c r="D536" s="1" t="s">
        <v>227</v>
      </c>
      <c r="E536" s="5">
        <v>4</v>
      </c>
    </row>
    <row r="537" customHeight="1" spans="1:5">
      <c r="A537" s="1" t="s">
        <v>293</v>
      </c>
      <c r="B537" s="53" t="s">
        <v>385</v>
      </c>
      <c r="C537" s="5" t="s">
        <v>387</v>
      </c>
      <c r="D537" s="1" t="s">
        <v>227</v>
      </c>
      <c r="E537" s="5">
        <v>5</v>
      </c>
    </row>
    <row r="538" customHeight="1" spans="1:5">
      <c r="A538" s="1" t="s">
        <v>293</v>
      </c>
      <c r="B538" s="53" t="s">
        <v>385</v>
      </c>
      <c r="C538" s="5" t="s">
        <v>387</v>
      </c>
      <c r="D538" s="1" t="s">
        <v>227</v>
      </c>
      <c r="E538" s="5">
        <v>6</v>
      </c>
    </row>
    <row r="539" customHeight="1" spans="1:5">
      <c r="A539" s="1" t="s">
        <v>293</v>
      </c>
      <c r="B539" s="53" t="s">
        <v>385</v>
      </c>
      <c r="C539" s="5" t="s">
        <v>387</v>
      </c>
      <c r="D539" s="1" t="s">
        <v>227</v>
      </c>
      <c r="E539" s="5">
        <v>7</v>
      </c>
    </row>
    <row r="540" customHeight="1" spans="1:5">
      <c r="A540" s="1" t="s">
        <v>293</v>
      </c>
      <c r="B540" s="53" t="s">
        <v>385</v>
      </c>
      <c r="C540" s="5" t="s">
        <v>387</v>
      </c>
      <c r="D540" s="1" t="s">
        <v>227</v>
      </c>
      <c r="E540" s="5">
        <v>8</v>
      </c>
    </row>
    <row r="541" customHeight="1" spans="1:5">
      <c r="A541" s="1" t="s">
        <v>249</v>
      </c>
      <c r="B541" s="54" t="s">
        <v>388</v>
      </c>
      <c r="C541" s="18" t="s">
        <v>389</v>
      </c>
      <c r="D541" s="1" t="s">
        <v>224</v>
      </c>
      <c r="E541" s="18">
        <v>1</v>
      </c>
    </row>
    <row r="542" customHeight="1" spans="1:5">
      <c r="A542" s="1" t="s">
        <v>249</v>
      </c>
      <c r="B542" s="54" t="s">
        <v>388</v>
      </c>
      <c r="C542" s="18" t="s">
        <v>389</v>
      </c>
      <c r="D542" s="1" t="s">
        <v>224</v>
      </c>
      <c r="E542" s="18">
        <v>2</v>
      </c>
    </row>
    <row r="543" customHeight="1" spans="1:5">
      <c r="A543" s="1" t="s">
        <v>249</v>
      </c>
      <c r="B543" s="54" t="s">
        <v>388</v>
      </c>
      <c r="C543" s="18" t="s">
        <v>389</v>
      </c>
      <c r="D543" s="1" t="s">
        <v>224</v>
      </c>
      <c r="E543" s="18">
        <v>3</v>
      </c>
    </row>
    <row r="544" customHeight="1" spans="1:5">
      <c r="A544" s="1" t="s">
        <v>249</v>
      </c>
      <c r="B544" s="54" t="s">
        <v>388</v>
      </c>
      <c r="C544" s="18" t="s">
        <v>389</v>
      </c>
      <c r="D544" s="1" t="s">
        <v>224</v>
      </c>
      <c r="E544" s="18">
        <v>4</v>
      </c>
    </row>
    <row r="545" customHeight="1" spans="1:5">
      <c r="A545" s="1" t="s">
        <v>249</v>
      </c>
      <c r="B545" s="54" t="s">
        <v>388</v>
      </c>
      <c r="C545" s="18" t="s">
        <v>389</v>
      </c>
      <c r="D545" s="1" t="s">
        <v>224</v>
      </c>
      <c r="E545" s="18">
        <v>5</v>
      </c>
    </row>
    <row r="546" customHeight="1" spans="1:5">
      <c r="A546" s="1" t="s">
        <v>249</v>
      </c>
      <c r="B546" s="54" t="s">
        <v>388</v>
      </c>
      <c r="C546" s="5" t="s">
        <v>389</v>
      </c>
      <c r="D546" s="1" t="s">
        <v>224</v>
      </c>
      <c r="E546" s="5">
        <v>1</v>
      </c>
    </row>
    <row r="547" customHeight="1" spans="1:5">
      <c r="A547" s="1" t="s">
        <v>249</v>
      </c>
      <c r="B547" s="54" t="s">
        <v>388</v>
      </c>
      <c r="C547" s="5" t="s">
        <v>389</v>
      </c>
      <c r="D547" s="1" t="s">
        <v>224</v>
      </c>
      <c r="E547" s="5">
        <v>2</v>
      </c>
    </row>
    <row r="548" customHeight="1" spans="1:5">
      <c r="A548" s="1" t="s">
        <v>249</v>
      </c>
      <c r="B548" s="54" t="s">
        <v>388</v>
      </c>
      <c r="C548" s="5" t="s">
        <v>389</v>
      </c>
      <c r="D548" s="1" t="s">
        <v>224</v>
      </c>
      <c r="E548" s="5">
        <v>3</v>
      </c>
    </row>
    <row r="549" customHeight="1" spans="1:5">
      <c r="A549" s="1" t="s">
        <v>249</v>
      </c>
      <c r="B549" s="54" t="s">
        <v>388</v>
      </c>
      <c r="C549" s="5" t="s">
        <v>389</v>
      </c>
      <c r="D549" s="1" t="s">
        <v>224</v>
      </c>
      <c r="E549" s="5">
        <v>4</v>
      </c>
    </row>
    <row r="550" customHeight="1" spans="1:5">
      <c r="A550" s="1" t="s">
        <v>249</v>
      </c>
      <c r="B550" s="54" t="s">
        <v>388</v>
      </c>
      <c r="C550" s="5" t="s">
        <v>389</v>
      </c>
      <c r="D550" s="1" t="s">
        <v>224</v>
      </c>
      <c r="E550" s="5">
        <v>5</v>
      </c>
    </row>
    <row r="551" customHeight="1" spans="1:5">
      <c r="A551" s="1" t="s">
        <v>249</v>
      </c>
      <c r="B551" s="54" t="s">
        <v>388</v>
      </c>
      <c r="C551" s="18" t="s">
        <v>390</v>
      </c>
      <c r="D551" s="1" t="s">
        <v>257</v>
      </c>
      <c r="E551" s="18">
        <v>1</v>
      </c>
    </row>
    <row r="552" customHeight="1" spans="1:5">
      <c r="A552" s="1" t="s">
        <v>249</v>
      </c>
      <c r="B552" s="54" t="s">
        <v>388</v>
      </c>
      <c r="C552" s="18" t="s">
        <v>390</v>
      </c>
      <c r="D552" s="1" t="s">
        <v>257</v>
      </c>
      <c r="E552" s="18">
        <v>2</v>
      </c>
    </row>
    <row r="553" customHeight="1" spans="1:5">
      <c r="A553" s="1" t="s">
        <v>249</v>
      </c>
      <c r="B553" s="54" t="s">
        <v>388</v>
      </c>
      <c r="C553" s="18" t="s">
        <v>390</v>
      </c>
      <c r="D553" s="1" t="s">
        <v>257</v>
      </c>
      <c r="E553" s="18">
        <v>3</v>
      </c>
    </row>
    <row r="554" customHeight="1" spans="1:5">
      <c r="A554" s="1" t="s">
        <v>249</v>
      </c>
      <c r="B554" s="54" t="s">
        <v>388</v>
      </c>
      <c r="C554" s="18" t="s">
        <v>390</v>
      </c>
      <c r="D554" s="1" t="s">
        <v>257</v>
      </c>
      <c r="E554" s="18">
        <v>4</v>
      </c>
    </row>
    <row r="555" customHeight="1" spans="1:5">
      <c r="A555" s="1" t="s">
        <v>249</v>
      </c>
      <c r="B555" s="54" t="s">
        <v>388</v>
      </c>
      <c r="C555" s="18" t="s">
        <v>390</v>
      </c>
      <c r="D555" s="1" t="s">
        <v>257</v>
      </c>
      <c r="E555" s="18">
        <v>5</v>
      </c>
    </row>
    <row r="556" customHeight="1" spans="1:5">
      <c r="A556" s="1" t="s">
        <v>293</v>
      </c>
      <c r="B556" s="54" t="s">
        <v>388</v>
      </c>
      <c r="C556" s="5" t="s">
        <v>391</v>
      </c>
      <c r="D556" s="1" t="s">
        <v>227</v>
      </c>
      <c r="E556" s="5">
        <v>1</v>
      </c>
    </row>
    <row r="557" customHeight="1" spans="1:5">
      <c r="A557" s="1" t="s">
        <v>293</v>
      </c>
      <c r="B557" s="54" t="s">
        <v>388</v>
      </c>
      <c r="C557" s="5" t="s">
        <v>391</v>
      </c>
      <c r="D557" s="1" t="s">
        <v>227</v>
      </c>
      <c r="E557" s="5">
        <v>2</v>
      </c>
    </row>
    <row r="558" customHeight="1" spans="1:5">
      <c r="A558" s="1" t="s">
        <v>293</v>
      </c>
      <c r="B558" s="54" t="s">
        <v>388</v>
      </c>
      <c r="C558" s="5" t="s">
        <v>391</v>
      </c>
      <c r="D558" s="1" t="s">
        <v>227</v>
      </c>
      <c r="E558" s="5">
        <v>3</v>
      </c>
    </row>
    <row r="559" customHeight="1" spans="1:5">
      <c r="A559" s="1" t="s">
        <v>293</v>
      </c>
      <c r="B559" s="54" t="s">
        <v>388</v>
      </c>
      <c r="C559" s="5" t="s">
        <v>391</v>
      </c>
      <c r="D559" s="1" t="s">
        <v>227</v>
      </c>
      <c r="E559" s="5">
        <v>4</v>
      </c>
    </row>
    <row r="560" customHeight="1" spans="1:5">
      <c r="A560" s="1" t="s">
        <v>293</v>
      </c>
      <c r="B560" s="54" t="s">
        <v>388</v>
      </c>
      <c r="C560" s="5" t="s">
        <v>391</v>
      </c>
      <c r="D560" s="1" t="s">
        <v>227</v>
      </c>
      <c r="E560" s="5">
        <v>5</v>
      </c>
    </row>
    <row r="561" customHeight="1" spans="1:5">
      <c r="A561" s="1" t="s">
        <v>293</v>
      </c>
      <c r="B561" s="54" t="s">
        <v>388</v>
      </c>
      <c r="C561" s="5" t="s">
        <v>391</v>
      </c>
      <c r="D561" s="1" t="s">
        <v>227</v>
      </c>
      <c r="E561" s="5">
        <v>6</v>
      </c>
    </row>
    <row r="562" customHeight="1" spans="1:5">
      <c r="A562" s="1" t="s">
        <v>293</v>
      </c>
      <c r="B562" s="54" t="s">
        <v>388</v>
      </c>
      <c r="C562" s="5" t="s">
        <v>391</v>
      </c>
      <c r="D562" s="1" t="s">
        <v>227</v>
      </c>
      <c r="E562" s="5">
        <v>7</v>
      </c>
    </row>
    <row r="563" customHeight="1" spans="1:5">
      <c r="A563" s="1" t="s">
        <v>293</v>
      </c>
      <c r="B563" s="54" t="s">
        <v>388</v>
      </c>
      <c r="C563" s="5" t="s">
        <v>391</v>
      </c>
      <c r="D563" s="1" t="s">
        <v>227</v>
      </c>
      <c r="E563" s="5">
        <v>8</v>
      </c>
    </row>
    <row r="564" customHeight="1" spans="1:5">
      <c r="A564" s="1" t="s">
        <v>249</v>
      </c>
      <c r="B564" s="54" t="s">
        <v>392</v>
      </c>
      <c r="C564" s="18" t="s">
        <v>393</v>
      </c>
      <c r="D564" s="1" t="s">
        <v>224</v>
      </c>
      <c r="E564" s="18">
        <v>1</v>
      </c>
    </row>
    <row r="565" customHeight="1" spans="1:5">
      <c r="A565" s="1" t="s">
        <v>249</v>
      </c>
      <c r="B565" s="54" t="s">
        <v>392</v>
      </c>
      <c r="C565" s="18" t="s">
        <v>393</v>
      </c>
      <c r="D565" s="1" t="s">
        <v>224</v>
      </c>
      <c r="E565" s="18">
        <v>2</v>
      </c>
    </row>
    <row r="566" customHeight="1" spans="1:5">
      <c r="A566" s="1" t="s">
        <v>249</v>
      </c>
      <c r="B566" s="54" t="s">
        <v>392</v>
      </c>
      <c r="C566" s="18" t="s">
        <v>393</v>
      </c>
      <c r="D566" s="1" t="s">
        <v>224</v>
      </c>
      <c r="E566" s="18">
        <v>3</v>
      </c>
    </row>
    <row r="567" customHeight="1" spans="1:5">
      <c r="A567" s="1" t="s">
        <v>249</v>
      </c>
      <c r="B567" s="54" t="s">
        <v>392</v>
      </c>
      <c r="C567" s="18" t="s">
        <v>393</v>
      </c>
      <c r="D567" s="1" t="s">
        <v>224</v>
      </c>
      <c r="E567" s="18">
        <v>4</v>
      </c>
    </row>
    <row r="568" customHeight="1" spans="1:5">
      <c r="A568" s="1" t="s">
        <v>249</v>
      </c>
      <c r="B568" s="54" t="s">
        <v>392</v>
      </c>
      <c r="C568" s="18" t="s">
        <v>393</v>
      </c>
      <c r="D568" s="1" t="s">
        <v>224</v>
      </c>
      <c r="E568" s="18">
        <v>5</v>
      </c>
    </row>
    <row r="569" customHeight="1" spans="1:5">
      <c r="A569" s="1" t="s">
        <v>240</v>
      </c>
      <c r="B569" s="54" t="s">
        <v>394</v>
      </c>
      <c r="C569" s="5" t="s">
        <v>395</v>
      </c>
      <c r="D569" s="1" t="s">
        <v>224</v>
      </c>
      <c r="E569" s="5">
        <v>1</v>
      </c>
    </row>
    <row r="570" customHeight="1" spans="1:5">
      <c r="A570" s="1" t="s">
        <v>240</v>
      </c>
      <c r="B570" s="54" t="s">
        <v>394</v>
      </c>
      <c r="C570" s="5" t="s">
        <v>395</v>
      </c>
      <c r="D570" s="1" t="s">
        <v>224</v>
      </c>
      <c r="E570" s="5">
        <v>2</v>
      </c>
    </row>
    <row r="571" customHeight="1" spans="1:5">
      <c r="A571" s="1" t="s">
        <v>240</v>
      </c>
      <c r="B571" s="54" t="s">
        <v>394</v>
      </c>
      <c r="C571" s="5" t="s">
        <v>395</v>
      </c>
      <c r="D571" s="1" t="s">
        <v>224</v>
      </c>
      <c r="E571" s="5">
        <v>3</v>
      </c>
    </row>
    <row r="572" customHeight="1" spans="1:5">
      <c r="A572" s="1" t="s">
        <v>240</v>
      </c>
      <c r="B572" s="54" t="s">
        <v>394</v>
      </c>
      <c r="C572" s="5" t="s">
        <v>395</v>
      </c>
      <c r="D572" s="1" t="s">
        <v>224</v>
      </c>
      <c r="E572" s="5">
        <v>4</v>
      </c>
    </row>
    <row r="573" customHeight="1" spans="1:5">
      <c r="A573" s="1" t="s">
        <v>240</v>
      </c>
      <c r="B573" s="54" t="s">
        <v>394</v>
      </c>
      <c r="C573" s="5" t="s">
        <v>395</v>
      </c>
      <c r="D573" s="1" t="s">
        <v>224</v>
      </c>
      <c r="E573" s="5">
        <v>5</v>
      </c>
    </row>
    <row r="574" customHeight="1" spans="1:5">
      <c r="A574" s="1" t="s">
        <v>293</v>
      </c>
      <c r="B574" s="54" t="s">
        <v>394</v>
      </c>
      <c r="C574" s="18" t="s">
        <v>396</v>
      </c>
      <c r="D574" s="1" t="s">
        <v>227</v>
      </c>
      <c r="E574" s="18">
        <v>1</v>
      </c>
    </row>
    <row r="575" customHeight="1" spans="1:5">
      <c r="A575" s="1" t="s">
        <v>293</v>
      </c>
      <c r="B575" s="54" t="s">
        <v>394</v>
      </c>
      <c r="C575" s="18" t="s">
        <v>396</v>
      </c>
      <c r="D575" s="1" t="s">
        <v>227</v>
      </c>
      <c r="E575" s="18">
        <v>2</v>
      </c>
    </row>
    <row r="576" customHeight="1" spans="1:5">
      <c r="A576" s="1" t="s">
        <v>293</v>
      </c>
      <c r="B576" s="54" t="s">
        <v>394</v>
      </c>
      <c r="C576" s="18" t="s">
        <v>396</v>
      </c>
      <c r="D576" s="1" t="s">
        <v>227</v>
      </c>
      <c r="E576" s="18">
        <v>3</v>
      </c>
    </row>
    <row r="577" customHeight="1" spans="1:5">
      <c r="A577" s="1" t="s">
        <v>293</v>
      </c>
      <c r="B577" s="54" t="s">
        <v>394</v>
      </c>
      <c r="C577" s="18" t="s">
        <v>396</v>
      </c>
      <c r="D577" s="1" t="s">
        <v>227</v>
      </c>
      <c r="E577" s="18">
        <v>4</v>
      </c>
    </row>
    <row r="578" customHeight="1" spans="1:5">
      <c r="A578" s="1" t="s">
        <v>293</v>
      </c>
      <c r="B578" s="54" t="s">
        <v>394</v>
      </c>
      <c r="C578" s="18" t="s">
        <v>396</v>
      </c>
      <c r="D578" s="1" t="s">
        <v>227</v>
      </c>
      <c r="E578" s="18">
        <v>5</v>
      </c>
    </row>
    <row r="579" customHeight="1" spans="1:5">
      <c r="A579" s="1" t="s">
        <v>293</v>
      </c>
      <c r="B579" s="54" t="s">
        <v>394</v>
      </c>
      <c r="C579" s="18" t="s">
        <v>396</v>
      </c>
      <c r="D579" s="1" t="s">
        <v>227</v>
      </c>
      <c r="E579" s="18">
        <v>6</v>
      </c>
    </row>
    <row r="580" customHeight="1" spans="1:5">
      <c r="A580" s="1" t="s">
        <v>293</v>
      </c>
      <c r="B580" s="54" t="s">
        <v>394</v>
      </c>
      <c r="C580" s="18" t="s">
        <v>396</v>
      </c>
      <c r="D580" s="1" t="s">
        <v>227</v>
      </c>
      <c r="E580" s="18">
        <v>7</v>
      </c>
    </row>
    <row r="581" customHeight="1" spans="1:5">
      <c r="A581" s="1" t="s">
        <v>293</v>
      </c>
      <c r="B581" s="54" t="s">
        <v>394</v>
      </c>
      <c r="C581" s="18" t="s">
        <v>396</v>
      </c>
      <c r="D581" s="1" t="s">
        <v>227</v>
      </c>
      <c r="E581" s="18">
        <v>8</v>
      </c>
    </row>
    <row r="582" customHeight="1" spans="1:5">
      <c r="A582" s="1" t="s">
        <v>240</v>
      </c>
      <c r="B582" s="53" t="s">
        <v>397</v>
      </c>
      <c r="C582" s="5" t="s">
        <v>398</v>
      </c>
      <c r="D582" s="1" t="s">
        <v>224</v>
      </c>
      <c r="E582" s="5">
        <v>1</v>
      </c>
    </row>
    <row r="583" customHeight="1" spans="1:5">
      <c r="A583" s="1" t="s">
        <v>240</v>
      </c>
      <c r="B583" s="53" t="s">
        <v>397</v>
      </c>
      <c r="C583" s="5" t="s">
        <v>398</v>
      </c>
      <c r="D583" s="1" t="s">
        <v>224</v>
      </c>
      <c r="E583" s="5">
        <v>2</v>
      </c>
    </row>
    <row r="584" customHeight="1" spans="1:5">
      <c r="A584" s="1" t="s">
        <v>240</v>
      </c>
      <c r="B584" s="53" t="s">
        <v>397</v>
      </c>
      <c r="C584" s="5" t="s">
        <v>398</v>
      </c>
      <c r="D584" s="1" t="s">
        <v>224</v>
      </c>
      <c r="E584" s="5">
        <v>3</v>
      </c>
    </row>
    <row r="585" customHeight="1" spans="1:5">
      <c r="A585" s="1" t="s">
        <v>240</v>
      </c>
      <c r="B585" s="53" t="s">
        <v>397</v>
      </c>
      <c r="C585" s="5" t="s">
        <v>398</v>
      </c>
      <c r="D585" s="1" t="s">
        <v>224</v>
      </c>
      <c r="E585" s="5">
        <v>4</v>
      </c>
    </row>
    <row r="586" customHeight="1" spans="1:5">
      <c r="A586" s="1" t="s">
        <v>240</v>
      </c>
      <c r="B586" s="53" t="s">
        <v>397</v>
      </c>
      <c r="C586" s="5" t="s">
        <v>398</v>
      </c>
      <c r="D586" s="1" t="s">
        <v>224</v>
      </c>
      <c r="E586" s="5">
        <v>5</v>
      </c>
    </row>
    <row r="587" customHeight="1" spans="1:5">
      <c r="A587" s="1" t="s">
        <v>293</v>
      </c>
      <c r="B587" s="53" t="s">
        <v>397</v>
      </c>
      <c r="C587" s="18" t="s">
        <v>399</v>
      </c>
      <c r="D587" s="1" t="s">
        <v>227</v>
      </c>
      <c r="E587" s="18">
        <v>1</v>
      </c>
    </row>
    <row r="588" customHeight="1" spans="1:5">
      <c r="A588" s="1" t="s">
        <v>293</v>
      </c>
      <c r="B588" s="53" t="s">
        <v>397</v>
      </c>
      <c r="C588" s="18" t="s">
        <v>399</v>
      </c>
      <c r="D588" s="1" t="s">
        <v>227</v>
      </c>
      <c r="E588" s="18">
        <v>2</v>
      </c>
    </row>
    <row r="589" customHeight="1" spans="1:5">
      <c r="A589" s="1" t="s">
        <v>293</v>
      </c>
      <c r="B589" s="53" t="s">
        <v>397</v>
      </c>
      <c r="C589" s="18" t="s">
        <v>399</v>
      </c>
      <c r="D589" s="1" t="s">
        <v>227</v>
      </c>
      <c r="E589" s="18">
        <v>3</v>
      </c>
    </row>
    <row r="590" customHeight="1" spans="1:5">
      <c r="A590" s="1" t="s">
        <v>293</v>
      </c>
      <c r="B590" s="53" t="s">
        <v>397</v>
      </c>
      <c r="C590" s="18" t="s">
        <v>399</v>
      </c>
      <c r="D590" s="1" t="s">
        <v>227</v>
      </c>
      <c r="E590" s="18">
        <v>4</v>
      </c>
    </row>
    <row r="591" customHeight="1" spans="1:5">
      <c r="A591" s="1" t="s">
        <v>293</v>
      </c>
      <c r="B591" s="53" t="s">
        <v>397</v>
      </c>
      <c r="C591" s="18" t="s">
        <v>399</v>
      </c>
      <c r="D591" s="1" t="s">
        <v>227</v>
      </c>
      <c r="E591" s="18">
        <v>5</v>
      </c>
    </row>
    <row r="592" customHeight="1" spans="1:5">
      <c r="A592" s="1" t="s">
        <v>293</v>
      </c>
      <c r="B592" s="53" t="s">
        <v>397</v>
      </c>
      <c r="C592" s="18" t="s">
        <v>399</v>
      </c>
      <c r="D592" s="1" t="s">
        <v>227</v>
      </c>
      <c r="E592" s="18">
        <v>6</v>
      </c>
    </row>
    <row r="593" customHeight="1" spans="1:5">
      <c r="A593" s="1" t="s">
        <v>293</v>
      </c>
      <c r="B593" s="53" t="s">
        <v>397</v>
      </c>
      <c r="C593" s="18" t="s">
        <v>399</v>
      </c>
      <c r="D593" s="1" t="s">
        <v>227</v>
      </c>
      <c r="E593" s="18">
        <v>7</v>
      </c>
    </row>
    <row r="594" customHeight="1" spans="1:5">
      <c r="A594" s="1" t="s">
        <v>293</v>
      </c>
      <c r="B594" s="53" t="s">
        <v>397</v>
      </c>
      <c r="C594" s="18" t="s">
        <v>399</v>
      </c>
      <c r="D594" s="1" t="s">
        <v>227</v>
      </c>
      <c r="E594" s="18">
        <v>8</v>
      </c>
    </row>
    <row r="595" customHeight="1" spans="1:5">
      <c r="A595" s="1" t="s">
        <v>293</v>
      </c>
      <c r="B595" s="53" t="s">
        <v>397</v>
      </c>
      <c r="C595" s="5" t="s">
        <v>399</v>
      </c>
      <c r="D595" s="1" t="s">
        <v>227</v>
      </c>
      <c r="E595" s="5">
        <v>1</v>
      </c>
    </row>
    <row r="596" customHeight="1" spans="1:5">
      <c r="A596" s="1" t="s">
        <v>293</v>
      </c>
      <c r="B596" s="53" t="s">
        <v>397</v>
      </c>
      <c r="C596" s="5" t="s">
        <v>399</v>
      </c>
      <c r="D596" s="1" t="s">
        <v>227</v>
      </c>
      <c r="E596" s="5">
        <v>2</v>
      </c>
    </row>
    <row r="597" customHeight="1" spans="1:5">
      <c r="A597" s="1" t="s">
        <v>293</v>
      </c>
      <c r="B597" s="53" t="s">
        <v>397</v>
      </c>
      <c r="C597" s="5" t="s">
        <v>399</v>
      </c>
      <c r="D597" s="1" t="s">
        <v>227</v>
      </c>
      <c r="E597" s="5">
        <v>3</v>
      </c>
    </row>
    <row r="598" customHeight="1" spans="1:5">
      <c r="A598" s="1" t="s">
        <v>293</v>
      </c>
      <c r="B598" s="53" t="s">
        <v>397</v>
      </c>
      <c r="C598" s="5" t="s">
        <v>399</v>
      </c>
      <c r="D598" s="1" t="s">
        <v>227</v>
      </c>
      <c r="E598" s="5">
        <v>4</v>
      </c>
    </row>
    <row r="599" customHeight="1" spans="1:5">
      <c r="A599" s="1" t="s">
        <v>293</v>
      </c>
      <c r="B599" s="53" t="s">
        <v>397</v>
      </c>
      <c r="C599" s="5" t="s">
        <v>399</v>
      </c>
      <c r="D599" s="1" t="s">
        <v>227</v>
      </c>
      <c r="E599" s="5">
        <v>5</v>
      </c>
    </row>
    <row r="600" customHeight="1" spans="1:5">
      <c r="A600" s="1" t="s">
        <v>293</v>
      </c>
      <c r="B600" s="53" t="s">
        <v>397</v>
      </c>
      <c r="C600" s="5" t="s">
        <v>399</v>
      </c>
      <c r="D600" s="1" t="s">
        <v>227</v>
      </c>
      <c r="E600" s="5">
        <v>6</v>
      </c>
    </row>
    <row r="601" customHeight="1" spans="1:5">
      <c r="A601" s="1" t="s">
        <v>293</v>
      </c>
      <c r="B601" s="53" t="s">
        <v>397</v>
      </c>
      <c r="C601" s="5" t="s">
        <v>399</v>
      </c>
      <c r="D601" s="1" t="s">
        <v>227</v>
      </c>
      <c r="E601" s="5">
        <v>7</v>
      </c>
    </row>
    <row r="602" customHeight="1" spans="1:5">
      <c r="A602" s="1" t="s">
        <v>293</v>
      </c>
      <c r="B602" s="53" t="s">
        <v>397</v>
      </c>
      <c r="C602" s="5" t="s">
        <v>399</v>
      </c>
      <c r="D602" s="1" t="s">
        <v>227</v>
      </c>
      <c r="E602" s="5">
        <v>8</v>
      </c>
    </row>
    <row r="603" customHeight="1" spans="1:5">
      <c r="A603" s="1" t="s">
        <v>240</v>
      </c>
      <c r="B603" s="54" t="s">
        <v>400</v>
      </c>
      <c r="C603" s="18" t="s">
        <v>401</v>
      </c>
      <c r="D603" s="1" t="s">
        <v>224</v>
      </c>
      <c r="E603" s="18">
        <v>1</v>
      </c>
    </row>
    <row r="604" customHeight="1" spans="1:5">
      <c r="A604" s="1" t="s">
        <v>240</v>
      </c>
      <c r="B604" s="54" t="s">
        <v>400</v>
      </c>
      <c r="C604" s="18" t="s">
        <v>401</v>
      </c>
      <c r="D604" s="1" t="s">
        <v>224</v>
      </c>
      <c r="E604" s="18">
        <v>2</v>
      </c>
    </row>
    <row r="605" customHeight="1" spans="1:5">
      <c r="A605" s="1" t="s">
        <v>240</v>
      </c>
      <c r="B605" s="54" t="s">
        <v>400</v>
      </c>
      <c r="C605" s="18" t="s">
        <v>401</v>
      </c>
      <c r="D605" s="1" t="s">
        <v>224</v>
      </c>
      <c r="E605" s="18">
        <v>3</v>
      </c>
    </row>
    <row r="606" customHeight="1" spans="1:5">
      <c r="A606" s="1" t="s">
        <v>240</v>
      </c>
      <c r="B606" s="54" t="s">
        <v>400</v>
      </c>
      <c r="C606" s="18" t="s">
        <v>401</v>
      </c>
      <c r="D606" s="1" t="s">
        <v>224</v>
      </c>
      <c r="E606" s="18">
        <v>4</v>
      </c>
    </row>
    <row r="607" customHeight="1" spans="1:5">
      <c r="A607" s="1" t="s">
        <v>240</v>
      </c>
      <c r="B607" s="54" t="s">
        <v>400</v>
      </c>
      <c r="C607" s="18" t="s">
        <v>401</v>
      </c>
      <c r="D607" s="1" t="s">
        <v>224</v>
      </c>
      <c r="E607" s="18">
        <v>5</v>
      </c>
    </row>
    <row r="608" customHeight="1" spans="1:5">
      <c r="A608" s="1" t="s">
        <v>293</v>
      </c>
      <c r="B608" s="54" t="s">
        <v>400</v>
      </c>
      <c r="C608" s="5" t="s">
        <v>402</v>
      </c>
      <c r="D608" s="1" t="s">
        <v>227</v>
      </c>
      <c r="E608" s="5">
        <v>1</v>
      </c>
    </row>
    <row r="609" customHeight="1" spans="1:5">
      <c r="A609" s="1" t="s">
        <v>293</v>
      </c>
      <c r="B609" s="54" t="s">
        <v>400</v>
      </c>
      <c r="C609" s="5" t="s">
        <v>402</v>
      </c>
      <c r="D609" s="1" t="s">
        <v>227</v>
      </c>
      <c r="E609" s="5">
        <v>2</v>
      </c>
    </row>
    <row r="610" customHeight="1" spans="1:5">
      <c r="A610" s="1" t="s">
        <v>293</v>
      </c>
      <c r="B610" s="54" t="s">
        <v>400</v>
      </c>
      <c r="C610" s="5" t="s">
        <v>402</v>
      </c>
      <c r="D610" s="1" t="s">
        <v>227</v>
      </c>
      <c r="E610" s="5">
        <v>3</v>
      </c>
    </row>
    <row r="611" customHeight="1" spans="1:5">
      <c r="A611" s="1" t="s">
        <v>293</v>
      </c>
      <c r="B611" s="54" t="s">
        <v>400</v>
      </c>
      <c r="C611" s="5" t="s">
        <v>402</v>
      </c>
      <c r="D611" s="1" t="s">
        <v>227</v>
      </c>
      <c r="E611" s="5">
        <v>4</v>
      </c>
    </row>
    <row r="612" customHeight="1" spans="1:5">
      <c r="A612" s="1" t="s">
        <v>293</v>
      </c>
      <c r="B612" s="54" t="s">
        <v>400</v>
      </c>
      <c r="C612" s="5" t="s">
        <v>402</v>
      </c>
      <c r="D612" s="1" t="s">
        <v>227</v>
      </c>
      <c r="E612" s="5">
        <v>5</v>
      </c>
    </row>
    <row r="613" customHeight="1" spans="1:5">
      <c r="A613" s="1" t="s">
        <v>293</v>
      </c>
      <c r="B613" s="54" t="s">
        <v>400</v>
      </c>
      <c r="C613" s="5" t="s">
        <v>402</v>
      </c>
      <c r="D613" s="1" t="s">
        <v>227</v>
      </c>
      <c r="E613" s="5">
        <v>6</v>
      </c>
    </row>
    <row r="614" customHeight="1" spans="1:5">
      <c r="A614" s="1" t="s">
        <v>293</v>
      </c>
      <c r="B614" s="54" t="s">
        <v>400</v>
      </c>
      <c r="C614" s="5" t="s">
        <v>402</v>
      </c>
      <c r="D614" s="1" t="s">
        <v>227</v>
      </c>
      <c r="E614" s="5">
        <v>7</v>
      </c>
    </row>
    <row r="615" customHeight="1" spans="1:5">
      <c r="A615" s="1" t="s">
        <v>293</v>
      </c>
      <c r="B615" s="54" t="s">
        <v>400</v>
      </c>
      <c r="C615" s="5" t="s">
        <v>402</v>
      </c>
      <c r="D615" s="1" t="s">
        <v>227</v>
      </c>
      <c r="E615" s="5">
        <v>8</v>
      </c>
    </row>
    <row r="616" customHeight="1" spans="1:5">
      <c r="A616" s="1" t="s">
        <v>293</v>
      </c>
      <c r="B616" s="54" t="s">
        <v>400</v>
      </c>
      <c r="C616" s="18" t="s">
        <v>402</v>
      </c>
      <c r="D616" s="1" t="s">
        <v>227</v>
      </c>
      <c r="E616" s="18">
        <v>1</v>
      </c>
    </row>
    <row r="617" customHeight="1" spans="1:5">
      <c r="A617" s="1" t="s">
        <v>293</v>
      </c>
      <c r="B617" s="54" t="s">
        <v>400</v>
      </c>
      <c r="C617" s="18" t="s">
        <v>402</v>
      </c>
      <c r="D617" s="1" t="s">
        <v>227</v>
      </c>
      <c r="E617" s="18">
        <v>2</v>
      </c>
    </row>
    <row r="618" customHeight="1" spans="1:5">
      <c r="A618" s="1" t="s">
        <v>293</v>
      </c>
      <c r="B618" s="54" t="s">
        <v>400</v>
      </c>
      <c r="C618" s="18" t="s">
        <v>402</v>
      </c>
      <c r="D618" s="1" t="s">
        <v>227</v>
      </c>
      <c r="E618" s="18">
        <v>3</v>
      </c>
    </row>
    <row r="619" customHeight="1" spans="1:5">
      <c r="A619" s="1" t="s">
        <v>293</v>
      </c>
      <c r="B619" s="54" t="s">
        <v>400</v>
      </c>
      <c r="C619" s="18" t="s">
        <v>402</v>
      </c>
      <c r="D619" s="1" t="s">
        <v>227</v>
      </c>
      <c r="E619" s="18">
        <v>4</v>
      </c>
    </row>
    <row r="620" customHeight="1" spans="1:5">
      <c r="A620" s="1" t="s">
        <v>293</v>
      </c>
      <c r="B620" s="54" t="s">
        <v>400</v>
      </c>
      <c r="C620" s="18" t="s">
        <v>402</v>
      </c>
      <c r="D620" s="1" t="s">
        <v>227</v>
      </c>
      <c r="E620" s="18">
        <v>5</v>
      </c>
    </row>
    <row r="621" customHeight="1" spans="1:5">
      <c r="A621" s="1" t="s">
        <v>293</v>
      </c>
      <c r="B621" s="54" t="s">
        <v>400</v>
      </c>
      <c r="C621" s="18" t="s">
        <v>402</v>
      </c>
      <c r="D621" s="1" t="s">
        <v>227</v>
      </c>
      <c r="E621" s="18">
        <v>6</v>
      </c>
    </row>
    <row r="622" customHeight="1" spans="1:5">
      <c r="A622" s="1" t="s">
        <v>293</v>
      </c>
      <c r="B622" s="54" t="s">
        <v>400</v>
      </c>
      <c r="C622" s="18" t="s">
        <v>402</v>
      </c>
      <c r="D622" s="1" t="s">
        <v>227</v>
      </c>
      <c r="E622" s="18">
        <v>7</v>
      </c>
    </row>
    <row r="623" customHeight="1" spans="1:5">
      <c r="A623" s="1" t="s">
        <v>293</v>
      </c>
      <c r="B623" s="54" t="s">
        <v>400</v>
      </c>
      <c r="C623" s="18" t="s">
        <v>402</v>
      </c>
      <c r="D623" s="1" t="s">
        <v>227</v>
      </c>
      <c r="E623" s="18">
        <v>8</v>
      </c>
    </row>
    <row r="624" customHeight="1" spans="1:5">
      <c r="A624" s="1" t="s">
        <v>262</v>
      </c>
      <c r="B624" s="54" t="s">
        <v>403</v>
      </c>
      <c r="C624" s="5" t="s">
        <v>404</v>
      </c>
      <c r="D624" s="1" t="s">
        <v>224</v>
      </c>
      <c r="E624" s="5">
        <v>1</v>
      </c>
    </row>
    <row r="625" customHeight="1" spans="1:5">
      <c r="A625" s="1" t="s">
        <v>262</v>
      </c>
      <c r="B625" s="54" t="s">
        <v>403</v>
      </c>
      <c r="C625" s="5" t="s">
        <v>404</v>
      </c>
      <c r="D625" s="1" t="s">
        <v>224</v>
      </c>
      <c r="E625" s="5">
        <v>2</v>
      </c>
    </row>
    <row r="626" customHeight="1" spans="1:5">
      <c r="A626" s="1" t="s">
        <v>262</v>
      </c>
      <c r="B626" s="54" t="s">
        <v>403</v>
      </c>
      <c r="C626" s="5" t="s">
        <v>404</v>
      </c>
      <c r="D626" s="1" t="s">
        <v>224</v>
      </c>
      <c r="E626" s="5">
        <v>3</v>
      </c>
    </row>
    <row r="627" customHeight="1" spans="1:5">
      <c r="A627" s="1" t="s">
        <v>262</v>
      </c>
      <c r="B627" s="54" t="s">
        <v>403</v>
      </c>
      <c r="C627" s="5" t="s">
        <v>404</v>
      </c>
      <c r="D627" s="1" t="s">
        <v>224</v>
      </c>
      <c r="E627" s="5">
        <v>4</v>
      </c>
    </row>
    <row r="628" customHeight="1" spans="1:5">
      <c r="A628" s="1" t="s">
        <v>262</v>
      </c>
      <c r="B628" s="54" t="s">
        <v>403</v>
      </c>
      <c r="C628" s="5" t="s">
        <v>404</v>
      </c>
      <c r="D628" s="1" t="s">
        <v>224</v>
      </c>
      <c r="E628" s="5">
        <v>5</v>
      </c>
    </row>
    <row r="629" customHeight="1" spans="1:5">
      <c r="A629" s="1" t="s">
        <v>262</v>
      </c>
      <c r="B629" s="54" t="s">
        <v>403</v>
      </c>
      <c r="C629" s="18" t="s">
        <v>405</v>
      </c>
      <c r="D629" s="1" t="s">
        <v>225</v>
      </c>
      <c r="E629" s="18">
        <v>1</v>
      </c>
    </row>
    <row r="630" customHeight="1" spans="1:5">
      <c r="A630" s="1" t="s">
        <v>262</v>
      </c>
      <c r="B630" s="54" t="s">
        <v>403</v>
      </c>
      <c r="C630" s="18" t="s">
        <v>405</v>
      </c>
      <c r="D630" s="1" t="s">
        <v>225</v>
      </c>
      <c r="E630" s="18">
        <v>2</v>
      </c>
    </row>
    <row r="631" customHeight="1" spans="1:5">
      <c r="A631" s="1" t="s">
        <v>262</v>
      </c>
      <c r="B631" s="54" t="s">
        <v>403</v>
      </c>
      <c r="C631" s="18" t="s">
        <v>405</v>
      </c>
      <c r="D631" s="1" t="s">
        <v>225</v>
      </c>
      <c r="E631" s="18">
        <v>3</v>
      </c>
    </row>
    <row r="632" customHeight="1" spans="1:5">
      <c r="A632" s="1" t="s">
        <v>262</v>
      </c>
      <c r="B632" s="54" t="s">
        <v>403</v>
      </c>
      <c r="C632" s="18" t="s">
        <v>405</v>
      </c>
      <c r="D632" s="1" t="s">
        <v>225</v>
      </c>
      <c r="E632" s="18">
        <v>4</v>
      </c>
    </row>
    <row r="633" customHeight="1" spans="1:5">
      <c r="A633" s="1" t="s">
        <v>262</v>
      </c>
      <c r="B633" s="54" t="s">
        <v>403</v>
      </c>
      <c r="C633" s="18" t="s">
        <v>405</v>
      </c>
      <c r="D633" s="1" t="s">
        <v>225</v>
      </c>
      <c r="E633" s="18">
        <v>5</v>
      </c>
    </row>
    <row r="634" customHeight="1" spans="1:5">
      <c r="A634" s="1" t="s">
        <v>262</v>
      </c>
      <c r="B634" s="54" t="s">
        <v>403</v>
      </c>
      <c r="C634" s="5" t="s">
        <v>406</v>
      </c>
      <c r="D634" s="1" t="s">
        <v>226</v>
      </c>
      <c r="E634" s="5">
        <v>1</v>
      </c>
    </row>
    <row r="635" customHeight="1" spans="1:5">
      <c r="A635" s="1" t="s">
        <v>262</v>
      </c>
      <c r="B635" s="54" t="s">
        <v>403</v>
      </c>
      <c r="C635" s="5" t="s">
        <v>406</v>
      </c>
      <c r="D635" s="1" t="s">
        <v>226</v>
      </c>
      <c r="E635" s="5">
        <v>2</v>
      </c>
    </row>
    <row r="636" customHeight="1" spans="1:5">
      <c r="A636" s="1" t="s">
        <v>262</v>
      </c>
      <c r="B636" s="54" t="s">
        <v>403</v>
      </c>
      <c r="C636" s="5" t="s">
        <v>406</v>
      </c>
      <c r="D636" s="1" t="s">
        <v>226</v>
      </c>
      <c r="E636" s="5">
        <v>3</v>
      </c>
    </row>
    <row r="637" customHeight="1" spans="1:5">
      <c r="A637" s="1" t="s">
        <v>262</v>
      </c>
      <c r="B637" s="54" t="s">
        <v>403</v>
      </c>
      <c r="C637" s="5" t="s">
        <v>406</v>
      </c>
      <c r="D637" s="1" t="s">
        <v>226</v>
      </c>
      <c r="E637" s="5">
        <v>4</v>
      </c>
    </row>
    <row r="638" customHeight="1" spans="1:5">
      <c r="A638" s="1" t="s">
        <v>262</v>
      </c>
      <c r="B638" s="54" t="s">
        <v>403</v>
      </c>
      <c r="C638" s="5" t="s">
        <v>406</v>
      </c>
      <c r="D638" s="1" t="s">
        <v>226</v>
      </c>
      <c r="E638" s="5">
        <v>5</v>
      </c>
    </row>
    <row r="639" customHeight="1" spans="1:5">
      <c r="A639" s="1" t="s">
        <v>262</v>
      </c>
      <c r="B639" s="54" t="s">
        <v>403</v>
      </c>
      <c r="C639" s="18" t="s">
        <v>406</v>
      </c>
      <c r="D639" s="1" t="s">
        <v>226</v>
      </c>
      <c r="E639" s="18">
        <v>1</v>
      </c>
    </row>
    <row r="640" customHeight="1" spans="1:5">
      <c r="A640" s="1" t="s">
        <v>262</v>
      </c>
      <c r="B640" s="54" t="s">
        <v>403</v>
      </c>
      <c r="C640" s="18" t="s">
        <v>406</v>
      </c>
      <c r="D640" s="1" t="s">
        <v>226</v>
      </c>
      <c r="E640" s="18">
        <v>2</v>
      </c>
    </row>
    <row r="641" customHeight="1" spans="1:5">
      <c r="A641" s="1" t="s">
        <v>262</v>
      </c>
      <c r="B641" s="54" t="s">
        <v>403</v>
      </c>
      <c r="C641" s="18" t="s">
        <v>406</v>
      </c>
      <c r="D641" s="1" t="s">
        <v>226</v>
      </c>
      <c r="E641" s="18">
        <v>3</v>
      </c>
    </row>
    <row r="642" customHeight="1" spans="1:5">
      <c r="A642" s="1" t="s">
        <v>262</v>
      </c>
      <c r="B642" s="54" t="s">
        <v>403</v>
      </c>
      <c r="C642" s="18" t="s">
        <v>406</v>
      </c>
      <c r="D642" s="1" t="s">
        <v>226</v>
      </c>
      <c r="E642" s="18">
        <v>4</v>
      </c>
    </row>
    <row r="643" customHeight="1" spans="1:5">
      <c r="A643" s="1" t="s">
        <v>262</v>
      </c>
      <c r="B643" s="54" t="s">
        <v>403</v>
      </c>
      <c r="C643" s="18" t="s">
        <v>406</v>
      </c>
      <c r="D643" s="1" t="s">
        <v>226</v>
      </c>
      <c r="E643" s="18">
        <v>5</v>
      </c>
    </row>
    <row r="644" customHeight="1" spans="1:5">
      <c r="A644" s="1" t="s">
        <v>293</v>
      </c>
      <c r="B644" s="54" t="s">
        <v>403</v>
      </c>
      <c r="C644" s="5" t="s">
        <v>407</v>
      </c>
      <c r="D644" s="1" t="s">
        <v>227</v>
      </c>
      <c r="E644" s="5">
        <v>1</v>
      </c>
    </row>
    <row r="645" customHeight="1" spans="1:5">
      <c r="A645" s="1" t="s">
        <v>293</v>
      </c>
      <c r="B645" s="54" t="s">
        <v>403</v>
      </c>
      <c r="C645" s="5" t="s">
        <v>407</v>
      </c>
      <c r="D645" s="1" t="s">
        <v>227</v>
      </c>
      <c r="E645" s="5">
        <v>2</v>
      </c>
    </row>
    <row r="646" customHeight="1" spans="1:5">
      <c r="A646" s="1" t="s">
        <v>293</v>
      </c>
      <c r="B646" s="54" t="s">
        <v>403</v>
      </c>
      <c r="C646" s="5" t="s">
        <v>407</v>
      </c>
      <c r="D646" s="1" t="s">
        <v>227</v>
      </c>
      <c r="E646" s="5">
        <v>3</v>
      </c>
    </row>
    <row r="647" customHeight="1" spans="1:5">
      <c r="A647" s="1" t="s">
        <v>293</v>
      </c>
      <c r="B647" s="54" t="s">
        <v>403</v>
      </c>
      <c r="C647" s="5" t="s">
        <v>407</v>
      </c>
      <c r="D647" s="1" t="s">
        <v>227</v>
      </c>
      <c r="E647" s="5">
        <v>4</v>
      </c>
    </row>
    <row r="648" customHeight="1" spans="1:5">
      <c r="A648" s="1" t="s">
        <v>293</v>
      </c>
      <c r="B648" s="54" t="s">
        <v>403</v>
      </c>
      <c r="C648" s="5" t="s">
        <v>407</v>
      </c>
      <c r="D648" s="1" t="s">
        <v>227</v>
      </c>
      <c r="E648" s="5">
        <v>5</v>
      </c>
    </row>
    <row r="649" customHeight="1" spans="1:5">
      <c r="A649" s="1" t="s">
        <v>293</v>
      </c>
      <c r="B649" s="54" t="s">
        <v>403</v>
      </c>
      <c r="C649" s="5" t="s">
        <v>407</v>
      </c>
      <c r="D649" s="1" t="s">
        <v>227</v>
      </c>
      <c r="E649" s="5">
        <v>6</v>
      </c>
    </row>
    <row r="650" customHeight="1" spans="1:5">
      <c r="A650" s="1" t="s">
        <v>293</v>
      </c>
      <c r="B650" s="54" t="s">
        <v>403</v>
      </c>
      <c r="C650" s="5" t="s">
        <v>407</v>
      </c>
      <c r="D650" s="1" t="s">
        <v>227</v>
      </c>
      <c r="E650" s="5">
        <v>7</v>
      </c>
    </row>
    <row r="651" customHeight="1" spans="1:5">
      <c r="A651" s="1" t="s">
        <v>293</v>
      </c>
      <c r="B651" s="54" t="s">
        <v>403</v>
      </c>
      <c r="C651" s="5" t="s">
        <v>407</v>
      </c>
      <c r="D651" s="1" t="s">
        <v>227</v>
      </c>
      <c r="E651" s="5">
        <v>8</v>
      </c>
    </row>
    <row r="652" customHeight="1" spans="1:5">
      <c r="A652" s="1" t="s">
        <v>262</v>
      </c>
      <c r="B652" s="53" t="s">
        <v>408</v>
      </c>
      <c r="C652" s="18" t="s">
        <v>409</v>
      </c>
      <c r="D652" s="1" t="s">
        <v>224</v>
      </c>
      <c r="E652" s="18">
        <v>1</v>
      </c>
    </row>
    <row r="653" customHeight="1" spans="1:5">
      <c r="A653" s="1" t="s">
        <v>262</v>
      </c>
      <c r="B653" s="53" t="s">
        <v>408</v>
      </c>
      <c r="C653" s="18" t="s">
        <v>409</v>
      </c>
      <c r="D653" s="1" t="s">
        <v>224</v>
      </c>
      <c r="E653" s="18">
        <v>2</v>
      </c>
    </row>
    <row r="654" customHeight="1" spans="1:5">
      <c r="A654" s="1" t="s">
        <v>262</v>
      </c>
      <c r="B654" s="53" t="s">
        <v>408</v>
      </c>
      <c r="C654" s="18" t="s">
        <v>409</v>
      </c>
      <c r="D654" s="1" t="s">
        <v>224</v>
      </c>
      <c r="E654" s="18">
        <v>3</v>
      </c>
    </row>
    <row r="655" customHeight="1" spans="1:5">
      <c r="A655" s="1" t="s">
        <v>262</v>
      </c>
      <c r="B655" s="53" t="s">
        <v>408</v>
      </c>
      <c r="C655" s="18" t="s">
        <v>409</v>
      </c>
      <c r="D655" s="1" t="s">
        <v>224</v>
      </c>
      <c r="E655" s="18">
        <v>4</v>
      </c>
    </row>
    <row r="656" customHeight="1" spans="1:5">
      <c r="A656" s="1" t="s">
        <v>262</v>
      </c>
      <c r="B656" s="53" t="s">
        <v>408</v>
      </c>
      <c r="C656" s="18" t="s">
        <v>409</v>
      </c>
      <c r="D656" s="1" t="s">
        <v>224</v>
      </c>
      <c r="E656" s="18">
        <v>5</v>
      </c>
    </row>
    <row r="657" customHeight="1" spans="1:5">
      <c r="A657" s="1" t="s">
        <v>262</v>
      </c>
      <c r="B657" s="53" t="s">
        <v>408</v>
      </c>
      <c r="C657" s="5" t="s">
        <v>410</v>
      </c>
      <c r="D657" s="1" t="s">
        <v>225</v>
      </c>
      <c r="E657" s="5">
        <v>1</v>
      </c>
    </row>
    <row r="658" customHeight="1" spans="1:5">
      <c r="A658" s="1" t="s">
        <v>262</v>
      </c>
      <c r="B658" s="53" t="s">
        <v>408</v>
      </c>
      <c r="C658" s="5" t="s">
        <v>410</v>
      </c>
      <c r="D658" s="1" t="s">
        <v>225</v>
      </c>
      <c r="E658" s="5">
        <v>2</v>
      </c>
    </row>
    <row r="659" customHeight="1" spans="1:5">
      <c r="A659" s="1" t="s">
        <v>262</v>
      </c>
      <c r="B659" s="53" t="s">
        <v>408</v>
      </c>
      <c r="C659" s="5" t="s">
        <v>410</v>
      </c>
      <c r="D659" s="1" t="s">
        <v>225</v>
      </c>
      <c r="E659" s="5">
        <v>3</v>
      </c>
    </row>
    <row r="660" customHeight="1" spans="1:5">
      <c r="A660" s="1" t="s">
        <v>262</v>
      </c>
      <c r="B660" s="53" t="s">
        <v>408</v>
      </c>
      <c r="C660" s="5" t="s">
        <v>410</v>
      </c>
      <c r="D660" s="1" t="s">
        <v>225</v>
      </c>
      <c r="E660" s="5">
        <v>4</v>
      </c>
    </row>
    <row r="661" customHeight="1" spans="1:5">
      <c r="A661" s="1" t="s">
        <v>262</v>
      </c>
      <c r="B661" s="53" t="s">
        <v>408</v>
      </c>
      <c r="C661" s="5" t="s">
        <v>410</v>
      </c>
      <c r="D661" s="1" t="s">
        <v>225</v>
      </c>
      <c r="E661" s="5">
        <v>5</v>
      </c>
    </row>
    <row r="662" customHeight="1" spans="1:5">
      <c r="A662" s="1" t="s">
        <v>262</v>
      </c>
      <c r="B662" s="53" t="s">
        <v>408</v>
      </c>
      <c r="C662" s="18" t="s">
        <v>411</v>
      </c>
      <c r="D662" s="1" t="s">
        <v>226</v>
      </c>
      <c r="E662" s="18">
        <v>1</v>
      </c>
    </row>
    <row r="663" customHeight="1" spans="1:5">
      <c r="A663" s="1" t="s">
        <v>262</v>
      </c>
      <c r="B663" s="53" t="s">
        <v>408</v>
      </c>
      <c r="C663" s="18" t="s">
        <v>411</v>
      </c>
      <c r="D663" s="1" t="s">
        <v>226</v>
      </c>
      <c r="E663" s="18">
        <v>2</v>
      </c>
    </row>
    <row r="664" customHeight="1" spans="1:5">
      <c r="A664" s="1" t="s">
        <v>262</v>
      </c>
      <c r="B664" s="53" t="s">
        <v>408</v>
      </c>
      <c r="C664" s="18" t="s">
        <v>411</v>
      </c>
      <c r="D664" s="1" t="s">
        <v>226</v>
      </c>
      <c r="E664" s="18">
        <v>3</v>
      </c>
    </row>
    <row r="665" customHeight="1" spans="1:5">
      <c r="A665" s="1" t="s">
        <v>262</v>
      </c>
      <c r="B665" s="53" t="s">
        <v>408</v>
      </c>
      <c r="C665" s="18" t="s">
        <v>411</v>
      </c>
      <c r="D665" s="1" t="s">
        <v>226</v>
      </c>
      <c r="E665" s="18">
        <v>4</v>
      </c>
    </row>
    <row r="666" customHeight="1" spans="1:5">
      <c r="A666" s="1" t="s">
        <v>262</v>
      </c>
      <c r="B666" s="53" t="s">
        <v>408</v>
      </c>
      <c r="C666" s="18" t="s">
        <v>411</v>
      </c>
      <c r="D666" s="1" t="s">
        <v>226</v>
      </c>
      <c r="E666" s="18">
        <v>5</v>
      </c>
    </row>
    <row r="667" customHeight="1" spans="1:5">
      <c r="A667" s="1" t="s">
        <v>262</v>
      </c>
      <c r="B667" s="53" t="s">
        <v>408</v>
      </c>
      <c r="C667" s="5" t="s">
        <v>411</v>
      </c>
      <c r="D667" s="1" t="s">
        <v>226</v>
      </c>
      <c r="E667" s="5">
        <v>1</v>
      </c>
    </row>
    <row r="668" customHeight="1" spans="1:5">
      <c r="A668" s="1" t="s">
        <v>262</v>
      </c>
      <c r="B668" s="53" t="s">
        <v>408</v>
      </c>
      <c r="C668" s="5" t="s">
        <v>411</v>
      </c>
      <c r="D668" s="1" t="s">
        <v>226</v>
      </c>
      <c r="E668" s="5">
        <v>2</v>
      </c>
    </row>
    <row r="669" customHeight="1" spans="1:5">
      <c r="A669" s="1" t="s">
        <v>262</v>
      </c>
      <c r="B669" s="53" t="s">
        <v>408</v>
      </c>
      <c r="C669" s="5" t="s">
        <v>411</v>
      </c>
      <c r="D669" s="1" t="s">
        <v>226</v>
      </c>
      <c r="E669" s="5">
        <v>3</v>
      </c>
    </row>
    <row r="670" customHeight="1" spans="1:5">
      <c r="A670" s="1" t="s">
        <v>262</v>
      </c>
      <c r="B670" s="53" t="s">
        <v>408</v>
      </c>
      <c r="C670" s="5" t="s">
        <v>411</v>
      </c>
      <c r="D670" s="1" t="s">
        <v>226</v>
      </c>
      <c r="E670" s="5">
        <v>4</v>
      </c>
    </row>
    <row r="671" customHeight="1" spans="1:5">
      <c r="A671" s="1" t="s">
        <v>262</v>
      </c>
      <c r="B671" s="53" t="s">
        <v>408</v>
      </c>
      <c r="C671" s="5" t="s">
        <v>411</v>
      </c>
      <c r="D671" s="1" t="s">
        <v>226</v>
      </c>
      <c r="E671" s="5">
        <v>5</v>
      </c>
    </row>
    <row r="672" customHeight="1" spans="1:5">
      <c r="A672" s="1" t="s">
        <v>293</v>
      </c>
      <c r="B672" s="53" t="s">
        <v>408</v>
      </c>
      <c r="C672" s="18" t="s">
        <v>412</v>
      </c>
      <c r="D672" s="1" t="s">
        <v>227</v>
      </c>
      <c r="E672" s="18">
        <v>1</v>
      </c>
    </row>
    <row r="673" customHeight="1" spans="1:5">
      <c r="A673" s="1" t="s">
        <v>293</v>
      </c>
      <c r="B673" s="53" t="s">
        <v>408</v>
      </c>
      <c r="C673" s="18" t="s">
        <v>412</v>
      </c>
      <c r="D673" s="1" t="s">
        <v>227</v>
      </c>
      <c r="E673" s="18">
        <v>2</v>
      </c>
    </row>
    <row r="674" customHeight="1" spans="1:5">
      <c r="A674" s="1" t="s">
        <v>293</v>
      </c>
      <c r="B674" s="53" t="s">
        <v>408</v>
      </c>
      <c r="C674" s="18" t="s">
        <v>412</v>
      </c>
      <c r="D674" s="1" t="s">
        <v>227</v>
      </c>
      <c r="E674" s="18">
        <v>3</v>
      </c>
    </row>
    <row r="675" customHeight="1" spans="1:5">
      <c r="A675" s="1" t="s">
        <v>293</v>
      </c>
      <c r="B675" s="53" t="s">
        <v>408</v>
      </c>
      <c r="C675" s="18" t="s">
        <v>412</v>
      </c>
      <c r="D675" s="1" t="s">
        <v>227</v>
      </c>
      <c r="E675" s="18">
        <v>4</v>
      </c>
    </row>
    <row r="676" customHeight="1" spans="1:5">
      <c r="A676" s="1" t="s">
        <v>293</v>
      </c>
      <c r="B676" s="53" t="s">
        <v>408</v>
      </c>
      <c r="C676" s="18" t="s">
        <v>412</v>
      </c>
      <c r="D676" s="1" t="s">
        <v>227</v>
      </c>
      <c r="E676" s="18">
        <v>5</v>
      </c>
    </row>
    <row r="677" customHeight="1" spans="1:5">
      <c r="A677" s="1" t="s">
        <v>293</v>
      </c>
      <c r="B677" s="53" t="s">
        <v>408</v>
      </c>
      <c r="C677" s="18" t="s">
        <v>412</v>
      </c>
      <c r="D677" s="1" t="s">
        <v>227</v>
      </c>
      <c r="E677" s="18">
        <v>6</v>
      </c>
    </row>
    <row r="678" customHeight="1" spans="1:5">
      <c r="A678" s="1" t="s">
        <v>293</v>
      </c>
      <c r="B678" s="53" t="s">
        <v>408</v>
      </c>
      <c r="C678" s="18" t="s">
        <v>412</v>
      </c>
      <c r="D678" s="1" t="s">
        <v>227</v>
      </c>
      <c r="E678" s="18">
        <v>7</v>
      </c>
    </row>
    <row r="679" customHeight="1" spans="1:5">
      <c r="A679" s="1" t="s">
        <v>293</v>
      </c>
      <c r="B679" s="53" t="s">
        <v>408</v>
      </c>
      <c r="C679" s="18" t="s">
        <v>412</v>
      </c>
      <c r="D679" s="1" t="s">
        <v>227</v>
      </c>
      <c r="E679" s="18">
        <v>8</v>
      </c>
    </row>
    <row r="680" customHeight="1" spans="1:5">
      <c r="A680" s="1" t="s">
        <v>262</v>
      </c>
      <c r="B680" s="54" t="s">
        <v>413</v>
      </c>
      <c r="C680" s="5" t="s">
        <v>414</v>
      </c>
      <c r="D680" s="1" t="s">
        <v>224</v>
      </c>
      <c r="E680" s="5">
        <v>1</v>
      </c>
    </row>
    <row r="681" customHeight="1" spans="1:5">
      <c r="A681" s="1" t="s">
        <v>262</v>
      </c>
      <c r="B681" s="54" t="s">
        <v>413</v>
      </c>
      <c r="C681" s="5" t="s">
        <v>414</v>
      </c>
      <c r="D681" s="1" t="s">
        <v>224</v>
      </c>
      <c r="E681" s="5">
        <v>2</v>
      </c>
    </row>
    <row r="682" customHeight="1" spans="1:5">
      <c r="A682" s="1" t="s">
        <v>262</v>
      </c>
      <c r="B682" s="54" t="s">
        <v>413</v>
      </c>
      <c r="C682" s="5" t="s">
        <v>414</v>
      </c>
      <c r="D682" s="1" t="s">
        <v>224</v>
      </c>
      <c r="E682" s="5">
        <v>3</v>
      </c>
    </row>
    <row r="683" customHeight="1" spans="1:5">
      <c r="A683" s="1" t="s">
        <v>262</v>
      </c>
      <c r="B683" s="54" t="s">
        <v>413</v>
      </c>
      <c r="C683" s="5" t="s">
        <v>414</v>
      </c>
      <c r="D683" s="1" t="s">
        <v>224</v>
      </c>
      <c r="E683" s="5">
        <v>4</v>
      </c>
    </row>
    <row r="684" customHeight="1" spans="1:5">
      <c r="A684" s="1" t="s">
        <v>262</v>
      </c>
      <c r="B684" s="54" t="s">
        <v>413</v>
      </c>
      <c r="C684" s="5" t="s">
        <v>414</v>
      </c>
      <c r="D684" s="1" t="s">
        <v>224</v>
      </c>
      <c r="E684" s="5">
        <v>5</v>
      </c>
    </row>
    <row r="685" customHeight="1" spans="1:5">
      <c r="A685" s="1" t="s">
        <v>262</v>
      </c>
      <c r="B685" s="54" t="s">
        <v>413</v>
      </c>
      <c r="C685" s="18" t="s">
        <v>415</v>
      </c>
      <c r="D685" s="1" t="s">
        <v>225</v>
      </c>
      <c r="E685" s="18">
        <v>1</v>
      </c>
    </row>
    <row r="686" customHeight="1" spans="1:5">
      <c r="A686" s="1" t="s">
        <v>262</v>
      </c>
      <c r="B686" s="54" t="s">
        <v>413</v>
      </c>
      <c r="C686" s="18" t="s">
        <v>415</v>
      </c>
      <c r="D686" s="1" t="s">
        <v>225</v>
      </c>
      <c r="E686" s="18">
        <v>2</v>
      </c>
    </row>
    <row r="687" customHeight="1" spans="1:5">
      <c r="A687" s="1" t="s">
        <v>262</v>
      </c>
      <c r="B687" s="54" t="s">
        <v>413</v>
      </c>
      <c r="C687" s="18" t="s">
        <v>415</v>
      </c>
      <c r="D687" s="1" t="s">
        <v>225</v>
      </c>
      <c r="E687" s="18">
        <v>3</v>
      </c>
    </row>
    <row r="688" customHeight="1" spans="1:5">
      <c r="A688" s="1" t="s">
        <v>262</v>
      </c>
      <c r="B688" s="54" t="s">
        <v>413</v>
      </c>
      <c r="C688" s="18" t="s">
        <v>415</v>
      </c>
      <c r="D688" s="1" t="s">
        <v>225</v>
      </c>
      <c r="E688" s="18">
        <v>4</v>
      </c>
    </row>
    <row r="689" customHeight="1" spans="1:5">
      <c r="A689" s="1" t="s">
        <v>262</v>
      </c>
      <c r="B689" s="54" t="s">
        <v>413</v>
      </c>
      <c r="C689" s="18" t="s">
        <v>415</v>
      </c>
      <c r="D689" s="1" t="s">
        <v>225</v>
      </c>
      <c r="E689" s="18">
        <v>5</v>
      </c>
    </row>
    <row r="690" customHeight="1" spans="1:5">
      <c r="A690" s="1" t="s">
        <v>262</v>
      </c>
      <c r="B690" s="54" t="s">
        <v>413</v>
      </c>
      <c r="C690" s="5" t="s">
        <v>416</v>
      </c>
      <c r="D690" s="1" t="s">
        <v>226</v>
      </c>
      <c r="E690" s="5">
        <v>1</v>
      </c>
    </row>
    <row r="691" customHeight="1" spans="1:5">
      <c r="A691" s="1" t="s">
        <v>262</v>
      </c>
      <c r="B691" s="54" t="s">
        <v>413</v>
      </c>
      <c r="C691" s="5" t="s">
        <v>416</v>
      </c>
      <c r="D691" s="1" t="s">
        <v>226</v>
      </c>
      <c r="E691" s="5">
        <v>2</v>
      </c>
    </row>
    <row r="692" customHeight="1" spans="1:5">
      <c r="A692" s="1" t="s">
        <v>262</v>
      </c>
      <c r="B692" s="54" t="s">
        <v>413</v>
      </c>
      <c r="C692" s="5" t="s">
        <v>416</v>
      </c>
      <c r="D692" s="1" t="s">
        <v>226</v>
      </c>
      <c r="E692" s="5">
        <v>3</v>
      </c>
    </row>
    <row r="693" customHeight="1" spans="1:5">
      <c r="A693" s="1" t="s">
        <v>262</v>
      </c>
      <c r="B693" s="54" t="s">
        <v>413</v>
      </c>
      <c r="C693" s="5" t="s">
        <v>416</v>
      </c>
      <c r="D693" s="1" t="s">
        <v>226</v>
      </c>
      <c r="E693" s="5">
        <v>4</v>
      </c>
    </row>
    <row r="694" customHeight="1" spans="1:5">
      <c r="A694" s="1" t="s">
        <v>262</v>
      </c>
      <c r="B694" s="54" t="s">
        <v>413</v>
      </c>
      <c r="C694" s="5" t="s">
        <v>416</v>
      </c>
      <c r="D694" s="1" t="s">
        <v>226</v>
      </c>
      <c r="E694" s="5">
        <v>5</v>
      </c>
    </row>
    <row r="695" customHeight="1" spans="1:5">
      <c r="A695" s="1" t="s">
        <v>262</v>
      </c>
      <c r="B695" s="54" t="s">
        <v>413</v>
      </c>
      <c r="C695" s="18" t="s">
        <v>416</v>
      </c>
      <c r="D695" s="1" t="s">
        <v>226</v>
      </c>
      <c r="E695" s="18">
        <v>1</v>
      </c>
    </row>
    <row r="696" customHeight="1" spans="1:5">
      <c r="A696" s="1" t="s">
        <v>262</v>
      </c>
      <c r="B696" s="54" t="s">
        <v>413</v>
      </c>
      <c r="C696" s="18" t="s">
        <v>416</v>
      </c>
      <c r="D696" s="1" t="s">
        <v>226</v>
      </c>
      <c r="E696" s="18">
        <v>2</v>
      </c>
    </row>
    <row r="697" customHeight="1" spans="1:5">
      <c r="A697" s="1" t="s">
        <v>262</v>
      </c>
      <c r="B697" s="54" t="s">
        <v>413</v>
      </c>
      <c r="C697" s="18" t="s">
        <v>416</v>
      </c>
      <c r="D697" s="1" t="s">
        <v>226</v>
      </c>
      <c r="E697" s="18">
        <v>3</v>
      </c>
    </row>
    <row r="698" customHeight="1" spans="1:5">
      <c r="A698" s="1" t="s">
        <v>262</v>
      </c>
      <c r="B698" s="54" t="s">
        <v>413</v>
      </c>
      <c r="C698" s="18" t="s">
        <v>416</v>
      </c>
      <c r="D698" s="1" t="s">
        <v>226</v>
      </c>
      <c r="E698" s="18">
        <v>4</v>
      </c>
    </row>
    <row r="699" customHeight="1" spans="1:5">
      <c r="A699" s="1" t="s">
        <v>262</v>
      </c>
      <c r="B699" s="54" t="s">
        <v>413</v>
      </c>
      <c r="C699" s="18" t="s">
        <v>416</v>
      </c>
      <c r="D699" s="1" t="s">
        <v>226</v>
      </c>
      <c r="E699" s="18">
        <v>5</v>
      </c>
    </row>
    <row r="700" customHeight="1" spans="1:5">
      <c r="A700" s="1" t="s">
        <v>293</v>
      </c>
      <c r="B700" s="54" t="s">
        <v>413</v>
      </c>
      <c r="C700" s="5" t="s">
        <v>417</v>
      </c>
      <c r="D700" s="1" t="s">
        <v>227</v>
      </c>
      <c r="E700" s="5">
        <v>1</v>
      </c>
    </row>
    <row r="701" customHeight="1" spans="1:5">
      <c r="A701" s="1" t="s">
        <v>293</v>
      </c>
      <c r="B701" s="54" t="s">
        <v>413</v>
      </c>
      <c r="C701" s="5" t="s">
        <v>417</v>
      </c>
      <c r="D701" s="1" t="s">
        <v>227</v>
      </c>
      <c r="E701" s="5">
        <v>2</v>
      </c>
    </row>
    <row r="702" customHeight="1" spans="1:5">
      <c r="A702" s="1" t="s">
        <v>293</v>
      </c>
      <c r="B702" s="54" t="s">
        <v>413</v>
      </c>
      <c r="C702" s="5" t="s">
        <v>417</v>
      </c>
      <c r="D702" s="1" t="s">
        <v>227</v>
      </c>
      <c r="E702" s="5">
        <v>3</v>
      </c>
    </row>
    <row r="703" customHeight="1" spans="1:5">
      <c r="A703" s="1" t="s">
        <v>293</v>
      </c>
      <c r="B703" s="54" t="s">
        <v>413</v>
      </c>
      <c r="C703" s="5" t="s">
        <v>417</v>
      </c>
      <c r="D703" s="1" t="s">
        <v>227</v>
      </c>
      <c r="E703" s="5">
        <v>4</v>
      </c>
    </row>
    <row r="704" customHeight="1" spans="1:5">
      <c r="A704" s="1" t="s">
        <v>293</v>
      </c>
      <c r="B704" s="54" t="s">
        <v>413</v>
      </c>
      <c r="C704" s="5" t="s">
        <v>417</v>
      </c>
      <c r="D704" s="1" t="s">
        <v>227</v>
      </c>
      <c r="E704" s="5">
        <v>5</v>
      </c>
    </row>
    <row r="705" customHeight="1" spans="1:5">
      <c r="A705" s="1" t="s">
        <v>293</v>
      </c>
      <c r="B705" s="54" t="s">
        <v>413</v>
      </c>
      <c r="C705" s="5" t="s">
        <v>417</v>
      </c>
      <c r="D705" s="1" t="s">
        <v>227</v>
      </c>
      <c r="E705" s="5">
        <v>6</v>
      </c>
    </row>
    <row r="706" customHeight="1" spans="1:5">
      <c r="A706" s="1" t="s">
        <v>293</v>
      </c>
      <c r="B706" s="54" t="s">
        <v>413</v>
      </c>
      <c r="C706" s="5" t="s">
        <v>417</v>
      </c>
      <c r="D706" s="1" t="s">
        <v>227</v>
      </c>
      <c r="E706" s="5">
        <v>7</v>
      </c>
    </row>
    <row r="707" customHeight="1" spans="1:5">
      <c r="A707" s="1" t="s">
        <v>293</v>
      </c>
      <c r="B707" s="54" t="s">
        <v>413</v>
      </c>
      <c r="C707" s="5" t="s">
        <v>417</v>
      </c>
      <c r="D707" s="1" t="s">
        <v>227</v>
      </c>
      <c r="E707" s="5">
        <v>8</v>
      </c>
    </row>
    <row r="708" customHeight="1" spans="1:5">
      <c r="A708" s="1" t="s">
        <v>262</v>
      </c>
      <c r="B708" s="53" t="s">
        <v>418</v>
      </c>
      <c r="C708" s="18" t="s">
        <v>419</v>
      </c>
      <c r="D708" s="1" t="s">
        <v>224</v>
      </c>
      <c r="E708" s="18">
        <v>1</v>
      </c>
    </row>
    <row r="709" customHeight="1" spans="1:5">
      <c r="A709" s="1" t="s">
        <v>262</v>
      </c>
      <c r="B709" s="53" t="s">
        <v>418</v>
      </c>
      <c r="C709" s="18" t="s">
        <v>419</v>
      </c>
      <c r="D709" s="1" t="s">
        <v>224</v>
      </c>
      <c r="E709" s="18">
        <v>2</v>
      </c>
    </row>
    <row r="710" customHeight="1" spans="1:5">
      <c r="A710" s="1" t="s">
        <v>262</v>
      </c>
      <c r="B710" s="53" t="s">
        <v>418</v>
      </c>
      <c r="C710" s="18" t="s">
        <v>419</v>
      </c>
      <c r="D710" s="1" t="s">
        <v>224</v>
      </c>
      <c r="E710" s="18">
        <v>3</v>
      </c>
    </row>
    <row r="711" customHeight="1" spans="1:5">
      <c r="A711" s="1" t="s">
        <v>262</v>
      </c>
      <c r="B711" s="53" t="s">
        <v>418</v>
      </c>
      <c r="C711" s="18" t="s">
        <v>419</v>
      </c>
      <c r="D711" s="1" t="s">
        <v>224</v>
      </c>
      <c r="E711" s="18">
        <v>4</v>
      </c>
    </row>
    <row r="712" customHeight="1" spans="1:5">
      <c r="A712" s="1" t="s">
        <v>262</v>
      </c>
      <c r="B712" s="53" t="s">
        <v>418</v>
      </c>
      <c r="C712" s="18" t="s">
        <v>419</v>
      </c>
      <c r="D712" s="1" t="s">
        <v>224</v>
      </c>
      <c r="E712" s="18">
        <v>5</v>
      </c>
    </row>
    <row r="713" customHeight="1" spans="1:5">
      <c r="A713" s="1" t="s">
        <v>262</v>
      </c>
      <c r="B713" s="53" t="s">
        <v>418</v>
      </c>
      <c r="C713" s="5" t="s">
        <v>420</v>
      </c>
      <c r="D713" s="1" t="s">
        <v>225</v>
      </c>
      <c r="E713" s="5">
        <v>1</v>
      </c>
    </row>
    <row r="714" customHeight="1" spans="1:5">
      <c r="A714" s="1" t="s">
        <v>262</v>
      </c>
      <c r="B714" s="53" t="s">
        <v>418</v>
      </c>
      <c r="C714" s="5" t="s">
        <v>420</v>
      </c>
      <c r="D714" s="1" t="s">
        <v>225</v>
      </c>
      <c r="E714" s="5">
        <v>2</v>
      </c>
    </row>
    <row r="715" customHeight="1" spans="1:5">
      <c r="A715" s="1" t="s">
        <v>262</v>
      </c>
      <c r="B715" s="53" t="s">
        <v>418</v>
      </c>
      <c r="C715" s="5" t="s">
        <v>420</v>
      </c>
      <c r="D715" s="1" t="s">
        <v>225</v>
      </c>
      <c r="E715" s="5">
        <v>3</v>
      </c>
    </row>
    <row r="716" customHeight="1" spans="1:5">
      <c r="A716" s="1" t="s">
        <v>262</v>
      </c>
      <c r="B716" s="53" t="s">
        <v>418</v>
      </c>
      <c r="C716" s="5" t="s">
        <v>420</v>
      </c>
      <c r="D716" s="1" t="s">
        <v>225</v>
      </c>
      <c r="E716" s="5">
        <v>4</v>
      </c>
    </row>
    <row r="717" customHeight="1" spans="1:5">
      <c r="A717" s="1" t="s">
        <v>262</v>
      </c>
      <c r="B717" s="53" t="s">
        <v>418</v>
      </c>
      <c r="C717" s="5" t="s">
        <v>420</v>
      </c>
      <c r="D717" s="1" t="s">
        <v>225</v>
      </c>
      <c r="E717" s="5">
        <v>5</v>
      </c>
    </row>
    <row r="718" customHeight="1" spans="1:5">
      <c r="A718" s="1" t="s">
        <v>262</v>
      </c>
      <c r="B718" s="53" t="s">
        <v>418</v>
      </c>
      <c r="C718" s="18" t="s">
        <v>421</v>
      </c>
      <c r="D718" s="1" t="s">
        <v>226</v>
      </c>
      <c r="E718" s="18">
        <v>1</v>
      </c>
    </row>
    <row r="719" customHeight="1" spans="1:5">
      <c r="A719" s="1" t="s">
        <v>262</v>
      </c>
      <c r="B719" s="53" t="s">
        <v>418</v>
      </c>
      <c r="C719" s="18" t="s">
        <v>421</v>
      </c>
      <c r="D719" s="1" t="s">
        <v>226</v>
      </c>
      <c r="E719" s="18">
        <v>2</v>
      </c>
    </row>
    <row r="720" customHeight="1" spans="1:5">
      <c r="A720" s="1" t="s">
        <v>262</v>
      </c>
      <c r="B720" s="53" t="s">
        <v>418</v>
      </c>
      <c r="C720" s="18" t="s">
        <v>421</v>
      </c>
      <c r="D720" s="1" t="s">
        <v>226</v>
      </c>
      <c r="E720" s="18">
        <v>3</v>
      </c>
    </row>
    <row r="721" customHeight="1" spans="1:5">
      <c r="A721" s="1" t="s">
        <v>262</v>
      </c>
      <c r="B721" s="53" t="s">
        <v>418</v>
      </c>
      <c r="C721" s="18" t="s">
        <v>421</v>
      </c>
      <c r="D721" s="1" t="s">
        <v>226</v>
      </c>
      <c r="E721" s="18">
        <v>4</v>
      </c>
    </row>
    <row r="722" customHeight="1" spans="1:5">
      <c r="A722" s="1" t="s">
        <v>262</v>
      </c>
      <c r="B722" s="53" t="s">
        <v>418</v>
      </c>
      <c r="C722" s="18" t="s">
        <v>421</v>
      </c>
      <c r="D722" s="1" t="s">
        <v>226</v>
      </c>
      <c r="E722" s="18">
        <v>5</v>
      </c>
    </row>
    <row r="723" customHeight="1" spans="1:5">
      <c r="A723" s="1" t="s">
        <v>262</v>
      </c>
      <c r="B723" s="53" t="s">
        <v>418</v>
      </c>
      <c r="C723" s="5" t="s">
        <v>421</v>
      </c>
      <c r="D723" s="1" t="s">
        <v>226</v>
      </c>
      <c r="E723" s="5">
        <v>1</v>
      </c>
    </row>
    <row r="724" customHeight="1" spans="1:5">
      <c r="A724" s="1" t="s">
        <v>262</v>
      </c>
      <c r="B724" s="53" t="s">
        <v>418</v>
      </c>
      <c r="C724" s="5" t="s">
        <v>421</v>
      </c>
      <c r="D724" s="1" t="s">
        <v>226</v>
      </c>
      <c r="E724" s="5">
        <v>2</v>
      </c>
    </row>
    <row r="725" customHeight="1" spans="1:5">
      <c r="A725" s="1" t="s">
        <v>262</v>
      </c>
      <c r="B725" s="53" t="s">
        <v>418</v>
      </c>
      <c r="C725" s="5" t="s">
        <v>421</v>
      </c>
      <c r="D725" s="1" t="s">
        <v>226</v>
      </c>
      <c r="E725" s="5">
        <v>3</v>
      </c>
    </row>
    <row r="726" customHeight="1" spans="1:5">
      <c r="A726" s="1" t="s">
        <v>262</v>
      </c>
      <c r="B726" s="53" t="s">
        <v>418</v>
      </c>
      <c r="C726" s="5" t="s">
        <v>421</v>
      </c>
      <c r="D726" s="1" t="s">
        <v>226</v>
      </c>
      <c r="E726" s="5">
        <v>4</v>
      </c>
    </row>
    <row r="727" customHeight="1" spans="1:5">
      <c r="A727" s="1" t="s">
        <v>262</v>
      </c>
      <c r="B727" s="53" t="s">
        <v>418</v>
      </c>
      <c r="C727" s="5" t="s">
        <v>421</v>
      </c>
      <c r="D727" s="1" t="s">
        <v>226</v>
      </c>
      <c r="E727" s="5">
        <v>5</v>
      </c>
    </row>
    <row r="728" customHeight="1" spans="1:5">
      <c r="A728" s="1" t="s">
        <v>293</v>
      </c>
      <c r="B728" s="53" t="s">
        <v>418</v>
      </c>
      <c r="C728" s="18" t="s">
        <v>422</v>
      </c>
      <c r="D728" s="1" t="s">
        <v>227</v>
      </c>
      <c r="E728" s="18">
        <v>1</v>
      </c>
    </row>
    <row r="729" customHeight="1" spans="1:5">
      <c r="A729" s="1" t="s">
        <v>293</v>
      </c>
      <c r="B729" s="53" t="s">
        <v>418</v>
      </c>
      <c r="C729" s="18" t="s">
        <v>422</v>
      </c>
      <c r="D729" s="1" t="s">
        <v>227</v>
      </c>
      <c r="E729" s="18">
        <v>2</v>
      </c>
    </row>
    <row r="730" customHeight="1" spans="1:5">
      <c r="A730" s="1" t="s">
        <v>293</v>
      </c>
      <c r="B730" s="53" t="s">
        <v>418</v>
      </c>
      <c r="C730" s="18" t="s">
        <v>422</v>
      </c>
      <c r="D730" s="1" t="s">
        <v>227</v>
      </c>
      <c r="E730" s="18">
        <v>3</v>
      </c>
    </row>
    <row r="731" customHeight="1" spans="1:5">
      <c r="A731" s="1" t="s">
        <v>293</v>
      </c>
      <c r="B731" s="53" t="s">
        <v>418</v>
      </c>
      <c r="C731" s="18" t="s">
        <v>422</v>
      </c>
      <c r="D731" s="1" t="s">
        <v>227</v>
      </c>
      <c r="E731" s="18">
        <v>4</v>
      </c>
    </row>
    <row r="732" customHeight="1" spans="1:5">
      <c r="A732" s="1" t="s">
        <v>293</v>
      </c>
      <c r="B732" s="53" t="s">
        <v>418</v>
      </c>
      <c r="C732" s="18" t="s">
        <v>422</v>
      </c>
      <c r="D732" s="1" t="s">
        <v>227</v>
      </c>
      <c r="E732" s="18">
        <v>5</v>
      </c>
    </row>
    <row r="733" customHeight="1" spans="1:5">
      <c r="A733" s="1" t="s">
        <v>293</v>
      </c>
      <c r="B733" s="53" t="s">
        <v>418</v>
      </c>
      <c r="C733" s="18" t="s">
        <v>422</v>
      </c>
      <c r="D733" s="1" t="s">
        <v>227</v>
      </c>
      <c r="E733" s="18">
        <v>6</v>
      </c>
    </row>
    <row r="734" customHeight="1" spans="1:5">
      <c r="A734" s="1" t="s">
        <v>293</v>
      </c>
      <c r="B734" s="53" t="s">
        <v>418</v>
      </c>
      <c r="C734" s="18" t="s">
        <v>422</v>
      </c>
      <c r="D734" s="1" t="s">
        <v>227</v>
      </c>
      <c r="E734" s="18">
        <v>7</v>
      </c>
    </row>
    <row r="735" customHeight="1" spans="1:5">
      <c r="A735" s="1" t="s">
        <v>293</v>
      </c>
      <c r="B735" s="53" t="s">
        <v>418</v>
      </c>
      <c r="C735" s="18" t="s">
        <v>422</v>
      </c>
      <c r="D735" s="1" t="s">
        <v>227</v>
      </c>
      <c r="E735" s="18">
        <v>8</v>
      </c>
    </row>
    <row r="736" customHeight="1" spans="1:5">
      <c r="A736" s="1" t="s">
        <v>262</v>
      </c>
      <c r="B736" s="54" t="s">
        <v>423</v>
      </c>
      <c r="C736" s="5" t="s">
        <v>424</v>
      </c>
      <c r="D736" s="1" t="s">
        <v>224</v>
      </c>
      <c r="E736" s="5">
        <v>1</v>
      </c>
    </row>
    <row r="737" customHeight="1" spans="1:5">
      <c r="A737" s="1" t="s">
        <v>262</v>
      </c>
      <c r="B737" s="54" t="s">
        <v>423</v>
      </c>
      <c r="C737" s="5" t="s">
        <v>424</v>
      </c>
      <c r="D737" s="1" t="s">
        <v>224</v>
      </c>
      <c r="E737" s="5">
        <v>2</v>
      </c>
    </row>
    <row r="738" customHeight="1" spans="1:5">
      <c r="A738" s="1" t="s">
        <v>262</v>
      </c>
      <c r="B738" s="54" t="s">
        <v>423</v>
      </c>
      <c r="C738" s="5" t="s">
        <v>424</v>
      </c>
      <c r="D738" s="1" t="s">
        <v>224</v>
      </c>
      <c r="E738" s="5">
        <v>3</v>
      </c>
    </row>
    <row r="739" customHeight="1" spans="1:5">
      <c r="A739" s="1" t="s">
        <v>262</v>
      </c>
      <c r="B739" s="54" t="s">
        <v>423</v>
      </c>
      <c r="C739" s="5" t="s">
        <v>424</v>
      </c>
      <c r="D739" s="1" t="s">
        <v>224</v>
      </c>
      <c r="E739" s="5">
        <v>4</v>
      </c>
    </row>
    <row r="740" customHeight="1" spans="1:5">
      <c r="A740" s="1" t="s">
        <v>262</v>
      </c>
      <c r="B740" s="54" t="s">
        <v>423</v>
      </c>
      <c r="C740" s="5" t="s">
        <v>424</v>
      </c>
      <c r="D740" s="1" t="s">
        <v>224</v>
      </c>
      <c r="E740" s="5">
        <v>5</v>
      </c>
    </row>
    <row r="741" customHeight="1" spans="1:5">
      <c r="A741" s="1" t="s">
        <v>262</v>
      </c>
      <c r="B741" s="54" t="s">
        <v>423</v>
      </c>
      <c r="C741" s="18" t="s">
        <v>425</v>
      </c>
      <c r="D741" s="1" t="s">
        <v>225</v>
      </c>
      <c r="E741" s="18">
        <v>1</v>
      </c>
    </row>
    <row r="742" customHeight="1" spans="1:5">
      <c r="A742" s="1" t="s">
        <v>262</v>
      </c>
      <c r="B742" s="54" t="s">
        <v>423</v>
      </c>
      <c r="C742" s="18" t="s">
        <v>425</v>
      </c>
      <c r="D742" s="1" t="s">
        <v>225</v>
      </c>
      <c r="E742" s="18">
        <v>2</v>
      </c>
    </row>
    <row r="743" customHeight="1" spans="1:5">
      <c r="A743" s="1" t="s">
        <v>262</v>
      </c>
      <c r="B743" s="54" t="s">
        <v>423</v>
      </c>
      <c r="C743" s="18" t="s">
        <v>425</v>
      </c>
      <c r="D743" s="1" t="s">
        <v>225</v>
      </c>
      <c r="E743" s="18">
        <v>3</v>
      </c>
    </row>
    <row r="744" customHeight="1" spans="1:5">
      <c r="A744" s="1" t="s">
        <v>262</v>
      </c>
      <c r="B744" s="54" t="s">
        <v>423</v>
      </c>
      <c r="C744" s="18" t="s">
        <v>425</v>
      </c>
      <c r="D744" s="1" t="s">
        <v>225</v>
      </c>
      <c r="E744" s="18">
        <v>4</v>
      </c>
    </row>
    <row r="745" customHeight="1" spans="1:5">
      <c r="A745" s="1" t="s">
        <v>262</v>
      </c>
      <c r="B745" s="54" t="s">
        <v>423</v>
      </c>
      <c r="C745" s="18" t="s">
        <v>425</v>
      </c>
      <c r="D745" s="1" t="s">
        <v>225</v>
      </c>
      <c r="E745" s="18">
        <v>5</v>
      </c>
    </row>
    <row r="746" customHeight="1" spans="1:5">
      <c r="A746" s="1" t="s">
        <v>262</v>
      </c>
      <c r="B746" s="54" t="s">
        <v>423</v>
      </c>
      <c r="C746" s="5" t="s">
        <v>426</v>
      </c>
      <c r="D746" s="1" t="s">
        <v>226</v>
      </c>
      <c r="E746" s="5">
        <v>1</v>
      </c>
    </row>
    <row r="747" customHeight="1" spans="1:5">
      <c r="A747" s="1" t="s">
        <v>262</v>
      </c>
      <c r="B747" s="54" t="s">
        <v>423</v>
      </c>
      <c r="C747" s="5" t="s">
        <v>426</v>
      </c>
      <c r="D747" s="1" t="s">
        <v>226</v>
      </c>
      <c r="E747" s="5">
        <v>2</v>
      </c>
    </row>
    <row r="748" customHeight="1" spans="1:5">
      <c r="A748" s="1" t="s">
        <v>262</v>
      </c>
      <c r="B748" s="54" t="s">
        <v>423</v>
      </c>
      <c r="C748" s="5" t="s">
        <v>426</v>
      </c>
      <c r="D748" s="1" t="s">
        <v>226</v>
      </c>
      <c r="E748" s="5">
        <v>3</v>
      </c>
    </row>
    <row r="749" customHeight="1" spans="1:5">
      <c r="A749" s="1" t="s">
        <v>262</v>
      </c>
      <c r="B749" s="54" t="s">
        <v>423</v>
      </c>
      <c r="C749" s="5" t="s">
        <v>426</v>
      </c>
      <c r="D749" s="1" t="s">
        <v>226</v>
      </c>
      <c r="E749" s="5">
        <v>4</v>
      </c>
    </row>
    <row r="750" customHeight="1" spans="1:5">
      <c r="A750" s="1" t="s">
        <v>262</v>
      </c>
      <c r="B750" s="54" t="s">
        <v>423</v>
      </c>
      <c r="C750" s="5" t="s">
        <v>426</v>
      </c>
      <c r="D750" s="1" t="s">
        <v>226</v>
      </c>
      <c r="E750" s="5">
        <v>5</v>
      </c>
    </row>
    <row r="751" customHeight="1" spans="1:5">
      <c r="A751" s="1" t="s">
        <v>262</v>
      </c>
      <c r="B751" s="54" t="s">
        <v>423</v>
      </c>
      <c r="C751" s="18" t="s">
        <v>426</v>
      </c>
      <c r="D751" s="1" t="s">
        <v>226</v>
      </c>
      <c r="E751" s="18">
        <v>1</v>
      </c>
    </row>
    <row r="752" customHeight="1" spans="1:5">
      <c r="A752" s="1" t="s">
        <v>262</v>
      </c>
      <c r="B752" s="54" t="s">
        <v>423</v>
      </c>
      <c r="C752" s="18" t="s">
        <v>426</v>
      </c>
      <c r="D752" s="1" t="s">
        <v>226</v>
      </c>
      <c r="E752" s="18">
        <v>2</v>
      </c>
    </row>
    <row r="753" customHeight="1" spans="1:5">
      <c r="A753" s="1" t="s">
        <v>262</v>
      </c>
      <c r="B753" s="54" t="s">
        <v>423</v>
      </c>
      <c r="C753" s="18" t="s">
        <v>426</v>
      </c>
      <c r="D753" s="1" t="s">
        <v>226</v>
      </c>
      <c r="E753" s="18">
        <v>3</v>
      </c>
    </row>
    <row r="754" customHeight="1" spans="1:5">
      <c r="A754" s="1" t="s">
        <v>262</v>
      </c>
      <c r="B754" s="54" t="s">
        <v>423</v>
      </c>
      <c r="C754" s="18" t="s">
        <v>426</v>
      </c>
      <c r="D754" s="1" t="s">
        <v>226</v>
      </c>
      <c r="E754" s="18">
        <v>4</v>
      </c>
    </row>
    <row r="755" customHeight="1" spans="1:5">
      <c r="A755" s="1" t="s">
        <v>262</v>
      </c>
      <c r="B755" s="54" t="s">
        <v>423</v>
      </c>
      <c r="C755" s="18" t="s">
        <v>426</v>
      </c>
      <c r="D755" s="1" t="s">
        <v>226</v>
      </c>
      <c r="E755" s="18">
        <v>5</v>
      </c>
    </row>
    <row r="756" customHeight="1" spans="1:5">
      <c r="A756" s="1" t="s">
        <v>293</v>
      </c>
      <c r="B756" s="54" t="s">
        <v>423</v>
      </c>
      <c r="C756" s="5" t="s">
        <v>427</v>
      </c>
      <c r="D756" s="1" t="s">
        <v>227</v>
      </c>
      <c r="E756" s="5">
        <v>1</v>
      </c>
    </row>
    <row r="757" customHeight="1" spans="1:5">
      <c r="A757" s="1" t="s">
        <v>293</v>
      </c>
      <c r="B757" s="54" t="s">
        <v>423</v>
      </c>
      <c r="C757" s="5" t="s">
        <v>427</v>
      </c>
      <c r="D757" s="1" t="s">
        <v>227</v>
      </c>
      <c r="E757" s="5">
        <v>2</v>
      </c>
    </row>
    <row r="758" customHeight="1" spans="1:5">
      <c r="A758" s="1" t="s">
        <v>293</v>
      </c>
      <c r="B758" s="54" t="s">
        <v>423</v>
      </c>
      <c r="C758" s="5" t="s">
        <v>427</v>
      </c>
      <c r="D758" s="1" t="s">
        <v>227</v>
      </c>
      <c r="E758" s="5">
        <v>3</v>
      </c>
    </row>
    <row r="759" customHeight="1" spans="1:5">
      <c r="A759" s="1" t="s">
        <v>293</v>
      </c>
      <c r="B759" s="54" t="s">
        <v>423</v>
      </c>
      <c r="C759" s="5" t="s">
        <v>427</v>
      </c>
      <c r="D759" s="1" t="s">
        <v>227</v>
      </c>
      <c r="E759" s="5">
        <v>4</v>
      </c>
    </row>
    <row r="760" customHeight="1" spans="1:5">
      <c r="A760" s="1" t="s">
        <v>293</v>
      </c>
      <c r="B760" s="54" t="s">
        <v>423</v>
      </c>
      <c r="C760" s="5" t="s">
        <v>427</v>
      </c>
      <c r="D760" s="1" t="s">
        <v>227</v>
      </c>
      <c r="E760" s="5">
        <v>5</v>
      </c>
    </row>
    <row r="761" customHeight="1" spans="1:5">
      <c r="A761" s="1" t="s">
        <v>293</v>
      </c>
      <c r="B761" s="54" t="s">
        <v>423</v>
      </c>
      <c r="C761" s="5" t="s">
        <v>427</v>
      </c>
      <c r="D761" s="1" t="s">
        <v>227</v>
      </c>
      <c r="E761" s="5">
        <v>6</v>
      </c>
    </row>
    <row r="762" customHeight="1" spans="1:5">
      <c r="A762" s="1" t="s">
        <v>293</v>
      </c>
      <c r="B762" s="54" t="s">
        <v>423</v>
      </c>
      <c r="C762" s="5" t="s">
        <v>427</v>
      </c>
      <c r="D762" s="1" t="s">
        <v>227</v>
      </c>
      <c r="E762" s="5">
        <v>7</v>
      </c>
    </row>
    <row r="763" customHeight="1" spans="1:5">
      <c r="A763" s="1" t="s">
        <v>293</v>
      </c>
      <c r="B763" s="54" t="s">
        <v>423</v>
      </c>
      <c r="C763" s="5" t="s">
        <v>427</v>
      </c>
      <c r="D763" s="1" t="s">
        <v>227</v>
      </c>
      <c r="E763" s="5">
        <v>8</v>
      </c>
    </row>
    <row r="764" customHeight="1" spans="1:5">
      <c r="A764" s="1" t="s">
        <v>262</v>
      </c>
      <c r="B764" s="53" t="s">
        <v>428</v>
      </c>
      <c r="C764" s="18" t="s">
        <v>429</v>
      </c>
      <c r="D764" s="1" t="s">
        <v>224</v>
      </c>
      <c r="E764" s="18">
        <v>1</v>
      </c>
    </row>
    <row r="765" customHeight="1" spans="1:5">
      <c r="A765" s="1" t="s">
        <v>262</v>
      </c>
      <c r="B765" s="53" t="s">
        <v>428</v>
      </c>
      <c r="C765" s="18" t="s">
        <v>429</v>
      </c>
      <c r="D765" s="1" t="s">
        <v>224</v>
      </c>
      <c r="E765" s="18">
        <v>2</v>
      </c>
    </row>
    <row r="766" customHeight="1" spans="1:5">
      <c r="A766" s="1" t="s">
        <v>262</v>
      </c>
      <c r="B766" s="53" t="s">
        <v>428</v>
      </c>
      <c r="C766" s="18" t="s">
        <v>429</v>
      </c>
      <c r="D766" s="1" t="s">
        <v>224</v>
      </c>
      <c r="E766" s="18">
        <v>3</v>
      </c>
    </row>
    <row r="767" customHeight="1" spans="1:5">
      <c r="A767" s="1" t="s">
        <v>262</v>
      </c>
      <c r="B767" s="53" t="s">
        <v>428</v>
      </c>
      <c r="C767" s="18" t="s">
        <v>429</v>
      </c>
      <c r="D767" s="1" t="s">
        <v>224</v>
      </c>
      <c r="E767" s="18">
        <v>4</v>
      </c>
    </row>
    <row r="768" customHeight="1" spans="1:5">
      <c r="A768" s="1" t="s">
        <v>262</v>
      </c>
      <c r="B768" s="53" t="s">
        <v>428</v>
      </c>
      <c r="C768" s="18" t="s">
        <v>429</v>
      </c>
      <c r="D768" s="1" t="s">
        <v>224</v>
      </c>
      <c r="E768" s="18">
        <v>5</v>
      </c>
    </row>
    <row r="769" customHeight="1" spans="1:5">
      <c r="A769" s="1" t="s">
        <v>262</v>
      </c>
      <c r="B769" s="53" t="s">
        <v>428</v>
      </c>
      <c r="C769" s="5" t="s">
        <v>430</v>
      </c>
      <c r="D769" s="1" t="s">
        <v>225</v>
      </c>
      <c r="E769" s="5">
        <v>1</v>
      </c>
    </row>
    <row r="770" customHeight="1" spans="1:5">
      <c r="A770" s="1" t="s">
        <v>262</v>
      </c>
      <c r="B770" s="53" t="s">
        <v>428</v>
      </c>
      <c r="C770" s="5" t="s">
        <v>430</v>
      </c>
      <c r="D770" s="1" t="s">
        <v>225</v>
      </c>
      <c r="E770" s="5">
        <v>2</v>
      </c>
    </row>
    <row r="771" customHeight="1" spans="1:5">
      <c r="A771" s="1" t="s">
        <v>262</v>
      </c>
      <c r="B771" s="53" t="s">
        <v>428</v>
      </c>
      <c r="C771" s="5" t="s">
        <v>430</v>
      </c>
      <c r="D771" s="1" t="s">
        <v>225</v>
      </c>
      <c r="E771" s="5">
        <v>3</v>
      </c>
    </row>
    <row r="772" customHeight="1" spans="1:5">
      <c r="A772" s="1" t="s">
        <v>262</v>
      </c>
      <c r="B772" s="53" t="s">
        <v>428</v>
      </c>
      <c r="C772" s="5" t="s">
        <v>430</v>
      </c>
      <c r="D772" s="1" t="s">
        <v>225</v>
      </c>
      <c r="E772" s="5">
        <v>4</v>
      </c>
    </row>
    <row r="773" customHeight="1" spans="1:5">
      <c r="A773" s="1" t="s">
        <v>262</v>
      </c>
      <c r="B773" s="53" t="s">
        <v>428</v>
      </c>
      <c r="C773" s="5" t="s">
        <v>430</v>
      </c>
      <c r="D773" s="1" t="s">
        <v>225</v>
      </c>
      <c r="E773" s="5">
        <v>5</v>
      </c>
    </row>
    <row r="774" customHeight="1" spans="1:5">
      <c r="A774" s="1" t="s">
        <v>262</v>
      </c>
      <c r="B774" s="53" t="s">
        <v>428</v>
      </c>
      <c r="C774" s="18" t="s">
        <v>431</v>
      </c>
      <c r="D774" s="1" t="s">
        <v>226</v>
      </c>
      <c r="E774" s="18">
        <v>1</v>
      </c>
    </row>
    <row r="775" customHeight="1" spans="1:5">
      <c r="A775" s="1" t="s">
        <v>262</v>
      </c>
      <c r="B775" s="53" t="s">
        <v>428</v>
      </c>
      <c r="C775" s="18" t="s">
        <v>431</v>
      </c>
      <c r="D775" s="1" t="s">
        <v>226</v>
      </c>
      <c r="E775" s="18">
        <v>2</v>
      </c>
    </row>
    <row r="776" customHeight="1" spans="1:5">
      <c r="A776" s="1" t="s">
        <v>262</v>
      </c>
      <c r="B776" s="53" t="s">
        <v>428</v>
      </c>
      <c r="C776" s="18" t="s">
        <v>431</v>
      </c>
      <c r="D776" s="1" t="s">
        <v>226</v>
      </c>
      <c r="E776" s="18">
        <v>3</v>
      </c>
    </row>
    <row r="777" customHeight="1" spans="1:5">
      <c r="A777" s="1" t="s">
        <v>262</v>
      </c>
      <c r="B777" s="53" t="s">
        <v>428</v>
      </c>
      <c r="C777" s="18" t="s">
        <v>431</v>
      </c>
      <c r="D777" s="1" t="s">
        <v>226</v>
      </c>
      <c r="E777" s="18">
        <v>4</v>
      </c>
    </row>
    <row r="778" customHeight="1" spans="1:5">
      <c r="A778" s="1" t="s">
        <v>262</v>
      </c>
      <c r="B778" s="53" t="s">
        <v>428</v>
      </c>
      <c r="C778" s="18" t="s">
        <v>431</v>
      </c>
      <c r="D778" s="1" t="s">
        <v>226</v>
      </c>
      <c r="E778" s="18">
        <v>5</v>
      </c>
    </row>
    <row r="779" customHeight="1" spans="1:5">
      <c r="A779" s="1" t="s">
        <v>262</v>
      </c>
      <c r="B779" s="53" t="s">
        <v>428</v>
      </c>
      <c r="C779" s="5" t="s">
        <v>431</v>
      </c>
      <c r="D779" s="1" t="s">
        <v>226</v>
      </c>
      <c r="E779" s="5">
        <v>1</v>
      </c>
    </row>
    <row r="780" customHeight="1" spans="1:5">
      <c r="A780" s="1" t="s">
        <v>262</v>
      </c>
      <c r="B780" s="53" t="s">
        <v>428</v>
      </c>
      <c r="C780" s="5" t="s">
        <v>431</v>
      </c>
      <c r="D780" s="1" t="s">
        <v>226</v>
      </c>
      <c r="E780" s="5">
        <v>2</v>
      </c>
    </row>
    <row r="781" customHeight="1" spans="1:5">
      <c r="A781" s="1" t="s">
        <v>262</v>
      </c>
      <c r="B781" s="53" t="s">
        <v>428</v>
      </c>
      <c r="C781" s="5" t="s">
        <v>431</v>
      </c>
      <c r="D781" s="1" t="s">
        <v>226</v>
      </c>
      <c r="E781" s="5">
        <v>3</v>
      </c>
    </row>
    <row r="782" customHeight="1" spans="1:5">
      <c r="A782" s="1" t="s">
        <v>262</v>
      </c>
      <c r="B782" s="53" t="s">
        <v>428</v>
      </c>
      <c r="C782" s="5" t="s">
        <v>431</v>
      </c>
      <c r="D782" s="1" t="s">
        <v>226</v>
      </c>
      <c r="E782" s="5">
        <v>4</v>
      </c>
    </row>
    <row r="783" customHeight="1" spans="1:5">
      <c r="A783" s="1" t="s">
        <v>262</v>
      </c>
      <c r="B783" s="53" t="s">
        <v>428</v>
      </c>
      <c r="C783" s="5" t="s">
        <v>431</v>
      </c>
      <c r="D783" s="1" t="s">
        <v>226</v>
      </c>
      <c r="E783" s="5">
        <v>5</v>
      </c>
    </row>
    <row r="784" customHeight="1" spans="1:5">
      <c r="A784" s="1" t="s">
        <v>293</v>
      </c>
      <c r="B784" s="53" t="s">
        <v>428</v>
      </c>
      <c r="C784" s="18" t="s">
        <v>432</v>
      </c>
      <c r="D784" s="1" t="s">
        <v>227</v>
      </c>
      <c r="E784" s="18">
        <v>1</v>
      </c>
    </row>
    <row r="785" customHeight="1" spans="1:5">
      <c r="A785" s="1" t="s">
        <v>293</v>
      </c>
      <c r="B785" s="53" t="s">
        <v>428</v>
      </c>
      <c r="C785" s="18" t="s">
        <v>432</v>
      </c>
      <c r="D785" s="1" t="s">
        <v>227</v>
      </c>
      <c r="E785" s="18">
        <v>2</v>
      </c>
    </row>
    <row r="786" customHeight="1" spans="1:5">
      <c r="A786" s="1" t="s">
        <v>293</v>
      </c>
      <c r="B786" s="53" t="s">
        <v>428</v>
      </c>
      <c r="C786" s="18" t="s">
        <v>432</v>
      </c>
      <c r="D786" s="1" t="s">
        <v>227</v>
      </c>
      <c r="E786" s="18">
        <v>3</v>
      </c>
    </row>
    <row r="787" customHeight="1" spans="1:5">
      <c r="A787" s="1" t="s">
        <v>293</v>
      </c>
      <c r="B787" s="53" t="s">
        <v>428</v>
      </c>
      <c r="C787" s="18" t="s">
        <v>432</v>
      </c>
      <c r="D787" s="1" t="s">
        <v>227</v>
      </c>
      <c r="E787" s="18">
        <v>4</v>
      </c>
    </row>
    <row r="788" customHeight="1" spans="1:5">
      <c r="A788" s="1" t="s">
        <v>293</v>
      </c>
      <c r="B788" s="53" t="s">
        <v>428</v>
      </c>
      <c r="C788" s="18" t="s">
        <v>432</v>
      </c>
      <c r="D788" s="1" t="s">
        <v>227</v>
      </c>
      <c r="E788" s="18">
        <v>5</v>
      </c>
    </row>
    <row r="789" customHeight="1" spans="1:5">
      <c r="A789" s="1" t="s">
        <v>293</v>
      </c>
      <c r="B789" s="53" t="s">
        <v>428</v>
      </c>
      <c r="C789" s="18" t="s">
        <v>432</v>
      </c>
      <c r="D789" s="1" t="s">
        <v>227</v>
      </c>
      <c r="E789" s="18">
        <v>6</v>
      </c>
    </row>
    <row r="790" customHeight="1" spans="1:5">
      <c r="A790" s="1" t="s">
        <v>293</v>
      </c>
      <c r="B790" s="53" t="s">
        <v>428</v>
      </c>
      <c r="C790" s="18" t="s">
        <v>432</v>
      </c>
      <c r="D790" s="1" t="s">
        <v>227</v>
      </c>
      <c r="E790" s="18">
        <v>7</v>
      </c>
    </row>
    <row r="791" customHeight="1" spans="1:5">
      <c r="A791" s="1" t="s">
        <v>293</v>
      </c>
      <c r="B791" s="53" t="s">
        <v>428</v>
      </c>
      <c r="C791" s="18" t="s">
        <v>432</v>
      </c>
      <c r="D791" s="1" t="s">
        <v>227</v>
      </c>
      <c r="E791" s="18">
        <v>8</v>
      </c>
    </row>
    <row r="792" customHeight="1" spans="1:5">
      <c r="A792" s="1" t="s">
        <v>222</v>
      </c>
      <c r="B792" s="53" t="s">
        <v>433</v>
      </c>
      <c r="C792" s="5" t="s">
        <v>434</v>
      </c>
      <c r="D792" s="1" t="s">
        <v>224</v>
      </c>
      <c r="E792" s="5">
        <v>1</v>
      </c>
    </row>
    <row r="793" customHeight="1" spans="1:5">
      <c r="A793" s="1" t="s">
        <v>222</v>
      </c>
      <c r="B793" s="53" t="s">
        <v>433</v>
      </c>
      <c r="C793" s="5" t="s">
        <v>434</v>
      </c>
      <c r="D793" s="1" t="s">
        <v>224</v>
      </c>
      <c r="E793" s="5">
        <v>2</v>
      </c>
    </row>
    <row r="794" customHeight="1" spans="1:5">
      <c r="A794" s="1" t="s">
        <v>222</v>
      </c>
      <c r="B794" s="53" t="s">
        <v>433</v>
      </c>
      <c r="C794" s="5" t="s">
        <v>434</v>
      </c>
      <c r="D794" s="1" t="s">
        <v>224</v>
      </c>
      <c r="E794" s="5">
        <v>3</v>
      </c>
    </row>
    <row r="795" customHeight="1" spans="1:5">
      <c r="A795" s="1" t="s">
        <v>222</v>
      </c>
      <c r="B795" s="53" t="s">
        <v>433</v>
      </c>
      <c r="C795" s="5" t="s">
        <v>434</v>
      </c>
      <c r="D795" s="1" t="s">
        <v>224</v>
      </c>
      <c r="E795" s="5">
        <v>4</v>
      </c>
    </row>
    <row r="796" customHeight="1" spans="1:5">
      <c r="A796" s="1" t="s">
        <v>222</v>
      </c>
      <c r="B796" s="53" t="s">
        <v>433</v>
      </c>
      <c r="C796" s="5" t="s">
        <v>434</v>
      </c>
      <c r="D796" s="1" t="s">
        <v>224</v>
      </c>
      <c r="E796" s="5">
        <v>5</v>
      </c>
    </row>
    <row r="797" customHeight="1" spans="1:5">
      <c r="A797" s="1" t="s">
        <v>222</v>
      </c>
      <c r="B797" s="53" t="s">
        <v>433</v>
      </c>
      <c r="C797" s="18" t="s">
        <v>435</v>
      </c>
      <c r="D797" s="1" t="s">
        <v>226</v>
      </c>
      <c r="E797" s="18">
        <v>1</v>
      </c>
    </row>
    <row r="798" customHeight="1" spans="1:5">
      <c r="A798" s="1" t="s">
        <v>222</v>
      </c>
      <c r="B798" s="53" t="s">
        <v>433</v>
      </c>
      <c r="C798" s="18" t="s">
        <v>435</v>
      </c>
      <c r="D798" s="1" t="s">
        <v>226</v>
      </c>
      <c r="E798" s="18">
        <v>2</v>
      </c>
    </row>
    <row r="799" customHeight="1" spans="1:5">
      <c r="A799" s="1" t="s">
        <v>222</v>
      </c>
      <c r="B799" s="53" t="s">
        <v>433</v>
      </c>
      <c r="C799" s="18" t="s">
        <v>435</v>
      </c>
      <c r="D799" s="1" t="s">
        <v>226</v>
      </c>
      <c r="E799" s="18">
        <v>3</v>
      </c>
    </row>
    <row r="800" customHeight="1" spans="1:5">
      <c r="A800" s="1" t="s">
        <v>222</v>
      </c>
      <c r="B800" s="53" t="s">
        <v>433</v>
      </c>
      <c r="C800" s="18" t="s">
        <v>435</v>
      </c>
      <c r="D800" s="1" t="s">
        <v>226</v>
      </c>
      <c r="E800" s="18">
        <v>4</v>
      </c>
    </row>
    <row r="801" customHeight="1" spans="1:5">
      <c r="A801" s="1" t="s">
        <v>222</v>
      </c>
      <c r="B801" s="53" t="s">
        <v>433</v>
      </c>
      <c r="C801" s="18" t="s">
        <v>435</v>
      </c>
      <c r="D801" s="1" t="s">
        <v>226</v>
      </c>
      <c r="E801" s="18">
        <v>5</v>
      </c>
    </row>
    <row r="802" customHeight="1" spans="1:5">
      <c r="A802" s="1" t="s">
        <v>222</v>
      </c>
      <c r="B802" s="53" t="s">
        <v>433</v>
      </c>
      <c r="C802" s="5" t="s">
        <v>435</v>
      </c>
      <c r="D802" s="1" t="s">
        <v>226</v>
      </c>
      <c r="E802" s="5">
        <v>1</v>
      </c>
    </row>
    <row r="803" customHeight="1" spans="1:5">
      <c r="A803" s="1" t="s">
        <v>222</v>
      </c>
      <c r="B803" s="53" t="s">
        <v>433</v>
      </c>
      <c r="C803" s="5" t="s">
        <v>435</v>
      </c>
      <c r="D803" s="1" t="s">
        <v>226</v>
      </c>
      <c r="E803" s="5">
        <v>2</v>
      </c>
    </row>
    <row r="804" customHeight="1" spans="1:5">
      <c r="A804" s="1" t="s">
        <v>222</v>
      </c>
      <c r="B804" s="53" t="s">
        <v>433</v>
      </c>
      <c r="C804" s="5" t="s">
        <v>435</v>
      </c>
      <c r="D804" s="1" t="s">
        <v>226</v>
      </c>
      <c r="E804" s="5">
        <v>3</v>
      </c>
    </row>
    <row r="805" customHeight="1" spans="1:5">
      <c r="A805" s="1" t="s">
        <v>222</v>
      </c>
      <c r="B805" s="53" t="s">
        <v>433</v>
      </c>
      <c r="C805" s="5" t="s">
        <v>435</v>
      </c>
      <c r="D805" s="1" t="s">
        <v>226</v>
      </c>
      <c r="E805" s="5">
        <v>4</v>
      </c>
    </row>
    <row r="806" customHeight="1" spans="1:5">
      <c r="A806" s="1" t="s">
        <v>222</v>
      </c>
      <c r="B806" s="53" t="s">
        <v>433</v>
      </c>
      <c r="C806" s="5" t="s">
        <v>435</v>
      </c>
      <c r="D806" s="1" t="s">
        <v>226</v>
      </c>
      <c r="E806" s="5">
        <v>5</v>
      </c>
    </row>
    <row r="807" customHeight="1" spans="1:5">
      <c r="A807" s="1" t="s">
        <v>293</v>
      </c>
      <c r="B807" s="53" t="s">
        <v>433</v>
      </c>
      <c r="C807" s="18" t="s">
        <v>436</v>
      </c>
      <c r="D807" s="1" t="s">
        <v>227</v>
      </c>
      <c r="E807" s="18">
        <v>1</v>
      </c>
    </row>
    <row r="808" customHeight="1" spans="1:5">
      <c r="A808" s="1" t="s">
        <v>293</v>
      </c>
      <c r="B808" s="53" t="s">
        <v>433</v>
      </c>
      <c r="C808" s="18" t="s">
        <v>436</v>
      </c>
      <c r="D808" s="1" t="s">
        <v>227</v>
      </c>
      <c r="E808" s="18">
        <v>2</v>
      </c>
    </row>
    <row r="809" customHeight="1" spans="1:5">
      <c r="A809" s="1" t="s">
        <v>293</v>
      </c>
      <c r="B809" s="53" t="s">
        <v>433</v>
      </c>
      <c r="C809" s="18" t="s">
        <v>436</v>
      </c>
      <c r="D809" s="1" t="s">
        <v>227</v>
      </c>
      <c r="E809" s="18">
        <v>3</v>
      </c>
    </row>
    <row r="810" customHeight="1" spans="1:5">
      <c r="A810" s="1" t="s">
        <v>293</v>
      </c>
      <c r="B810" s="53" t="s">
        <v>433</v>
      </c>
      <c r="C810" s="18" t="s">
        <v>436</v>
      </c>
      <c r="D810" s="1" t="s">
        <v>227</v>
      </c>
      <c r="E810" s="18">
        <v>4</v>
      </c>
    </row>
    <row r="811" customHeight="1" spans="1:5">
      <c r="A811" s="1" t="s">
        <v>293</v>
      </c>
      <c r="B811" s="53" t="s">
        <v>433</v>
      </c>
      <c r="C811" s="18" t="s">
        <v>436</v>
      </c>
      <c r="D811" s="1" t="s">
        <v>227</v>
      </c>
      <c r="E811" s="18">
        <v>5</v>
      </c>
    </row>
    <row r="812" customHeight="1" spans="1:5">
      <c r="A812" s="1" t="s">
        <v>293</v>
      </c>
      <c r="B812" s="53" t="s">
        <v>433</v>
      </c>
      <c r="C812" s="18" t="s">
        <v>436</v>
      </c>
      <c r="D812" s="1" t="s">
        <v>227</v>
      </c>
      <c r="E812" s="18">
        <v>6</v>
      </c>
    </row>
    <row r="813" customHeight="1" spans="1:5">
      <c r="A813" s="1" t="s">
        <v>293</v>
      </c>
      <c r="B813" s="53" t="s">
        <v>433</v>
      </c>
      <c r="C813" s="18" t="s">
        <v>436</v>
      </c>
      <c r="D813" s="1" t="s">
        <v>227</v>
      </c>
      <c r="E813" s="18">
        <v>7</v>
      </c>
    </row>
    <row r="814" customHeight="1" spans="1:5">
      <c r="A814" s="1" t="s">
        <v>293</v>
      </c>
      <c r="B814" s="53" t="s">
        <v>433</v>
      </c>
      <c r="C814" s="18" t="s">
        <v>436</v>
      </c>
      <c r="D814" s="1" t="s">
        <v>227</v>
      </c>
      <c r="E814" s="18">
        <v>8</v>
      </c>
    </row>
    <row r="815" customHeight="1" spans="1:5">
      <c r="A815" s="1" t="s">
        <v>222</v>
      </c>
      <c r="B815" s="54" t="s">
        <v>437</v>
      </c>
      <c r="C815" s="5" t="s">
        <v>438</v>
      </c>
      <c r="D815" s="1" t="s">
        <v>224</v>
      </c>
      <c r="E815" s="5">
        <v>1</v>
      </c>
    </row>
    <row r="816" customHeight="1" spans="1:5">
      <c r="A816" s="1" t="s">
        <v>222</v>
      </c>
      <c r="B816" s="54" t="s">
        <v>437</v>
      </c>
      <c r="C816" s="5" t="s">
        <v>438</v>
      </c>
      <c r="D816" s="1" t="s">
        <v>224</v>
      </c>
      <c r="E816" s="5">
        <v>2</v>
      </c>
    </row>
    <row r="817" customHeight="1" spans="1:5">
      <c r="A817" s="1" t="s">
        <v>222</v>
      </c>
      <c r="B817" s="54" t="s">
        <v>437</v>
      </c>
      <c r="C817" s="5" t="s">
        <v>438</v>
      </c>
      <c r="D817" s="1" t="s">
        <v>224</v>
      </c>
      <c r="E817" s="5">
        <v>3</v>
      </c>
    </row>
    <row r="818" customHeight="1" spans="1:5">
      <c r="A818" s="1" t="s">
        <v>222</v>
      </c>
      <c r="B818" s="54" t="s">
        <v>437</v>
      </c>
      <c r="C818" s="5" t="s">
        <v>438</v>
      </c>
      <c r="D818" s="1" t="s">
        <v>224</v>
      </c>
      <c r="E818" s="5">
        <v>4</v>
      </c>
    </row>
    <row r="819" customHeight="1" spans="1:5">
      <c r="A819" s="1" t="s">
        <v>222</v>
      </c>
      <c r="B819" s="54" t="s">
        <v>437</v>
      </c>
      <c r="C819" s="5" t="s">
        <v>438</v>
      </c>
      <c r="D819" s="1" t="s">
        <v>224</v>
      </c>
      <c r="E819" s="5">
        <v>5</v>
      </c>
    </row>
    <row r="820" customHeight="1" spans="1:5">
      <c r="A820" s="1" t="s">
        <v>222</v>
      </c>
      <c r="B820" s="54" t="s">
        <v>437</v>
      </c>
      <c r="C820" s="18" t="s">
        <v>439</v>
      </c>
      <c r="D820" s="1" t="s">
        <v>226</v>
      </c>
      <c r="E820" s="18">
        <v>1</v>
      </c>
    </row>
    <row r="821" customHeight="1" spans="1:5">
      <c r="A821" s="1" t="s">
        <v>222</v>
      </c>
      <c r="B821" s="54" t="s">
        <v>437</v>
      </c>
      <c r="C821" s="18" t="s">
        <v>439</v>
      </c>
      <c r="D821" s="1" t="s">
        <v>226</v>
      </c>
      <c r="E821" s="18">
        <v>2</v>
      </c>
    </row>
    <row r="822" customHeight="1" spans="1:5">
      <c r="A822" s="1" t="s">
        <v>222</v>
      </c>
      <c r="B822" s="54" t="s">
        <v>437</v>
      </c>
      <c r="C822" s="18" t="s">
        <v>439</v>
      </c>
      <c r="D822" s="1" t="s">
        <v>226</v>
      </c>
      <c r="E822" s="18">
        <v>3</v>
      </c>
    </row>
    <row r="823" customHeight="1" spans="1:5">
      <c r="A823" s="1" t="s">
        <v>222</v>
      </c>
      <c r="B823" s="54" t="s">
        <v>437</v>
      </c>
      <c r="C823" s="18" t="s">
        <v>439</v>
      </c>
      <c r="D823" s="1" t="s">
        <v>226</v>
      </c>
      <c r="E823" s="18">
        <v>4</v>
      </c>
    </row>
    <row r="824" customHeight="1" spans="1:5">
      <c r="A824" s="1" t="s">
        <v>222</v>
      </c>
      <c r="B824" s="54" t="s">
        <v>437</v>
      </c>
      <c r="C824" s="18" t="s">
        <v>439</v>
      </c>
      <c r="D824" s="1" t="s">
        <v>226</v>
      </c>
      <c r="E824" s="18">
        <v>5</v>
      </c>
    </row>
    <row r="825" customHeight="1" spans="1:5">
      <c r="A825" s="1" t="s">
        <v>222</v>
      </c>
      <c r="B825" s="54" t="s">
        <v>437</v>
      </c>
      <c r="C825" s="5" t="s">
        <v>439</v>
      </c>
      <c r="D825" s="1" t="s">
        <v>226</v>
      </c>
      <c r="E825" s="5">
        <v>1</v>
      </c>
    </row>
    <row r="826" customHeight="1" spans="1:5">
      <c r="A826" s="1" t="s">
        <v>222</v>
      </c>
      <c r="B826" s="54" t="s">
        <v>437</v>
      </c>
      <c r="C826" s="5" t="s">
        <v>439</v>
      </c>
      <c r="D826" s="1" t="s">
        <v>226</v>
      </c>
      <c r="E826" s="5">
        <v>2</v>
      </c>
    </row>
    <row r="827" customHeight="1" spans="1:5">
      <c r="A827" s="1" t="s">
        <v>222</v>
      </c>
      <c r="B827" s="54" t="s">
        <v>437</v>
      </c>
      <c r="C827" s="5" t="s">
        <v>439</v>
      </c>
      <c r="D827" s="1" t="s">
        <v>226</v>
      </c>
      <c r="E827" s="5">
        <v>3</v>
      </c>
    </row>
    <row r="828" customHeight="1" spans="1:5">
      <c r="A828" s="1" t="s">
        <v>222</v>
      </c>
      <c r="B828" s="54" t="s">
        <v>437</v>
      </c>
      <c r="C828" s="5" t="s">
        <v>439</v>
      </c>
      <c r="D828" s="1" t="s">
        <v>226</v>
      </c>
      <c r="E828" s="5">
        <v>4</v>
      </c>
    </row>
    <row r="829" customHeight="1" spans="1:5">
      <c r="A829" s="1" t="s">
        <v>222</v>
      </c>
      <c r="B829" s="54" t="s">
        <v>437</v>
      </c>
      <c r="C829" s="5" t="s">
        <v>439</v>
      </c>
      <c r="D829" s="1" t="s">
        <v>226</v>
      </c>
      <c r="E829" s="5">
        <v>5</v>
      </c>
    </row>
    <row r="830" customHeight="1" spans="1:5">
      <c r="A830" s="1" t="s">
        <v>293</v>
      </c>
      <c r="B830" s="54" t="s">
        <v>437</v>
      </c>
      <c r="C830" s="18" t="s">
        <v>440</v>
      </c>
      <c r="D830" s="1" t="s">
        <v>227</v>
      </c>
      <c r="E830" s="18">
        <v>1</v>
      </c>
    </row>
    <row r="831" customHeight="1" spans="1:5">
      <c r="A831" s="1" t="s">
        <v>293</v>
      </c>
      <c r="B831" s="54" t="s">
        <v>437</v>
      </c>
      <c r="C831" s="18" t="s">
        <v>440</v>
      </c>
      <c r="D831" s="1" t="s">
        <v>227</v>
      </c>
      <c r="E831" s="18">
        <v>2</v>
      </c>
    </row>
    <row r="832" customHeight="1" spans="1:5">
      <c r="A832" s="1" t="s">
        <v>293</v>
      </c>
      <c r="B832" s="54" t="s">
        <v>437</v>
      </c>
      <c r="C832" s="18" t="s">
        <v>440</v>
      </c>
      <c r="D832" s="1" t="s">
        <v>227</v>
      </c>
      <c r="E832" s="18">
        <v>3</v>
      </c>
    </row>
    <row r="833" customHeight="1" spans="1:5">
      <c r="A833" s="1" t="s">
        <v>293</v>
      </c>
      <c r="B833" s="54" t="s">
        <v>437</v>
      </c>
      <c r="C833" s="18" t="s">
        <v>440</v>
      </c>
      <c r="D833" s="1" t="s">
        <v>227</v>
      </c>
      <c r="E833" s="18">
        <v>4</v>
      </c>
    </row>
    <row r="834" customHeight="1" spans="1:5">
      <c r="A834" s="1" t="s">
        <v>293</v>
      </c>
      <c r="B834" s="54" t="s">
        <v>437</v>
      </c>
      <c r="C834" s="18" t="s">
        <v>440</v>
      </c>
      <c r="D834" s="1" t="s">
        <v>227</v>
      </c>
      <c r="E834" s="18">
        <v>5</v>
      </c>
    </row>
    <row r="835" customHeight="1" spans="1:5">
      <c r="A835" s="1" t="s">
        <v>293</v>
      </c>
      <c r="B835" s="54" t="s">
        <v>437</v>
      </c>
      <c r="C835" s="18" t="s">
        <v>440</v>
      </c>
      <c r="D835" s="1" t="s">
        <v>227</v>
      </c>
      <c r="E835" s="18">
        <v>6</v>
      </c>
    </row>
    <row r="836" customHeight="1" spans="1:5">
      <c r="A836" s="1" t="s">
        <v>293</v>
      </c>
      <c r="B836" s="54" t="s">
        <v>437</v>
      </c>
      <c r="C836" s="18" t="s">
        <v>440</v>
      </c>
      <c r="D836" s="1" t="s">
        <v>227</v>
      </c>
      <c r="E836" s="18">
        <v>7</v>
      </c>
    </row>
    <row r="837" customHeight="1" spans="1:5">
      <c r="A837" s="1" t="s">
        <v>293</v>
      </c>
      <c r="B837" s="54" t="s">
        <v>437</v>
      </c>
      <c r="C837" s="18" t="s">
        <v>440</v>
      </c>
      <c r="D837" s="1" t="s">
        <v>227</v>
      </c>
      <c r="E837" s="18">
        <v>8</v>
      </c>
    </row>
    <row r="838" customHeight="1" spans="1:5">
      <c r="A838" s="1" t="s">
        <v>222</v>
      </c>
      <c r="B838" s="53" t="s">
        <v>441</v>
      </c>
      <c r="C838" s="5" t="s">
        <v>442</v>
      </c>
      <c r="D838" s="1" t="s">
        <v>224</v>
      </c>
      <c r="E838" s="5">
        <v>1</v>
      </c>
    </row>
    <row r="839" customHeight="1" spans="1:5">
      <c r="A839" s="1" t="s">
        <v>222</v>
      </c>
      <c r="B839" s="53" t="s">
        <v>441</v>
      </c>
      <c r="C839" s="5" t="s">
        <v>442</v>
      </c>
      <c r="D839" s="1" t="s">
        <v>224</v>
      </c>
      <c r="E839" s="5">
        <v>2</v>
      </c>
    </row>
    <row r="840" customHeight="1" spans="1:5">
      <c r="A840" s="1" t="s">
        <v>222</v>
      </c>
      <c r="B840" s="53" t="s">
        <v>441</v>
      </c>
      <c r="C840" s="5" t="s">
        <v>442</v>
      </c>
      <c r="D840" s="1" t="s">
        <v>224</v>
      </c>
      <c r="E840" s="5">
        <v>3</v>
      </c>
    </row>
    <row r="841" customHeight="1" spans="1:5">
      <c r="A841" s="1" t="s">
        <v>222</v>
      </c>
      <c r="B841" s="53" t="s">
        <v>441</v>
      </c>
      <c r="C841" s="5" t="s">
        <v>442</v>
      </c>
      <c r="D841" s="1" t="s">
        <v>224</v>
      </c>
      <c r="E841" s="5">
        <v>4</v>
      </c>
    </row>
    <row r="842" customHeight="1" spans="1:5">
      <c r="A842" s="1" t="s">
        <v>222</v>
      </c>
      <c r="B842" s="53" t="s">
        <v>441</v>
      </c>
      <c r="C842" s="5" t="s">
        <v>442</v>
      </c>
      <c r="D842" s="1" t="s">
        <v>224</v>
      </c>
      <c r="E842" s="5">
        <v>5</v>
      </c>
    </row>
    <row r="843" customHeight="1" spans="1:5">
      <c r="A843" s="1" t="s">
        <v>222</v>
      </c>
      <c r="B843" s="53" t="s">
        <v>441</v>
      </c>
      <c r="C843" s="18" t="s">
        <v>443</v>
      </c>
      <c r="D843" s="1" t="s">
        <v>226</v>
      </c>
      <c r="E843" s="18">
        <v>1</v>
      </c>
    </row>
    <row r="844" customHeight="1" spans="1:5">
      <c r="A844" s="1" t="s">
        <v>222</v>
      </c>
      <c r="B844" s="53" t="s">
        <v>441</v>
      </c>
      <c r="C844" s="18" t="s">
        <v>443</v>
      </c>
      <c r="D844" s="1" t="s">
        <v>226</v>
      </c>
      <c r="E844" s="18">
        <v>2</v>
      </c>
    </row>
    <row r="845" customHeight="1" spans="1:5">
      <c r="A845" s="1" t="s">
        <v>222</v>
      </c>
      <c r="B845" s="53" t="s">
        <v>441</v>
      </c>
      <c r="C845" s="18" t="s">
        <v>443</v>
      </c>
      <c r="D845" s="1" t="s">
        <v>226</v>
      </c>
      <c r="E845" s="18">
        <v>3</v>
      </c>
    </row>
    <row r="846" customHeight="1" spans="1:5">
      <c r="A846" s="1" t="s">
        <v>222</v>
      </c>
      <c r="B846" s="53" t="s">
        <v>441</v>
      </c>
      <c r="C846" s="18" t="s">
        <v>443</v>
      </c>
      <c r="D846" s="1" t="s">
        <v>226</v>
      </c>
      <c r="E846" s="18">
        <v>4</v>
      </c>
    </row>
    <row r="847" customHeight="1" spans="1:5">
      <c r="A847" s="1" t="s">
        <v>222</v>
      </c>
      <c r="B847" s="53" t="s">
        <v>441</v>
      </c>
      <c r="C847" s="18" t="s">
        <v>443</v>
      </c>
      <c r="D847" s="1" t="s">
        <v>226</v>
      </c>
      <c r="E847" s="18">
        <v>5</v>
      </c>
    </row>
    <row r="848" customHeight="1" spans="1:5">
      <c r="A848" s="1" t="s">
        <v>222</v>
      </c>
      <c r="B848" s="53" t="s">
        <v>441</v>
      </c>
      <c r="C848" s="5" t="s">
        <v>443</v>
      </c>
      <c r="D848" s="1" t="s">
        <v>226</v>
      </c>
      <c r="E848" s="5">
        <v>1</v>
      </c>
    </row>
    <row r="849" customHeight="1" spans="1:5">
      <c r="A849" s="1" t="s">
        <v>222</v>
      </c>
      <c r="B849" s="53" t="s">
        <v>441</v>
      </c>
      <c r="C849" s="5" t="s">
        <v>443</v>
      </c>
      <c r="D849" s="1" t="s">
        <v>226</v>
      </c>
      <c r="E849" s="5">
        <v>2</v>
      </c>
    </row>
    <row r="850" customHeight="1" spans="1:5">
      <c r="A850" s="1" t="s">
        <v>222</v>
      </c>
      <c r="B850" s="53" t="s">
        <v>441</v>
      </c>
      <c r="C850" s="5" t="s">
        <v>443</v>
      </c>
      <c r="D850" s="1" t="s">
        <v>226</v>
      </c>
      <c r="E850" s="5">
        <v>3</v>
      </c>
    </row>
    <row r="851" customHeight="1" spans="1:5">
      <c r="A851" s="1" t="s">
        <v>222</v>
      </c>
      <c r="B851" s="53" t="s">
        <v>441</v>
      </c>
      <c r="C851" s="5" t="s">
        <v>443</v>
      </c>
      <c r="D851" s="1" t="s">
        <v>226</v>
      </c>
      <c r="E851" s="5">
        <v>4</v>
      </c>
    </row>
    <row r="852" customHeight="1" spans="1:5">
      <c r="A852" s="1" t="s">
        <v>222</v>
      </c>
      <c r="B852" s="53" t="s">
        <v>441</v>
      </c>
      <c r="C852" s="5" t="s">
        <v>443</v>
      </c>
      <c r="D852" s="1" t="s">
        <v>226</v>
      </c>
      <c r="E852" s="5">
        <v>5</v>
      </c>
    </row>
    <row r="853" customHeight="1" spans="1:5">
      <c r="A853" s="1" t="s">
        <v>293</v>
      </c>
      <c r="B853" s="53" t="s">
        <v>441</v>
      </c>
      <c r="C853" s="18" t="s">
        <v>444</v>
      </c>
      <c r="D853" s="1" t="s">
        <v>227</v>
      </c>
      <c r="E853" s="18">
        <v>1</v>
      </c>
    </row>
    <row r="854" customHeight="1" spans="1:5">
      <c r="A854" s="1" t="s">
        <v>293</v>
      </c>
      <c r="B854" s="53" t="s">
        <v>441</v>
      </c>
      <c r="C854" s="18" t="s">
        <v>444</v>
      </c>
      <c r="D854" s="1" t="s">
        <v>227</v>
      </c>
      <c r="E854" s="18">
        <v>2</v>
      </c>
    </row>
    <row r="855" customHeight="1" spans="1:5">
      <c r="A855" s="1" t="s">
        <v>293</v>
      </c>
      <c r="B855" s="53" t="s">
        <v>441</v>
      </c>
      <c r="C855" s="18" t="s">
        <v>444</v>
      </c>
      <c r="D855" s="1" t="s">
        <v>227</v>
      </c>
      <c r="E855" s="18">
        <v>3</v>
      </c>
    </row>
    <row r="856" customHeight="1" spans="1:5">
      <c r="A856" s="1" t="s">
        <v>293</v>
      </c>
      <c r="B856" s="53" t="s">
        <v>441</v>
      </c>
      <c r="C856" s="18" t="s">
        <v>444</v>
      </c>
      <c r="D856" s="1" t="s">
        <v>227</v>
      </c>
      <c r="E856" s="18">
        <v>4</v>
      </c>
    </row>
    <row r="857" customHeight="1" spans="1:5">
      <c r="A857" s="1" t="s">
        <v>293</v>
      </c>
      <c r="B857" s="53" t="s">
        <v>441</v>
      </c>
      <c r="C857" s="18" t="s">
        <v>444</v>
      </c>
      <c r="D857" s="1" t="s">
        <v>227</v>
      </c>
      <c r="E857" s="18">
        <v>5</v>
      </c>
    </row>
    <row r="858" customHeight="1" spans="1:5">
      <c r="A858" s="1" t="s">
        <v>293</v>
      </c>
      <c r="B858" s="53" t="s">
        <v>441</v>
      </c>
      <c r="C858" s="18" t="s">
        <v>444</v>
      </c>
      <c r="D858" s="1" t="s">
        <v>227</v>
      </c>
      <c r="E858" s="18">
        <v>6</v>
      </c>
    </row>
    <row r="859" customHeight="1" spans="1:5">
      <c r="A859" s="1" t="s">
        <v>293</v>
      </c>
      <c r="B859" s="53" t="s">
        <v>441</v>
      </c>
      <c r="C859" s="18" t="s">
        <v>444</v>
      </c>
      <c r="D859" s="1" t="s">
        <v>227</v>
      </c>
      <c r="E859" s="18">
        <v>7</v>
      </c>
    </row>
    <row r="860" customHeight="1" spans="1:5">
      <c r="A860" s="1" t="s">
        <v>293</v>
      </c>
      <c r="B860" s="53" t="s">
        <v>441</v>
      </c>
      <c r="C860" s="18" t="s">
        <v>444</v>
      </c>
      <c r="D860" s="1" t="s">
        <v>227</v>
      </c>
      <c r="E860" s="18">
        <v>8</v>
      </c>
    </row>
    <row r="861" customHeight="1" spans="1:5">
      <c r="A861" s="1" t="s">
        <v>222</v>
      </c>
      <c r="B861" s="54" t="s">
        <v>445</v>
      </c>
      <c r="C861" s="5" t="s">
        <v>446</v>
      </c>
      <c r="D861" s="1" t="s">
        <v>224</v>
      </c>
      <c r="E861" s="5">
        <v>1</v>
      </c>
    </row>
    <row r="862" customHeight="1" spans="1:5">
      <c r="A862" s="1" t="s">
        <v>222</v>
      </c>
      <c r="B862" s="54" t="s">
        <v>445</v>
      </c>
      <c r="C862" s="5" t="s">
        <v>446</v>
      </c>
      <c r="D862" s="1" t="s">
        <v>224</v>
      </c>
      <c r="E862" s="5">
        <v>2</v>
      </c>
    </row>
    <row r="863" customHeight="1" spans="1:5">
      <c r="A863" s="1" t="s">
        <v>222</v>
      </c>
      <c r="B863" s="54" t="s">
        <v>445</v>
      </c>
      <c r="C863" s="5" t="s">
        <v>446</v>
      </c>
      <c r="D863" s="1" t="s">
        <v>224</v>
      </c>
      <c r="E863" s="5">
        <v>3</v>
      </c>
    </row>
    <row r="864" customHeight="1" spans="1:5">
      <c r="A864" s="1" t="s">
        <v>222</v>
      </c>
      <c r="B864" s="54" t="s">
        <v>445</v>
      </c>
      <c r="C864" s="5" t="s">
        <v>446</v>
      </c>
      <c r="D864" s="1" t="s">
        <v>224</v>
      </c>
      <c r="E864" s="5">
        <v>4</v>
      </c>
    </row>
    <row r="865" customHeight="1" spans="1:5">
      <c r="A865" s="1" t="s">
        <v>222</v>
      </c>
      <c r="B865" s="54" t="s">
        <v>445</v>
      </c>
      <c r="C865" s="5" t="s">
        <v>446</v>
      </c>
      <c r="D865" s="1" t="s">
        <v>224</v>
      </c>
      <c r="E865" s="5">
        <v>5</v>
      </c>
    </row>
    <row r="866" customHeight="1" spans="1:5">
      <c r="A866" s="1" t="s">
        <v>222</v>
      </c>
      <c r="B866" s="54" t="s">
        <v>445</v>
      </c>
      <c r="C866" s="18" t="s">
        <v>447</v>
      </c>
      <c r="D866" s="1" t="s">
        <v>226</v>
      </c>
      <c r="E866" s="18">
        <v>1</v>
      </c>
    </row>
    <row r="867" customHeight="1" spans="1:5">
      <c r="A867" s="1" t="s">
        <v>222</v>
      </c>
      <c r="B867" s="54" t="s">
        <v>445</v>
      </c>
      <c r="C867" s="18" t="s">
        <v>447</v>
      </c>
      <c r="D867" s="1" t="s">
        <v>226</v>
      </c>
      <c r="E867" s="18">
        <v>2</v>
      </c>
    </row>
    <row r="868" customHeight="1" spans="1:5">
      <c r="A868" s="1" t="s">
        <v>222</v>
      </c>
      <c r="B868" s="54" t="s">
        <v>445</v>
      </c>
      <c r="C868" s="18" t="s">
        <v>447</v>
      </c>
      <c r="D868" s="1" t="s">
        <v>226</v>
      </c>
      <c r="E868" s="18">
        <v>3</v>
      </c>
    </row>
    <row r="869" customHeight="1" spans="1:5">
      <c r="A869" s="1" t="s">
        <v>222</v>
      </c>
      <c r="B869" s="54" t="s">
        <v>445</v>
      </c>
      <c r="C869" s="18" t="s">
        <v>447</v>
      </c>
      <c r="D869" s="1" t="s">
        <v>226</v>
      </c>
      <c r="E869" s="18">
        <v>4</v>
      </c>
    </row>
    <row r="870" customHeight="1" spans="1:5">
      <c r="A870" s="1" t="s">
        <v>222</v>
      </c>
      <c r="B870" s="54" t="s">
        <v>445</v>
      </c>
      <c r="C870" s="18" t="s">
        <v>447</v>
      </c>
      <c r="D870" s="1" t="s">
        <v>226</v>
      </c>
      <c r="E870" s="18">
        <v>5</v>
      </c>
    </row>
    <row r="871" customHeight="1" spans="1:5">
      <c r="A871" s="1" t="s">
        <v>222</v>
      </c>
      <c r="B871" s="54" t="s">
        <v>445</v>
      </c>
      <c r="C871" s="5" t="s">
        <v>447</v>
      </c>
      <c r="D871" s="1" t="s">
        <v>226</v>
      </c>
      <c r="E871" s="5">
        <v>1</v>
      </c>
    </row>
    <row r="872" customHeight="1" spans="1:5">
      <c r="A872" s="1" t="s">
        <v>222</v>
      </c>
      <c r="B872" s="54" t="s">
        <v>445</v>
      </c>
      <c r="C872" s="5" t="s">
        <v>447</v>
      </c>
      <c r="D872" s="1" t="s">
        <v>226</v>
      </c>
      <c r="E872" s="5">
        <v>2</v>
      </c>
    </row>
    <row r="873" customHeight="1" spans="1:5">
      <c r="A873" s="1" t="s">
        <v>222</v>
      </c>
      <c r="B873" s="54" t="s">
        <v>445</v>
      </c>
      <c r="C873" s="5" t="s">
        <v>447</v>
      </c>
      <c r="D873" s="1" t="s">
        <v>226</v>
      </c>
      <c r="E873" s="5">
        <v>3</v>
      </c>
    </row>
    <row r="874" customHeight="1" spans="1:5">
      <c r="A874" s="1" t="s">
        <v>222</v>
      </c>
      <c r="B874" s="54" t="s">
        <v>445</v>
      </c>
      <c r="C874" s="5" t="s">
        <v>447</v>
      </c>
      <c r="D874" s="1" t="s">
        <v>226</v>
      </c>
      <c r="E874" s="5">
        <v>4</v>
      </c>
    </row>
    <row r="875" customHeight="1" spans="1:5">
      <c r="A875" s="1" t="s">
        <v>222</v>
      </c>
      <c r="B875" s="54" t="s">
        <v>445</v>
      </c>
      <c r="C875" s="5" t="s">
        <v>447</v>
      </c>
      <c r="D875" s="1" t="s">
        <v>226</v>
      </c>
      <c r="E875" s="5">
        <v>5</v>
      </c>
    </row>
    <row r="876" customHeight="1" spans="1:5">
      <c r="A876" s="1" t="s">
        <v>293</v>
      </c>
      <c r="B876" s="54" t="s">
        <v>445</v>
      </c>
      <c r="C876" s="18" t="s">
        <v>448</v>
      </c>
      <c r="D876" s="1" t="s">
        <v>227</v>
      </c>
      <c r="E876" s="18">
        <v>1</v>
      </c>
    </row>
    <row r="877" customHeight="1" spans="1:5">
      <c r="A877" s="1" t="s">
        <v>293</v>
      </c>
      <c r="B877" s="54" t="s">
        <v>445</v>
      </c>
      <c r="C877" s="18" t="s">
        <v>448</v>
      </c>
      <c r="D877" s="1" t="s">
        <v>227</v>
      </c>
      <c r="E877" s="18">
        <v>2</v>
      </c>
    </row>
    <row r="878" customHeight="1" spans="1:5">
      <c r="A878" s="1" t="s">
        <v>293</v>
      </c>
      <c r="B878" s="54" t="s">
        <v>445</v>
      </c>
      <c r="C878" s="18" t="s">
        <v>448</v>
      </c>
      <c r="D878" s="1" t="s">
        <v>227</v>
      </c>
      <c r="E878" s="18">
        <v>3</v>
      </c>
    </row>
    <row r="879" customHeight="1" spans="1:5">
      <c r="A879" s="1" t="s">
        <v>293</v>
      </c>
      <c r="B879" s="54" t="s">
        <v>445</v>
      </c>
      <c r="C879" s="18" t="s">
        <v>448</v>
      </c>
      <c r="D879" s="1" t="s">
        <v>227</v>
      </c>
      <c r="E879" s="18">
        <v>4</v>
      </c>
    </row>
    <row r="880" customHeight="1" spans="1:5">
      <c r="A880" s="1" t="s">
        <v>293</v>
      </c>
      <c r="B880" s="54" t="s">
        <v>445</v>
      </c>
      <c r="C880" s="18" t="s">
        <v>448</v>
      </c>
      <c r="D880" s="1" t="s">
        <v>227</v>
      </c>
      <c r="E880" s="18">
        <v>5</v>
      </c>
    </row>
    <row r="881" customHeight="1" spans="1:5">
      <c r="A881" s="1" t="s">
        <v>293</v>
      </c>
      <c r="B881" s="54" t="s">
        <v>445</v>
      </c>
      <c r="C881" s="18" t="s">
        <v>448</v>
      </c>
      <c r="D881" s="1" t="s">
        <v>227</v>
      </c>
      <c r="E881" s="18">
        <v>6</v>
      </c>
    </row>
    <row r="882" customHeight="1" spans="1:5">
      <c r="A882" s="1" t="s">
        <v>293</v>
      </c>
      <c r="B882" s="54" t="s">
        <v>445</v>
      </c>
      <c r="C882" s="18" t="s">
        <v>448</v>
      </c>
      <c r="D882" s="1" t="s">
        <v>227</v>
      </c>
      <c r="E882" s="18">
        <v>7</v>
      </c>
    </row>
    <row r="883" customHeight="1" spans="1:5">
      <c r="A883" s="1" t="s">
        <v>293</v>
      </c>
      <c r="B883" s="54" t="s">
        <v>445</v>
      </c>
      <c r="C883" s="18" t="s">
        <v>448</v>
      </c>
      <c r="D883" s="1" t="s">
        <v>227</v>
      </c>
      <c r="E883" s="18">
        <v>8</v>
      </c>
    </row>
    <row r="884" customHeight="1" spans="1:5">
      <c r="A884" s="1" t="s">
        <v>222</v>
      </c>
      <c r="B884" s="53" t="s">
        <v>449</v>
      </c>
      <c r="C884" s="5" t="s">
        <v>450</v>
      </c>
      <c r="D884" s="1" t="s">
        <v>224</v>
      </c>
      <c r="E884" s="5">
        <v>1</v>
      </c>
    </row>
    <row r="885" customHeight="1" spans="1:5">
      <c r="A885" s="1" t="s">
        <v>222</v>
      </c>
      <c r="B885" s="53" t="s">
        <v>449</v>
      </c>
      <c r="C885" s="5" t="s">
        <v>450</v>
      </c>
      <c r="D885" s="1" t="s">
        <v>224</v>
      </c>
      <c r="E885" s="5">
        <v>2</v>
      </c>
    </row>
    <row r="886" customHeight="1" spans="1:5">
      <c r="A886" s="1" t="s">
        <v>222</v>
      </c>
      <c r="B886" s="53" t="s">
        <v>449</v>
      </c>
      <c r="C886" s="5" t="s">
        <v>450</v>
      </c>
      <c r="D886" s="1" t="s">
        <v>224</v>
      </c>
      <c r="E886" s="5">
        <v>3</v>
      </c>
    </row>
    <row r="887" customHeight="1" spans="1:5">
      <c r="A887" s="1" t="s">
        <v>222</v>
      </c>
      <c r="B887" s="53" t="s">
        <v>449</v>
      </c>
      <c r="C887" s="5" t="s">
        <v>450</v>
      </c>
      <c r="D887" s="1" t="s">
        <v>224</v>
      </c>
      <c r="E887" s="5">
        <v>4</v>
      </c>
    </row>
    <row r="888" customHeight="1" spans="1:5">
      <c r="A888" s="1" t="s">
        <v>222</v>
      </c>
      <c r="B888" s="53" t="s">
        <v>449</v>
      </c>
      <c r="C888" s="5" t="s">
        <v>450</v>
      </c>
      <c r="D888" s="1" t="s">
        <v>224</v>
      </c>
      <c r="E888" s="5">
        <v>5</v>
      </c>
    </row>
    <row r="889" customHeight="1" spans="1:5">
      <c r="A889" s="1" t="s">
        <v>222</v>
      </c>
      <c r="B889" s="53" t="s">
        <v>449</v>
      </c>
      <c r="C889" s="18" t="s">
        <v>451</v>
      </c>
      <c r="D889" s="1" t="s">
        <v>226</v>
      </c>
      <c r="E889" s="18">
        <v>1</v>
      </c>
    </row>
    <row r="890" customHeight="1" spans="1:5">
      <c r="A890" s="1" t="s">
        <v>222</v>
      </c>
      <c r="B890" s="53" t="s">
        <v>449</v>
      </c>
      <c r="C890" s="18" t="s">
        <v>451</v>
      </c>
      <c r="D890" s="1" t="s">
        <v>226</v>
      </c>
      <c r="E890" s="18">
        <v>2</v>
      </c>
    </row>
    <row r="891" customHeight="1" spans="1:5">
      <c r="A891" s="1" t="s">
        <v>222</v>
      </c>
      <c r="B891" s="53" t="s">
        <v>449</v>
      </c>
      <c r="C891" s="18" t="s">
        <v>451</v>
      </c>
      <c r="D891" s="1" t="s">
        <v>226</v>
      </c>
      <c r="E891" s="18">
        <v>3</v>
      </c>
    </row>
    <row r="892" customHeight="1" spans="1:5">
      <c r="A892" s="1" t="s">
        <v>222</v>
      </c>
      <c r="B892" s="53" t="s">
        <v>449</v>
      </c>
      <c r="C892" s="18" t="s">
        <v>451</v>
      </c>
      <c r="D892" s="1" t="s">
        <v>226</v>
      </c>
      <c r="E892" s="18">
        <v>4</v>
      </c>
    </row>
    <row r="893" customHeight="1" spans="1:5">
      <c r="A893" s="1" t="s">
        <v>222</v>
      </c>
      <c r="B893" s="53" t="s">
        <v>449</v>
      </c>
      <c r="C893" s="18" t="s">
        <v>451</v>
      </c>
      <c r="D893" s="1" t="s">
        <v>226</v>
      </c>
      <c r="E893" s="18">
        <v>5</v>
      </c>
    </row>
    <row r="894" customHeight="1" spans="1:5">
      <c r="A894" s="1" t="s">
        <v>222</v>
      </c>
      <c r="B894" s="53" t="s">
        <v>449</v>
      </c>
      <c r="C894" s="5" t="s">
        <v>451</v>
      </c>
      <c r="D894" s="1" t="s">
        <v>226</v>
      </c>
      <c r="E894" s="5">
        <v>1</v>
      </c>
    </row>
    <row r="895" customHeight="1" spans="1:5">
      <c r="A895" s="1" t="s">
        <v>222</v>
      </c>
      <c r="B895" s="53" t="s">
        <v>449</v>
      </c>
      <c r="C895" s="5" t="s">
        <v>451</v>
      </c>
      <c r="D895" s="1" t="s">
        <v>226</v>
      </c>
      <c r="E895" s="5">
        <v>2</v>
      </c>
    </row>
    <row r="896" customHeight="1" spans="1:5">
      <c r="A896" s="1" t="s">
        <v>222</v>
      </c>
      <c r="B896" s="53" t="s">
        <v>449</v>
      </c>
      <c r="C896" s="5" t="s">
        <v>451</v>
      </c>
      <c r="D896" s="1" t="s">
        <v>226</v>
      </c>
      <c r="E896" s="5">
        <v>3</v>
      </c>
    </row>
    <row r="897" customHeight="1" spans="1:5">
      <c r="A897" s="1" t="s">
        <v>222</v>
      </c>
      <c r="B897" s="53" t="s">
        <v>449</v>
      </c>
      <c r="C897" s="5" t="s">
        <v>451</v>
      </c>
      <c r="D897" s="1" t="s">
        <v>226</v>
      </c>
      <c r="E897" s="5">
        <v>4</v>
      </c>
    </row>
    <row r="898" customHeight="1" spans="1:5">
      <c r="A898" s="1" t="s">
        <v>222</v>
      </c>
      <c r="B898" s="53" t="s">
        <v>449</v>
      </c>
      <c r="C898" s="5" t="s">
        <v>451</v>
      </c>
      <c r="D898" s="1" t="s">
        <v>226</v>
      </c>
      <c r="E898" s="5">
        <v>5</v>
      </c>
    </row>
    <row r="899" customHeight="1" spans="1:5">
      <c r="A899" s="1" t="s">
        <v>293</v>
      </c>
      <c r="B899" s="53" t="s">
        <v>449</v>
      </c>
      <c r="C899" s="18" t="s">
        <v>452</v>
      </c>
      <c r="D899" s="1" t="s">
        <v>227</v>
      </c>
      <c r="E899" s="18">
        <v>1</v>
      </c>
    </row>
    <row r="900" customHeight="1" spans="1:5">
      <c r="A900" s="1" t="s">
        <v>293</v>
      </c>
      <c r="B900" s="53" t="s">
        <v>449</v>
      </c>
      <c r="C900" s="18" t="s">
        <v>452</v>
      </c>
      <c r="D900" s="1" t="s">
        <v>227</v>
      </c>
      <c r="E900" s="18">
        <v>2</v>
      </c>
    </row>
    <row r="901" customHeight="1" spans="1:5">
      <c r="A901" s="1" t="s">
        <v>293</v>
      </c>
      <c r="B901" s="53" t="s">
        <v>449</v>
      </c>
      <c r="C901" s="18" t="s">
        <v>452</v>
      </c>
      <c r="D901" s="1" t="s">
        <v>227</v>
      </c>
      <c r="E901" s="18">
        <v>3</v>
      </c>
    </row>
    <row r="902" customHeight="1" spans="1:5">
      <c r="A902" s="1" t="s">
        <v>293</v>
      </c>
      <c r="B902" s="53" t="s">
        <v>449</v>
      </c>
      <c r="C902" s="18" t="s">
        <v>452</v>
      </c>
      <c r="D902" s="1" t="s">
        <v>227</v>
      </c>
      <c r="E902" s="18">
        <v>4</v>
      </c>
    </row>
    <row r="903" customHeight="1" spans="1:5">
      <c r="A903" s="1" t="s">
        <v>293</v>
      </c>
      <c r="B903" s="53" t="s">
        <v>449</v>
      </c>
      <c r="C903" s="18" t="s">
        <v>452</v>
      </c>
      <c r="D903" s="1" t="s">
        <v>227</v>
      </c>
      <c r="E903" s="18">
        <v>5</v>
      </c>
    </row>
    <row r="904" customHeight="1" spans="1:5">
      <c r="A904" s="1" t="s">
        <v>293</v>
      </c>
      <c r="B904" s="53" t="s">
        <v>449</v>
      </c>
      <c r="C904" s="18" t="s">
        <v>452</v>
      </c>
      <c r="D904" s="1" t="s">
        <v>227</v>
      </c>
      <c r="E904" s="18">
        <v>6</v>
      </c>
    </row>
    <row r="905" customHeight="1" spans="1:5">
      <c r="A905" s="1" t="s">
        <v>293</v>
      </c>
      <c r="B905" s="53" t="s">
        <v>449</v>
      </c>
      <c r="C905" s="18" t="s">
        <v>452</v>
      </c>
      <c r="D905" s="1" t="s">
        <v>227</v>
      </c>
      <c r="E905" s="18">
        <v>7</v>
      </c>
    </row>
    <row r="906" customHeight="1" spans="1:5">
      <c r="A906" s="1" t="s">
        <v>293</v>
      </c>
      <c r="B906" s="53" t="s">
        <v>449</v>
      </c>
      <c r="C906" s="18" t="s">
        <v>452</v>
      </c>
      <c r="D906" s="1" t="s">
        <v>227</v>
      </c>
      <c r="E906" s="18">
        <v>8</v>
      </c>
    </row>
    <row r="907" customHeight="1" spans="1:5">
      <c r="A907" s="1" t="s">
        <v>222</v>
      </c>
      <c r="B907" s="54" t="s">
        <v>453</v>
      </c>
      <c r="C907" s="5" t="s">
        <v>454</v>
      </c>
      <c r="D907" s="1" t="s">
        <v>224</v>
      </c>
      <c r="E907" s="5">
        <v>1</v>
      </c>
    </row>
    <row r="908" customHeight="1" spans="1:5">
      <c r="A908" s="1" t="s">
        <v>222</v>
      </c>
      <c r="B908" s="54" t="s">
        <v>453</v>
      </c>
      <c r="C908" s="5" t="s">
        <v>454</v>
      </c>
      <c r="D908" s="1" t="s">
        <v>224</v>
      </c>
      <c r="E908" s="5">
        <v>2</v>
      </c>
    </row>
    <row r="909" customHeight="1" spans="1:5">
      <c r="A909" s="1" t="s">
        <v>222</v>
      </c>
      <c r="B909" s="54" t="s">
        <v>453</v>
      </c>
      <c r="C909" s="5" t="s">
        <v>454</v>
      </c>
      <c r="D909" s="1" t="s">
        <v>224</v>
      </c>
      <c r="E909" s="5">
        <v>3</v>
      </c>
    </row>
    <row r="910" customHeight="1" spans="1:5">
      <c r="A910" s="1" t="s">
        <v>222</v>
      </c>
      <c r="B910" s="54" t="s">
        <v>453</v>
      </c>
      <c r="C910" s="5" t="s">
        <v>454</v>
      </c>
      <c r="D910" s="1" t="s">
        <v>224</v>
      </c>
      <c r="E910" s="5">
        <v>4</v>
      </c>
    </row>
    <row r="911" customHeight="1" spans="1:5">
      <c r="A911" s="1" t="s">
        <v>222</v>
      </c>
      <c r="B911" s="54" t="s">
        <v>453</v>
      </c>
      <c r="C911" s="5" t="s">
        <v>454</v>
      </c>
      <c r="D911" s="1" t="s">
        <v>224</v>
      </c>
      <c r="E911" s="5">
        <v>5</v>
      </c>
    </row>
    <row r="912" customHeight="1" spans="1:5">
      <c r="A912" s="1" t="s">
        <v>222</v>
      </c>
      <c r="B912" s="54" t="s">
        <v>453</v>
      </c>
      <c r="C912" s="18" t="s">
        <v>455</v>
      </c>
      <c r="D912" s="1" t="s">
        <v>226</v>
      </c>
      <c r="E912" s="18">
        <v>1</v>
      </c>
    </row>
    <row r="913" customHeight="1" spans="1:5">
      <c r="A913" s="1" t="s">
        <v>222</v>
      </c>
      <c r="B913" s="54" t="s">
        <v>453</v>
      </c>
      <c r="C913" s="18" t="s">
        <v>455</v>
      </c>
      <c r="D913" s="1" t="s">
        <v>226</v>
      </c>
      <c r="E913" s="18">
        <v>2</v>
      </c>
    </row>
    <row r="914" customHeight="1" spans="1:5">
      <c r="A914" s="1" t="s">
        <v>222</v>
      </c>
      <c r="B914" s="54" t="s">
        <v>453</v>
      </c>
      <c r="C914" s="18" t="s">
        <v>455</v>
      </c>
      <c r="D914" s="1" t="s">
        <v>226</v>
      </c>
      <c r="E914" s="18">
        <v>3</v>
      </c>
    </row>
    <row r="915" customHeight="1" spans="1:5">
      <c r="A915" s="1" t="s">
        <v>222</v>
      </c>
      <c r="B915" s="54" t="s">
        <v>453</v>
      </c>
      <c r="C915" s="18" t="s">
        <v>455</v>
      </c>
      <c r="D915" s="1" t="s">
        <v>226</v>
      </c>
      <c r="E915" s="18">
        <v>4</v>
      </c>
    </row>
    <row r="916" customHeight="1" spans="1:5">
      <c r="A916" s="1" t="s">
        <v>222</v>
      </c>
      <c r="B916" s="54" t="s">
        <v>453</v>
      </c>
      <c r="C916" s="18" t="s">
        <v>455</v>
      </c>
      <c r="D916" s="1" t="s">
        <v>226</v>
      </c>
      <c r="E916" s="18">
        <v>5</v>
      </c>
    </row>
    <row r="917" customHeight="1" spans="1:5">
      <c r="A917" s="1" t="s">
        <v>222</v>
      </c>
      <c r="B917" s="54" t="s">
        <v>453</v>
      </c>
      <c r="C917" s="5" t="s">
        <v>455</v>
      </c>
      <c r="D917" s="1" t="s">
        <v>226</v>
      </c>
      <c r="E917" s="5">
        <v>1</v>
      </c>
    </row>
    <row r="918" customHeight="1" spans="1:5">
      <c r="A918" s="1" t="s">
        <v>222</v>
      </c>
      <c r="B918" s="54" t="s">
        <v>453</v>
      </c>
      <c r="C918" s="5" t="s">
        <v>455</v>
      </c>
      <c r="D918" s="1" t="s">
        <v>226</v>
      </c>
      <c r="E918" s="5">
        <v>2</v>
      </c>
    </row>
    <row r="919" customHeight="1" spans="1:5">
      <c r="A919" s="1" t="s">
        <v>222</v>
      </c>
      <c r="B919" s="54" t="s">
        <v>453</v>
      </c>
      <c r="C919" s="5" t="s">
        <v>455</v>
      </c>
      <c r="D919" s="1" t="s">
        <v>226</v>
      </c>
      <c r="E919" s="5">
        <v>3</v>
      </c>
    </row>
    <row r="920" customHeight="1" spans="1:5">
      <c r="A920" s="1" t="s">
        <v>222</v>
      </c>
      <c r="B920" s="54" t="s">
        <v>453</v>
      </c>
      <c r="C920" s="5" t="s">
        <v>455</v>
      </c>
      <c r="D920" s="1" t="s">
        <v>226</v>
      </c>
      <c r="E920" s="5">
        <v>4</v>
      </c>
    </row>
    <row r="921" customHeight="1" spans="1:5">
      <c r="A921" s="1" t="s">
        <v>222</v>
      </c>
      <c r="B921" s="54" t="s">
        <v>453</v>
      </c>
      <c r="C921" s="5" t="s">
        <v>455</v>
      </c>
      <c r="D921" s="1" t="s">
        <v>226</v>
      </c>
      <c r="E921" s="5">
        <v>5</v>
      </c>
    </row>
    <row r="922" customHeight="1" spans="1:5">
      <c r="A922" s="1" t="s">
        <v>293</v>
      </c>
      <c r="B922" s="54" t="s">
        <v>453</v>
      </c>
      <c r="C922" s="18" t="s">
        <v>456</v>
      </c>
      <c r="D922" s="1" t="s">
        <v>227</v>
      </c>
      <c r="E922" s="18">
        <v>1</v>
      </c>
    </row>
    <row r="923" customHeight="1" spans="1:5">
      <c r="A923" s="1" t="s">
        <v>293</v>
      </c>
      <c r="B923" s="54" t="s">
        <v>453</v>
      </c>
      <c r="C923" s="18" t="s">
        <v>456</v>
      </c>
      <c r="D923" s="1" t="s">
        <v>227</v>
      </c>
      <c r="E923" s="18">
        <v>2</v>
      </c>
    </row>
    <row r="924" customHeight="1" spans="1:5">
      <c r="A924" s="1" t="s">
        <v>293</v>
      </c>
      <c r="B924" s="54" t="s">
        <v>453</v>
      </c>
      <c r="C924" s="18" t="s">
        <v>456</v>
      </c>
      <c r="D924" s="1" t="s">
        <v>227</v>
      </c>
      <c r="E924" s="18">
        <v>3</v>
      </c>
    </row>
    <row r="925" customHeight="1" spans="1:5">
      <c r="A925" s="1" t="s">
        <v>293</v>
      </c>
      <c r="B925" s="54" t="s">
        <v>453</v>
      </c>
      <c r="C925" s="18" t="s">
        <v>456</v>
      </c>
      <c r="D925" s="1" t="s">
        <v>227</v>
      </c>
      <c r="E925" s="18">
        <v>4</v>
      </c>
    </row>
    <row r="926" customHeight="1" spans="1:5">
      <c r="A926" s="1" t="s">
        <v>293</v>
      </c>
      <c r="B926" s="54" t="s">
        <v>453</v>
      </c>
      <c r="C926" s="18" t="s">
        <v>456</v>
      </c>
      <c r="D926" s="1" t="s">
        <v>227</v>
      </c>
      <c r="E926" s="18">
        <v>5</v>
      </c>
    </row>
    <row r="927" customHeight="1" spans="1:5">
      <c r="A927" s="1" t="s">
        <v>293</v>
      </c>
      <c r="B927" s="54" t="s">
        <v>453</v>
      </c>
      <c r="C927" s="18" t="s">
        <v>456</v>
      </c>
      <c r="D927" s="1" t="s">
        <v>227</v>
      </c>
      <c r="E927" s="18">
        <v>6</v>
      </c>
    </row>
    <row r="928" customHeight="1" spans="1:5">
      <c r="A928" s="1" t="s">
        <v>293</v>
      </c>
      <c r="B928" s="54" t="s">
        <v>453</v>
      </c>
      <c r="C928" s="18" t="s">
        <v>456</v>
      </c>
      <c r="D928" s="1" t="s">
        <v>227</v>
      </c>
      <c r="E928" s="18">
        <v>7</v>
      </c>
    </row>
    <row r="929" customHeight="1" spans="1:5">
      <c r="A929" s="1" t="s">
        <v>293</v>
      </c>
      <c r="B929" s="54" t="s">
        <v>453</v>
      </c>
      <c r="C929" s="18" t="s">
        <v>456</v>
      </c>
      <c r="D929" s="1" t="s">
        <v>227</v>
      </c>
      <c r="E929" s="18">
        <v>8</v>
      </c>
    </row>
    <row r="930" customHeight="1" spans="1:5">
      <c r="A930" s="1" t="s">
        <v>222</v>
      </c>
      <c r="B930" s="53" t="s">
        <v>457</v>
      </c>
      <c r="C930" s="5" t="s">
        <v>458</v>
      </c>
      <c r="D930" s="1" t="s">
        <v>224</v>
      </c>
      <c r="E930" s="5">
        <v>1</v>
      </c>
    </row>
    <row r="931" customHeight="1" spans="1:5">
      <c r="A931" s="1" t="s">
        <v>222</v>
      </c>
      <c r="B931" s="53" t="s">
        <v>457</v>
      </c>
      <c r="C931" s="5" t="s">
        <v>458</v>
      </c>
      <c r="D931" s="1" t="s">
        <v>224</v>
      </c>
      <c r="E931" s="5">
        <v>2</v>
      </c>
    </row>
    <row r="932" customHeight="1" spans="1:5">
      <c r="A932" s="1" t="s">
        <v>222</v>
      </c>
      <c r="B932" s="53" t="s">
        <v>457</v>
      </c>
      <c r="C932" s="5" t="s">
        <v>458</v>
      </c>
      <c r="D932" s="1" t="s">
        <v>224</v>
      </c>
      <c r="E932" s="5">
        <v>3</v>
      </c>
    </row>
    <row r="933" customHeight="1" spans="1:5">
      <c r="A933" s="1" t="s">
        <v>222</v>
      </c>
      <c r="B933" s="53" t="s">
        <v>457</v>
      </c>
      <c r="C933" s="5" t="s">
        <v>458</v>
      </c>
      <c r="D933" s="1" t="s">
        <v>224</v>
      </c>
      <c r="E933" s="5">
        <v>4</v>
      </c>
    </row>
    <row r="934" customHeight="1" spans="1:5">
      <c r="A934" s="1" t="s">
        <v>222</v>
      </c>
      <c r="B934" s="53" t="s">
        <v>457</v>
      </c>
      <c r="C934" s="5" t="s">
        <v>458</v>
      </c>
      <c r="D934" s="1" t="s">
        <v>224</v>
      </c>
      <c r="E934" s="5">
        <v>5</v>
      </c>
    </row>
    <row r="935" customHeight="1" spans="1:5">
      <c r="A935" s="1" t="s">
        <v>222</v>
      </c>
      <c r="B935" s="53" t="s">
        <v>457</v>
      </c>
      <c r="C935" s="18" t="s">
        <v>459</v>
      </c>
      <c r="D935" s="1" t="s">
        <v>226</v>
      </c>
      <c r="E935" s="18">
        <v>1</v>
      </c>
    </row>
    <row r="936" customHeight="1" spans="1:5">
      <c r="A936" s="1" t="s">
        <v>222</v>
      </c>
      <c r="B936" s="53" t="s">
        <v>457</v>
      </c>
      <c r="C936" s="18" t="s">
        <v>459</v>
      </c>
      <c r="D936" s="1" t="s">
        <v>226</v>
      </c>
      <c r="E936" s="18">
        <v>2</v>
      </c>
    </row>
    <row r="937" customHeight="1" spans="1:5">
      <c r="A937" s="1" t="s">
        <v>222</v>
      </c>
      <c r="B937" s="53" t="s">
        <v>457</v>
      </c>
      <c r="C937" s="18" t="s">
        <v>459</v>
      </c>
      <c r="D937" s="1" t="s">
        <v>226</v>
      </c>
      <c r="E937" s="18">
        <v>3</v>
      </c>
    </row>
    <row r="938" customHeight="1" spans="1:5">
      <c r="A938" s="1" t="s">
        <v>222</v>
      </c>
      <c r="B938" s="53" t="s">
        <v>457</v>
      </c>
      <c r="C938" s="18" t="s">
        <v>459</v>
      </c>
      <c r="D938" s="1" t="s">
        <v>226</v>
      </c>
      <c r="E938" s="18">
        <v>4</v>
      </c>
    </row>
    <row r="939" customHeight="1" spans="1:5">
      <c r="A939" s="1" t="s">
        <v>222</v>
      </c>
      <c r="B939" s="53" t="s">
        <v>457</v>
      </c>
      <c r="C939" s="18" t="s">
        <v>459</v>
      </c>
      <c r="D939" s="1" t="s">
        <v>226</v>
      </c>
      <c r="E939" s="18">
        <v>5</v>
      </c>
    </row>
    <row r="940" customHeight="1" spans="1:5">
      <c r="A940" s="1" t="s">
        <v>222</v>
      </c>
      <c r="B940" s="53" t="s">
        <v>457</v>
      </c>
      <c r="C940" s="5" t="s">
        <v>459</v>
      </c>
      <c r="D940" s="1" t="s">
        <v>226</v>
      </c>
      <c r="E940" s="5">
        <v>1</v>
      </c>
    </row>
    <row r="941" customHeight="1" spans="1:5">
      <c r="A941" s="1" t="s">
        <v>222</v>
      </c>
      <c r="B941" s="53" t="s">
        <v>457</v>
      </c>
      <c r="C941" s="5" t="s">
        <v>459</v>
      </c>
      <c r="D941" s="1" t="s">
        <v>226</v>
      </c>
      <c r="E941" s="5">
        <v>2</v>
      </c>
    </row>
    <row r="942" customHeight="1" spans="1:5">
      <c r="A942" s="1" t="s">
        <v>222</v>
      </c>
      <c r="B942" s="53" t="s">
        <v>457</v>
      </c>
      <c r="C942" s="5" t="s">
        <v>459</v>
      </c>
      <c r="D942" s="1" t="s">
        <v>226</v>
      </c>
      <c r="E942" s="5">
        <v>3</v>
      </c>
    </row>
    <row r="943" customHeight="1" spans="1:5">
      <c r="A943" s="1" t="s">
        <v>222</v>
      </c>
      <c r="B943" s="53" t="s">
        <v>457</v>
      </c>
      <c r="C943" s="5" t="s">
        <v>459</v>
      </c>
      <c r="D943" s="1" t="s">
        <v>226</v>
      </c>
      <c r="E943" s="5">
        <v>4</v>
      </c>
    </row>
    <row r="944" customHeight="1" spans="1:5">
      <c r="A944" s="1" t="s">
        <v>222</v>
      </c>
      <c r="B944" s="53" t="s">
        <v>457</v>
      </c>
      <c r="C944" s="5" t="s">
        <v>459</v>
      </c>
      <c r="D944" s="1" t="s">
        <v>226</v>
      </c>
      <c r="E944" s="5">
        <v>5</v>
      </c>
    </row>
    <row r="945" customHeight="1" spans="1:5">
      <c r="A945" s="1" t="s">
        <v>293</v>
      </c>
      <c r="B945" s="53" t="s">
        <v>457</v>
      </c>
      <c r="C945" s="18" t="s">
        <v>460</v>
      </c>
      <c r="D945" s="1" t="s">
        <v>227</v>
      </c>
      <c r="E945" s="18">
        <v>1</v>
      </c>
    </row>
    <row r="946" customHeight="1" spans="1:5">
      <c r="A946" s="1" t="s">
        <v>293</v>
      </c>
      <c r="B946" s="53" t="s">
        <v>457</v>
      </c>
      <c r="C946" s="18" t="s">
        <v>460</v>
      </c>
      <c r="D946" s="1" t="s">
        <v>227</v>
      </c>
      <c r="E946" s="18">
        <v>2</v>
      </c>
    </row>
    <row r="947" customHeight="1" spans="1:5">
      <c r="A947" s="1" t="s">
        <v>293</v>
      </c>
      <c r="B947" s="53" t="s">
        <v>457</v>
      </c>
      <c r="C947" s="18" t="s">
        <v>460</v>
      </c>
      <c r="D947" s="1" t="s">
        <v>227</v>
      </c>
      <c r="E947" s="18">
        <v>3</v>
      </c>
    </row>
    <row r="948" customHeight="1" spans="1:5">
      <c r="A948" s="1" t="s">
        <v>293</v>
      </c>
      <c r="B948" s="53" t="s">
        <v>457</v>
      </c>
      <c r="C948" s="18" t="s">
        <v>460</v>
      </c>
      <c r="D948" s="1" t="s">
        <v>227</v>
      </c>
      <c r="E948" s="18">
        <v>4</v>
      </c>
    </row>
    <row r="949" customHeight="1" spans="1:5">
      <c r="A949" s="1" t="s">
        <v>293</v>
      </c>
      <c r="B949" s="53" t="s">
        <v>457</v>
      </c>
      <c r="C949" s="18" t="s">
        <v>460</v>
      </c>
      <c r="D949" s="1" t="s">
        <v>227</v>
      </c>
      <c r="E949" s="18">
        <v>5</v>
      </c>
    </row>
    <row r="950" customHeight="1" spans="1:5">
      <c r="A950" s="1" t="s">
        <v>293</v>
      </c>
      <c r="B950" s="53" t="s">
        <v>457</v>
      </c>
      <c r="C950" s="18" t="s">
        <v>460</v>
      </c>
      <c r="D950" s="1" t="s">
        <v>227</v>
      </c>
      <c r="E950" s="18">
        <v>6</v>
      </c>
    </row>
    <row r="951" customHeight="1" spans="1:5">
      <c r="A951" s="1" t="s">
        <v>293</v>
      </c>
      <c r="B951" s="53" t="s">
        <v>457</v>
      </c>
      <c r="C951" s="18" t="s">
        <v>460</v>
      </c>
      <c r="D951" s="1" t="s">
        <v>227</v>
      </c>
      <c r="E951" s="18">
        <v>7</v>
      </c>
    </row>
    <row r="952" customHeight="1" spans="1:5">
      <c r="A952" s="1" t="s">
        <v>293</v>
      </c>
      <c r="B952" s="53" t="s">
        <v>457</v>
      </c>
      <c r="C952" s="18" t="s">
        <v>460</v>
      </c>
      <c r="D952" s="1" t="s">
        <v>227</v>
      </c>
      <c r="E952" s="18">
        <v>8</v>
      </c>
    </row>
    <row r="953" customHeight="1" spans="1:5">
      <c r="A953" s="1" t="s">
        <v>222</v>
      </c>
      <c r="B953" s="54" t="s">
        <v>461</v>
      </c>
      <c r="C953" s="5" t="s">
        <v>462</v>
      </c>
      <c r="D953" s="1" t="s">
        <v>224</v>
      </c>
      <c r="E953" s="5">
        <v>1</v>
      </c>
    </row>
    <row r="954" customHeight="1" spans="1:5">
      <c r="A954" s="1" t="s">
        <v>222</v>
      </c>
      <c r="B954" s="54" t="s">
        <v>461</v>
      </c>
      <c r="C954" s="5" t="s">
        <v>462</v>
      </c>
      <c r="D954" s="1" t="s">
        <v>224</v>
      </c>
      <c r="E954" s="5">
        <v>2</v>
      </c>
    </row>
    <row r="955" customHeight="1" spans="1:5">
      <c r="A955" s="1" t="s">
        <v>222</v>
      </c>
      <c r="B955" s="54" t="s">
        <v>461</v>
      </c>
      <c r="C955" s="5" t="s">
        <v>462</v>
      </c>
      <c r="D955" s="1" t="s">
        <v>224</v>
      </c>
      <c r="E955" s="5">
        <v>3</v>
      </c>
    </row>
    <row r="956" customHeight="1" spans="1:5">
      <c r="A956" s="1" t="s">
        <v>222</v>
      </c>
      <c r="B956" s="54" t="s">
        <v>461</v>
      </c>
      <c r="C956" s="5" t="s">
        <v>462</v>
      </c>
      <c r="D956" s="1" t="s">
        <v>224</v>
      </c>
      <c r="E956" s="5">
        <v>4</v>
      </c>
    </row>
    <row r="957" customHeight="1" spans="1:5">
      <c r="A957" s="1" t="s">
        <v>222</v>
      </c>
      <c r="B957" s="54" t="s">
        <v>461</v>
      </c>
      <c r="C957" s="5" t="s">
        <v>462</v>
      </c>
      <c r="D957" s="1" t="s">
        <v>224</v>
      </c>
      <c r="E957" s="5">
        <v>5</v>
      </c>
    </row>
    <row r="958" customHeight="1" spans="1:5">
      <c r="A958" s="1" t="s">
        <v>222</v>
      </c>
      <c r="B958" s="54" t="s">
        <v>461</v>
      </c>
      <c r="C958" s="18" t="s">
        <v>463</v>
      </c>
      <c r="D958" s="1" t="s">
        <v>226</v>
      </c>
      <c r="E958" s="18">
        <v>1</v>
      </c>
    </row>
    <row r="959" customHeight="1" spans="1:5">
      <c r="A959" s="1" t="s">
        <v>222</v>
      </c>
      <c r="B959" s="54" t="s">
        <v>461</v>
      </c>
      <c r="C959" s="18" t="s">
        <v>463</v>
      </c>
      <c r="D959" s="1" t="s">
        <v>226</v>
      </c>
      <c r="E959" s="18">
        <v>2</v>
      </c>
    </row>
    <row r="960" customHeight="1" spans="1:5">
      <c r="A960" s="1" t="s">
        <v>222</v>
      </c>
      <c r="B960" s="54" t="s">
        <v>461</v>
      </c>
      <c r="C960" s="18" t="s">
        <v>463</v>
      </c>
      <c r="D960" s="1" t="s">
        <v>226</v>
      </c>
      <c r="E960" s="18">
        <v>3</v>
      </c>
    </row>
    <row r="961" customHeight="1" spans="1:5">
      <c r="A961" s="1" t="s">
        <v>222</v>
      </c>
      <c r="B961" s="54" t="s">
        <v>461</v>
      </c>
      <c r="C961" s="18" t="s">
        <v>463</v>
      </c>
      <c r="D961" s="1" t="s">
        <v>226</v>
      </c>
      <c r="E961" s="18">
        <v>4</v>
      </c>
    </row>
    <row r="962" customHeight="1" spans="1:5">
      <c r="A962" s="1" t="s">
        <v>222</v>
      </c>
      <c r="B962" s="54" t="s">
        <v>461</v>
      </c>
      <c r="C962" s="18" t="s">
        <v>463</v>
      </c>
      <c r="D962" s="1" t="s">
        <v>226</v>
      </c>
      <c r="E962" s="18">
        <v>5</v>
      </c>
    </row>
    <row r="963" customHeight="1" spans="1:5">
      <c r="A963" s="1" t="s">
        <v>222</v>
      </c>
      <c r="B963" s="54" t="s">
        <v>461</v>
      </c>
      <c r="C963" s="5" t="s">
        <v>463</v>
      </c>
      <c r="D963" s="1" t="s">
        <v>226</v>
      </c>
      <c r="E963" s="5">
        <v>1</v>
      </c>
    </row>
    <row r="964" customHeight="1" spans="1:5">
      <c r="A964" s="1" t="s">
        <v>222</v>
      </c>
      <c r="B964" s="54" t="s">
        <v>461</v>
      </c>
      <c r="C964" s="5" t="s">
        <v>463</v>
      </c>
      <c r="D964" s="1" t="s">
        <v>226</v>
      </c>
      <c r="E964" s="5">
        <v>2</v>
      </c>
    </row>
    <row r="965" customHeight="1" spans="1:5">
      <c r="A965" s="1" t="s">
        <v>222</v>
      </c>
      <c r="B965" s="54" t="s">
        <v>461</v>
      </c>
      <c r="C965" s="5" t="s">
        <v>463</v>
      </c>
      <c r="D965" s="1" t="s">
        <v>226</v>
      </c>
      <c r="E965" s="5">
        <v>3</v>
      </c>
    </row>
    <row r="966" customHeight="1" spans="1:5">
      <c r="A966" s="1" t="s">
        <v>222</v>
      </c>
      <c r="B966" s="54" t="s">
        <v>461</v>
      </c>
      <c r="C966" s="5" t="s">
        <v>463</v>
      </c>
      <c r="D966" s="1" t="s">
        <v>226</v>
      </c>
      <c r="E966" s="5">
        <v>4</v>
      </c>
    </row>
    <row r="967" customHeight="1" spans="1:5">
      <c r="A967" s="1" t="s">
        <v>222</v>
      </c>
      <c r="B967" s="54" t="s">
        <v>461</v>
      </c>
      <c r="C967" s="5" t="s">
        <v>463</v>
      </c>
      <c r="D967" s="1" t="s">
        <v>226</v>
      </c>
      <c r="E967" s="5">
        <v>5</v>
      </c>
    </row>
    <row r="968" customHeight="1" spans="1:5">
      <c r="A968" s="1" t="s">
        <v>293</v>
      </c>
      <c r="B968" s="54" t="s">
        <v>461</v>
      </c>
      <c r="C968" s="18" t="s">
        <v>464</v>
      </c>
      <c r="D968" s="1" t="s">
        <v>227</v>
      </c>
      <c r="E968" s="18">
        <v>1</v>
      </c>
    </row>
    <row r="969" customHeight="1" spans="1:5">
      <c r="A969" s="1" t="s">
        <v>293</v>
      </c>
      <c r="B969" s="54" t="s">
        <v>461</v>
      </c>
      <c r="C969" s="18" t="s">
        <v>464</v>
      </c>
      <c r="D969" s="1" t="s">
        <v>227</v>
      </c>
      <c r="E969" s="18">
        <v>2</v>
      </c>
    </row>
    <row r="970" customHeight="1" spans="1:5">
      <c r="A970" s="1" t="s">
        <v>293</v>
      </c>
      <c r="B970" s="54" t="s">
        <v>461</v>
      </c>
      <c r="C970" s="18" t="s">
        <v>464</v>
      </c>
      <c r="D970" s="1" t="s">
        <v>227</v>
      </c>
      <c r="E970" s="18">
        <v>3</v>
      </c>
    </row>
    <row r="971" customHeight="1" spans="1:5">
      <c r="A971" s="1" t="s">
        <v>293</v>
      </c>
      <c r="B971" s="54" t="s">
        <v>461</v>
      </c>
      <c r="C971" s="18" t="s">
        <v>464</v>
      </c>
      <c r="D971" s="1" t="s">
        <v>227</v>
      </c>
      <c r="E971" s="18">
        <v>4</v>
      </c>
    </row>
    <row r="972" customHeight="1" spans="1:5">
      <c r="A972" s="1" t="s">
        <v>293</v>
      </c>
      <c r="B972" s="54" t="s">
        <v>461</v>
      </c>
      <c r="C972" s="18" t="s">
        <v>464</v>
      </c>
      <c r="D972" s="1" t="s">
        <v>227</v>
      </c>
      <c r="E972" s="18">
        <v>5</v>
      </c>
    </row>
    <row r="973" customHeight="1" spans="1:5">
      <c r="A973" s="1" t="s">
        <v>293</v>
      </c>
      <c r="B973" s="54" t="s">
        <v>461</v>
      </c>
      <c r="C973" s="18" t="s">
        <v>464</v>
      </c>
      <c r="D973" s="1" t="s">
        <v>227</v>
      </c>
      <c r="E973" s="18">
        <v>6</v>
      </c>
    </row>
    <row r="974" customHeight="1" spans="1:5">
      <c r="A974" s="1" t="s">
        <v>293</v>
      </c>
      <c r="B974" s="54" t="s">
        <v>461</v>
      </c>
      <c r="C974" s="18" t="s">
        <v>464</v>
      </c>
      <c r="D974" s="1" t="s">
        <v>227</v>
      </c>
      <c r="E974" s="18">
        <v>7</v>
      </c>
    </row>
    <row r="975" customHeight="1" spans="1:5">
      <c r="A975" s="1" t="s">
        <v>293</v>
      </c>
      <c r="B975" s="54" t="s">
        <v>461</v>
      </c>
      <c r="C975" s="18" t="s">
        <v>464</v>
      </c>
      <c r="D975" s="1" t="s">
        <v>227</v>
      </c>
      <c r="E975" s="18">
        <v>8</v>
      </c>
    </row>
    <row r="976" customHeight="1" spans="1:5">
      <c r="A976" s="1" t="s">
        <v>222</v>
      </c>
      <c r="B976" s="53" t="s">
        <v>465</v>
      </c>
      <c r="C976" s="5" t="s">
        <v>466</v>
      </c>
      <c r="D976" s="1" t="s">
        <v>224</v>
      </c>
      <c r="E976" s="5">
        <v>1</v>
      </c>
    </row>
    <row r="977" customHeight="1" spans="1:5">
      <c r="A977" s="1" t="s">
        <v>222</v>
      </c>
      <c r="B977" s="53" t="s">
        <v>465</v>
      </c>
      <c r="C977" s="5" t="s">
        <v>466</v>
      </c>
      <c r="D977" s="1" t="s">
        <v>224</v>
      </c>
      <c r="E977" s="5">
        <v>2</v>
      </c>
    </row>
    <row r="978" customHeight="1" spans="1:5">
      <c r="A978" s="1" t="s">
        <v>222</v>
      </c>
      <c r="B978" s="53" t="s">
        <v>465</v>
      </c>
      <c r="C978" s="5" t="s">
        <v>466</v>
      </c>
      <c r="D978" s="1" t="s">
        <v>224</v>
      </c>
      <c r="E978" s="5">
        <v>3</v>
      </c>
    </row>
    <row r="979" customHeight="1" spans="1:5">
      <c r="A979" s="1" t="s">
        <v>222</v>
      </c>
      <c r="B979" s="53" t="s">
        <v>465</v>
      </c>
      <c r="C979" s="5" t="s">
        <v>466</v>
      </c>
      <c r="D979" s="1" t="s">
        <v>224</v>
      </c>
      <c r="E979" s="5">
        <v>4</v>
      </c>
    </row>
    <row r="980" customHeight="1" spans="1:5">
      <c r="A980" s="1" t="s">
        <v>222</v>
      </c>
      <c r="B980" s="53" t="s">
        <v>465</v>
      </c>
      <c r="C980" s="5" t="s">
        <v>466</v>
      </c>
      <c r="D980" s="1" t="s">
        <v>224</v>
      </c>
      <c r="E980" s="5">
        <v>5</v>
      </c>
    </row>
    <row r="981" customHeight="1" spans="1:5">
      <c r="A981" s="1" t="s">
        <v>222</v>
      </c>
      <c r="B981" s="53" t="s">
        <v>465</v>
      </c>
      <c r="C981" s="18" t="s">
        <v>467</v>
      </c>
      <c r="D981" s="1" t="s">
        <v>226</v>
      </c>
      <c r="E981" s="18">
        <v>1</v>
      </c>
    </row>
    <row r="982" customHeight="1" spans="1:5">
      <c r="A982" s="1" t="s">
        <v>222</v>
      </c>
      <c r="B982" s="53" t="s">
        <v>465</v>
      </c>
      <c r="C982" s="18" t="s">
        <v>467</v>
      </c>
      <c r="D982" s="1" t="s">
        <v>226</v>
      </c>
      <c r="E982" s="18">
        <v>2</v>
      </c>
    </row>
    <row r="983" customHeight="1" spans="1:5">
      <c r="A983" s="1" t="s">
        <v>222</v>
      </c>
      <c r="B983" s="53" t="s">
        <v>465</v>
      </c>
      <c r="C983" s="18" t="s">
        <v>467</v>
      </c>
      <c r="D983" s="1" t="s">
        <v>226</v>
      </c>
      <c r="E983" s="18">
        <v>3</v>
      </c>
    </row>
    <row r="984" customHeight="1" spans="1:5">
      <c r="A984" s="1" t="s">
        <v>222</v>
      </c>
      <c r="B984" s="53" t="s">
        <v>465</v>
      </c>
      <c r="C984" s="18" t="s">
        <v>467</v>
      </c>
      <c r="D984" s="1" t="s">
        <v>226</v>
      </c>
      <c r="E984" s="18">
        <v>4</v>
      </c>
    </row>
    <row r="985" customHeight="1" spans="1:5">
      <c r="A985" s="1" t="s">
        <v>222</v>
      </c>
      <c r="B985" s="53" t="s">
        <v>465</v>
      </c>
      <c r="C985" s="18" t="s">
        <v>467</v>
      </c>
      <c r="D985" s="1" t="s">
        <v>226</v>
      </c>
      <c r="E985" s="18">
        <v>5</v>
      </c>
    </row>
    <row r="986" customHeight="1" spans="1:5">
      <c r="A986" s="1" t="s">
        <v>222</v>
      </c>
      <c r="B986" s="53" t="s">
        <v>465</v>
      </c>
      <c r="C986" s="5" t="s">
        <v>467</v>
      </c>
      <c r="D986" s="1" t="s">
        <v>226</v>
      </c>
      <c r="E986" s="5">
        <v>1</v>
      </c>
    </row>
    <row r="987" customHeight="1" spans="1:5">
      <c r="A987" s="1" t="s">
        <v>222</v>
      </c>
      <c r="B987" s="53" t="s">
        <v>465</v>
      </c>
      <c r="C987" s="5" t="s">
        <v>467</v>
      </c>
      <c r="D987" s="1" t="s">
        <v>226</v>
      </c>
      <c r="E987" s="5">
        <v>2</v>
      </c>
    </row>
    <row r="988" customHeight="1" spans="1:5">
      <c r="A988" s="1" t="s">
        <v>222</v>
      </c>
      <c r="B988" s="53" t="s">
        <v>465</v>
      </c>
      <c r="C988" s="5" t="s">
        <v>467</v>
      </c>
      <c r="D988" s="1" t="s">
        <v>226</v>
      </c>
      <c r="E988" s="5">
        <v>3</v>
      </c>
    </row>
    <row r="989" customHeight="1" spans="1:5">
      <c r="A989" s="1" t="s">
        <v>222</v>
      </c>
      <c r="B989" s="53" t="s">
        <v>465</v>
      </c>
      <c r="C989" s="5" t="s">
        <v>467</v>
      </c>
      <c r="D989" s="1" t="s">
        <v>226</v>
      </c>
      <c r="E989" s="5">
        <v>4</v>
      </c>
    </row>
    <row r="990" customHeight="1" spans="1:5">
      <c r="A990" s="1" t="s">
        <v>222</v>
      </c>
      <c r="B990" s="53" t="s">
        <v>465</v>
      </c>
      <c r="C990" s="5" t="s">
        <v>467</v>
      </c>
      <c r="D990" s="1" t="s">
        <v>226</v>
      </c>
      <c r="E990" s="5">
        <v>5</v>
      </c>
    </row>
    <row r="991" customHeight="1" spans="1:5">
      <c r="A991" s="1" t="s">
        <v>293</v>
      </c>
      <c r="B991" s="53" t="s">
        <v>465</v>
      </c>
      <c r="C991" s="18" t="s">
        <v>468</v>
      </c>
      <c r="D991" s="1" t="s">
        <v>227</v>
      </c>
      <c r="E991" s="18">
        <v>1</v>
      </c>
    </row>
    <row r="992" customHeight="1" spans="1:5">
      <c r="A992" s="1" t="s">
        <v>293</v>
      </c>
      <c r="B992" s="53" t="s">
        <v>465</v>
      </c>
      <c r="C992" s="18" t="s">
        <v>468</v>
      </c>
      <c r="D992" s="1" t="s">
        <v>227</v>
      </c>
      <c r="E992" s="18">
        <v>2</v>
      </c>
    </row>
    <row r="993" customHeight="1" spans="1:5">
      <c r="A993" s="1" t="s">
        <v>293</v>
      </c>
      <c r="B993" s="53" t="s">
        <v>465</v>
      </c>
      <c r="C993" s="18" t="s">
        <v>468</v>
      </c>
      <c r="D993" s="1" t="s">
        <v>227</v>
      </c>
      <c r="E993" s="18">
        <v>3</v>
      </c>
    </row>
    <row r="994" customHeight="1" spans="1:5">
      <c r="A994" s="1" t="s">
        <v>293</v>
      </c>
      <c r="B994" s="53" t="s">
        <v>465</v>
      </c>
      <c r="C994" s="18" t="s">
        <v>468</v>
      </c>
      <c r="D994" s="1" t="s">
        <v>227</v>
      </c>
      <c r="E994" s="18">
        <v>4</v>
      </c>
    </row>
    <row r="995" customHeight="1" spans="1:5">
      <c r="A995" s="1" t="s">
        <v>293</v>
      </c>
      <c r="B995" s="53" t="s">
        <v>465</v>
      </c>
      <c r="C995" s="18" t="s">
        <v>468</v>
      </c>
      <c r="D995" s="1" t="s">
        <v>227</v>
      </c>
      <c r="E995" s="18">
        <v>5</v>
      </c>
    </row>
    <row r="996" customHeight="1" spans="1:5">
      <c r="A996" s="1" t="s">
        <v>293</v>
      </c>
      <c r="B996" s="53" t="s">
        <v>465</v>
      </c>
      <c r="C996" s="18" t="s">
        <v>468</v>
      </c>
      <c r="D996" s="1" t="s">
        <v>227</v>
      </c>
      <c r="E996" s="18">
        <v>6</v>
      </c>
    </row>
    <row r="997" customHeight="1" spans="1:5">
      <c r="A997" s="1" t="s">
        <v>293</v>
      </c>
      <c r="B997" s="53" t="s">
        <v>465</v>
      </c>
      <c r="C997" s="18" t="s">
        <v>468</v>
      </c>
      <c r="D997" s="1" t="s">
        <v>227</v>
      </c>
      <c r="E997" s="18">
        <v>7</v>
      </c>
    </row>
    <row r="998" customHeight="1" spans="1:5">
      <c r="A998" s="1" t="s">
        <v>293</v>
      </c>
      <c r="B998" s="53" t="s">
        <v>465</v>
      </c>
      <c r="C998" s="18" t="s">
        <v>468</v>
      </c>
      <c r="D998" s="1" t="s">
        <v>227</v>
      </c>
      <c r="E998" s="18">
        <v>8</v>
      </c>
    </row>
    <row r="999" customHeight="1" spans="1:5">
      <c r="A999" s="1" t="s">
        <v>222</v>
      </c>
      <c r="B999" s="54" t="s">
        <v>469</v>
      </c>
      <c r="C999" s="5" t="s">
        <v>470</v>
      </c>
      <c r="D999" s="1" t="s">
        <v>224</v>
      </c>
      <c r="E999" s="5">
        <v>1</v>
      </c>
    </row>
    <row r="1000" customHeight="1" spans="1:5">
      <c r="A1000" s="1" t="s">
        <v>222</v>
      </c>
      <c r="B1000" s="54" t="s">
        <v>469</v>
      </c>
      <c r="C1000" s="5" t="s">
        <v>470</v>
      </c>
      <c r="D1000" s="1" t="s">
        <v>224</v>
      </c>
      <c r="E1000" s="5">
        <v>2</v>
      </c>
    </row>
    <row r="1001" customHeight="1" spans="1:5">
      <c r="A1001" s="1" t="s">
        <v>222</v>
      </c>
      <c r="B1001" s="54" t="s">
        <v>469</v>
      </c>
      <c r="C1001" s="5" t="s">
        <v>470</v>
      </c>
      <c r="D1001" s="1" t="s">
        <v>224</v>
      </c>
      <c r="E1001" s="5">
        <v>3</v>
      </c>
    </row>
    <row r="1002" customHeight="1" spans="1:5">
      <c r="A1002" s="1" t="s">
        <v>222</v>
      </c>
      <c r="B1002" s="54" t="s">
        <v>469</v>
      </c>
      <c r="C1002" s="5" t="s">
        <v>470</v>
      </c>
      <c r="D1002" s="1" t="s">
        <v>224</v>
      </c>
      <c r="E1002" s="5">
        <v>4</v>
      </c>
    </row>
    <row r="1003" customHeight="1" spans="1:5">
      <c r="A1003" s="1" t="s">
        <v>222</v>
      </c>
      <c r="B1003" s="54" t="s">
        <v>469</v>
      </c>
      <c r="C1003" s="5" t="s">
        <v>470</v>
      </c>
      <c r="D1003" s="1" t="s">
        <v>224</v>
      </c>
      <c r="E1003" s="5">
        <v>5</v>
      </c>
    </row>
    <row r="1004" customHeight="1" spans="1:5">
      <c r="A1004" s="1" t="s">
        <v>222</v>
      </c>
      <c r="B1004" s="54" t="s">
        <v>469</v>
      </c>
      <c r="C1004" s="18" t="s">
        <v>471</v>
      </c>
      <c r="D1004" s="1" t="s">
        <v>226</v>
      </c>
      <c r="E1004" s="18">
        <v>1</v>
      </c>
    </row>
    <row r="1005" customHeight="1" spans="1:5">
      <c r="A1005" s="1" t="s">
        <v>222</v>
      </c>
      <c r="B1005" s="54" t="s">
        <v>469</v>
      </c>
      <c r="C1005" s="18" t="s">
        <v>471</v>
      </c>
      <c r="D1005" s="1" t="s">
        <v>226</v>
      </c>
      <c r="E1005" s="18">
        <v>2</v>
      </c>
    </row>
    <row r="1006" customHeight="1" spans="1:5">
      <c r="A1006" s="1" t="s">
        <v>222</v>
      </c>
      <c r="B1006" s="54" t="s">
        <v>469</v>
      </c>
      <c r="C1006" s="18" t="s">
        <v>471</v>
      </c>
      <c r="D1006" s="1" t="s">
        <v>226</v>
      </c>
      <c r="E1006" s="18">
        <v>3</v>
      </c>
    </row>
    <row r="1007" customHeight="1" spans="1:5">
      <c r="A1007" s="1" t="s">
        <v>222</v>
      </c>
      <c r="B1007" s="54" t="s">
        <v>469</v>
      </c>
      <c r="C1007" s="18" t="s">
        <v>471</v>
      </c>
      <c r="D1007" s="1" t="s">
        <v>226</v>
      </c>
      <c r="E1007" s="18">
        <v>4</v>
      </c>
    </row>
    <row r="1008" customHeight="1" spans="1:5">
      <c r="A1008" s="1" t="s">
        <v>222</v>
      </c>
      <c r="B1008" s="54" t="s">
        <v>469</v>
      </c>
      <c r="C1008" s="18" t="s">
        <v>471</v>
      </c>
      <c r="D1008" s="1" t="s">
        <v>226</v>
      </c>
      <c r="E1008" s="18">
        <v>5</v>
      </c>
    </row>
    <row r="1009" customHeight="1" spans="1:5">
      <c r="A1009" s="1" t="s">
        <v>222</v>
      </c>
      <c r="B1009" s="54" t="s">
        <v>469</v>
      </c>
      <c r="C1009" s="5" t="s">
        <v>471</v>
      </c>
      <c r="D1009" s="1" t="s">
        <v>226</v>
      </c>
      <c r="E1009" s="5">
        <v>1</v>
      </c>
    </row>
    <row r="1010" customHeight="1" spans="1:5">
      <c r="A1010" s="1" t="s">
        <v>222</v>
      </c>
      <c r="B1010" s="54" t="s">
        <v>469</v>
      </c>
      <c r="C1010" s="5" t="s">
        <v>471</v>
      </c>
      <c r="D1010" s="1" t="s">
        <v>226</v>
      </c>
      <c r="E1010" s="5">
        <v>2</v>
      </c>
    </row>
    <row r="1011" customHeight="1" spans="1:5">
      <c r="A1011" s="1" t="s">
        <v>222</v>
      </c>
      <c r="B1011" s="54" t="s">
        <v>469</v>
      </c>
      <c r="C1011" s="5" t="s">
        <v>471</v>
      </c>
      <c r="D1011" s="1" t="s">
        <v>226</v>
      </c>
      <c r="E1011" s="5">
        <v>3</v>
      </c>
    </row>
    <row r="1012" customHeight="1" spans="1:5">
      <c r="A1012" s="1" t="s">
        <v>222</v>
      </c>
      <c r="B1012" s="54" t="s">
        <v>469</v>
      </c>
      <c r="C1012" s="5" t="s">
        <v>471</v>
      </c>
      <c r="D1012" s="1" t="s">
        <v>226</v>
      </c>
      <c r="E1012" s="5">
        <v>4</v>
      </c>
    </row>
    <row r="1013" customHeight="1" spans="1:5">
      <c r="A1013" s="1" t="s">
        <v>222</v>
      </c>
      <c r="B1013" s="54" t="s">
        <v>469</v>
      </c>
      <c r="C1013" s="5" t="s">
        <v>471</v>
      </c>
      <c r="D1013" s="1" t="s">
        <v>226</v>
      </c>
      <c r="E1013" s="5">
        <v>5</v>
      </c>
    </row>
    <row r="1014" customHeight="1" spans="1:5">
      <c r="A1014" s="1" t="s">
        <v>293</v>
      </c>
      <c r="B1014" s="54" t="s">
        <v>469</v>
      </c>
      <c r="C1014" s="18" t="s">
        <v>472</v>
      </c>
      <c r="D1014" s="1" t="s">
        <v>227</v>
      </c>
      <c r="E1014" s="18">
        <v>1</v>
      </c>
    </row>
    <row r="1015" customHeight="1" spans="1:5">
      <c r="A1015" s="1" t="s">
        <v>293</v>
      </c>
      <c r="B1015" s="54" t="s">
        <v>469</v>
      </c>
      <c r="C1015" s="18" t="s">
        <v>472</v>
      </c>
      <c r="D1015" s="1" t="s">
        <v>227</v>
      </c>
      <c r="E1015" s="18">
        <v>2</v>
      </c>
    </row>
    <row r="1016" customHeight="1" spans="1:5">
      <c r="A1016" s="1" t="s">
        <v>293</v>
      </c>
      <c r="B1016" s="54" t="s">
        <v>469</v>
      </c>
      <c r="C1016" s="18" t="s">
        <v>472</v>
      </c>
      <c r="D1016" s="1" t="s">
        <v>227</v>
      </c>
      <c r="E1016" s="18">
        <v>3</v>
      </c>
    </row>
    <row r="1017" customHeight="1" spans="1:5">
      <c r="A1017" s="1" t="s">
        <v>293</v>
      </c>
      <c r="B1017" s="54" t="s">
        <v>469</v>
      </c>
      <c r="C1017" s="18" t="s">
        <v>472</v>
      </c>
      <c r="D1017" s="1" t="s">
        <v>227</v>
      </c>
      <c r="E1017" s="18">
        <v>4</v>
      </c>
    </row>
    <row r="1018" customHeight="1" spans="1:5">
      <c r="A1018" s="1" t="s">
        <v>293</v>
      </c>
      <c r="B1018" s="54" t="s">
        <v>469</v>
      </c>
      <c r="C1018" s="18" t="s">
        <v>472</v>
      </c>
      <c r="D1018" s="1" t="s">
        <v>227</v>
      </c>
      <c r="E1018" s="18">
        <v>5</v>
      </c>
    </row>
    <row r="1019" customHeight="1" spans="1:5">
      <c r="A1019" s="1" t="s">
        <v>293</v>
      </c>
      <c r="B1019" s="54" t="s">
        <v>469</v>
      </c>
      <c r="C1019" s="18" t="s">
        <v>472</v>
      </c>
      <c r="D1019" s="1" t="s">
        <v>227</v>
      </c>
      <c r="E1019" s="18">
        <v>6</v>
      </c>
    </row>
    <row r="1020" customHeight="1" spans="1:5">
      <c r="A1020" s="1" t="s">
        <v>293</v>
      </c>
      <c r="B1020" s="54" t="s">
        <v>469</v>
      </c>
      <c r="C1020" s="18" t="s">
        <v>472</v>
      </c>
      <c r="D1020" s="1" t="s">
        <v>227</v>
      </c>
      <c r="E1020" s="18">
        <v>7</v>
      </c>
    </row>
    <row r="1021" customHeight="1" spans="1:5">
      <c r="A1021" s="1" t="s">
        <v>293</v>
      </c>
      <c r="B1021" s="54" t="s">
        <v>469</v>
      </c>
      <c r="C1021" s="18" t="s">
        <v>472</v>
      </c>
      <c r="D1021" s="1" t="s">
        <v>227</v>
      </c>
      <c r="E1021" s="18">
        <v>8</v>
      </c>
    </row>
    <row r="1022" customHeight="1" spans="1:5">
      <c r="A1022" s="1" t="s">
        <v>222</v>
      </c>
      <c r="B1022" s="53" t="s">
        <v>473</v>
      </c>
      <c r="C1022" s="5" t="s">
        <v>474</v>
      </c>
      <c r="D1022" s="1" t="s">
        <v>224</v>
      </c>
      <c r="E1022" s="5">
        <v>1</v>
      </c>
    </row>
    <row r="1023" customHeight="1" spans="1:5">
      <c r="A1023" s="1" t="s">
        <v>222</v>
      </c>
      <c r="B1023" s="53" t="s">
        <v>473</v>
      </c>
      <c r="C1023" s="5" t="s">
        <v>474</v>
      </c>
      <c r="D1023" s="1" t="s">
        <v>224</v>
      </c>
      <c r="E1023" s="5">
        <v>2</v>
      </c>
    </row>
    <row r="1024" customHeight="1" spans="1:5">
      <c r="A1024" s="1" t="s">
        <v>222</v>
      </c>
      <c r="B1024" s="53" t="s">
        <v>473</v>
      </c>
      <c r="C1024" s="5" t="s">
        <v>474</v>
      </c>
      <c r="D1024" s="1" t="s">
        <v>224</v>
      </c>
      <c r="E1024" s="5">
        <v>3</v>
      </c>
    </row>
    <row r="1025" customHeight="1" spans="1:5">
      <c r="A1025" s="1" t="s">
        <v>222</v>
      </c>
      <c r="B1025" s="53" t="s">
        <v>473</v>
      </c>
      <c r="C1025" s="5" t="s">
        <v>474</v>
      </c>
      <c r="D1025" s="1" t="s">
        <v>224</v>
      </c>
      <c r="E1025" s="5">
        <v>4</v>
      </c>
    </row>
    <row r="1026" customHeight="1" spans="1:5">
      <c r="A1026" s="1" t="s">
        <v>222</v>
      </c>
      <c r="B1026" s="53" t="s">
        <v>473</v>
      </c>
      <c r="C1026" s="5" t="s">
        <v>474</v>
      </c>
      <c r="D1026" s="1" t="s">
        <v>224</v>
      </c>
      <c r="E1026" s="5">
        <v>5</v>
      </c>
    </row>
    <row r="1027" customHeight="1" spans="1:5">
      <c r="A1027" s="1" t="s">
        <v>222</v>
      </c>
      <c r="B1027" s="53" t="s">
        <v>473</v>
      </c>
      <c r="C1027" s="18" t="s">
        <v>475</v>
      </c>
      <c r="D1027" s="1" t="s">
        <v>226</v>
      </c>
      <c r="E1027" s="18">
        <v>1</v>
      </c>
    </row>
    <row r="1028" customHeight="1" spans="1:5">
      <c r="A1028" s="1" t="s">
        <v>222</v>
      </c>
      <c r="B1028" s="53" t="s">
        <v>473</v>
      </c>
      <c r="C1028" s="18" t="s">
        <v>475</v>
      </c>
      <c r="D1028" s="1" t="s">
        <v>226</v>
      </c>
      <c r="E1028" s="18">
        <v>2</v>
      </c>
    </row>
    <row r="1029" customHeight="1" spans="1:5">
      <c r="A1029" s="1" t="s">
        <v>222</v>
      </c>
      <c r="B1029" s="53" t="s">
        <v>473</v>
      </c>
      <c r="C1029" s="18" t="s">
        <v>475</v>
      </c>
      <c r="D1029" s="1" t="s">
        <v>226</v>
      </c>
      <c r="E1029" s="18">
        <v>3</v>
      </c>
    </row>
    <row r="1030" customHeight="1" spans="1:5">
      <c r="A1030" s="1" t="s">
        <v>222</v>
      </c>
      <c r="B1030" s="53" t="s">
        <v>473</v>
      </c>
      <c r="C1030" s="18" t="s">
        <v>475</v>
      </c>
      <c r="D1030" s="1" t="s">
        <v>226</v>
      </c>
      <c r="E1030" s="18">
        <v>4</v>
      </c>
    </row>
    <row r="1031" customHeight="1" spans="1:5">
      <c r="A1031" s="1" t="s">
        <v>222</v>
      </c>
      <c r="B1031" s="53" t="s">
        <v>473</v>
      </c>
      <c r="C1031" s="18" t="s">
        <v>475</v>
      </c>
      <c r="D1031" s="1" t="s">
        <v>226</v>
      </c>
      <c r="E1031" s="18">
        <v>5</v>
      </c>
    </row>
    <row r="1032" customHeight="1" spans="1:5">
      <c r="A1032" s="1" t="s">
        <v>222</v>
      </c>
      <c r="B1032" s="53" t="s">
        <v>473</v>
      </c>
      <c r="C1032" s="5" t="s">
        <v>475</v>
      </c>
      <c r="D1032" s="1" t="s">
        <v>226</v>
      </c>
      <c r="E1032" s="5">
        <v>1</v>
      </c>
    </row>
    <row r="1033" customHeight="1" spans="1:5">
      <c r="A1033" s="1" t="s">
        <v>222</v>
      </c>
      <c r="B1033" s="53" t="s">
        <v>473</v>
      </c>
      <c r="C1033" s="5" t="s">
        <v>475</v>
      </c>
      <c r="D1033" s="1" t="s">
        <v>226</v>
      </c>
      <c r="E1033" s="5">
        <v>2</v>
      </c>
    </row>
    <row r="1034" customHeight="1" spans="1:5">
      <c r="A1034" s="1" t="s">
        <v>222</v>
      </c>
      <c r="B1034" s="53" t="s">
        <v>473</v>
      </c>
      <c r="C1034" s="5" t="s">
        <v>475</v>
      </c>
      <c r="D1034" s="1" t="s">
        <v>226</v>
      </c>
      <c r="E1034" s="5">
        <v>3</v>
      </c>
    </row>
    <row r="1035" customHeight="1" spans="1:5">
      <c r="A1035" s="1" t="s">
        <v>222</v>
      </c>
      <c r="B1035" s="53" t="s">
        <v>473</v>
      </c>
      <c r="C1035" s="5" t="s">
        <v>475</v>
      </c>
      <c r="D1035" s="1" t="s">
        <v>226</v>
      </c>
      <c r="E1035" s="5">
        <v>4</v>
      </c>
    </row>
    <row r="1036" customHeight="1" spans="1:5">
      <c r="A1036" s="1" t="s">
        <v>222</v>
      </c>
      <c r="B1036" s="53" t="s">
        <v>473</v>
      </c>
      <c r="C1036" s="5" t="s">
        <v>475</v>
      </c>
      <c r="D1036" s="1" t="s">
        <v>226</v>
      </c>
      <c r="E1036" s="5">
        <v>5</v>
      </c>
    </row>
    <row r="1037" customHeight="1" spans="1:5">
      <c r="A1037" s="1" t="s">
        <v>293</v>
      </c>
      <c r="B1037" s="53" t="s">
        <v>473</v>
      </c>
      <c r="C1037" s="18" t="s">
        <v>476</v>
      </c>
      <c r="D1037" s="1" t="s">
        <v>227</v>
      </c>
      <c r="E1037" s="18">
        <v>1</v>
      </c>
    </row>
    <row r="1038" customHeight="1" spans="1:5">
      <c r="A1038" s="1" t="s">
        <v>293</v>
      </c>
      <c r="B1038" s="53" t="s">
        <v>473</v>
      </c>
      <c r="C1038" s="18" t="s">
        <v>476</v>
      </c>
      <c r="D1038" s="1" t="s">
        <v>227</v>
      </c>
      <c r="E1038" s="18">
        <v>2</v>
      </c>
    </row>
    <row r="1039" customHeight="1" spans="1:5">
      <c r="A1039" s="1" t="s">
        <v>293</v>
      </c>
      <c r="B1039" s="53" t="s">
        <v>473</v>
      </c>
      <c r="C1039" s="18" t="s">
        <v>476</v>
      </c>
      <c r="D1039" s="1" t="s">
        <v>227</v>
      </c>
      <c r="E1039" s="18">
        <v>3</v>
      </c>
    </row>
    <row r="1040" customHeight="1" spans="1:5">
      <c r="A1040" s="1" t="s">
        <v>293</v>
      </c>
      <c r="B1040" s="53" t="s">
        <v>473</v>
      </c>
      <c r="C1040" s="18" t="s">
        <v>476</v>
      </c>
      <c r="D1040" s="1" t="s">
        <v>227</v>
      </c>
      <c r="E1040" s="18">
        <v>4</v>
      </c>
    </row>
    <row r="1041" customHeight="1" spans="1:5">
      <c r="A1041" s="1" t="s">
        <v>293</v>
      </c>
      <c r="B1041" s="53" t="s">
        <v>473</v>
      </c>
      <c r="C1041" s="18" t="s">
        <v>476</v>
      </c>
      <c r="D1041" s="1" t="s">
        <v>227</v>
      </c>
      <c r="E1041" s="18">
        <v>5</v>
      </c>
    </row>
    <row r="1042" customHeight="1" spans="1:5">
      <c r="A1042" s="1" t="s">
        <v>293</v>
      </c>
      <c r="B1042" s="53" t="s">
        <v>473</v>
      </c>
      <c r="C1042" s="18" t="s">
        <v>476</v>
      </c>
      <c r="D1042" s="1" t="s">
        <v>227</v>
      </c>
      <c r="E1042" s="18">
        <v>6</v>
      </c>
    </row>
    <row r="1043" customHeight="1" spans="1:5">
      <c r="A1043" s="1" t="s">
        <v>293</v>
      </c>
      <c r="B1043" s="53" t="s">
        <v>473</v>
      </c>
      <c r="C1043" s="18" t="s">
        <v>476</v>
      </c>
      <c r="D1043" s="1" t="s">
        <v>227</v>
      </c>
      <c r="E1043" s="18">
        <v>7</v>
      </c>
    </row>
    <row r="1044" customHeight="1" spans="1:5">
      <c r="A1044" s="1" t="s">
        <v>293</v>
      </c>
      <c r="B1044" s="53" t="s">
        <v>473</v>
      </c>
      <c r="C1044" s="18" t="s">
        <v>476</v>
      </c>
      <c r="D1044" s="1" t="s">
        <v>227</v>
      </c>
      <c r="E1044" s="18">
        <v>8</v>
      </c>
    </row>
    <row r="1045" customHeight="1" spans="1:5">
      <c r="A1045" s="1" t="s">
        <v>222</v>
      </c>
      <c r="B1045" s="54" t="s">
        <v>477</v>
      </c>
      <c r="C1045" s="5" t="s">
        <v>478</v>
      </c>
      <c r="D1045" s="1" t="s">
        <v>224</v>
      </c>
      <c r="E1045" s="5">
        <v>1</v>
      </c>
    </row>
    <row r="1046" customHeight="1" spans="1:5">
      <c r="A1046" s="1" t="s">
        <v>222</v>
      </c>
      <c r="B1046" s="54" t="s">
        <v>477</v>
      </c>
      <c r="C1046" s="5" t="s">
        <v>478</v>
      </c>
      <c r="D1046" s="1" t="s">
        <v>224</v>
      </c>
      <c r="E1046" s="5">
        <v>2</v>
      </c>
    </row>
    <row r="1047" customHeight="1" spans="1:5">
      <c r="A1047" s="1" t="s">
        <v>222</v>
      </c>
      <c r="B1047" s="54" t="s">
        <v>477</v>
      </c>
      <c r="C1047" s="5" t="s">
        <v>478</v>
      </c>
      <c r="D1047" s="1" t="s">
        <v>224</v>
      </c>
      <c r="E1047" s="5">
        <v>3</v>
      </c>
    </row>
    <row r="1048" customHeight="1" spans="1:5">
      <c r="A1048" s="1" t="s">
        <v>222</v>
      </c>
      <c r="B1048" s="54" t="s">
        <v>477</v>
      </c>
      <c r="C1048" s="5" t="s">
        <v>478</v>
      </c>
      <c r="D1048" s="1" t="s">
        <v>224</v>
      </c>
      <c r="E1048" s="5">
        <v>4</v>
      </c>
    </row>
    <row r="1049" customHeight="1" spans="1:5">
      <c r="A1049" s="1" t="s">
        <v>222</v>
      </c>
      <c r="B1049" s="54" t="s">
        <v>477</v>
      </c>
      <c r="C1049" s="5" t="s">
        <v>478</v>
      </c>
      <c r="D1049" s="1" t="s">
        <v>224</v>
      </c>
      <c r="E1049" s="5">
        <v>5</v>
      </c>
    </row>
    <row r="1050" customHeight="1" spans="1:5">
      <c r="A1050" s="1" t="s">
        <v>222</v>
      </c>
      <c r="B1050" s="54" t="s">
        <v>477</v>
      </c>
      <c r="C1050" s="18" t="s">
        <v>479</v>
      </c>
      <c r="D1050" s="1" t="s">
        <v>226</v>
      </c>
      <c r="E1050" s="18">
        <v>1</v>
      </c>
    </row>
    <row r="1051" customHeight="1" spans="1:5">
      <c r="A1051" s="1" t="s">
        <v>222</v>
      </c>
      <c r="B1051" s="54" t="s">
        <v>477</v>
      </c>
      <c r="C1051" s="18" t="s">
        <v>479</v>
      </c>
      <c r="D1051" s="1" t="s">
        <v>226</v>
      </c>
      <c r="E1051" s="18">
        <v>2</v>
      </c>
    </row>
    <row r="1052" customHeight="1" spans="1:5">
      <c r="A1052" s="1" t="s">
        <v>222</v>
      </c>
      <c r="B1052" s="54" t="s">
        <v>477</v>
      </c>
      <c r="C1052" s="18" t="s">
        <v>479</v>
      </c>
      <c r="D1052" s="1" t="s">
        <v>226</v>
      </c>
      <c r="E1052" s="18">
        <v>3</v>
      </c>
    </row>
    <row r="1053" customHeight="1" spans="1:5">
      <c r="A1053" s="1" t="s">
        <v>222</v>
      </c>
      <c r="B1053" s="54" t="s">
        <v>477</v>
      </c>
      <c r="C1053" s="18" t="s">
        <v>479</v>
      </c>
      <c r="D1053" s="1" t="s">
        <v>226</v>
      </c>
      <c r="E1053" s="18">
        <v>4</v>
      </c>
    </row>
    <row r="1054" customHeight="1" spans="1:5">
      <c r="A1054" s="1" t="s">
        <v>222</v>
      </c>
      <c r="B1054" s="54" t="s">
        <v>477</v>
      </c>
      <c r="C1054" s="18" t="s">
        <v>479</v>
      </c>
      <c r="D1054" s="1" t="s">
        <v>226</v>
      </c>
      <c r="E1054" s="18">
        <v>5</v>
      </c>
    </row>
    <row r="1055" customHeight="1" spans="1:5">
      <c r="A1055" s="1" t="s">
        <v>222</v>
      </c>
      <c r="B1055" s="54" t="s">
        <v>477</v>
      </c>
      <c r="C1055" s="5" t="s">
        <v>479</v>
      </c>
      <c r="D1055" s="1" t="s">
        <v>226</v>
      </c>
      <c r="E1055" s="5">
        <v>1</v>
      </c>
    </row>
    <row r="1056" customHeight="1" spans="1:5">
      <c r="A1056" s="1" t="s">
        <v>222</v>
      </c>
      <c r="B1056" s="54" t="s">
        <v>477</v>
      </c>
      <c r="C1056" s="5" t="s">
        <v>479</v>
      </c>
      <c r="D1056" s="1" t="s">
        <v>226</v>
      </c>
      <c r="E1056" s="5">
        <v>2</v>
      </c>
    </row>
    <row r="1057" customHeight="1" spans="1:5">
      <c r="A1057" s="1" t="s">
        <v>222</v>
      </c>
      <c r="B1057" s="54" t="s">
        <v>477</v>
      </c>
      <c r="C1057" s="5" t="s">
        <v>479</v>
      </c>
      <c r="D1057" s="1" t="s">
        <v>226</v>
      </c>
      <c r="E1057" s="5">
        <v>3</v>
      </c>
    </row>
    <row r="1058" customHeight="1" spans="1:5">
      <c r="A1058" s="1" t="s">
        <v>222</v>
      </c>
      <c r="B1058" s="54" t="s">
        <v>477</v>
      </c>
      <c r="C1058" s="5" t="s">
        <v>479</v>
      </c>
      <c r="D1058" s="1" t="s">
        <v>226</v>
      </c>
      <c r="E1058" s="5">
        <v>4</v>
      </c>
    </row>
    <row r="1059" customHeight="1" spans="1:5">
      <c r="A1059" s="1" t="s">
        <v>222</v>
      </c>
      <c r="B1059" s="54" t="s">
        <v>477</v>
      </c>
      <c r="C1059" s="5" t="s">
        <v>479</v>
      </c>
      <c r="D1059" s="1" t="s">
        <v>226</v>
      </c>
      <c r="E1059" s="5">
        <v>5</v>
      </c>
    </row>
    <row r="1060" customHeight="1" spans="1:5">
      <c r="A1060" s="1" t="s">
        <v>293</v>
      </c>
      <c r="B1060" s="54" t="s">
        <v>477</v>
      </c>
      <c r="C1060" s="18" t="s">
        <v>480</v>
      </c>
      <c r="D1060" s="1" t="s">
        <v>227</v>
      </c>
      <c r="E1060" s="18">
        <v>1</v>
      </c>
    </row>
    <row r="1061" customHeight="1" spans="1:5">
      <c r="A1061" s="1" t="s">
        <v>293</v>
      </c>
      <c r="B1061" s="54" t="s">
        <v>477</v>
      </c>
      <c r="C1061" s="18" t="s">
        <v>480</v>
      </c>
      <c r="D1061" s="1" t="s">
        <v>227</v>
      </c>
      <c r="E1061" s="18">
        <v>2</v>
      </c>
    </row>
    <row r="1062" customHeight="1" spans="1:5">
      <c r="A1062" s="1" t="s">
        <v>293</v>
      </c>
      <c r="B1062" s="54" t="s">
        <v>477</v>
      </c>
      <c r="C1062" s="18" t="s">
        <v>480</v>
      </c>
      <c r="D1062" s="1" t="s">
        <v>227</v>
      </c>
      <c r="E1062" s="18">
        <v>3</v>
      </c>
    </row>
    <row r="1063" customHeight="1" spans="1:5">
      <c r="A1063" s="1" t="s">
        <v>293</v>
      </c>
      <c r="B1063" s="54" t="s">
        <v>477</v>
      </c>
      <c r="C1063" s="18" t="s">
        <v>480</v>
      </c>
      <c r="D1063" s="1" t="s">
        <v>227</v>
      </c>
      <c r="E1063" s="18">
        <v>4</v>
      </c>
    </row>
    <row r="1064" customHeight="1" spans="1:5">
      <c r="A1064" s="1" t="s">
        <v>293</v>
      </c>
      <c r="B1064" s="54" t="s">
        <v>477</v>
      </c>
      <c r="C1064" s="18" t="s">
        <v>480</v>
      </c>
      <c r="D1064" s="1" t="s">
        <v>227</v>
      </c>
      <c r="E1064" s="18">
        <v>5</v>
      </c>
    </row>
    <row r="1065" customHeight="1" spans="1:5">
      <c r="A1065" s="1" t="s">
        <v>293</v>
      </c>
      <c r="B1065" s="54" t="s">
        <v>477</v>
      </c>
      <c r="C1065" s="18" t="s">
        <v>480</v>
      </c>
      <c r="D1065" s="1" t="s">
        <v>227</v>
      </c>
      <c r="E1065" s="18">
        <v>6</v>
      </c>
    </row>
    <row r="1066" customHeight="1" spans="1:5">
      <c r="A1066" s="1" t="s">
        <v>293</v>
      </c>
      <c r="B1066" s="54" t="s">
        <v>477</v>
      </c>
      <c r="C1066" s="18" t="s">
        <v>480</v>
      </c>
      <c r="D1066" s="1" t="s">
        <v>227</v>
      </c>
      <c r="E1066" s="18">
        <v>7</v>
      </c>
    </row>
    <row r="1067" customHeight="1" spans="1:5">
      <c r="A1067" s="1" t="s">
        <v>293</v>
      </c>
      <c r="B1067" s="54" t="s">
        <v>477</v>
      </c>
      <c r="C1067" s="18" t="s">
        <v>480</v>
      </c>
      <c r="D1067" s="1" t="s">
        <v>227</v>
      </c>
      <c r="E1067" s="18">
        <v>8</v>
      </c>
    </row>
    <row r="1068" customHeight="1" spans="1:5">
      <c r="A1068" s="1" t="s">
        <v>222</v>
      </c>
      <c r="B1068" s="53" t="s">
        <v>481</v>
      </c>
      <c r="C1068" s="5" t="s">
        <v>482</v>
      </c>
      <c r="D1068" s="1" t="s">
        <v>224</v>
      </c>
      <c r="E1068" s="5">
        <v>1</v>
      </c>
    </row>
    <row r="1069" customHeight="1" spans="1:5">
      <c r="A1069" s="1" t="s">
        <v>222</v>
      </c>
      <c r="B1069" s="53" t="s">
        <v>481</v>
      </c>
      <c r="C1069" s="5" t="s">
        <v>482</v>
      </c>
      <c r="D1069" s="1" t="s">
        <v>224</v>
      </c>
      <c r="E1069" s="5">
        <v>2</v>
      </c>
    </row>
    <row r="1070" customHeight="1" spans="1:5">
      <c r="A1070" s="1" t="s">
        <v>222</v>
      </c>
      <c r="B1070" s="53" t="s">
        <v>481</v>
      </c>
      <c r="C1070" s="5" t="s">
        <v>482</v>
      </c>
      <c r="D1070" s="1" t="s">
        <v>224</v>
      </c>
      <c r="E1070" s="5">
        <v>3</v>
      </c>
    </row>
    <row r="1071" customHeight="1" spans="1:5">
      <c r="A1071" s="1" t="s">
        <v>222</v>
      </c>
      <c r="B1071" s="53" t="s">
        <v>481</v>
      </c>
      <c r="C1071" s="5" t="s">
        <v>482</v>
      </c>
      <c r="D1071" s="1" t="s">
        <v>224</v>
      </c>
      <c r="E1071" s="5">
        <v>4</v>
      </c>
    </row>
    <row r="1072" customHeight="1" spans="1:5">
      <c r="A1072" s="1" t="s">
        <v>222</v>
      </c>
      <c r="B1072" s="53" t="s">
        <v>481</v>
      </c>
      <c r="C1072" s="5" t="s">
        <v>482</v>
      </c>
      <c r="D1072" s="1" t="s">
        <v>224</v>
      </c>
      <c r="E1072" s="5">
        <v>5</v>
      </c>
    </row>
    <row r="1073" customHeight="1" spans="1:5">
      <c r="A1073" s="1" t="s">
        <v>222</v>
      </c>
      <c r="B1073" s="53" t="s">
        <v>481</v>
      </c>
      <c r="C1073" s="18" t="s">
        <v>483</v>
      </c>
      <c r="D1073" s="1" t="s">
        <v>226</v>
      </c>
      <c r="E1073" s="18">
        <v>1</v>
      </c>
    </row>
    <row r="1074" customHeight="1" spans="1:5">
      <c r="A1074" s="1" t="s">
        <v>222</v>
      </c>
      <c r="B1074" s="53" t="s">
        <v>481</v>
      </c>
      <c r="C1074" s="18" t="s">
        <v>483</v>
      </c>
      <c r="D1074" s="1" t="s">
        <v>226</v>
      </c>
      <c r="E1074" s="18">
        <v>2</v>
      </c>
    </row>
    <row r="1075" customHeight="1" spans="1:5">
      <c r="A1075" s="1" t="s">
        <v>222</v>
      </c>
      <c r="B1075" s="53" t="s">
        <v>481</v>
      </c>
      <c r="C1075" s="18" t="s">
        <v>483</v>
      </c>
      <c r="D1075" s="1" t="s">
        <v>226</v>
      </c>
      <c r="E1075" s="18">
        <v>3</v>
      </c>
    </row>
    <row r="1076" customHeight="1" spans="1:5">
      <c r="A1076" s="1" t="s">
        <v>222</v>
      </c>
      <c r="B1076" s="53" t="s">
        <v>481</v>
      </c>
      <c r="C1076" s="18" t="s">
        <v>483</v>
      </c>
      <c r="D1076" s="1" t="s">
        <v>226</v>
      </c>
      <c r="E1076" s="18">
        <v>4</v>
      </c>
    </row>
    <row r="1077" customHeight="1" spans="1:5">
      <c r="A1077" s="1" t="s">
        <v>222</v>
      </c>
      <c r="B1077" s="53" t="s">
        <v>481</v>
      </c>
      <c r="C1077" s="18" t="s">
        <v>483</v>
      </c>
      <c r="D1077" s="1" t="s">
        <v>226</v>
      </c>
      <c r="E1077" s="18">
        <v>5</v>
      </c>
    </row>
    <row r="1078" customHeight="1" spans="1:5">
      <c r="A1078" s="1" t="s">
        <v>222</v>
      </c>
      <c r="B1078" s="53" t="s">
        <v>481</v>
      </c>
      <c r="C1078" s="5" t="s">
        <v>483</v>
      </c>
      <c r="D1078" s="1" t="s">
        <v>226</v>
      </c>
      <c r="E1078" s="5">
        <v>1</v>
      </c>
    </row>
    <row r="1079" customHeight="1" spans="1:5">
      <c r="A1079" s="1" t="s">
        <v>222</v>
      </c>
      <c r="B1079" s="53" t="s">
        <v>481</v>
      </c>
      <c r="C1079" s="5" t="s">
        <v>483</v>
      </c>
      <c r="D1079" s="1" t="s">
        <v>226</v>
      </c>
      <c r="E1079" s="5">
        <v>2</v>
      </c>
    </row>
    <row r="1080" customHeight="1" spans="1:5">
      <c r="A1080" s="1" t="s">
        <v>222</v>
      </c>
      <c r="B1080" s="53" t="s">
        <v>481</v>
      </c>
      <c r="C1080" s="5" t="s">
        <v>483</v>
      </c>
      <c r="D1080" s="1" t="s">
        <v>226</v>
      </c>
      <c r="E1080" s="5">
        <v>3</v>
      </c>
    </row>
    <row r="1081" customHeight="1" spans="1:5">
      <c r="A1081" s="1" t="s">
        <v>222</v>
      </c>
      <c r="B1081" s="53" t="s">
        <v>481</v>
      </c>
      <c r="C1081" s="5" t="s">
        <v>483</v>
      </c>
      <c r="D1081" s="1" t="s">
        <v>226</v>
      </c>
      <c r="E1081" s="5">
        <v>4</v>
      </c>
    </row>
    <row r="1082" customHeight="1" spans="1:5">
      <c r="A1082" s="1" t="s">
        <v>222</v>
      </c>
      <c r="B1082" s="53" t="s">
        <v>481</v>
      </c>
      <c r="C1082" s="5" t="s">
        <v>483</v>
      </c>
      <c r="D1082" s="1" t="s">
        <v>226</v>
      </c>
      <c r="E1082" s="5">
        <v>5</v>
      </c>
    </row>
    <row r="1083" customHeight="1" spans="1:5">
      <c r="A1083" s="1" t="s">
        <v>293</v>
      </c>
      <c r="B1083" s="53" t="s">
        <v>481</v>
      </c>
      <c r="C1083" s="18" t="s">
        <v>484</v>
      </c>
      <c r="D1083" s="1" t="s">
        <v>227</v>
      </c>
      <c r="E1083" s="18">
        <v>1</v>
      </c>
    </row>
    <row r="1084" customHeight="1" spans="1:5">
      <c r="A1084" s="1" t="s">
        <v>293</v>
      </c>
      <c r="B1084" s="53" t="s">
        <v>481</v>
      </c>
      <c r="C1084" s="18" t="s">
        <v>484</v>
      </c>
      <c r="D1084" s="1" t="s">
        <v>227</v>
      </c>
      <c r="E1084" s="18">
        <v>2</v>
      </c>
    </row>
    <row r="1085" customHeight="1" spans="1:5">
      <c r="A1085" s="1" t="s">
        <v>293</v>
      </c>
      <c r="B1085" s="53" t="s">
        <v>481</v>
      </c>
      <c r="C1085" s="18" t="s">
        <v>484</v>
      </c>
      <c r="D1085" s="1" t="s">
        <v>227</v>
      </c>
      <c r="E1085" s="18">
        <v>3</v>
      </c>
    </row>
    <row r="1086" customHeight="1" spans="1:5">
      <c r="A1086" s="1" t="s">
        <v>293</v>
      </c>
      <c r="B1086" s="53" t="s">
        <v>481</v>
      </c>
      <c r="C1086" s="18" t="s">
        <v>484</v>
      </c>
      <c r="D1086" s="1" t="s">
        <v>227</v>
      </c>
      <c r="E1086" s="18">
        <v>4</v>
      </c>
    </row>
    <row r="1087" customHeight="1" spans="1:5">
      <c r="A1087" s="1" t="s">
        <v>293</v>
      </c>
      <c r="B1087" s="53" t="s">
        <v>481</v>
      </c>
      <c r="C1087" s="18" t="s">
        <v>484</v>
      </c>
      <c r="D1087" s="1" t="s">
        <v>227</v>
      </c>
      <c r="E1087" s="18">
        <v>5</v>
      </c>
    </row>
    <row r="1088" customHeight="1" spans="1:5">
      <c r="A1088" s="1" t="s">
        <v>293</v>
      </c>
      <c r="B1088" s="53" t="s">
        <v>481</v>
      </c>
      <c r="C1088" s="18" t="s">
        <v>484</v>
      </c>
      <c r="D1088" s="1" t="s">
        <v>227</v>
      </c>
      <c r="E1088" s="18">
        <v>6</v>
      </c>
    </row>
    <row r="1089" customHeight="1" spans="1:5">
      <c r="A1089" s="1" t="s">
        <v>293</v>
      </c>
      <c r="B1089" s="53" t="s">
        <v>481</v>
      </c>
      <c r="C1089" s="18" t="s">
        <v>484</v>
      </c>
      <c r="D1089" s="1" t="s">
        <v>227</v>
      </c>
      <c r="E1089" s="18">
        <v>7</v>
      </c>
    </row>
    <row r="1090" customHeight="1" spans="1:5">
      <c r="A1090" s="1" t="s">
        <v>293</v>
      </c>
      <c r="B1090" s="53" t="s">
        <v>481</v>
      </c>
      <c r="C1090" s="18" t="s">
        <v>484</v>
      </c>
      <c r="D1090" s="1" t="s">
        <v>227</v>
      </c>
      <c r="E1090" s="18">
        <v>8</v>
      </c>
    </row>
    <row r="1091" customHeight="1" spans="1:5">
      <c r="A1091" s="1" t="s">
        <v>222</v>
      </c>
      <c r="B1091" s="54" t="s">
        <v>485</v>
      </c>
      <c r="C1091" s="5" t="s">
        <v>486</v>
      </c>
      <c r="D1091" s="1" t="s">
        <v>224</v>
      </c>
      <c r="E1091" s="5">
        <v>1</v>
      </c>
    </row>
    <row r="1092" customHeight="1" spans="1:5">
      <c r="A1092" s="1" t="s">
        <v>222</v>
      </c>
      <c r="B1092" s="54" t="s">
        <v>485</v>
      </c>
      <c r="C1092" s="5" t="s">
        <v>486</v>
      </c>
      <c r="D1092" s="1" t="s">
        <v>224</v>
      </c>
      <c r="E1092" s="5">
        <v>2</v>
      </c>
    </row>
    <row r="1093" customHeight="1" spans="1:5">
      <c r="A1093" s="1" t="s">
        <v>222</v>
      </c>
      <c r="B1093" s="54" t="s">
        <v>485</v>
      </c>
      <c r="C1093" s="5" t="s">
        <v>486</v>
      </c>
      <c r="D1093" s="1" t="s">
        <v>224</v>
      </c>
      <c r="E1093" s="5">
        <v>3</v>
      </c>
    </row>
    <row r="1094" customHeight="1" spans="1:5">
      <c r="A1094" s="1" t="s">
        <v>222</v>
      </c>
      <c r="B1094" s="54" t="s">
        <v>485</v>
      </c>
      <c r="C1094" s="5" t="s">
        <v>486</v>
      </c>
      <c r="D1094" s="1" t="s">
        <v>224</v>
      </c>
      <c r="E1094" s="5">
        <v>4</v>
      </c>
    </row>
    <row r="1095" customHeight="1" spans="1:5">
      <c r="A1095" s="1" t="s">
        <v>222</v>
      </c>
      <c r="B1095" s="54" t="s">
        <v>485</v>
      </c>
      <c r="C1095" s="5" t="s">
        <v>486</v>
      </c>
      <c r="D1095" s="1" t="s">
        <v>224</v>
      </c>
      <c r="E1095" s="5">
        <v>5</v>
      </c>
    </row>
    <row r="1096" customHeight="1" spans="1:5">
      <c r="A1096" s="1" t="s">
        <v>222</v>
      </c>
      <c r="B1096" s="54" t="s">
        <v>485</v>
      </c>
      <c r="C1096" s="18" t="s">
        <v>487</v>
      </c>
      <c r="D1096" s="1" t="s">
        <v>226</v>
      </c>
      <c r="E1096" s="18">
        <v>1</v>
      </c>
    </row>
    <row r="1097" customHeight="1" spans="1:5">
      <c r="A1097" s="1" t="s">
        <v>222</v>
      </c>
      <c r="B1097" s="54" t="s">
        <v>485</v>
      </c>
      <c r="C1097" s="18" t="s">
        <v>487</v>
      </c>
      <c r="D1097" s="1" t="s">
        <v>226</v>
      </c>
      <c r="E1097" s="18">
        <v>2</v>
      </c>
    </row>
    <row r="1098" customHeight="1" spans="1:5">
      <c r="A1098" s="1" t="s">
        <v>222</v>
      </c>
      <c r="B1098" s="54" t="s">
        <v>485</v>
      </c>
      <c r="C1098" s="18" t="s">
        <v>487</v>
      </c>
      <c r="D1098" s="1" t="s">
        <v>226</v>
      </c>
      <c r="E1098" s="18">
        <v>3</v>
      </c>
    </row>
    <row r="1099" customHeight="1" spans="1:5">
      <c r="A1099" s="1" t="s">
        <v>222</v>
      </c>
      <c r="B1099" s="54" t="s">
        <v>485</v>
      </c>
      <c r="C1099" s="18" t="s">
        <v>487</v>
      </c>
      <c r="D1099" s="1" t="s">
        <v>226</v>
      </c>
      <c r="E1099" s="18">
        <v>4</v>
      </c>
    </row>
    <row r="1100" customHeight="1" spans="1:5">
      <c r="A1100" s="1" t="s">
        <v>222</v>
      </c>
      <c r="B1100" s="54" t="s">
        <v>485</v>
      </c>
      <c r="C1100" s="18" t="s">
        <v>487</v>
      </c>
      <c r="D1100" s="1" t="s">
        <v>226</v>
      </c>
      <c r="E1100" s="18">
        <v>5</v>
      </c>
    </row>
    <row r="1101" customHeight="1" spans="1:5">
      <c r="A1101" s="1" t="s">
        <v>222</v>
      </c>
      <c r="B1101" s="54" t="s">
        <v>485</v>
      </c>
      <c r="C1101" s="5" t="s">
        <v>487</v>
      </c>
      <c r="D1101" s="1" t="s">
        <v>226</v>
      </c>
      <c r="E1101" s="5">
        <v>1</v>
      </c>
    </row>
    <row r="1102" customHeight="1" spans="1:5">
      <c r="A1102" s="1" t="s">
        <v>222</v>
      </c>
      <c r="B1102" s="54" t="s">
        <v>485</v>
      </c>
      <c r="C1102" s="5" t="s">
        <v>487</v>
      </c>
      <c r="D1102" s="1" t="s">
        <v>226</v>
      </c>
      <c r="E1102" s="5">
        <v>2</v>
      </c>
    </row>
    <row r="1103" customHeight="1" spans="1:5">
      <c r="A1103" s="1" t="s">
        <v>222</v>
      </c>
      <c r="B1103" s="54" t="s">
        <v>485</v>
      </c>
      <c r="C1103" s="5" t="s">
        <v>487</v>
      </c>
      <c r="D1103" s="1" t="s">
        <v>226</v>
      </c>
      <c r="E1103" s="5">
        <v>3</v>
      </c>
    </row>
    <row r="1104" customHeight="1" spans="1:5">
      <c r="A1104" s="1" t="s">
        <v>222</v>
      </c>
      <c r="B1104" s="54" t="s">
        <v>485</v>
      </c>
      <c r="C1104" s="5" t="s">
        <v>487</v>
      </c>
      <c r="D1104" s="1" t="s">
        <v>226</v>
      </c>
      <c r="E1104" s="5">
        <v>4</v>
      </c>
    </row>
    <row r="1105" customHeight="1" spans="1:5">
      <c r="A1105" s="1" t="s">
        <v>222</v>
      </c>
      <c r="B1105" s="54" t="s">
        <v>485</v>
      </c>
      <c r="C1105" s="5" t="s">
        <v>487</v>
      </c>
      <c r="D1105" s="1" t="s">
        <v>226</v>
      </c>
      <c r="E1105" s="5">
        <v>5</v>
      </c>
    </row>
    <row r="1106" customHeight="1" spans="1:5">
      <c r="A1106" s="1" t="s">
        <v>293</v>
      </c>
      <c r="B1106" s="54" t="s">
        <v>485</v>
      </c>
      <c r="C1106" s="18" t="s">
        <v>488</v>
      </c>
      <c r="D1106" s="1" t="s">
        <v>227</v>
      </c>
      <c r="E1106" s="18">
        <v>1</v>
      </c>
    </row>
    <row r="1107" customHeight="1" spans="1:5">
      <c r="A1107" s="1" t="s">
        <v>293</v>
      </c>
      <c r="B1107" s="54" t="s">
        <v>485</v>
      </c>
      <c r="C1107" s="18" t="s">
        <v>488</v>
      </c>
      <c r="D1107" s="1" t="s">
        <v>227</v>
      </c>
      <c r="E1107" s="18">
        <v>2</v>
      </c>
    </row>
    <row r="1108" customHeight="1" spans="1:5">
      <c r="A1108" s="1" t="s">
        <v>293</v>
      </c>
      <c r="B1108" s="54" t="s">
        <v>485</v>
      </c>
      <c r="C1108" s="18" t="s">
        <v>488</v>
      </c>
      <c r="D1108" s="1" t="s">
        <v>227</v>
      </c>
      <c r="E1108" s="18">
        <v>3</v>
      </c>
    </row>
    <row r="1109" customHeight="1" spans="1:5">
      <c r="A1109" s="1" t="s">
        <v>293</v>
      </c>
      <c r="B1109" s="54" t="s">
        <v>485</v>
      </c>
      <c r="C1109" s="18" t="s">
        <v>488</v>
      </c>
      <c r="D1109" s="1" t="s">
        <v>227</v>
      </c>
      <c r="E1109" s="18">
        <v>4</v>
      </c>
    </row>
    <row r="1110" customHeight="1" spans="1:5">
      <c r="A1110" s="1" t="s">
        <v>293</v>
      </c>
      <c r="B1110" s="54" t="s">
        <v>485</v>
      </c>
      <c r="C1110" s="18" t="s">
        <v>488</v>
      </c>
      <c r="D1110" s="1" t="s">
        <v>227</v>
      </c>
      <c r="E1110" s="18">
        <v>5</v>
      </c>
    </row>
    <row r="1111" customHeight="1" spans="1:5">
      <c r="A1111" s="1" t="s">
        <v>293</v>
      </c>
      <c r="B1111" s="54" t="s">
        <v>485</v>
      </c>
      <c r="C1111" s="18" t="s">
        <v>488</v>
      </c>
      <c r="D1111" s="1" t="s">
        <v>227</v>
      </c>
      <c r="E1111" s="18">
        <v>6</v>
      </c>
    </row>
    <row r="1112" customHeight="1" spans="1:5">
      <c r="A1112" s="1" t="s">
        <v>293</v>
      </c>
      <c r="B1112" s="54" t="s">
        <v>485</v>
      </c>
      <c r="C1112" s="18" t="s">
        <v>488</v>
      </c>
      <c r="D1112" s="1" t="s">
        <v>227</v>
      </c>
      <c r="E1112" s="18">
        <v>7</v>
      </c>
    </row>
    <row r="1113" customHeight="1" spans="1:5">
      <c r="A1113" s="1" t="s">
        <v>293</v>
      </c>
      <c r="B1113" s="54" t="s">
        <v>485</v>
      </c>
      <c r="C1113" s="18" t="s">
        <v>488</v>
      </c>
      <c r="D1113" s="1" t="s">
        <v>227</v>
      </c>
      <c r="E1113" s="18">
        <v>8</v>
      </c>
    </row>
    <row r="1114" customHeight="1" spans="1:5">
      <c r="A1114" s="1" t="s">
        <v>222</v>
      </c>
      <c r="B1114" s="53" t="s">
        <v>489</v>
      </c>
      <c r="C1114" s="5" t="s">
        <v>490</v>
      </c>
      <c r="D1114" s="1" t="s">
        <v>224</v>
      </c>
      <c r="E1114" s="5">
        <v>1</v>
      </c>
    </row>
    <row r="1115" customHeight="1" spans="1:5">
      <c r="A1115" s="1" t="s">
        <v>222</v>
      </c>
      <c r="B1115" s="53" t="s">
        <v>489</v>
      </c>
      <c r="C1115" s="5" t="s">
        <v>490</v>
      </c>
      <c r="D1115" s="1" t="s">
        <v>224</v>
      </c>
      <c r="E1115" s="5">
        <v>2</v>
      </c>
    </row>
    <row r="1116" customHeight="1" spans="1:5">
      <c r="A1116" s="1" t="s">
        <v>222</v>
      </c>
      <c r="B1116" s="53" t="s">
        <v>489</v>
      </c>
      <c r="C1116" s="5" t="s">
        <v>490</v>
      </c>
      <c r="D1116" s="1" t="s">
        <v>224</v>
      </c>
      <c r="E1116" s="5">
        <v>3</v>
      </c>
    </row>
    <row r="1117" customHeight="1" spans="1:5">
      <c r="A1117" s="1" t="s">
        <v>222</v>
      </c>
      <c r="B1117" s="53" t="s">
        <v>489</v>
      </c>
      <c r="C1117" s="5" t="s">
        <v>490</v>
      </c>
      <c r="D1117" s="1" t="s">
        <v>224</v>
      </c>
      <c r="E1117" s="5">
        <v>4</v>
      </c>
    </row>
    <row r="1118" customHeight="1" spans="1:5">
      <c r="A1118" s="1" t="s">
        <v>222</v>
      </c>
      <c r="B1118" s="53" t="s">
        <v>489</v>
      </c>
      <c r="C1118" s="5" t="s">
        <v>490</v>
      </c>
      <c r="D1118" s="1" t="s">
        <v>224</v>
      </c>
      <c r="E1118" s="5">
        <v>5</v>
      </c>
    </row>
    <row r="1119" customHeight="1" spans="1:5">
      <c r="A1119" s="1" t="s">
        <v>222</v>
      </c>
      <c r="B1119" s="53" t="s">
        <v>489</v>
      </c>
      <c r="C1119" s="18" t="s">
        <v>491</v>
      </c>
      <c r="D1119" s="1" t="s">
        <v>226</v>
      </c>
      <c r="E1119" s="18">
        <v>1</v>
      </c>
    </row>
    <row r="1120" customHeight="1" spans="1:5">
      <c r="A1120" s="1" t="s">
        <v>222</v>
      </c>
      <c r="B1120" s="53" t="s">
        <v>489</v>
      </c>
      <c r="C1120" s="18" t="s">
        <v>491</v>
      </c>
      <c r="D1120" s="1" t="s">
        <v>226</v>
      </c>
      <c r="E1120" s="18">
        <v>2</v>
      </c>
    </row>
    <row r="1121" customHeight="1" spans="1:5">
      <c r="A1121" s="1" t="s">
        <v>222</v>
      </c>
      <c r="B1121" s="53" t="s">
        <v>489</v>
      </c>
      <c r="C1121" s="18" t="s">
        <v>491</v>
      </c>
      <c r="D1121" s="1" t="s">
        <v>226</v>
      </c>
      <c r="E1121" s="18">
        <v>3</v>
      </c>
    </row>
    <row r="1122" customHeight="1" spans="1:5">
      <c r="A1122" s="1" t="s">
        <v>222</v>
      </c>
      <c r="B1122" s="53" t="s">
        <v>489</v>
      </c>
      <c r="C1122" s="18" t="s">
        <v>491</v>
      </c>
      <c r="D1122" s="1" t="s">
        <v>226</v>
      </c>
      <c r="E1122" s="18">
        <v>4</v>
      </c>
    </row>
    <row r="1123" customHeight="1" spans="1:5">
      <c r="A1123" s="1" t="s">
        <v>222</v>
      </c>
      <c r="B1123" s="53" t="s">
        <v>489</v>
      </c>
      <c r="C1123" s="18" t="s">
        <v>491</v>
      </c>
      <c r="D1123" s="1" t="s">
        <v>226</v>
      </c>
      <c r="E1123" s="18">
        <v>5</v>
      </c>
    </row>
    <row r="1124" customHeight="1" spans="1:5">
      <c r="A1124" s="1" t="s">
        <v>222</v>
      </c>
      <c r="B1124" s="53" t="s">
        <v>489</v>
      </c>
      <c r="C1124" s="5" t="s">
        <v>491</v>
      </c>
      <c r="D1124" s="1" t="s">
        <v>226</v>
      </c>
      <c r="E1124" s="5">
        <v>1</v>
      </c>
    </row>
    <row r="1125" customHeight="1" spans="1:5">
      <c r="A1125" s="1" t="s">
        <v>222</v>
      </c>
      <c r="B1125" s="53" t="s">
        <v>489</v>
      </c>
      <c r="C1125" s="5" t="s">
        <v>491</v>
      </c>
      <c r="D1125" s="1" t="s">
        <v>226</v>
      </c>
      <c r="E1125" s="5">
        <v>2</v>
      </c>
    </row>
    <row r="1126" customHeight="1" spans="1:5">
      <c r="A1126" s="1" t="s">
        <v>222</v>
      </c>
      <c r="B1126" s="53" t="s">
        <v>489</v>
      </c>
      <c r="C1126" s="5" t="s">
        <v>491</v>
      </c>
      <c r="D1126" s="1" t="s">
        <v>226</v>
      </c>
      <c r="E1126" s="5">
        <v>3</v>
      </c>
    </row>
    <row r="1127" customHeight="1" spans="1:5">
      <c r="A1127" s="1" t="s">
        <v>222</v>
      </c>
      <c r="B1127" s="53" t="s">
        <v>489</v>
      </c>
      <c r="C1127" s="5" t="s">
        <v>491</v>
      </c>
      <c r="D1127" s="1" t="s">
        <v>226</v>
      </c>
      <c r="E1127" s="5">
        <v>4</v>
      </c>
    </row>
    <row r="1128" customHeight="1" spans="1:5">
      <c r="A1128" s="1" t="s">
        <v>222</v>
      </c>
      <c r="B1128" s="53" t="s">
        <v>489</v>
      </c>
      <c r="C1128" s="5" t="s">
        <v>491</v>
      </c>
      <c r="D1128" s="1" t="s">
        <v>226</v>
      </c>
      <c r="E1128" s="5">
        <v>5</v>
      </c>
    </row>
    <row r="1129" customHeight="1" spans="1:5">
      <c r="A1129" s="1" t="s">
        <v>293</v>
      </c>
      <c r="B1129" s="53" t="s">
        <v>489</v>
      </c>
      <c r="C1129" s="18" t="s">
        <v>492</v>
      </c>
      <c r="D1129" s="1" t="s">
        <v>227</v>
      </c>
      <c r="E1129" s="18">
        <v>1</v>
      </c>
    </row>
    <row r="1130" customHeight="1" spans="1:5">
      <c r="A1130" s="1" t="s">
        <v>293</v>
      </c>
      <c r="B1130" s="53" t="s">
        <v>489</v>
      </c>
      <c r="C1130" s="18" t="s">
        <v>492</v>
      </c>
      <c r="D1130" s="1" t="s">
        <v>227</v>
      </c>
      <c r="E1130" s="18">
        <v>2</v>
      </c>
    </row>
    <row r="1131" customHeight="1" spans="1:5">
      <c r="A1131" s="1" t="s">
        <v>293</v>
      </c>
      <c r="B1131" s="53" t="s">
        <v>489</v>
      </c>
      <c r="C1131" s="18" t="s">
        <v>492</v>
      </c>
      <c r="D1131" s="1" t="s">
        <v>227</v>
      </c>
      <c r="E1131" s="18">
        <v>3</v>
      </c>
    </row>
    <row r="1132" customHeight="1" spans="1:5">
      <c r="A1132" s="1" t="s">
        <v>293</v>
      </c>
      <c r="B1132" s="53" t="s">
        <v>489</v>
      </c>
      <c r="C1132" s="18" t="s">
        <v>492</v>
      </c>
      <c r="D1132" s="1" t="s">
        <v>227</v>
      </c>
      <c r="E1132" s="18">
        <v>4</v>
      </c>
    </row>
    <row r="1133" customHeight="1" spans="1:5">
      <c r="A1133" s="1" t="s">
        <v>293</v>
      </c>
      <c r="B1133" s="53" t="s">
        <v>489</v>
      </c>
      <c r="C1133" s="18" t="s">
        <v>492</v>
      </c>
      <c r="D1133" s="1" t="s">
        <v>227</v>
      </c>
      <c r="E1133" s="18">
        <v>5</v>
      </c>
    </row>
    <row r="1134" customHeight="1" spans="1:5">
      <c r="A1134" s="1" t="s">
        <v>293</v>
      </c>
      <c r="B1134" s="53" t="s">
        <v>489</v>
      </c>
      <c r="C1134" s="18" t="s">
        <v>492</v>
      </c>
      <c r="D1134" s="1" t="s">
        <v>227</v>
      </c>
      <c r="E1134" s="18">
        <v>6</v>
      </c>
    </row>
    <row r="1135" customHeight="1" spans="1:5">
      <c r="A1135" s="1" t="s">
        <v>293</v>
      </c>
      <c r="B1135" s="53" t="s">
        <v>489</v>
      </c>
      <c r="C1135" s="18" t="s">
        <v>492</v>
      </c>
      <c r="D1135" s="1" t="s">
        <v>227</v>
      </c>
      <c r="E1135" s="18">
        <v>7</v>
      </c>
    </row>
    <row r="1136" customHeight="1" spans="1:5">
      <c r="A1136" s="1" t="s">
        <v>293</v>
      </c>
      <c r="B1136" s="53" t="s">
        <v>489</v>
      </c>
      <c r="C1136" s="18" t="s">
        <v>492</v>
      </c>
      <c r="D1136" s="1" t="s">
        <v>227</v>
      </c>
      <c r="E1136" s="18">
        <v>8</v>
      </c>
    </row>
    <row r="1137" customHeight="1" spans="1:5">
      <c r="A1137" s="1" t="s">
        <v>222</v>
      </c>
      <c r="B1137" s="54" t="s">
        <v>493</v>
      </c>
      <c r="C1137" s="5" t="s">
        <v>494</v>
      </c>
      <c r="D1137" s="1" t="s">
        <v>224</v>
      </c>
      <c r="E1137" s="5">
        <v>1</v>
      </c>
    </row>
    <row r="1138" customHeight="1" spans="1:5">
      <c r="A1138" s="1" t="s">
        <v>222</v>
      </c>
      <c r="B1138" s="54" t="s">
        <v>493</v>
      </c>
      <c r="C1138" s="5" t="s">
        <v>494</v>
      </c>
      <c r="D1138" s="1" t="s">
        <v>224</v>
      </c>
      <c r="E1138" s="5">
        <v>2</v>
      </c>
    </row>
    <row r="1139" customHeight="1" spans="1:5">
      <c r="A1139" s="1" t="s">
        <v>222</v>
      </c>
      <c r="B1139" s="54" t="s">
        <v>493</v>
      </c>
      <c r="C1139" s="5" t="s">
        <v>494</v>
      </c>
      <c r="D1139" s="1" t="s">
        <v>224</v>
      </c>
      <c r="E1139" s="5">
        <v>3</v>
      </c>
    </row>
    <row r="1140" customHeight="1" spans="1:5">
      <c r="A1140" s="1" t="s">
        <v>222</v>
      </c>
      <c r="B1140" s="54" t="s">
        <v>493</v>
      </c>
      <c r="C1140" s="5" t="s">
        <v>494</v>
      </c>
      <c r="D1140" s="1" t="s">
        <v>224</v>
      </c>
      <c r="E1140" s="5">
        <v>4</v>
      </c>
    </row>
    <row r="1141" customHeight="1" spans="1:5">
      <c r="A1141" s="1" t="s">
        <v>222</v>
      </c>
      <c r="B1141" s="54" t="s">
        <v>493</v>
      </c>
      <c r="C1141" s="5" t="s">
        <v>494</v>
      </c>
      <c r="D1141" s="1" t="s">
        <v>224</v>
      </c>
      <c r="E1141" s="5">
        <v>5</v>
      </c>
    </row>
    <row r="1142" customHeight="1" spans="1:5">
      <c r="A1142" s="1" t="s">
        <v>222</v>
      </c>
      <c r="B1142" s="54" t="s">
        <v>493</v>
      </c>
      <c r="C1142" s="18" t="s">
        <v>495</v>
      </c>
      <c r="D1142" s="1" t="s">
        <v>226</v>
      </c>
      <c r="E1142" s="18">
        <v>1</v>
      </c>
    </row>
    <row r="1143" customHeight="1" spans="1:5">
      <c r="A1143" s="1" t="s">
        <v>222</v>
      </c>
      <c r="B1143" s="54" t="s">
        <v>493</v>
      </c>
      <c r="C1143" s="18" t="s">
        <v>495</v>
      </c>
      <c r="D1143" s="1" t="s">
        <v>226</v>
      </c>
      <c r="E1143" s="18">
        <v>2</v>
      </c>
    </row>
    <row r="1144" customHeight="1" spans="1:5">
      <c r="A1144" s="1" t="s">
        <v>222</v>
      </c>
      <c r="B1144" s="54" t="s">
        <v>493</v>
      </c>
      <c r="C1144" s="18" t="s">
        <v>495</v>
      </c>
      <c r="D1144" s="1" t="s">
        <v>226</v>
      </c>
      <c r="E1144" s="18">
        <v>3</v>
      </c>
    </row>
    <row r="1145" customHeight="1" spans="1:5">
      <c r="A1145" s="1" t="s">
        <v>222</v>
      </c>
      <c r="B1145" s="54" t="s">
        <v>493</v>
      </c>
      <c r="C1145" s="18" t="s">
        <v>495</v>
      </c>
      <c r="D1145" s="1" t="s">
        <v>226</v>
      </c>
      <c r="E1145" s="18">
        <v>4</v>
      </c>
    </row>
    <row r="1146" customHeight="1" spans="1:5">
      <c r="A1146" s="1" t="s">
        <v>222</v>
      </c>
      <c r="B1146" s="54" t="s">
        <v>493</v>
      </c>
      <c r="C1146" s="18" t="s">
        <v>495</v>
      </c>
      <c r="D1146" s="1" t="s">
        <v>226</v>
      </c>
      <c r="E1146" s="18">
        <v>5</v>
      </c>
    </row>
    <row r="1147" customHeight="1" spans="1:5">
      <c r="A1147" s="1" t="s">
        <v>222</v>
      </c>
      <c r="B1147" s="54" t="s">
        <v>493</v>
      </c>
      <c r="C1147" s="5" t="s">
        <v>495</v>
      </c>
      <c r="D1147" s="1" t="s">
        <v>226</v>
      </c>
      <c r="E1147" s="5">
        <v>1</v>
      </c>
    </row>
    <row r="1148" customHeight="1" spans="1:5">
      <c r="A1148" s="1" t="s">
        <v>222</v>
      </c>
      <c r="B1148" s="54" t="s">
        <v>493</v>
      </c>
      <c r="C1148" s="5" t="s">
        <v>495</v>
      </c>
      <c r="D1148" s="1" t="s">
        <v>226</v>
      </c>
      <c r="E1148" s="5">
        <v>2</v>
      </c>
    </row>
    <row r="1149" customHeight="1" spans="1:5">
      <c r="A1149" s="1" t="s">
        <v>222</v>
      </c>
      <c r="B1149" s="54" t="s">
        <v>493</v>
      </c>
      <c r="C1149" s="5" t="s">
        <v>495</v>
      </c>
      <c r="D1149" s="1" t="s">
        <v>226</v>
      </c>
      <c r="E1149" s="5">
        <v>3</v>
      </c>
    </row>
    <row r="1150" customHeight="1" spans="1:5">
      <c r="A1150" s="1" t="s">
        <v>222</v>
      </c>
      <c r="B1150" s="54" t="s">
        <v>493</v>
      </c>
      <c r="C1150" s="5" t="s">
        <v>495</v>
      </c>
      <c r="D1150" s="1" t="s">
        <v>226</v>
      </c>
      <c r="E1150" s="5">
        <v>4</v>
      </c>
    </row>
    <row r="1151" customHeight="1" spans="1:5">
      <c r="A1151" s="1" t="s">
        <v>222</v>
      </c>
      <c r="B1151" s="54" t="s">
        <v>493</v>
      </c>
      <c r="C1151" s="5" t="s">
        <v>495</v>
      </c>
      <c r="D1151" s="1" t="s">
        <v>226</v>
      </c>
      <c r="E1151" s="5">
        <v>5</v>
      </c>
    </row>
    <row r="1152" customHeight="1" spans="1:5">
      <c r="A1152" s="1" t="s">
        <v>293</v>
      </c>
      <c r="B1152" s="54" t="s">
        <v>493</v>
      </c>
      <c r="C1152" s="18" t="s">
        <v>496</v>
      </c>
      <c r="D1152" s="1" t="s">
        <v>227</v>
      </c>
      <c r="E1152" s="18">
        <v>1</v>
      </c>
    </row>
    <row r="1153" customHeight="1" spans="1:5">
      <c r="A1153" s="1" t="s">
        <v>293</v>
      </c>
      <c r="B1153" s="54" t="s">
        <v>493</v>
      </c>
      <c r="C1153" s="18" t="s">
        <v>496</v>
      </c>
      <c r="D1153" s="1" t="s">
        <v>227</v>
      </c>
      <c r="E1153" s="18">
        <v>2</v>
      </c>
    </row>
    <row r="1154" customHeight="1" spans="1:5">
      <c r="A1154" s="1" t="s">
        <v>293</v>
      </c>
      <c r="B1154" s="54" t="s">
        <v>493</v>
      </c>
      <c r="C1154" s="18" t="s">
        <v>496</v>
      </c>
      <c r="D1154" s="1" t="s">
        <v>227</v>
      </c>
      <c r="E1154" s="18">
        <v>3</v>
      </c>
    </row>
    <row r="1155" customHeight="1" spans="1:5">
      <c r="A1155" s="1" t="s">
        <v>293</v>
      </c>
      <c r="B1155" s="54" t="s">
        <v>493</v>
      </c>
      <c r="C1155" s="18" t="s">
        <v>496</v>
      </c>
      <c r="D1155" s="1" t="s">
        <v>227</v>
      </c>
      <c r="E1155" s="18">
        <v>4</v>
      </c>
    </row>
    <row r="1156" customHeight="1" spans="1:5">
      <c r="A1156" s="1" t="s">
        <v>293</v>
      </c>
      <c r="B1156" s="54" t="s">
        <v>493</v>
      </c>
      <c r="C1156" s="18" t="s">
        <v>496</v>
      </c>
      <c r="D1156" s="1" t="s">
        <v>227</v>
      </c>
      <c r="E1156" s="18">
        <v>5</v>
      </c>
    </row>
    <row r="1157" customHeight="1" spans="1:5">
      <c r="A1157" s="1" t="s">
        <v>293</v>
      </c>
      <c r="B1157" s="54" t="s">
        <v>493</v>
      </c>
      <c r="C1157" s="18" t="s">
        <v>496</v>
      </c>
      <c r="D1157" s="1" t="s">
        <v>227</v>
      </c>
      <c r="E1157" s="18">
        <v>6</v>
      </c>
    </row>
    <row r="1158" customHeight="1" spans="1:5">
      <c r="A1158" s="1" t="s">
        <v>293</v>
      </c>
      <c r="B1158" s="54" t="s">
        <v>493</v>
      </c>
      <c r="C1158" s="18" t="s">
        <v>496</v>
      </c>
      <c r="D1158" s="1" t="s">
        <v>227</v>
      </c>
      <c r="E1158" s="18">
        <v>7</v>
      </c>
    </row>
    <row r="1159" customHeight="1" spans="1:5">
      <c r="A1159" s="1" t="s">
        <v>293</v>
      </c>
      <c r="B1159" s="54" t="s">
        <v>493</v>
      </c>
      <c r="C1159" s="18" t="s">
        <v>496</v>
      </c>
      <c r="D1159" s="1" t="s">
        <v>227</v>
      </c>
      <c r="E1159" s="18">
        <v>8</v>
      </c>
    </row>
    <row r="1160" customHeight="1" spans="1:5">
      <c r="A1160" s="1" t="s">
        <v>222</v>
      </c>
      <c r="B1160" s="53" t="s">
        <v>497</v>
      </c>
      <c r="C1160" s="5" t="s">
        <v>498</v>
      </c>
      <c r="D1160" s="1" t="s">
        <v>224</v>
      </c>
      <c r="E1160" s="5">
        <v>1</v>
      </c>
    </row>
    <row r="1161" customHeight="1" spans="1:5">
      <c r="A1161" s="1" t="s">
        <v>222</v>
      </c>
      <c r="B1161" s="53" t="s">
        <v>497</v>
      </c>
      <c r="C1161" s="5" t="s">
        <v>498</v>
      </c>
      <c r="D1161" s="1" t="s">
        <v>224</v>
      </c>
      <c r="E1161" s="5">
        <v>2</v>
      </c>
    </row>
    <row r="1162" customHeight="1" spans="1:5">
      <c r="A1162" s="1" t="s">
        <v>222</v>
      </c>
      <c r="B1162" s="53" t="s">
        <v>497</v>
      </c>
      <c r="C1162" s="5" t="s">
        <v>498</v>
      </c>
      <c r="D1162" s="1" t="s">
        <v>224</v>
      </c>
      <c r="E1162" s="5">
        <v>3</v>
      </c>
    </row>
    <row r="1163" customHeight="1" spans="1:5">
      <c r="A1163" s="1" t="s">
        <v>222</v>
      </c>
      <c r="B1163" s="53" t="s">
        <v>497</v>
      </c>
      <c r="C1163" s="5" t="s">
        <v>498</v>
      </c>
      <c r="D1163" s="1" t="s">
        <v>224</v>
      </c>
      <c r="E1163" s="5">
        <v>4</v>
      </c>
    </row>
    <row r="1164" customHeight="1" spans="1:5">
      <c r="A1164" s="1" t="s">
        <v>222</v>
      </c>
      <c r="B1164" s="53" t="s">
        <v>497</v>
      </c>
      <c r="C1164" s="5" t="s">
        <v>498</v>
      </c>
      <c r="D1164" s="1" t="s">
        <v>224</v>
      </c>
      <c r="E1164" s="5">
        <v>5</v>
      </c>
    </row>
    <row r="1165" customHeight="1" spans="1:5">
      <c r="A1165" s="1" t="s">
        <v>222</v>
      </c>
      <c r="B1165" s="53" t="s">
        <v>497</v>
      </c>
      <c r="C1165" s="18" t="s">
        <v>499</v>
      </c>
      <c r="D1165" s="1" t="s">
        <v>226</v>
      </c>
      <c r="E1165" s="18">
        <v>1</v>
      </c>
    </row>
    <row r="1166" customHeight="1" spans="1:5">
      <c r="A1166" s="1" t="s">
        <v>222</v>
      </c>
      <c r="B1166" s="53" t="s">
        <v>497</v>
      </c>
      <c r="C1166" s="18" t="s">
        <v>499</v>
      </c>
      <c r="D1166" s="1" t="s">
        <v>226</v>
      </c>
      <c r="E1166" s="18">
        <v>2</v>
      </c>
    </row>
    <row r="1167" customHeight="1" spans="1:5">
      <c r="A1167" s="1" t="s">
        <v>222</v>
      </c>
      <c r="B1167" s="53" t="s">
        <v>497</v>
      </c>
      <c r="C1167" s="18" t="s">
        <v>499</v>
      </c>
      <c r="D1167" s="1" t="s">
        <v>226</v>
      </c>
      <c r="E1167" s="18">
        <v>3</v>
      </c>
    </row>
    <row r="1168" customHeight="1" spans="1:5">
      <c r="A1168" s="1" t="s">
        <v>222</v>
      </c>
      <c r="B1168" s="53" t="s">
        <v>497</v>
      </c>
      <c r="C1168" s="18" t="s">
        <v>499</v>
      </c>
      <c r="D1168" s="1" t="s">
        <v>226</v>
      </c>
      <c r="E1168" s="18">
        <v>4</v>
      </c>
    </row>
    <row r="1169" customHeight="1" spans="1:5">
      <c r="A1169" s="1" t="s">
        <v>222</v>
      </c>
      <c r="B1169" s="53" t="s">
        <v>497</v>
      </c>
      <c r="C1169" s="18" t="s">
        <v>499</v>
      </c>
      <c r="D1169" s="1" t="s">
        <v>226</v>
      </c>
      <c r="E1169" s="18">
        <v>5</v>
      </c>
    </row>
    <row r="1170" customHeight="1" spans="1:5">
      <c r="A1170" s="1" t="s">
        <v>222</v>
      </c>
      <c r="B1170" s="53" t="s">
        <v>497</v>
      </c>
      <c r="C1170" s="5" t="s">
        <v>499</v>
      </c>
      <c r="D1170" s="1" t="s">
        <v>226</v>
      </c>
      <c r="E1170" s="5">
        <v>1</v>
      </c>
    </row>
    <row r="1171" customHeight="1" spans="1:5">
      <c r="A1171" s="1" t="s">
        <v>222</v>
      </c>
      <c r="B1171" s="53" t="s">
        <v>497</v>
      </c>
      <c r="C1171" s="5" t="s">
        <v>499</v>
      </c>
      <c r="D1171" s="1" t="s">
        <v>226</v>
      </c>
      <c r="E1171" s="5">
        <v>2</v>
      </c>
    </row>
    <row r="1172" customHeight="1" spans="1:5">
      <c r="A1172" s="1" t="s">
        <v>222</v>
      </c>
      <c r="B1172" s="53" t="s">
        <v>497</v>
      </c>
      <c r="C1172" s="5" t="s">
        <v>499</v>
      </c>
      <c r="D1172" s="1" t="s">
        <v>226</v>
      </c>
      <c r="E1172" s="5">
        <v>3</v>
      </c>
    </row>
    <row r="1173" customHeight="1" spans="1:5">
      <c r="A1173" s="1" t="s">
        <v>222</v>
      </c>
      <c r="B1173" s="53" t="s">
        <v>497</v>
      </c>
      <c r="C1173" s="5" t="s">
        <v>499</v>
      </c>
      <c r="D1173" s="1" t="s">
        <v>226</v>
      </c>
      <c r="E1173" s="5">
        <v>4</v>
      </c>
    </row>
    <row r="1174" customHeight="1" spans="1:5">
      <c r="A1174" s="1" t="s">
        <v>222</v>
      </c>
      <c r="B1174" s="53" t="s">
        <v>497</v>
      </c>
      <c r="C1174" s="5" t="s">
        <v>499</v>
      </c>
      <c r="D1174" s="1" t="s">
        <v>226</v>
      </c>
      <c r="E1174" s="5">
        <v>5</v>
      </c>
    </row>
    <row r="1175" customHeight="1" spans="1:5">
      <c r="A1175" s="1" t="s">
        <v>293</v>
      </c>
      <c r="B1175" s="53" t="s">
        <v>497</v>
      </c>
      <c r="C1175" s="18" t="s">
        <v>500</v>
      </c>
      <c r="D1175" s="1" t="s">
        <v>227</v>
      </c>
      <c r="E1175" s="18">
        <v>1</v>
      </c>
    </row>
    <row r="1176" customHeight="1" spans="1:5">
      <c r="A1176" s="1" t="s">
        <v>293</v>
      </c>
      <c r="B1176" s="53" t="s">
        <v>497</v>
      </c>
      <c r="C1176" s="18" t="s">
        <v>500</v>
      </c>
      <c r="D1176" s="1" t="s">
        <v>227</v>
      </c>
      <c r="E1176" s="18">
        <v>2</v>
      </c>
    </row>
    <row r="1177" customHeight="1" spans="1:5">
      <c r="A1177" s="1" t="s">
        <v>293</v>
      </c>
      <c r="B1177" s="53" t="s">
        <v>497</v>
      </c>
      <c r="C1177" s="18" t="s">
        <v>500</v>
      </c>
      <c r="D1177" s="1" t="s">
        <v>227</v>
      </c>
      <c r="E1177" s="18">
        <v>3</v>
      </c>
    </row>
    <row r="1178" customHeight="1" spans="1:5">
      <c r="A1178" s="1" t="s">
        <v>293</v>
      </c>
      <c r="B1178" s="53" t="s">
        <v>497</v>
      </c>
      <c r="C1178" s="18" t="s">
        <v>500</v>
      </c>
      <c r="D1178" s="1" t="s">
        <v>227</v>
      </c>
      <c r="E1178" s="18">
        <v>4</v>
      </c>
    </row>
    <row r="1179" customHeight="1" spans="1:5">
      <c r="A1179" s="1" t="s">
        <v>293</v>
      </c>
      <c r="B1179" s="53" t="s">
        <v>497</v>
      </c>
      <c r="C1179" s="18" t="s">
        <v>500</v>
      </c>
      <c r="D1179" s="1" t="s">
        <v>227</v>
      </c>
      <c r="E1179" s="18">
        <v>5</v>
      </c>
    </row>
    <row r="1180" customHeight="1" spans="1:5">
      <c r="A1180" s="1" t="s">
        <v>293</v>
      </c>
      <c r="B1180" s="53" t="s">
        <v>497</v>
      </c>
      <c r="C1180" s="18" t="s">
        <v>500</v>
      </c>
      <c r="D1180" s="1" t="s">
        <v>227</v>
      </c>
      <c r="E1180" s="18">
        <v>6</v>
      </c>
    </row>
    <row r="1181" customHeight="1" spans="1:5">
      <c r="A1181" s="1" t="s">
        <v>293</v>
      </c>
      <c r="B1181" s="53" t="s">
        <v>497</v>
      </c>
      <c r="C1181" s="18" t="s">
        <v>500</v>
      </c>
      <c r="D1181" s="1" t="s">
        <v>227</v>
      </c>
      <c r="E1181" s="18">
        <v>7</v>
      </c>
    </row>
    <row r="1182" customHeight="1" spans="1:5">
      <c r="A1182" s="1" t="s">
        <v>293</v>
      </c>
      <c r="B1182" s="53" t="s">
        <v>497</v>
      </c>
      <c r="C1182" s="18" t="s">
        <v>500</v>
      </c>
      <c r="D1182" s="1" t="s">
        <v>227</v>
      </c>
      <c r="E1182" s="18">
        <v>8</v>
      </c>
    </row>
    <row r="1183" customHeight="1" spans="1:5">
      <c r="A1183" s="1" t="s">
        <v>222</v>
      </c>
      <c r="B1183" s="54" t="s">
        <v>501</v>
      </c>
      <c r="C1183" s="5" t="s">
        <v>502</v>
      </c>
      <c r="D1183" s="1" t="s">
        <v>224</v>
      </c>
      <c r="E1183" s="5">
        <v>1</v>
      </c>
    </row>
    <row r="1184" customHeight="1" spans="1:5">
      <c r="A1184" s="1" t="s">
        <v>222</v>
      </c>
      <c r="B1184" s="54" t="s">
        <v>501</v>
      </c>
      <c r="C1184" s="5" t="s">
        <v>502</v>
      </c>
      <c r="D1184" s="1" t="s">
        <v>224</v>
      </c>
      <c r="E1184" s="5">
        <v>2</v>
      </c>
    </row>
    <row r="1185" customHeight="1" spans="1:5">
      <c r="A1185" s="1" t="s">
        <v>222</v>
      </c>
      <c r="B1185" s="54" t="s">
        <v>501</v>
      </c>
      <c r="C1185" s="5" t="s">
        <v>502</v>
      </c>
      <c r="D1185" s="1" t="s">
        <v>224</v>
      </c>
      <c r="E1185" s="5">
        <v>3</v>
      </c>
    </row>
    <row r="1186" customHeight="1" spans="1:5">
      <c r="A1186" s="1" t="s">
        <v>222</v>
      </c>
      <c r="B1186" s="54" t="s">
        <v>501</v>
      </c>
      <c r="C1186" s="5" t="s">
        <v>502</v>
      </c>
      <c r="D1186" s="1" t="s">
        <v>224</v>
      </c>
      <c r="E1186" s="5">
        <v>4</v>
      </c>
    </row>
    <row r="1187" customHeight="1" spans="1:5">
      <c r="A1187" s="1" t="s">
        <v>222</v>
      </c>
      <c r="B1187" s="54" t="s">
        <v>501</v>
      </c>
      <c r="C1187" s="5" t="s">
        <v>502</v>
      </c>
      <c r="D1187" s="1" t="s">
        <v>224</v>
      </c>
      <c r="E1187" s="5">
        <v>5</v>
      </c>
    </row>
    <row r="1188" customHeight="1" spans="1:5">
      <c r="A1188" s="1" t="s">
        <v>222</v>
      </c>
      <c r="B1188" s="54" t="s">
        <v>501</v>
      </c>
      <c r="C1188" s="18" t="s">
        <v>503</v>
      </c>
      <c r="D1188" s="1" t="s">
        <v>226</v>
      </c>
      <c r="E1188" s="18">
        <v>1</v>
      </c>
    </row>
    <row r="1189" customHeight="1" spans="1:5">
      <c r="A1189" s="1" t="s">
        <v>222</v>
      </c>
      <c r="B1189" s="54" t="s">
        <v>501</v>
      </c>
      <c r="C1189" s="18" t="s">
        <v>503</v>
      </c>
      <c r="D1189" s="1" t="s">
        <v>226</v>
      </c>
      <c r="E1189" s="18">
        <v>2</v>
      </c>
    </row>
    <row r="1190" customHeight="1" spans="1:5">
      <c r="A1190" s="1" t="s">
        <v>222</v>
      </c>
      <c r="B1190" s="54" t="s">
        <v>501</v>
      </c>
      <c r="C1190" s="18" t="s">
        <v>503</v>
      </c>
      <c r="D1190" s="1" t="s">
        <v>226</v>
      </c>
      <c r="E1190" s="18">
        <v>3</v>
      </c>
    </row>
    <row r="1191" customHeight="1" spans="1:5">
      <c r="A1191" s="1" t="s">
        <v>222</v>
      </c>
      <c r="B1191" s="54" t="s">
        <v>501</v>
      </c>
      <c r="C1191" s="18" t="s">
        <v>503</v>
      </c>
      <c r="D1191" s="1" t="s">
        <v>226</v>
      </c>
      <c r="E1191" s="18">
        <v>4</v>
      </c>
    </row>
    <row r="1192" customHeight="1" spans="1:5">
      <c r="A1192" s="1" t="s">
        <v>222</v>
      </c>
      <c r="B1192" s="54" t="s">
        <v>501</v>
      </c>
      <c r="C1192" s="18" t="s">
        <v>503</v>
      </c>
      <c r="D1192" s="1" t="s">
        <v>226</v>
      </c>
      <c r="E1192" s="18">
        <v>5</v>
      </c>
    </row>
    <row r="1193" customHeight="1" spans="1:5">
      <c r="A1193" s="1" t="s">
        <v>222</v>
      </c>
      <c r="B1193" s="54" t="s">
        <v>501</v>
      </c>
      <c r="C1193" s="5" t="s">
        <v>503</v>
      </c>
      <c r="D1193" s="1" t="s">
        <v>226</v>
      </c>
      <c r="E1193" s="5">
        <v>1</v>
      </c>
    </row>
    <row r="1194" customHeight="1" spans="1:5">
      <c r="A1194" s="1" t="s">
        <v>222</v>
      </c>
      <c r="B1194" s="54" t="s">
        <v>501</v>
      </c>
      <c r="C1194" s="5" t="s">
        <v>503</v>
      </c>
      <c r="D1194" s="1" t="s">
        <v>226</v>
      </c>
      <c r="E1194" s="5">
        <v>2</v>
      </c>
    </row>
    <row r="1195" customHeight="1" spans="1:5">
      <c r="A1195" s="1" t="s">
        <v>222</v>
      </c>
      <c r="B1195" s="54" t="s">
        <v>501</v>
      </c>
      <c r="C1195" s="5" t="s">
        <v>503</v>
      </c>
      <c r="D1195" s="1" t="s">
        <v>226</v>
      </c>
      <c r="E1195" s="5">
        <v>3</v>
      </c>
    </row>
    <row r="1196" customHeight="1" spans="1:5">
      <c r="A1196" s="1" t="s">
        <v>222</v>
      </c>
      <c r="B1196" s="54" t="s">
        <v>501</v>
      </c>
      <c r="C1196" s="5" t="s">
        <v>503</v>
      </c>
      <c r="D1196" s="1" t="s">
        <v>226</v>
      </c>
      <c r="E1196" s="5">
        <v>4</v>
      </c>
    </row>
    <row r="1197" customHeight="1" spans="1:5">
      <c r="A1197" s="1" t="s">
        <v>222</v>
      </c>
      <c r="B1197" s="54" t="s">
        <v>501</v>
      </c>
      <c r="C1197" s="5" t="s">
        <v>503</v>
      </c>
      <c r="D1197" s="1" t="s">
        <v>226</v>
      </c>
      <c r="E1197" s="5">
        <v>5</v>
      </c>
    </row>
    <row r="1198" customHeight="1" spans="1:5">
      <c r="A1198" s="1" t="s">
        <v>293</v>
      </c>
      <c r="B1198" s="54" t="s">
        <v>501</v>
      </c>
      <c r="C1198" s="18" t="s">
        <v>504</v>
      </c>
      <c r="D1198" s="1" t="s">
        <v>227</v>
      </c>
      <c r="E1198" s="18">
        <v>1</v>
      </c>
    </row>
    <row r="1199" customHeight="1" spans="1:5">
      <c r="A1199" s="1" t="s">
        <v>293</v>
      </c>
      <c r="B1199" s="54" t="s">
        <v>501</v>
      </c>
      <c r="C1199" s="18" t="s">
        <v>504</v>
      </c>
      <c r="D1199" s="1" t="s">
        <v>227</v>
      </c>
      <c r="E1199" s="18">
        <v>2</v>
      </c>
    </row>
    <row r="1200" customHeight="1" spans="1:5">
      <c r="A1200" s="1" t="s">
        <v>293</v>
      </c>
      <c r="B1200" s="54" t="s">
        <v>501</v>
      </c>
      <c r="C1200" s="18" t="s">
        <v>504</v>
      </c>
      <c r="D1200" s="1" t="s">
        <v>227</v>
      </c>
      <c r="E1200" s="18">
        <v>3</v>
      </c>
    </row>
    <row r="1201" customHeight="1" spans="1:5">
      <c r="A1201" s="1" t="s">
        <v>293</v>
      </c>
      <c r="B1201" s="54" t="s">
        <v>501</v>
      </c>
      <c r="C1201" s="18" t="s">
        <v>504</v>
      </c>
      <c r="D1201" s="1" t="s">
        <v>227</v>
      </c>
      <c r="E1201" s="18">
        <v>4</v>
      </c>
    </row>
    <row r="1202" customHeight="1" spans="1:5">
      <c r="A1202" s="1" t="s">
        <v>293</v>
      </c>
      <c r="B1202" s="54" t="s">
        <v>501</v>
      </c>
      <c r="C1202" s="18" t="s">
        <v>504</v>
      </c>
      <c r="D1202" s="1" t="s">
        <v>227</v>
      </c>
      <c r="E1202" s="18">
        <v>5</v>
      </c>
    </row>
    <row r="1203" customHeight="1" spans="1:5">
      <c r="A1203" s="1" t="s">
        <v>293</v>
      </c>
      <c r="B1203" s="54" t="s">
        <v>501</v>
      </c>
      <c r="C1203" s="18" t="s">
        <v>504</v>
      </c>
      <c r="D1203" s="1" t="s">
        <v>227</v>
      </c>
      <c r="E1203" s="18">
        <v>6</v>
      </c>
    </row>
    <row r="1204" customHeight="1" spans="1:5">
      <c r="A1204" s="1" t="s">
        <v>293</v>
      </c>
      <c r="B1204" s="54" t="s">
        <v>501</v>
      </c>
      <c r="C1204" s="18" t="s">
        <v>504</v>
      </c>
      <c r="D1204" s="1" t="s">
        <v>227</v>
      </c>
      <c r="E1204" s="18">
        <v>7</v>
      </c>
    </row>
    <row r="1205" customHeight="1" spans="1:5">
      <c r="A1205" s="1" t="s">
        <v>293</v>
      </c>
      <c r="B1205" s="54" t="s">
        <v>501</v>
      </c>
      <c r="C1205" s="18" t="s">
        <v>504</v>
      </c>
      <c r="D1205" s="1" t="s">
        <v>227</v>
      </c>
      <c r="E1205" s="18">
        <v>8</v>
      </c>
    </row>
  </sheetData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L70"/>
  <sheetViews>
    <sheetView showGridLines="0" zoomScale="90" zoomScaleNormal="90" workbookViewId="0">
      <selection activeCell="G4" sqref="G4:I7"/>
    </sheetView>
  </sheetViews>
  <sheetFormatPr defaultColWidth="9" defaultRowHeight="20" customHeight="1"/>
  <cols>
    <col min="1" max="1" width="17.375" style="40" customWidth="1"/>
    <col min="2" max="2" width="11.875" style="40" customWidth="1"/>
    <col min="3" max="3" width="10.875" style="40" customWidth="1"/>
    <col min="4" max="4" width="14.75" style="40" customWidth="1"/>
    <col min="5" max="5" width="11.875" style="40" customWidth="1"/>
    <col min="6" max="6" width="20.125" style="40" customWidth="1"/>
    <col min="7" max="7" width="11.875" style="39" customWidth="1"/>
    <col min="8" max="8" width="10.875" style="39" customWidth="1"/>
    <col min="9" max="9" width="15.25" style="39" customWidth="1"/>
    <col min="10" max="10" width="11.875" style="39" customWidth="1"/>
    <col min="11" max="16384" width="9" style="39"/>
  </cols>
  <sheetData>
    <row r="1" s="39" customFormat="1" customHeight="1" spans="1:6">
      <c r="A1" s="41"/>
      <c r="B1" s="41"/>
      <c r="C1" s="41"/>
      <c r="D1" s="41"/>
      <c r="E1" s="41"/>
      <c r="F1" s="40"/>
    </row>
    <row r="2" s="39" customFormat="1" ht="58" customHeight="1" spans="1:10">
      <c r="A2" s="42" t="s">
        <v>215</v>
      </c>
      <c r="B2" s="42" t="s">
        <v>505</v>
      </c>
      <c r="C2" s="43" t="s">
        <v>192</v>
      </c>
      <c r="D2" s="44" t="s">
        <v>506</v>
      </c>
      <c r="E2" s="42" t="s">
        <v>507</v>
      </c>
      <c r="F2" s="45" t="s">
        <v>217</v>
      </c>
      <c r="G2" s="42" t="s">
        <v>505</v>
      </c>
      <c r="H2" s="43" t="s">
        <v>192</v>
      </c>
      <c r="I2" s="44" t="s">
        <v>506</v>
      </c>
      <c r="J2" s="42" t="s">
        <v>507</v>
      </c>
    </row>
    <row r="3" s="39" customFormat="1" customHeight="1" spans="1:12">
      <c r="A3" s="46" t="s">
        <v>508</v>
      </c>
      <c r="B3" s="46">
        <v>0</v>
      </c>
      <c r="C3" s="46">
        <v>3000</v>
      </c>
      <c r="D3" s="46">
        <v>0</v>
      </c>
      <c r="E3" s="47">
        <f>ROUND((B3+C3)*(1+D3)/2,0)</f>
        <v>1500</v>
      </c>
      <c r="F3" s="46" t="s">
        <v>509</v>
      </c>
      <c r="G3" s="46">
        <v>0</v>
      </c>
      <c r="H3" s="46">
        <v>0</v>
      </c>
      <c r="I3" s="46">
        <v>0</v>
      </c>
      <c r="J3" s="47">
        <f t="shared" ref="J3:J22" si="0">ROUND((G3+H3)*(1+I3)/2,0)</f>
        <v>0</v>
      </c>
      <c r="L3" s="49" t="s">
        <v>510</v>
      </c>
    </row>
    <row r="4" s="39" customFormat="1" customHeight="1" spans="1:12">
      <c r="A4" s="46" t="s">
        <v>511</v>
      </c>
      <c r="B4" s="46">
        <v>500</v>
      </c>
      <c r="C4" s="46">
        <v>2800</v>
      </c>
      <c r="D4" s="46">
        <v>0</v>
      </c>
      <c r="E4" s="47">
        <f t="shared" ref="E4:E22" si="1">ROUND((B4+C4)*(1+D4)/2,0)</f>
        <v>1650</v>
      </c>
      <c r="F4" s="46" t="s">
        <v>512</v>
      </c>
      <c r="G4" s="46">
        <v>1000</v>
      </c>
      <c r="H4" s="46">
        <v>200</v>
      </c>
      <c r="I4" s="46">
        <v>0.12</v>
      </c>
      <c r="J4" s="47">
        <f t="shared" si="0"/>
        <v>672</v>
      </c>
      <c r="L4" s="49" t="s">
        <v>513</v>
      </c>
    </row>
    <row r="5" s="39" customFormat="1" customHeight="1" spans="1:12">
      <c r="A5" s="46" t="s">
        <v>514</v>
      </c>
      <c r="B5" s="46">
        <v>1000</v>
      </c>
      <c r="C5" s="46">
        <v>2600</v>
      </c>
      <c r="D5" s="46">
        <v>0</v>
      </c>
      <c r="E5" s="47">
        <f t="shared" si="1"/>
        <v>1800</v>
      </c>
      <c r="F5" s="46" t="s">
        <v>515</v>
      </c>
      <c r="G5" s="46">
        <v>2000</v>
      </c>
      <c r="H5" s="46">
        <v>400</v>
      </c>
      <c r="I5" s="46">
        <v>0.24</v>
      </c>
      <c r="J5" s="47">
        <f t="shared" si="0"/>
        <v>1488</v>
      </c>
      <c r="L5" s="49" t="s">
        <v>516</v>
      </c>
    </row>
    <row r="6" s="39" customFormat="1" customHeight="1" spans="1:12">
      <c r="A6" s="46" t="s">
        <v>517</v>
      </c>
      <c r="B6" s="46">
        <v>1500</v>
      </c>
      <c r="C6" s="46">
        <v>2400</v>
      </c>
      <c r="D6" s="46">
        <v>0</v>
      </c>
      <c r="E6" s="47">
        <f t="shared" si="1"/>
        <v>1950</v>
      </c>
      <c r="F6" s="46" t="s">
        <v>518</v>
      </c>
      <c r="G6" s="46">
        <v>3000</v>
      </c>
      <c r="H6" s="46">
        <v>600</v>
      </c>
      <c r="I6" s="46">
        <v>0.36</v>
      </c>
      <c r="J6" s="47">
        <f t="shared" si="0"/>
        <v>2448</v>
      </c>
      <c r="L6" s="50" t="s">
        <v>519</v>
      </c>
    </row>
    <row r="7" s="39" customFormat="1" customHeight="1" spans="1:12">
      <c r="A7" s="46" t="s">
        <v>520</v>
      </c>
      <c r="B7" s="46">
        <v>2000</v>
      </c>
      <c r="C7" s="46">
        <v>2200</v>
      </c>
      <c r="D7" s="46">
        <v>0</v>
      </c>
      <c r="E7" s="47">
        <f t="shared" si="1"/>
        <v>2100</v>
      </c>
      <c r="F7" s="46" t="s">
        <v>521</v>
      </c>
      <c r="G7" s="46">
        <v>4000</v>
      </c>
      <c r="H7" s="46">
        <v>800</v>
      </c>
      <c r="I7" s="46">
        <v>0.5</v>
      </c>
      <c r="J7" s="47">
        <f t="shared" si="0"/>
        <v>3600</v>
      </c>
      <c r="L7" s="50" t="s">
        <v>522</v>
      </c>
    </row>
    <row r="8" s="39" customFormat="1" customHeight="1" spans="1:12">
      <c r="A8" s="48" t="s">
        <v>523</v>
      </c>
      <c r="B8" s="48">
        <v>0</v>
      </c>
      <c r="C8" s="48">
        <v>500</v>
      </c>
      <c r="D8" s="48">
        <v>0</v>
      </c>
      <c r="E8" s="47">
        <f t="shared" si="1"/>
        <v>250</v>
      </c>
      <c r="F8" s="48" t="s">
        <v>524</v>
      </c>
      <c r="G8" s="48">
        <v>0</v>
      </c>
      <c r="H8" s="48">
        <v>0</v>
      </c>
      <c r="I8" s="48">
        <v>0</v>
      </c>
      <c r="J8" s="47">
        <f t="shared" si="0"/>
        <v>0</v>
      </c>
      <c r="L8" s="50" t="s">
        <v>525</v>
      </c>
    </row>
    <row r="9" s="39" customFormat="1" customHeight="1" spans="1:12">
      <c r="A9" s="48" t="s">
        <v>526</v>
      </c>
      <c r="B9" s="48">
        <v>1200</v>
      </c>
      <c r="C9" s="48">
        <v>550</v>
      </c>
      <c r="D9" s="48">
        <v>0</v>
      </c>
      <c r="E9" s="47">
        <f t="shared" si="1"/>
        <v>875</v>
      </c>
      <c r="F9" s="48" t="s">
        <v>527</v>
      </c>
      <c r="G9" s="48">
        <v>1000</v>
      </c>
      <c r="H9" s="48">
        <v>2000</v>
      </c>
      <c r="I9" s="48">
        <v>0.03</v>
      </c>
      <c r="J9" s="47">
        <f t="shared" si="0"/>
        <v>1545</v>
      </c>
      <c r="L9" s="50" t="s">
        <v>528</v>
      </c>
    </row>
    <row r="10" s="39" customFormat="1" customHeight="1" spans="1:12">
      <c r="A10" s="48" t="s">
        <v>529</v>
      </c>
      <c r="B10" s="48">
        <v>1400</v>
      </c>
      <c r="C10" s="48">
        <v>600</v>
      </c>
      <c r="D10" s="48">
        <v>0</v>
      </c>
      <c r="E10" s="47">
        <f t="shared" si="1"/>
        <v>1000</v>
      </c>
      <c r="F10" s="48" t="s">
        <v>530</v>
      </c>
      <c r="G10" s="48">
        <v>2000</v>
      </c>
      <c r="H10" s="48">
        <v>3000</v>
      </c>
      <c r="I10" s="48">
        <v>0.06</v>
      </c>
      <c r="J10" s="47">
        <f t="shared" si="0"/>
        <v>2650</v>
      </c>
      <c r="L10" s="50" t="s">
        <v>531</v>
      </c>
    </row>
    <row r="11" s="39" customFormat="1" customHeight="1" spans="1:12">
      <c r="A11" s="48" t="s">
        <v>532</v>
      </c>
      <c r="B11" s="48">
        <v>1600</v>
      </c>
      <c r="C11" s="48">
        <v>650</v>
      </c>
      <c r="D11" s="48">
        <v>0</v>
      </c>
      <c r="E11" s="47">
        <f t="shared" si="1"/>
        <v>1125</v>
      </c>
      <c r="F11" s="48" t="s">
        <v>533</v>
      </c>
      <c r="G11" s="48">
        <v>3000</v>
      </c>
      <c r="H11" s="48">
        <v>4000</v>
      </c>
      <c r="I11" s="48">
        <v>0.09</v>
      </c>
      <c r="J11" s="47">
        <f t="shared" si="0"/>
        <v>3815</v>
      </c>
      <c r="L11" s="50" t="s">
        <v>534</v>
      </c>
    </row>
    <row r="12" s="39" customFormat="1" customHeight="1" spans="1:12">
      <c r="A12" s="48" t="s">
        <v>535</v>
      </c>
      <c r="B12" s="48">
        <v>1800</v>
      </c>
      <c r="C12" s="48">
        <v>700</v>
      </c>
      <c r="D12" s="48">
        <v>0</v>
      </c>
      <c r="E12" s="47">
        <f t="shared" si="1"/>
        <v>1250</v>
      </c>
      <c r="F12" s="48" t="s">
        <v>536</v>
      </c>
      <c r="G12" s="48">
        <v>4000</v>
      </c>
      <c r="H12" s="48">
        <v>5000</v>
      </c>
      <c r="I12" s="48">
        <v>0.125</v>
      </c>
      <c r="J12" s="47">
        <f t="shared" si="0"/>
        <v>5063</v>
      </c>
      <c r="L12" s="49" t="s">
        <v>537</v>
      </c>
    </row>
    <row r="13" s="39" customFormat="1" customHeight="1" spans="1:12">
      <c r="A13" s="46" t="s">
        <v>538</v>
      </c>
      <c r="B13" s="46">
        <v>0</v>
      </c>
      <c r="C13" s="46">
        <v>8000</v>
      </c>
      <c r="D13" s="46">
        <v>0</v>
      </c>
      <c r="E13" s="47">
        <f t="shared" si="1"/>
        <v>4000</v>
      </c>
      <c r="F13" s="46" t="s">
        <v>539</v>
      </c>
      <c r="G13" s="46">
        <v>0</v>
      </c>
      <c r="H13" s="46">
        <v>0</v>
      </c>
      <c r="I13" s="46">
        <v>0</v>
      </c>
      <c r="J13" s="47">
        <f t="shared" si="0"/>
        <v>0</v>
      </c>
      <c r="L13" s="49" t="s">
        <v>540</v>
      </c>
    </row>
    <row r="14" s="39" customFormat="1" customHeight="1" spans="1:10">
      <c r="A14" s="46" t="s">
        <v>541</v>
      </c>
      <c r="B14" s="46">
        <v>10000</v>
      </c>
      <c r="C14" s="46">
        <v>8500</v>
      </c>
      <c r="D14" s="46">
        <v>0</v>
      </c>
      <c r="E14" s="47">
        <f t="shared" si="1"/>
        <v>9250</v>
      </c>
      <c r="F14" s="46" t="s">
        <v>542</v>
      </c>
      <c r="G14" s="46">
        <v>2000</v>
      </c>
      <c r="H14" s="46">
        <v>-200</v>
      </c>
      <c r="I14" s="46">
        <v>0.1</v>
      </c>
      <c r="J14" s="47">
        <f t="shared" si="0"/>
        <v>990</v>
      </c>
    </row>
    <row r="15" s="39" customFormat="1" customHeight="1" spans="1:10">
      <c r="A15" s="46" t="s">
        <v>543</v>
      </c>
      <c r="B15" s="46">
        <v>9000</v>
      </c>
      <c r="C15" s="46">
        <v>9000</v>
      </c>
      <c r="D15" s="46">
        <v>0</v>
      </c>
      <c r="E15" s="47">
        <f t="shared" si="1"/>
        <v>9000</v>
      </c>
      <c r="F15" s="46" t="s">
        <v>544</v>
      </c>
      <c r="G15" s="46">
        <v>3000</v>
      </c>
      <c r="H15" s="46">
        <v>-400</v>
      </c>
      <c r="I15" s="46">
        <v>0.2</v>
      </c>
      <c r="J15" s="47">
        <f t="shared" si="0"/>
        <v>1560</v>
      </c>
    </row>
    <row r="16" s="39" customFormat="1" customHeight="1" spans="1:10">
      <c r="A16" s="46" t="s">
        <v>545</v>
      </c>
      <c r="B16" s="46">
        <v>8000</v>
      </c>
      <c r="C16" s="46">
        <v>9500</v>
      </c>
      <c r="D16" s="46">
        <v>0</v>
      </c>
      <c r="E16" s="47">
        <f t="shared" si="1"/>
        <v>8750</v>
      </c>
      <c r="F16" s="46" t="s">
        <v>546</v>
      </c>
      <c r="G16" s="46">
        <v>4000</v>
      </c>
      <c r="H16" s="46">
        <v>-600</v>
      </c>
      <c r="I16" s="46">
        <v>0.3</v>
      </c>
      <c r="J16" s="47">
        <f t="shared" si="0"/>
        <v>2210</v>
      </c>
    </row>
    <row r="17" s="39" customFormat="1" customHeight="1" spans="1:10">
      <c r="A17" s="46" t="s">
        <v>547</v>
      </c>
      <c r="B17" s="46">
        <v>7000</v>
      </c>
      <c r="C17" s="46">
        <v>10000</v>
      </c>
      <c r="D17" s="46">
        <v>0</v>
      </c>
      <c r="E17" s="47">
        <f t="shared" si="1"/>
        <v>8500</v>
      </c>
      <c r="F17" s="46" t="s">
        <v>548</v>
      </c>
      <c r="G17" s="46">
        <v>5000</v>
      </c>
      <c r="H17" s="46">
        <v>-800</v>
      </c>
      <c r="I17" s="46">
        <v>0.4</v>
      </c>
      <c r="J17" s="47">
        <f t="shared" si="0"/>
        <v>2940</v>
      </c>
    </row>
    <row r="18" s="39" customFormat="1" customHeight="1" spans="1:10">
      <c r="A18" s="48" t="s">
        <v>549</v>
      </c>
      <c r="B18" s="48">
        <v>0</v>
      </c>
      <c r="C18" s="48">
        <v>10000</v>
      </c>
      <c r="D18" s="48">
        <v>0</v>
      </c>
      <c r="E18" s="47">
        <v>15000</v>
      </c>
      <c r="F18" s="48" t="s">
        <v>550</v>
      </c>
      <c r="G18" s="48">
        <v>0</v>
      </c>
      <c r="H18" s="48">
        <v>0</v>
      </c>
      <c r="I18" s="48">
        <v>0</v>
      </c>
      <c r="J18" s="47">
        <v>0</v>
      </c>
    </row>
    <row r="19" s="39" customFormat="1" customHeight="1" spans="1:10">
      <c r="A19" s="48" t="s">
        <v>551</v>
      </c>
      <c r="B19" s="48">
        <v>17500</v>
      </c>
      <c r="C19" s="48">
        <v>9000</v>
      </c>
      <c r="D19" s="48">
        <v>0</v>
      </c>
      <c r="E19" s="47">
        <v>13250</v>
      </c>
      <c r="F19" s="48" t="s">
        <v>552</v>
      </c>
      <c r="G19" s="48">
        <v>5000</v>
      </c>
      <c r="H19" s="48">
        <v>4000</v>
      </c>
      <c r="I19" s="48">
        <v>0.25</v>
      </c>
      <c r="J19" s="47">
        <v>5625</v>
      </c>
    </row>
    <row r="20" s="39" customFormat="1" customHeight="1" spans="1:10">
      <c r="A20" s="48" t="s">
        <v>553</v>
      </c>
      <c r="B20" s="48">
        <v>15000</v>
      </c>
      <c r="C20" s="48">
        <v>8000</v>
      </c>
      <c r="D20" s="48">
        <v>0</v>
      </c>
      <c r="E20" s="47">
        <v>11500</v>
      </c>
      <c r="F20" s="48" t="s">
        <v>554</v>
      </c>
      <c r="G20" s="48">
        <v>6000</v>
      </c>
      <c r="H20" s="48">
        <v>6000</v>
      </c>
      <c r="I20" s="48">
        <v>0.5</v>
      </c>
      <c r="J20" s="47">
        <v>9000</v>
      </c>
    </row>
    <row r="21" s="39" customFormat="1" customHeight="1" spans="1:10">
      <c r="A21" s="48" t="s">
        <v>555</v>
      </c>
      <c r="B21" s="48">
        <v>12500</v>
      </c>
      <c r="C21" s="48">
        <v>7000</v>
      </c>
      <c r="D21" s="48">
        <v>0</v>
      </c>
      <c r="E21" s="47">
        <v>9750</v>
      </c>
      <c r="F21" s="48" t="s">
        <v>556</v>
      </c>
      <c r="G21" s="48">
        <v>7000</v>
      </c>
      <c r="H21" s="48">
        <v>8000</v>
      </c>
      <c r="I21" s="48">
        <v>0.75</v>
      </c>
      <c r="J21" s="47">
        <v>13125</v>
      </c>
    </row>
    <row r="22" s="39" customFormat="1" customHeight="1" spans="1:10">
      <c r="A22" s="48" t="s">
        <v>557</v>
      </c>
      <c r="B22" s="48">
        <v>10000</v>
      </c>
      <c r="C22" s="48">
        <v>6000</v>
      </c>
      <c r="D22" s="48">
        <v>0</v>
      </c>
      <c r="E22" s="47">
        <v>8000</v>
      </c>
      <c r="F22" s="48" t="s">
        <v>558</v>
      </c>
      <c r="G22" s="48">
        <v>8000</v>
      </c>
      <c r="H22" s="48">
        <v>10000</v>
      </c>
      <c r="I22" s="48">
        <v>1</v>
      </c>
      <c r="J22" s="47">
        <v>18000</v>
      </c>
    </row>
    <row r="23" s="39" customFormat="1" customHeight="1" spans="2:8">
      <c r="B23" s="41"/>
      <c r="C23" s="41"/>
      <c r="D23" s="40"/>
      <c r="F23" s="46" t="s">
        <v>559</v>
      </c>
      <c r="G23" s="41"/>
      <c r="H23" s="41"/>
    </row>
    <row r="24" s="39" customFormat="1" customHeight="1" spans="2:8">
      <c r="B24" s="41"/>
      <c r="C24" s="41"/>
      <c r="D24" s="40"/>
      <c r="F24" s="46" t="s">
        <v>560</v>
      </c>
      <c r="G24" s="41"/>
      <c r="H24" s="41"/>
    </row>
    <row r="25" s="39" customFormat="1" customHeight="1" spans="2:8">
      <c r="B25" s="41"/>
      <c r="C25" s="41"/>
      <c r="D25" s="40"/>
      <c r="F25" s="46" t="s">
        <v>561</v>
      </c>
      <c r="G25" s="41"/>
      <c r="H25" s="41"/>
    </row>
    <row r="26" s="39" customFormat="1" customHeight="1" spans="2:8">
      <c r="B26" s="41"/>
      <c r="C26" s="41"/>
      <c r="D26" s="40"/>
      <c r="F26" s="46" t="s">
        <v>562</v>
      </c>
      <c r="G26" s="41"/>
      <c r="H26" s="41"/>
    </row>
    <row r="27" s="39" customFormat="1" customHeight="1" spans="2:8">
      <c r="B27" s="41"/>
      <c r="C27" s="41"/>
      <c r="D27" s="40"/>
      <c r="F27" s="46" t="s">
        <v>563</v>
      </c>
      <c r="G27" s="41"/>
      <c r="H27" s="41"/>
    </row>
    <row r="28" s="39" customFormat="1" customHeight="1" spans="2:8">
      <c r="B28" s="41"/>
      <c r="C28" s="41"/>
      <c r="D28" s="40"/>
      <c r="F28" s="46" t="s">
        <v>564</v>
      </c>
      <c r="G28" s="41"/>
      <c r="H28" s="41"/>
    </row>
    <row r="29" s="39" customFormat="1" customHeight="1" spans="2:8">
      <c r="B29" s="41"/>
      <c r="C29" s="41"/>
      <c r="D29" s="40"/>
      <c r="F29" s="46" t="s">
        <v>565</v>
      </c>
      <c r="G29" s="41"/>
      <c r="H29" s="41"/>
    </row>
    <row r="30" s="39" customFormat="1" customHeight="1" spans="2:8">
      <c r="B30" s="41"/>
      <c r="C30" s="41"/>
      <c r="D30" s="40"/>
      <c r="F30" s="46" t="s">
        <v>566</v>
      </c>
      <c r="G30" s="41"/>
      <c r="H30" s="41"/>
    </row>
    <row r="31" s="39" customFormat="1" customHeight="1" spans="1:10">
      <c r="A31" s="48" t="s">
        <v>567</v>
      </c>
      <c r="B31" s="48">
        <v>0</v>
      </c>
      <c r="C31" s="48">
        <v>0</v>
      </c>
      <c r="D31" s="48">
        <v>0</v>
      </c>
      <c r="E31" s="47">
        <f t="shared" ref="E31:E38" si="2">ROUND((B31+C31)*(1+D31)/2,0)</f>
        <v>0</v>
      </c>
      <c r="F31" s="48" t="s">
        <v>567</v>
      </c>
      <c r="G31" s="48">
        <v>0</v>
      </c>
      <c r="H31" s="48">
        <v>0</v>
      </c>
      <c r="I31" s="48">
        <v>0</v>
      </c>
      <c r="J31" s="47">
        <f t="shared" ref="J31:J38" si="3">ROUND((G31+H31)*(1+I31)/2,0)</f>
        <v>0</v>
      </c>
    </row>
    <row r="32" s="39" customFormat="1" customHeight="1" spans="1:10">
      <c r="A32" s="48" t="s">
        <v>568</v>
      </c>
      <c r="B32" s="48">
        <v>0</v>
      </c>
      <c r="C32" s="48">
        <v>0</v>
      </c>
      <c r="D32" s="48">
        <v>0</v>
      </c>
      <c r="E32" s="47">
        <f t="shared" si="2"/>
        <v>0</v>
      </c>
      <c r="F32" s="48" t="s">
        <v>568</v>
      </c>
      <c r="G32" s="48">
        <v>0</v>
      </c>
      <c r="H32" s="48">
        <v>0</v>
      </c>
      <c r="I32" s="48">
        <v>0</v>
      </c>
      <c r="J32" s="47">
        <f t="shared" si="3"/>
        <v>0</v>
      </c>
    </row>
    <row r="33" s="39" customFormat="1" customHeight="1" spans="1:10">
      <c r="A33" s="48" t="s">
        <v>569</v>
      </c>
      <c r="B33" s="48">
        <v>0</v>
      </c>
      <c r="C33" s="48">
        <v>0</v>
      </c>
      <c r="D33" s="48">
        <v>0</v>
      </c>
      <c r="E33" s="47">
        <f t="shared" si="2"/>
        <v>0</v>
      </c>
      <c r="F33" s="48" t="s">
        <v>569</v>
      </c>
      <c r="G33" s="48">
        <v>0</v>
      </c>
      <c r="H33" s="48">
        <v>0</v>
      </c>
      <c r="I33" s="48">
        <v>0</v>
      </c>
      <c r="J33" s="47">
        <f t="shared" si="3"/>
        <v>0</v>
      </c>
    </row>
    <row r="34" s="39" customFormat="1" customHeight="1" spans="1:10">
      <c r="A34" s="48" t="s">
        <v>570</v>
      </c>
      <c r="B34" s="48">
        <v>0</v>
      </c>
      <c r="C34" s="48">
        <v>0</v>
      </c>
      <c r="D34" s="48">
        <v>0</v>
      </c>
      <c r="E34" s="47">
        <f t="shared" si="2"/>
        <v>0</v>
      </c>
      <c r="F34" s="48" t="s">
        <v>570</v>
      </c>
      <c r="G34" s="48">
        <v>0</v>
      </c>
      <c r="H34" s="48">
        <v>0</v>
      </c>
      <c r="I34" s="48">
        <v>0</v>
      </c>
      <c r="J34" s="47">
        <f t="shared" si="3"/>
        <v>0</v>
      </c>
    </row>
    <row r="35" s="39" customFormat="1" customHeight="1" spans="1:10">
      <c r="A35" s="48" t="s">
        <v>571</v>
      </c>
      <c r="B35" s="48">
        <v>0</v>
      </c>
      <c r="C35" s="48">
        <v>0</v>
      </c>
      <c r="D35" s="48">
        <v>0</v>
      </c>
      <c r="E35" s="47">
        <f t="shared" si="2"/>
        <v>0</v>
      </c>
      <c r="F35" s="48" t="s">
        <v>571</v>
      </c>
      <c r="G35" s="48">
        <v>0</v>
      </c>
      <c r="H35" s="48">
        <v>0</v>
      </c>
      <c r="I35" s="48">
        <v>0</v>
      </c>
      <c r="J35" s="47">
        <f t="shared" si="3"/>
        <v>0</v>
      </c>
    </row>
    <row r="36" s="39" customFormat="1" customHeight="1" spans="1:10">
      <c r="A36" s="48" t="s">
        <v>572</v>
      </c>
      <c r="B36" s="48">
        <v>0</v>
      </c>
      <c r="C36" s="48">
        <v>0</v>
      </c>
      <c r="D36" s="48">
        <v>0</v>
      </c>
      <c r="E36" s="47">
        <f t="shared" si="2"/>
        <v>0</v>
      </c>
      <c r="F36" s="48" t="s">
        <v>572</v>
      </c>
      <c r="G36" s="48">
        <v>0</v>
      </c>
      <c r="H36" s="48">
        <v>0</v>
      </c>
      <c r="I36" s="48">
        <v>0</v>
      </c>
      <c r="J36" s="47">
        <f t="shared" si="3"/>
        <v>0</v>
      </c>
    </row>
    <row r="37" s="39" customFormat="1" customHeight="1" spans="1:10">
      <c r="A37" s="48" t="s">
        <v>573</v>
      </c>
      <c r="B37" s="48">
        <v>0</v>
      </c>
      <c r="C37" s="48">
        <v>0</v>
      </c>
      <c r="D37" s="48">
        <v>0</v>
      </c>
      <c r="E37" s="47">
        <f t="shared" si="2"/>
        <v>0</v>
      </c>
      <c r="F37" s="48" t="s">
        <v>573</v>
      </c>
      <c r="G37" s="48">
        <v>0</v>
      </c>
      <c r="H37" s="48">
        <v>0</v>
      </c>
      <c r="I37" s="48">
        <v>0</v>
      </c>
      <c r="J37" s="47">
        <f t="shared" si="3"/>
        <v>0</v>
      </c>
    </row>
    <row r="38" s="39" customFormat="1" customHeight="1" spans="1:10">
      <c r="A38" s="48" t="s">
        <v>574</v>
      </c>
      <c r="B38" s="48">
        <v>0</v>
      </c>
      <c r="C38" s="48">
        <v>0</v>
      </c>
      <c r="D38" s="48">
        <v>0</v>
      </c>
      <c r="E38" s="47">
        <f t="shared" si="2"/>
        <v>0</v>
      </c>
      <c r="F38" s="48" t="s">
        <v>574</v>
      </c>
      <c r="G38" s="48">
        <v>0</v>
      </c>
      <c r="H38" s="48">
        <v>0</v>
      </c>
      <c r="I38" s="48">
        <v>0</v>
      </c>
      <c r="J38" s="47">
        <f t="shared" si="3"/>
        <v>0</v>
      </c>
    </row>
    <row r="39" s="39" customFormat="1" customHeight="1" spans="2:8">
      <c r="B39" s="41"/>
      <c r="C39" s="41"/>
      <c r="D39" s="40"/>
      <c r="F39" s="40"/>
      <c r="G39" s="41"/>
      <c r="H39" s="41"/>
    </row>
    <row r="40" s="39" customFormat="1" customHeight="1" spans="2:8">
      <c r="B40" s="41"/>
      <c r="C40" s="41"/>
      <c r="D40" s="40"/>
      <c r="F40" s="40"/>
      <c r="G40" s="41"/>
      <c r="H40" s="41"/>
    </row>
    <row r="41" s="39" customFormat="1" customHeight="1" spans="2:8">
      <c r="B41" s="41"/>
      <c r="C41" s="41"/>
      <c r="D41" s="40"/>
      <c r="F41" s="40"/>
      <c r="G41" s="41"/>
      <c r="H41" s="41"/>
    </row>
    <row r="42" s="39" customFormat="1" customHeight="1" spans="2:8">
      <c r="B42" s="41"/>
      <c r="C42" s="41"/>
      <c r="D42" s="40"/>
      <c r="F42" s="40"/>
      <c r="G42" s="41"/>
      <c r="H42" s="41"/>
    </row>
    <row r="43" s="39" customFormat="1" customHeight="1" spans="2:8">
      <c r="B43" s="41"/>
      <c r="C43" s="41"/>
      <c r="D43" s="40"/>
      <c r="F43" s="40"/>
      <c r="G43" s="41"/>
      <c r="H43" s="41"/>
    </row>
    <row r="44" s="39" customFormat="1" customHeight="1" spans="2:8">
      <c r="B44" s="41"/>
      <c r="C44" s="41"/>
      <c r="D44" s="40"/>
      <c r="F44" s="40"/>
      <c r="G44" s="41"/>
      <c r="H44" s="41"/>
    </row>
    <row r="45" s="39" customFormat="1" customHeight="1" spans="2:8">
      <c r="B45" s="41"/>
      <c r="C45" s="41"/>
      <c r="D45" s="40"/>
      <c r="F45" s="40"/>
      <c r="G45" s="41"/>
      <c r="H45" s="41"/>
    </row>
    <row r="46" s="39" customFormat="1" customHeight="1" spans="2:8">
      <c r="B46" s="41"/>
      <c r="C46" s="41"/>
      <c r="D46" s="40"/>
      <c r="E46" s="40"/>
      <c r="F46" s="40"/>
      <c r="G46" s="41"/>
      <c r="H46" s="41"/>
    </row>
    <row r="47" s="39" customFormat="1" customHeight="1" spans="2:6">
      <c r="B47" s="41"/>
      <c r="C47" s="40"/>
      <c r="D47" s="40"/>
      <c r="E47" s="40"/>
      <c r="F47" s="40"/>
    </row>
    <row r="48" s="39" customFormat="1" customHeight="1" spans="2:6">
      <c r="B48" s="40"/>
      <c r="C48" s="40"/>
      <c r="D48" s="40"/>
      <c r="E48" s="40"/>
      <c r="F48" s="40"/>
    </row>
    <row r="49" s="39" customFormat="1" customHeight="1" spans="2:6">
      <c r="B49" s="40"/>
      <c r="C49" s="40"/>
      <c r="D49" s="40"/>
      <c r="E49" s="40"/>
      <c r="F49" s="40"/>
    </row>
    <row r="50" s="39" customFormat="1" customHeight="1" spans="2:6">
      <c r="B50" s="40"/>
      <c r="C50" s="40"/>
      <c r="D50" s="40"/>
      <c r="E50" s="40"/>
      <c r="F50" s="40"/>
    </row>
    <row r="51" s="39" customFormat="1" customHeight="1" spans="1:6">
      <c r="A51" s="40"/>
      <c r="B51" s="40"/>
      <c r="C51" s="40"/>
      <c r="D51" s="40"/>
      <c r="E51" s="40"/>
      <c r="F51" s="40"/>
    </row>
    <row r="52" s="39" customFormat="1" customHeight="1" spans="1:6">
      <c r="A52" s="40"/>
      <c r="B52" s="40"/>
      <c r="C52" s="40"/>
      <c r="D52" s="40"/>
      <c r="E52" s="40"/>
      <c r="F52" s="40"/>
    </row>
    <row r="53" s="39" customFormat="1" customHeight="1" spans="1:6">
      <c r="A53" s="40"/>
      <c r="B53" s="40"/>
      <c r="C53" s="40"/>
      <c r="D53" s="40"/>
      <c r="E53" s="40"/>
      <c r="F53" s="40"/>
    </row>
    <row r="54" s="39" customFormat="1" customHeight="1" spans="1:6">
      <c r="A54" s="40"/>
      <c r="B54" s="40"/>
      <c r="C54" s="40"/>
      <c r="D54" s="40"/>
      <c r="E54" s="40"/>
      <c r="F54" s="40"/>
    </row>
    <row r="55" s="39" customFormat="1" customHeight="1" spans="1:6">
      <c r="A55" s="40"/>
      <c r="B55" s="40"/>
      <c r="C55" s="40"/>
      <c r="D55" s="40"/>
      <c r="E55" s="40"/>
      <c r="F55" s="40"/>
    </row>
    <row r="56" s="39" customFormat="1" customHeight="1" spans="1:6">
      <c r="A56" s="40"/>
      <c r="B56" s="40"/>
      <c r="C56" s="40"/>
      <c r="D56" s="40"/>
      <c r="E56" s="40"/>
      <c r="F56" s="40"/>
    </row>
    <row r="57" s="39" customFormat="1" customHeight="1" spans="1:6">
      <c r="A57" s="40"/>
      <c r="B57" s="40"/>
      <c r="C57" s="40"/>
      <c r="D57" s="40"/>
      <c r="E57" s="40"/>
      <c r="F57" s="40"/>
    </row>
    <row r="58" s="39" customFormat="1" customHeight="1" spans="1:6">
      <c r="A58" s="40"/>
      <c r="B58" s="40"/>
      <c r="C58" s="40"/>
      <c r="D58" s="40"/>
      <c r="E58" s="40"/>
      <c r="F58" s="40"/>
    </row>
    <row r="59" s="39" customFormat="1" customHeight="1" spans="1:6">
      <c r="A59" s="40"/>
      <c r="B59" s="40"/>
      <c r="C59" s="40"/>
      <c r="D59" s="40"/>
      <c r="E59" s="40"/>
      <c r="F59" s="40"/>
    </row>
    <row r="60" s="39" customFormat="1" customHeight="1" spans="1:6">
      <c r="A60" s="40"/>
      <c r="B60" s="40"/>
      <c r="C60" s="40"/>
      <c r="D60" s="40"/>
      <c r="E60" s="40"/>
      <c r="F60" s="40"/>
    </row>
    <row r="61" s="39" customFormat="1" customHeight="1" spans="1:6">
      <c r="A61" s="40"/>
      <c r="B61" s="40"/>
      <c r="C61" s="40"/>
      <c r="D61" s="40"/>
      <c r="E61" s="40"/>
      <c r="F61" s="40"/>
    </row>
    <row r="62" s="39" customFormat="1" customHeight="1" spans="1:6">
      <c r="A62" s="40"/>
      <c r="B62" s="40"/>
      <c r="C62" s="40"/>
      <c r="D62" s="40"/>
      <c r="E62" s="40"/>
      <c r="F62" s="40"/>
    </row>
    <row r="63" s="39" customFormat="1" customHeight="1" spans="1:6">
      <c r="A63" s="40"/>
      <c r="B63" s="40"/>
      <c r="C63" s="40"/>
      <c r="D63" s="40"/>
      <c r="E63" s="40"/>
      <c r="F63" s="40"/>
    </row>
    <row r="64" s="39" customFormat="1" customHeight="1" spans="1:6">
      <c r="A64" s="40"/>
      <c r="B64" s="40"/>
      <c r="C64" s="40"/>
      <c r="D64" s="40"/>
      <c r="E64" s="40"/>
      <c r="F64" s="40"/>
    </row>
    <row r="65" s="39" customFormat="1" customHeight="1" spans="1:6">
      <c r="A65" s="40"/>
      <c r="B65" s="40"/>
      <c r="C65" s="40"/>
      <c r="D65" s="40"/>
      <c r="E65" s="40"/>
      <c r="F65" s="40"/>
    </row>
    <row r="66" s="39" customFormat="1" customHeight="1" spans="1:6">
      <c r="A66" s="40"/>
      <c r="B66" s="40"/>
      <c r="C66" s="40"/>
      <c r="D66" s="40"/>
      <c r="E66" s="40"/>
      <c r="F66" s="40"/>
    </row>
    <row r="67" s="39" customFormat="1" customHeight="1" spans="1:6">
      <c r="A67" s="40"/>
      <c r="B67" s="40"/>
      <c r="C67" s="40"/>
      <c r="D67" s="40"/>
      <c r="E67" s="40"/>
      <c r="F67" s="40"/>
    </row>
    <row r="68" s="39" customFormat="1" customHeight="1" spans="1:6">
      <c r="A68" s="40"/>
      <c r="B68" s="40"/>
      <c r="C68" s="40"/>
      <c r="D68" s="40"/>
      <c r="E68" s="40"/>
      <c r="F68" s="40"/>
    </row>
    <row r="69" s="39" customFormat="1" customHeight="1" spans="1:6">
      <c r="A69" s="40"/>
      <c r="B69" s="40"/>
      <c r="C69" s="40"/>
      <c r="D69" s="40"/>
      <c r="E69" s="40"/>
      <c r="F69" s="40"/>
    </row>
    <row r="70" s="39" customFormat="1" customHeight="1" spans="1:6">
      <c r="A70" s="40"/>
      <c r="B70" s="40"/>
      <c r="C70" s="40"/>
      <c r="D70" s="40"/>
      <c r="E70" s="40"/>
      <c r="F70" s="40"/>
    </row>
  </sheetData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AQ1207"/>
  <sheetViews>
    <sheetView showGridLines="0" zoomScale="90" zoomScaleNormal="90" workbookViewId="0">
      <pane xSplit="3" ySplit="4" topLeftCell="D5" activePane="bottomRight" state="frozen"/>
      <selection/>
      <selection pane="topRight"/>
      <selection pane="bottomLeft"/>
      <selection pane="bottomRight" activeCell="S10" sqref="S10"/>
    </sheetView>
  </sheetViews>
  <sheetFormatPr defaultColWidth="9" defaultRowHeight="20" customHeight="1"/>
  <cols>
    <col min="1" max="1" width="21.9583333333333" style="1" customWidth="1"/>
    <col min="2" max="2" width="13.475" style="1" customWidth="1"/>
    <col min="3" max="3" width="5.625" style="1" customWidth="1"/>
    <col min="4" max="4" width="9.125" style="1" customWidth="1"/>
    <col min="5" max="5" width="11.25" style="1" customWidth="1"/>
    <col min="6" max="6" width="8.875" style="1" customWidth="1"/>
    <col min="7" max="7" width="6" style="1" customWidth="1"/>
    <col min="8" max="8" width="6.75" style="1" customWidth="1"/>
    <col min="9" max="9" width="6" style="1" customWidth="1"/>
    <col min="10" max="10" width="6.75" style="1" customWidth="1"/>
    <col min="11" max="11" width="6" style="1" customWidth="1"/>
    <col min="12" max="12" width="11.25" style="1" customWidth="1"/>
    <col min="13" max="13" width="6.75" style="1" customWidth="1"/>
    <col min="14" max="14" width="6" style="1" customWidth="1"/>
    <col min="15" max="15" width="7" style="1" customWidth="1"/>
    <col min="16" max="18" width="6" style="1" customWidth="1"/>
    <col min="19" max="19" width="11.25" style="1" customWidth="1"/>
    <col min="20" max="20" width="6.75" style="1" customWidth="1"/>
    <col min="21" max="21" width="6" style="1" customWidth="1"/>
    <col min="22" max="22" width="6.75" style="1" customWidth="1"/>
    <col min="23" max="23" width="6" style="1" customWidth="1"/>
    <col min="24" max="24" width="9.125" style="1" customWidth="1"/>
    <col min="25" max="25" width="18.75" style="27" customWidth="1"/>
    <col min="26" max="26" width="20.875" style="1" customWidth="1"/>
    <col min="27" max="27" width="19.875" style="1" customWidth="1"/>
    <col min="28" max="28" width="7" style="28" customWidth="1"/>
    <col min="29" max="29" width="8.60833333333333" style="1" customWidth="1"/>
    <col min="30" max="30" width="4.875" style="29" customWidth="1"/>
    <col min="31" max="31" width="9.125" customWidth="1"/>
    <col min="32" max="32" width="8.125" customWidth="1"/>
    <col min="33" max="33" width="6.75" customWidth="1"/>
    <col min="34" max="34" width="10.125" customWidth="1"/>
    <col min="35" max="36" width="11.125" customWidth="1"/>
    <col min="37" max="37" width="12.125" customWidth="1"/>
    <col min="38" max="38" width="6.75" customWidth="1"/>
  </cols>
  <sheetData>
    <row r="1" customHeight="1" spans="1:43">
      <c r="A1" s="6"/>
      <c r="B1" s="6"/>
      <c r="AD1" s="33" t="s">
        <v>575</v>
      </c>
      <c r="AM1" s="33" t="s">
        <v>575</v>
      </c>
      <c r="AQ1" s="33" t="s">
        <v>575</v>
      </c>
    </row>
    <row r="2" customFormat="1" customHeight="1" spans="1:43">
      <c r="A2" s="6"/>
      <c r="B2" s="6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27"/>
      <c r="Z2" s="1"/>
      <c r="AA2" s="1"/>
      <c r="AB2" s="28"/>
      <c r="AC2" s="1"/>
      <c r="AD2" s="34"/>
      <c r="AM2" s="34"/>
      <c r="AQ2" s="34"/>
    </row>
    <row r="3" customFormat="1" customHeight="1" spans="1:43">
      <c r="A3" s="6"/>
      <c r="B3" s="6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27"/>
      <c r="Z3" s="1"/>
      <c r="AA3" s="1"/>
      <c r="AB3" s="28"/>
      <c r="AC3" s="1"/>
      <c r="AD3" s="34"/>
      <c r="AM3" s="34"/>
      <c r="AQ3" s="34"/>
    </row>
    <row r="4" ht="60" customHeight="1" spans="1:43">
      <c r="A4" s="2" t="s">
        <v>287</v>
      </c>
      <c r="B4" s="2" t="s">
        <v>576</v>
      </c>
      <c r="C4" s="3" t="s">
        <v>218</v>
      </c>
      <c r="D4" s="30" t="s">
        <v>577</v>
      </c>
      <c r="E4" s="30" t="s">
        <v>578</v>
      </c>
      <c r="F4" s="4" t="s">
        <v>579</v>
      </c>
      <c r="G4" s="31" t="s">
        <v>580</v>
      </c>
      <c r="H4" s="4" t="s">
        <v>581</v>
      </c>
      <c r="I4" s="31" t="s">
        <v>582</v>
      </c>
      <c r="J4" s="4" t="s">
        <v>583</v>
      </c>
      <c r="K4" s="31" t="s">
        <v>584</v>
      </c>
      <c r="L4" s="31" t="s">
        <v>585</v>
      </c>
      <c r="M4" s="2" t="s">
        <v>586</v>
      </c>
      <c r="N4" s="9" t="s">
        <v>587</v>
      </c>
      <c r="O4" s="2" t="s">
        <v>588</v>
      </c>
      <c r="P4" s="9" t="s">
        <v>589</v>
      </c>
      <c r="Q4" s="2" t="s">
        <v>590</v>
      </c>
      <c r="R4" s="9" t="s">
        <v>591</v>
      </c>
      <c r="S4" s="9" t="s">
        <v>592</v>
      </c>
      <c r="T4" s="8" t="s">
        <v>219</v>
      </c>
      <c r="U4" s="32" t="s">
        <v>593</v>
      </c>
      <c r="V4" s="8" t="s">
        <v>220</v>
      </c>
      <c r="W4" s="32" t="s">
        <v>594</v>
      </c>
      <c r="X4" s="10" t="s">
        <v>595</v>
      </c>
      <c r="Y4" s="35" t="s">
        <v>596</v>
      </c>
      <c r="Z4" s="9" t="s">
        <v>597</v>
      </c>
      <c r="AA4" s="8" t="s">
        <v>598</v>
      </c>
      <c r="AB4" s="36" t="s">
        <v>599</v>
      </c>
      <c r="AC4" s="36" t="s">
        <v>600</v>
      </c>
      <c r="AD4" s="34"/>
      <c r="AE4" s="4" t="s">
        <v>579</v>
      </c>
      <c r="AF4" s="4" t="s">
        <v>581</v>
      </c>
      <c r="AG4" s="4" t="s">
        <v>583</v>
      </c>
      <c r="AH4" s="2" t="s">
        <v>586</v>
      </c>
      <c r="AI4" s="2" t="s">
        <v>588</v>
      </c>
      <c r="AJ4" s="2" t="s">
        <v>590</v>
      </c>
      <c r="AK4" s="8" t="s">
        <v>219</v>
      </c>
      <c r="AL4" s="8" t="s">
        <v>220</v>
      </c>
      <c r="AM4" s="34"/>
      <c r="AN4" s="31" t="s">
        <v>601</v>
      </c>
      <c r="AO4" s="9" t="s">
        <v>602</v>
      </c>
      <c r="AP4" s="32" t="s">
        <v>603</v>
      </c>
      <c r="AQ4" s="34"/>
    </row>
    <row r="5" customHeight="1" spans="1:42">
      <c r="A5" s="5" t="s">
        <v>290</v>
      </c>
      <c r="B5" s="6"/>
      <c r="C5" s="5">
        <v>1</v>
      </c>
      <c r="D5" s="1" t="s">
        <v>222</v>
      </c>
      <c r="E5" s="1" t="s">
        <v>224</v>
      </c>
      <c r="F5" s="1" t="s">
        <v>106</v>
      </c>
      <c r="G5" s="1">
        <v>10</v>
      </c>
      <c r="L5" s="1">
        <f>IFERROR(VLOOKUP($D5&amp;$C5,生产方式定位!$A$2:$E$38,2,FALSE)+VLOOKUP($E5&amp;$C5,生产方式定位!$F$3:$J$38,2,FALSE),0)</f>
        <v>0</v>
      </c>
      <c r="M5" s="1" t="s">
        <v>208</v>
      </c>
      <c r="N5" s="1">
        <v>10</v>
      </c>
      <c r="O5" s="1" t="s">
        <v>197</v>
      </c>
      <c r="P5" s="1">
        <v>2</v>
      </c>
      <c r="Q5" s="1" t="s">
        <v>200</v>
      </c>
      <c r="R5" s="1">
        <v>1</v>
      </c>
      <c r="S5" s="1">
        <f>IFERROR(VLOOKUP($D5&amp;$C5,生产方式定位!$A$2:$E$38,3,FALSE)+VLOOKUP($E5&amp;$C5,生产方式定位!$F$3:$J$38,3,FALSE),0)</f>
        <v>500</v>
      </c>
      <c r="T5" s="1" t="s">
        <v>126</v>
      </c>
      <c r="U5" s="1">
        <v>10</v>
      </c>
      <c r="X5" s="1">
        <f>IFERROR(VLOOKUP($D5&amp;$C5,生产方式定位!$A$2:$E$38,5,FALSE)+VLOOKUP($E5&amp;$C5,生产方式定位!$F$3:$J$38,5,FALSE),"错误")</f>
        <v>250</v>
      </c>
      <c r="Y5" s="27" t="str">
        <f t="shared" ref="Y5:Y68" si="0">IF(AE5="","",AE5)&amp;IF(AF5="","",","&amp;AF5)&amp;IF(AG5="","",","&amp;AG5)</f>
        <v>谷物*0</v>
      </c>
      <c r="Z5" s="37" t="str">
        <f>IF(AH5="","",AH5)&amp;IF(AI5="","",","&amp;AI5)</f>
        <v>劳工*827,资本家*25</v>
      </c>
      <c r="AA5" s="37" t="str">
        <f t="shared" ref="AA5:AA68" si="1">IF(AK5="","",AK5)&amp;IF(AL5="","",","&amp;AL5)</f>
        <v>食品*8</v>
      </c>
      <c r="AB5" s="28">
        <f t="shared" ref="AB5:AB68" si="2">IFERROR(ROUND(L5/X5,2),"")</f>
        <v>0</v>
      </c>
      <c r="AC5" s="1">
        <f>X5-S5-L5</f>
        <v>-250</v>
      </c>
      <c r="AD5" s="38">
        <f t="shared" ref="AD5:AD68" si="3">C5</f>
        <v>1</v>
      </c>
      <c r="AE5" t="str">
        <f>IFERROR(F5&amp;"*"&amp;ROUND(L5*(G5/$AN5)/VLOOKUP(F5,商品!$A$4:$D$67,4,FALSE),0),"")</f>
        <v>谷物*0</v>
      </c>
      <c r="AF5" t="str">
        <f>IFERROR(H5&amp;"*"&amp;ROUND(L5*(I5/$AN5)/VLOOKUP(H5,商品!$A$4:$D$67,4,FALSE),0),"")</f>
        <v/>
      </c>
      <c r="AG5" t="str">
        <f>IFERROR(J5&amp;"*"&amp;ROUND(L5*(K5/$AN5)/VLOOKUP(J5,商品!$A$4:$D$67,4,FALSE),0),"")</f>
        <v/>
      </c>
      <c r="AH5" t="str">
        <f>IFERROR(M5&amp;"*"&amp;ROUND(S5*(N5/$AO5)/VLOOKUP(M5,职业!$A$3:$E$16,4,FALSE),0),"")</f>
        <v>劳工*827</v>
      </c>
      <c r="AI5" t="str">
        <f>IFERROR(O5&amp;"*"&amp;ROUND(S5*(P5/$AO5)/VLOOKUP(O5,职业!$A$3:$E$16,4,FALSE),0),"")</f>
        <v>资本家*25</v>
      </c>
      <c r="AJ5" t="str">
        <f>IFERROR(Q5&amp;"*"&amp;ROUND(S5*(R5/$AO5)/VLOOKUP(Q5,职业!$A$3:$E$16,4,FALSE),0),"")</f>
        <v>教士*49</v>
      </c>
      <c r="AK5" t="str">
        <f>IFERROR(T5&amp;"*"&amp;ROUND(X5*(U5/$AP5)/VLOOKUP(T5,商品!$A$4:$D$67,4,FALSE),0),"")</f>
        <v>食品*8</v>
      </c>
      <c r="AL5" t="str">
        <f>IFERROR(V5&amp;"*"&amp;ROUND(X5*(W5/$AP5)/VLOOKUP(V5,商品!$A$4:$D$67,4,FALSE),0),"")</f>
        <v/>
      </c>
      <c r="AN5">
        <f>G5+I5+K5</f>
        <v>10</v>
      </c>
      <c r="AO5">
        <f>N5+P5+R5</f>
        <v>13</v>
      </c>
      <c r="AP5">
        <f>U5+W5</f>
        <v>10</v>
      </c>
    </row>
    <row r="6" customHeight="1" spans="1:42">
      <c r="A6" s="5" t="s">
        <v>290</v>
      </c>
      <c r="B6" s="6"/>
      <c r="C6" s="5">
        <v>2</v>
      </c>
      <c r="D6" s="1" t="s">
        <v>222</v>
      </c>
      <c r="E6" s="1" t="s">
        <v>224</v>
      </c>
      <c r="F6" s="1" t="s">
        <v>106</v>
      </c>
      <c r="G6" s="1">
        <v>10</v>
      </c>
      <c r="L6" s="1">
        <f>IFERROR(VLOOKUP($D6&amp;$C6,生产方式定位!$A$2:$E$38,2,FALSE)+VLOOKUP($E6&amp;$C6,生产方式定位!$F$3:$J$38,2,FALSE),0)</f>
        <v>2200</v>
      </c>
      <c r="M6" s="1" t="s">
        <v>208</v>
      </c>
      <c r="N6" s="1">
        <v>10</v>
      </c>
      <c r="O6" s="1" t="s">
        <v>197</v>
      </c>
      <c r="P6" s="1">
        <v>2</v>
      </c>
      <c r="Q6" s="1" t="s">
        <v>200</v>
      </c>
      <c r="R6" s="1">
        <v>1</v>
      </c>
      <c r="S6" s="1">
        <f>IFERROR(VLOOKUP($D6&amp;$C6,生产方式定位!$A$2:$E$38,3,FALSE)+VLOOKUP($E6&amp;$C6,生产方式定位!$F$3:$J$38,3,FALSE),0)</f>
        <v>750</v>
      </c>
      <c r="T6" s="1" t="s">
        <v>126</v>
      </c>
      <c r="U6" s="1">
        <v>10</v>
      </c>
      <c r="X6" s="1">
        <f>IFERROR(VLOOKUP($D6&amp;$C6,生产方式定位!$A$2:$E$38,5,FALSE)+VLOOKUP($E6&amp;$C6,生产方式定位!$F$3:$J$38,5,FALSE),"错误")</f>
        <v>1547</v>
      </c>
      <c r="Y6" s="27" t="str">
        <f t="shared" si="0"/>
        <v>谷物*110</v>
      </c>
      <c r="Z6" s="37" t="str">
        <f t="shared" ref="Z5:Z68" si="4">IF(AH6="","",AH6)&amp;IF(AI6="","",","&amp;AI6)</f>
        <v>劳工*1241,资本家*38</v>
      </c>
      <c r="AA6" s="37" t="str">
        <f t="shared" si="1"/>
        <v>食品*52</v>
      </c>
      <c r="AB6" s="28">
        <f t="shared" si="2"/>
        <v>1.42</v>
      </c>
      <c r="AC6" s="37"/>
      <c r="AD6" s="38">
        <f t="shared" si="3"/>
        <v>2</v>
      </c>
      <c r="AE6" t="str">
        <f>IFERROR(F6&amp;"*"&amp;ROUND(L6*(G6/$AN6)/VLOOKUP(F6,商品!$A$4:$D$67,4,FALSE),0),"")</f>
        <v>谷物*110</v>
      </c>
      <c r="AF6" t="str">
        <f>IFERROR(H6&amp;"*"&amp;ROUND(L6*(I6/$AN6)/VLOOKUP(H6,商品!$A$4:$D$67,4,FALSE),0),"")</f>
        <v/>
      </c>
      <c r="AG6" t="str">
        <f>IFERROR(J6&amp;"*"&amp;ROUND(L6*(K6/$AN6)/VLOOKUP(J6,商品!$A$4:$D$67,4,FALSE),0),"")</f>
        <v/>
      </c>
      <c r="AH6" t="str">
        <f>IFERROR(M6&amp;"*"&amp;ROUND(S6*(N6/$AO6)/VLOOKUP(M6,职业!$A$3:$E$16,4,FALSE),0),"")</f>
        <v>劳工*1241</v>
      </c>
      <c r="AI6" t="str">
        <f>IFERROR(O6&amp;"*"&amp;ROUND(S6*(P6/$AO6)/VLOOKUP(O6,职业!$A$3:$E$16,4,FALSE),0),"")</f>
        <v>资本家*38</v>
      </c>
      <c r="AK6" t="str">
        <f>IFERROR(T6&amp;"*"&amp;ROUND(X6*(U6/$AP6)/VLOOKUP(T6,商品!$A$4:$D$67,4,FALSE),0),"")</f>
        <v>食品*52</v>
      </c>
      <c r="AL6" t="str">
        <f>IFERROR(V6&amp;"*"&amp;ROUND(X6*(W6/$AP6)/VLOOKUP(V6,商品!$A$4:$D$67,4,FALSE),0),"")</f>
        <v/>
      </c>
      <c r="AN6">
        <f t="shared" ref="AN6:AN69" si="5">G6+I6+K6</f>
        <v>10</v>
      </c>
      <c r="AO6">
        <f t="shared" ref="AO6:AO69" si="6">N6+P6+R6</f>
        <v>13</v>
      </c>
      <c r="AP6">
        <f t="shared" ref="AP6:AP69" si="7">U6+W6</f>
        <v>10</v>
      </c>
    </row>
    <row r="7" customHeight="1" spans="1:42">
      <c r="A7" s="5" t="s">
        <v>290</v>
      </c>
      <c r="C7" s="5">
        <v>3</v>
      </c>
      <c r="D7" s="1" t="s">
        <v>222</v>
      </c>
      <c r="E7" s="1" t="s">
        <v>224</v>
      </c>
      <c r="F7" s="1" t="s">
        <v>106</v>
      </c>
      <c r="G7" s="1">
        <v>10</v>
      </c>
      <c r="L7" s="1">
        <f>IFERROR(VLOOKUP($D7&amp;$C7,生产方式定位!$A$2:$E$38,2,FALSE)+VLOOKUP($E7&amp;$C7,生产方式定位!$F$3:$J$38,2,FALSE),0)</f>
        <v>3400</v>
      </c>
      <c r="M7" s="1" t="s">
        <v>208</v>
      </c>
      <c r="N7" s="1">
        <v>10</v>
      </c>
      <c r="O7" s="1" t="s">
        <v>197</v>
      </c>
      <c r="P7" s="1">
        <v>2</v>
      </c>
      <c r="Q7" s="1" t="s">
        <v>200</v>
      </c>
      <c r="R7" s="1">
        <v>1</v>
      </c>
      <c r="S7" s="1">
        <f>IFERROR(VLOOKUP($D7&amp;$C7,生产方式定位!$A$2:$E$38,3,FALSE)+VLOOKUP($E7&amp;$C7,生产方式定位!$F$3:$J$38,3,FALSE),0)</f>
        <v>1000</v>
      </c>
      <c r="T7" s="1" t="s">
        <v>126</v>
      </c>
      <c r="U7" s="1">
        <v>10</v>
      </c>
      <c r="X7" s="1">
        <f>IFERROR(VLOOKUP($D7&amp;$C7,生产方式定位!$A$2:$E$38,5,FALSE)+VLOOKUP($E7&amp;$C7,生产方式定位!$F$3:$J$38,5,FALSE),"错误")</f>
        <v>2488</v>
      </c>
      <c r="Y7" s="27" t="str">
        <f t="shared" si="0"/>
        <v>谷物*170</v>
      </c>
      <c r="Z7" s="37" t="str">
        <f t="shared" si="4"/>
        <v>劳工*1654,资本家*50</v>
      </c>
      <c r="AA7" s="37" t="str">
        <f t="shared" si="1"/>
        <v>食品*83</v>
      </c>
      <c r="AB7" s="28">
        <f t="shared" si="2"/>
        <v>1.37</v>
      </c>
      <c r="AC7" s="37"/>
      <c r="AD7" s="38">
        <f t="shared" si="3"/>
        <v>3</v>
      </c>
      <c r="AE7" t="str">
        <f>IFERROR(F7&amp;"*"&amp;ROUND(L7*(G7/$AN7)/VLOOKUP(F7,商品!$A$4:$D$67,4,FALSE),0),"")</f>
        <v>谷物*170</v>
      </c>
      <c r="AF7" t="str">
        <f>IFERROR(H7&amp;"*"&amp;ROUND(L7*(I7/$AN7)/VLOOKUP(H7,商品!$A$4:$D$67,4,FALSE),0),"")</f>
        <v/>
      </c>
      <c r="AG7" t="str">
        <f>IFERROR(J7&amp;"*"&amp;ROUND(L7*(K7/$AN7)/VLOOKUP(J7,商品!$A$4:$D$67,4,FALSE),0),"")</f>
        <v/>
      </c>
      <c r="AH7" t="str">
        <f>IFERROR(M7&amp;"*"&amp;ROUND(S7*(N7/$AO7)/VLOOKUP(M7,职业!$A$3:$E$16,4,FALSE),0),"")</f>
        <v>劳工*1654</v>
      </c>
      <c r="AI7" t="str">
        <f>IFERROR(O7&amp;"*"&amp;ROUND(S7*(P7/$AO7)/VLOOKUP(O7,职业!$A$3:$E$16,4,FALSE),0),"")</f>
        <v>资本家*50</v>
      </c>
      <c r="AK7" t="str">
        <f>IFERROR(T7&amp;"*"&amp;ROUND(X7*(U7/$AP7)/VLOOKUP(T7,商品!$A$4:$D$67,4,FALSE),0),"")</f>
        <v>食品*83</v>
      </c>
      <c r="AL7" t="str">
        <f>IFERROR(V7&amp;"*"&amp;ROUND(X7*(W7/$AP7)/VLOOKUP(V7,商品!$A$4:$D$67,4,FALSE),0),"")</f>
        <v/>
      </c>
      <c r="AN7">
        <f t="shared" si="5"/>
        <v>10</v>
      </c>
      <c r="AO7">
        <f t="shared" si="6"/>
        <v>13</v>
      </c>
      <c r="AP7">
        <f t="shared" si="7"/>
        <v>10</v>
      </c>
    </row>
    <row r="8" customHeight="1" spans="1:42">
      <c r="A8" s="5" t="s">
        <v>290</v>
      </c>
      <c r="C8" s="5">
        <v>4</v>
      </c>
      <c r="D8" s="1" t="s">
        <v>222</v>
      </c>
      <c r="E8" s="1" t="s">
        <v>224</v>
      </c>
      <c r="F8" s="1" t="s">
        <v>106</v>
      </c>
      <c r="G8" s="1">
        <v>10</v>
      </c>
      <c r="L8" s="1">
        <f>IFERROR(VLOOKUP($D8&amp;$C8,生产方式定位!$A$2:$E$38,2,FALSE)+VLOOKUP($E8&amp;$C8,生产方式定位!$F$3:$J$38,2,FALSE),0)</f>
        <v>4600</v>
      </c>
      <c r="M8" s="1" t="s">
        <v>208</v>
      </c>
      <c r="N8" s="1">
        <v>10</v>
      </c>
      <c r="O8" s="1" t="s">
        <v>197</v>
      </c>
      <c r="P8" s="1">
        <v>2</v>
      </c>
      <c r="Q8" s="1" t="s">
        <v>200</v>
      </c>
      <c r="R8" s="1">
        <v>1</v>
      </c>
      <c r="S8" s="1">
        <f>IFERROR(VLOOKUP($D8&amp;$C8,生产方式定位!$A$2:$E$38,3,FALSE)+VLOOKUP($E8&amp;$C8,生产方式定位!$F$3:$J$38,3,FALSE),0)</f>
        <v>1250</v>
      </c>
      <c r="T8" s="1" t="s">
        <v>126</v>
      </c>
      <c r="U8" s="1">
        <v>10</v>
      </c>
      <c r="X8" s="1">
        <f>IFERROR(VLOOKUP($D8&amp;$C8,生产方式定位!$A$2:$E$38,5,FALSE)+VLOOKUP($E8&amp;$C8,生产方式定位!$F$3:$J$38,5,FALSE),"错误")</f>
        <v>3573</v>
      </c>
      <c r="Y8" s="27" t="str">
        <f t="shared" si="0"/>
        <v>谷物*230</v>
      </c>
      <c r="Z8" s="37" t="str">
        <f t="shared" si="4"/>
        <v>劳工*2068,资本家*63</v>
      </c>
      <c r="AA8" s="37" t="str">
        <f t="shared" si="1"/>
        <v>食品*119</v>
      </c>
      <c r="AB8" s="28">
        <f t="shared" si="2"/>
        <v>1.29</v>
      </c>
      <c r="AC8" s="37"/>
      <c r="AD8" s="38">
        <f t="shared" si="3"/>
        <v>4</v>
      </c>
      <c r="AE8" t="str">
        <f>IFERROR(F8&amp;"*"&amp;ROUND(L8*(G8/$AN8)/VLOOKUP(F8,商品!$A$4:$D$67,4,FALSE),0),"")</f>
        <v>谷物*230</v>
      </c>
      <c r="AF8" t="str">
        <f>IFERROR(H8&amp;"*"&amp;ROUND(L8*(I8/$AN8)/VLOOKUP(H8,商品!$A$4:$D$67,4,FALSE),0),"")</f>
        <v/>
      </c>
      <c r="AG8" t="str">
        <f>IFERROR(J8&amp;"*"&amp;ROUND(L8*(K8/$AN8)/VLOOKUP(J8,商品!$A$4:$D$67,4,FALSE),0),"")</f>
        <v/>
      </c>
      <c r="AH8" t="str">
        <f>IFERROR(M8&amp;"*"&amp;ROUND(S8*(N8/$AO8)/VLOOKUP(M8,职业!$A$3:$E$16,4,FALSE),0),"")</f>
        <v>劳工*2068</v>
      </c>
      <c r="AI8" t="str">
        <f>IFERROR(O8&amp;"*"&amp;ROUND(S8*(P8/$AO8)/VLOOKUP(O8,职业!$A$3:$E$16,4,FALSE),0),"")</f>
        <v>资本家*63</v>
      </c>
      <c r="AK8" t="str">
        <f>IFERROR(T8&amp;"*"&amp;ROUND(X8*(U8/$AP8)/VLOOKUP(T8,商品!$A$4:$D$67,4,FALSE),0),"")</f>
        <v>食品*119</v>
      </c>
      <c r="AL8" t="str">
        <f>IFERROR(V8&amp;"*"&amp;ROUND(X8*(W8/$AP8)/VLOOKUP(V8,商品!$A$4:$D$67,4,FALSE),0),"")</f>
        <v/>
      </c>
      <c r="AN8">
        <f t="shared" si="5"/>
        <v>10</v>
      </c>
      <c r="AO8">
        <f t="shared" si="6"/>
        <v>13</v>
      </c>
      <c r="AP8">
        <f t="shared" si="7"/>
        <v>10</v>
      </c>
    </row>
    <row r="9" customHeight="1" spans="1:42">
      <c r="A9" s="5" t="s">
        <v>290</v>
      </c>
      <c r="C9" s="5">
        <v>5</v>
      </c>
      <c r="D9" s="1" t="s">
        <v>222</v>
      </c>
      <c r="E9" s="1" t="s">
        <v>224</v>
      </c>
      <c r="F9" s="1" t="s">
        <v>106</v>
      </c>
      <c r="G9" s="1">
        <v>10</v>
      </c>
      <c r="L9" s="1">
        <f>IFERROR(VLOOKUP($D9&amp;$C9,生产方式定位!$A$2:$E$38,2,FALSE)+VLOOKUP($E9&amp;$C9,生产方式定位!$F$3:$J$38,2,FALSE),0)</f>
        <v>5800</v>
      </c>
      <c r="M9" s="1" t="s">
        <v>208</v>
      </c>
      <c r="N9" s="1">
        <v>10</v>
      </c>
      <c r="O9" s="1" t="s">
        <v>197</v>
      </c>
      <c r="P9" s="1">
        <v>2</v>
      </c>
      <c r="Q9" s="1" t="s">
        <v>200</v>
      </c>
      <c r="R9" s="1">
        <v>1</v>
      </c>
      <c r="S9" s="1">
        <f>IFERROR(VLOOKUP($D9&amp;$C9,生产方式定位!$A$2:$E$38,3,FALSE)+VLOOKUP($E9&amp;$C9,生产方式定位!$F$3:$J$38,3,FALSE),0)</f>
        <v>1500</v>
      </c>
      <c r="T9" s="1" t="s">
        <v>126</v>
      </c>
      <c r="U9" s="1">
        <v>10</v>
      </c>
      <c r="X9" s="1">
        <f>IFERROR(VLOOKUP($D9&amp;$C9,生产方式定位!$A$2:$E$38,5,FALSE)+VLOOKUP($E9&amp;$C9,生产方式定位!$F$3:$J$38,5,FALSE),"错误")</f>
        <v>4850</v>
      </c>
      <c r="Y9" s="27" t="str">
        <f t="shared" si="0"/>
        <v>谷物*290</v>
      </c>
      <c r="Z9" s="37" t="str">
        <f t="shared" si="4"/>
        <v>劳工*2481,资本家*75</v>
      </c>
      <c r="AA9" s="37" t="str">
        <f t="shared" si="1"/>
        <v>食品*162</v>
      </c>
      <c r="AB9" s="28">
        <f t="shared" si="2"/>
        <v>1.2</v>
      </c>
      <c r="AC9" s="37"/>
      <c r="AD9" s="38">
        <f t="shared" si="3"/>
        <v>5</v>
      </c>
      <c r="AE9" t="str">
        <f>IFERROR(F9&amp;"*"&amp;ROUND(L9*(G9/$AN9)/VLOOKUP(F9,商品!$A$4:$D$67,4,FALSE),0),"")</f>
        <v>谷物*290</v>
      </c>
      <c r="AF9" t="str">
        <f>IFERROR(H9&amp;"*"&amp;ROUND(L9*(I9/$AN9)/VLOOKUP(H9,商品!$A$4:$D$67,4,FALSE),0),"")</f>
        <v/>
      </c>
      <c r="AG9" t="str">
        <f>IFERROR(J9&amp;"*"&amp;ROUND(L9*(K9/$AN9)/VLOOKUP(J9,商品!$A$4:$D$67,4,FALSE),0),"")</f>
        <v/>
      </c>
      <c r="AH9" t="str">
        <f>IFERROR(M9&amp;"*"&amp;ROUND(S9*(N9/$AO9)/VLOOKUP(M9,职业!$A$3:$E$16,4,FALSE),0),"")</f>
        <v>劳工*2481</v>
      </c>
      <c r="AI9" t="str">
        <f>IFERROR(O9&amp;"*"&amp;ROUND(S9*(P9/$AO9)/VLOOKUP(O9,职业!$A$3:$E$16,4,FALSE),0),"")</f>
        <v>资本家*75</v>
      </c>
      <c r="AK9" t="str">
        <f>IFERROR(T9&amp;"*"&amp;ROUND(X9*(U9/$AP9)/VLOOKUP(T9,商品!$A$4:$D$67,4,FALSE),0),"")</f>
        <v>食品*162</v>
      </c>
      <c r="AL9" t="str">
        <f>IFERROR(V9&amp;"*"&amp;ROUND(X9*(W9/$AP9)/VLOOKUP(V9,商品!$A$4:$D$67,4,FALSE),0),"")</f>
        <v/>
      </c>
      <c r="AN9">
        <f t="shared" si="5"/>
        <v>10</v>
      </c>
      <c r="AO9">
        <f t="shared" si="6"/>
        <v>13</v>
      </c>
      <c r="AP9">
        <f t="shared" si="7"/>
        <v>10</v>
      </c>
    </row>
    <row r="10" customHeight="1" spans="1:42">
      <c r="A10" s="18" t="s">
        <v>291</v>
      </c>
      <c r="C10" s="18">
        <v>1</v>
      </c>
      <c r="D10" s="1" t="s">
        <v>222</v>
      </c>
      <c r="E10" s="1" t="s">
        <v>225</v>
      </c>
      <c r="F10" s="1" t="s">
        <v>107</v>
      </c>
      <c r="G10" s="1">
        <v>50</v>
      </c>
      <c r="L10" s="1">
        <f>IFERROR(VLOOKUP($D10&amp;$C10,生产方式定位!$A$2:$E$38,2,FALSE)+VLOOKUP($E10&amp;$C10,生产方式定位!$F$3:$J$38,2,FALSE),0)</f>
        <v>0</v>
      </c>
      <c r="M10" s="1" t="s">
        <v>208</v>
      </c>
      <c r="N10" s="1">
        <v>10</v>
      </c>
      <c r="O10" s="1" t="s">
        <v>197</v>
      </c>
      <c r="P10" s="1">
        <v>2</v>
      </c>
      <c r="S10" s="1">
        <f>IFERROR(VLOOKUP($D10&amp;$C10,生产方式定位!$A$2:$E$38,3,FALSE)+VLOOKUP($E10&amp;$C10,生产方式定位!$F$3:$J$38,3,FALSE),0)</f>
        <v>500</v>
      </c>
      <c r="T10" s="1" t="s">
        <v>126</v>
      </c>
      <c r="U10" s="1">
        <v>-50</v>
      </c>
      <c r="V10" s="1" t="s">
        <v>139</v>
      </c>
      <c r="W10" s="1">
        <v>100</v>
      </c>
      <c r="X10" s="1">
        <f>IFERROR(VLOOKUP($D10&amp;$C10,生产方式定位!$A$2:$E$38,5,FALSE)+VLOOKUP($E10&amp;$C10,生产方式定位!$F$3:$J$38,5,FALSE),"错误")</f>
        <v>250</v>
      </c>
      <c r="Y10" s="27" t="str">
        <f t="shared" si="0"/>
        <v>鱼*0</v>
      </c>
      <c r="Z10" s="37" t="str">
        <f t="shared" si="4"/>
        <v>劳工*896,资本家*27</v>
      </c>
      <c r="AA10" s="37" t="str">
        <f t="shared" si="1"/>
        <v>食品*-8,饮品*17</v>
      </c>
      <c r="AB10" s="28">
        <f t="shared" si="2"/>
        <v>0</v>
      </c>
      <c r="AC10" s="37"/>
      <c r="AD10" s="38">
        <f t="shared" si="3"/>
        <v>1</v>
      </c>
      <c r="AE10" t="str">
        <f>IFERROR(F10&amp;"*"&amp;ROUND(L10*(G10/$AN10)/VLOOKUP(F10,商品!$A$4:$D$67,4,FALSE),0),"")</f>
        <v>鱼*0</v>
      </c>
      <c r="AF10" t="str">
        <f>IFERROR(H10&amp;"*"&amp;ROUND(L10*(I10/$AN10)/VLOOKUP(H10,商品!$A$4:$D$67,4,FALSE),0),"")</f>
        <v/>
      </c>
      <c r="AG10" t="str">
        <f>IFERROR(J10&amp;"*"&amp;ROUND(L10*(K10/$AN10)/VLOOKUP(J10,商品!$A$4:$D$67,4,FALSE),0),"")</f>
        <v/>
      </c>
      <c r="AH10" t="str">
        <f>IFERROR(M10&amp;"*"&amp;ROUND(S10*(N10/$AO10)/VLOOKUP(M10,职业!$A$3:$E$16,4,FALSE),0),"")</f>
        <v>劳工*896</v>
      </c>
      <c r="AI10" t="str">
        <f>IFERROR(O10&amp;"*"&amp;ROUND(S10*(P10/$AO10)/VLOOKUP(O10,职业!$A$3:$E$16,4,FALSE),0),"")</f>
        <v>资本家*27</v>
      </c>
      <c r="AK10" t="str">
        <f>IFERROR(T10&amp;"*"&amp;ROUND(X10*(U10/$AP10)/VLOOKUP(T10,商品!$A$4:$D$67,4,FALSE),0),"")</f>
        <v>食品*-8</v>
      </c>
      <c r="AL10" t="str">
        <f>IFERROR(V10&amp;"*"&amp;ROUND(X10*(W10/$AP10)/VLOOKUP(V10,商品!$A$4:$D$67,4,FALSE),0),"")</f>
        <v>饮品*17</v>
      </c>
      <c r="AN10">
        <f t="shared" si="5"/>
        <v>50</v>
      </c>
      <c r="AO10">
        <f t="shared" si="6"/>
        <v>12</v>
      </c>
      <c r="AP10">
        <f t="shared" si="7"/>
        <v>50</v>
      </c>
    </row>
    <row r="11" customHeight="1" spans="1:42">
      <c r="A11" s="18" t="s">
        <v>291</v>
      </c>
      <c r="C11" s="18">
        <v>2</v>
      </c>
      <c r="D11" s="1" t="s">
        <v>222</v>
      </c>
      <c r="E11" s="1" t="s">
        <v>225</v>
      </c>
      <c r="F11" s="1" t="s">
        <v>107</v>
      </c>
      <c r="G11" s="1">
        <v>50</v>
      </c>
      <c r="L11" s="1">
        <f>IFERROR(VLOOKUP($D11&amp;$C11,生产方式定位!$A$2:$E$38,2,FALSE)+VLOOKUP($E11&amp;$C11,生产方式定位!$F$3:$J$38,2,FALSE),0)</f>
        <v>2200</v>
      </c>
      <c r="M11" s="1" t="s">
        <v>208</v>
      </c>
      <c r="N11" s="1">
        <v>10</v>
      </c>
      <c r="O11" s="1" t="s">
        <v>197</v>
      </c>
      <c r="P11" s="1">
        <v>2</v>
      </c>
      <c r="S11" s="1">
        <f>IFERROR(VLOOKUP($D11&amp;$C11,生产方式定位!$A$2:$E$38,3,FALSE)+VLOOKUP($E11&amp;$C11,生产方式定位!$F$3:$J$38,3,FALSE),0)</f>
        <v>2550</v>
      </c>
      <c r="T11" s="1" t="s">
        <v>126</v>
      </c>
      <c r="U11" s="1">
        <v>-50</v>
      </c>
      <c r="V11" s="1" t="s">
        <v>139</v>
      </c>
      <c r="W11" s="1">
        <v>100</v>
      </c>
      <c r="X11" s="1">
        <f>IFERROR(VLOOKUP($D11&amp;$C11,生产方式定位!$A$2:$E$38,5,FALSE)+VLOOKUP($E11&amp;$C11,生产方式定位!$F$3:$J$38,5,FALSE),"错误")</f>
        <v>2420</v>
      </c>
      <c r="Y11" s="27" t="str">
        <f t="shared" si="0"/>
        <v>鱼*110</v>
      </c>
      <c r="Z11" s="37" t="str">
        <f t="shared" si="4"/>
        <v>劳工*4570,资本家*139</v>
      </c>
      <c r="AA11" s="37" t="str">
        <f t="shared" si="1"/>
        <v>食品*-81,饮品*161</v>
      </c>
      <c r="AB11" s="28">
        <f t="shared" si="2"/>
        <v>0.91</v>
      </c>
      <c r="AC11" s="37"/>
      <c r="AD11" s="38">
        <f t="shared" si="3"/>
        <v>2</v>
      </c>
      <c r="AE11" t="str">
        <f>IFERROR(F11&amp;"*"&amp;ROUND(L11*(G11/$AN11)/VLOOKUP(F11,商品!$A$4:$D$67,4,FALSE),0),"")</f>
        <v>鱼*110</v>
      </c>
      <c r="AF11" t="str">
        <f>IFERROR(H11&amp;"*"&amp;ROUND(L11*(I11/$AN11)/VLOOKUP(H11,商品!$A$4:$D$67,4,FALSE),0),"")</f>
        <v/>
      </c>
      <c r="AG11" t="str">
        <f>IFERROR(J11&amp;"*"&amp;ROUND(L11*(K11/$AN11)/VLOOKUP(J11,商品!$A$4:$D$67,4,FALSE),0),"")</f>
        <v/>
      </c>
      <c r="AH11" t="str">
        <f>IFERROR(M11&amp;"*"&amp;ROUND(S11*(N11/$AO11)/VLOOKUP(M11,职业!$A$3:$E$16,4,FALSE),0),"")</f>
        <v>劳工*4570</v>
      </c>
      <c r="AI11" t="str">
        <f>IFERROR(O11&amp;"*"&amp;ROUND(S11*(P11/$AO11)/VLOOKUP(O11,职业!$A$3:$E$16,4,FALSE),0),"")</f>
        <v>资本家*139</v>
      </c>
      <c r="AK11" t="str">
        <f>IFERROR(T11&amp;"*"&amp;ROUND(X11*(U11/$AP11)/VLOOKUP(T11,商品!$A$4:$D$67,4,FALSE),0),"")</f>
        <v>食品*-81</v>
      </c>
      <c r="AL11" t="str">
        <f>IFERROR(V11&amp;"*"&amp;ROUND(X11*(W11/$AP11)/VLOOKUP(V11,商品!$A$4:$D$67,4,FALSE),0),"")</f>
        <v>饮品*161</v>
      </c>
      <c r="AN11">
        <f t="shared" si="5"/>
        <v>50</v>
      </c>
      <c r="AO11">
        <f t="shared" si="6"/>
        <v>12</v>
      </c>
      <c r="AP11">
        <f t="shared" si="7"/>
        <v>50</v>
      </c>
    </row>
    <row r="12" customHeight="1" spans="1:42">
      <c r="A12" s="18" t="s">
        <v>291</v>
      </c>
      <c r="C12" s="18">
        <v>3</v>
      </c>
      <c r="D12" s="1" t="s">
        <v>222</v>
      </c>
      <c r="E12" s="1" t="s">
        <v>225</v>
      </c>
      <c r="F12" s="1" t="s">
        <v>107</v>
      </c>
      <c r="G12" s="1">
        <v>50</v>
      </c>
      <c r="L12" s="1">
        <f>IFERROR(VLOOKUP($D12&amp;$C12,生产方式定位!$A$2:$E$38,2,FALSE)+VLOOKUP($E12&amp;$C12,生产方式定位!$F$3:$J$38,2,FALSE),0)</f>
        <v>3400</v>
      </c>
      <c r="M12" s="1" t="s">
        <v>208</v>
      </c>
      <c r="N12" s="1">
        <v>10</v>
      </c>
      <c r="O12" s="1" t="s">
        <v>197</v>
      </c>
      <c r="P12" s="1">
        <v>2</v>
      </c>
      <c r="S12" s="1">
        <f>IFERROR(VLOOKUP($D12&amp;$C12,生产方式定位!$A$2:$E$38,3,FALSE)+VLOOKUP($E12&amp;$C12,生产方式定位!$F$3:$J$38,3,FALSE),0)</f>
        <v>3600</v>
      </c>
      <c r="T12" s="1" t="s">
        <v>126</v>
      </c>
      <c r="U12" s="1">
        <v>-50</v>
      </c>
      <c r="V12" s="1" t="s">
        <v>139</v>
      </c>
      <c r="W12" s="1">
        <v>100</v>
      </c>
      <c r="X12" s="1">
        <f>IFERROR(VLOOKUP($D12&amp;$C12,生产方式定位!$A$2:$E$38,5,FALSE)+VLOOKUP($E12&amp;$C12,生产方式定位!$F$3:$J$38,5,FALSE),"错误")</f>
        <v>3650</v>
      </c>
      <c r="Y12" s="27" t="str">
        <f t="shared" si="0"/>
        <v>鱼*170</v>
      </c>
      <c r="Z12" s="37" t="str">
        <f t="shared" si="4"/>
        <v>劳工*6452,资本家*196</v>
      </c>
      <c r="AA12" s="37" t="str">
        <f t="shared" si="1"/>
        <v>食品*-122,饮品*243</v>
      </c>
      <c r="AB12" s="28">
        <f t="shared" si="2"/>
        <v>0.93</v>
      </c>
      <c r="AC12" s="37"/>
      <c r="AD12" s="38">
        <f t="shared" si="3"/>
        <v>3</v>
      </c>
      <c r="AE12" t="str">
        <f>IFERROR(F12&amp;"*"&amp;ROUND(L12*(G12/$AN12)/VLOOKUP(F12,商品!$A$4:$D$67,4,FALSE),0),"")</f>
        <v>鱼*170</v>
      </c>
      <c r="AF12" t="str">
        <f>IFERROR(H12&amp;"*"&amp;ROUND(L12*(I12/$AN12)/VLOOKUP(H12,商品!$A$4:$D$67,4,FALSE),0),"")</f>
        <v/>
      </c>
      <c r="AG12" t="str">
        <f>IFERROR(J12&amp;"*"&amp;ROUND(L12*(K12/$AN12)/VLOOKUP(J12,商品!$A$4:$D$67,4,FALSE),0),"")</f>
        <v/>
      </c>
      <c r="AH12" t="str">
        <f>IFERROR(M12&amp;"*"&amp;ROUND(S12*(N12/$AO12)/VLOOKUP(M12,职业!$A$3:$E$16,4,FALSE),0),"")</f>
        <v>劳工*6452</v>
      </c>
      <c r="AI12" t="str">
        <f>IFERROR(O12&amp;"*"&amp;ROUND(S12*(P12/$AO12)/VLOOKUP(O12,职业!$A$3:$E$16,4,FALSE),0),"")</f>
        <v>资本家*196</v>
      </c>
      <c r="AK12" t="str">
        <f>IFERROR(T12&amp;"*"&amp;ROUND(X12*(U12/$AP12)/VLOOKUP(T12,商品!$A$4:$D$67,4,FALSE),0),"")</f>
        <v>食品*-122</v>
      </c>
      <c r="AL12" t="str">
        <f>IFERROR(V12&amp;"*"&amp;ROUND(X12*(W12/$AP12)/VLOOKUP(V12,商品!$A$4:$D$67,4,FALSE),0),"")</f>
        <v>饮品*243</v>
      </c>
      <c r="AN12">
        <f t="shared" si="5"/>
        <v>50</v>
      </c>
      <c r="AO12">
        <f t="shared" si="6"/>
        <v>12</v>
      </c>
      <c r="AP12">
        <f t="shared" si="7"/>
        <v>50</v>
      </c>
    </row>
    <row r="13" customHeight="1" spans="1:42">
      <c r="A13" s="18" t="s">
        <v>291</v>
      </c>
      <c r="C13" s="18">
        <v>4</v>
      </c>
      <c r="D13" s="1" t="s">
        <v>222</v>
      </c>
      <c r="E13" s="1" t="s">
        <v>225</v>
      </c>
      <c r="F13" s="1" t="s">
        <v>107</v>
      </c>
      <c r="G13" s="1">
        <v>50</v>
      </c>
      <c r="L13" s="1">
        <f>IFERROR(VLOOKUP($D13&amp;$C13,生产方式定位!$A$2:$E$38,2,FALSE)+VLOOKUP($E13&amp;$C13,生产方式定位!$F$3:$J$38,2,FALSE),0)</f>
        <v>4600</v>
      </c>
      <c r="M13" s="1" t="s">
        <v>208</v>
      </c>
      <c r="N13" s="1">
        <v>10</v>
      </c>
      <c r="O13" s="1" t="s">
        <v>197</v>
      </c>
      <c r="P13" s="1">
        <v>2</v>
      </c>
      <c r="S13" s="1">
        <f>IFERROR(VLOOKUP($D13&amp;$C13,生产方式定位!$A$2:$E$38,3,FALSE)+VLOOKUP($E13&amp;$C13,生产方式定位!$F$3:$J$38,3,FALSE),0)</f>
        <v>4650</v>
      </c>
      <c r="T13" s="1" t="s">
        <v>126</v>
      </c>
      <c r="U13" s="1">
        <v>-50</v>
      </c>
      <c r="V13" s="1" t="s">
        <v>139</v>
      </c>
      <c r="W13" s="1">
        <v>100</v>
      </c>
      <c r="X13" s="1">
        <f>IFERROR(VLOOKUP($D13&amp;$C13,生产方式定位!$A$2:$E$38,5,FALSE)+VLOOKUP($E13&amp;$C13,生产方式定位!$F$3:$J$38,5,FALSE),"错误")</f>
        <v>4940</v>
      </c>
      <c r="Y13" s="27" t="str">
        <f t="shared" si="0"/>
        <v>鱼*230</v>
      </c>
      <c r="Z13" s="37" t="str">
        <f t="shared" si="4"/>
        <v>劳工*8333,资本家*253</v>
      </c>
      <c r="AA13" s="37" t="str">
        <f t="shared" si="1"/>
        <v>食品*-165,饮品*329</v>
      </c>
      <c r="AB13" s="28">
        <f t="shared" si="2"/>
        <v>0.93</v>
      </c>
      <c r="AC13" s="37"/>
      <c r="AD13" s="38">
        <f t="shared" si="3"/>
        <v>4</v>
      </c>
      <c r="AE13" t="str">
        <f>IFERROR(F13&amp;"*"&amp;ROUND(L13*(G13/$AN13)/VLOOKUP(F13,商品!$A$4:$D$67,4,FALSE),0),"")</f>
        <v>鱼*230</v>
      </c>
      <c r="AF13" t="str">
        <f>IFERROR(H13&amp;"*"&amp;ROUND(L13*(I13/$AN13)/VLOOKUP(H13,商品!$A$4:$D$67,4,FALSE),0),"")</f>
        <v/>
      </c>
      <c r="AG13" t="str">
        <f>IFERROR(J13&amp;"*"&amp;ROUND(L13*(K13/$AN13)/VLOOKUP(J13,商品!$A$4:$D$67,4,FALSE),0),"")</f>
        <v/>
      </c>
      <c r="AH13" t="str">
        <f>IFERROR(M13&amp;"*"&amp;ROUND(S13*(N13/$AO13)/VLOOKUP(M13,职业!$A$3:$E$16,4,FALSE),0),"")</f>
        <v>劳工*8333</v>
      </c>
      <c r="AI13" t="str">
        <f>IFERROR(O13&amp;"*"&amp;ROUND(S13*(P13/$AO13)/VLOOKUP(O13,职业!$A$3:$E$16,4,FALSE),0),"")</f>
        <v>资本家*253</v>
      </c>
      <c r="AK13" t="str">
        <f>IFERROR(T13&amp;"*"&amp;ROUND(X13*(U13/$AP13)/VLOOKUP(T13,商品!$A$4:$D$67,4,FALSE),0),"")</f>
        <v>食品*-165</v>
      </c>
      <c r="AL13" t="str">
        <f>IFERROR(V13&amp;"*"&amp;ROUND(X13*(W13/$AP13)/VLOOKUP(V13,商品!$A$4:$D$67,4,FALSE),0),"")</f>
        <v>饮品*329</v>
      </c>
      <c r="AN13">
        <f t="shared" si="5"/>
        <v>50</v>
      </c>
      <c r="AO13">
        <f t="shared" si="6"/>
        <v>12</v>
      </c>
      <c r="AP13">
        <f t="shared" si="7"/>
        <v>50</v>
      </c>
    </row>
    <row r="14" customHeight="1" spans="1:42">
      <c r="A14" s="18" t="s">
        <v>291</v>
      </c>
      <c r="C14" s="18">
        <v>5</v>
      </c>
      <c r="D14" s="1" t="s">
        <v>222</v>
      </c>
      <c r="E14" s="1" t="s">
        <v>225</v>
      </c>
      <c r="F14" s="1" t="s">
        <v>107</v>
      </c>
      <c r="G14" s="1">
        <v>50</v>
      </c>
      <c r="L14" s="1">
        <f>IFERROR(VLOOKUP($D14&amp;$C14,生产方式定位!$A$2:$E$38,2,FALSE)+VLOOKUP($E14&amp;$C14,生产方式定位!$F$3:$J$38,2,FALSE),0)</f>
        <v>5800</v>
      </c>
      <c r="M14" s="1" t="s">
        <v>208</v>
      </c>
      <c r="N14" s="1">
        <v>10</v>
      </c>
      <c r="O14" s="1" t="s">
        <v>197</v>
      </c>
      <c r="P14" s="1">
        <v>2</v>
      </c>
      <c r="S14" s="1">
        <f>IFERROR(VLOOKUP($D14&amp;$C14,生产方式定位!$A$2:$E$38,3,FALSE)+VLOOKUP($E14&amp;$C14,生产方式定位!$F$3:$J$38,3,FALSE),0)</f>
        <v>5700</v>
      </c>
      <c r="T14" s="1" t="s">
        <v>126</v>
      </c>
      <c r="U14" s="1">
        <v>-50</v>
      </c>
      <c r="V14" s="1" t="s">
        <v>139</v>
      </c>
      <c r="W14" s="1">
        <v>100</v>
      </c>
      <c r="X14" s="1">
        <f>IFERROR(VLOOKUP($D14&amp;$C14,生产方式定位!$A$2:$E$38,5,FALSE)+VLOOKUP($E14&amp;$C14,生产方式定位!$F$3:$J$38,5,FALSE),"错误")</f>
        <v>6313</v>
      </c>
      <c r="Y14" s="27" t="str">
        <f t="shared" si="0"/>
        <v>鱼*290</v>
      </c>
      <c r="Z14" s="37" t="str">
        <f t="shared" si="4"/>
        <v>劳工*10215,资本家*310</v>
      </c>
      <c r="AA14" s="37" t="str">
        <f t="shared" si="1"/>
        <v>食品*-210,饮品*421</v>
      </c>
      <c r="AB14" s="28">
        <f t="shared" si="2"/>
        <v>0.92</v>
      </c>
      <c r="AC14" s="37"/>
      <c r="AD14" s="38">
        <f t="shared" si="3"/>
        <v>5</v>
      </c>
      <c r="AE14" t="str">
        <f>IFERROR(F14&amp;"*"&amp;ROUND(L14*(G14/$AN14)/VLOOKUP(F14,商品!$A$4:$D$67,4,FALSE),0),"")</f>
        <v>鱼*290</v>
      </c>
      <c r="AF14" t="str">
        <f>IFERROR(H14&amp;"*"&amp;ROUND(L14*(I14/$AN14)/VLOOKUP(H14,商品!$A$4:$D$67,4,FALSE),0),"")</f>
        <v/>
      </c>
      <c r="AG14" t="str">
        <f>IFERROR(J14&amp;"*"&amp;ROUND(L14*(K14/$AN14)/VLOOKUP(J14,商品!$A$4:$D$67,4,FALSE),0),"")</f>
        <v/>
      </c>
      <c r="AH14" t="str">
        <f>IFERROR(M14&amp;"*"&amp;ROUND(S14*(N14/$AO14)/VLOOKUP(M14,职业!$A$3:$E$16,4,FALSE),0),"")</f>
        <v>劳工*10215</v>
      </c>
      <c r="AI14" t="str">
        <f>IFERROR(O14&amp;"*"&amp;ROUND(S14*(P14/$AO14)/VLOOKUP(O14,职业!$A$3:$E$16,4,FALSE),0),"")</f>
        <v>资本家*310</v>
      </c>
      <c r="AK14" t="str">
        <f>IFERROR(T14&amp;"*"&amp;ROUND(X14*(U14/$AP14)/VLOOKUP(T14,商品!$A$4:$D$67,4,FALSE),0),"")</f>
        <v>食品*-210</v>
      </c>
      <c r="AL14" t="str">
        <f>IFERROR(V14&amp;"*"&amp;ROUND(X14*(W14/$AP14)/VLOOKUP(V14,商品!$A$4:$D$67,4,FALSE),0),"")</f>
        <v>饮品*421</v>
      </c>
      <c r="AN14">
        <f t="shared" si="5"/>
        <v>50</v>
      </c>
      <c r="AO14">
        <f t="shared" si="6"/>
        <v>12</v>
      </c>
      <c r="AP14">
        <f t="shared" si="7"/>
        <v>50</v>
      </c>
    </row>
    <row r="15" customHeight="1" spans="1:42">
      <c r="A15" s="5" t="s">
        <v>292</v>
      </c>
      <c r="C15" s="5">
        <v>1</v>
      </c>
      <c r="D15" s="1" t="s">
        <v>222</v>
      </c>
      <c r="E15" s="1" t="s">
        <v>226</v>
      </c>
      <c r="L15" s="1">
        <f>IFERROR(VLOOKUP($D15&amp;$C15,生产方式定位!$A$2:$E$38,2,FALSE)+VLOOKUP($E15&amp;$C15,生产方式定位!$F$3:$J$38,2,FALSE),0)</f>
        <v>0</v>
      </c>
      <c r="S15" s="1">
        <f>IFERROR(VLOOKUP($D15&amp;$C15,生产方式定位!$A$2:$E$38,3,FALSE)+VLOOKUP($E15&amp;$C15,生产方式定位!$F$3:$J$38,3,FALSE),0)</f>
        <v>500</v>
      </c>
      <c r="X15" s="1">
        <f>IFERROR(VLOOKUP($D15&amp;$C15,生产方式定位!$A$2:$E$38,5,FALSE)+VLOOKUP($E15&amp;$C15,生产方式定位!$F$3:$J$38,5,FALSE),"错误")</f>
        <v>250</v>
      </c>
      <c r="Y15" s="27" t="str">
        <f t="shared" si="0"/>
        <v/>
      </c>
      <c r="Z15" s="37" t="str">
        <f t="shared" si="4"/>
        <v/>
      </c>
      <c r="AA15" s="37" t="str">
        <f t="shared" si="1"/>
        <v/>
      </c>
      <c r="AB15" s="28">
        <f t="shared" si="2"/>
        <v>0</v>
      </c>
      <c r="AC15" s="37"/>
      <c r="AD15" s="38">
        <f t="shared" si="3"/>
        <v>1</v>
      </c>
      <c r="AE15" t="str">
        <f>IFERROR(F15&amp;"*"&amp;ROUND(L15*(G15/$AN15)/VLOOKUP(F15,商品!$A$4:$D$67,4,FALSE),0),"")</f>
        <v/>
      </c>
      <c r="AF15" t="str">
        <f>IFERROR(H15&amp;"*"&amp;ROUND(L15*(I15/$AN15)/VLOOKUP(H15,商品!$A$4:$D$67,4,FALSE),0),"")</f>
        <v/>
      </c>
      <c r="AG15" t="str">
        <f>IFERROR(J15&amp;"*"&amp;ROUND(L15*(K15/$AN15)/VLOOKUP(J15,商品!$A$4:$D$67,4,FALSE),0),"")</f>
        <v/>
      </c>
      <c r="AH15" t="str">
        <f>IFERROR(M15&amp;"*"&amp;ROUND(S15*(N15/$AO15)/VLOOKUP(M15,职业!$A$3:$E$16,4,FALSE),0),"")</f>
        <v/>
      </c>
      <c r="AI15" t="str">
        <f>IFERROR(O15&amp;"*"&amp;ROUND(S15*(P15/$AO15)/VLOOKUP(O15,职业!$A$3:$E$16,4,FALSE),0),"")</f>
        <v/>
      </c>
      <c r="AK15" t="str">
        <f>IFERROR(T15&amp;"*"&amp;ROUND(X15*(U15/$AP15)/VLOOKUP(T15,商品!$A$4:$D$67,4,FALSE),0),"")</f>
        <v/>
      </c>
      <c r="AL15" t="str">
        <f>IFERROR(V15&amp;"*"&amp;ROUND(X15*(W15/$AP15)/VLOOKUP(V15,商品!$A$4:$D$67,4,FALSE),0),"")</f>
        <v/>
      </c>
      <c r="AN15">
        <f t="shared" si="5"/>
        <v>0</v>
      </c>
      <c r="AO15">
        <f t="shared" si="6"/>
        <v>0</v>
      </c>
      <c r="AP15">
        <f t="shared" si="7"/>
        <v>0</v>
      </c>
    </row>
    <row r="16" customHeight="1" spans="1:42">
      <c r="A16" s="5" t="s">
        <v>292</v>
      </c>
      <c r="C16" s="5">
        <v>2</v>
      </c>
      <c r="D16" s="1" t="s">
        <v>222</v>
      </c>
      <c r="E16" s="1" t="s">
        <v>226</v>
      </c>
      <c r="F16" s="1" t="s">
        <v>145</v>
      </c>
      <c r="G16" s="1">
        <v>10</v>
      </c>
      <c r="L16" s="1">
        <f>IFERROR(VLOOKUP($D16&amp;$C16,生产方式定位!$A$2:$E$38,2,FALSE)+VLOOKUP($E16&amp;$C16,生产方式定位!$F$3:$J$38,2,FALSE),0)</f>
        <v>3200</v>
      </c>
      <c r="M16" s="1" t="s">
        <v>208</v>
      </c>
      <c r="N16" s="1">
        <v>-5</v>
      </c>
      <c r="S16" s="1">
        <f>IFERROR(VLOOKUP($D16&amp;$C16,生产方式定位!$A$2:$E$38,3,FALSE)+VLOOKUP($E16&amp;$C16,生产方式定位!$F$3:$J$38,3,FALSE),0)</f>
        <v>350</v>
      </c>
      <c r="X16" s="1">
        <f>IFERROR(VLOOKUP($D16&amp;$C16,生产方式定位!$A$2:$E$38,5,FALSE)+VLOOKUP($E16&amp;$C16,生产方式定位!$F$3:$J$38,5,FALSE),"错误")</f>
        <v>1865</v>
      </c>
      <c r="Y16" s="27" t="str">
        <f t="shared" si="0"/>
        <v>工具*80</v>
      </c>
      <c r="Z16" s="37" t="str">
        <f t="shared" si="4"/>
        <v>劳工*753</v>
      </c>
      <c r="AA16" s="37" t="str">
        <f t="shared" si="1"/>
        <v/>
      </c>
      <c r="AB16" s="28">
        <f t="shared" si="2"/>
        <v>1.72</v>
      </c>
      <c r="AC16" s="37"/>
      <c r="AD16" s="38">
        <f t="shared" si="3"/>
        <v>2</v>
      </c>
      <c r="AE16" t="str">
        <f>IFERROR(F16&amp;"*"&amp;ROUND(L16*(G16/$AN16)/VLOOKUP(F16,商品!$A$4:$D$67,4,FALSE),0),"")</f>
        <v>工具*80</v>
      </c>
      <c r="AF16" t="str">
        <f>IFERROR(H16&amp;"*"&amp;ROUND(L16*(I16/$AN16)/VLOOKUP(H16,商品!$A$4:$D$67,4,FALSE),0),"")</f>
        <v/>
      </c>
      <c r="AG16" t="str">
        <f>IFERROR(J16&amp;"*"&amp;ROUND(L16*(K16/$AN16)/VLOOKUP(J16,商品!$A$4:$D$67,4,FALSE),0),"")</f>
        <v/>
      </c>
      <c r="AH16" t="str">
        <f>IFERROR(M16&amp;"*"&amp;ROUND(S16*(N16/$AO16)/VLOOKUP(M16,职业!$A$3:$E$16,4,FALSE),0),"")</f>
        <v>劳工*753</v>
      </c>
      <c r="AI16" t="str">
        <f>IFERROR(O16&amp;"*"&amp;ROUND(S16*(P16/$AO16)/VLOOKUP(O16,职业!$A$3:$E$16,4,FALSE),0),"")</f>
        <v/>
      </c>
      <c r="AK16" t="str">
        <f>IFERROR(T16&amp;"*"&amp;ROUND(X16*(U16/$AP16)/VLOOKUP(T16,商品!$A$4:$D$67,4,FALSE),0),"")</f>
        <v/>
      </c>
      <c r="AL16" t="str">
        <f>IFERROR(V16&amp;"*"&amp;ROUND(X16*(W16/$AP16)/VLOOKUP(V16,商品!$A$4:$D$67,4,FALSE),0),"")</f>
        <v/>
      </c>
      <c r="AN16">
        <f t="shared" si="5"/>
        <v>10</v>
      </c>
      <c r="AO16">
        <f t="shared" si="6"/>
        <v>-5</v>
      </c>
      <c r="AP16">
        <f t="shared" si="7"/>
        <v>0</v>
      </c>
    </row>
    <row r="17" customHeight="1" spans="1:42">
      <c r="A17" s="5" t="s">
        <v>292</v>
      </c>
      <c r="C17" s="5">
        <v>3</v>
      </c>
      <c r="D17" s="1" t="s">
        <v>222</v>
      </c>
      <c r="E17" s="1" t="s">
        <v>226</v>
      </c>
      <c r="F17" s="1" t="s">
        <v>122</v>
      </c>
      <c r="G17" s="1">
        <v>10</v>
      </c>
      <c r="L17" s="1">
        <f>IFERROR(VLOOKUP($D17&amp;$C17,生产方式定位!$A$2:$E$38,2,FALSE)+VLOOKUP($E17&amp;$C17,生产方式定位!$F$3:$J$38,2,FALSE),0)</f>
        <v>4400</v>
      </c>
      <c r="M17" s="1" t="s">
        <v>208</v>
      </c>
      <c r="N17" s="1">
        <v>-5</v>
      </c>
      <c r="S17" s="1">
        <f>IFERROR(VLOOKUP($D17&amp;$C17,生产方式定位!$A$2:$E$38,3,FALSE)+VLOOKUP($E17&amp;$C17,生产方式定位!$F$3:$J$38,3,FALSE),0)</f>
        <v>200</v>
      </c>
      <c r="X17" s="1">
        <f>IFERROR(VLOOKUP($D17&amp;$C17,生产方式定位!$A$2:$E$38,5,FALSE)+VLOOKUP($E17&amp;$C17,生产方式定位!$F$3:$J$38,5,FALSE),"错误")</f>
        <v>2560</v>
      </c>
      <c r="Y17" s="27" t="str">
        <f t="shared" si="0"/>
        <v>煤*147</v>
      </c>
      <c r="Z17" s="37" t="str">
        <f t="shared" si="4"/>
        <v>劳工*430</v>
      </c>
      <c r="AA17" s="37" t="str">
        <f t="shared" si="1"/>
        <v/>
      </c>
      <c r="AB17" s="28">
        <f t="shared" si="2"/>
        <v>1.72</v>
      </c>
      <c r="AC17" s="37"/>
      <c r="AD17" s="38">
        <f t="shared" si="3"/>
        <v>3</v>
      </c>
      <c r="AE17" t="str">
        <f>IFERROR(F17&amp;"*"&amp;ROUND(L17*(G17/$AN17)/VLOOKUP(F17,商品!$A$4:$D$67,4,FALSE),0),"")</f>
        <v>煤*147</v>
      </c>
      <c r="AF17" t="str">
        <f>IFERROR(H17&amp;"*"&amp;ROUND(L17*(I17/$AN17)/VLOOKUP(H17,商品!$A$4:$D$67,4,FALSE),0),"")</f>
        <v/>
      </c>
      <c r="AG17" t="str">
        <f>IFERROR(J17&amp;"*"&amp;ROUND(L17*(K17/$AN17)/VLOOKUP(J17,商品!$A$4:$D$67,4,FALSE),0),"")</f>
        <v/>
      </c>
      <c r="AH17" t="str">
        <f>IFERROR(M17&amp;"*"&amp;ROUND(S17*(N17/$AO17)/VLOOKUP(M17,职业!$A$3:$E$16,4,FALSE),0),"")</f>
        <v>劳工*430</v>
      </c>
      <c r="AI17" t="str">
        <f>IFERROR(O17&amp;"*"&amp;ROUND(S17*(P17/$AO17)/VLOOKUP(O17,职业!$A$3:$E$16,4,FALSE),0),"")</f>
        <v/>
      </c>
      <c r="AK17" t="str">
        <f>IFERROR(T17&amp;"*"&amp;ROUND(X17*(U17/$AP17)/VLOOKUP(T17,商品!$A$4:$D$67,4,FALSE),0),"")</f>
        <v/>
      </c>
      <c r="AL17" t="str">
        <f>IFERROR(V17&amp;"*"&amp;ROUND(X17*(W17/$AP17)/VLOOKUP(V17,商品!$A$4:$D$67,4,FALSE),0),"")</f>
        <v/>
      </c>
      <c r="AN17">
        <f t="shared" si="5"/>
        <v>10</v>
      </c>
      <c r="AO17">
        <f t="shared" si="6"/>
        <v>-5</v>
      </c>
      <c r="AP17">
        <f t="shared" si="7"/>
        <v>0</v>
      </c>
    </row>
    <row r="18" customHeight="1" spans="1:42">
      <c r="A18" s="5" t="s">
        <v>292</v>
      </c>
      <c r="C18" s="5">
        <v>4</v>
      </c>
      <c r="D18" s="1" t="s">
        <v>222</v>
      </c>
      <c r="E18" s="1" t="s">
        <v>226</v>
      </c>
      <c r="F18" s="1" t="s">
        <v>149</v>
      </c>
      <c r="G18" s="1">
        <v>10</v>
      </c>
      <c r="L18" s="1">
        <f>IFERROR(VLOOKUP($D18&amp;$C18,生产方式定位!$A$2:$E$38,2,FALSE)+VLOOKUP($E18&amp;$C18,生产方式定位!$F$3:$J$38,2,FALSE),0)</f>
        <v>5600</v>
      </c>
      <c r="M18" s="1" t="s">
        <v>208</v>
      </c>
      <c r="N18" s="1">
        <v>-5</v>
      </c>
      <c r="S18" s="1">
        <f>IFERROR(VLOOKUP($D18&amp;$C18,生产方式定位!$A$2:$E$38,3,FALSE)+VLOOKUP($E18&amp;$C18,生产方式定位!$F$3:$J$38,3,FALSE),0)</f>
        <v>50</v>
      </c>
      <c r="X18" s="1">
        <f>IFERROR(VLOOKUP($D18&amp;$C18,生产方式定位!$A$2:$E$38,5,FALSE)+VLOOKUP($E18&amp;$C18,生产方式定位!$F$3:$J$38,5,FALSE),"错误")</f>
        <v>3335</v>
      </c>
      <c r="Y18" s="27" t="str">
        <f t="shared" si="0"/>
        <v>科学引擎*70</v>
      </c>
      <c r="Z18" s="37" t="str">
        <f t="shared" si="4"/>
        <v>劳工*108</v>
      </c>
      <c r="AA18" s="37" t="str">
        <f t="shared" si="1"/>
        <v/>
      </c>
      <c r="AB18" s="28">
        <f t="shared" si="2"/>
        <v>1.68</v>
      </c>
      <c r="AC18" s="37"/>
      <c r="AD18" s="38">
        <f t="shared" si="3"/>
        <v>4</v>
      </c>
      <c r="AE18" t="str">
        <f>IFERROR(F18&amp;"*"&amp;ROUND(L18*(G18/$AN18)/VLOOKUP(F18,商品!$A$4:$D$67,4,FALSE),0),"")</f>
        <v>科学引擎*70</v>
      </c>
      <c r="AF18" t="str">
        <f>IFERROR(H18&amp;"*"&amp;ROUND(L18*(I18/$AN18)/VLOOKUP(H18,商品!$A$4:$D$67,4,FALSE),0),"")</f>
        <v/>
      </c>
      <c r="AG18" t="str">
        <f>IFERROR(J18&amp;"*"&amp;ROUND(L18*(K18/$AN18)/VLOOKUP(J18,商品!$A$4:$D$67,4,FALSE),0),"")</f>
        <v/>
      </c>
      <c r="AH18" t="str">
        <f>IFERROR(M18&amp;"*"&amp;ROUND(S18*(N18/$AO18)/VLOOKUP(M18,职业!$A$3:$E$16,4,FALSE),0),"")</f>
        <v>劳工*108</v>
      </c>
      <c r="AI18" t="str">
        <f>IFERROR(O18&amp;"*"&amp;ROUND(S18*(P18/$AO18)/VLOOKUP(O18,职业!$A$3:$E$16,4,FALSE),0),"")</f>
        <v/>
      </c>
      <c r="AK18" t="str">
        <f>IFERROR(T18&amp;"*"&amp;ROUND(X18*(U18/$AP18)/VLOOKUP(T18,商品!$A$4:$D$67,4,FALSE),0),"")</f>
        <v/>
      </c>
      <c r="AL18" t="str">
        <f>IFERROR(V18&amp;"*"&amp;ROUND(X18*(W18/$AP18)/VLOOKUP(V18,商品!$A$4:$D$67,4,FALSE),0),"")</f>
        <v/>
      </c>
      <c r="AN18">
        <f t="shared" si="5"/>
        <v>10</v>
      </c>
      <c r="AO18">
        <f t="shared" si="6"/>
        <v>-5</v>
      </c>
      <c r="AP18">
        <f t="shared" si="7"/>
        <v>0</v>
      </c>
    </row>
    <row r="19" customHeight="1" spans="1:42">
      <c r="A19" s="5" t="s">
        <v>292</v>
      </c>
      <c r="C19" s="5">
        <v>5</v>
      </c>
      <c r="D19" s="1" t="s">
        <v>222</v>
      </c>
      <c r="E19" s="1" t="s">
        <v>226</v>
      </c>
      <c r="L19" s="1">
        <f>IFERROR(VLOOKUP($D19&amp;$C19,生产方式定位!$A$2:$E$38,2,FALSE)+VLOOKUP($E19&amp;$C19,生产方式定位!$F$3:$J$38,2,FALSE),0)</f>
        <v>6800</v>
      </c>
      <c r="S19" s="1">
        <f>IFERROR(VLOOKUP($D19&amp;$C19,生产方式定位!$A$2:$E$38,3,FALSE)+VLOOKUP($E19&amp;$C19,生产方式定位!$F$3:$J$38,3,FALSE),0)</f>
        <v>-100</v>
      </c>
      <c r="X19" s="1">
        <f>IFERROR(VLOOKUP($D19&amp;$C19,生产方式定位!$A$2:$E$38,5,FALSE)+VLOOKUP($E19&amp;$C19,生产方式定位!$F$3:$J$38,5,FALSE),"错误")</f>
        <v>4190</v>
      </c>
      <c r="Y19" s="27" t="str">
        <f t="shared" si="0"/>
        <v/>
      </c>
      <c r="Z19" s="37" t="str">
        <f t="shared" si="4"/>
        <v/>
      </c>
      <c r="AA19" s="37" t="str">
        <f t="shared" si="1"/>
        <v/>
      </c>
      <c r="AB19" s="28">
        <f t="shared" si="2"/>
        <v>1.62</v>
      </c>
      <c r="AC19" s="37"/>
      <c r="AD19" s="38">
        <f t="shared" si="3"/>
        <v>5</v>
      </c>
      <c r="AE19" t="str">
        <f>IFERROR(F19&amp;"*"&amp;ROUND(L19*(G19/$AN19)/VLOOKUP(F19,商品!$A$4:$D$67,4,FALSE),0),"")</f>
        <v/>
      </c>
      <c r="AF19" t="str">
        <f>IFERROR(H19&amp;"*"&amp;ROUND(L19*(I19/$AN19)/VLOOKUP(H19,商品!$A$4:$D$67,4,FALSE),0),"")</f>
        <v/>
      </c>
      <c r="AG19" t="str">
        <f>IFERROR(J19&amp;"*"&amp;ROUND(L19*(K19/$AN19)/VLOOKUP(J19,商品!$A$4:$D$67,4,FALSE),0),"")</f>
        <v/>
      </c>
      <c r="AH19" t="str">
        <f>IFERROR(M19&amp;"*"&amp;ROUND(S19*(N19/$AO19)/VLOOKUP(M19,职业!$A$3:$E$16,4,FALSE),0),"")</f>
        <v/>
      </c>
      <c r="AI19" t="str">
        <f>IFERROR(O19&amp;"*"&amp;ROUND(S19*(P19/$AO19)/VLOOKUP(O19,职业!$A$3:$E$16,4,FALSE),0),"")</f>
        <v/>
      </c>
      <c r="AK19" t="str">
        <f>IFERROR(T19&amp;"*"&amp;ROUND(X19*(U19/$AP19)/VLOOKUP(T19,商品!$A$4:$D$67,4,FALSE),0),"")</f>
        <v/>
      </c>
      <c r="AL19" t="str">
        <f>IFERROR(V19&amp;"*"&amp;ROUND(X19*(W19/$AP19)/VLOOKUP(V19,商品!$A$4:$D$67,4,FALSE),0),"")</f>
        <v/>
      </c>
      <c r="AN19">
        <f t="shared" si="5"/>
        <v>0</v>
      </c>
      <c r="AO19">
        <f t="shared" si="6"/>
        <v>0</v>
      </c>
      <c r="AP19">
        <f t="shared" si="7"/>
        <v>0</v>
      </c>
    </row>
    <row r="20" customHeight="1" spans="1:42">
      <c r="A20" s="18" t="s">
        <v>292</v>
      </c>
      <c r="C20" s="18">
        <v>1</v>
      </c>
      <c r="D20" s="1" t="s">
        <v>222</v>
      </c>
      <c r="E20" s="1" t="s">
        <v>226</v>
      </c>
      <c r="L20" s="1">
        <f>IFERROR(VLOOKUP($D20&amp;$C20,生产方式定位!$A$2:$E$38,2,FALSE)+VLOOKUP($E20&amp;$C20,生产方式定位!$F$3:$J$38,2,FALSE),0)</f>
        <v>0</v>
      </c>
      <c r="S20" s="1">
        <f>IFERROR(VLOOKUP($D20&amp;$C20,生产方式定位!$A$2:$E$38,3,FALSE)+VLOOKUP($E20&amp;$C20,生产方式定位!$F$3:$J$38,3,FALSE),0)</f>
        <v>500</v>
      </c>
      <c r="X20" s="1">
        <f>IFERROR(VLOOKUP($D20&amp;$C20,生产方式定位!$A$2:$E$38,5,FALSE)+VLOOKUP($E20&amp;$C20,生产方式定位!$F$3:$J$38,5,FALSE),"错误")</f>
        <v>250</v>
      </c>
      <c r="Y20" s="27" t="str">
        <f t="shared" si="0"/>
        <v/>
      </c>
      <c r="Z20" s="37" t="str">
        <f t="shared" si="4"/>
        <v/>
      </c>
      <c r="AA20" s="37" t="str">
        <f t="shared" si="1"/>
        <v/>
      </c>
      <c r="AB20" s="28">
        <f t="shared" si="2"/>
        <v>0</v>
      </c>
      <c r="AC20" s="37"/>
      <c r="AD20" s="38">
        <f t="shared" si="3"/>
        <v>1</v>
      </c>
      <c r="AE20" t="str">
        <f>IFERROR(F20&amp;"*"&amp;ROUND(L20*(G20/$AN20)/VLOOKUP(F20,商品!$A$4:$D$67,4,FALSE),0),"")</f>
        <v/>
      </c>
      <c r="AF20" t="str">
        <f>IFERROR(H20&amp;"*"&amp;ROUND(L20*(I20/$AN20)/VLOOKUP(H20,商品!$A$4:$D$67,4,FALSE),0),"")</f>
        <v/>
      </c>
      <c r="AG20" t="str">
        <f>IFERROR(J20&amp;"*"&amp;ROUND(L20*(K20/$AN20)/VLOOKUP(J20,商品!$A$4:$D$67,4,FALSE),0),"")</f>
        <v/>
      </c>
      <c r="AH20" t="str">
        <f>IFERROR(M20&amp;"*"&amp;ROUND(S20*(N20/$AO20)/VLOOKUP(M20,职业!$A$3:$E$16,4,FALSE),0),"")</f>
        <v/>
      </c>
      <c r="AI20" t="str">
        <f>IFERROR(O20&amp;"*"&amp;ROUND(S20*(P20/$AO20)/VLOOKUP(O20,职业!$A$3:$E$16,4,FALSE),0),"")</f>
        <v/>
      </c>
      <c r="AK20" t="str">
        <f>IFERROR(T20&amp;"*"&amp;ROUND(X20*(U20/$AP20)/VLOOKUP(T20,商品!$A$4:$D$67,4,FALSE),0),"")</f>
        <v/>
      </c>
      <c r="AL20" t="str">
        <f>IFERROR(V20&amp;"*"&amp;ROUND(X20*(W20/$AP20)/VLOOKUP(V20,商品!$A$4:$D$67,4,FALSE),0),"")</f>
        <v/>
      </c>
      <c r="AN20">
        <f t="shared" si="5"/>
        <v>0</v>
      </c>
      <c r="AO20">
        <f t="shared" si="6"/>
        <v>0</v>
      </c>
      <c r="AP20">
        <f t="shared" si="7"/>
        <v>0</v>
      </c>
    </row>
    <row r="21" customHeight="1" spans="1:42">
      <c r="A21" s="18" t="s">
        <v>292</v>
      </c>
      <c r="C21" s="18">
        <v>2</v>
      </c>
      <c r="D21" s="1" t="s">
        <v>222</v>
      </c>
      <c r="E21" s="1" t="s">
        <v>226</v>
      </c>
      <c r="F21" s="1" t="s">
        <v>146</v>
      </c>
      <c r="G21" s="1">
        <v>10</v>
      </c>
      <c r="L21" s="1">
        <f>IFERROR(VLOOKUP($D21&amp;$C21,生产方式定位!$A$2:$E$38,2,FALSE)+VLOOKUP($E21&amp;$C21,生产方式定位!$F$3:$J$38,2,FALSE),0)</f>
        <v>3200</v>
      </c>
      <c r="M21" s="1" t="s">
        <v>208</v>
      </c>
      <c r="N21" s="1">
        <v>-5</v>
      </c>
      <c r="S21" s="1">
        <f>IFERROR(VLOOKUP($D21&amp;$C21,生产方式定位!$A$2:$E$38,3,FALSE)+VLOOKUP($E21&amp;$C21,生产方式定位!$F$3:$J$38,3,FALSE),0)</f>
        <v>350</v>
      </c>
      <c r="X21" s="1">
        <f>IFERROR(VLOOKUP($D21&amp;$C21,生产方式定位!$A$2:$E$38,5,FALSE)+VLOOKUP($E21&amp;$C21,生产方式定位!$F$3:$J$38,5,FALSE),"错误")</f>
        <v>1865</v>
      </c>
      <c r="Y21" s="27" t="str">
        <f t="shared" si="0"/>
        <v>魔偶*80</v>
      </c>
      <c r="Z21" s="37" t="str">
        <f t="shared" si="4"/>
        <v>劳工*753</v>
      </c>
      <c r="AA21" s="37" t="str">
        <f t="shared" si="1"/>
        <v/>
      </c>
      <c r="AB21" s="28">
        <f t="shared" si="2"/>
        <v>1.72</v>
      </c>
      <c r="AC21" s="37"/>
      <c r="AD21" s="38">
        <f t="shared" si="3"/>
        <v>2</v>
      </c>
      <c r="AE21" t="str">
        <f>IFERROR(F21&amp;"*"&amp;ROUND(L21*(G21/$AN21)/VLOOKUP(F21,商品!$A$4:$D$67,4,FALSE),0),"")</f>
        <v>魔偶*80</v>
      </c>
      <c r="AF21" t="str">
        <f>IFERROR(H21&amp;"*"&amp;ROUND(L21*(I21/$AN21)/VLOOKUP(H21,商品!$A$4:$D$67,4,FALSE),0),"")</f>
        <v/>
      </c>
      <c r="AG21" t="str">
        <f>IFERROR(J21&amp;"*"&amp;ROUND(L21*(K21/$AN21)/VLOOKUP(J21,商品!$A$4:$D$67,4,FALSE),0),"")</f>
        <v/>
      </c>
      <c r="AH21" t="str">
        <f>IFERROR(M21&amp;"*"&amp;ROUND(S21*(N21/$AO21)/VLOOKUP(M21,职业!$A$3:$E$16,4,FALSE),0),"")</f>
        <v>劳工*753</v>
      </c>
      <c r="AI21" t="str">
        <f>IFERROR(O21&amp;"*"&amp;ROUND(S21*(P21/$AO21)/VLOOKUP(O21,职业!$A$3:$E$16,4,FALSE),0),"")</f>
        <v/>
      </c>
      <c r="AK21" t="str">
        <f>IFERROR(T21&amp;"*"&amp;ROUND(X21*(U21/$AP21)/VLOOKUP(T21,商品!$A$4:$D$67,4,FALSE),0),"")</f>
        <v/>
      </c>
      <c r="AL21" t="str">
        <f>IFERROR(V21&amp;"*"&amp;ROUND(X21*(W21/$AP21)/VLOOKUP(V21,商品!$A$4:$D$67,4,FALSE),0),"")</f>
        <v/>
      </c>
      <c r="AN21">
        <f t="shared" si="5"/>
        <v>10</v>
      </c>
      <c r="AO21">
        <f t="shared" si="6"/>
        <v>-5</v>
      </c>
      <c r="AP21">
        <f t="shared" si="7"/>
        <v>0</v>
      </c>
    </row>
    <row r="22" customHeight="1" spans="1:42">
      <c r="A22" s="18" t="s">
        <v>292</v>
      </c>
      <c r="C22" s="18">
        <v>3</v>
      </c>
      <c r="D22" s="1" t="s">
        <v>222</v>
      </c>
      <c r="E22" s="1" t="s">
        <v>226</v>
      </c>
      <c r="F22" s="1" t="s">
        <v>122</v>
      </c>
      <c r="G22" s="1">
        <v>10</v>
      </c>
      <c r="L22" s="1">
        <f>IFERROR(VLOOKUP($D22&amp;$C22,生产方式定位!$A$2:$E$38,2,FALSE)+VLOOKUP($E22&amp;$C22,生产方式定位!$F$3:$J$38,2,FALSE),0)</f>
        <v>4400</v>
      </c>
      <c r="M22" s="1" t="s">
        <v>208</v>
      </c>
      <c r="N22" s="1">
        <v>-5</v>
      </c>
      <c r="S22" s="1">
        <f>IFERROR(VLOOKUP($D22&amp;$C22,生产方式定位!$A$2:$E$38,3,FALSE)+VLOOKUP($E22&amp;$C22,生产方式定位!$F$3:$J$38,3,FALSE),0)</f>
        <v>200</v>
      </c>
      <c r="X22" s="1">
        <f>IFERROR(VLOOKUP($D22&amp;$C22,生产方式定位!$A$2:$E$38,5,FALSE)+VLOOKUP($E22&amp;$C22,生产方式定位!$F$3:$J$38,5,FALSE),"错误")</f>
        <v>2560</v>
      </c>
      <c r="Y22" s="27" t="str">
        <f t="shared" si="0"/>
        <v>煤*147</v>
      </c>
      <c r="Z22" s="37" t="str">
        <f t="shared" si="4"/>
        <v>劳工*430</v>
      </c>
      <c r="AA22" s="37" t="str">
        <f t="shared" si="1"/>
        <v/>
      </c>
      <c r="AB22" s="28">
        <f t="shared" si="2"/>
        <v>1.72</v>
      </c>
      <c r="AC22" s="37"/>
      <c r="AD22" s="38">
        <f t="shared" si="3"/>
        <v>3</v>
      </c>
      <c r="AE22" t="str">
        <f>IFERROR(F22&amp;"*"&amp;ROUND(L22*(G22/$AN22)/VLOOKUP(F22,商品!$A$4:$D$67,4,FALSE),0),"")</f>
        <v>煤*147</v>
      </c>
      <c r="AF22" t="str">
        <f>IFERROR(H22&amp;"*"&amp;ROUND(L22*(I22/$AN22)/VLOOKUP(H22,商品!$A$4:$D$67,4,FALSE),0),"")</f>
        <v/>
      </c>
      <c r="AG22" t="str">
        <f>IFERROR(J22&amp;"*"&amp;ROUND(L22*(K22/$AN22)/VLOOKUP(J22,商品!$A$4:$D$67,4,FALSE),0),"")</f>
        <v/>
      </c>
      <c r="AH22" t="str">
        <f>IFERROR(M22&amp;"*"&amp;ROUND(S22*(N22/$AO22)/VLOOKUP(M22,职业!$A$3:$E$16,4,FALSE),0),"")</f>
        <v>劳工*430</v>
      </c>
      <c r="AI22" t="str">
        <f>IFERROR(O22&amp;"*"&amp;ROUND(S22*(P22/$AO22)/VLOOKUP(O22,职业!$A$3:$E$16,4,FALSE),0),"")</f>
        <v/>
      </c>
      <c r="AK22" t="str">
        <f>IFERROR(T22&amp;"*"&amp;ROUND(X22*(U22/$AP22)/VLOOKUP(T22,商品!$A$4:$D$67,4,FALSE),0),"")</f>
        <v/>
      </c>
      <c r="AL22" t="str">
        <f>IFERROR(V22&amp;"*"&amp;ROUND(X22*(W22/$AP22)/VLOOKUP(V22,商品!$A$4:$D$67,4,FALSE),0),"")</f>
        <v/>
      </c>
      <c r="AN22">
        <f t="shared" si="5"/>
        <v>10</v>
      </c>
      <c r="AO22">
        <f t="shared" si="6"/>
        <v>-5</v>
      </c>
      <c r="AP22">
        <f t="shared" si="7"/>
        <v>0</v>
      </c>
    </row>
    <row r="23" customHeight="1" spans="1:42">
      <c r="A23" s="18" t="s">
        <v>292</v>
      </c>
      <c r="C23" s="18">
        <v>4</v>
      </c>
      <c r="D23" s="1" t="s">
        <v>222</v>
      </c>
      <c r="E23" s="1" t="s">
        <v>226</v>
      </c>
      <c r="F23" s="1" t="s">
        <v>150</v>
      </c>
      <c r="G23" s="1">
        <v>10</v>
      </c>
      <c r="L23" s="1">
        <f>IFERROR(VLOOKUP($D23&amp;$C23,生产方式定位!$A$2:$E$38,2,FALSE)+VLOOKUP($E23&amp;$C23,生产方式定位!$F$3:$J$38,2,FALSE),0)</f>
        <v>5600</v>
      </c>
      <c r="M23" s="1" t="s">
        <v>208</v>
      </c>
      <c r="N23" s="1">
        <v>-5</v>
      </c>
      <c r="S23" s="1">
        <f>IFERROR(VLOOKUP($D23&amp;$C23,生产方式定位!$A$2:$E$38,3,FALSE)+VLOOKUP($E23&amp;$C23,生产方式定位!$F$3:$J$38,3,FALSE),0)</f>
        <v>50</v>
      </c>
      <c r="X23" s="1">
        <f>IFERROR(VLOOKUP($D23&amp;$C23,生产方式定位!$A$2:$E$38,5,FALSE)+VLOOKUP($E23&amp;$C23,生产方式定位!$F$3:$J$38,5,FALSE),"错误")</f>
        <v>3335</v>
      </c>
      <c r="Y23" s="27" t="str">
        <f t="shared" si="0"/>
        <v>魔导引擎*70</v>
      </c>
      <c r="Z23" s="37" t="str">
        <f t="shared" si="4"/>
        <v>劳工*108</v>
      </c>
      <c r="AA23" s="37" t="str">
        <f t="shared" si="1"/>
        <v/>
      </c>
      <c r="AB23" s="28">
        <f t="shared" si="2"/>
        <v>1.68</v>
      </c>
      <c r="AC23" s="37"/>
      <c r="AD23" s="38">
        <f t="shared" si="3"/>
        <v>4</v>
      </c>
      <c r="AE23" t="str">
        <f>IFERROR(F23&amp;"*"&amp;ROUND(L23*(G23/$AN23)/VLOOKUP(F23,商品!$A$4:$D$67,4,FALSE),0),"")</f>
        <v>魔导引擎*70</v>
      </c>
      <c r="AF23" t="str">
        <f>IFERROR(H23&amp;"*"&amp;ROUND(L23*(I23/$AN23)/VLOOKUP(H23,商品!$A$4:$D$67,4,FALSE),0),"")</f>
        <v/>
      </c>
      <c r="AG23" t="str">
        <f>IFERROR(J23&amp;"*"&amp;ROUND(L23*(K23/$AN23)/VLOOKUP(J23,商品!$A$4:$D$67,4,FALSE),0),"")</f>
        <v/>
      </c>
      <c r="AH23" t="str">
        <f>IFERROR(M23&amp;"*"&amp;ROUND(S23*(N23/$AO23)/VLOOKUP(M23,职业!$A$3:$E$16,4,FALSE),0),"")</f>
        <v>劳工*108</v>
      </c>
      <c r="AI23" t="str">
        <f>IFERROR(O23&amp;"*"&amp;ROUND(S23*(P23/$AO23)/VLOOKUP(O23,职业!$A$3:$E$16,4,FALSE),0),"")</f>
        <v/>
      </c>
      <c r="AK23" t="str">
        <f>IFERROR(T23&amp;"*"&amp;ROUND(X23*(U23/$AP23)/VLOOKUP(T23,商品!$A$4:$D$67,4,FALSE),0),"")</f>
        <v/>
      </c>
      <c r="AL23" t="str">
        <f>IFERROR(V23&amp;"*"&amp;ROUND(X23*(W23/$AP23)/VLOOKUP(V23,商品!$A$4:$D$67,4,FALSE),0),"")</f>
        <v/>
      </c>
      <c r="AN23">
        <f t="shared" si="5"/>
        <v>10</v>
      </c>
      <c r="AO23">
        <f t="shared" si="6"/>
        <v>-5</v>
      </c>
      <c r="AP23">
        <f t="shared" si="7"/>
        <v>0</v>
      </c>
    </row>
    <row r="24" customHeight="1" spans="1:42">
      <c r="A24" s="18" t="s">
        <v>292</v>
      </c>
      <c r="C24" s="18">
        <v>5</v>
      </c>
      <c r="D24" s="1" t="s">
        <v>222</v>
      </c>
      <c r="E24" s="1" t="s">
        <v>226</v>
      </c>
      <c r="L24" s="1">
        <f>IFERROR(VLOOKUP($D24&amp;$C24,生产方式定位!$A$2:$E$38,2,FALSE)+VLOOKUP($E24&amp;$C24,生产方式定位!$F$3:$J$38,2,FALSE),0)</f>
        <v>6800</v>
      </c>
      <c r="S24" s="1">
        <f>IFERROR(VLOOKUP($D24&amp;$C24,生产方式定位!$A$2:$E$38,3,FALSE)+VLOOKUP($E24&amp;$C24,生产方式定位!$F$3:$J$38,3,FALSE),0)</f>
        <v>-100</v>
      </c>
      <c r="X24" s="1">
        <f>IFERROR(VLOOKUP($D24&amp;$C24,生产方式定位!$A$2:$E$38,5,FALSE)+VLOOKUP($E24&amp;$C24,生产方式定位!$F$3:$J$38,5,FALSE),"错误")</f>
        <v>4190</v>
      </c>
      <c r="Y24" s="27" t="str">
        <f t="shared" si="0"/>
        <v/>
      </c>
      <c r="Z24" s="37" t="str">
        <f t="shared" si="4"/>
        <v/>
      </c>
      <c r="AA24" s="37" t="str">
        <f t="shared" si="1"/>
        <v/>
      </c>
      <c r="AB24" s="28">
        <f t="shared" si="2"/>
        <v>1.62</v>
      </c>
      <c r="AC24" s="37"/>
      <c r="AD24" s="38">
        <f t="shared" si="3"/>
        <v>5</v>
      </c>
      <c r="AE24" t="str">
        <f>IFERROR(F24&amp;"*"&amp;ROUND(L24*(G24/$AN24)/VLOOKUP(F24,商品!$A$4:$D$67,4,FALSE),0),"")</f>
        <v/>
      </c>
      <c r="AF24" t="str">
        <f>IFERROR(H24&amp;"*"&amp;ROUND(L24*(I24/$AN24)/VLOOKUP(H24,商品!$A$4:$D$67,4,FALSE),0),"")</f>
        <v/>
      </c>
      <c r="AG24" t="str">
        <f>IFERROR(J24&amp;"*"&amp;ROUND(L24*(K24/$AN24)/VLOOKUP(J24,商品!$A$4:$D$67,4,FALSE),0),"")</f>
        <v/>
      </c>
      <c r="AH24" t="str">
        <f>IFERROR(M24&amp;"*"&amp;ROUND(S24*(N24/$AO24)/VLOOKUP(M24,职业!$A$3:$E$16,4,FALSE),0),"")</f>
        <v/>
      </c>
      <c r="AI24" t="str">
        <f>IFERROR(O24&amp;"*"&amp;ROUND(S24*(P24/$AO24)/VLOOKUP(O24,职业!$A$3:$E$16,4,FALSE),0),"")</f>
        <v/>
      </c>
      <c r="AK24" t="str">
        <f>IFERROR(T24&amp;"*"&amp;ROUND(X24*(U24/$AP24)/VLOOKUP(T24,商品!$A$4:$D$67,4,FALSE),0),"")</f>
        <v/>
      </c>
      <c r="AL24" t="str">
        <f>IFERROR(V24&amp;"*"&amp;ROUND(X24*(W24/$AP24)/VLOOKUP(V24,商品!$A$4:$D$67,4,FALSE),0),"")</f>
        <v/>
      </c>
      <c r="AN24">
        <f t="shared" si="5"/>
        <v>0</v>
      </c>
      <c r="AO24">
        <f t="shared" si="6"/>
        <v>0</v>
      </c>
      <c r="AP24">
        <f t="shared" si="7"/>
        <v>0</v>
      </c>
    </row>
    <row r="25" customHeight="1" spans="1:42">
      <c r="A25" s="5" t="s">
        <v>294</v>
      </c>
      <c r="C25" s="5">
        <v>1</v>
      </c>
      <c r="D25" s="1" t="s">
        <v>293</v>
      </c>
      <c r="E25" s="1" t="s">
        <v>227</v>
      </c>
      <c r="L25" s="1">
        <f>IFERROR(VLOOKUP($D25&amp;$C25,生产方式定位!$A$2:$E$38,2,FALSE)+VLOOKUP($E25&amp;$C25,生产方式定位!$F$3:$J$38,2,FALSE),0)</f>
        <v>0</v>
      </c>
      <c r="S25" s="1">
        <f>IFERROR(VLOOKUP($D25&amp;$C25,生产方式定位!$A$2:$E$38,3,FALSE)+VLOOKUP($E25&amp;$C25,生产方式定位!$F$3:$J$38,3,FALSE),0)</f>
        <v>0</v>
      </c>
      <c r="X25" s="1">
        <f>IFERROR(VLOOKUP($D25&amp;$C25,生产方式定位!$A$2:$E$38,5,FALSE)+VLOOKUP($E25&amp;$C25,生产方式定位!$F$3:$J$38,5,FALSE),"错误")</f>
        <v>0</v>
      </c>
      <c r="Y25" s="27" t="str">
        <f t="shared" si="0"/>
        <v/>
      </c>
      <c r="Z25" s="37" t="str">
        <f t="shared" si="4"/>
        <v/>
      </c>
      <c r="AA25" s="37" t="str">
        <f t="shared" si="1"/>
        <v/>
      </c>
      <c r="AB25" s="28" t="str">
        <f t="shared" si="2"/>
        <v/>
      </c>
      <c r="AC25" s="37"/>
      <c r="AD25" s="38">
        <f t="shared" si="3"/>
        <v>1</v>
      </c>
      <c r="AE25" t="str">
        <f>IFERROR(F25&amp;"*"&amp;ROUND(L25*(G25/$AN25)/VLOOKUP(F25,商品!$A$4:$D$67,4,FALSE),0),"")</f>
        <v/>
      </c>
      <c r="AF25" t="str">
        <f>IFERROR(H25&amp;"*"&amp;ROUND(L25*(I25/$AN25)/VLOOKUP(H25,商品!$A$4:$D$67,4,FALSE),0),"")</f>
        <v/>
      </c>
      <c r="AG25" t="str">
        <f>IFERROR(J25&amp;"*"&amp;ROUND(L25*(K25/$AN25)/VLOOKUP(J25,商品!$A$4:$D$67,4,FALSE),0),"")</f>
        <v/>
      </c>
      <c r="AH25" t="str">
        <f>IFERROR(M25&amp;"*"&amp;ROUND(S25*(N25/$AO25)/VLOOKUP(M25,职业!$A$3:$E$16,4,FALSE),0),"")</f>
        <v/>
      </c>
      <c r="AI25" t="str">
        <f>IFERROR(O25&amp;"*"&amp;ROUND(S25*(P25/$AO25)/VLOOKUP(O25,职业!$A$3:$E$16,4,FALSE),0),"")</f>
        <v/>
      </c>
      <c r="AK25" t="str">
        <f>IFERROR(T25&amp;"*"&amp;ROUND(X25*(U25/$AP25)/VLOOKUP(T25,商品!$A$4:$D$67,4,FALSE),0),"")</f>
        <v/>
      </c>
      <c r="AL25" t="str">
        <f>IFERROR(V25&amp;"*"&amp;ROUND(X25*(W25/$AP25)/VLOOKUP(V25,商品!$A$4:$D$67,4,FALSE),0),"")</f>
        <v/>
      </c>
      <c r="AN25">
        <f t="shared" si="5"/>
        <v>0</v>
      </c>
      <c r="AO25">
        <f t="shared" si="6"/>
        <v>0</v>
      </c>
      <c r="AP25">
        <f t="shared" si="7"/>
        <v>0</v>
      </c>
    </row>
    <row r="26" customHeight="1" spans="1:42">
      <c r="A26" s="5" t="s">
        <v>294</v>
      </c>
      <c r="C26" s="5">
        <v>2</v>
      </c>
      <c r="D26" s="1" t="s">
        <v>293</v>
      </c>
      <c r="E26" s="1" t="s">
        <v>227</v>
      </c>
      <c r="L26" s="1">
        <f>IFERROR(VLOOKUP($D26&amp;$C26,生产方式定位!$A$2:$E$38,2,FALSE)+VLOOKUP($E26&amp;$C26,生产方式定位!$F$3:$J$38,2,FALSE),0)</f>
        <v>0</v>
      </c>
      <c r="S26" s="1">
        <f>IFERROR(VLOOKUP($D26&amp;$C26,生产方式定位!$A$2:$E$38,3,FALSE)+VLOOKUP($E26&amp;$C26,生产方式定位!$F$3:$J$38,3,FALSE),0)</f>
        <v>0</v>
      </c>
      <c r="X26" s="1">
        <f>IFERROR(VLOOKUP($D26&amp;$C26,生产方式定位!$A$2:$E$38,5,FALSE)+VLOOKUP($E26&amp;$C26,生产方式定位!$F$3:$J$38,5,FALSE),"错误")</f>
        <v>0</v>
      </c>
      <c r="Y26" s="27" t="str">
        <f t="shared" si="0"/>
        <v/>
      </c>
      <c r="Z26" s="37" t="str">
        <f t="shared" si="4"/>
        <v/>
      </c>
      <c r="AA26" s="37" t="str">
        <f t="shared" si="1"/>
        <v/>
      </c>
      <c r="AB26" s="28" t="str">
        <f t="shared" si="2"/>
        <v/>
      </c>
      <c r="AC26" s="37"/>
      <c r="AD26" s="38">
        <f t="shared" si="3"/>
        <v>2</v>
      </c>
      <c r="AE26" t="str">
        <f>IFERROR(F26&amp;"*"&amp;ROUND(L26*(G26/$AN26)/VLOOKUP(F26,商品!$A$4:$D$67,4,FALSE),0),"")</f>
        <v/>
      </c>
      <c r="AF26" t="str">
        <f>IFERROR(H26&amp;"*"&amp;ROUND(L26*(I26/$AN26)/VLOOKUP(H26,商品!$A$4:$D$67,4,FALSE),0),"")</f>
        <v/>
      </c>
      <c r="AG26" t="str">
        <f>IFERROR(J26&amp;"*"&amp;ROUND(L26*(K26/$AN26)/VLOOKUP(J26,商品!$A$4:$D$67,4,FALSE),0),"")</f>
        <v/>
      </c>
      <c r="AH26" t="str">
        <f>IFERROR(M26&amp;"*"&amp;ROUND(S26*(N26/$AO26)/VLOOKUP(M26,职业!$A$3:$E$16,4,FALSE),0),"")</f>
        <v/>
      </c>
      <c r="AI26" t="str">
        <f>IFERROR(O26&amp;"*"&amp;ROUND(S26*(P26/$AO26)/VLOOKUP(O26,职业!$A$3:$E$16,4,FALSE),0),"")</f>
        <v/>
      </c>
      <c r="AK26" t="str">
        <f>IFERROR(T26&amp;"*"&amp;ROUND(X26*(U26/$AP26)/VLOOKUP(T26,商品!$A$4:$D$67,4,FALSE),0),"")</f>
        <v/>
      </c>
      <c r="AL26" t="str">
        <f>IFERROR(V26&amp;"*"&amp;ROUND(X26*(W26/$AP26)/VLOOKUP(V26,商品!$A$4:$D$67,4,FALSE),0),"")</f>
        <v/>
      </c>
      <c r="AN26">
        <f t="shared" si="5"/>
        <v>0</v>
      </c>
      <c r="AO26">
        <f t="shared" si="6"/>
        <v>0</v>
      </c>
      <c r="AP26">
        <f t="shared" si="7"/>
        <v>0</v>
      </c>
    </row>
    <row r="27" customHeight="1" spans="1:42">
      <c r="A27" s="5" t="s">
        <v>294</v>
      </c>
      <c r="C27" s="5">
        <v>3</v>
      </c>
      <c r="D27" s="1" t="s">
        <v>293</v>
      </c>
      <c r="E27" s="1" t="s">
        <v>227</v>
      </c>
      <c r="L27" s="1">
        <f>IFERROR(VLOOKUP($D27&amp;$C27,生产方式定位!$A$2:$E$38,2,FALSE)+VLOOKUP($E27&amp;$C27,生产方式定位!$F$3:$J$38,2,FALSE),0)</f>
        <v>0</v>
      </c>
      <c r="S27" s="1">
        <f>IFERROR(VLOOKUP($D27&amp;$C27,生产方式定位!$A$2:$E$38,3,FALSE)+VLOOKUP($E27&amp;$C27,生产方式定位!$F$3:$J$38,3,FALSE),0)</f>
        <v>0</v>
      </c>
      <c r="X27" s="1">
        <f>IFERROR(VLOOKUP($D27&amp;$C27,生产方式定位!$A$2:$E$38,5,FALSE)+VLOOKUP($E27&amp;$C27,生产方式定位!$F$3:$J$38,5,FALSE),"错误")</f>
        <v>0</v>
      </c>
      <c r="Y27" s="27" t="str">
        <f t="shared" si="0"/>
        <v/>
      </c>
      <c r="Z27" s="37" t="str">
        <f t="shared" si="4"/>
        <v/>
      </c>
      <c r="AA27" s="37" t="str">
        <f t="shared" si="1"/>
        <v/>
      </c>
      <c r="AB27" s="28" t="str">
        <f t="shared" si="2"/>
        <v/>
      </c>
      <c r="AC27" s="37"/>
      <c r="AD27" s="38">
        <f t="shared" si="3"/>
        <v>3</v>
      </c>
      <c r="AE27" t="str">
        <f>IFERROR(F27&amp;"*"&amp;ROUND(L27*(G27/$AN27)/VLOOKUP(F27,商品!$A$4:$D$67,4,FALSE),0),"")</f>
        <v/>
      </c>
      <c r="AF27" t="str">
        <f>IFERROR(H27&amp;"*"&amp;ROUND(L27*(I27/$AN27)/VLOOKUP(H27,商品!$A$4:$D$67,4,FALSE),0),"")</f>
        <v/>
      </c>
      <c r="AG27" t="str">
        <f>IFERROR(J27&amp;"*"&amp;ROUND(L27*(K27/$AN27)/VLOOKUP(J27,商品!$A$4:$D$67,4,FALSE),0),"")</f>
        <v/>
      </c>
      <c r="AH27" t="str">
        <f>IFERROR(M27&amp;"*"&amp;ROUND(S27*(N27/$AO27)/VLOOKUP(M27,职业!$A$3:$E$16,4,FALSE),0),"")</f>
        <v/>
      </c>
      <c r="AI27" t="str">
        <f>IFERROR(O27&amp;"*"&amp;ROUND(S27*(P27/$AO27)/VLOOKUP(O27,职业!$A$3:$E$16,4,FALSE),0),"")</f>
        <v/>
      </c>
      <c r="AK27" t="str">
        <f>IFERROR(T27&amp;"*"&amp;ROUND(X27*(U27/$AP27)/VLOOKUP(T27,商品!$A$4:$D$67,4,FALSE),0),"")</f>
        <v/>
      </c>
      <c r="AL27" t="str">
        <f>IFERROR(V27&amp;"*"&amp;ROUND(X27*(W27/$AP27)/VLOOKUP(V27,商品!$A$4:$D$67,4,FALSE),0),"")</f>
        <v/>
      </c>
      <c r="AN27">
        <f t="shared" si="5"/>
        <v>0</v>
      </c>
      <c r="AO27">
        <f t="shared" si="6"/>
        <v>0</v>
      </c>
      <c r="AP27">
        <f t="shared" si="7"/>
        <v>0</v>
      </c>
    </row>
    <row r="28" customHeight="1" spans="1:42">
      <c r="A28" s="5" t="s">
        <v>294</v>
      </c>
      <c r="C28" s="5">
        <v>4</v>
      </c>
      <c r="D28" s="1" t="s">
        <v>293</v>
      </c>
      <c r="E28" s="1" t="s">
        <v>227</v>
      </c>
      <c r="L28" s="1">
        <f>IFERROR(VLOOKUP($D28&amp;$C28,生产方式定位!$A$2:$E$38,2,FALSE)+VLOOKUP($E28&amp;$C28,生产方式定位!$F$3:$J$38,2,FALSE),0)</f>
        <v>0</v>
      </c>
      <c r="S28" s="1">
        <f>IFERROR(VLOOKUP($D28&amp;$C28,生产方式定位!$A$2:$E$38,3,FALSE)+VLOOKUP($E28&amp;$C28,生产方式定位!$F$3:$J$38,3,FALSE),0)</f>
        <v>0</v>
      </c>
      <c r="X28" s="1">
        <f>IFERROR(VLOOKUP($D28&amp;$C28,生产方式定位!$A$2:$E$38,5,FALSE)+VLOOKUP($E28&amp;$C28,生产方式定位!$F$3:$J$38,5,FALSE),"错误")</f>
        <v>0</v>
      </c>
      <c r="Y28" s="27" t="str">
        <f t="shared" si="0"/>
        <v/>
      </c>
      <c r="Z28" s="37" t="str">
        <f t="shared" si="4"/>
        <v/>
      </c>
      <c r="AA28" s="37" t="str">
        <f t="shared" si="1"/>
        <v/>
      </c>
      <c r="AB28" s="28" t="str">
        <f t="shared" si="2"/>
        <v/>
      </c>
      <c r="AC28" s="37"/>
      <c r="AD28" s="38">
        <f t="shared" si="3"/>
        <v>4</v>
      </c>
      <c r="AE28" t="str">
        <f>IFERROR(F28&amp;"*"&amp;ROUND(L28*(G28/$AN28)/VLOOKUP(F28,商品!$A$4:$D$67,4,FALSE),0),"")</f>
        <v/>
      </c>
      <c r="AF28" t="str">
        <f>IFERROR(H28&amp;"*"&amp;ROUND(L28*(I28/$AN28)/VLOOKUP(H28,商品!$A$4:$D$67,4,FALSE),0),"")</f>
        <v/>
      </c>
      <c r="AG28" t="str">
        <f>IFERROR(J28&amp;"*"&amp;ROUND(L28*(K28/$AN28)/VLOOKUP(J28,商品!$A$4:$D$67,4,FALSE),0),"")</f>
        <v/>
      </c>
      <c r="AH28" t="str">
        <f>IFERROR(M28&amp;"*"&amp;ROUND(S28*(N28/$AO28)/VLOOKUP(M28,职业!$A$3:$E$16,4,FALSE),0),"")</f>
        <v/>
      </c>
      <c r="AI28" t="str">
        <f>IFERROR(O28&amp;"*"&amp;ROUND(S28*(P28/$AO28)/VLOOKUP(O28,职业!$A$3:$E$16,4,FALSE),0),"")</f>
        <v/>
      </c>
      <c r="AK28" t="str">
        <f>IFERROR(T28&amp;"*"&amp;ROUND(X28*(U28/$AP28)/VLOOKUP(T28,商品!$A$4:$D$67,4,FALSE),0),"")</f>
        <v/>
      </c>
      <c r="AL28" t="str">
        <f>IFERROR(V28&amp;"*"&amp;ROUND(X28*(W28/$AP28)/VLOOKUP(V28,商品!$A$4:$D$67,4,FALSE),0),"")</f>
        <v/>
      </c>
      <c r="AN28">
        <f t="shared" si="5"/>
        <v>0</v>
      </c>
      <c r="AO28">
        <f t="shared" si="6"/>
        <v>0</v>
      </c>
      <c r="AP28">
        <f t="shared" si="7"/>
        <v>0</v>
      </c>
    </row>
    <row r="29" customHeight="1" spans="1:42">
      <c r="A29" s="5" t="s">
        <v>294</v>
      </c>
      <c r="C29" s="5">
        <v>5</v>
      </c>
      <c r="D29" s="1" t="s">
        <v>293</v>
      </c>
      <c r="E29" s="1" t="s">
        <v>227</v>
      </c>
      <c r="L29" s="1">
        <f>IFERROR(VLOOKUP($D29&amp;$C29,生产方式定位!$A$2:$E$38,2,FALSE)+VLOOKUP($E29&amp;$C29,生产方式定位!$F$3:$J$38,2,FALSE),0)</f>
        <v>0</v>
      </c>
      <c r="S29" s="1">
        <f>IFERROR(VLOOKUP($D29&amp;$C29,生产方式定位!$A$2:$E$38,3,FALSE)+VLOOKUP($E29&amp;$C29,生产方式定位!$F$3:$J$38,3,FALSE),0)</f>
        <v>0</v>
      </c>
      <c r="X29" s="1">
        <f>IFERROR(VLOOKUP($D29&amp;$C29,生产方式定位!$A$2:$E$38,5,FALSE)+VLOOKUP($E29&amp;$C29,生产方式定位!$F$3:$J$38,5,FALSE),"错误")</f>
        <v>0</v>
      </c>
      <c r="Y29" s="27" t="str">
        <f t="shared" si="0"/>
        <v/>
      </c>
      <c r="Z29" s="37" t="str">
        <f t="shared" si="4"/>
        <v/>
      </c>
      <c r="AA29" s="37" t="str">
        <f t="shared" si="1"/>
        <v/>
      </c>
      <c r="AB29" s="28" t="str">
        <f t="shared" si="2"/>
        <v/>
      </c>
      <c r="AC29" s="37"/>
      <c r="AD29" s="38">
        <f t="shared" si="3"/>
        <v>5</v>
      </c>
      <c r="AE29" t="str">
        <f>IFERROR(F29&amp;"*"&amp;ROUND(L29*(G29/$AN29)/VLOOKUP(F29,商品!$A$4:$D$67,4,FALSE),0),"")</f>
        <v/>
      </c>
      <c r="AF29" t="str">
        <f>IFERROR(H29&amp;"*"&amp;ROUND(L29*(I29/$AN29)/VLOOKUP(H29,商品!$A$4:$D$67,4,FALSE),0),"")</f>
        <v/>
      </c>
      <c r="AG29" t="str">
        <f>IFERROR(J29&amp;"*"&amp;ROUND(L29*(K29/$AN29)/VLOOKUP(J29,商品!$A$4:$D$67,4,FALSE),0),"")</f>
        <v/>
      </c>
      <c r="AH29" t="str">
        <f>IFERROR(M29&amp;"*"&amp;ROUND(S29*(N29/$AO29)/VLOOKUP(M29,职业!$A$3:$E$16,4,FALSE),0),"")</f>
        <v/>
      </c>
      <c r="AI29" t="str">
        <f>IFERROR(O29&amp;"*"&amp;ROUND(S29*(P29/$AO29)/VLOOKUP(O29,职业!$A$3:$E$16,4,FALSE),0),"")</f>
        <v/>
      </c>
      <c r="AK29" t="str">
        <f>IFERROR(T29&amp;"*"&amp;ROUND(X29*(U29/$AP29)/VLOOKUP(T29,商品!$A$4:$D$67,4,FALSE),0),"")</f>
        <v/>
      </c>
      <c r="AL29" t="str">
        <f>IFERROR(V29&amp;"*"&amp;ROUND(X29*(W29/$AP29)/VLOOKUP(V29,商品!$A$4:$D$67,4,FALSE),0),"")</f>
        <v/>
      </c>
      <c r="AN29">
        <f t="shared" si="5"/>
        <v>0</v>
      </c>
      <c r="AO29">
        <f t="shared" si="6"/>
        <v>0</v>
      </c>
      <c r="AP29">
        <f t="shared" si="7"/>
        <v>0</v>
      </c>
    </row>
    <row r="30" customHeight="1" spans="1:42">
      <c r="A30" s="5" t="s">
        <v>294</v>
      </c>
      <c r="C30" s="5">
        <v>6</v>
      </c>
      <c r="D30" s="1" t="s">
        <v>293</v>
      </c>
      <c r="E30" s="1" t="s">
        <v>227</v>
      </c>
      <c r="L30" s="1">
        <f>IFERROR(VLOOKUP($D30&amp;$C30,生产方式定位!$A$2:$E$38,2,FALSE)+VLOOKUP($E30&amp;$C30,生产方式定位!$F$3:$J$38,2,FALSE),0)</f>
        <v>0</v>
      </c>
      <c r="S30" s="1">
        <f>IFERROR(VLOOKUP($D30&amp;$C30,生产方式定位!$A$2:$E$38,3,FALSE)+VLOOKUP($E30&amp;$C30,生产方式定位!$F$3:$J$38,3,FALSE),0)</f>
        <v>0</v>
      </c>
      <c r="X30" s="1">
        <f>IFERROR(VLOOKUP($D30&amp;$C30,生产方式定位!$A$2:$E$38,5,FALSE)+VLOOKUP($E30&amp;$C30,生产方式定位!$F$3:$J$38,5,FALSE),"错误")</f>
        <v>0</v>
      </c>
      <c r="Y30" s="27" t="str">
        <f t="shared" si="0"/>
        <v/>
      </c>
      <c r="Z30" s="37" t="str">
        <f t="shared" si="4"/>
        <v/>
      </c>
      <c r="AA30" s="37" t="str">
        <f t="shared" si="1"/>
        <v/>
      </c>
      <c r="AB30" s="28" t="str">
        <f t="shared" si="2"/>
        <v/>
      </c>
      <c r="AC30" s="37"/>
      <c r="AD30" s="38">
        <f t="shared" si="3"/>
        <v>6</v>
      </c>
      <c r="AE30" t="str">
        <f>IFERROR(F30&amp;"*"&amp;ROUND(L30*(G30/$AN30)/VLOOKUP(F30,商品!$A$4:$D$67,4,FALSE),0),"")</f>
        <v/>
      </c>
      <c r="AF30" t="str">
        <f>IFERROR(H30&amp;"*"&amp;ROUND(L30*(I30/$AN30)/VLOOKUP(H30,商品!$A$4:$D$67,4,FALSE),0),"")</f>
        <v/>
      </c>
      <c r="AG30" t="str">
        <f>IFERROR(J30&amp;"*"&amp;ROUND(L30*(K30/$AN30)/VLOOKUP(J30,商品!$A$4:$D$67,4,FALSE),0),"")</f>
        <v/>
      </c>
      <c r="AH30" t="str">
        <f>IFERROR(M30&amp;"*"&amp;ROUND(S30*(N30/$AO30)/VLOOKUP(M30,职业!$A$3:$E$16,4,FALSE),0),"")</f>
        <v/>
      </c>
      <c r="AI30" t="str">
        <f>IFERROR(O30&amp;"*"&amp;ROUND(S30*(P30/$AO30)/VLOOKUP(O30,职业!$A$3:$E$16,4,FALSE),0),"")</f>
        <v/>
      </c>
      <c r="AK30" t="str">
        <f>IFERROR(T30&amp;"*"&amp;ROUND(X30*(U30/$AP30)/VLOOKUP(T30,商品!$A$4:$D$67,4,FALSE),0),"")</f>
        <v/>
      </c>
      <c r="AL30" t="str">
        <f>IFERROR(V30&amp;"*"&amp;ROUND(X30*(W30/$AP30)/VLOOKUP(V30,商品!$A$4:$D$67,4,FALSE),0),"")</f>
        <v/>
      </c>
      <c r="AN30">
        <f t="shared" si="5"/>
        <v>0</v>
      </c>
      <c r="AO30">
        <f t="shared" si="6"/>
        <v>0</v>
      </c>
      <c r="AP30">
        <f t="shared" si="7"/>
        <v>0</v>
      </c>
    </row>
    <row r="31" customHeight="1" spans="1:42">
      <c r="A31" s="5" t="s">
        <v>294</v>
      </c>
      <c r="C31" s="5">
        <v>7</v>
      </c>
      <c r="D31" s="1" t="s">
        <v>293</v>
      </c>
      <c r="E31" s="1" t="s">
        <v>227</v>
      </c>
      <c r="L31" s="1">
        <f>IFERROR(VLOOKUP($D31&amp;$C31,生产方式定位!$A$2:$E$38,2,FALSE)+VLOOKUP($E31&amp;$C31,生产方式定位!$F$3:$J$38,2,FALSE),0)</f>
        <v>0</v>
      </c>
      <c r="S31" s="1">
        <f>IFERROR(VLOOKUP($D31&amp;$C31,生产方式定位!$A$2:$E$38,3,FALSE)+VLOOKUP($E31&amp;$C31,生产方式定位!$F$3:$J$38,3,FALSE),0)</f>
        <v>0</v>
      </c>
      <c r="X31" s="1">
        <f>IFERROR(VLOOKUP($D31&amp;$C31,生产方式定位!$A$2:$E$38,5,FALSE)+VLOOKUP($E31&amp;$C31,生产方式定位!$F$3:$J$38,5,FALSE),"错误")</f>
        <v>0</v>
      </c>
      <c r="Y31" s="27" t="str">
        <f t="shared" si="0"/>
        <v/>
      </c>
      <c r="Z31" s="37" t="str">
        <f t="shared" si="4"/>
        <v/>
      </c>
      <c r="AA31" s="37" t="str">
        <f t="shared" si="1"/>
        <v/>
      </c>
      <c r="AB31" s="28" t="str">
        <f t="shared" si="2"/>
        <v/>
      </c>
      <c r="AC31" s="37"/>
      <c r="AD31" s="38">
        <f t="shared" si="3"/>
        <v>7</v>
      </c>
      <c r="AE31" t="str">
        <f>IFERROR(F31&amp;"*"&amp;ROUND(L31*(G31/$AN31)/VLOOKUP(F31,商品!$A$4:$D$67,4,FALSE),0),"")</f>
        <v/>
      </c>
      <c r="AF31" t="str">
        <f>IFERROR(H31&amp;"*"&amp;ROUND(L31*(I31/$AN31)/VLOOKUP(H31,商品!$A$4:$D$67,4,FALSE),0),"")</f>
        <v/>
      </c>
      <c r="AG31" t="str">
        <f>IFERROR(J31&amp;"*"&amp;ROUND(L31*(K31/$AN31)/VLOOKUP(J31,商品!$A$4:$D$67,4,FALSE),0),"")</f>
        <v/>
      </c>
      <c r="AH31" t="str">
        <f>IFERROR(M31&amp;"*"&amp;ROUND(S31*(N31/$AO31)/VLOOKUP(M31,职业!$A$3:$E$16,4,FALSE),0),"")</f>
        <v/>
      </c>
      <c r="AI31" t="str">
        <f>IFERROR(O31&amp;"*"&amp;ROUND(S31*(P31/$AO31)/VLOOKUP(O31,职业!$A$3:$E$16,4,FALSE),0),"")</f>
        <v/>
      </c>
      <c r="AK31" t="str">
        <f>IFERROR(T31&amp;"*"&amp;ROUND(X31*(U31/$AP31)/VLOOKUP(T31,商品!$A$4:$D$67,4,FALSE),0),"")</f>
        <v/>
      </c>
      <c r="AL31" t="str">
        <f>IFERROR(V31&amp;"*"&amp;ROUND(X31*(W31/$AP31)/VLOOKUP(V31,商品!$A$4:$D$67,4,FALSE),0),"")</f>
        <v/>
      </c>
      <c r="AN31">
        <f t="shared" si="5"/>
        <v>0</v>
      </c>
      <c r="AO31">
        <f t="shared" si="6"/>
        <v>0</v>
      </c>
      <c r="AP31">
        <f t="shared" si="7"/>
        <v>0</v>
      </c>
    </row>
    <row r="32" customHeight="1" spans="1:42">
      <c r="A32" s="5" t="s">
        <v>294</v>
      </c>
      <c r="C32" s="5">
        <v>8</v>
      </c>
      <c r="D32" s="1" t="s">
        <v>293</v>
      </c>
      <c r="E32" s="1" t="s">
        <v>227</v>
      </c>
      <c r="L32" s="1">
        <f>IFERROR(VLOOKUP($D32&amp;$C32,生产方式定位!$A$2:$E$38,2,FALSE)+VLOOKUP($E32&amp;$C32,生产方式定位!$F$3:$J$38,2,FALSE),0)</f>
        <v>0</v>
      </c>
      <c r="S32" s="1">
        <f>IFERROR(VLOOKUP($D32&amp;$C32,生产方式定位!$A$2:$E$38,3,FALSE)+VLOOKUP($E32&amp;$C32,生产方式定位!$F$3:$J$38,3,FALSE),0)</f>
        <v>0</v>
      </c>
      <c r="X32" s="1">
        <f>IFERROR(VLOOKUP($D32&amp;$C32,生产方式定位!$A$2:$E$38,5,FALSE)+VLOOKUP($E32&amp;$C32,生产方式定位!$F$3:$J$38,5,FALSE),"错误")</f>
        <v>0</v>
      </c>
      <c r="Y32" s="27" t="str">
        <f t="shared" si="0"/>
        <v/>
      </c>
      <c r="Z32" s="37" t="str">
        <f t="shared" si="4"/>
        <v/>
      </c>
      <c r="AA32" s="37" t="str">
        <f t="shared" si="1"/>
        <v/>
      </c>
      <c r="AB32" s="28" t="str">
        <f t="shared" si="2"/>
        <v/>
      </c>
      <c r="AC32" s="37"/>
      <c r="AD32" s="38">
        <f t="shared" si="3"/>
        <v>8</v>
      </c>
      <c r="AE32" t="str">
        <f>IFERROR(F32&amp;"*"&amp;ROUND(L32*(G32/$AN32)/VLOOKUP(F32,商品!$A$4:$D$67,4,FALSE),0),"")</f>
        <v/>
      </c>
      <c r="AF32" t="str">
        <f>IFERROR(H32&amp;"*"&amp;ROUND(L32*(I32/$AN32)/VLOOKUP(H32,商品!$A$4:$D$67,4,FALSE),0),"")</f>
        <v/>
      </c>
      <c r="AG32" t="str">
        <f>IFERROR(J32&amp;"*"&amp;ROUND(L32*(K32/$AN32)/VLOOKUP(J32,商品!$A$4:$D$67,4,FALSE),0),"")</f>
        <v/>
      </c>
      <c r="AH32" t="str">
        <f>IFERROR(M32&amp;"*"&amp;ROUND(S32*(N32/$AO32)/VLOOKUP(M32,职业!$A$3:$E$16,4,FALSE),0),"")</f>
        <v/>
      </c>
      <c r="AI32" t="str">
        <f>IFERROR(O32&amp;"*"&amp;ROUND(S32*(P32/$AO32)/VLOOKUP(O32,职业!$A$3:$E$16,4,FALSE),0),"")</f>
        <v/>
      </c>
      <c r="AK32" t="str">
        <f>IFERROR(T32&amp;"*"&amp;ROUND(X32*(U32/$AP32)/VLOOKUP(T32,商品!$A$4:$D$67,4,FALSE),0),"")</f>
        <v/>
      </c>
      <c r="AL32" t="str">
        <f>IFERROR(V32&amp;"*"&amp;ROUND(X32*(W32/$AP32)/VLOOKUP(V32,商品!$A$4:$D$67,4,FALSE),0),"")</f>
        <v/>
      </c>
      <c r="AN32">
        <f t="shared" si="5"/>
        <v>0</v>
      </c>
      <c r="AO32">
        <f t="shared" si="6"/>
        <v>0</v>
      </c>
      <c r="AP32">
        <f t="shared" si="7"/>
        <v>0</v>
      </c>
    </row>
    <row r="33" customHeight="1" spans="1:42">
      <c r="A33" s="18" t="s">
        <v>296</v>
      </c>
      <c r="C33" s="18">
        <v>1</v>
      </c>
      <c r="D33" s="1" t="s">
        <v>222</v>
      </c>
      <c r="E33" s="1" t="s">
        <v>224</v>
      </c>
      <c r="L33" s="1">
        <f>IFERROR(VLOOKUP($D33&amp;$C33,生产方式定位!$A$2:$E$38,2,FALSE)+VLOOKUP($E33&amp;$C33,生产方式定位!$F$3:$J$38,2,FALSE),0)</f>
        <v>0</v>
      </c>
      <c r="S33" s="1">
        <f>IFERROR(VLOOKUP($D33&amp;$C33,生产方式定位!$A$2:$E$38,3,FALSE)+VLOOKUP($E33&amp;$C33,生产方式定位!$F$3:$J$38,3,FALSE),0)</f>
        <v>500</v>
      </c>
      <c r="X33" s="1">
        <f>IFERROR(VLOOKUP($D33&amp;$C33,生产方式定位!$A$2:$E$38,5,FALSE)+VLOOKUP($E33&amp;$C33,生产方式定位!$F$3:$J$38,5,FALSE),"错误")</f>
        <v>250</v>
      </c>
      <c r="Y33" s="27" t="str">
        <f t="shared" si="0"/>
        <v/>
      </c>
      <c r="Z33" s="37" t="str">
        <f t="shared" si="4"/>
        <v/>
      </c>
      <c r="AA33" s="37" t="str">
        <f t="shared" si="1"/>
        <v/>
      </c>
      <c r="AB33" s="28">
        <f t="shared" si="2"/>
        <v>0</v>
      </c>
      <c r="AC33" s="37"/>
      <c r="AD33" s="38">
        <f t="shared" si="3"/>
        <v>1</v>
      </c>
      <c r="AE33" t="str">
        <f>IFERROR(F33&amp;"*"&amp;ROUND(L33*(G33/$AN33)/VLOOKUP(F33,商品!$A$4:$D$67,4,FALSE),0),"")</f>
        <v/>
      </c>
      <c r="AF33" t="str">
        <f>IFERROR(H33&amp;"*"&amp;ROUND(L33*(I33/$AN33)/VLOOKUP(H33,商品!$A$4:$D$67,4,FALSE),0),"")</f>
        <v/>
      </c>
      <c r="AG33" t="str">
        <f>IFERROR(J33&amp;"*"&amp;ROUND(L33*(K33/$AN33)/VLOOKUP(J33,商品!$A$4:$D$67,4,FALSE),0),"")</f>
        <v/>
      </c>
      <c r="AH33" t="str">
        <f>IFERROR(M33&amp;"*"&amp;ROUND(S33*(N33/$AO33)/VLOOKUP(M33,职业!$A$3:$E$16,4,FALSE),0),"")</f>
        <v/>
      </c>
      <c r="AI33" t="str">
        <f>IFERROR(O33&amp;"*"&amp;ROUND(S33*(P33/$AO33)/VLOOKUP(O33,职业!$A$3:$E$16,4,FALSE),0),"")</f>
        <v/>
      </c>
      <c r="AK33" t="str">
        <f>IFERROR(T33&amp;"*"&amp;ROUND(X33*(U33/$AP33)/VLOOKUP(T33,商品!$A$4:$D$67,4,FALSE),0),"")</f>
        <v/>
      </c>
      <c r="AL33" t="str">
        <f>IFERROR(V33&amp;"*"&amp;ROUND(X33*(W33/$AP33)/VLOOKUP(V33,商品!$A$4:$D$67,4,FALSE),0),"")</f>
        <v/>
      </c>
      <c r="AN33">
        <f t="shared" si="5"/>
        <v>0</v>
      </c>
      <c r="AO33">
        <f t="shared" si="6"/>
        <v>0</v>
      </c>
      <c r="AP33">
        <f t="shared" si="7"/>
        <v>0</v>
      </c>
    </row>
    <row r="34" customHeight="1" spans="1:42">
      <c r="A34" s="18" t="s">
        <v>296</v>
      </c>
      <c r="C34" s="18">
        <v>2</v>
      </c>
      <c r="D34" s="1" t="s">
        <v>222</v>
      </c>
      <c r="E34" s="1" t="s">
        <v>224</v>
      </c>
      <c r="L34" s="1">
        <f>IFERROR(VLOOKUP($D34&amp;$C34,生产方式定位!$A$2:$E$38,2,FALSE)+VLOOKUP($E34&amp;$C34,生产方式定位!$F$3:$J$38,2,FALSE),0)</f>
        <v>2200</v>
      </c>
      <c r="S34" s="1">
        <f>IFERROR(VLOOKUP($D34&amp;$C34,生产方式定位!$A$2:$E$38,3,FALSE)+VLOOKUP($E34&amp;$C34,生产方式定位!$F$3:$J$38,3,FALSE),0)</f>
        <v>750</v>
      </c>
      <c r="X34" s="1">
        <f>IFERROR(VLOOKUP($D34&amp;$C34,生产方式定位!$A$2:$E$38,5,FALSE)+VLOOKUP($E34&amp;$C34,生产方式定位!$F$3:$J$38,5,FALSE),"错误")</f>
        <v>1547</v>
      </c>
      <c r="Y34" s="27" t="str">
        <f t="shared" si="0"/>
        <v/>
      </c>
      <c r="Z34" s="37" t="str">
        <f t="shared" si="4"/>
        <v/>
      </c>
      <c r="AA34" s="37" t="str">
        <f t="shared" si="1"/>
        <v/>
      </c>
      <c r="AB34" s="28">
        <f t="shared" si="2"/>
        <v>1.42</v>
      </c>
      <c r="AC34" s="37"/>
      <c r="AD34" s="38">
        <f t="shared" si="3"/>
        <v>2</v>
      </c>
      <c r="AE34" t="str">
        <f>IFERROR(F34&amp;"*"&amp;ROUND(L34*(G34/$AN34)/VLOOKUP(F34,商品!$A$4:$D$67,4,FALSE),0),"")</f>
        <v/>
      </c>
      <c r="AF34" t="str">
        <f>IFERROR(H34&amp;"*"&amp;ROUND(L34*(I34/$AN34)/VLOOKUP(H34,商品!$A$4:$D$67,4,FALSE),0),"")</f>
        <v/>
      </c>
      <c r="AG34" t="str">
        <f>IFERROR(J34&amp;"*"&amp;ROUND(L34*(K34/$AN34)/VLOOKUP(J34,商品!$A$4:$D$67,4,FALSE),0),"")</f>
        <v/>
      </c>
      <c r="AH34" t="str">
        <f>IFERROR(M34&amp;"*"&amp;ROUND(S34*(N34/$AO34)/VLOOKUP(M34,职业!$A$3:$E$16,4,FALSE),0),"")</f>
        <v/>
      </c>
      <c r="AI34" t="str">
        <f>IFERROR(O34&amp;"*"&amp;ROUND(S34*(P34/$AO34)/VLOOKUP(O34,职业!$A$3:$E$16,4,FALSE),0),"")</f>
        <v/>
      </c>
      <c r="AK34" t="str">
        <f>IFERROR(T34&amp;"*"&amp;ROUND(X34*(U34/$AP34)/VLOOKUP(T34,商品!$A$4:$D$67,4,FALSE),0),"")</f>
        <v/>
      </c>
      <c r="AL34" t="str">
        <f>IFERROR(V34&amp;"*"&amp;ROUND(X34*(W34/$AP34)/VLOOKUP(V34,商品!$A$4:$D$67,4,FALSE),0),"")</f>
        <v/>
      </c>
      <c r="AN34">
        <f t="shared" si="5"/>
        <v>0</v>
      </c>
      <c r="AO34">
        <f t="shared" si="6"/>
        <v>0</v>
      </c>
      <c r="AP34">
        <f t="shared" si="7"/>
        <v>0</v>
      </c>
    </row>
    <row r="35" customHeight="1" spans="1:42">
      <c r="A35" s="18" t="s">
        <v>296</v>
      </c>
      <c r="C35" s="18">
        <v>3</v>
      </c>
      <c r="D35" s="1" t="s">
        <v>222</v>
      </c>
      <c r="E35" s="1" t="s">
        <v>224</v>
      </c>
      <c r="L35" s="1">
        <f>IFERROR(VLOOKUP($D35&amp;$C35,生产方式定位!$A$2:$E$38,2,FALSE)+VLOOKUP($E35&amp;$C35,生产方式定位!$F$3:$J$38,2,FALSE),0)</f>
        <v>3400</v>
      </c>
      <c r="S35" s="1">
        <f>IFERROR(VLOOKUP($D35&amp;$C35,生产方式定位!$A$2:$E$38,3,FALSE)+VLOOKUP($E35&amp;$C35,生产方式定位!$F$3:$J$38,3,FALSE),0)</f>
        <v>1000</v>
      </c>
      <c r="X35" s="1">
        <f>IFERROR(VLOOKUP($D35&amp;$C35,生产方式定位!$A$2:$E$38,5,FALSE)+VLOOKUP($E35&amp;$C35,生产方式定位!$F$3:$J$38,5,FALSE),"错误")</f>
        <v>2488</v>
      </c>
      <c r="Y35" s="27" t="str">
        <f t="shared" si="0"/>
        <v/>
      </c>
      <c r="Z35" s="37" t="str">
        <f t="shared" si="4"/>
        <v/>
      </c>
      <c r="AA35" s="37" t="str">
        <f t="shared" si="1"/>
        <v/>
      </c>
      <c r="AB35" s="28">
        <f t="shared" si="2"/>
        <v>1.37</v>
      </c>
      <c r="AC35" s="37"/>
      <c r="AD35" s="38">
        <f t="shared" si="3"/>
        <v>3</v>
      </c>
      <c r="AE35" t="str">
        <f>IFERROR(F35&amp;"*"&amp;ROUND(L35*(G35/$AN35)/VLOOKUP(F35,商品!$A$4:$D$67,4,FALSE),0),"")</f>
        <v/>
      </c>
      <c r="AF35" t="str">
        <f>IFERROR(H35&amp;"*"&amp;ROUND(L35*(I35/$AN35)/VLOOKUP(H35,商品!$A$4:$D$67,4,FALSE),0),"")</f>
        <v/>
      </c>
      <c r="AG35" t="str">
        <f>IFERROR(J35&amp;"*"&amp;ROUND(L35*(K35/$AN35)/VLOOKUP(J35,商品!$A$4:$D$67,4,FALSE),0),"")</f>
        <v/>
      </c>
      <c r="AH35" t="str">
        <f>IFERROR(M35&amp;"*"&amp;ROUND(S35*(N35/$AO35)/VLOOKUP(M35,职业!$A$3:$E$16,4,FALSE),0),"")</f>
        <v/>
      </c>
      <c r="AI35" t="str">
        <f>IFERROR(O35&amp;"*"&amp;ROUND(S35*(P35/$AO35)/VLOOKUP(O35,职业!$A$3:$E$16,4,FALSE),0),"")</f>
        <v/>
      </c>
      <c r="AK35" t="str">
        <f>IFERROR(T35&amp;"*"&amp;ROUND(X35*(U35/$AP35)/VLOOKUP(T35,商品!$A$4:$D$67,4,FALSE),0),"")</f>
        <v/>
      </c>
      <c r="AL35" t="str">
        <f>IFERROR(V35&amp;"*"&amp;ROUND(X35*(W35/$AP35)/VLOOKUP(V35,商品!$A$4:$D$67,4,FALSE),0),"")</f>
        <v/>
      </c>
      <c r="AN35">
        <f t="shared" si="5"/>
        <v>0</v>
      </c>
      <c r="AO35">
        <f t="shared" si="6"/>
        <v>0</v>
      </c>
      <c r="AP35">
        <f t="shared" si="7"/>
        <v>0</v>
      </c>
    </row>
    <row r="36" customHeight="1" spans="1:42">
      <c r="A36" s="18" t="s">
        <v>296</v>
      </c>
      <c r="C36" s="18">
        <v>4</v>
      </c>
      <c r="D36" s="1" t="s">
        <v>222</v>
      </c>
      <c r="E36" s="1" t="s">
        <v>224</v>
      </c>
      <c r="L36" s="1">
        <f>IFERROR(VLOOKUP($D36&amp;$C36,生产方式定位!$A$2:$E$38,2,FALSE)+VLOOKUP($E36&amp;$C36,生产方式定位!$F$3:$J$38,2,FALSE),0)</f>
        <v>4600</v>
      </c>
      <c r="S36" s="1">
        <f>IFERROR(VLOOKUP($D36&amp;$C36,生产方式定位!$A$2:$E$38,3,FALSE)+VLOOKUP($E36&amp;$C36,生产方式定位!$F$3:$J$38,3,FALSE),0)</f>
        <v>1250</v>
      </c>
      <c r="X36" s="1">
        <f>IFERROR(VLOOKUP($D36&amp;$C36,生产方式定位!$A$2:$E$38,5,FALSE)+VLOOKUP($E36&amp;$C36,生产方式定位!$F$3:$J$38,5,FALSE),"错误")</f>
        <v>3573</v>
      </c>
      <c r="Y36" s="27" t="str">
        <f t="shared" si="0"/>
        <v/>
      </c>
      <c r="Z36" s="37" t="str">
        <f t="shared" si="4"/>
        <v/>
      </c>
      <c r="AA36" s="37" t="str">
        <f t="shared" si="1"/>
        <v/>
      </c>
      <c r="AB36" s="28">
        <f t="shared" si="2"/>
        <v>1.29</v>
      </c>
      <c r="AC36" s="37"/>
      <c r="AD36" s="38">
        <f t="shared" si="3"/>
        <v>4</v>
      </c>
      <c r="AE36" t="str">
        <f>IFERROR(F36&amp;"*"&amp;ROUND(L36*(G36/$AN36)/VLOOKUP(F36,商品!$A$4:$D$67,4,FALSE),0),"")</f>
        <v/>
      </c>
      <c r="AF36" t="str">
        <f>IFERROR(H36&amp;"*"&amp;ROUND(L36*(I36/$AN36)/VLOOKUP(H36,商品!$A$4:$D$67,4,FALSE),0),"")</f>
        <v/>
      </c>
      <c r="AG36" t="str">
        <f>IFERROR(J36&amp;"*"&amp;ROUND(L36*(K36/$AN36)/VLOOKUP(J36,商品!$A$4:$D$67,4,FALSE),0),"")</f>
        <v/>
      </c>
      <c r="AH36" t="str">
        <f>IFERROR(M36&amp;"*"&amp;ROUND(S36*(N36/$AO36)/VLOOKUP(M36,职业!$A$3:$E$16,4,FALSE),0),"")</f>
        <v/>
      </c>
      <c r="AI36" t="str">
        <f>IFERROR(O36&amp;"*"&amp;ROUND(S36*(P36/$AO36)/VLOOKUP(O36,职业!$A$3:$E$16,4,FALSE),0),"")</f>
        <v/>
      </c>
      <c r="AK36" t="str">
        <f>IFERROR(T36&amp;"*"&amp;ROUND(X36*(U36/$AP36)/VLOOKUP(T36,商品!$A$4:$D$67,4,FALSE),0),"")</f>
        <v/>
      </c>
      <c r="AL36" t="str">
        <f>IFERROR(V36&amp;"*"&amp;ROUND(X36*(W36/$AP36)/VLOOKUP(V36,商品!$A$4:$D$67,4,FALSE),0),"")</f>
        <v/>
      </c>
      <c r="AN36">
        <f t="shared" si="5"/>
        <v>0</v>
      </c>
      <c r="AO36">
        <f t="shared" si="6"/>
        <v>0</v>
      </c>
      <c r="AP36">
        <f t="shared" si="7"/>
        <v>0</v>
      </c>
    </row>
    <row r="37" customHeight="1" spans="1:42">
      <c r="A37" s="18" t="s">
        <v>296</v>
      </c>
      <c r="C37" s="18">
        <v>5</v>
      </c>
      <c r="D37" s="1" t="s">
        <v>222</v>
      </c>
      <c r="E37" s="1" t="s">
        <v>224</v>
      </c>
      <c r="L37" s="1">
        <f>IFERROR(VLOOKUP($D37&amp;$C37,生产方式定位!$A$2:$E$38,2,FALSE)+VLOOKUP($E37&amp;$C37,生产方式定位!$F$3:$J$38,2,FALSE),0)</f>
        <v>5800</v>
      </c>
      <c r="S37" s="1">
        <f>IFERROR(VLOOKUP($D37&amp;$C37,生产方式定位!$A$2:$E$38,3,FALSE)+VLOOKUP($E37&amp;$C37,生产方式定位!$F$3:$J$38,3,FALSE),0)</f>
        <v>1500</v>
      </c>
      <c r="X37" s="1">
        <f>IFERROR(VLOOKUP($D37&amp;$C37,生产方式定位!$A$2:$E$38,5,FALSE)+VLOOKUP($E37&amp;$C37,生产方式定位!$F$3:$J$38,5,FALSE),"错误")</f>
        <v>4850</v>
      </c>
      <c r="Y37" s="27" t="str">
        <f t="shared" si="0"/>
        <v/>
      </c>
      <c r="Z37" s="37" t="str">
        <f t="shared" si="4"/>
        <v/>
      </c>
      <c r="AA37" s="37" t="str">
        <f t="shared" si="1"/>
        <v/>
      </c>
      <c r="AB37" s="28">
        <f t="shared" si="2"/>
        <v>1.2</v>
      </c>
      <c r="AC37" s="37"/>
      <c r="AD37" s="38">
        <f t="shared" si="3"/>
        <v>5</v>
      </c>
      <c r="AE37" t="str">
        <f>IFERROR(F37&amp;"*"&amp;ROUND(L37*(G37/$AN37)/VLOOKUP(F37,商品!$A$4:$D$67,4,FALSE),0),"")</f>
        <v/>
      </c>
      <c r="AF37" t="str">
        <f>IFERROR(H37&amp;"*"&amp;ROUND(L37*(I37/$AN37)/VLOOKUP(H37,商品!$A$4:$D$67,4,FALSE),0),"")</f>
        <v/>
      </c>
      <c r="AG37" t="str">
        <f>IFERROR(J37&amp;"*"&amp;ROUND(L37*(K37/$AN37)/VLOOKUP(J37,商品!$A$4:$D$67,4,FALSE),0),"")</f>
        <v/>
      </c>
      <c r="AH37" t="str">
        <f>IFERROR(M37&amp;"*"&amp;ROUND(S37*(N37/$AO37)/VLOOKUP(M37,职业!$A$3:$E$16,4,FALSE),0),"")</f>
        <v/>
      </c>
      <c r="AI37" t="str">
        <f>IFERROR(O37&amp;"*"&amp;ROUND(S37*(P37/$AO37)/VLOOKUP(O37,职业!$A$3:$E$16,4,FALSE),0),"")</f>
        <v/>
      </c>
      <c r="AK37" t="str">
        <f>IFERROR(T37&amp;"*"&amp;ROUND(X37*(U37/$AP37)/VLOOKUP(T37,商品!$A$4:$D$67,4,FALSE),0),"")</f>
        <v/>
      </c>
      <c r="AL37" t="str">
        <f>IFERROR(V37&amp;"*"&amp;ROUND(X37*(W37/$AP37)/VLOOKUP(V37,商品!$A$4:$D$67,4,FALSE),0),"")</f>
        <v/>
      </c>
      <c r="AN37">
        <f t="shared" si="5"/>
        <v>0</v>
      </c>
      <c r="AO37">
        <f t="shared" si="6"/>
        <v>0</v>
      </c>
      <c r="AP37">
        <f t="shared" si="7"/>
        <v>0</v>
      </c>
    </row>
    <row r="38" customHeight="1" spans="1:42">
      <c r="A38" s="5" t="s">
        <v>297</v>
      </c>
      <c r="C38" s="5">
        <v>1</v>
      </c>
      <c r="D38" s="1" t="s">
        <v>222</v>
      </c>
      <c r="E38" s="1" t="s">
        <v>225</v>
      </c>
      <c r="L38" s="1">
        <f>IFERROR(VLOOKUP($D38&amp;$C38,生产方式定位!$A$2:$E$38,2,FALSE)+VLOOKUP($E38&amp;$C38,生产方式定位!$F$3:$J$38,2,FALSE),0)</f>
        <v>0</v>
      </c>
      <c r="S38" s="1">
        <f>IFERROR(VLOOKUP($D38&amp;$C38,生产方式定位!$A$2:$E$38,3,FALSE)+VLOOKUP($E38&amp;$C38,生产方式定位!$F$3:$J$38,3,FALSE),0)</f>
        <v>500</v>
      </c>
      <c r="X38" s="1">
        <f>IFERROR(VLOOKUP($D38&amp;$C38,生产方式定位!$A$2:$E$38,5,FALSE)+VLOOKUP($E38&amp;$C38,生产方式定位!$F$3:$J$38,5,FALSE),"错误")</f>
        <v>250</v>
      </c>
      <c r="Y38" s="27" t="str">
        <f t="shared" si="0"/>
        <v/>
      </c>
      <c r="Z38" s="37" t="str">
        <f t="shared" si="4"/>
        <v/>
      </c>
      <c r="AA38" s="37" t="str">
        <f t="shared" si="1"/>
        <v/>
      </c>
      <c r="AB38" s="28">
        <f t="shared" si="2"/>
        <v>0</v>
      </c>
      <c r="AC38" s="37"/>
      <c r="AD38" s="38">
        <f t="shared" si="3"/>
        <v>1</v>
      </c>
      <c r="AE38" t="str">
        <f>IFERROR(F38&amp;"*"&amp;ROUND(L38*(G38/$AN38)/VLOOKUP(F38,商品!$A$4:$D$67,4,FALSE),0),"")</f>
        <v/>
      </c>
      <c r="AF38" t="str">
        <f>IFERROR(H38&amp;"*"&amp;ROUND(L38*(I38/$AN38)/VLOOKUP(H38,商品!$A$4:$D$67,4,FALSE),0),"")</f>
        <v/>
      </c>
      <c r="AG38" t="str">
        <f>IFERROR(J38&amp;"*"&amp;ROUND(L38*(K38/$AN38)/VLOOKUP(J38,商品!$A$4:$D$67,4,FALSE),0),"")</f>
        <v/>
      </c>
      <c r="AH38" t="str">
        <f>IFERROR(M38&amp;"*"&amp;ROUND(S38*(N38/$AO38)/VLOOKUP(M38,职业!$A$3:$E$16,4,FALSE),0),"")</f>
        <v/>
      </c>
      <c r="AI38" t="str">
        <f>IFERROR(O38&amp;"*"&amp;ROUND(S38*(P38/$AO38)/VLOOKUP(O38,职业!$A$3:$E$16,4,FALSE),0),"")</f>
        <v/>
      </c>
      <c r="AK38" t="str">
        <f>IFERROR(T38&amp;"*"&amp;ROUND(X38*(U38/$AP38)/VLOOKUP(T38,商品!$A$4:$D$67,4,FALSE),0),"")</f>
        <v/>
      </c>
      <c r="AL38" t="str">
        <f>IFERROR(V38&amp;"*"&amp;ROUND(X38*(W38/$AP38)/VLOOKUP(V38,商品!$A$4:$D$67,4,FALSE),0),"")</f>
        <v/>
      </c>
      <c r="AN38">
        <f t="shared" si="5"/>
        <v>0</v>
      </c>
      <c r="AO38">
        <f t="shared" si="6"/>
        <v>0</v>
      </c>
      <c r="AP38">
        <f t="shared" si="7"/>
        <v>0</v>
      </c>
    </row>
    <row r="39" customHeight="1" spans="1:42">
      <c r="A39" s="5" t="s">
        <v>297</v>
      </c>
      <c r="C39" s="5">
        <v>2</v>
      </c>
      <c r="D39" s="1" t="s">
        <v>222</v>
      </c>
      <c r="E39" s="1" t="s">
        <v>225</v>
      </c>
      <c r="L39" s="1">
        <f>IFERROR(VLOOKUP($D39&amp;$C39,生产方式定位!$A$2:$E$38,2,FALSE)+VLOOKUP($E39&amp;$C39,生产方式定位!$F$3:$J$38,2,FALSE),0)</f>
        <v>2200</v>
      </c>
      <c r="S39" s="1">
        <f>IFERROR(VLOOKUP($D39&amp;$C39,生产方式定位!$A$2:$E$38,3,FALSE)+VLOOKUP($E39&amp;$C39,生产方式定位!$F$3:$J$38,3,FALSE),0)</f>
        <v>2550</v>
      </c>
      <c r="X39" s="1">
        <f>IFERROR(VLOOKUP($D39&amp;$C39,生产方式定位!$A$2:$E$38,5,FALSE)+VLOOKUP($E39&amp;$C39,生产方式定位!$F$3:$J$38,5,FALSE),"错误")</f>
        <v>2420</v>
      </c>
      <c r="Y39" s="27" t="str">
        <f t="shared" si="0"/>
        <v/>
      </c>
      <c r="Z39" s="37" t="str">
        <f t="shared" si="4"/>
        <v/>
      </c>
      <c r="AA39" s="37" t="str">
        <f t="shared" si="1"/>
        <v/>
      </c>
      <c r="AB39" s="28">
        <f t="shared" si="2"/>
        <v>0.91</v>
      </c>
      <c r="AC39" s="37"/>
      <c r="AD39" s="38">
        <f t="shared" si="3"/>
        <v>2</v>
      </c>
      <c r="AE39" t="str">
        <f>IFERROR(F39&amp;"*"&amp;ROUND(L39*(G39/$AN39)/VLOOKUP(F39,商品!$A$4:$D$67,4,FALSE),0),"")</f>
        <v/>
      </c>
      <c r="AF39" t="str">
        <f>IFERROR(H39&amp;"*"&amp;ROUND(L39*(I39/$AN39)/VLOOKUP(H39,商品!$A$4:$D$67,4,FALSE),0),"")</f>
        <v/>
      </c>
      <c r="AG39" t="str">
        <f>IFERROR(J39&amp;"*"&amp;ROUND(L39*(K39/$AN39)/VLOOKUP(J39,商品!$A$4:$D$67,4,FALSE),0),"")</f>
        <v/>
      </c>
      <c r="AH39" t="str">
        <f>IFERROR(M39&amp;"*"&amp;ROUND(S39*(N39/$AO39)/VLOOKUP(M39,职业!$A$3:$E$16,4,FALSE),0),"")</f>
        <v/>
      </c>
      <c r="AI39" t="str">
        <f>IFERROR(O39&amp;"*"&amp;ROUND(S39*(P39/$AO39)/VLOOKUP(O39,职业!$A$3:$E$16,4,FALSE),0),"")</f>
        <v/>
      </c>
      <c r="AK39" t="str">
        <f>IFERROR(T39&amp;"*"&amp;ROUND(X39*(U39/$AP39)/VLOOKUP(T39,商品!$A$4:$D$67,4,FALSE),0),"")</f>
        <v/>
      </c>
      <c r="AL39" t="str">
        <f>IFERROR(V39&amp;"*"&amp;ROUND(X39*(W39/$AP39)/VLOOKUP(V39,商品!$A$4:$D$67,4,FALSE),0),"")</f>
        <v/>
      </c>
      <c r="AN39">
        <f t="shared" si="5"/>
        <v>0</v>
      </c>
      <c r="AO39">
        <f t="shared" si="6"/>
        <v>0</v>
      </c>
      <c r="AP39">
        <f t="shared" si="7"/>
        <v>0</v>
      </c>
    </row>
    <row r="40" customHeight="1" spans="1:42">
      <c r="A40" s="5" t="s">
        <v>297</v>
      </c>
      <c r="C40" s="5">
        <v>3</v>
      </c>
      <c r="D40" s="1" t="s">
        <v>222</v>
      </c>
      <c r="E40" s="1" t="s">
        <v>225</v>
      </c>
      <c r="L40" s="1">
        <f>IFERROR(VLOOKUP($D40&amp;$C40,生产方式定位!$A$2:$E$38,2,FALSE)+VLOOKUP($E40&amp;$C40,生产方式定位!$F$3:$J$38,2,FALSE),0)</f>
        <v>3400</v>
      </c>
      <c r="S40" s="1">
        <f>IFERROR(VLOOKUP($D40&amp;$C40,生产方式定位!$A$2:$E$38,3,FALSE)+VLOOKUP($E40&amp;$C40,生产方式定位!$F$3:$J$38,3,FALSE),0)</f>
        <v>3600</v>
      </c>
      <c r="X40" s="1">
        <f>IFERROR(VLOOKUP($D40&amp;$C40,生产方式定位!$A$2:$E$38,5,FALSE)+VLOOKUP($E40&amp;$C40,生产方式定位!$F$3:$J$38,5,FALSE),"错误")</f>
        <v>3650</v>
      </c>
      <c r="Y40" s="27" t="str">
        <f t="shared" si="0"/>
        <v/>
      </c>
      <c r="Z40" s="37" t="str">
        <f t="shared" si="4"/>
        <v/>
      </c>
      <c r="AA40" s="37" t="str">
        <f t="shared" si="1"/>
        <v/>
      </c>
      <c r="AB40" s="28">
        <f t="shared" si="2"/>
        <v>0.93</v>
      </c>
      <c r="AC40" s="37"/>
      <c r="AD40" s="38">
        <f t="shared" si="3"/>
        <v>3</v>
      </c>
      <c r="AE40" t="str">
        <f>IFERROR(F40&amp;"*"&amp;ROUND(L40*(G40/$AN40)/VLOOKUP(F40,商品!$A$4:$D$67,4,FALSE),0),"")</f>
        <v/>
      </c>
      <c r="AF40" t="str">
        <f>IFERROR(H40&amp;"*"&amp;ROUND(L40*(I40/$AN40)/VLOOKUP(H40,商品!$A$4:$D$67,4,FALSE),0),"")</f>
        <v/>
      </c>
      <c r="AG40" t="str">
        <f>IFERROR(J40&amp;"*"&amp;ROUND(L40*(K40/$AN40)/VLOOKUP(J40,商品!$A$4:$D$67,4,FALSE),0),"")</f>
        <v/>
      </c>
      <c r="AH40" t="str">
        <f>IFERROR(M40&amp;"*"&amp;ROUND(S40*(N40/$AO40)/VLOOKUP(M40,职业!$A$3:$E$16,4,FALSE),0),"")</f>
        <v/>
      </c>
      <c r="AI40" t="str">
        <f>IFERROR(O40&amp;"*"&amp;ROUND(S40*(P40/$AO40)/VLOOKUP(O40,职业!$A$3:$E$16,4,FALSE),0),"")</f>
        <v/>
      </c>
      <c r="AK40" t="str">
        <f>IFERROR(T40&amp;"*"&amp;ROUND(X40*(U40/$AP40)/VLOOKUP(T40,商品!$A$4:$D$67,4,FALSE),0),"")</f>
        <v/>
      </c>
      <c r="AL40" t="str">
        <f>IFERROR(V40&amp;"*"&amp;ROUND(X40*(W40/$AP40)/VLOOKUP(V40,商品!$A$4:$D$67,4,FALSE),0),"")</f>
        <v/>
      </c>
      <c r="AN40">
        <f t="shared" si="5"/>
        <v>0</v>
      </c>
      <c r="AO40">
        <f t="shared" si="6"/>
        <v>0</v>
      </c>
      <c r="AP40">
        <f t="shared" si="7"/>
        <v>0</v>
      </c>
    </row>
    <row r="41" customHeight="1" spans="1:42">
      <c r="A41" s="5" t="s">
        <v>297</v>
      </c>
      <c r="C41" s="5">
        <v>4</v>
      </c>
      <c r="D41" s="1" t="s">
        <v>222</v>
      </c>
      <c r="E41" s="1" t="s">
        <v>225</v>
      </c>
      <c r="L41" s="1">
        <f>IFERROR(VLOOKUP($D41&amp;$C41,生产方式定位!$A$2:$E$38,2,FALSE)+VLOOKUP($E41&amp;$C41,生产方式定位!$F$3:$J$38,2,FALSE),0)</f>
        <v>4600</v>
      </c>
      <c r="S41" s="1">
        <f>IFERROR(VLOOKUP($D41&amp;$C41,生产方式定位!$A$2:$E$38,3,FALSE)+VLOOKUP($E41&amp;$C41,生产方式定位!$F$3:$J$38,3,FALSE),0)</f>
        <v>4650</v>
      </c>
      <c r="X41" s="1">
        <f>IFERROR(VLOOKUP($D41&amp;$C41,生产方式定位!$A$2:$E$38,5,FALSE)+VLOOKUP($E41&amp;$C41,生产方式定位!$F$3:$J$38,5,FALSE),"错误")</f>
        <v>4940</v>
      </c>
      <c r="Y41" s="27" t="str">
        <f t="shared" si="0"/>
        <v/>
      </c>
      <c r="Z41" s="37" t="str">
        <f t="shared" si="4"/>
        <v/>
      </c>
      <c r="AA41" s="37" t="str">
        <f t="shared" si="1"/>
        <v/>
      </c>
      <c r="AB41" s="28">
        <f t="shared" si="2"/>
        <v>0.93</v>
      </c>
      <c r="AC41" s="37"/>
      <c r="AD41" s="38">
        <f t="shared" si="3"/>
        <v>4</v>
      </c>
      <c r="AE41" t="str">
        <f>IFERROR(F41&amp;"*"&amp;ROUND(L41*(G41/$AN41)/VLOOKUP(F41,商品!$A$4:$D$67,4,FALSE),0),"")</f>
        <v/>
      </c>
      <c r="AF41" t="str">
        <f>IFERROR(H41&amp;"*"&amp;ROUND(L41*(I41/$AN41)/VLOOKUP(H41,商品!$A$4:$D$67,4,FALSE),0),"")</f>
        <v/>
      </c>
      <c r="AG41" t="str">
        <f>IFERROR(J41&amp;"*"&amp;ROUND(L41*(K41/$AN41)/VLOOKUP(J41,商品!$A$4:$D$67,4,FALSE),0),"")</f>
        <v/>
      </c>
      <c r="AH41" t="str">
        <f>IFERROR(M41&amp;"*"&amp;ROUND(S41*(N41/$AO41)/VLOOKUP(M41,职业!$A$3:$E$16,4,FALSE),0),"")</f>
        <v/>
      </c>
      <c r="AI41" t="str">
        <f>IFERROR(O41&amp;"*"&amp;ROUND(S41*(P41/$AO41)/VLOOKUP(O41,职业!$A$3:$E$16,4,FALSE),0),"")</f>
        <v/>
      </c>
      <c r="AK41" t="str">
        <f>IFERROR(T41&amp;"*"&amp;ROUND(X41*(U41/$AP41)/VLOOKUP(T41,商品!$A$4:$D$67,4,FALSE),0),"")</f>
        <v/>
      </c>
      <c r="AL41" t="str">
        <f>IFERROR(V41&amp;"*"&amp;ROUND(X41*(W41/$AP41)/VLOOKUP(V41,商品!$A$4:$D$67,4,FALSE),0),"")</f>
        <v/>
      </c>
      <c r="AN41">
        <f t="shared" si="5"/>
        <v>0</v>
      </c>
      <c r="AO41">
        <f t="shared" si="6"/>
        <v>0</v>
      </c>
      <c r="AP41">
        <f t="shared" si="7"/>
        <v>0</v>
      </c>
    </row>
    <row r="42" customHeight="1" spans="1:42">
      <c r="A42" s="5" t="s">
        <v>297</v>
      </c>
      <c r="C42" s="5">
        <v>5</v>
      </c>
      <c r="D42" s="1" t="s">
        <v>222</v>
      </c>
      <c r="E42" s="1" t="s">
        <v>225</v>
      </c>
      <c r="L42" s="1">
        <f>IFERROR(VLOOKUP($D42&amp;$C42,生产方式定位!$A$2:$E$38,2,FALSE)+VLOOKUP($E42&amp;$C42,生产方式定位!$F$3:$J$38,2,FALSE),0)</f>
        <v>5800</v>
      </c>
      <c r="S42" s="1">
        <f>IFERROR(VLOOKUP($D42&amp;$C42,生产方式定位!$A$2:$E$38,3,FALSE)+VLOOKUP($E42&amp;$C42,生产方式定位!$F$3:$J$38,3,FALSE),0)</f>
        <v>5700</v>
      </c>
      <c r="X42" s="1">
        <f>IFERROR(VLOOKUP($D42&amp;$C42,生产方式定位!$A$2:$E$38,5,FALSE)+VLOOKUP($E42&amp;$C42,生产方式定位!$F$3:$J$38,5,FALSE),"错误")</f>
        <v>6313</v>
      </c>
      <c r="Y42" s="27" t="str">
        <f t="shared" si="0"/>
        <v/>
      </c>
      <c r="Z42" s="37" t="str">
        <f t="shared" si="4"/>
        <v/>
      </c>
      <c r="AA42" s="37" t="str">
        <f t="shared" si="1"/>
        <v/>
      </c>
      <c r="AB42" s="28">
        <f t="shared" si="2"/>
        <v>0.92</v>
      </c>
      <c r="AC42" s="37"/>
      <c r="AD42" s="38">
        <f t="shared" si="3"/>
        <v>5</v>
      </c>
      <c r="AE42" t="str">
        <f>IFERROR(F42&amp;"*"&amp;ROUND(L42*(G42/$AN42)/VLOOKUP(F42,商品!$A$4:$D$67,4,FALSE),0),"")</f>
        <v/>
      </c>
      <c r="AF42" t="str">
        <f>IFERROR(H42&amp;"*"&amp;ROUND(L42*(I42/$AN42)/VLOOKUP(H42,商品!$A$4:$D$67,4,FALSE),0),"")</f>
        <v/>
      </c>
      <c r="AG42" t="str">
        <f>IFERROR(J42&amp;"*"&amp;ROUND(L42*(K42/$AN42)/VLOOKUP(J42,商品!$A$4:$D$67,4,FALSE),0),"")</f>
        <v/>
      </c>
      <c r="AH42" t="str">
        <f>IFERROR(M42&amp;"*"&amp;ROUND(S42*(N42/$AO42)/VLOOKUP(M42,职业!$A$3:$E$16,4,FALSE),0),"")</f>
        <v/>
      </c>
      <c r="AI42" t="str">
        <f>IFERROR(O42&amp;"*"&amp;ROUND(S42*(P42/$AO42)/VLOOKUP(O42,职业!$A$3:$E$16,4,FALSE),0),"")</f>
        <v/>
      </c>
      <c r="AK42" t="str">
        <f>IFERROR(T42&amp;"*"&amp;ROUND(X42*(U42/$AP42)/VLOOKUP(T42,商品!$A$4:$D$67,4,FALSE),0),"")</f>
        <v/>
      </c>
      <c r="AL42" t="str">
        <f>IFERROR(V42&amp;"*"&amp;ROUND(X42*(W42/$AP42)/VLOOKUP(V42,商品!$A$4:$D$67,4,FALSE),0),"")</f>
        <v/>
      </c>
      <c r="AN42">
        <f t="shared" si="5"/>
        <v>0</v>
      </c>
      <c r="AO42">
        <f t="shared" si="6"/>
        <v>0</v>
      </c>
      <c r="AP42">
        <f t="shared" si="7"/>
        <v>0</v>
      </c>
    </row>
    <row r="43" customHeight="1" spans="1:42">
      <c r="A43" s="18" t="s">
        <v>298</v>
      </c>
      <c r="C43" s="18">
        <v>1</v>
      </c>
      <c r="D43" s="1" t="s">
        <v>222</v>
      </c>
      <c r="E43" s="1" t="s">
        <v>226</v>
      </c>
      <c r="L43" s="1">
        <f>IFERROR(VLOOKUP($D43&amp;$C43,生产方式定位!$A$2:$E$38,2,FALSE)+VLOOKUP($E43&amp;$C43,生产方式定位!$F$3:$J$38,2,FALSE),0)</f>
        <v>0</v>
      </c>
      <c r="S43" s="1">
        <f>IFERROR(VLOOKUP($D43&amp;$C43,生产方式定位!$A$2:$E$38,3,FALSE)+VLOOKUP($E43&amp;$C43,生产方式定位!$F$3:$J$38,3,FALSE),0)</f>
        <v>500</v>
      </c>
      <c r="X43" s="1">
        <f>IFERROR(VLOOKUP($D43&amp;$C43,生产方式定位!$A$2:$E$38,5,FALSE)+VLOOKUP($E43&amp;$C43,生产方式定位!$F$3:$J$38,5,FALSE),"错误")</f>
        <v>250</v>
      </c>
      <c r="Y43" s="27" t="str">
        <f t="shared" si="0"/>
        <v/>
      </c>
      <c r="Z43" s="37" t="str">
        <f t="shared" si="4"/>
        <v/>
      </c>
      <c r="AA43" s="37" t="str">
        <f t="shared" si="1"/>
        <v/>
      </c>
      <c r="AB43" s="28">
        <f t="shared" si="2"/>
        <v>0</v>
      </c>
      <c r="AC43" s="37"/>
      <c r="AD43" s="38">
        <f t="shared" si="3"/>
        <v>1</v>
      </c>
      <c r="AE43" t="str">
        <f>IFERROR(F43&amp;"*"&amp;ROUND(L43*(G43/$AN43)/VLOOKUP(F43,商品!$A$4:$D$67,4,FALSE),0),"")</f>
        <v/>
      </c>
      <c r="AF43" t="str">
        <f>IFERROR(H43&amp;"*"&amp;ROUND(L43*(I43/$AN43)/VLOOKUP(H43,商品!$A$4:$D$67,4,FALSE),0),"")</f>
        <v/>
      </c>
      <c r="AG43" t="str">
        <f>IFERROR(J43&amp;"*"&amp;ROUND(L43*(K43/$AN43)/VLOOKUP(J43,商品!$A$4:$D$67,4,FALSE),0),"")</f>
        <v/>
      </c>
      <c r="AH43" t="str">
        <f>IFERROR(M43&amp;"*"&amp;ROUND(S43*(N43/$AO43)/VLOOKUP(M43,职业!$A$3:$E$16,4,FALSE),0),"")</f>
        <v/>
      </c>
      <c r="AI43" t="str">
        <f>IFERROR(O43&amp;"*"&amp;ROUND(S43*(P43/$AO43)/VLOOKUP(O43,职业!$A$3:$E$16,4,FALSE),0),"")</f>
        <v/>
      </c>
      <c r="AK43" t="str">
        <f>IFERROR(T43&amp;"*"&amp;ROUND(X43*(U43/$AP43)/VLOOKUP(T43,商品!$A$4:$D$67,4,FALSE),0),"")</f>
        <v/>
      </c>
      <c r="AL43" t="str">
        <f>IFERROR(V43&amp;"*"&amp;ROUND(X43*(W43/$AP43)/VLOOKUP(V43,商品!$A$4:$D$67,4,FALSE),0),"")</f>
        <v/>
      </c>
      <c r="AN43">
        <f t="shared" si="5"/>
        <v>0</v>
      </c>
      <c r="AO43">
        <f t="shared" si="6"/>
        <v>0</v>
      </c>
      <c r="AP43">
        <f t="shared" si="7"/>
        <v>0</v>
      </c>
    </row>
    <row r="44" customHeight="1" spans="1:42">
      <c r="A44" s="18" t="s">
        <v>298</v>
      </c>
      <c r="C44" s="18">
        <v>2</v>
      </c>
      <c r="D44" s="1" t="s">
        <v>222</v>
      </c>
      <c r="E44" s="1" t="s">
        <v>226</v>
      </c>
      <c r="L44" s="1">
        <f>IFERROR(VLOOKUP($D44&amp;$C44,生产方式定位!$A$2:$E$38,2,FALSE)+VLOOKUP($E44&amp;$C44,生产方式定位!$F$3:$J$38,2,FALSE),0)</f>
        <v>3200</v>
      </c>
      <c r="S44" s="1">
        <f>IFERROR(VLOOKUP($D44&amp;$C44,生产方式定位!$A$2:$E$38,3,FALSE)+VLOOKUP($E44&amp;$C44,生产方式定位!$F$3:$J$38,3,FALSE),0)</f>
        <v>350</v>
      </c>
      <c r="X44" s="1">
        <f>IFERROR(VLOOKUP($D44&amp;$C44,生产方式定位!$A$2:$E$38,5,FALSE)+VLOOKUP($E44&amp;$C44,生产方式定位!$F$3:$J$38,5,FALSE),"错误")</f>
        <v>1865</v>
      </c>
      <c r="Y44" s="27" t="str">
        <f t="shared" si="0"/>
        <v/>
      </c>
      <c r="Z44" s="37" t="str">
        <f t="shared" si="4"/>
        <v/>
      </c>
      <c r="AA44" s="37" t="str">
        <f t="shared" si="1"/>
        <v/>
      </c>
      <c r="AB44" s="28">
        <f t="shared" si="2"/>
        <v>1.72</v>
      </c>
      <c r="AC44" s="37"/>
      <c r="AD44" s="38">
        <f t="shared" si="3"/>
        <v>2</v>
      </c>
      <c r="AE44" t="str">
        <f>IFERROR(F44&amp;"*"&amp;ROUND(L44*(G44/$AN44)/VLOOKUP(F44,商品!$A$4:$D$67,4,FALSE),0),"")</f>
        <v/>
      </c>
      <c r="AF44" t="str">
        <f>IFERROR(H44&amp;"*"&amp;ROUND(L44*(I44/$AN44)/VLOOKUP(H44,商品!$A$4:$D$67,4,FALSE),0),"")</f>
        <v/>
      </c>
      <c r="AG44" t="str">
        <f>IFERROR(J44&amp;"*"&amp;ROUND(L44*(K44/$AN44)/VLOOKUP(J44,商品!$A$4:$D$67,4,FALSE),0),"")</f>
        <v/>
      </c>
      <c r="AH44" t="str">
        <f>IFERROR(M44&amp;"*"&amp;ROUND(S44*(N44/$AO44)/VLOOKUP(M44,职业!$A$3:$E$16,4,FALSE),0),"")</f>
        <v/>
      </c>
      <c r="AI44" t="str">
        <f>IFERROR(O44&amp;"*"&amp;ROUND(S44*(P44/$AO44)/VLOOKUP(O44,职业!$A$3:$E$16,4,FALSE),0),"")</f>
        <v/>
      </c>
      <c r="AK44" t="str">
        <f>IFERROR(T44&amp;"*"&amp;ROUND(X44*(U44/$AP44)/VLOOKUP(T44,商品!$A$4:$D$67,4,FALSE),0),"")</f>
        <v/>
      </c>
      <c r="AL44" t="str">
        <f>IFERROR(V44&amp;"*"&amp;ROUND(X44*(W44/$AP44)/VLOOKUP(V44,商品!$A$4:$D$67,4,FALSE),0),"")</f>
        <v/>
      </c>
      <c r="AN44">
        <f t="shared" si="5"/>
        <v>0</v>
      </c>
      <c r="AO44">
        <f t="shared" si="6"/>
        <v>0</v>
      </c>
      <c r="AP44">
        <f t="shared" si="7"/>
        <v>0</v>
      </c>
    </row>
    <row r="45" customHeight="1" spans="1:42">
      <c r="A45" s="18" t="s">
        <v>298</v>
      </c>
      <c r="C45" s="18">
        <v>3</v>
      </c>
      <c r="D45" s="1" t="s">
        <v>222</v>
      </c>
      <c r="E45" s="1" t="s">
        <v>226</v>
      </c>
      <c r="L45" s="1">
        <f>IFERROR(VLOOKUP($D45&amp;$C45,生产方式定位!$A$2:$E$38,2,FALSE)+VLOOKUP($E45&amp;$C45,生产方式定位!$F$3:$J$38,2,FALSE),0)</f>
        <v>4400</v>
      </c>
      <c r="S45" s="1">
        <f>IFERROR(VLOOKUP($D45&amp;$C45,生产方式定位!$A$2:$E$38,3,FALSE)+VLOOKUP($E45&amp;$C45,生产方式定位!$F$3:$J$38,3,FALSE),0)</f>
        <v>200</v>
      </c>
      <c r="X45" s="1">
        <f>IFERROR(VLOOKUP($D45&amp;$C45,生产方式定位!$A$2:$E$38,5,FALSE)+VLOOKUP($E45&amp;$C45,生产方式定位!$F$3:$J$38,5,FALSE),"错误")</f>
        <v>2560</v>
      </c>
      <c r="Y45" s="27" t="str">
        <f t="shared" si="0"/>
        <v/>
      </c>
      <c r="Z45" s="37" t="str">
        <f t="shared" si="4"/>
        <v/>
      </c>
      <c r="AA45" s="37" t="str">
        <f t="shared" si="1"/>
        <v/>
      </c>
      <c r="AB45" s="28">
        <f t="shared" si="2"/>
        <v>1.72</v>
      </c>
      <c r="AC45" s="37"/>
      <c r="AD45" s="38">
        <f t="shared" si="3"/>
        <v>3</v>
      </c>
      <c r="AE45" t="str">
        <f>IFERROR(F45&amp;"*"&amp;ROUND(L45*(G45/$AN45)/VLOOKUP(F45,商品!$A$4:$D$67,4,FALSE),0),"")</f>
        <v/>
      </c>
      <c r="AF45" t="str">
        <f>IFERROR(H45&amp;"*"&amp;ROUND(L45*(I45/$AN45)/VLOOKUP(H45,商品!$A$4:$D$67,4,FALSE),0),"")</f>
        <v/>
      </c>
      <c r="AG45" t="str">
        <f>IFERROR(J45&amp;"*"&amp;ROUND(L45*(K45/$AN45)/VLOOKUP(J45,商品!$A$4:$D$67,4,FALSE),0),"")</f>
        <v/>
      </c>
      <c r="AH45" t="str">
        <f>IFERROR(M45&amp;"*"&amp;ROUND(S45*(N45/$AO45)/VLOOKUP(M45,职业!$A$3:$E$16,4,FALSE),0),"")</f>
        <v/>
      </c>
      <c r="AI45" t="str">
        <f>IFERROR(O45&amp;"*"&amp;ROUND(S45*(P45/$AO45)/VLOOKUP(O45,职业!$A$3:$E$16,4,FALSE),0),"")</f>
        <v/>
      </c>
      <c r="AK45" t="str">
        <f>IFERROR(T45&amp;"*"&amp;ROUND(X45*(U45/$AP45)/VLOOKUP(T45,商品!$A$4:$D$67,4,FALSE),0),"")</f>
        <v/>
      </c>
      <c r="AL45" t="str">
        <f>IFERROR(V45&amp;"*"&amp;ROUND(X45*(W45/$AP45)/VLOOKUP(V45,商品!$A$4:$D$67,4,FALSE),0),"")</f>
        <v/>
      </c>
      <c r="AN45">
        <f t="shared" si="5"/>
        <v>0</v>
      </c>
      <c r="AO45">
        <f t="shared" si="6"/>
        <v>0</v>
      </c>
      <c r="AP45">
        <f t="shared" si="7"/>
        <v>0</v>
      </c>
    </row>
    <row r="46" customHeight="1" spans="1:42">
      <c r="A46" s="18" t="s">
        <v>298</v>
      </c>
      <c r="C46" s="18">
        <v>4</v>
      </c>
      <c r="D46" s="1" t="s">
        <v>222</v>
      </c>
      <c r="E46" s="1" t="s">
        <v>226</v>
      </c>
      <c r="L46" s="1">
        <f>IFERROR(VLOOKUP($D46&amp;$C46,生产方式定位!$A$2:$E$38,2,FALSE)+VLOOKUP($E46&amp;$C46,生产方式定位!$F$3:$J$38,2,FALSE),0)</f>
        <v>5600</v>
      </c>
      <c r="S46" s="1">
        <f>IFERROR(VLOOKUP($D46&amp;$C46,生产方式定位!$A$2:$E$38,3,FALSE)+VLOOKUP($E46&amp;$C46,生产方式定位!$F$3:$J$38,3,FALSE),0)</f>
        <v>50</v>
      </c>
      <c r="X46" s="1">
        <f>IFERROR(VLOOKUP($D46&amp;$C46,生产方式定位!$A$2:$E$38,5,FALSE)+VLOOKUP($E46&amp;$C46,生产方式定位!$F$3:$J$38,5,FALSE),"错误")</f>
        <v>3335</v>
      </c>
      <c r="Y46" s="27" t="str">
        <f t="shared" si="0"/>
        <v/>
      </c>
      <c r="Z46" s="37" t="str">
        <f t="shared" si="4"/>
        <v/>
      </c>
      <c r="AA46" s="37" t="str">
        <f t="shared" si="1"/>
        <v/>
      </c>
      <c r="AB46" s="28">
        <f t="shared" si="2"/>
        <v>1.68</v>
      </c>
      <c r="AC46" s="37"/>
      <c r="AD46" s="38">
        <f t="shared" si="3"/>
        <v>4</v>
      </c>
      <c r="AE46" t="str">
        <f>IFERROR(F46&amp;"*"&amp;ROUND(L46*(G46/$AN46)/VLOOKUP(F46,商品!$A$4:$D$67,4,FALSE),0),"")</f>
        <v/>
      </c>
      <c r="AF46" t="str">
        <f>IFERROR(H46&amp;"*"&amp;ROUND(L46*(I46/$AN46)/VLOOKUP(H46,商品!$A$4:$D$67,4,FALSE),0),"")</f>
        <v/>
      </c>
      <c r="AG46" t="str">
        <f>IFERROR(J46&amp;"*"&amp;ROUND(L46*(K46/$AN46)/VLOOKUP(J46,商品!$A$4:$D$67,4,FALSE),0),"")</f>
        <v/>
      </c>
      <c r="AH46" t="str">
        <f>IFERROR(M46&amp;"*"&amp;ROUND(S46*(N46/$AO46)/VLOOKUP(M46,职业!$A$3:$E$16,4,FALSE),0),"")</f>
        <v/>
      </c>
      <c r="AI46" t="str">
        <f>IFERROR(O46&amp;"*"&amp;ROUND(S46*(P46/$AO46)/VLOOKUP(O46,职业!$A$3:$E$16,4,FALSE),0),"")</f>
        <v/>
      </c>
      <c r="AK46" t="str">
        <f>IFERROR(T46&amp;"*"&amp;ROUND(X46*(U46/$AP46)/VLOOKUP(T46,商品!$A$4:$D$67,4,FALSE),0),"")</f>
        <v/>
      </c>
      <c r="AL46" t="str">
        <f>IFERROR(V46&amp;"*"&amp;ROUND(X46*(W46/$AP46)/VLOOKUP(V46,商品!$A$4:$D$67,4,FALSE),0),"")</f>
        <v/>
      </c>
      <c r="AN46">
        <f t="shared" si="5"/>
        <v>0</v>
      </c>
      <c r="AO46">
        <f t="shared" si="6"/>
        <v>0</v>
      </c>
      <c r="AP46">
        <f t="shared" si="7"/>
        <v>0</v>
      </c>
    </row>
    <row r="47" customHeight="1" spans="1:42">
      <c r="A47" s="18" t="s">
        <v>298</v>
      </c>
      <c r="C47" s="18">
        <v>5</v>
      </c>
      <c r="D47" s="1" t="s">
        <v>222</v>
      </c>
      <c r="E47" s="1" t="s">
        <v>226</v>
      </c>
      <c r="L47" s="1">
        <f>IFERROR(VLOOKUP($D47&amp;$C47,生产方式定位!$A$2:$E$38,2,FALSE)+VLOOKUP($E47&amp;$C47,生产方式定位!$F$3:$J$38,2,FALSE),0)</f>
        <v>6800</v>
      </c>
      <c r="S47" s="1">
        <f>IFERROR(VLOOKUP($D47&amp;$C47,生产方式定位!$A$2:$E$38,3,FALSE)+VLOOKUP($E47&amp;$C47,生产方式定位!$F$3:$J$38,3,FALSE),0)</f>
        <v>-100</v>
      </c>
      <c r="X47" s="1">
        <f>IFERROR(VLOOKUP($D47&amp;$C47,生产方式定位!$A$2:$E$38,5,FALSE)+VLOOKUP($E47&amp;$C47,生产方式定位!$F$3:$J$38,5,FALSE),"错误")</f>
        <v>4190</v>
      </c>
      <c r="Y47" s="27" t="str">
        <f t="shared" si="0"/>
        <v/>
      </c>
      <c r="Z47" s="37" t="str">
        <f t="shared" si="4"/>
        <v/>
      </c>
      <c r="AA47" s="37" t="str">
        <f t="shared" si="1"/>
        <v/>
      </c>
      <c r="AB47" s="28">
        <f t="shared" si="2"/>
        <v>1.62</v>
      </c>
      <c r="AC47" s="37"/>
      <c r="AD47" s="38">
        <f t="shared" si="3"/>
        <v>5</v>
      </c>
      <c r="AE47" t="str">
        <f>IFERROR(F47&amp;"*"&amp;ROUND(L47*(G47/$AN47)/VLOOKUP(F47,商品!$A$4:$D$67,4,FALSE),0),"")</f>
        <v/>
      </c>
      <c r="AF47" t="str">
        <f>IFERROR(H47&amp;"*"&amp;ROUND(L47*(I47/$AN47)/VLOOKUP(H47,商品!$A$4:$D$67,4,FALSE),0),"")</f>
        <v/>
      </c>
      <c r="AG47" t="str">
        <f>IFERROR(J47&amp;"*"&amp;ROUND(L47*(K47/$AN47)/VLOOKUP(J47,商品!$A$4:$D$67,4,FALSE),0),"")</f>
        <v/>
      </c>
      <c r="AH47" t="str">
        <f>IFERROR(M47&amp;"*"&amp;ROUND(S47*(N47/$AO47)/VLOOKUP(M47,职业!$A$3:$E$16,4,FALSE),0),"")</f>
        <v/>
      </c>
      <c r="AI47" t="str">
        <f>IFERROR(O47&amp;"*"&amp;ROUND(S47*(P47/$AO47)/VLOOKUP(O47,职业!$A$3:$E$16,4,FALSE),0),"")</f>
        <v/>
      </c>
      <c r="AK47" t="str">
        <f>IFERROR(T47&amp;"*"&amp;ROUND(X47*(U47/$AP47)/VLOOKUP(T47,商品!$A$4:$D$67,4,FALSE),0),"")</f>
        <v/>
      </c>
      <c r="AL47" t="str">
        <f>IFERROR(V47&amp;"*"&amp;ROUND(X47*(W47/$AP47)/VLOOKUP(V47,商品!$A$4:$D$67,4,FALSE),0),"")</f>
        <v/>
      </c>
      <c r="AN47">
        <f t="shared" si="5"/>
        <v>0</v>
      </c>
      <c r="AO47">
        <f t="shared" si="6"/>
        <v>0</v>
      </c>
      <c r="AP47">
        <f t="shared" si="7"/>
        <v>0</v>
      </c>
    </row>
    <row r="48" customHeight="1" spans="1:42">
      <c r="A48" s="5" t="s">
        <v>298</v>
      </c>
      <c r="C48" s="5">
        <v>1</v>
      </c>
      <c r="D48" s="1" t="s">
        <v>222</v>
      </c>
      <c r="E48" s="1" t="s">
        <v>226</v>
      </c>
      <c r="L48" s="1">
        <f>IFERROR(VLOOKUP($D48&amp;$C48,生产方式定位!$A$2:$E$38,2,FALSE)+VLOOKUP($E48&amp;$C48,生产方式定位!$F$3:$J$38,2,FALSE),0)</f>
        <v>0</v>
      </c>
      <c r="S48" s="1">
        <f>IFERROR(VLOOKUP($D48&amp;$C48,生产方式定位!$A$2:$E$38,3,FALSE)+VLOOKUP($E48&amp;$C48,生产方式定位!$F$3:$J$38,3,FALSE),0)</f>
        <v>500</v>
      </c>
      <c r="X48" s="1">
        <f>IFERROR(VLOOKUP($D48&amp;$C48,生产方式定位!$A$2:$E$38,5,FALSE)+VLOOKUP($E48&amp;$C48,生产方式定位!$F$3:$J$38,5,FALSE),"错误")</f>
        <v>250</v>
      </c>
      <c r="Y48" s="27" t="str">
        <f t="shared" si="0"/>
        <v/>
      </c>
      <c r="Z48" s="37" t="str">
        <f t="shared" si="4"/>
        <v/>
      </c>
      <c r="AA48" s="37" t="str">
        <f t="shared" si="1"/>
        <v/>
      </c>
      <c r="AB48" s="28">
        <f t="shared" si="2"/>
        <v>0</v>
      </c>
      <c r="AC48" s="37"/>
      <c r="AD48" s="38">
        <f t="shared" si="3"/>
        <v>1</v>
      </c>
      <c r="AE48" t="str">
        <f>IFERROR(F48&amp;"*"&amp;ROUND(L48*(G48/$AN48)/VLOOKUP(F48,商品!$A$4:$D$67,4,FALSE),0),"")</f>
        <v/>
      </c>
      <c r="AF48" t="str">
        <f>IFERROR(H48&amp;"*"&amp;ROUND(L48*(I48/$AN48)/VLOOKUP(H48,商品!$A$4:$D$67,4,FALSE),0),"")</f>
        <v/>
      </c>
      <c r="AG48" t="str">
        <f>IFERROR(J48&amp;"*"&amp;ROUND(L48*(K48/$AN48)/VLOOKUP(J48,商品!$A$4:$D$67,4,FALSE),0),"")</f>
        <v/>
      </c>
      <c r="AH48" t="str">
        <f>IFERROR(M48&amp;"*"&amp;ROUND(S48*(N48/$AO48)/VLOOKUP(M48,职业!$A$3:$E$16,4,FALSE),0),"")</f>
        <v/>
      </c>
      <c r="AI48" t="str">
        <f>IFERROR(O48&amp;"*"&amp;ROUND(S48*(P48/$AO48)/VLOOKUP(O48,职业!$A$3:$E$16,4,FALSE),0),"")</f>
        <v/>
      </c>
      <c r="AK48" t="str">
        <f>IFERROR(T48&amp;"*"&amp;ROUND(X48*(U48/$AP48)/VLOOKUP(T48,商品!$A$4:$D$67,4,FALSE),0),"")</f>
        <v/>
      </c>
      <c r="AL48" t="str">
        <f>IFERROR(V48&amp;"*"&amp;ROUND(X48*(W48/$AP48)/VLOOKUP(V48,商品!$A$4:$D$67,4,FALSE),0),"")</f>
        <v/>
      </c>
      <c r="AN48">
        <f t="shared" si="5"/>
        <v>0</v>
      </c>
      <c r="AO48">
        <f t="shared" si="6"/>
        <v>0</v>
      </c>
      <c r="AP48">
        <f t="shared" si="7"/>
        <v>0</v>
      </c>
    </row>
    <row r="49" customHeight="1" spans="1:42">
      <c r="A49" s="5" t="s">
        <v>298</v>
      </c>
      <c r="C49" s="5">
        <v>2</v>
      </c>
      <c r="D49" s="1" t="s">
        <v>222</v>
      </c>
      <c r="E49" s="1" t="s">
        <v>226</v>
      </c>
      <c r="L49" s="1">
        <f>IFERROR(VLOOKUP($D49&amp;$C49,生产方式定位!$A$2:$E$38,2,FALSE)+VLOOKUP($E49&amp;$C49,生产方式定位!$F$3:$J$38,2,FALSE),0)</f>
        <v>3200</v>
      </c>
      <c r="S49" s="1">
        <f>IFERROR(VLOOKUP($D49&amp;$C49,生产方式定位!$A$2:$E$38,3,FALSE)+VLOOKUP($E49&amp;$C49,生产方式定位!$F$3:$J$38,3,FALSE),0)</f>
        <v>350</v>
      </c>
      <c r="X49" s="1">
        <f>IFERROR(VLOOKUP($D49&amp;$C49,生产方式定位!$A$2:$E$38,5,FALSE)+VLOOKUP($E49&amp;$C49,生产方式定位!$F$3:$J$38,5,FALSE),"错误")</f>
        <v>1865</v>
      </c>
      <c r="Y49" s="27" t="str">
        <f t="shared" si="0"/>
        <v/>
      </c>
      <c r="Z49" s="37" t="str">
        <f t="shared" si="4"/>
        <v/>
      </c>
      <c r="AA49" s="37" t="str">
        <f t="shared" si="1"/>
        <v/>
      </c>
      <c r="AB49" s="28">
        <f t="shared" si="2"/>
        <v>1.72</v>
      </c>
      <c r="AC49" s="37"/>
      <c r="AD49" s="38">
        <f t="shared" si="3"/>
        <v>2</v>
      </c>
      <c r="AE49" t="str">
        <f>IFERROR(F49&amp;"*"&amp;ROUND(L49*(G49/$AN49)/VLOOKUP(F49,商品!$A$4:$D$67,4,FALSE),0),"")</f>
        <v/>
      </c>
      <c r="AF49" t="str">
        <f>IFERROR(H49&amp;"*"&amp;ROUND(L49*(I49/$AN49)/VLOOKUP(H49,商品!$A$4:$D$67,4,FALSE),0),"")</f>
        <v/>
      </c>
      <c r="AG49" t="str">
        <f>IFERROR(J49&amp;"*"&amp;ROUND(L49*(K49/$AN49)/VLOOKUP(J49,商品!$A$4:$D$67,4,FALSE),0),"")</f>
        <v/>
      </c>
      <c r="AH49" t="str">
        <f>IFERROR(M49&amp;"*"&amp;ROUND(S49*(N49/$AO49)/VLOOKUP(M49,职业!$A$3:$E$16,4,FALSE),0),"")</f>
        <v/>
      </c>
      <c r="AI49" t="str">
        <f>IFERROR(O49&amp;"*"&amp;ROUND(S49*(P49/$AO49)/VLOOKUP(O49,职业!$A$3:$E$16,4,FALSE),0),"")</f>
        <v/>
      </c>
      <c r="AK49" t="str">
        <f>IFERROR(T49&amp;"*"&amp;ROUND(X49*(U49/$AP49)/VLOOKUP(T49,商品!$A$4:$D$67,4,FALSE),0),"")</f>
        <v/>
      </c>
      <c r="AL49" t="str">
        <f>IFERROR(V49&amp;"*"&amp;ROUND(X49*(W49/$AP49)/VLOOKUP(V49,商品!$A$4:$D$67,4,FALSE),0),"")</f>
        <v/>
      </c>
      <c r="AN49">
        <f t="shared" si="5"/>
        <v>0</v>
      </c>
      <c r="AO49">
        <f t="shared" si="6"/>
        <v>0</v>
      </c>
      <c r="AP49">
        <f t="shared" si="7"/>
        <v>0</v>
      </c>
    </row>
    <row r="50" customHeight="1" spans="1:42">
      <c r="A50" s="5" t="s">
        <v>298</v>
      </c>
      <c r="C50" s="5">
        <v>3</v>
      </c>
      <c r="D50" s="1" t="s">
        <v>222</v>
      </c>
      <c r="E50" s="1" t="s">
        <v>226</v>
      </c>
      <c r="L50" s="1">
        <f>IFERROR(VLOOKUP($D50&amp;$C50,生产方式定位!$A$2:$E$38,2,FALSE)+VLOOKUP($E50&amp;$C50,生产方式定位!$F$3:$J$38,2,FALSE),0)</f>
        <v>4400</v>
      </c>
      <c r="S50" s="1">
        <f>IFERROR(VLOOKUP($D50&amp;$C50,生产方式定位!$A$2:$E$38,3,FALSE)+VLOOKUP($E50&amp;$C50,生产方式定位!$F$3:$J$38,3,FALSE),0)</f>
        <v>200</v>
      </c>
      <c r="X50" s="1">
        <f>IFERROR(VLOOKUP($D50&amp;$C50,生产方式定位!$A$2:$E$38,5,FALSE)+VLOOKUP($E50&amp;$C50,生产方式定位!$F$3:$J$38,5,FALSE),"错误")</f>
        <v>2560</v>
      </c>
      <c r="Y50" s="27" t="str">
        <f t="shared" si="0"/>
        <v/>
      </c>
      <c r="Z50" s="37" t="str">
        <f t="shared" si="4"/>
        <v/>
      </c>
      <c r="AA50" s="37" t="str">
        <f t="shared" si="1"/>
        <v/>
      </c>
      <c r="AB50" s="28">
        <f t="shared" si="2"/>
        <v>1.72</v>
      </c>
      <c r="AC50" s="37"/>
      <c r="AD50" s="38">
        <f t="shared" si="3"/>
        <v>3</v>
      </c>
      <c r="AE50" t="str">
        <f>IFERROR(F50&amp;"*"&amp;ROUND(L50*(G50/$AN50)/VLOOKUP(F50,商品!$A$4:$D$67,4,FALSE),0),"")</f>
        <v/>
      </c>
      <c r="AF50" t="str">
        <f>IFERROR(H50&amp;"*"&amp;ROUND(L50*(I50/$AN50)/VLOOKUP(H50,商品!$A$4:$D$67,4,FALSE),0),"")</f>
        <v/>
      </c>
      <c r="AG50" t="str">
        <f>IFERROR(J50&amp;"*"&amp;ROUND(L50*(K50/$AN50)/VLOOKUP(J50,商品!$A$4:$D$67,4,FALSE),0),"")</f>
        <v/>
      </c>
      <c r="AH50" t="str">
        <f>IFERROR(M50&amp;"*"&amp;ROUND(S50*(N50/$AO50)/VLOOKUP(M50,职业!$A$3:$E$16,4,FALSE),0),"")</f>
        <v/>
      </c>
      <c r="AI50" t="str">
        <f>IFERROR(O50&amp;"*"&amp;ROUND(S50*(P50/$AO50)/VLOOKUP(O50,职业!$A$3:$E$16,4,FALSE),0),"")</f>
        <v/>
      </c>
      <c r="AK50" t="str">
        <f>IFERROR(T50&amp;"*"&amp;ROUND(X50*(U50/$AP50)/VLOOKUP(T50,商品!$A$4:$D$67,4,FALSE),0),"")</f>
        <v/>
      </c>
      <c r="AL50" t="str">
        <f>IFERROR(V50&amp;"*"&amp;ROUND(X50*(W50/$AP50)/VLOOKUP(V50,商品!$A$4:$D$67,4,FALSE),0),"")</f>
        <v/>
      </c>
      <c r="AN50">
        <f t="shared" si="5"/>
        <v>0</v>
      </c>
      <c r="AO50">
        <f t="shared" si="6"/>
        <v>0</v>
      </c>
      <c r="AP50">
        <f t="shared" si="7"/>
        <v>0</v>
      </c>
    </row>
    <row r="51" customHeight="1" spans="1:42">
      <c r="A51" s="5" t="s">
        <v>298</v>
      </c>
      <c r="C51" s="5">
        <v>4</v>
      </c>
      <c r="D51" s="1" t="s">
        <v>222</v>
      </c>
      <c r="E51" s="1" t="s">
        <v>226</v>
      </c>
      <c r="L51" s="1">
        <f>IFERROR(VLOOKUP($D51&amp;$C51,生产方式定位!$A$2:$E$38,2,FALSE)+VLOOKUP($E51&amp;$C51,生产方式定位!$F$3:$J$38,2,FALSE),0)</f>
        <v>5600</v>
      </c>
      <c r="S51" s="1">
        <f>IFERROR(VLOOKUP($D51&amp;$C51,生产方式定位!$A$2:$E$38,3,FALSE)+VLOOKUP($E51&amp;$C51,生产方式定位!$F$3:$J$38,3,FALSE),0)</f>
        <v>50</v>
      </c>
      <c r="X51" s="1">
        <f>IFERROR(VLOOKUP($D51&amp;$C51,生产方式定位!$A$2:$E$38,5,FALSE)+VLOOKUP($E51&amp;$C51,生产方式定位!$F$3:$J$38,5,FALSE),"错误")</f>
        <v>3335</v>
      </c>
      <c r="Y51" s="27" t="str">
        <f t="shared" si="0"/>
        <v/>
      </c>
      <c r="Z51" s="37" t="str">
        <f t="shared" si="4"/>
        <v/>
      </c>
      <c r="AA51" s="37" t="str">
        <f t="shared" si="1"/>
        <v/>
      </c>
      <c r="AB51" s="28">
        <f t="shared" si="2"/>
        <v>1.68</v>
      </c>
      <c r="AC51" s="37"/>
      <c r="AD51" s="38">
        <f t="shared" si="3"/>
        <v>4</v>
      </c>
      <c r="AE51" t="str">
        <f>IFERROR(F51&amp;"*"&amp;ROUND(L51*(G51/$AN51)/VLOOKUP(F51,商品!$A$4:$D$67,4,FALSE),0),"")</f>
        <v/>
      </c>
      <c r="AF51" t="str">
        <f>IFERROR(H51&amp;"*"&amp;ROUND(L51*(I51/$AN51)/VLOOKUP(H51,商品!$A$4:$D$67,4,FALSE),0),"")</f>
        <v/>
      </c>
      <c r="AG51" t="str">
        <f>IFERROR(J51&amp;"*"&amp;ROUND(L51*(K51/$AN51)/VLOOKUP(J51,商品!$A$4:$D$67,4,FALSE),0),"")</f>
        <v/>
      </c>
      <c r="AH51" t="str">
        <f>IFERROR(M51&amp;"*"&amp;ROUND(S51*(N51/$AO51)/VLOOKUP(M51,职业!$A$3:$E$16,4,FALSE),0),"")</f>
        <v/>
      </c>
      <c r="AI51" t="str">
        <f>IFERROR(O51&amp;"*"&amp;ROUND(S51*(P51/$AO51)/VLOOKUP(O51,职业!$A$3:$E$16,4,FALSE),0),"")</f>
        <v/>
      </c>
      <c r="AK51" t="str">
        <f>IFERROR(T51&amp;"*"&amp;ROUND(X51*(U51/$AP51)/VLOOKUP(T51,商品!$A$4:$D$67,4,FALSE),0),"")</f>
        <v/>
      </c>
      <c r="AL51" t="str">
        <f>IFERROR(V51&amp;"*"&amp;ROUND(X51*(W51/$AP51)/VLOOKUP(V51,商品!$A$4:$D$67,4,FALSE),0),"")</f>
        <v/>
      </c>
      <c r="AN51">
        <f t="shared" si="5"/>
        <v>0</v>
      </c>
      <c r="AO51">
        <f t="shared" si="6"/>
        <v>0</v>
      </c>
      <c r="AP51">
        <f t="shared" si="7"/>
        <v>0</v>
      </c>
    </row>
    <row r="52" customHeight="1" spans="1:42">
      <c r="A52" s="5" t="s">
        <v>298</v>
      </c>
      <c r="C52" s="5">
        <v>5</v>
      </c>
      <c r="D52" s="1" t="s">
        <v>222</v>
      </c>
      <c r="E52" s="1" t="s">
        <v>226</v>
      </c>
      <c r="L52" s="1">
        <f>IFERROR(VLOOKUP($D52&amp;$C52,生产方式定位!$A$2:$E$38,2,FALSE)+VLOOKUP($E52&amp;$C52,生产方式定位!$F$3:$J$38,2,FALSE),0)</f>
        <v>6800</v>
      </c>
      <c r="S52" s="1">
        <f>IFERROR(VLOOKUP($D52&amp;$C52,生产方式定位!$A$2:$E$38,3,FALSE)+VLOOKUP($E52&amp;$C52,生产方式定位!$F$3:$J$38,3,FALSE),0)</f>
        <v>-100</v>
      </c>
      <c r="X52" s="1">
        <f>IFERROR(VLOOKUP($D52&amp;$C52,生产方式定位!$A$2:$E$38,5,FALSE)+VLOOKUP($E52&amp;$C52,生产方式定位!$F$3:$J$38,5,FALSE),"错误")</f>
        <v>4190</v>
      </c>
      <c r="Y52" s="27" t="str">
        <f t="shared" si="0"/>
        <v/>
      </c>
      <c r="Z52" s="37" t="str">
        <f t="shared" si="4"/>
        <v/>
      </c>
      <c r="AA52" s="37" t="str">
        <f t="shared" si="1"/>
        <v/>
      </c>
      <c r="AB52" s="28">
        <f t="shared" si="2"/>
        <v>1.62</v>
      </c>
      <c r="AC52" s="37"/>
      <c r="AD52" s="38">
        <f t="shared" si="3"/>
        <v>5</v>
      </c>
      <c r="AE52" t="str">
        <f>IFERROR(F52&amp;"*"&amp;ROUND(L52*(G52/$AN52)/VLOOKUP(F52,商品!$A$4:$D$67,4,FALSE),0),"")</f>
        <v/>
      </c>
      <c r="AF52" t="str">
        <f>IFERROR(H52&amp;"*"&amp;ROUND(L52*(I52/$AN52)/VLOOKUP(H52,商品!$A$4:$D$67,4,FALSE),0),"")</f>
        <v/>
      </c>
      <c r="AG52" t="str">
        <f>IFERROR(J52&amp;"*"&amp;ROUND(L52*(K52/$AN52)/VLOOKUP(J52,商品!$A$4:$D$67,4,FALSE),0),"")</f>
        <v/>
      </c>
      <c r="AH52" t="str">
        <f>IFERROR(M52&amp;"*"&amp;ROUND(S52*(N52/$AO52)/VLOOKUP(M52,职业!$A$3:$E$16,4,FALSE),0),"")</f>
        <v/>
      </c>
      <c r="AI52" t="str">
        <f>IFERROR(O52&amp;"*"&amp;ROUND(S52*(P52/$AO52)/VLOOKUP(O52,职业!$A$3:$E$16,4,FALSE),0),"")</f>
        <v/>
      </c>
      <c r="AK52" t="str">
        <f>IFERROR(T52&amp;"*"&amp;ROUND(X52*(U52/$AP52)/VLOOKUP(T52,商品!$A$4:$D$67,4,FALSE),0),"")</f>
        <v/>
      </c>
      <c r="AL52" t="str">
        <f>IFERROR(V52&amp;"*"&amp;ROUND(X52*(W52/$AP52)/VLOOKUP(V52,商品!$A$4:$D$67,4,FALSE),0),"")</f>
        <v/>
      </c>
      <c r="AN52">
        <f t="shared" si="5"/>
        <v>0</v>
      </c>
      <c r="AO52">
        <f t="shared" si="6"/>
        <v>0</v>
      </c>
      <c r="AP52">
        <f t="shared" si="7"/>
        <v>0</v>
      </c>
    </row>
    <row r="53" customHeight="1" spans="1:42">
      <c r="A53" s="18" t="s">
        <v>299</v>
      </c>
      <c r="C53" s="18">
        <v>1</v>
      </c>
      <c r="D53" s="1" t="s">
        <v>293</v>
      </c>
      <c r="E53" s="1" t="s">
        <v>227</v>
      </c>
      <c r="L53" s="1">
        <f>IFERROR(VLOOKUP($D53&amp;$C53,生产方式定位!$A$2:$E$38,2,FALSE)+VLOOKUP($E53&amp;$C53,生产方式定位!$F$3:$J$38,2,FALSE),0)</f>
        <v>0</v>
      </c>
      <c r="S53" s="1">
        <f>IFERROR(VLOOKUP($D53&amp;$C53,生产方式定位!$A$2:$E$38,3,FALSE)+VLOOKUP($E53&amp;$C53,生产方式定位!$F$3:$J$38,3,FALSE),0)</f>
        <v>0</v>
      </c>
      <c r="X53" s="1">
        <f>IFERROR(VLOOKUP($D53&amp;$C53,生产方式定位!$A$2:$E$38,5,FALSE)+VLOOKUP($E53&amp;$C53,生产方式定位!$F$3:$J$38,5,FALSE),"错误")</f>
        <v>0</v>
      </c>
      <c r="Y53" s="27" t="str">
        <f t="shared" si="0"/>
        <v/>
      </c>
      <c r="Z53" s="37" t="str">
        <f t="shared" si="4"/>
        <v/>
      </c>
      <c r="AA53" s="37" t="str">
        <f t="shared" si="1"/>
        <v/>
      </c>
      <c r="AB53" s="28" t="str">
        <f t="shared" si="2"/>
        <v/>
      </c>
      <c r="AC53" s="37"/>
      <c r="AD53" s="38">
        <f t="shared" si="3"/>
        <v>1</v>
      </c>
      <c r="AE53" t="str">
        <f>IFERROR(F53&amp;"*"&amp;ROUND(L53*(G53/$AN53)/VLOOKUP(F53,商品!$A$4:$D$67,4,FALSE),0),"")</f>
        <v/>
      </c>
      <c r="AF53" t="str">
        <f>IFERROR(H53&amp;"*"&amp;ROUND(L53*(I53/$AN53)/VLOOKUP(H53,商品!$A$4:$D$67,4,FALSE),0),"")</f>
        <v/>
      </c>
      <c r="AG53" t="str">
        <f>IFERROR(J53&amp;"*"&amp;ROUND(L53*(K53/$AN53)/VLOOKUP(J53,商品!$A$4:$D$67,4,FALSE),0),"")</f>
        <v/>
      </c>
      <c r="AH53" t="str">
        <f>IFERROR(M53&amp;"*"&amp;ROUND(S53*(N53/$AO53)/VLOOKUP(M53,职业!$A$3:$E$16,4,FALSE),0),"")</f>
        <v/>
      </c>
      <c r="AI53" t="str">
        <f>IFERROR(O53&amp;"*"&amp;ROUND(S53*(P53/$AO53)/VLOOKUP(O53,职业!$A$3:$E$16,4,FALSE),0),"")</f>
        <v/>
      </c>
      <c r="AK53" t="str">
        <f>IFERROR(T53&amp;"*"&amp;ROUND(X53*(U53/$AP53)/VLOOKUP(T53,商品!$A$4:$D$67,4,FALSE),0),"")</f>
        <v/>
      </c>
      <c r="AL53" t="str">
        <f>IFERROR(V53&amp;"*"&amp;ROUND(X53*(W53/$AP53)/VLOOKUP(V53,商品!$A$4:$D$67,4,FALSE),0),"")</f>
        <v/>
      </c>
      <c r="AN53">
        <f t="shared" si="5"/>
        <v>0</v>
      </c>
      <c r="AO53">
        <f t="shared" si="6"/>
        <v>0</v>
      </c>
      <c r="AP53">
        <f t="shared" si="7"/>
        <v>0</v>
      </c>
    </row>
    <row r="54" customHeight="1" spans="1:42">
      <c r="A54" s="18" t="s">
        <v>299</v>
      </c>
      <c r="C54" s="18">
        <v>2</v>
      </c>
      <c r="D54" s="1" t="s">
        <v>293</v>
      </c>
      <c r="E54" s="1" t="s">
        <v>227</v>
      </c>
      <c r="L54" s="1">
        <f>IFERROR(VLOOKUP($D54&amp;$C54,生产方式定位!$A$2:$E$38,2,FALSE)+VLOOKUP($E54&amp;$C54,生产方式定位!$F$3:$J$38,2,FALSE),0)</f>
        <v>0</v>
      </c>
      <c r="S54" s="1">
        <f>IFERROR(VLOOKUP($D54&amp;$C54,生产方式定位!$A$2:$E$38,3,FALSE)+VLOOKUP($E54&amp;$C54,生产方式定位!$F$3:$J$38,3,FALSE),0)</f>
        <v>0</v>
      </c>
      <c r="X54" s="1">
        <f>IFERROR(VLOOKUP($D54&amp;$C54,生产方式定位!$A$2:$E$38,5,FALSE)+VLOOKUP($E54&amp;$C54,生产方式定位!$F$3:$J$38,5,FALSE),"错误")</f>
        <v>0</v>
      </c>
      <c r="Y54" s="27" t="str">
        <f t="shared" si="0"/>
        <v/>
      </c>
      <c r="Z54" s="37" t="str">
        <f t="shared" si="4"/>
        <v/>
      </c>
      <c r="AA54" s="37" t="str">
        <f t="shared" si="1"/>
        <v/>
      </c>
      <c r="AB54" s="28" t="str">
        <f t="shared" si="2"/>
        <v/>
      </c>
      <c r="AC54" s="37"/>
      <c r="AD54" s="38">
        <f t="shared" si="3"/>
        <v>2</v>
      </c>
      <c r="AE54" t="str">
        <f>IFERROR(F54&amp;"*"&amp;ROUND(L54*(G54/$AN54)/VLOOKUP(F54,商品!$A$4:$D$67,4,FALSE),0),"")</f>
        <v/>
      </c>
      <c r="AF54" t="str">
        <f>IFERROR(H54&amp;"*"&amp;ROUND(L54*(I54/$AN54)/VLOOKUP(H54,商品!$A$4:$D$67,4,FALSE),0),"")</f>
        <v/>
      </c>
      <c r="AG54" t="str">
        <f>IFERROR(J54&amp;"*"&amp;ROUND(L54*(K54/$AN54)/VLOOKUP(J54,商品!$A$4:$D$67,4,FALSE),0),"")</f>
        <v/>
      </c>
      <c r="AH54" t="str">
        <f>IFERROR(M54&amp;"*"&amp;ROUND(S54*(N54/$AO54)/VLOOKUP(M54,职业!$A$3:$E$16,4,FALSE),0),"")</f>
        <v/>
      </c>
      <c r="AI54" t="str">
        <f>IFERROR(O54&amp;"*"&amp;ROUND(S54*(P54/$AO54)/VLOOKUP(O54,职业!$A$3:$E$16,4,FALSE),0),"")</f>
        <v/>
      </c>
      <c r="AK54" t="str">
        <f>IFERROR(T54&amp;"*"&amp;ROUND(X54*(U54/$AP54)/VLOOKUP(T54,商品!$A$4:$D$67,4,FALSE),0),"")</f>
        <v/>
      </c>
      <c r="AL54" t="str">
        <f>IFERROR(V54&amp;"*"&amp;ROUND(X54*(W54/$AP54)/VLOOKUP(V54,商品!$A$4:$D$67,4,FALSE),0),"")</f>
        <v/>
      </c>
      <c r="AN54">
        <f t="shared" si="5"/>
        <v>0</v>
      </c>
      <c r="AO54">
        <f t="shared" si="6"/>
        <v>0</v>
      </c>
      <c r="AP54">
        <f t="shared" si="7"/>
        <v>0</v>
      </c>
    </row>
    <row r="55" customHeight="1" spans="1:42">
      <c r="A55" s="18" t="s">
        <v>299</v>
      </c>
      <c r="C55" s="18">
        <v>3</v>
      </c>
      <c r="D55" s="1" t="s">
        <v>293</v>
      </c>
      <c r="E55" s="1" t="s">
        <v>227</v>
      </c>
      <c r="L55" s="1">
        <f>IFERROR(VLOOKUP($D55&amp;$C55,生产方式定位!$A$2:$E$38,2,FALSE)+VLOOKUP($E55&amp;$C55,生产方式定位!$F$3:$J$38,2,FALSE),0)</f>
        <v>0</v>
      </c>
      <c r="S55" s="1">
        <f>IFERROR(VLOOKUP($D55&amp;$C55,生产方式定位!$A$2:$E$38,3,FALSE)+VLOOKUP($E55&amp;$C55,生产方式定位!$F$3:$J$38,3,FALSE),0)</f>
        <v>0</v>
      </c>
      <c r="X55" s="1">
        <f>IFERROR(VLOOKUP($D55&amp;$C55,生产方式定位!$A$2:$E$38,5,FALSE)+VLOOKUP($E55&amp;$C55,生产方式定位!$F$3:$J$38,5,FALSE),"错误")</f>
        <v>0</v>
      </c>
      <c r="Y55" s="27" t="str">
        <f t="shared" si="0"/>
        <v/>
      </c>
      <c r="Z55" s="37" t="str">
        <f t="shared" si="4"/>
        <v/>
      </c>
      <c r="AA55" s="37" t="str">
        <f t="shared" si="1"/>
        <v/>
      </c>
      <c r="AB55" s="28" t="str">
        <f t="shared" si="2"/>
        <v/>
      </c>
      <c r="AC55" s="37"/>
      <c r="AD55" s="38">
        <f t="shared" si="3"/>
        <v>3</v>
      </c>
      <c r="AE55" t="str">
        <f>IFERROR(F55&amp;"*"&amp;ROUND(L55*(G55/$AN55)/VLOOKUP(F55,商品!$A$4:$D$67,4,FALSE),0),"")</f>
        <v/>
      </c>
      <c r="AF55" t="str">
        <f>IFERROR(H55&amp;"*"&amp;ROUND(L55*(I55/$AN55)/VLOOKUP(H55,商品!$A$4:$D$67,4,FALSE),0),"")</f>
        <v/>
      </c>
      <c r="AG55" t="str">
        <f>IFERROR(J55&amp;"*"&amp;ROUND(L55*(K55/$AN55)/VLOOKUP(J55,商品!$A$4:$D$67,4,FALSE),0),"")</f>
        <v/>
      </c>
      <c r="AH55" t="str">
        <f>IFERROR(M55&amp;"*"&amp;ROUND(S55*(N55/$AO55)/VLOOKUP(M55,职业!$A$3:$E$16,4,FALSE),0),"")</f>
        <v/>
      </c>
      <c r="AI55" t="str">
        <f>IFERROR(O55&amp;"*"&amp;ROUND(S55*(P55/$AO55)/VLOOKUP(O55,职业!$A$3:$E$16,4,FALSE),0),"")</f>
        <v/>
      </c>
      <c r="AK55" t="str">
        <f>IFERROR(T55&amp;"*"&amp;ROUND(X55*(U55/$AP55)/VLOOKUP(T55,商品!$A$4:$D$67,4,FALSE),0),"")</f>
        <v/>
      </c>
      <c r="AL55" t="str">
        <f>IFERROR(V55&amp;"*"&amp;ROUND(X55*(W55/$AP55)/VLOOKUP(V55,商品!$A$4:$D$67,4,FALSE),0),"")</f>
        <v/>
      </c>
      <c r="AN55">
        <f t="shared" si="5"/>
        <v>0</v>
      </c>
      <c r="AO55">
        <f t="shared" si="6"/>
        <v>0</v>
      </c>
      <c r="AP55">
        <f t="shared" si="7"/>
        <v>0</v>
      </c>
    </row>
    <row r="56" customHeight="1" spans="1:42">
      <c r="A56" s="18" t="s">
        <v>299</v>
      </c>
      <c r="C56" s="18">
        <v>4</v>
      </c>
      <c r="D56" s="1" t="s">
        <v>293</v>
      </c>
      <c r="E56" s="1" t="s">
        <v>227</v>
      </c>
      <c r="L56" s="1">
        <f>IFERROR(VLOOKUP($D56&amp;$C56,生产方式定位!$A$2:$E$38,2,FALSE)+VLOOKUP($E56&amp;$C56,生产方式定位!$F$3:$J$38,2,FALSE),0)</f>
        <v>0</v>
      </c>
      <c r="S56" s="1">
        <f>IFERROR(VLOOKUP($D56&amp;$C56,生产方式定位!$A$2:$E$38,3,FALSE)+VLOOKUP($E56&amp;$C56,生产方式定位!$F$3:$J$38,3,FALSE),0)</f>
        <v>0</v>
      </c>
      <c r="X56" s="1">
        <f>IFERROR(VLOOKUP($D56&amp;$C56,生产方式定位!$A$2:$E$38,5,FALSE)+VLOOKUP($E56&amp;$C56,生产方式定位!$F$3:$J$38,5,FALSE),"错误")</f>
        <v>0</v>
      </c>
      <c r="Y56" s="27" t="str">
        <f t="shared" si="0"/>
        <v/>
      </c>
      <c r="Z56" s="37" t="str">
        <f t="shared" si="4"/>
        <v/>
      </c>
      <c r="AA56" s="37" t="str">
        <f t="shared" si="1"/>
        <v/>
      </c>
      <c r="AB56" s="28" t="str">
        <f t="shared" si="2"/>
        <v/>
      </c>
      <c r="AC56" s="37"/>
      <c r="AD56" s="38">
        <f t="shared" si="3"/>
        <v>4</v>
      </c>
      <c r="AE56" t="str">
        <f>IFERROR(F56&amp;"*"&amp;ROUND(L56*(G56/$AN56)/VLOOKUP(F56,商品!$A$4:$D$67,4,FALSE),0),"")</f>
        <v/>
      </c>
      <c r="AF56" t="str">
        <f>IFERROR(H56&amp;"*"&amp;ROUND(L56*(I56/$AN56)/VLOOKUP(H56,商品!$A$4:$D$67,4,FALSE),0),"")</f>
        <v/>
      </c>
      <c r="AG56" t="str">
        <f>IFERROR(J56&amp;"*"&amp;ROUND(L56*(K56/$AN56)/VLOOKUP(J56,商品!$A$4:$D$67,4,FALSE),0),"")</f>
        <v/>
      </c>
      <c r="AH56" t="str">
        <f>IFERROR(M56&amp;"*"&amp;ROUND(S56*(N56/$AO56)/VLOOKUP(M56,职业!$A$3:$E$16,4,FALSE),0),"")</f>
        <v/>
      </c>
      <c r="AI56" t="str">
        <f>IFERROR(O56&amp;"*"&amp;ROUND(S56*(P56/$AO56)/VLOOKUP(O56,职业!$A$3:$E$16,4,FALSE),0),"")</f>
        <v/>
      </c>
      <c r="AK56" t="str">
        <f>IFERROR(T56&amp;"*"&amp;ROUND(X56*(U56/$AP56)/VLOOKUP(T56,商品!$A$4:$D$67,4,FALSE),0),"")</f>
        <v/>
      </c>
      <c r="AL56" t="str">
        <f>IFERROR(V56&amp;"*"&amp;ROUND(X56*(W56/$AP56)/VLOOKUP(V56,商品!$A$4:$D$67,4,FALSE),0),"")</f>
        <v/>
      </c>
      <c r="AN56">
        <f t="shared" si="5"/>
        <v>0</v>
      </c>
      <c r="AO56">
        <f t="shared" si="6"/>
        <v>0</v>
      </c>
      <c r="AP56">
        <f t="shared" si="7"/>
        <v>0</v>
      </c>
    </row>
    <row r="57" customHeight="1" spans="1:42">
      <c r="A57" s="18" t="s">
        <v>299</v>
      </c>
      <c r="C57" s="18">
        <v>5</v>
      </c>
      <c r="D57" s="1" t="s">
        <v>293</v>
      </c>
      <c r="E57" s="1" t="s">
        <v>227</v>
      </c>
      <c r="L57" s="1">
        <f>IFERROR(VLOOKUP($D57&amp;$C57,生产方式定位!$A$2:$E$38,2,FALSE)+VLOOKUP($E57&amp;$C57,生产方式定位!$F$3:$J$38,2,FALSE),0)</f>
        <v>0</v>
      </c>
      <c r="S57" s="1">
        <f>IFERROR(VLOOKUP($D57&amp;$C57,生产方式定位!$A$2:$E$38,3,FALSE)+VLOOKUP($E57&amp;$C57,生产方式定位!$F$3:$J$38,3,FALSE),0)</f>
        <v>0</v>
      </c>
      <c r="X57" s="1">
        <f>IFERROR(VLOOKUP($D57&amp;$C57,生产方式定位!$A$2:$E$38,5,FALSE)+VLOOKUP($E57&amp;$C57,生产方式定位!$F$3:$J$38,5,FALSE),"错误")</f>
        <v>0</v>
      </c>
      <c r="Y57" s="27" t="str">
        <f t="shared" si="0"/>
        <v/>
      </c>
      <c r="Z57" s="37" t="str">
        <f t="shared" si="4"/>
        <v/>
      </c>
      <c r="AA57" s="37" t="str">
        <f t="shared" si="1"/>
        <v/>
      </c>
      <c r="AB57" s="28" t="str">
        <f t="shared" si="2"/>
        <v/>
      </c>
      <c r="AC57" s="37"/>
      <c r="AD57" s="38">
        <f t="shared" si="3"/>
        <v>5</v>
      </c>
      <c r="AE57" t="str">
        <f>IFERROR(F57&amp;"*"&amp;ROUND(L57*(G57/$AN57)/VLOOKUP(F57,商品!$A$4:$D$67,4,FALSE),0),"")</f>
        <v/>
      </c>
      <c r="AF57" t="str">
        <f>IFERROR(H57&amp;"*"&amp;ROUND(L57*(I57/$AN57)/VLOOKUP(H57,商品!$A$4:$D$67,4,FALSE),0),"")</f>
        <v/>
      </c>
      <c r="AG57" t="str">
        <f>IFERROR(J57&amp;"*"&amp;ROUND(L57*(K57/$AN57)/VLOOKUP(J57,商品!$A$4:$D$67,4,FALSE),0),"")</f>
        <v/>
      </c>
      <c r="AH57" t="str">
        <f>IFERROR(M57&amp;"*"&amp;ROUND(S57*(N57/$AO57)/VLOOKUP(M57,职业!$A$3:$E$16,4,FALSE),0),"")</f>
        <v/>
      </c>
      <c r="AI57" t="str">
        <f>IFERROR(O57&amp;"*"&amp;ROUND(S57*(P57/$AO57)/VLOOKUP(O57,职业!$A$3:$E$16,4,FALSE),0),"")</f>
        <v/>
      </c>
      <c r="AK57" t="str">
        <f>IFERROR(T57&amp;"*"&amp;ROUND(X57*(U57/$AP57)/VLOOKUP(T57,商品!$A$4:$D$67,4,FALSE),0),"")</f>
        <v/>
      </c>
      <c r="AL57" t="str">
        <f>IFERROR(V57&amp;"*"&amp;ROUND(X57*(W57/$AP57)/VLOOKUP(V57,商品!$A$4:$D$67,4,FALSE),0),"")</f>
        <v/>
      </c>
      <c r="AN57">
        <f t="shared" si="5"/>
        <v>0</v>
      </c>
      <c r="AO57">
        <f t="shared" si="6"/>
        <v>0</v>
      </c>
      <c r="AP57">
        <f t="shared" si="7"/>
        <v>0</v>
      </c>
    </row>
    <row r="58" customHeight="1" spans="1:42">
      <c r="A58" s="18" t="s">
        <v>299</v>
      </c>
      <c r="C58" s="18">
        <v>6</v>
      </c>
      <c r="D58" s="1" t="s">
        <v>293</v>
      </c>
      <c r="E58" s="1" t="s">
        <v>227</v>
      </c>
      <c r="L58" s="1">
        <f>IFERROR(VLOOKUP($D58&amp;$C58,生产方式定位!$A$2:$E$38,2,FALSE)+VLOOKUP($E58&amp;$C58,生产方式定位!$F$3:$J$38,2,FALSE),0)</f>
        <v>0</v>
      </c>
      <c r="S58" s="1">
        <f>IFERROR(VLOOKUP($D58&amp;$C58,生产方式定位!$A$2:$E$38,3,FALSE)+VLOOKUP($E58&amp;$C58,生产方式定位!$F$3:$J$38,3,FALSE),0)</f>
        <v>0</v>
      </c>
      <c r="X58" s="1">
        <f>IFERROR(VLOOKUP($D58&amp;$C58,生产方式定位!$A$2:$E$38,5,FALSE)+VLOOKUP($E58&amp;$C58,生产方式定位!$F$3:$J$38,5,FALSE),"错误")</f>
        <v>0</v>
      </c>
      <c r="Y58" s="27" t="str">
        <f t="shared" si="0"/>
        <v/>
      </c>
      <c r="Z58" s="37" t="str">
        <f t="shared" si="4"/>
        <v/>
      </c>
      <c r="AA58" s="37" t="str">
        <f t="shared" si="1"/>
        <v/>
      </c>
      <c r="AB58" s="28" t="str">
        <f t="shared" si="2"/>
        <v/>
      </c>
      <c r="AC58" s="37"/>
      <c r="AD58" s="38">
        <f t="shared" si="3"/>
        <v>6</v>
      </c>
      <c r="AE58" t="str">
        <f>IFERROR(F58&amp;"*"&amp;ROUND(L58*(G58/$AN58)/VLOOKUP(F58,商品!$A$4:$D$67,4,FALSE),0),"")</f>
        <v/>
      </c>
      <c r="AF58" t="str">
        <f>IFERROR(H58&amp;"*"&amp;ROUND(L58*(I58/$AN58)/VLOOKUP(H58,商品!$A$4:$D$67,4,FALSE),0),"")</f>
        <v/>
      </c>
      <c r="AG58" t="str">
        <f>IFERROR(J58&amp;"*"&amp;ROUND(L58*(K58/$AN58)/VLOOKUP(J58,商品!$A$4:$D$67,4,FALSE),0),"")</f>
        <v/>
      </c>
      <c r="AH58" t="str">
        <f>IFERROR(M58&amp;"*"&amp;ROUND(S58*(N58/$AO58)/VLOOKUP(M58,职业!$A$3:$E$16,4,FALSE),0),"")</f>
        <v/>
      </c>
      <c r="AI58" t="str">
        <f>IFERROR(O58&amp;"*"&amp;ROUND(S58*(P58/$AO58)/VLOOKUP(O58,职业!$A$3:$E$16,4,FALSE),0),"")</f>
        <v/>
      </c>
      <c r="AK58" t="str">
        <f>IFERROR(T58&amp;"*"&amp;ROUND(X58*(U58/$AP58)/VLOOKUP(T58,商品!$A$4:$D$67,4,FALSE),0),"")</f>
        <v/>
      </c>
      <c r="AL58" t="str">
        <f>IFERROR(V58&amp;"*"&amp;ROUND(X58*(W58/$AP58)/VLOOKUP(V58,商品!$A$4:$D$67,4,FALSE),0),"")</f>
        <v/>
      </c>
      <c r="AN58">
        <f t="shared" si="5"/>
        <v>0</v>
      </c>
      <c r="AO58">
        <f t="shared" si="6"/>
        <v>0</v>
      </c>
      <c r="AP58">
        <f t="shared" si="7"/>
        <v>0</v>
      </c>
    </row>
    <row r="59" customHeight="1" spans="1:42">
      <c r="A59" s="18" t="s">
        <v>299</v>
      </c>
      <c r="C59" s="18">
        <v>7</v>
      </c>
      <c r="D59" s="1" t="s">
        <v>293</v>
      </c>
      <c r="E59" s="1" t="s">
        <v>227</v>
      </c>
      <c r="L59" s="1">
        <f>IFERROR(VLOOKUP($D59&amp;$C59,生产方式定位!$A$2:$E$38,2,FALSE)+VLOOKUP($E59&amp;$C59,生产方式定位!$F$3:$J$38,2,FALSE),0)</f>
        <v>0</v>
      </c>
      <c r="S59" s="1">
        <f>IFERROR(VLOOKUP($D59&amp;$C59,生产方式定位!$A$2:$E$38,3,FALSE)+VLOOKUP($E59&amp;$C59,生产方式定位!$F$3:$J$38,3,FALSE),0)</f>
        <v>0</v>
      </c>
      <c r="X59" s="1">
        <f>IFERROR(VLOOKUP($D59&amp;$C59,生产方式定位!$A$2:$E$38,5,FALSE)+VLOOKUP($E59&amp;$C59,生产方式定位!$F$3:$J$38,5,FALSE),"错误")</f>
        <v>0</v>
      </c>
      <c r="Y59" s="27" t="str">
        <f t="shared" si="0"/>
        <v/>
      </c>
      <c r="Z59" s="37" t="str">
        <f t="shared" si="4"/>
        <v/>
      </c>
      <c r="AA59" s="37" t="str">
        <f t="shared" si="1"/>
        <v/>
      </c>
      <c r="AB59" s="28" t="str">
        <f t="shared" si="2"/>
        <v/>
      </c>
      <c r="AC59" s="37"/>
      <c r="AD59" s="38">
        <f t="shared" si="3"/>
        <v>7</v>
      </c>
      <c r="AE59" t="str">
        <f>IFERROR(F59&amp;"*"&amp;ROUND(L59*(G59/$AN59)/VLOOKUP(F59,商品!$A$4:$D$67,4,FALSE),0),"")</f>
        <v/>
      </c>
      <c r="AF59" t="str">
        <f>IFERROR(H59&amp;"*"&amp;ROUND(L59*(I59/$AN59)/VLOOKUP(H59,商品!$A$4:$D$67,4,FALSE),0),"")</f>
        <v/>
      </c>
      <c r="AG59" t="str">
        <f>IFERROR(J59&amp;"*"&amp;ROUND(L59*(K59/$AN59)/VLOOKUP(J59,商品!$A$4:$D$67,4,FALSE),0),"")</f>
        <v/>
      </c>
      <c r="AH59" t="str">
        <f>IFERROR(M59&amp;"*"&amp;ROUND(S59*(N59/$AO59)/VLOOKUP(M59,职业!$A$3:$E$16,4,FALSE),0),"")</f>
        <v/>
      </c>
      <c r="AI59" t="str">
        <f>IFERROR(O59&amp;"*"&amp;ROUND(S59*(P59/$AO59)/VLOOKUP(O59,职业!$A$3:$E$16,4,FALSE),0),"")</f>
        <v/>
      </c>
      <c r="AK59" t="str">
        <f>IFERROR(T59&amp;"*"&amp;ROUND(X59*(U59/$AP59)/VLOOKUP(T59,商品!$A$4:$D$67,4,FALSE),0),"")</f>
        <v/>
      </c>
      <c r="AL59" t="str">
        <f>IFERROR(V59&amp;"*"&amp;ROUND(X59*(W59/$AP59)/VLOOKUP(V59,商品!$A$4:$D$67,4,FALSE),0),"")</f>
        <v/>
      </c>
      <c r="AN59">
        <f t="shared" si="5"/>
        <v>0</v>
      </c>
      <c r="AO59">
        <f t="shared" si="6"/>
        <v>0</v>
      </c>
      <c r="AP59">
        <f t="shared" si="7"/>
        <v>0</v>
      </c>
    </row>
    <row r="60" customHeight="1" spans="1:42">
      <c r="A60" s="18" t="s">
        <v>299</v>
      </c>
      <c r="C60" s="18">
        <v>8</v>
      </c>
      <c r="D60" s="1" t="s">
        <v>293</v>
      </c>
      <c r="E60" s="1" t="s">
        <v>227</v>
      </c>
      <c r="L60" s="1">
        <f>IFERROR(VLOOKUP($D60&amp;$C60,生产方式定位!$A$2:$E$38,2,FALSE)+VLOOKUP($E60&amp;$C60,生产方式定位!$F$3:$J$38,2,FALSE),0)</f>
        <v>0</v>
      </c>
      <c r="S60" s="1">
        <f>IFERROR(VLOOKUP($D60&amp;$C60,生产方式定位!$A$2:$E$38,3,FALSE)+VLOOKUP($E60&amp;$C60,生产方式定位!$F$3:$J$38,3,FALSE),0)</f>
        <v>0</v>
      </c>
      <c r="X60" s="1">
        <f>IFERROR(VLOOKUP($D60&amp;$C60,生产方式定位!$A$2:$E$38,5,FALSE)+VLOOKUP($E60&amp;$C60,生产方式定位!$F$3:$J$38,5,FALSE),"错误")</f>
        <v>0</v>
      </c>
      <c r="Y60" s="27" t="str">
        <f t="shared" si="0"/>
        <v/>
      </c>
      <c r="Z60" s="37" t="str">
        <f t="shared" si="4"/>
        <v/>
      </c>
      <c r="AA60" s="37" t="str">
        <f t="shared" si="1"/>
        <v/>
      </c>
      <c r="AB60" s="28" t="str">
        <f t="shared" si="2"/>
        <v/>
      </c>
      <c r="AC60" s="37"/>
      <c r="AD60" s="38">
        <f t="shared" si="3"/>
        <v>8</v>
      </c>
      <c r="AE60" t="str">
        <f>IFERROR(F60&amp;"*"&amp;ROUND(L60*(G60/$AN60)/VLOOKUP(F60,商品!$A$4:$D$67,4,FALSE),0),"")</f>
        <v/>
      </c>
      <c r="AF60" t="str">
        <f>IFERROR(H60&amp;"*"&amp;ROUND(L60*(I60/$AN60)/VLOOKUP(H60,商品!$A$4:$D$67,4,FALSE),0),"")</f>
        <v/>
      </c>
      <c r="AG60" t="str">
        <f>IFERROR(J60&amp;"*"&amp;ROUND(L60*(K60/$AN60)/VLOOKUP(J60,商品!$A$4:$D$67,4,FALSE),0),"")</f>
        <v/>
      </c>
      <c r="AH60" t="str">
        <f>IFERROR(M60&amp;"*"&amp;ROUND(S60*(N60/$AO60)/VLOOKUP(M60,职业!$A$3:$E$16,4,FALSE),0),"")</f>
        <v/>
      </c>
      <c r="AI60" t="str">
        <f>IFERROR(O60&amp;"*"&amp;ROUND(S60*(P60/$AO60)/VLOOKUP(O60,职业!$A$3:$E$16,4,FALSE),0),"")</f>
        <v/>
      </c>
      <c r="AK60" t="str">
        <f>IFERROR(T60&amp;"*"&amp;ROUND(X60*(U60/$AP60)/VLOOKUP(T60,商品!$A$4:$D$67,4,FALSE),0),"")</f>
        <v/>
      </c>
      <c r="AL60" t="str">
        <f>IFERROR(V60&amp;"*"&amp;ROUND(X60*(W60/$AP60)/VLOOKUP(V60,商品!$A$4:$D$67,4,FALSE),0),"")</f>
        <v/>
      </c>
      <c r="AN60">
        <f t="shared" si="5"/>
        <v>0</v>
      </c>
      <c r="AO60">
        <f t="shared" si="6"/>
        <v>0</v>
      </c>
      <c r="AP60">
        <f t="shared" si="7"/>
        <v>0</v>
      </c>
    </row>
    <row r="61" customHeight="1" spans="1:42">
      <c r="A61" s="5" t="s">
        <v>301</v>
      </c>
      <c r="C61" s="5">
        <v>1</v>
      </c>
      <c r="D61" s="1" t="s">
        <v>222</v>
      </c>
      <c r="E61" s="1" t="s">
        <v>224</v>
      </c>
      <c r="L61" s="1">
        <f>IFERROR(VLOOKUP($D61&amp;$C61,生产方式定位!$A$2:$E$38,2,FALSE)+VLOOKUP($E61&amp;$C61,生产方式定位!$F$3:$J$38,2,FALSE),0)</f>
        <v>0</v>
      </c>
      <c r="S61" s="1">
        <f>IFERROR(VLOOKUP($D61&amp;$C61,生产方式定位!$A$2:$E$38,3,FALSE)+VLOOKUP($E61&amp;$C61,生产方式定位!$F$3:$J$38,3,FALSE),0)</f>
        <v>500</v>
      </c>
      <c r="X61" s="1">
        <f>IFERROR(VLOOKUP($D61&amp;$C61,生产方式定位!$A$2:$E$38,5,FALSE)+VLOOKUP($E61&amp;$C61,生产方式定位!$F$3:$J$38,5,FALSE),"错误")</f>
        <v>250</v>
      </c>
      <c r="Y61" s="27" t="str">
        <f t="shared" si="0"/>
        <v/>
      </c>
      <c r="Z61" s="37" t="str">
        <f t="shared" si="4"/>
        <v/>
      </c>
      <c r="AA61" s="37" t="str">
        <f t="shared" si="1"/>
        <v/>
      </c>
      <c r="AB61" s="28">
        <f t="shared" si="2"/>
        <v>0</v>
      </c>
      <c r="AC61" s="37"/>
      <c r="AD61" s="38">
        <f t="shared" si="3"/>
        <v>1</v>
      </c>
      <c r="AE61" t="str">
        <f>IFERROR(F61&amp;"*"&amp;ROUND(L61*(G61/$AN61)/VLOOKUP(F61,商品!$A$4:$D$67,4,FALSE),0),"")</f>
        <v/>
      </c>
      <c r="AF61" t="str">
        <f>IFERROR(H61&amp;"*"&amp;ROUND(L61*(I61/$AN61)/VLOOKUP(H61,商品!$A$4:$D$67,4,FALSE),0),"")</f>
        <v/>
      </c>
      <c r="AG61" t="str">
        <f>IFERROR(J61&amp;"*"&amp;ROUND(L61*(K61/$AN61)/VLOOKUP(J61,商品!$A$4:$D$67,4,FALSE),0),"")</f>
        <v/>
      </c>
      <c r="AH61" t="str">
        <f>IFERROR(M61&amp;"*"&amp;ROUND(S61*(N61/$AO61)/VLOOKUP(M61,职业!$A$3:$E$16,4,FALSE),0),"")</f>
        <v/>
      </c>
      <c r="AI61" t="str">
        <f>IFERROR(O61&amp;"*"&amp;ROUND(S61*(P61/$AO61)/VLOOKUP(O61,职业!$A$3:$E$16,4,FALSE),0),"")</f>
        <v/>
      </c>
      <c r="AK61" t="str">
        <f>IFERROR(T61&amp;"*"&amp;ROUND(X61*(U61/$AP61)/VLOOKUP(T61,商品!$A$4:$D$67,4,FALSE),0),"")</f>
        <v/>
      </c>
      <c r="AL61" t="str">
        <f>IFERROR(V61&amp;"*"&amp;ROUND(X61*(W61/$AP61)/VLOOKUP(V61,商品!$A$4:$D$67,4,FALSE),0),"")</f>
        <v/>
      </c>
      <c r="AN61">
        <f t="shared" si="5"/>
        <v>0</v>
      </c>
      <c r="AO61">
        <f t="shared" si="6"/>
        <v>0</v>
      </c>
      <c r="AP61">
        <f t="shared" si="7"/>
        <v>0</v>
      </c>
    </row>
    <row r="62" customHeight="1" spans="1:42">
      <c r="A62" s="5" t="s">
        <v>301</v>
      </c>
      <c r="C62" s="5">
        <v>2</v>
      </c>
      <c r="D62" s="1" t="s">
        <v>222</v>
      </c>
      <c r="E62" s="1" t="s">
        <v>224</v>
      </c>
      <c r="L62" s="1">
        <f>IFERROR(VLOOKUP($D62&amp;$C62,生产方式定位!$A$2:$E$38,2,FALSE)+VLOOKUP($E62&amp;$C62,生产方式定位!$F$3:$J$38,2,FALSE),0)</f>
        <v>2200</v>
      </c>
      <c r="S62" s="1">
        <f>IFERROR(VLOOKUP($D62&amp;$C62,生产方式定位!$A$2:$E$38,3,FALSE)+VLOOKUP($E62&amp;$C62,生产方式定位!$F$3:$J$38,3,FALSE),0)</f>
        <v>750</v>
      </c>
      <c r="X62" s="1">
        <f>IFERROR(VLOOKUP($D62&amp;$C62,生产方式定位!$A$2:$E$38,5,FALSE)+VLOOKUP($E62&amp;$C62,生产方式定位!$F$3:$J$38,5,FALSE),"错误")</f>
        <v>1547</v>
      </c>
      <c r="Y62" s="27" t="str">
        <f t="shared" si="0"/>
        <v/>
      </c>
      <c r="Z62" s="37" t="str">
        <f t="shared" si="4"/>
        <v/>
      </c>
      <c r="AA62" s="37" t="str">
        <f t="shared" si="1"/>
        <v/>
      </c>
      <c r="AB62" s="28">
        <f t="shared" si="2"/>
        <v>1.42</v>
      </c>
      <c r="AC62" s="37"/>
      <c r="AD62" s="38">
        <f t="shared" si="3"/>
        <v>2</v>
      </c>
      <c r="AE62" t="str">
        <f>IFERROR(F62&amp;"*"&amp;ROUND(L62*(G62/$AN62)/VLOOKUP(F62,商品!$A$4:$D$67,4,FALSE),0),"")</f>
        <v/>
      </c>
      <c r="AF62" t="str">
        <f>IFERROR(H62&amp;"*"&amp;ROUND(L62*(I62/$AN62)/VLOOKUP(H62,商品!$A$4:$D$67,4,FALSE),0),"")</f>
        <v/>
      </c>
      <c r="AG62" t="str">
        <f>IFERROR(J62&amp;"*"&amp;ROUND(L62*(K62/$AN62)/VLOOKUP(J62,商品!$A$4:$D$67,4,FALSE),0),"")</f>
        <v/>
      </c>
      <c r="AH62" t="str">
        <f>IFERROR(M62&amp;"*"&amp;ROUND(S62*(N62/$AO62)/VLOOKUP(M62,职业!$A$3:$E$16,4,FALSE),0),"")</f>
        <v/>
      </c>
      <c r="AI62" t="str">
        <f>IFERROR(O62&amp;"*"&amp;ROUND(S62*(P62/$AO62)/VLOOKUP(O62,职业!$A$3:$E$16,4,FALSE),0),"")</f>
        <v/>
      </c>
      <c r="AK62" t="str">
        <f>IFERROR(T62&amp;"*"&amp;ROUND(X62*(U62/$AP62)/VLOOKUP(T62,商品!$A$4:$D$67,4,FALSE),0),"")</f>
        <v/>
      </c>
      <c r="AL62" t="str">
        <f>IFERROR(V62&amp;"*"&amp;ROUND(X62*(W62/$AP62)/VLOOKUP(V62,商品!$A$4:$D$67,4,FALSE),0),"")</f>
        <v/>
      </c>
      <c r="AN62">
        <f t="shared" si="5"/>
        <v>0</v>
      </c>
      <c r="AO62">
        <f t="shared" si="6"/>
        <v>0</v>
      </c>
      <c r="AP62">
        <f t="shared" si="7"/>
        <v>0</v>
      </c>
    </row>
    <row r="63" customHeight="1" spans="1:42">
      <c r="A63" s="5" t="s">
        <v>301</v>
      </c>
      <c r="C63" s="5">
        <v>3</v>
      </c>
      <c r="D63" s="1" t="s">
        <v>222</v>
      </c>
      <c r="E63" s="1" t="s">
        <v>224</v>
      </c>
      <c r="L63" s="1">
        <f>IFERROR(VLOOKUP($D63&amp;$C63,生产方式定位!$A$2:$E$38,2,FALSE)+VLOOKUP($E63&amp;$C63,生产方式定位!$F$3:$J$38,2,FALSE),0)</f>
        <v>3400</v>
      </c>
      <c r="S63" s="1">
        <f>IFERROR(VLOOKUP($D63&amp;$C63,生产方式定位!$A$2:$E$38,3,FALSE)+VLOOKUP($E63&amp;$C63,生产方式定位!$F$3:$J$38,3,FALSE),0)</f>
        <v>1000</v>
      </c>
      <c r="X63" s="1">
        <f>IFERROR(VLOOKUP($D63&amp;$C63,生产方式定位!$A$2:$E$38,5,FALSE)+VLOOKUP($E63&amp;$C63,生产方式定位!$F$3:$J$38,5,FALSE),"错误")</f>
        <v>2488</v>
      </c>
      <c r="Y63" s="27" t="str">
        <f t="shared" si="0"/>
        <v/>
      </c>
      <c r="Z63" s="37" t="str">
        <f t="shared" si="4"/>
        <v/>
      </c>
      <c r="AA63" s="37" t="str">
        <f t="shared" si="1"/>
        <v/>
      </c>
      <c r="AB63" s="28">
        <f t="shared" si="2"/>
        <v>1.37</v>
      </c>
      <c r="AC63" s="37"/>
      <c r="AD63" s="38">
        <f t="shared" si="3"/>
        <v>3</v>
      </c>
      <c r="AE63" t="str">
        <f>IFERROR(F63&amp;"*"&amp;ROUND(L63*(G63/$AN63)/VLOOKUP(F63,商品!$A$4:$D$67,4,FALSE),0),"")</f>
        <v/>
      </c>
      <c r="AF63" t="str">
        <f>IFERROR(H63&amp;"*"&amp;ROUND(L63*(I63/$AN63)/VLOOKUP(H63,商品!$A$4:$D$67,4,FALSE),0),"")</f>
        <v/>
      </c>
      <c r="AG63" t="str">
        <f>IFERROR(J63&amp;"*"&amp;ROUND(L63*(K63/$AN63)/VLOOKUP(J63,商品!$A$4:$D$67,4,FALSE),0),"")</f>
        <v/>
      </c>
      <c r="AH63" t="str">
        <f>IFERROR(M63&amp;"*"&amp;ROUND(S63*(N63/$AO63)/VLOOKUP(M63,职业!$A$3:$E$16,4,FALSE),0),"")</f>
        <v/>
      </c>
      <c r="AI63" t="str">
        <f>IFERROR(O63&amp;"*"&amp;ROUND(S63*(P63/$AO63)/VLOOKUP(O63,职业!$A$3:$E$16,4,FALSE),0),"")</f>
        <v/>
      </c>
      <c r="AK63" t="str">
        <f>IFERROR(T63&amp;"*"&amp;ROUND(X63*(U63/$AP63)/VLOOKUP(T63,商品!$A$4:$D$67,4,FALSE),0),"")</f>
        <v/>
      </c>
      <c r="AL63" t="str">
        <f>IFERROR(V63&amp;"*"&amp;ROUND(X63*(W63/$AP63)/VLOOKUP(V63,商品!$A$4:$D$67,4,FALSE),0),"")</f>
        <v/>
      </c>
      <c r="AN63">
        <f t="shared" si="5"/>
        <v>0</v>
      </c>
      <c r="AO63">
        <f t="shared" si="6"/>
        <v>0</v>
      </c>
      <c r="AP63">
        <f t="shared" si="7"/>
        <v>0</v>
      </c>
    </row>
    <row r="64" customHeight="1" spans="1:42">
      <c r="A64" s="5" t="s">
        <v>301</v>
      </c>
      <c r="C64" s="5">
        <v>4</v>
      </c>
      <c r="D64" s="1" t="s">
        <v>222</v>
      </c>
      <c r="E64" s="1" t="s">
        <v>224</v>
      </c>
      <c r="L64" s="1">
        <f>IFERROR(VLOOKUP($D64&amp;$C64,生产方式定位!$A$2:$E$38,2,FALSE)+VLOOKUP($E64&amp;$C64,生产方式定位!$F$3:$J$38,2,FALSE),0)</f>
        <v>4600</v>
      </c>
      <c r="S64" s="1">
        <f>IFERROR(VLOOKUP($D64&amp;$C64,生产方式定位!$A$2:$E$38,3,FALSE)+VLOOKUP($E64&amp;$C64,生产方式定位!$F$3:$J$38,3,FALSE),0)</f>
        <v>1250</v>
      </c>
      <c r="X64" s="1">
        <f>IFERROR(VLOOKUP($D64&amp;$C64,生产方式定位!$A$2:$E$38,5,FALSE)+VLOOKUP($E64&amp;$C64,生产方式定位!$F$3:$J$38,5,FALSE),"错误")</f>
        <v>3573</v>
      </c>
      <c r="Y64" s="27" t="str">
        <f t="shared" si="0"/>
        <v/>
      </c>
      <c r="Z64" s="37" t="str">
        <f t="shared" si="4"/>
        <v/>
      </c>
      <c r="AA64" s="37" t="str">
        <f t="shared" si="1"/>
        <v/>
      </c>
      <c r="AB64" s="28">
        <f t="shared" si="2"/>
        <v>1.29</v>
      </c>
      <c r="AC64" s="37"/>
      <c r="AD64" s="38">
        <f t="shared" si="3"/>
        <v>4</v>
      </c>
      <c r="AE64" t="str">
        <f>IFERROR(F64&amp;"*"&amp;ROUND(L64*(G64/$AN64)/VLOOKUP(F64,商品!$A$4:$D$67,4,FALSE),0),"")</f>
        <v/>
      </c>
      <c r="AF64" t="str">
        <f>IFERROR(H64&amp;"*"&amp;ROUND(L64*(I64/$AN64)/VLOOKUP(H64,商品!$A$4:$D$67,4,FALSE),0),"")</f>
        <v/>
      </c>
      <c r="AG64" t="str">
        <f>IFERROR(J64&amp;"*"&amp;ROUND(L64*(K64/$AN64)/VLOOKUP(J64,商品!$A$4:$D$67,4,FALSE),0),"")</f>
        <v/>
      </c>
      <c r="AH64" t="str">
        <f>IFERROR(M64&amp;"*"&amp;ROUND(S64*(N64/$AO64)/VLOOKUP(M64,职业!$A$3:$E$16,4,FALSE),0),"")</f>
        <v/>
      </c>
      <c r="AI64" t="str">
        <f>IFERROR(O64&amp;"*"&amp;ROUND(S64*(P64/$AO64)/VLOOKUP(O64,职业!$A$3:$E$16,4,FALSE),0),"")</f>
        <v/>
      </c>
      <c r="AK64" t="str">
        <f>IFERROR(T64&amp;"*"&amp;ROUND(X64*(U64/$AP64)/VLOOKUP(T64,商品!$A$4:$D$67,4,FALSE),0),"")</f>
        <v/>
      </c>
      <c r="AL64" t="str">
        <f>IFERROR(V64&amp;"*"&amp;ROUND(X64*(W64/$AP64)/VLOOKUP(V64,商品!$A$4:$D$67,4,FALSE),0),"")</f>
        <v/>
      </c>
      <c r="AN64">
        <f t="shared" si="5"/>
        <v>0</v>
      </c>
      <c r="AO64">
        <f t="shared" si="6"/>
        <v>0</v>
      </c>
      <c r="AP64">
        <f t="shared" si="7"/>
        <v>0</v>
      </c>
    </row>
    <row r="65" customHeight="1" spans="1:42">
      <c r="A65" s="5" t="s">
        <v>301</v>
      </c>
      <c r="C65" s="5">
        <v>5</v>
      </c>
      <c r="D65" s="1" t="s">
        <v>222</v>
      </c>
      <c r="E65" s="1" t="s">
        <v>224</v>
      </c>
      <c r="L65" s="1">
        <f>IFERROR(VLOOKUP($D65&amp;$C65,生产方式定位!$A$2:$E$38,2,FALSE)+VLOOKUP($E65&amp;$C65,生产方式定位!$F$3:$J$38,2,FALSE),0)</f>
        <v>5800</v>
      </c>
      <c r="S65" s="1">
        <f>IFERROR(VLOOKUP($D65&amp;$C65,生产方式定位!$A$2:$E$38,3,FALSE)+VLOOKUP($E65&amp;$C65,生产方式定位!$F$3:$J$38,3,FALSE),0)</f>
        <v>1500</v>
      </c>
      <c r="X65" s="1">
        <f>IFERROR(VLOOKUP($D65&amp;$C65,生产方式定位!$A$2:$E$38,5,FALSE)+VLOOKUP($E65&amp;$C65,生产方式定位!$F$3:$J$38,5,FALSE),"错误")</f>
        <v>4850</v>
      </c>
      <c r="Y65" s="27" t="str">
        <f t="shared" si="0"/>
        <v/>
      </c>
      <c r="Z65" s="37" t="str">
        <f t="shared" si="4"/>
        <v/>
      </c>
      <c r="AA65" s="37" t="str">
        <f t="shared" si="1"/>
        <v/>
      </c>
      <c r="AB65" s="28">
        <f t="shared" si="2"/>
        <v>1.2</v>
      </c>
      <c r="AC65" s="37"/>
      <c r="AD65" s="38">
        <f t="shared" si="3"/>
        <v>5</v>
      </c>
      <c r="AE65" t="str">
        <f>IFERROR(F65&amp;"*"&amp;ROUND(L65*(G65/$AN65)/VLOOKUP(F65,商品!$A$4:$D$67,4,FALSE),0),"")</f>
        <v/>
      </c>
      <c r="AF65" t="str">
        <f>IFERROR(H65&amp;"*"&amp;ROUND(L65*(I65/$AN65)/VLOOKUP(H65,商品!$A$4:$D$67,4,FALSE),0),"")</f>
        <v/>
      </c>
      <c r="AG65" t="str">
        <f>IFERROR(J65&amp;"*"&amp;ROUND(L65*(K65/$AN65)/VLOOKUP(J65,商品!$A$4:$D$67,4,FALSE),0),"")</f>
        <v/>
      </c>
      <c r="AH65" t="str">
        <f>IFERROR(M65&amp;"*"&amp;ROUND(S65*(N65/$AO65)/VLOOKUP(M65,职业!$A$3:$E$16,4,FALSE),0),"")</f>
        <v/>
      </c>
      <c r="AI65" t="str">
        <f>IFERROR(O65&amp;"*"&amp;ROUND(S65*(P65/$AO65)/VLOOKUP(O65,职业!$A$3:$E$16,4,FALSE),0),"")</f>
        <v/>
      </c>
      <c r="AK65" t="str">
        <f>IFERROR(T65&amp;"*"&amp;ROUND(X65*(U65/$AP65)/VLOOKUP(T65,商品!$A$4:$D$67,4,FALSE),0),"")</f>
        <v/>
      </c>
      <c r="AL65" t="str">
        <f>IFERROR(V65&amp;"*"&amp;ROUND(X65*(W65/$AP65)/VLOOKUP(V65,商品!$A$4:$D$67,4,FALSE),0),"")</f>
        <v/>
      </c>
      <c r="AN65">
        <f t="shared" si="5"/>
        <v>0</v>
      </c>
      <c r="AO65">
        <f t="shared" si="6"/>
        <v>0</v>
      </c>
      <c r="AP65">
        <f t="shared" si="7"/>
        <v>0</v>
      </c>
    </row>
    <row r="66" customHeight="1" spans="1:42">
      <c r="A66" s="18" t="s">
        <v>302</v>
      </c>
      <c r="C66" s="18">
        <v>1</v>
      </c>
      <c r="D66" s="1" t="s">
        <v>222</v>
      </c>
      <c r="E66" s="1" t="s">
        <v>226</v>
      </c>
      <c r="L66" s="1">
        <f>IFERROR(VLOOKUP($D66&amp;$C66,生产方式定位!$A$2:$E$38,2,FALSE)+VLOOKUP($E66&amp;$C66,生产方式定位!$F$3:$J$38,2,FALSE),0)</f>
        <v>0</v>
      </c>
      <c r="S66" s="1">
        <f>IFERROR(VLOOKUP($D66&amp;$C66,生产方式定位!$A$2:$E$38,3,FALSE)+VLOOKUP($E66&amp;$C66,生产方式定位!$F$3:$J$38,3,FALSE),0)</f>
        <v>500</v>
      </c>
      <c r="X66" s="1">
        <f>IFERROR(VLOOKUP($D66&amp;$C66,生产方式定位!$A$2:$E$38,5,FALSE)+VLOOKUP($E66&amp;$C66,生产方式定位!$F$3:$J$38,5,FALSE),"错误")</f>
        <v>250</v>
      </c>
      <c r="Y66" s="27" t="str">
        <f t="shared" si="0"/>
        <v/>
      </c>
      <c r="Z66" s="37" t="str">
        <f t="shared" si="4"/>
        <v/>
      </c>
      <c r="AA66" s="37" t="str">
        <f t="shared" si="1"/>
        <v/>
      </c>
      <c r="AB66" s="28">
        <f t="shared" si="2"/>
        <v>0</v>
      </c>
      <c r="AC66" s="37"/>
      <c r="AD66" s="38">
        <f t="shared" si="3"/>
        <v>1</v>
      </c>
      <c r="AE66" t="str">
        <f>IFERROR(F66&amp;"*"&amp;ROUND(L66*(G66/$AN66)/VLOOKUP(F66,商品!$A$4:$D$67,4,FALSE),0),"")</f>
        <v/>
      </c>
      <c r="AF66" t="str">
        <f>IFERROR(H66&amp;"*"&amp;ROUND(L66*(I66/$AN66)/VLOOKUP(H66,商品!$A$4:$D$67,4,FALSE),0),"")</f>
        <v/>
      </c>
      <c r="AG66" t="str">
        <f>IFERROR(J66&amp;"*"&amp;ROUND(L66*(K66/$AN66)/VLOOKUP(J66,商品!$A$4:$D$67,4,FALSE),0),"")</f>
        <v/>
      </c>
      <c r="AH66" t="str">
        <f>IFERROR(M66&amp;"*"&amp;ROUND(S66*(N66/$AO66)/VLOOKUP(M66,职业!$A$3:$E$16,4,FALSE),0),"")</f>
        <v/>
      </c>
      <c r="AI66" t="str">
        <f>IFERROR(O66&amp;"*"&amp;ROUND(S66*(P66/$AO66)/VLOOKUP(O66,职业!$A$3:$E$16,4,FALSE),0),"")</f>
        <v/>
      </c>
      <c r="AK66" t="str">
        <f>IFERROR(T66&amp;"*"&amp;ROUND(X66*(U66/$AP66)/VLOOKUP(T66,商品!$A$4:$D$67,4,FALSE),0),"")</f>
        <v/>
      </c>
      <c r="AL66" t="str">
        <f>IFERROR(V66&amp;"*"&amp;ROUND(X66*(W66/$AP66)/VLOOKUP(V66,商品!$A$4:$D$67,4,FALSE),0),"")</f>
        <v/>
      </c>
      <c r="AN66">
        <f t="shared" si="5"/>
        <v>0</v>
      </c>
      <c r="AO66">
        <f t="shared" si="6"/>
        <v>0</v>
      </c>
      <c r="AP66">
        <f t="shared" si="7"/>
        <v>0</v>
      </c>
    </row>
    <row r="67" customHeight="1" spans="1:42">
      <c r="A67" s="18" t="s">
        <v>302</v>
      </c>
      <c r="C67" s="18">
        <v>2</v>
      </c>
      <c r="D67" s="1" t="s">
        <v>222</v>
      </c>
      <c r="E67" s="1" t="s">
        <v>226</v>
      </c>
      <c r="L67" s="1">
        <f>IFERROR(VLOOKUP($D67&amp;$C67,生产方式定位!$A$2:$E$38,2,FALSE)+VLOOKUP($E67&amp;$C67,生产方式定位!$F$3:$J$38,2,FALSE),0)</f>
        <v>3200</v>
      </c>
      <c r="S67" s="1">
        <f>IFERROR(VLOOKUP($D67&amp;$C67,生产方式定位!$A$2:$E$38,3,FALSE)+VLOOKUP($E67&amp;$C67,生产方式定位!$F$3:$J$38,3,FALSE),0)</f>
        <v>350</v>
      </c>
      <c r="X67" s="1">
        <f>IFERROR(VLOOKUP($D67&amp;$C67,生产方式定位!$A$2:$E$38,5,FALSE)+VLOOKUP($E67&amp;$C67,生产方式定位!$F$3:$J$38,5,FALSE),"错误")</f>
        <v>1865</v>
      </c>
      <c r="Y67" s="27" t="str">
        <f t="shared" si="0"/>
        <v/>
      </c>
      <c r="Z67" s="37" t="str">
        <f t="shared" si="4"/>
        <v/>
      </c>
      <c r="AA67" s="37" t="str">
        <f t="shared" si="1"/>
        <v/>
      </c>
      <c r="AB67" s="28">
        <f t="shared" si="2"/>
        <v>1.72</v>
      </c>
      <c r="AC67" s="37"/>
      <c r="AD67" s="38">
        <f t="shared" si="3"/>
        <v>2</v>
      </c>
      <c r="AE67" t="str">
        <f>IFERROR(F67&amp;"*"&amp;ROUND(L67*(G67/$AN67)/VLOOKUP(F67,商品!$A$4:$D$67,4,FALSE),0),"")</f>
        <v/>
      </c>
      <c r="AF67" t="str">
        <f>IFERROR(H67&amp;"*"&amp;ROUND(L67*(I67/$AN67)/VLOOKUP(H67,商品!$A$4:$D$67,4,FALSE),0),"")</f>
        <v/>
      </c>
      <c r="AG67" t="str">
        <f>IFERROR(J67&amp;"*"&amp;ROUND(L67*(K67/$AN67)/VLOOKUP(J67,商品!$A$4:$D$67,4,FALSE),0),"")</f>
        <v/>
      </c>
      <c r="AH67" t="str">
        <f>IFERROR(M67&amp;"*"&amp;ROUND(S67*(N67/$AO67)/VLOOKUP(M67,职业!$A$3:$E$16,4,FALSE),0),"")</f>
        <v/>
      </c>
      <c r="AI67" t="str">
        <f>IFERROR(O67&amp;"*"&amp;ROUND(S67*(P67/$AO67)/VLOOKUP(O67,职业!$A$3:$E$16,4,FALSE),0),"")</f>
        <v/>
      </c>
      <c r="AK67" t="str">
        <f>IFERROR(T67&amp;"*"&amp;ROUND(X67*(U67/$AP67)/VLOOKUP(T67,商品!$A$4:$D$67,4,FALSE),0),"")</f>
        <v/>
      </c>
      <c r="AL67" t="str">
        <f>IFERROR(V67&amp;"*"&amp;ROUND(X67*(W67/$AP67)/VLOOKUP(V67,商品!$A$4:$D$67,4,FALSE),0),"")</f>
        <v/>
      </c>
      <c r="AN67">
        <f t="shared" si="5"/>
        <v>0</v>
      </c>
      <c r="AO67">
        <f t="shared" si="6"/>
        <v>0</v>
      </c>
      <c r="AP67">
        <f t="shared" si="7"/>
        <v>0</v>
      </c>
    </row>
    <row r="68" customHeight="1" spans="1:42">
      <c r="A68" s="18" t="s">
        <v>302</v>
      </c>
      <c r="C68" s="18">
        <v>3</v>
      </c>
      <c r="D68" s="1" t="s">
        <v>222</v>
      </c>
      <c r="E68" s="1" t="s">
        <v>226</v>
      </c>
      <c r="L68" s="1">
        <f>IFERROR(VLOOKUP($D68&amp;$C68,生产方式定位!$A$2:$E$38,2,FALSE)+VLOOKUP($E68&amp;$C68,生产方式定位!$F$3:$J$38,2,FALSE),0)</f>
        <v>4400</v>
      </c>
      <c r="S68" s="1">
        <f>IFERROR(VLOOKUP($D68&amp;$C68,生产方式定位!$A$2:$E$38,3,FALSE)+VLOOKUP($E68&amp;$C68,生产方式定位!$F$3:$J$38,3,FALSE),0)</f>
        <v>200</v>
      </c>
      <c r="X68" s="1">
        <f>IFERROR(VLOOKUP($D68&amp;$C68,生产方式定位!$A$2:$E$38,5,FALSE)+VLOOKUP($E68&amp;$C68,生产方式定位!$F$3:$J$38,5,FALSE),"错误")</f>
        <v>2560</v>
      </c>
      <c r="Y68" s="27" t="str">
        <f t="shared" si="0"/>
        <v/>
      </c>
      <c r="Z68" s="37" t="str">
        <f t="shared" si="4"/>
        <v/>
      </c>
      <c r="AA68" s="37" t="str">
        <f t="shared" si="1"/>
        <v/>
      </c>
      <c r="AB68" s="28">
        <f t="shared" si="2"/>
        <v>1.72</v>
      </c>
      <c r="AC68" s="37"/>
      <c r="AD68" s="38">
        <f t="shared" si="3"/>
        <v>3</v>
      </c>
      <c r="AE68" t="str">
        <f>IFERROR(F68&amp;"*"&amp;ROUND(L68*(G68/$AN68)/VLOOKUP(F68,商品!$A$4:$D$67,4,FALSE),0),"")</f>
        <v/>
      </c>
      <c r="AF68" t="str">
        <f>IFERROR(H68&amp;"*"&amp;ROUND(L68*(I68/$AN68)/VLOOKUP(H68,商品!$A$4:$D$67,4,FALSE),0),"")</f>
        <v/>
      </c>
      <c r="AG68" t="str">
        <f>IFERROR(J68&amp;"*"&amp;ROUND(L68*(K68/$AN68)/VLOOKUP(J68,商品!$A$4:$D$67,4,FALSE),0),"")</f>
        <v/>
      </c>
      <c r="AH68" t="str">
        <f>IFERROR(M68&amp;"*"&amp;ROUND(S68*(N68/$AO68)/VLOOKUP(M68,职业!$A$3:$E$16,4,FALSE),0),"")</f>
        <v/>
      </c>
      <c r="AI68" t="str">
        <f>IFERROR(O68&amp;"*"&amp;ROUND(S68*(P68/$AO68)/VLOOKUP(O68,职业!$A$3:$E$16,4,FALSE),0),"")</f>
        <v/>
      </c>
      <c r="AK68" t="str">
        <f>IFERROR(T68&amp;"*"&amp;ROUND(X68*(U68/$AP68)/VLOOKUP(T68,商品!$A$4:$D$67,4,FALSE),0),"")</f>
        <v/>
      </c>
      <c r="AL68" t="str">
        <f>IFERROR(V68&amp;"*"&amp;ROUND(X68*(W68/$AP68)/VLOOKUP(V68,商品!$A$4:$D$67,4,FALSE),0),"")</f>
        <v/>
      </c>
      <c r="AN68">
        <f t="shared" si="5"/>
        <v>0</v>
      </c>
      <c r="AO68">
        <f t="shared" si="6"/>
        <v>0</v>
      </c>
      <c r="AP68">
        <f t="shared" si="7"/>
        <v>0</v>
      </c>
    </row>
    <row r="69" customHeight="1" spans="1:42">
      <c r="A69" s="18" t="s">
        <v>302</v>
      </c>
      <c r="C69" s="18">
        <v>4</v>
      </c>
      <c r="D69" s="1" t="s">
        <v>222</v>
      </c>
      <c r="E69" s="1" t="s">
        <v>226</v>
      </c>
      <c r="L69" s="1">
        <f>IFERROR(VLOOKUP($D69&amp;$C69,生产方式定位!$A$2:$E$38,2,FALSE)+VLOOKUP($E69&amp;$C69,生产方式定位!$F$3:$J$38,2,FALSE),0)</f>
        <v>5600</v>
      </c>
      <c r="S69" s="1">
        <f>IFERROR(VLOOKUP($D69&amp;$C69,生产方式定位!$A$2:$E$38,3,FALSE)+VLOOKUP($E69&amp;$C69,生产方式定位!$F$3:$J$38,3,FALSE),0)</f>
        <v>50</v>
      </c>
      <c r="X69" s="1">
        <f>IFERROR(VLOOKUP($D69&amp;$C69,生产方式定位!$A$2:$E$38,5,FALSE)+VLOOKUP($E69&amp;$C69,生产方式定位!$F$3:$J$38,5,FALSE),"错误")</f>
        <v>3335</v>
      </c>
      <c r="Y69" s="27" t="str">
        <f t="shared" ref="Y69:Y132" si="8">IF(AE69="","",AE69)&amp;IF(AF69="","",","&amp;AF69)&amp;IF(AG69="","",","&amp;AG69)</f>
        <v/>
      </c>
      <c r="Z69" s="37" t="str">
        <f t="shared" ref="Z69:Z132" si="9">IF(AH69="","",AH69)&amp;IF(AI69="","",","&amp;AI69)</f>
        <v/>
      </c>
      <c r="AA69" s="37" t="str">
        <f t="shared" ref="AA69:AA132" si="10">IF(AK69="","",AK69)&amp;IF(AL69="","",","&amp;AL69)</f>
        <v/>
      </c>
      <c r="AB69" s="28">
        <f t="shared" ref="AB69:AB132" si="11">IFERROR(ROUND(L69/X69,2),"")</f>
        <v>1.68</v>
      </c>
      <c r="AC69" s="37"/>
      <c r="AD69" s="38">
        <f t="shared" ref="AD69:AD132" si="12">C69</f>
        <v>4</v>
      </c>
      <c r="AE69" t="str">
        <f>IFERROR(F69&amp;"*"&amp;ROUND(L69*(G69/$AN69)/VLOOKUP(F69,商品!$A$4:$D$67,4,FALSE),0),"")</f>
        <v/>
      </c>
      <c r="AF69" t="str">
        <f>IFERROR(H69&amp;"*"&amp;ROUND(L69*(I69/$AN69)/VLOOKUP(H69,商品!$A$4:$D$67,4,FALSE),0),"")</f>
        <v/>
      </c>
      <c r="AG69" t="str">
        <f>IFERROR(J69&amp;"*"&amp;ROUND(L69*(K69/$AN69)/VLOOKUP(J69,商品!$A$4:$D$67,4,FALSE),0),"")</f>
        <v/>
      </c>
      <c r="AH69" t="str">
        <f>IFERROR(M69&amp;"*"&amp;ROUND(S69*(N69/$AO69)/VLOOKUP(M69,职业!$A$3:$E$16,4,FALSE),0),"")</f>
        <v/>
      </c>
      <c r="AI69" t="str">
        <f>IFERROR(O69&amp;"*"&amp;ROUND(S69*(P69/$AO69)/VLOOKUP(O69,职业!$A$3:$E$16,4,FALSE),0),"")</f>
        <v/>
      </c>
      <c r="AK69" t="str">
        <f>IFERROR(T69&amp;"*"&amp;ROUND(X69*(U69/$AP69)/VLOOKUP(T69,商品!$A$4:$D$67,4,FALSE),0),"")</f>
        <v/>
      </c>
      <c r="AL69" t="str">
        <f>IFERROR(V69&amp;"*"&amp;ROUND(X69*(W69/$AP69)/VLOOKUP(V69,商品!$A$4:$D$67,4,FALSE),0),"")</f>
        <v/>
      </c>
      <c r="AN69">
        <f t="shared" si="5"/>
        <v>0</v>
      </c>
      <c r="AO69">
        <f t="shared" si="6"/>
        <v>0</v>
      </c>
      <c r="AP69">
        <f t="shared" si="7"/>
        <v>0</v>
      </c>
    </row>
    <row r="70" customHeight="1" spans="1:42">
      <c r="A70" s="18" t="s">
        <v>302</v>
      </c>
      <c r="C70" s="18">
        <v>5</v>
      </c>
      <c r="D70" s="1" t="s">
        <v>222</v>
      </c>
      <c r="E70" s="1" t="s">
        <v>226</v>
      </c>
      <c r="L70" s="1">
        <f>IFERROR(VLOOKUP($D70&amp;$C70,生产方式定位!$A$2:$E$38,2,FALSE)+VLOOKUP($E70&amp;$C70,生产方式定位!$F$3:$J$38,2,FALSE),0)</f>
        <v>6800</v>
      </c>
      <c r="S70" s="1">
        <f>IFERROR(VLOOKUP($D70&amp;$C70,生产方式定位!$A$2:$E$38,3,FALSE)+VLOOKUP($E70&amp;$C70,生产方式定位!$F$3:$J$38,3,FALSE),0)</f>
        <v>-100</v>
      </c>
      <c r="X70" s="1">
        <f>IFERROR(VLOOKUP($D70&amp;$C70,生产方式定位!$A$2:$E$38,5,FALSE)+VLOOKUP($E70&amp;$C70,生产方式定位!$F$3:$J$38,5,FALSE),"错误")</f>
        <v>4190</v>
      </c>
      <c r="Y70" s="27" t="str">
        <f t="shared" si="8"/>
        <v/>
      </c>
      <c r="Z70" s="37" t="str">
        <f t="shared" si="9"/>
        <v/>
      </c>
      <c r="AA70" s="37" t="str">
        <f t="shared" si="10"/>
        <v/>
      </c>
      <c r="AB70" s="28">
        <f t="shared" si="11"/>
        <v>1.62</v>
      </c>
      <c r="AC70" s="37"/>
      <c r="AD70" s="38">
        <f t="shared" si="12"/>
        <v>5</v>
      </c>
      <c r="AE70" t="str">
        <f>IFERROR(F70&amp;"*"&amp;ROUND(L70*(G70/$AN70)/VLOOKUP(F70,商品!$A$4:$D$67,4,FALSE),0),"")</f>
        <v/>
      </c>
      <c r="AF70" t="str">
        <f>IFERROR(H70&amp;"*"&amp;ROUND(L70*(I70/$AN70)/VLOOKUP(H70,商品!$A$4:$D$67,4,FALSE),0),"")</f>
        <v/>
      </c>
      <c r="AG70" t="str">
        <f>IFERROR(J70&amp;"*"&amp;ROUND(L70*(K70/$AN70)/VLOOKUP(J70,商品!$A$4:$D$67,4,FALSE),0),"")</f>
        <v/>
      </c>
      <c r="AH70" t="str">
        <f>IFERROR(M70&amp;"*"&amp;ROUND(S70*(N70/$AO70)/VLOOKUP(M70,职业!$A$3:$E$16,4,FALSE),0),"")</f>
        <v/>
      </c>
      <c r="AI70" t="str">
        <f>IFERROR(O70&amp;"*"&amp;ROUND(S70*(P70/$AO70)/VLOOKUP(O70,职业!$A$3:$E$16,4,FALSE),0),"")</f>
        <v/>
      </c>
      <c r="AK70" t="str">
        <f>IFERROR(T70&amp;"*"&amp;ROUND(X70*(U70/$AP70)/VLOOKUP(T70,商品!$A$4:$D$67,4,FALSE),0),"")</f>
        <v/>
      </c>
      <c r="AL70" t="str">
        <f>IFERROR(V70&amp;"*"&amp;ROUND(X70*(W70/$AP70)/VLOOKUP(V70,商品!$A$4:$D$67,4,FALSE),0),"")</f>
        <v/>
      </c>
      <c r="AN70">
        <f t="shared" ref="AN70:AN133" si="13">G70+I70+K70</f>
        <v>0</v>
      </c>
      <c r="AO70">
        <f t="shared" ref="AO70:AO133" si="14">N70+P70+R70</f>
        <v>0</v>
      </c>
      <c r="AP70">
        <f t="shared" ref="AP70:AP133" si="15">U70+W70</f>
        <v>0</v>
      </c>
    </row>
    <row r="71" customHeight="1" spans="1:42">
      <c r="A71" s="5" t="s">
        <v>302</v>
      </c>
      <c r="C71" s="5">
        <v>1</v>
      </c>
      <c r="D71" s="1" t="s">
        <v>222</v>
      </c>
      <c r="E71" s="1" t="s">
        <v>226</v>
      </c>
      <c r="L71" s="1">
        <f>IFERROR(VLOOKUP($D71&amp;$C71,生产方式定位!$A$2:$E$38,2,FALSE)+VLOOKUP($E71&amp;$C71,生产方式定位!$F$3:$J$38,2,FALSE),0)</f>
        <v>0</v>
      </c>
      <c r="S71" s="1">
        <f>IFERROR(VLOOKUP($D71&amp;$C71,生产方式定位!$A$2:$E$38,3,FALSE)+VLOOKUP($E71&amp;$C71,生产方式定位!$F$3:$J$38,3,FALSE),0)</f>
        <v>500</v>
      </c>
      <c r="X71" s="1">
        <f>IFERROR(VLOOKUP($D71&amp;$C71,生产方式定位!$A$2:$E$38,5,FALSE)+VLOOKUP($E71&amp;$C71,生产方式定位!$F$3:$J$38,5,FALSE),"错误")</f>
        <v>250</v>
      </c>
      <c r="Y71" s="27" t="str">
        <f t="shared" si="8"/>
        <v/>
      </c>
      <c r="Z71" s="37" t="str">
        <f t="shared" si="9"/>
        <v/>
      </c>
      <c r="AA71" s="37" t="str">
        <f t="shared" si="10"/>
        <v/>
      </c>
      <c r="AB71" s="28">
        <f t="shared" si="11"/>
        <v>0</v>
      </c>
      <c r="AC71" s="37"/>
      <c r="AD71" s="38">
        <f t="shared" si="12"/>
        <v>1</v>
      </c>
      <c r="AE71" t="str">
        <f>IFERROR(F71&amp;"*"&amp;ROUND(L71*(G71/$AN71)/VLOOKUP(F71,商品!$A$4:$D$67,4,FALSE),0),"")</f>
        <v/>
      </c>
      <c r="AF71" t="str">
        <f>IFERROR(H71&amp;"*"&amp;ROUND(L71*(I71/$AN71)/VLOOKUP(H71,商品!$A$4:$D$67,4,FALSE),0),"")</f>
        <v/>
      </c>
      <c r="AG71" t="str">
        <f>IFERROR(J71&amp;"*"&amp;ROUND(L71*(K71/$AN71)/VLOOKUP(J71,商品!$A$4:$D$67,4,FALSE),0),"")</f>
        <v/>
      </c>
      <c r="AH71" t="str">
        <f>IFERROR(M71&amp;"*"&amp;ROUND(S71*(N71/$AO71)/VLOOKUP(M71,职业!$A$3:$E$16,4,FALSE),0),"")</f>
        <v/>
      </c>
      <c r="AI71" t="str">
        <f>IFERROR(O71&amp;"*"&amp;ROUND(S71*(P71/$AO71)/VLOOKUP(O71,职业!$A$3:$E$16,4,FALSE),0),"")</f>
        <v/>
      </c>
      <c r="AK71" t="str">
        <f>IFERROR(T71&amp;"*"&amp;ROUND(X71*(U71/$AP71)/VLOOKUP(T71,商品!$A$4:$D$67,4,FALSE),0),"")</f>
        <v/>
      </c>
      <c r="AL71" t="str">
        <f>IFERROR(V71&amp;"*"&amp;ROUND(X71*(W71/$AP71)/VLOOKUP(V71,商品!$A$4:$D$67,4,FALSE),0),"")</f>
        <v/>
      </c>
      <c r="AN71">
        <f t="shared" si="13"/>
        <v>0</v>
      </c>
      <c r="AO71">
        <f t="shared" si="14"/>
        <v>0</v>
      </c>
      <c r="AP71">
        <f t="shared" si="15"/>
        <v>0</v>
      </c>
    </row>
    <row r="72" customHeight="1" spans="1:42">
      <c r="A72" s="5" t="s">
        <v>302</v>
      </c>
      <c r="C72" s="5">
        <v>2</v>
      </c>
      <c r="D72" s="1" t="s">
        <v>222</v>
      </c>
      <c r="E72" s="1" t="s">
        <v>226</v>
      </c>
      <c r="L72" s="1">
        <f>IFERROR(VLOOKUP($D72&amp;$C72,生产方式定位!$A$2:$E$38,2,FALSE)+VLOOKUP($E72&amp;$C72,生产方式定位!$F$3:$J$38,2,FALSE),0)</f>
        <v>3200</v>
      </c>
      <c r="S72" s="1">
        <f>IFERROR(VLOOKUP($D72&amp;$C72,生产方式定位!$A$2:$E$38,3,FALSE)+VLOOKUP($E72&amp;$C72,生产方式定位!$F$3:$J$38,3,FALSE),0)</f>
        <v>350</v>
      </c>
      <c r="X72" s="1">
        <f>IFERROR(VLOOKUP($D72&amp;$C72,生产方式定位!$A$2:$E$38,5,FALSE)+VLOOKUP($E72&amp;$C72,生产方式定位!$F$3:$J$38,5,FALSE),"错误")</f>
        <v>1865</v>
      </c>
      <c r="Y72" s="27" t="str">
        <f t="shared" si="8"/>
        <v/>
      </c>
      <c r="Z72" s="37" t="str">
        <f t="shared" si="9"/>
        <v/>
      </c>
      <c r="AA72" s="37" t="str">
        <f t="shared" si="10"/>
        <v/>
      </c>
      <c r="AB72" s="28">
        <f t="shared" si="11"/>
        <v>1.72</v>
      </c>
      <c r="AC72" s="37"/>
      <c r="AD72" s="38">
        <f t="shared" si="12"/>
        <v>2</v>
      </c>
      <c r="AE72" t="str">
        <f>IFERROR(F72&amp;"*"&amp;ROUND(L72*(G72/$AN72)/VLOOKUP(F72,商品!$A$4:$D$67,4,FALSE),0),"")</f>
        <v/>
      </c>
      <c r="AF72" t="str">
        <f>IFERROR(H72&amp;"*"&amp;ROUND(L72*(I72/$AN72)/VLOOKUP(H72,商品!$A$4:$D$67,4,FALSE),0),"")</f>
        <v/>
      </c>
      <c r="AG72" t="str">
        <f>IFERROR(J72&amp;"*"&amp;ROUND(L72*(K72/$AN72)/VLOOKUP(J72,商品!$A$4:$D$67,4,FALSE),0),"")</f>
        <v/>
      </c>
      <c r="AH72" t="str">
        <f>IFERROR(M72&amp;"*"&amp;ROUND(S72*(N72/$AO72)/VLOOKUP(M72,职业!$A$3:$E$16,4,FALSE),0),"")</f>
        <v/>
      </c>
      <c r="AI72" t="str">
        <f>IFERROR(O72&amp;"*"&amp;ROUND(S72*(P72/$AO72)/VLOOKUP(O72,职业!$A$3:$E$16,4,FALSE),0),"")</f>
        <v/>
      </c>
      <c r="AK72" t="str">
        <f>IFERROR(T72&amp;"*"&amp;ROUND(X72*(U72/$AP72)/VLOOKUP(T72,商品!$A$4:$D$67,4,FALSE),0),"")</f>
        <v/>
      </c>
      <c r="AL72" t="str">
        <f>IFERROR(V72&amp;"*"&amp;ROUND(X72*(W72/$AP72)/VLOOKUP(V72,商品!$A$4:$D$67,4,FALSE),0),"")</f>
        <v/>
      </c>
      <c r="AN72">
        <f t="shared" si="13"/>
        <v>0</v>
      </c>
      <c r="AO72">
        <f t="shared" si="14"/>
        <v>0</v>
      </c>
      <c r="AP72">
        <f t="shared" si="15"/>
        <v>0</v>
      </c>
    </row>
    <row r="73" customHeight="1" spans="1:42">
      <c r="A73" s="5" t="s">
        <v>302</v>
      </c>
      <c r="C73" s="5">
        <v>3</v>
      </c>
      <c r="D73" s="1" t="s">
        <v>222</v>
      </c>
      <c r="E73" s="1" t="s">
        <v>226</v>
      </c>
      <c r="L73" s="1">
        <f>IFERROR(VLOOKUP($D73&amp;$C73,生产方式定位!$A$2:$E$38,2,FALSE)+VLOOKUP($E73&amp;$C73,生产方式定位!$F$3:$J$38,2,FALSE),0)</f>
        <v>4400</v>
      </c>
      <c r="S73" s="1">
        <f>IFERROR(VLOOKUP($D73&amp;$C73,生产方式定位!$A$2:$E$38,3,FALSE)+VLOOKUP($E73&amp;$C73,生产方式定位!$F$3:$J$38,3,FALSE),0)</f>
        <v>200</v>
      </c>
      <c r="X73" s="1">
        <f>IFERROR(VLOOKUP($D73&amp;$C73,生产方式定位!$A$2:$E$38,5,FALSE)+VLOOKUP($E73&amp;$C73,生产方式定位!$F$3:$J$38,5,FALSE),"错误")</f>
        <v>2560</v>
      </c>
      <c r="Y73" s="27" t="str">
        <f t="shared" si="8"/>
        <v/>
      </c>
      <c r="Z73" s="37" t="str">
        <f t="shared" si="9"/>
        <v/>
      </c>
      <c r="AA73" s="37" t="str">
        <f t="shared" si="10"/>
        <v/>
      </c>
      <c r="AB73" s="28">
        <f t="shared" si="11"/>
        <v>1.72</v>
      </c>
      <c r="AC73" s="37"/>
      <c r="AD73" s="38">
        <f t="shared" si="12"/>
        <v>3</v>
      </c>
      <c r="AE73" t="str">
        <f>IFERROR(F73&amp;"*"&amp;ROUND(L73*(G73/$AN73)/VLOOKUP(F73,商品!$A$4:$D$67,4,FALSE),0),"")</f>
        <v/>
      </c>
      <c r="AF73" t="str">
        <f>IFERROR(H73&amp;"*"&amp;ROUND(L73*(I73/$AN73)/VLOOKUP(H73,商品!$A$4:$D$67,4,FALSE),0),"")</f>
        <v/>
      </c>
      <c r="AG73" t="str">
        <f>IFERROR(J73&amp;"*"&amp;ROUND(L73*(K73/$AN73)/VLOOKUP(J73,商品!$A$4:$D$67,4,FALSE),0),"")</f>
        <v/>
      </c>
      <c r="AH73" t="str">
        <f>IFERROR(M73&amp;"*"&amp;ROUND(S73*(N73/$AO73)/VLOOKUP(M73,职业!$A$3:$E$16,4,FALSE),0),"")</f>
        <v/>
      </c>
      <c r="AI73" t="str">
        <f>IFERROR(O73&amp;"*"&amp;ROUND(S73*(P73/$AO73)/VLOOKUP(O73,职业!$A$3:$E$16,4,FALSE),0),"")</f>
        <v/>
      </c>
      <c r="AK73" t="str">
        <f>IFERROR(T73&amp;"*"&amp;ROUND(X73*(U73/$AP73)/VLOOKUP(T73,商品!$A$4:$D$67,4,FALSE),0),"")</f>
        <v/>
      </c>
      <c r="AL73" t="str">
        <f>IFERROR(V73&amp;"*"&amp;ROUND(X73*(W73/$AP73)/VLOOKUP(V73,商品!$A$4:$D$67,4,FALSE),0),"")</f>
        <v/>
      </c>
      <c r="AN73">
        <f t="shared" si="13"/>
        <v>0</v>
      </c>
      <c r="AO73">
        <f t="shared" si="14"/>
        <v>0</v>
      </c>
      <c r="AP73">
        <f t="shared" si="15"/>
        <v>0</v>
      </c>
    </row>
    <row r="74" customHeight="1" spans="1:42">
      <c r="A74" s="5" t="s">
        <v>302</v>
      </c>
      <c r="C74" s="5">
        <v>4</v>
      </c>
      <c r="D74" s="1" t="s">
        <v>222</v>
      </c>
      <c r="E74" s="1" t="s">
        <v>226</v>
      </c>
      <c r="L74" s="1">
        <f>IFERROR(VLOOKUP($D74&amp;$C74,生产方式定位!$A$2:$E$38,2,FALSE)+VLOOKUP($E74&amp;$C74,生产方式定位!$F$3:$J$38,2,FALSE),0)</f>
        <v>5600</v>
      </c>
      <c r="S74" s="1">
        <f>IFERROR(VLOOKUP($D74&amp;$C74,生产方式定位!$A$2:$E$38,3,FALSE)+VLOOKUP($E74&amp;$C74,生产方式定位!$F$3:$J$38,3,FALSE),0)</f>
        <v>50</v>
      </c>
      <c r="X74" s="1">
        <f>IFERROR(VLOOKUP($D74&amp;$C74,生产方式定位!$A$2:$E$38,5,FALSE)+VLOOKUP($E74&amp;$C74,生产方式定位!$F$3:$J$38,5,FALSE),"错误")</f>
        <v>3335</v>
      </c>
      <c r="Y74" s="27" t="str">
        <f t="shared" si="8"/>
        <v/>
      </c>
      <c r="Z74" s="37" t="str">
        <f t="shared" si="9"/>
        <v/>
      </c>
      <c r="AA74" s="37" t="str">
        <f t="shared" si="10"/>
        <v/>
      </c>
      <c r="AB74" s="28">
        <f t="shared" si="11"/>
        <v>1.68</v>
      </c>
      <c r="AC74" s="37"/>
      <c r="AD74" s="38">
        <f t="shared" si="12"/>
        <v>4</v>
      </c>
      <c r="AE74" t="str">
        <f>IFERROR(F74&amp;"*"&amp;ROUND(L74*(G74/$AN74)/VLOOKUP(F74,商品!$A$4:$D$67,4,FALSE),0),"")</f>
        <v/>
      </c>
      <c r="AF74" t="str">
        <f>IFERROR(H74&amp;"*"&amp;ROUND(L74*(I74/$AN74)/VLOOKUP(H74,商品!$A$4:$D$67,4,FALSE),0),"")</f>
        <v/>
      </c>
      <c r="AG74" t="str">
        <f>IFERROR(J74&amp;"*"&amp;ROUND(L74*(K74/$AN74)/VLOOKUP(J74,商品!$A$4:$D$67,4,FALSE),0),"")</f>
        <v/>
      </c>
      <c r="AH74" t="str">
        <f>IFERROR(M74&amp;"*"&amp;ROUND(S74*(N74/$AO74)/VLOOKUP(M74,职业!$A$3:$E$16,4,FALSE),0),"")</f>
        <v/>
      </c>
      <c r="AI74" t="str">
        <f>IFERROR(O74&amp;"*"&amp;ROUND(S74*(P74/$AO74)/VLOOKUP(O74,职业!$A$3:$E$16,4,FALSE),0),"")</f>
        <v/>
      </c>
      <c r="AK74" t="str">
        <f>IFERROR(T74&amp;"*"&amp;ROUND(X74*(U74/$AP74)/VLOOKUP(T74,商品!$A$4:$D$67,4,FALSE),0),"")</f>
        <v/>
      </c>
      <c r="AL74" t="str">
        <f>IFERROR(V74&amp;"*"&amp;ROUND(X74*(W74/$AP74)/VLOOKUP(V74,商品!$A$4:$D$67,4,FALSE),0),"")</f>
        <v/>
      </c>
      <c r="AN74">
        <f t="shared" si="13"/>
        <v>0</v>
      </c>
      <c r="AO74">
        <f t="shared" si="14"/>
        <v>0</v>
      </c>
      <c r="AP74">
        <f t="shared" si="15"/>
        <v>0</v>
      </c>
    </row>
    <row r="75" customHeight="1" spans="1:42">
      <c r="A75" s="5" t="s">
        <v>302</v>
      </c>
      <c r="C75" s="5">
        <v>5</v>
      </c>
      <c r="D75" s="1" t="s">
        <v>222</v>
      </c>
      <c r="E75" s="1" t="s">
        <v>226</v>
      </c>
      <c r="L75" s="1">
        <f>IFERROR(VLOOKUP($D75&amp;$C75,生产方式定位!$A$2:$E$38,2,FALSE)+VLOOKUP($E75&amp;$C75,生产方式定位!$F$3:$J$38,2,FALSE),0)</f>
        <v>6800</v>
      </c>
      <c r="S75" s="1">
        <f>IFERROR(VLOOKUP($D75&amp;$C75,生产方式定位!$A$2:$E$38,3,FALSE)+VLOOKUP($E75&amp;$C75,生产方式定位!$F$3:$J$38,3,FALSE),0)</f>
        <v>-100</v>
      </c>
      <c r="X75" s="1">
        <f>IFERROR(VLOOKUP($D75&amp;$C75,生产方式定位!$A$2:$E$38,5,FALSE)+VLOOKUP($E75&amp;$C75,生产方式定位!$F$3:$J$38,5,FALSE),"错误")</f>
        <v>4190</v>
      </c>
      <c r="Y75" s="27" t="str">
        <f t="shared" si="8"/>
        <v/>
      </c>
      <c r="Z75" s="37" t="str">
        <f t="shared" si="9"/>
        <v/>
      </c>
      <c r="AA75" s="37" t="str">
        <f t="shared" si="10"/>
        <v/>
      </c>
      <c r="AB75" s="28">
        <f t="shared" si="11"/>
        <v>1.62</v>
      </c>
      <c r="AC75" s="37"/>
      <c r="AD75" s="38">
        <f t="shared" si="12"/>
        <v>5</v>
      </c>
      <c r="AE75" t="str">
        <f>IFERROR(F75&amp;"*"&amp;ROUND(L75*(G75/$AN75)/VLOOKUP(F75,商品!$A$4:$D$67,4,FALSE),0),"")</f>
        <v/>
      </c>
      <c r="AF75" t="str">
        <f>IFERROR(H75&amp;"*"&amp;ROUND(L75*(I75/$AN75)/VLOOKUP(H75,商品!$A$4:$D$67,4,FALSE),0),"")</f>
        <v/>
      </c>
      <c r="AG75" t="str">
        <f>IFERROR(J75&amp;"*"&amp;ROUND(L75*(K75/$AN75)/VLOOKUP(J75,商品!$A$4:$D$67,4,FALSE),0),"")</f>
        <v/>
      </c>
      <c r="AH75" t="str">
        <f>IFERROR(M75&amp;"*"&amp;ROUND(S75*(N75/$AO75)/VLOOKUP(M75,职业!$A$3:$E$16,4,FALSE),0),"")</f>
        <v/>
      </c>
      <c r="AI75" t="str">
        <f>IFERROR(O75&amp;"*"&amp;ROUND(S75*(P75/$AO75)/VLOOKUP(O75,职业!$A$3:$E$16,4,FALSE),0),"")</f>
        <v/>
      </c>
      <c r="AK75" t="str">
        <f>IFERROR(T75&amp;"*"&amp;ROUND(X75*(U75/$AP75)/VLOOKUP(T75,商品!$A$4:$D$67,4,FALSE),0),"")</f>
        <v/>
      </c>
      <c r="AL75" t="str">
        <f>IFERROR(V75&amp;"*"&amp;ROUND(X75*(W75/$AP75)/VLOOKUP(V75,商品!$A$4:$D$67,4,FALSE),0),"")</f>
        <v/>
      </c>
      <c r="AN75">
        <f t="shared" si="13"/>
        <v>0</v>
      </c>
      <c r="AO75">
        <f t="shared" si="14"/>
        <v>0</v>
      </c>
      <c r="AP75">
        <f t="shared" si="15"/>
        <v>0</v>
      </c>
    </row>
    <row r="76" customHeight="1" spans="1:42">
      <c r="A76" s="18" t="s">
        <v>303</v>
      </c>
      <c r="C76" s="18">
        <v>1</v>
      </c>
      <c r="D76" s="1" t="s">
        <v>293</v>
      </c>
      <c r="E76" s="1" t="s">
        <v>227</v>
      </c>
      <c r="L76" s="1">
        <f>IFERROR(VLOOKUP($D76&amp;$C76,生产方式定位!$A$2:$E$38,2,FALSE)+VLOOKUP($E76&amp;$C76,生产方式定位!$F$3:$J$38,2,FALSE),0)</f>
        <v>0</v>
      </c>
      <c r="S76" s="1">
        <f>IFERROR(VLOOKUP($D76&amp;$C76,生产方式定位!$A$2:$E$38,3,FALSE)+VLOOKUP($E76&amp;$C76,生产方式定位!$F$3:$J$38,3,FALSE),0)</f>
        <v>0</v>
      </c>
      <c r="X76" s="1">
        <f>IFERROR(VLOOKUP($D76&amp;$C76,生产方式定位!$A$2:$E$38,5,FALSE)+VLOOKUP($E76&amp;$C76,生产方式定位!$F$3:$J$38,5,FALSE),"错误")</f>
        <v>0</v>
      </c>
      <c r="Y76" s="27" t="str">
        <f t="shared" si="8"/>
        <v/>
      </c>
      <c r="Z76" s="37" t="str">
        <f t="shared" si="9"/>
        <v/>
      </c>
      <c r="AA76" s="37" t="str">
        <f t="shared" si="10"/>
        <v/>
      </c>
      <c r="AB76" s="28" t="str">
        <f t="shared" si="11"/>
        <v/>
      </c>
      <c r="AC76" s="37"/>
      <c r="AD76" s="38">
        <f t="shared" si="12"/>
        <v>1</v>
      </c>
      <c r="AE76" t="str">
        <f>IFERROR(F76&amp;"*"&amp;ROUND(L76*(G76/$AN76)/VLOOKUP(F76,商品!$A$4:$D$67,4,FALSE),0),"")</f>
        <v/>
      </c>
      <c r="AF76" t="str">
        <f>IFERROR(H76&amp;"*"&amp;ROUND(L76*(I76/$AN76)/VLOOKUP(H76,商品!$A$4:$D$67,4,FALSE),0),"")</f>
        <v/>
      </c>
      <c r="AG76" t="str">
        <f>IFERROR(J76&amp;"*"&amp;ROUND(L76*(K76/$AN76)/VLOOKUP(J76,商品!$A$4:$D$67,4,FALSE),0),"")</f>
        <v/>
      </c>
      <c r="AH76" t="str">
        <f>IFERROR(M76&amp;"*"&amp;ROUND(S76*(N76/$AO76)/VLOOKUP(M76,职业!$A$3:$E$16,4,FALSE),0),"")</f>
        <v/>
      </c>
      <c r="AI76" t="str">
        <f>IFERROR(O76&amp;"*"&amp;ROUND(S76*(P76/$AO76)/VLOOKUP(O76,职业!$A$3:$E$16,4,FALSE),0),"")</f>
        <v/>
      </c>
      <c r="AK76" t="str">
        <f>IFERROR(T76&amp;"*"&amp;ROUND(X76*(U76/$AP76)/VLOOKUP(T76,商品!$A$4:$D$67,4,FALSE),0),"")</f>
        <v/>
      </c>
      <c r="AL76" t="str">
        <f>IFERROR(V76&amp;"*"&amp;ROUND(X76*(W76/$AP76)/VLOOKUP(V76,商品!$A$4:$D$67,4,FALSE),0),"")</f>
        <v/>
      </c>
      <c r="AN76">
        <f t="shared" si="13"/>
        <v>0</v>
      </c>
      <c r="AO76">
        <f t="shared" si="14"/>
        <v>0</v>
      </c>
      <c r="AP76">
        <f t="shared" si="15"/>
        <v>0</v>
      </c>
    </row>
    <row r="77" customHeight="1" spans="1:42">
      <c r="A77" s="18" t="s">
        <v>303</v>
      </c>
      <c r="C77" s="18">
        <v>2</v>
      </c>
      <c r="D77" s="1" t="s">
        <v>293</v>
      </c>
      <c r="E77" s="1" t="s">
        <v>227</v>
      </c>
      <c r="L77" s="1">
        <f>IFERROR(VLOOKUP($D77&amp;$C77,生产方式定位!$A$2:$E$38,2,FALSE)+VLOOKUP($E77&amp;$C77,生产方式定位!$F$3:$J$38,2,FALSE),0)</f>
        <v>0</v>
      </c>
      <c r="S77" s="1">
        <f>IFERROR(VLOOKUP($D77&amp;$C77,生产方式定位!$A$2:$E$38,3,FALSE)+VLOOKUP($E77&amp;$C77,生产方式定位!$F$3:$J$38,3,FALSE),0)</f>
        <v>0</v>
      </c>
      <c r="X77" s="1">
        <f>IFERROR(VLOOKUP($D77&amp;$C77,生产方式定位!$A$2:$E$38,5,FALSE)+VLOOKUP($E77&amp;$C77,生产方式定位!$F$3:$J$38,5,FALSE),"错误")</f>
        <v>0</v>
      </c>
      <c r="Y77" s="27" t="str">
        <f t="shared" si="8"/>
        <v/>
      </c>
      <c r="Z77" s="37" t="str">
        <f t="shared" si="9"/>
        <v/>
      </c>
      <c r="AA77" s="37" t="str">
        <f t="shared" si="10"/>
        <v/>
      </c>
      <c r="AB77" s="28" t="str">
        <f t="shared" si="11"/>
        <v/>
      </c>
      <c r="AC77" s="37"/>
      <c r="AD77" s="38">
        <f t="shared" si="12"/>
        <v>2</v>
      </c>
      <c r="AE77" t="str">
        <f>IFERROR(F77&amp;"*"&amp;ROUND(L77*(G77/$AN77)/VLOOKUP(F77,商品!$A$4:$D$67,4,FALSE),0),"")</f>
        <v/>
      </c>
      <c r="AF77" t="str">
        <f>IFERROR(H77&amp;"*"&amp;ROUND(L77*(I77/$AN77)/VLOOKUP(H77,商品!$A$4:$D$67,4,FALSE),0),"")</f>
        <v/>
      </c>
      <c r="AG77" t="str">
        <f>IFERROR(J77&amp;"*"&amp;ROUND(L77*(K77/$AN77)/VLOOKUP(J77,商品!$A$4:$D$67,4,FALSE),0),"")</f>
        <v/>
      </c>
      <c r="AH77" t="str">
        <f>IFERROR(M77&amp;"*"&amp;ROUND(S77*(N77/$AO77)/VLOOKUP(M77,职业!$A$3:$E$16,4,FALSE),0),"")</f>
        <v/>
      </c>
      <c r="AI77" t="str">
        <f>IFERROR(O77&amp;"*"&amp;ROUND(S77*(P77/$AO77)/VLOOKUP(O77,职业!$A$3:$E$16,4,FALSE),0),"")</f>
        <v/>
      </c>
      <c r="AK77" t="str">
        <f>IFERROR(T77&amp;"*"&amp;ROUND(X77*(U77/$AP77)/VLOOKUP(T77,商品!$A$4:$D$67,4,FALSE),0),"")</f>
        <v/>
      </c>
      <c r="AL77" t="str">
        <f>IFERROR(V77&amp;"*"&amp;ROUND(X77*(W77/$AP77)/VLOOKUP(V77,商品!$A$4:$D$67,4,FALSE),0),"")</f>
        <v/>
      </c>
      <c r="AN77">
        <f t="shared" si="13"/>
        <v>0</v>
      </c>
      <c r="AO77">
        <f t="shared" si="14"/>
        <v>0</v>
      </c>
      <c r="AP77">
        <f t="shared" si="15"/>
        <v>0</v>
      </c>
    </row>
    <row r="78" customHeight="1" spans="1:42">
      <c r="A78" s="18" t="s">
        <v>303</v>
      </c>
      <c r="C78" s="18">
        <v>3</v>
      </c>
      <c r="D78" s="1" t="s">
        <v>293</v>
      </c>
      <c r="E78" s="1" t="s">
        <v>227</v>
      </c>
      <c r="L78" s="1">
        <f>IFERROR(VLOOKUP($D78&amp;$C78,生产方式定位!$A$2:$E$38,2,FALSE)+VLOOKUP($E78&amp;$C78,生产方式定位!$F$3:$J$38,2,FALSE),0)</f>
        <v>0</v>
      </c>
      <c r="S78" s="1">
        <f>IFERROR(VLOOKUP($D78&amp;$C78,生产方式定位!$A$2:$E$38,3,FALSE)+VLOOKUP($E78&amp;$C78,生产方式定位!$F$3:$J$38,3,FALSE),0)</f>
        <v>0</v>
      </c>
      <c r="X78" s="1">
        <f>IFERROR(VLOOKUP($D78&amp;$C78,生产方式定位!$A$2:$E$38,5,FALSE)+VLOOKUP($E78&amp;$C78,生产方式定位!$F$3:$J$38,5,FALSE),"错误")</f>
        <v>0</v>
      </c>
      <c r="Y78" s="27" t="str">
        <f t="shared" si="8"/>
        <v/>
      </c>
      <c r="Z78" s="37" t="str">
        <f t="shared" si="9"/>
        <v/>
      </c>
      <c r="AA78" s="37" t="str">
        <f t="shared" si="10"/>
        <v/>
      </c>
      <c r="AB78" s="28" t="str">
        <f t="shared" si="11"/>
        <v/>
      </c>
      <c r="AC78" s="37"/>
      <c r="AD78" s="38">
        <f t="shared" si="12"/>
        <v>3</v>
      </c>
      <c r="AE78" t="str">
        <f>IFERROR(F78&amp;"*"&amp;ROUND(L78*(G78/$AN78)/VLOOKUP(F78,商品!$A$4:$D$67,4,FALSE),0),"")</f>
        <v/>
      </c>
      <c r="AF78" t="str">
        <f>IFERROR(H78&amp;"*"&amp;ROUND(L78*(I78/$AN78)/VLOOKUP(H78,商品!$A$4:$D$67,4,FALSE),0),"")</f>
        <v/>
      </c>
      <c r="AG78" t="str">
        <f>IFERROR(J78&amp;"*"&amp;ROUND(L78*(K78/$AN78)/VLOOKUP(J78,商品!$A$4:$D$67,4,FALSE),0),"")</f>
        <v/>
      </c>
      <c r="AH78" t="str">
        <f>IFERROR(M78&amp;"*"&amp;ROUND(S78*(N78/$AO78)/VLOOKUP(M78,职业!$A$3:$E$16,4,FALSE),0),"")</f>
        <v/>
      </c>
      <c r="AI78" t="str">
        <f>IFERROR(O78&amp;"*"&amp;ROUND(S78*(P78/$AO78)/VLOOKUP(O78,职业!$A$3:$E$16,4,FALSE),0),"")</f>
        <v/>
      </c>
      <c r="AK78" t="str">
        <f>IFERROR(T78&amp;"*"&amp;ROUND(X78*(U78/$AP78)/VLOOKUP(T78,商品!$A$4:$D$67,4,FALSE),0),"")</f>
        <v/>
      </c>
      <c r="AL78" t="str">
        <f>IFERROR(V78&amp;"*"&amp;ROUND(X78*(W78/$AP78)/VLOOKUP(V78,商品!$A$4:$D$67,4,FALSE),0),"")</f>
        <v/>
      </c>
      <c r="AN78">
        <f t="shared" si="13"/>
        <v>0</v>
      </c>
      <c r="AO78">
        <f t="shared" si="14"/>
        <v>0</v>
      </c>
      <c r="AP78">
        <f t="shared" si="15"/>
        <v>0</v>
      </c>
    </row>
    <row r="79" customHeight="1" spans="1:42">
      <c r="A79" s="18" t="s">
        <v>303</v>
      </c>
      <c r="C79" s="18">
        <v>4</v>
      </c>
      <c r="D79" s="1" t="s">
        <v>293</v>
      </c>
      <c r="E79" s="1" t="s">
        <v>227</v>
      </c>
      <c r="L79" s="1">
        <f>IFERROR(VLOOKUP($D79&amp;$C79,生产方式定位!$A$2:$E$38,2,FALSE)+VLOOKUP($E79&amp;$C79,生产方式定位!$F$3:$J$38,2,FALSE),0)</f>
        <v>0</v>
      </c>
      <c r="S79" s="1">
        <f>IFERROR(VLOOKUP($D79&amp;$C79,生产方式定位!$A$2:$E$38,3,FALSE)+VLOOKUP($E79&amp;$C79,生产方式定位!$F$3:$J$38,3,FALSE),0)</f>
        <v>0</v>
      </c>
      <c r="X79" s="1">
        <f>IFERROR(VLOOKUP($D79&amp;$C79,生产方式定位!$A$2:$E$38,5,FALSE)+VLOOKUP($E79&amp;$C79,生产方式定位!$F$3:$J$38,5,FALSE),"错误")</f>
        <v>0</v>
      </c>
      <c r="Y79" s="27" t="str">
        <f t="shared" si="8"/>
        <v/>
      </c>
      <c r="Z79" s="37" t="str">
        <f t="shared" si="9"/>
        <v/>
      </c>
      <c r="AA79" s="37" t="str">
        <f t="shared" si="10"/>
        <v/>
      </c>
      <c r="AB79" s="28" t="str">
        <f t="shared" si="11"/>
        <v/>
      </c>
      <c r="AC79" s="37"/>
      <c r="AD79" s="38">
        <f t="shared" si="12"/>
        <v>4</v>
      </c>
      <c r="AE79" t="str">
        <f>IFERROR(F79&amp;"*"&amp;ROUND(L79*(G79/$AN79)/VLOOKUP(F79,商品!$A$4:$D$67,4,FALSE),0),"")</f>
        <v/>
      </c>
      <c r="AF79" t="str">
        <f>IFERROR(H79&amp;"*"&amp;ROUND(L79*(I79/$AN79)/VLOOKUP(H79,商品!$A$4:$D$67,4,FALSE),0),"")</f>
        <v/>
      </c>
      <c r="AG79" t="str">
        <f>IFERROR(J79&amp;"*"&amp;ROUND(L79*(K79/$AN79)/VLOOKUP(J79,商品!$A$4:$D$67,4,FALSE),0),"")</f>
        <v/>
      </c>
      <c r="AH79" t="str">
        <f>IFERROR(M79&amp;"*"&amp;ROUND(S79*(N79/$AO79)/VLOOKUP(M79,职业!$A$3:$E$16,4,FALSE),0),"")</f>
        <v/>
      </c>
      <c r="AI79" t="str">
        <f>IFERROR(O79&amp;"*"&amp;ROUND(S79*(P79/$AO79)/VLOOKUP(O79,职业!$A$3:$E$16,4,FALSE),0),"")</f>
        <v/>
      </c>
      <c r="AK79" t="str">
        <f>IFERROR(T79&amp;"*"&amp;ROUND(X79*(U79/$AP79)/VLOOKUP(T79,商品!$A$4:$D$67,4,FALSE),0),"")</f>
        <v/>
      </c>
      <c r="AL79" t="str">
        <f>IFERROR(V79&amp;"*"&amp;ROUND(X79*(W79/$AP79)/VLOOKUP(V79,商品!$A$4:$D$67,4,FALSE),0),"")</f>
        <v/>
      </c>
      <c r="AN79">
        <f t="shared" si="13"/>
        <v>0</v>
      </c>
      <c r="AO79">
        <f t="shared" si="14"/>
        <v>0</v>
      </c>
      <c r="AP79">
        <f t="shared" si="15"/>
        <v>0</v>
      </c>
    </row>
    <row r="80" customHeight="1" spans="1:42">
      <c r="A80" s="18" t="s">
        <v>303</v>
      </c>
      <c r="C80" s="18">
        <v>5</v>
      </c>
      <c r="D80" s="1" t="s">
        <v>293</v>
      </c>
      <c r="E80" s="1" t="s">
        <v>227</v>
      </c>
      <c r="L80" s="1">
        <f>IFERROR(VLOOKUP($D80&amp;$C80,生产方式定位!$A$2:$E$38,2,FALSE)+VLOOKUP($E80&amp;$C80,生产方式定位!$F$3:$J$38,2,FALSE),0)</f>
        <v>0</v>
      </c>
      <c r="S80" s="1">
        <f>IFERROR(VLOOKUP($D80&amp;$C80,生产方式定位!$A$2:$E$38,3,FALSE)+VLOOKUP($E80&amp;$C80,生产方式定位!$F$3:$J$38,3,FALSE),0)</f>
        <v>0</v>
      </c>
      <c r="X80" s="1">
        <f>IFERROR(VLOOKUP($D80&amp;$C80,生产方式定位!$A$2:$E$38,5,FALSE)+VLOOKUP($E80&amp;$C80,生产方式定位!$F$3:$J$38,5,FALSE),"错误")</f>
        <v>0</v>
      </c>
      <c r="Y80" s="27" t="str">
        <f t="shared" si="8"/>
        <v/>
      </c>
      <c r="Z80" s="37" t="str">
        <f t="shared" si="9"/>
        <v/>
      </c>
      <c r="AA80" s="37" t="str">
        <f t="shared" si="10"/>
        <v/>
      </c>
      <c r="AB80" s="28" t="str">
        <f t="shared" si="11"/>
        <v/>
      </c>
      <c r="AC80" s="37"/>
      <c r="AD80" s="38">
        <f t="shared" si="12"/>
        <v>5</v>
      </c>
      <c r="AE80" t="str">
        <f>IFERROR(F80&amp;"*"&amp;ROUND(L80*(G80/$AN80)/VLOOKUP(F80,商品!$A$4:$D$67,4,FALSE),0),"")</f>
        <v/>
      </c>
      <c r="AF80" t="str">
        <f>IFERROR(H80&amp;"*"&amp;ROUND(L80*(I80/$AN80)/VLOOKUP(H80,商品!$A$4:$D$67,4,FALSE),0),"")</f>
        <v/>
      </c>
      <c r="AG80" t="str">
        <f>IFERROR(J80&amp;"*"&amp;ROUND(L80*(K80/$AN80)/VLOOKUP(J80,商品!$A$4:$D$67,4,FALSE),0),"")</f>
        <v/>
      </c>
      <c r="AH80" t="str">
        <f>IFERROR(M80&amp;"*"&amp;ROUND(S80*(N80/$AO80)/VLOOKUP(M80,职业!$A$3:$E$16,4,FALSE),0),"")</f>
        <v/>
      </c>
      <c r="AI80" t="str">
        <f>IFERROR(O80&amp;"*"&amp;ROUND(S80*(P80/$AO80)/VLOOKUP(O80,职业!$A$3:$E$16,4,FALSE),0),"")</f>
        <v/>
      </c>
      <c r="AK80" t="str">
        <f>IFERROR(T80&amp;"*"&amp;ROUND(X80*(U80/$AP80)/VLOOKUP(T80,商品!$A$4:$D$67,4,FALSE),0),"")</f>
        <v/>
      </c>
      <c r="AL80" t="str">
        <f>IFERROR(V80&amp;"*"&amp;ROUND(X80*(W80/$AP80)/VLOOKUP(V80,商品!$A$4:$D$67,4,FALSE),0),"")</f>
        <v/>
      </c>
      <c r="AN80">
        <f t="shared" si="13"/>
        <v>0</v>
      </c>
      <c r="AO80">
        <f t="shared" si="14"/>
        <v>0</v>
      </c>
      <c r="AP80">
        <f t="shared" si="15"/>
        <v>0</v>
      </c>
    </row>
    <row r="81" customHeight="1" spans="1:42">
      <c r="A81" s="18" t="s">
        <v>303</v>
      </c>
      <c r="C81" s="18">
        <v>6</v>
      </c>
      <c r="D81" s="1" t="s">
        <v>293</v>
      </c>
      <c r="E81" s="1" t="s">
        <v>227</v>
      </c>
      <c r="L81" s="1">
        <f>IFERROR(VLOOKUP($D81&amp;$C81,生产方式定位!$A$2:$E$38,2,FALSE)+VLOOKUP($E81&amp;$C81,生产方式定位!$F$3:$J$38,2,FALSE),0)</f>
        <v>0</v>
      </c>
      <c r="S81" s="1">
        <f>IFERROR(VLOOKUP($D81&amp;$C81,生产方式定位!$A$2:$E$38,3,FALSE)+VLOOKUP($E81&amp;$C81,生产方式定位!$F$3:$J$38,3,FALSE),0)</f>
        <v>0</v>
      </c>
      <c r="X81" s="1">
        <f>IFERROR(VLOOKUP($D81&amp;$C81,生产方式定位!$A$2:$E$38,5,FALSE)+VLOOKUP($E81&amp;$C81,生产方式定位!$F$3:$J$38,5,FALSE),"错误")</f>
        <v>0</v>
      </c>
      <c r="Y81" s="27" t="str">
        <f t="shared" si="8"/>
        <v/>
      </c>
      <c r="Z81" s="37" t="str">
        <f t="shared" si="9"/>
        <v/>
      </c>
      <c r="AA81" s="37" t="str">
        <f t="shared" si="10"/>
        <v/>
      </c>
      <c r="AB81" s="28" t="str">
        <f t="shared" si="11"/>
        <v/>
      </c>
      <c r="AC81" s="37"/>
      <c r="AD81" s="38">
        <f t="shared" si="12"/>
        <v>6</v>
      </c>
      <c r="AE81" t="str">
        <f>IFERROR(F81&amp;"*"&amp;ROUND(L81*(G81/$AN81)/VLOOKUP(F81,商品!$A$4:$D$67,4,FALSE),0),"")</f>
        <v/>
      </c>
      <c r="AF81" t="str">
        <f>IFERROR(H81&amp;"*"&amp;ROUND(L81*(I81/$AN81)/VLOOKUP(H81,商品!$A$4:$D$67,4,FALSE),0),"")</f>
        <v/>
      </c>
      <c r="AG81" t="str">
        <f>IFERROR(J81&amp;"*"&amp;ROUND(L81*(K81/$AN81)/VLOOKUP(J81,商品!$A$4:$D$67,4,FALSE),0),"")</f>
        <v/>
      </c>
      <c r="AH81" t="str">
        <f>IFERROR(M81&amp;"*"&amp;ROUND(S81*(N81/$AO81)/VLOOKUP(M81,职业!$A$3:$E$16,4,FALSE),0),"")</f>
        <v/>
      </c>
      <c r="AI81" t="str">
        <f>IFERROR(O81&amp;"*"&amp;ROUND(S81*(P81/$AO81)/VLOOKUP(O81,职业!$A$3:$E$16,4,FALSE),0),"")</f>
        <v/>
      </c>
      <c r="AK81" t="str">
        <f>IFERROR(T81&amp;"*"&amp;ROUND(X81*(U81/$AP81)/VLOOKUP(T81,商品!$A$4:$D$67,4,FALSE),0),"")</f>
        <v/>
      </c>
      <c r="AL81" t="str">
        <f>IFERROR(V81&amp;"*"&amp;ROUND(X81*(W81/$AP81)/VLOOKUP(V81,商品!$A$4:$D$67,4,FALSE),0),"")</f>
        <v/>
      </c>
      <c r="AN81">
        <f t="shared" si="13"/>
        <v>0</v>
      </c>
      <c r="AO81">
        <f t="shared" si="14"/>
        <v>0</v>
      </c>
      <c r="AP81">
        <f t="shared" si="15"/>
        <v>0</v>
      </c>
    </row>
    <row r="82" customHeight="1" spans="1:42">
      <c r="A82" s="18" t="s">
        <v>303</v>
      </c>
      <c r="C82" s="18">
        <v>7</v>
      </c>
      <c r="D82" s="1" t="s">
        <v>293</v>
      </c>
      <c r="E82" s="1" t="s">
        <v>227</v>
      </c>
      <c r="L82" s="1">
        <f>IFERROR(VLOOKUP($D82&amp;$C82,生产方式定位!$A$2:$E$38,2,FALSE)+VLOOKUP($E82&amp;$C82,生产方式定位!$F$3:$J$38,2,FALSE),0)</f>
        <v>0</v>
      </c>
      <c r="S82" s="1">
        <f>IFERROR(VLOOKUP($D82&amp;$C82,生产方式定位!$A$2:$E$38,3,FALSE)+VLOOKUP($E82&amp;$C82,生产方式定位!$F$3:$J$38,3,FALSE),0)</f>
        <v>0</v>
      </c>
      <c r="X82" s="1">
        <f>IFERROR(VLOOKUP($D82&amp;$C82,生产方式定位!$A$2:$E$38,5,FALSE)+VLOOKUP($E82&amp;$C82,生产方式定位!$F$3:$J$38,5,FALSE),"错误")</f>
        <v>0</v>
      </c>
      <c r="Y82" s="27" t="str">
        <f t="shared" si="8"/>
        <v/>
      </c>
      <c r="Z82" s="37" t="str">
        <f t="shared" si="9"/>
        <v/>
      </c>
      <c r="AA82" s="37" t="str">
        <f t="shared" si="10"/>
        <v/>
      </c>
      <c r="AB82" s="28" t="str">
        <f t="shared" si="11"/>
        <v/>
      </c>
      <c r="AC82" s="37"/>
      <c r="AD82" s="38">
        <f t="shared" si="12"/>
        <v>7</v>
      </c>
      <c r="AE82" t="str">
        <f>IFERROR(F82&amp;"*"&amp;ROUND(L82*(G82/$AN82)/VLOOKUP(F82,商品!$A$4:$D$67,4,FALSE),0),"")</f>
        <v/>
      </c>
      <c r="AF82" t="str">
        <f>IFERROR(H82&amp;"*"&amp;ROUND(L82*(I82/$AN82)/VLOOKUP(H82,商品!$A$4:$D$67,4,FALSE),0),"")</f>
        <v/>
      </c>
      <c r="AG82" t="str">
        <f>IFERROR(J82&amp;"*"&amp;ROUND(L82*(K82/$AN82)/VLOOKUP(J82,商品!$A$4:$D$67,4,FALSE),0),"")</f>
        <v/>
      </c>
      <c r="AH82" t="str">
        <f>IFERROR(M82&amp;"*"&amp;ROUND(S82*(N82/$AO82)/VLOOKUP(M82,职业!$A$3:$E$16,4,FALSE),0),"")</f>
        <v/>
      </c>
      <c r="AI82" t="str">
        <f>IFERROR(O82&amp;"*"&amp;ROUND(S82*(P82/$AO82)/VLOOKUP(O82,职业!$A$3:$E$16,4,FALSE),0),"")</f>
        <v/>
      </c>
      <c r="AK82" t="str">
        <f>IFERROR(T82&amp;"*"&amp;ROUND(X82*(U82/$AP82)/VLOOKUP(T82,商品!$A$4:$D$67,4,FALSE),0),"")</f>
        <v/>
      </c>
      <c r="AL82" t="str">
        <f>IFERROR(V82&amp;"*"&amp;ROUND(X82*(W82/$AP82)/VLOOKUP(V82,商品!$A$4:$D$67,4,FALSE),0),"")</f>
        <v/>
      </c>
      <c r="AN82">
        <f t="shared" si="13"/>
        <v>0</v>
      </c>
      <c r="AO82">
        <f t="shared" si="14"/>
        <v>0</v>
      </c>
      <c r="AP82">
        <f t="shared" si="15"/>
        <v>0</v>
      </c>
    </row>
    <row r="83" customHeight="1" spans="1:42">
      <c r="A83" s="18" t="s">
        <v>303</v>
      </c>
      <c r="C83" s="18">
        <v>8</v>
      </c>
      <c r="D83" s="1" t="s">
        <v>293</v>
      </c>
      <c r="E83" s="1" t="s">
        <v>227</v>
      </c>
      <c r="L83" s="1">
        <f>IFERROR(VLOOKUP($D83&amp;$C83,生产方式定位!$A$2:$E$38,2,FALSE)+VLOOKUP($E83&amp;$C83,生产方式定位!$F$3:$J$38,2,FALSE),0)</f>
        <v>0</v>
      </c>
      <c r="S83" s="1">
        <f>IFERROR(VLOOKUP($D83&amp;$C83,生产方式定位!$A$2:$E$38,3,FALSE)+VLOOKUP($E83&amp;$C83,生产方式定位!$F$3:$J$38,3,FALSE),0)</f>
        <v>0</v>
      </c>
      <c r="X83" s="1">
        <f>IFERROR(VLOOKUP($D83&amp;$C83,生产方式定位!$A$2:$E$38,5,FALSE)+VLOOKUP($E83&amp;$C83,生产方式定位!$F$3:$J$38,5,FALSE),"错误")</f>
        <v>0</v>
      </c>
      <c r="Y83" s="27" t="str">
        <f t="shared" si="8"/>
        <v/>
      </c>
      <c r="Z83" s="37" t="str">
        <f t="shared" si="9"/>
        <v/>
      </c>
      <c r="AA83" s="37" t="str">
        <f t="shared" si="10"/>
        <v/>
      </c>
      <c r="AB83" s="28" t="str">
        <f t="shared" si="11"/>
        <v/>
      </c>
      <c r="AC83" s="37"/>
      <c r="AD83" s="38">
        <f t="shared" si="12"/>
        <v>8</v>
      </c>
      <c r="AE83" t="str">
        <f>IFERROR(F83&amp;"*"&amp;ROUND(L83*(G83/$AN83)/VLOOKUP(F83,商品!$A$4:$D$67,4,FALSE),0),"")</f>
        <v/>
      </c>
      <c r="AF83" t="str">
        <f>IFERROR(H83&amp;"*"&amp;ROUND(L83*(I83/$AN83)/VLOOKUP(H83,商品!$A$4:$D$67,4,FALSE),0),"")</f>
        <v/>
      </c>
      <c r="AG83" t="str">
        <f>IFERROR(J83&amp;"*"&amp;ROUND(L83*(K83/$AN83)/VLOOKUP(J83,商品!$A$4:$D$67,4,FALSE),0),"")</f>
        <v/>
      </c>
      <c r="AH83" t="str">
        <f>IFERROR(M83&amp;"*"&amp;ROUND(S83*(N83/$AO83)/VLOOKUP(M83,职业!$A$3:$E$16,4,FALSE),0),"")</f>
        <v/>
      </c>
      <c r="AI83" t="str">
        <f>IFERROR(O83&amp;"*"&amp;ROUND(S83*(P83/$AO83)/VLOOKUP(O83,职业!$A$3:$E$16,4,FALSE),0),"")</f>
        <v/>
      </c>
      <c r="AK83" t="str">
        <f>IFERROR(T83&amp;"*"&amp;ROUND(X83*(U83/$AP83)/VLOOKUP(T83,商品!$A$4:$D$67,4,FALSE),0),"")</f>
        <v/>
      </c>
      <c r="AL83" t="str">
        <f>IFERROR(V83&amp;"*"&amp;ROUND(X83*(W83/$AP83)/VLOOKUP(V83,商品!$A$4:$D$67,4,FALSE),0),"")</f>
        <v/>
      </c>
      <c r="AN83">
        <f t="shared" si="13"/>
        <v>0</v>
      </c>
      <c r="AO83">
        <f t="shared" si="14"/>
        <v>0</v>
      </c>
      <c r="AP83">
        <f t="shared" si="15"/>
        <v>0</v>
      </c>
    </row>
    <row r="84" customHeight="1" spans="1:42">
      <c r="A84" s="5" t="s">
        <v>305</v>
      </c>
      <c r="C84" s="5">
        <v>1</v>
      </c>
      <c r="D84" s="1" t="s">
        <v>222</v>
      </c>
      <c r="E84" s="1" t="s">
        <v>224</v>
      </c>
      <c r="L84" s="1">
        <f>IFERROR(VLOOKUP($D84&amp;$C84,生产方式定位!$A$2:$E$38,2,FALSE)+VLOOKUP($E84&amp;$C84,生产方式定位!$F$3:$J$38,2,FALSE),0)</f>
        <v>0</v>
      </c>
      <c r="S84" s="1">
        <f>IFERROR(VLOOKUP($D84&amp;$C84,生产方式定位!$A$2:$E$38,3,FALSE)+VLOOKUP($E84&amp;$C84,生产方式定位!$F$3:$J$38,3,FALSE),0)</f>
        <v>500</v>
      </c>
      <c r="X84" s="1">
        <f>IFERROR(VLOOKUP($D84&amp;$C84,生产方式定位!$A$2:$E$38,5,FALSE)+VLOOKUP($E84&amp;$C84,生产方式定位!$F$3:$J$38,5,FALSE),"错误")</f>
        <v>250</v>
      </c>
      <c r="Y84" s="27" t="str">
        <f t="shared" si="8"/>
        <v/>
      </c>
      <c r="Z84" s="37" t="str">
        <f t="shared" si="9"/>
        <v/>
      </c>
      <c r="AA84" s="37" t="str">
        <f t="shared" si="10"/>
        <v/>
      </c>
      <c r="AB84" s="28">
        <f t="shared" si="11"/>
        <v>0</v>
      </c>
      <c r="AC84" s="37"/>
      <c r="AD84" s="38">
        <f t="shared" si="12"/>
        <v>1</v>
      </c>
      <c r="AE84" t="str">
        <f>IFERROR(F84&amp;"*"&amp;ROUND(L84*(G84/$AN84)/VLOOKUP(F84,商品!$A$4:$D$67,4,FALSE),0),"")</f>
        <v/>
      </c>
      <c r="AF84" t="str">
        <f>IFERROR(H84&amp;"*"&amp;ROUND(L84*(I84/$AN84)/VLOOKUP(H84,商品!$A$4:$D$67,4,FALSE),0),"")</f>
        <v/>
      </c>
      <c r="AG84" t="str">
        <f>IFERROR(J84&amp;"*"&amp;ROUND(L84*(K84/$AN84)/VLOOKUP(J84,商品!$A$4:$D$67,4,FALSE),0),"")</f>
        <v/>
      </c>
      <c r="AH84" t="str">
        <f>IFERROR(M84&amp;"*"&amp;ROUND(S84*(N84/$AO84)/VLOOKUP(M84,职业!$A$3:$E$16,4,FALSE),0),"")</f>
        <v/>
      </c>
      <c r="AI84" t="str">
        <f>IFERROR(O84&amp;"*"&amp;ROUND(S84*(P84/$AO84)/VLOOKUP(O84,职业!$A$3:$E$16,4,FALSE),0),"")</f>
        <v/>
      </c>
      <c r="AK84" t="str">
        <f>IFERROR(T84&amp;"*"&amp;ROUND(X84*(U84/$AP84)/VLOOKUP(T84,商品!$A$4:$D$67,4,FALSE),0),"")</f>
        <v/>
      </c>
      <c r="AL84" t="str">
        <f>IFERROR(V84&amp;"*"&amp;ROUND(X84*(W84/$AP84)/VLOOKUP(V84,商品!$A$4:$D$67,4,FALSE),0),"")</f>
        <v/>
      </c>
      <c r="AN84">
        <f t="shared" si="13"/>
        <v>0</v>
      </c>
      <c r="AO84">
        <f t="shared" si="14"/>
        <v>0</v>
      </c>
      <c r="AP84">
        <f t="shared" si="15"/>
        <v>0</v>
      </c>
    </row>
    <row r="85" customHeight="1" spans="1:42">
      <c r="A85" s="5" t="s">
        <v>305</v>
      </c>
      <c r="C85" s="5">
        <v>2</v>
      </c>
      <c r="D85" s="1" t="s">
        <v>222</v>
      </c>
      <c r="E85" s="1" t="s">
        <v>224</v>
      </c>
      <c r="L85" s="1">
        <f>IFERROR(VLOOKUP($D85&amp;$C85,生产方式定位!$A$2:$E$38,2,FALSE)+VLOOKUP($E85&amp;$C85,生产方式定位!$F$3:$J$38,2,FALSE),0)</f>
        <v>2200</v>
      </c>
      <c r="S85" s="1">
        <f>IFERROR(VLOOKUP($D85&amp;$C85,生产方式定位!$A$2:$E$38,3,FALSE)+VLOOKUP($E85&amp;$C85,生产方式定位!$F$3:$J$38,3,FALSE),0)</f>
        <v>750</v>
      </c>
      <c r="X85" s="1">
        <f>IFERROR(VLOOKUP($D85&amp;$C85,生产方式定位!$A$2:$E$38,5,FALSE)+VLOOKUP($E85&amp;$C85,生产方式定位!$F$3:$J$38,5,FALSE),"错误")</f>
        <v>1547</v>
      </c>
      <c r="Y85" s="27" t="str">
        <f t="shared" si="8"/>
        <v/>
      </c>
      <c r="Z85" s="37" t="str">
        <f t="shared" si="9"/>
        <v/>
      </c>
      <c r="AA85" s="37" t="str">
        <f t="shared" si="10"/>
        <v/>
      </c>
      <c r="AB85" s="28">
        <f t="shared" si="11"/>
        <v>1.42</v>
      </c>
      <c r="AC85" s="37"/>
      <c r="AD85" s="38">
        <f t="shared" si="12"/>
        <v>2</v>
      </c>
      <c r="AE85" t="str">
        <f>IFERROR(F85&amp;"*"&amp;ROUND(L85*(G85/$AN85)/VLOOKUP(F85,商品!$A$4:$D$67,4,FALSE),0),"")</f>
        <v/>
      </c>
      <c r="AF85" t="str">
        <f>IFERROR(H85&amp;"*"&amp;ROUND(L85*(I85/$AN85)/VLOOKUP(H85,商品!$A$4:$D$67,4,FALSE),0),"")</f>
        <v/>
      </c>
      <c r="AG85" t="str">
        <f>IFERROR(J85&amp;"*"&amp;ROUND(L85*(K85/$AN85)/VLOOKUP(J85,商品!$A$4:$D$67,4,FALSE),0),"")</f>
        <v/>
      </c>
      <c r="AH85" t="str">
        <f>IFERROR(M85&amp;"*"&amp;ROUND(S85*(N85/$AO85)/VLOOKUP(M85,职业!$A$3:$E$16,4,FALSE),0),"")</f>
        <v/>
      </c>
      <c r="AI85" t="str">
        <f>IFERROR(O85&amp;"*"&amp;ROUND(S85*(P85/$AO85)/VLOOKUP(O85,职业!$A$3:$E$16,4,FALSE),0),"")</f>
        <v/>
      </c>
      <c r="AK85" t="str">
        <f>IFERROR(T85&amp;"*"&amp;ROUND(X85*(U85/$AP85)/VLOOKUP(T85,商品!$A$4:$D$67,4,FALSE),0),"")</f>
        <v/>
      </c>
      <c r="AL85" t="str">
        <f>IFERROR(V85&amp;"*"&amp;ROUND(X85*(W85/$AP85)/VLOOKUP(V85,商品!$A$4:$D$67,4,FALSE),0),"")</f>
        <v/>
      </c>
      <c r="AN85">
        <f t="shared" si="13"/>
        <v>0</v>
      </c>
      <c r="AO85">
        <f t="shared" si="14"/>
        <v>0</v>
      </c>
      <c r="AP85">
        <f t="shared" si="15"/>
        <v>0</v>
      </c>
    </row>
    <row r="86" customHeight="1" spans="1:42">
      <c r="A86" s="5" t="s">
        <v>305</v>
      </c>
      <c r="C86" s="5">
        <v>3</v>
      </c>
      <c r="D86" s="1" t="s">
        <v>222</v>
      </c>
      <c r="E86" s="1" t="s">
        <v>224</v>
      </c>
      <c r="L86" s="1">
        <f>IFERROR(VLOOKUP($D86&amp;$C86,生产方式定位!$A$2:$E$38,2,FALSE)+VLOOKUP($E86&amp;$C86,生产方式定位!$F$3:$J$38,2,FALSE),0)</f>
        <v>3400</v>
      </c>
      <c r="S86" s="1">
        <f>IFERROR(VLOOKUP($D86&amp;$C86,生产方式定位!$A$2:$E$38,3,FALSE)+VLOOKUP($E86&amp;$C86,生产方式定位!$F$3:$J$38,3,FALSE),0)</f>
        <v>1000</v>
      </c>
      <c r="X86" s="1">
        <f>IFERROR(VLOOKUP($D86&amp;$C86,生产方式定位!$A$2:$E$38,5,FALSE)+VLOOKUP($E86&amp;$C86,生产方式定位!$F$3:$J$38,5,FALSE),"错误")</f>
        <v>2488</v>
      </c>
      <c r="Y86" s="27" t="str">
        <f t="shared" si="8"/>
        <v/>
      </c>
      <c r="Z86" s="37" t="str">
        <f t="shared" si="9"/>
        <v/>
      </c>
      <c r="AA86" s="37" t="str">
        <f t="shared" si="10"/>
        <v/>
      </c>
      <c r="AB86" s="28">
        <f t="shared" si="11"/>
        <v>1.37</v>
      </c>
      <c r="AC86" s="37"/>
      <c r="AD86" s="38">
        <f t="shared" si="12"/>
        <v>3</v>
      </c>
      <c r="AE86" t="str">
        <f>IFERROR(F86&amp;"*"&amp;ROUND(L86*(G86/$AN86)/VLOOKUP(F86,商品!$A$4:$D$67,4,FALSE),0),"")</f>
        <v/>
      </c>
      <c r="AF86" t="str">
        <f>IFERROR(H86&amp;"*"&amp;ROUND(L86*(I86/$AN86)/VLOOKUP(H86,商品!$A$4:$D$67,4,FALSE),0),"")</f>
        <v/>
      </c>
      <c r="AG86" t="str">
        <f>IFERROR(J86&amp;"*"&amp;ROUND(L86*(K86/$AN86)/VLOOKUP(J86,商品!$A$4:$D$67,4,FALSE),0),"")</f>
        <v/>
      </c>
      <c r="AH86" t="str">
        <f>IFERROR(M86&amp;"*"&amp;ROUND(S86*(N86/$AO86)/VLOOKUP(M86,职业!$A$3:$E$16,4,FALSE),0),"")</f>
        <v/>
      </c>
      <c r="AI86" t="str">
        <f>IFERROR(O86&amp;"*"&amp;ROUND(S86*(P86/$AO86)/VLOOKUP(O86,职业!$A$3:$E$16,4,FALSE),0),"")</f>
        <v/>
      </c>
      <c r="AK86" t="str">
        <f>IFERROR(T86&amp;"*"&amp;ROUND(X86*(U86/$AP86)/VLOOKUP(T86,商品!$A$4:$D$67,4,FALSE),0),"")</f>
        <v/>
      </c>
      <c r="AL86" t="str">
        <f>IFERROR(V86&amp;"*"&amp;ROUND(X86*(W86/$AP86)/VLOOKUP(V86,商品!$A$4:$D$67,4,FALSE),0),"")</f>
        <v/>
      </c>
      <c r="AN86">
        <f t="shared" si="13"/>
        <v>0</v>
      </c>
      <c r="AO86">
        <f t="shared" si="14"/>
        <v>0</v>
      </c>
      <c r="AP86">
        <f t="shared" si="15"/>
        <v>0</v>
      </c>
    </row>
    <row r="87" customHeight="1" spans="1:42">
      <c r="A87" s="5" t="s">
        <v>305</v>
      </c>
      <c r="C87" s="5">
        <v>4</v>
      </c>
      <c r="D87" s="1" t="s">
        <v>222</v>
      </c>
      <c r="E87" s="1" t="s">
        <v>224</v>
      </c>
      <c r="L87" s="1">
        <f>IFERROR(VLOOKUP($D87&amp;$C87,生产方式定位!$A$2:$E$38,2,FALSE)+VLOOKUP($E87&amp;$C87,生产方式定位!$F$3:$J$38,2,FALSE),0)</f>
        <v>4600</v>
      </c>
      <c r="S87" s="1">
        <f>IFERROR(VLOOKUP($D87&amp;$C87,生产方式定位!$A$2:$E$38,3,FALSE)+VLOOKUP($E87&amp;$C87,生产方式定位!$F$3:$J$38,3,FALSE),0)</f>
        <v>1250</v>
      </c>
      <c r="X87" s="1">
        <f>IFERROR(VLOOKUP($D87&amp;$C87,生产方式定位!$A$2:$E$38,5,FALSE)+VLOOKUP($E87&amp;$C87,生产方式定位!$F$3:$J$38,5,FALSE),"错误")</f>
        <v>3573</v>
      </c>
      <c r="Y87" s="27" t="str">
        <f t="shared" si="8"/>
        <v/>
      </c>
      <c r="Z87" s="37" t="str">
        <f t="shared" si="9"/>
        <v/>
      </c>
      <c r="AA87" s="37" t="str">
        <f t="shared" si="10"/>
        <v/>
      </c>
      <c r="AB87" s="28">
        <f t="shared" si="11"/>
        <v>1.29</v>
      </c>
      <c r="AC87" s="37"/>
      <c r="AD87" s="38">
        <f t="shared" si="12"/>
        <v>4</v>
      </c>
      <c r="AE87" t="str">
        <f>IFERROR(F87&amp;"*"&amp;ROUND(L87*(G87/$AN87)/VLOOKUP(F87,商品!$A$4:$D$67,4,FALSE),0),"")</f>
        <v/>
      </c>
      <c r="AF87" t="str">
        <f>IFERROR(H87&amp;"*"&amp;ROUND(L87*(I87/$AN87)/VLOOKUP(H87,商品!$A$4:$D$67,4,FALSE),0),"")</f>
        <v/>
      </c>
      <c r="AG87" t="str">
        <f>IFERROR(J87&amp;"*"&amp;ROUND(L87*(K87/$AN87)/VLOOKUP(J87,商品!$A$4:$D$67,4,FALSE),0),"")</f>
        <v/>
      </c>
      <c r="AH87" t="str">
        <f>IFERROR(M87&amp;"*"&amp;ROUND(S87*(N87/$AO87)/VLOOKUP(M87,职业!$A$3:$E$16,4,FALSE),0),"")</f>
        <v/>
      </c>
      <c r="AI87" t="str">
        <f>IFERROR(O87&amp;"*"&amp;ROUND(S87*(P87/$AO87)/VLOOKUP(O87,职业!$A$3:$E$16,4,FALSE),0),"")</f>
        <v/>
      </c>
      <c r="AK87" t="str">
        <f>IFERROR(T87&amp;"*"&amp;ROUND(X87*(U87/$AP87)/VLOOKUP(T87,商品!$A$4:$D$67,4,FALSE),0),"")</f>
        <v/>
      </c>
      <c r="AL87" t="str">
        <f>IFERROR(V87&amp;"*"&amp;ROUND(X87*(W87/$AP87)/VLOOKUP(V87,商品!$A$4:$D$67,4,FALSE),0),"")</f>
        <v/>
      </c>
      <c r="AN87">
        <f t="shared" si="13"/>
        <v>0</v>
      </c>
      <c r="AO87">
        <f t="shared" si="14"/>
        <v>0</v>
      </c>
      <c r="AP87">
        <f t="shared" si="15"/>
        <v>0</v>
      </c>
    </row>
    <row r="88" customHeight="1" spans="1:42">
      <c r="A88" s="5" t="s">
        <v>305</v>
      </c>
      <c r="C88" s="5">
        <v>5</v>
      </c>
      <c r="D88" s="1" t="s">
        <v>222</v>
      </c>
      <c r="E88" s="1" t="s">
        <v>224</v>
      </c>
      <c r="L88" s="1">
        <f>IFERROR(VLOOKUP($D88&amp;$C88,生产方式定位!$A$2:$E$38,2,FALSE)+VLOOKUP($E88&amp;$C88,生产方式定位!$F$3:$J$38,2,FALSE),0)</f>
        <v>5800</v>
      </c>
      <c r="S88" s="1">
        <f>IFERROR(VLOOKUP($D88&amp;$C88,生产方式定位!$A$2:$E$38,3,FALSE)+VLOOKUP($E88&amp;$C88,生产方式定位!$F$3:$J$38,3,FALSE),0)</f>
        <v>1500</v>
      </c>
      <c r="X88" s="1">
        <f>IFERROR(VLOOKUP($D88&amp;$C88,生产方式定位!$A$2:$E$38,5,FALSE)+VLOOKUP($E88&amp;$C88,生产方式定位!$F$3:$J$38,5,FALSE),"错误")</f>
        <v>4850</v>
      </c>
      <c r="Y88" s="27" t="str">
        <f t="shared" si="8"/>
        <v/>
      </c>
      <c r="Z88" s="37" t="str">
        <f t="shared" si="9"/>
        <v/>
      </c>
      <c r="AA88" s="37" t="str">
        <f t="shared" si="10"/>
        <v/>
      </c>
      <c r="AB88" s="28">
        <f t="shared" si="11"/>
        <v>1.2</v>
      </c>
      <c r="AC88" s="37"/>
      <c r="AD88" s="38">
        <f t="shared" si="12"/>
        <v>5</v>
      </c>
      <c r="AE88" t="str">
        <f>IFERROR(F88&amp;"*"&amp;ROUND(L88*(G88/$AN88)/VLOOKUP(F88,商品!$A$4:$D$67,4,FALSE),0),"")</f>
        <v/>
      </c>
      <c r="AF88" t="str">
        <f>IFERROR(H88&amp;"*"&amp;ROUND(L88*(I88/$AN88)/VLOOKUP(H88,商品!$A$4:$D$67,4,FALSE),0),"")</f>
        <v/>
      </c>
      <c r="AG88" t="str">
        <f>IFERROR(J88&amp;"*"&amp;ROUND(L88*(K88/$AN88)/VLOOKUP(J88,商品!$A$4:$D$67,4,FALSE),0),"")</f>
        <v/>
      </c>
      <c r="AH88" t="str">
        <f>IFERROR(M88&amp;"*"&amp;ROUND(S88*(N88/$AO88)/VLOOKUP(M88,职业!$A$3:$E$16,4,FALSE),0),"")</f>
        <v/>
      </c>
      <c r="AI88" t="str">
        <f>IFERROR(O88&amp;"*"&amp;ROUND(S88*(P88/$AO88)/VLOOKUP(O88,职业!$A$3:$E$16,4,FALSE),0),"")</f>
        <v/>
      </c>
      <c r="AK88" t="str">
        <f>IFERROR(T88&amp;"*"&amp;ROUND(X88*(U88/$AP88)/VLOOKUP(T88,商品!$A$4:$D$67,4,FALSE),0),"")</f>
        <v/>
      </c>
      <c r="AL88" t="str">
        <f>IFERROR(V88&amp;"*"&amp;ROUND(X88*(W88/$AP88)/VLOOKUP(V88,商品!$A$4:$D$67,4,FALSE),0),"")</f>
        <v/>
      </c>
      <c r="AN88">
        <f t="shared" si="13"/>
        <v>0</v>
      </c>
      <c r="AO88">
        <f t="shared" si="14"/>
        <v>0</v>
      </c>
      <c r="AP88">
        <f t="shared" si="15"/>
        <v>0</v>
      </c>
    </row>
    <row r="89" customHeight="1" spans="1:42">
      <c r="A89" s="18" t="s">
        <v>306</v>
      </c>
      <c r="C89" s="18">
        <v>1</v>
      </c>
      <c r="D89" s="1" t="s">
        <v>222</v>
      </c>
      <c r="E89" s="1" t="s">
        <v>225</v>
      </c>
      <c r="L89" s="1">
        <f>IFERROR(VLOOKUP($D89&amp;$C89,生产方式定位!$A$2:$E$38,2,FALSE)+VLOOKUP($E89&amp;$C89,生产方式定位!$F$3:$J$38,2,FALSE),0)</f>
        <v>0</v>
      </c>
      <c r="S89" s="1">
        <f>IFERROR(VLOOKUP($D89&amp;$C89,生产方式定位!$A$2:$E$38,3,FALSE)+VLOOKUP($E89&amp;$C89,生产方式定位!$F$3:$J$38,3,FALSE),0)</f>
        <v>500</v>
      </c>
      <c r="X89" s="1">
        <f>IFERROR(VLOOKUP($D89&amp;$C89,生产方式定位!$A$2:$E$38,5,FALSE)+VLOOKUP($E89&amp;$C89,生产方式定位!$F$3:$J$38,5,FALSE),"错误")</f>
        <v>250</v>
      </c>
      <c r="Y89" s="27" t="str">
        <f t="shared" si="8"/>
        <v/>
      </c>
      <c r="Z89" s="37" t="str">
        <f t="shared" si="9"/>
        <v/>
      </c>
      <c r="AA89" s="37" t="str">
        <f t="shared" si="10"/>
        <v/>
      </c>
      <c r="AB89" s="28">
        <f t="shared" si="11"/>
        <v>0</v>
      </c>
      <c r="AC89" s="37"/>
      <c r="AD89" s="38">
        <f t="shared" si="12"/>
        <v>1</v>
      </c>
      <c r="AE89" t="str">
        <f>IFERROR(F89&amp;"*"&amp;ROUND(L89*(G89/$AN89)/VLOOKUP(F89,商品!$A$4:$D$67,4,FALSE),0),"")</f>
        <v/>
      </c>
      <c r="AF89" t="str">
        <f>IFERROR(H89&amp;"*"&amp;ROUND(L89*(I89/$AN89)/VLOOKUP(H89,商品!$A$4:$D$67,4,FALSE),0),"")</f>
        <v/>
      </c>
      <c r="AG89" t="str">
        <f>IFERROR(J89&amp;"*"&amp;ROUND(L89*(K89/$AN89)/VLOOKUP(J89,商品!$A$4:$D$67,4,FALSE),0),"")</f>
        <v/>
      </c>
      <c r="AH89" t="str">
        <f>IFERROR(M89&amp;"*"&amp;ROUND(S89*(N89/$AO89)/VLOOKUP(M89,职业!$A$3:$E$16,4,FALSE),0),"")</f>
        <v/>
      </c>
      <c r="AI89" t="str">
        <f>IFERROR(O89&amp;"*"&amp;ROUND(S89*(P89/$AO89)/VLOOKUP(O89,职业!$A$3:$E$16,4,FALSE),0),"")</f>
        <v/>
      </c>
      <c r="AK89" t="str">
        <f>IFERROR(T89&amp;"*"&amp;ROUND(X89*(U89/$AP89)/VLOOKUP(T89,商品!$A$4:$D$67,4,FALSE),0),"")</f>
        <v/>
      </c>
      <c r="AL89" t="str">
        <f>IFERROR(V89&amp;"*"&amp;ROUND(X89*(W89/$AP89)/VLOOKUP(V89,商品!$A$4:$D$67,4,FALSE),0),"")</f>
        <v/>
      </c>
      <c r="AN89">
        <f t="shared" si="13"/>
        <v>0</v>
      </c>
      <c r="AO89">
        <f t="shared" si="14"/>
        <v>0</v>
      </c>
      <c r="AP89">
        <f t="shared" si="15"/>
        <v>0</v>
      </c>
    </row>
    <row r="90" customHeight="1" spans="1:42">
      <c r="A90" s="18" t="s">
        <v>306</v>
      </c>
      <c r="C90" s="18">
        <v>2</v>
      </c>
      <c r="D90" s="1" t="s">
        <v>222</v>
      </c>
      <c r="E90" s="1" t="s">
        <v>225</v>
      </c>
      <c r="L90" s="1">
        <f>IFERROR(VLOOKUP($D90&amp;$C90,生产方式定位!$A$2:$E$38,2,FALSE)+VLOOKUP($E90&amp;$C90,生产方式定位!$F$3:$J$38,2,FALSE),0)</f>
        <v>2200</v>
      </c>
      <c r="S90" s="1">
        <f>IFERROR(VLOOKUP($D90&amp;$C90,生产方式定位!$A$2:$E$38,3,FALSE)+VLOOKUP($E90&amp;$C90,生产方式定位!$F$3:$J$38,3,FALSE),0)</f>
        <v>2550</v>
      </c>
      <c r="X90" s="1">
        <f>IFERROR(VLOOKUP($D90&amp;$C90,生产方式定位!$A$2:$E$38,5,FALSE)+VLOOKUP($E90&amp;$C90,生产方式定位!$F$3:$J$38,5,FALSE),"错误")</f>
        <v>2420</v>
      </c>
      <c r="Y90" s="27" t="str">
        <f t="shared" si="8"/>
        <v/>
      </c>
      <c r="Z90" s="37" t="str">
        <f t="shared" si="9"/>
        <v/>
      </c>
      <c r="AA90" s="37" t="str">
        <f t="shared" si="10"/>
        <v/>
      </c>
      <c r="AB90" s="28">
        <f t="shared" si="11"/>
        <v>0.91</v>
      </c>
      <c r="AC90" s="37"/>
      <c r="AD90" s="38">
        <f t="shared" si="12"/>
        <v>2</v>
      </c>
      <c r="AE90" t="str">
        <f>IFERROR(F90&amp;"*"&amp;ROUND(L90*(G90/$AN90)/VLOOKUP(F90,商品!$A$4:$D$67,4,FALSE),0),"")</f>
        <v/>
      </c>
      <c r="AF90" t="str">
        <f>IFERROR(H90&amp;"*"&amp;ROUND(L90*(I90/$AN90)/VLOOKUP(H90,商品!$A$4:$D$67,4,FALSE),0),"")</f>
        <v/>
      </c>
      <c r="AG90" t="str">
        <f>IFERROR(J90&amp;"*"&amp;ROUND(L90*(K90/$AN90)/VLOOKUP(J90,商品!$A$4:$D$67,4,FALSE),0),"")</f>
        <v/>
      </c>
      <c r="AH90" t="str">
        <f>IFERROR(M90&amp;"*"&amp;ROUND(S90*(N90/$AO90)/VLOOKUP(M90,职业!$A$3:$E$16,4,FALSE),0),"")</f>
        <v/>
      </c>
      <c r="AI90" t="str">
        <f>IFERROR(O90&amp;"*"&amp;ROUND(S90*(P90/$AO90)/VLOOKUP(O90,职业!$A$3:$E$16,4,FALSE),0),"")</f>
        <v/>
      </c>
      <c r="AK90" t="str">
        <f>IFERROR(T90&amp;"*"&amp;ROUND(X90*(U90/$AP90)/VLOOKUP(T90,商品!$A$4:$D$67,4,FALSE),0),"")</f>
        <v/>
      </c>
      <c r="AL90" t="str">
        <f>IFERROR(V90&amp;"*"&amp;ROUND(X90*(W90/$AP90)/VLOOKUP(V90,商品!$A$4:$D$67,4,FALSE),0),"")</f>
        <v/>
      </c>
      <c r="AN90">
        <f t="shared" si="13"/>
        <v>0</v>
      </c>
      <c r="AO90">
        <f t="shared" si="14"/>
        <v>0</v>
      </c>
      <c r="AP90">
        <f t="shared" si="15"/>
        <v>0</v>
      </c>
    </row>
    <row r="91" customHeight="1" spans="1:42">
      <c r="A91" s="18" t="s">
        <v>306</v>
      </c>
      <c r="C91" s="18">
        <v>3</v>
      </c>
      <c r="D91" s="1" t="s">
        <v>222</v>
      </c>
      <c r="E91" s="1" t="s">
        <v>225</v>
      </c>
      <c r="L91" s="1">
        <f>IFERROR(VLOOKUP($D91&amp;$C91,生产方式定位!$A$2:$E$38,2,FALSE)+VLOOKUP($E91&amp;$C91,生产方式定位!$F$3:$J$38,2,FALSE),0)</f>
        <v>3400</v>
      </c>
      <c r="S91" s="1">
        <f>IFERROR(VLOOKUP($D91&amp;$C91,生产方式定位!$A$2:$E$38,3,FALSE)+VLOOKUP($E91&amp;$C91,生产方式定位!$F$3:$J$38,3,FALSE),0)</f>
        <v>3600</v>
      </c>
      <c r="X91" s="1">
        <f>IFERROR(VLOOKUP($D91&amp;$C91,生产方式定位!$A$2:$E$38,5,FALSE)+VLOOKUP($E91&amp;$C91,生产方式定位!$F$3:$J$38,5,FALSE),"错误")</f>
        <v>3650</v>
      </c>
      <c r="Y91" s="27" t="str">
        <f t="shared" si="8"/>
        <v/>
      </c>
      <c r="Z91" s="37" t="str">
        <f t="shared" si="9"/>
        <v/>
      </c>
      <c r="AA91" s="37" t="str">
        <f t="shared" si="10"/>
        <v/>
      </c>
      <c r="AB91" s="28">
        <f t="shared" si="11"/>
        <v>0.93</v>
      </c>
      <c r="AC91" s="37"/>
      <c r="AD91" s="38">
        <f t="shared" si="12"/>
        <v>3</v>
      </c>
      <c r="AE91" t="str">
        <f>IFERROR(F91&amp;"*"&amp;ROUND(L91*(G91/$AN91)/VLOOKUP(F91,商品!$A$4:$D$67,4,FALSE),0),"")</f>
        <v/>
      </c>
      <c r="AF91" t="str">
        <f>IFERROR(H91&amp;"*"&amp;ROUND(L91*(I91/$AN91)/VLOOKUP(H91,商品!$A$4:$D$67,4,FALSE),0),"")</f>
        <v/>
      </c>
      <c r="AG91" t="str">
        <f>IFERROR(J91&amp;"*"&amp;ROUND(L91*(K91/$AN91)/VLOOKUP(J91,商品!$A$4:$D$67,4,FALSE),0),"")</f>
        <v/>
      </c>
      <c r="AH91" t="str">
        <f>IFERROR(M91&amp;"*"&amp;ROUND(S91*(N91/$AO91)/VLOOKUP(M91,职业!$A$3:$E$16,4,FALSE),0),"")</f>
        <v/>
      </c>
      <c r="AI91" t="str">
        <f>IFERROR(O91&amp;"*"&amp;ROUND(S91*(P91/$AO91)/VLOOKUP(O91,职业!$A$3:$E$16,4,FALSE),0),"")</f>
        <v/>
      </c>
      <c r="AK91" t="str">
        <f>IFERROR(T91&amp;"*"&amp;ROUND(X91*(U91/$AP91)/VLOOKUP(T91,商品!$A$4:$D$67,4,FALSE),0),"")</f>
        <v/>
      </c>
      <c r="AL91" t="str">
        <f>IFERROR(V91&amp;"*"&amp;ROUND(X91*(W91/$AP91)/VLOOKUP(V91,商品!$A$4:$D$67,4,FALSE),0),"")</f>
        <v/>
      </c>
      <c r="AN91">
        <f t="shared" si="13"/>
        <v>0</v>
      </c>
      <c r="AO91">
        <f t="shared" si="14"/>
        <v>0</v>
      </c>
      <c r="AP91">
        <f t="shared" si="15"/>
        <v>0</v>
      </c>
    </row>
    <row r="92" customHeight="1" spans="1:42">
      <c r="A92" s="18" t="s">
        <v>306</v>
      </c>
      <c r="C92" s="18">
        <v>4</v>
      </c>
      <c r="D92" s="1" t="s">
        <v>222</v>
      </c>
      <c r="E92" s="1" t="s">
        <v>225</v>
      </c>
      <c r="L92" s="1">
        <f>IFERROR(VLOOKUP($D92&amp;$C92,生产方式定位!$A$2:$E$38,2,FALSE)+VLOOKUP($E92&amp;$C92,生产方式定位!$F$3:$J$38,2,FALSE),0)</f>
        <v>4600</v>
      </c>
      <c r="S92" s="1">
        <f>IFERROR(VLOOKUP($D92&amp;$C92,生产方式定位!$A$2:$E$38,3,FALSE)+VLOOKUP($E92&amp;$C92,生产方式定位!$F$3:$J$38,3,FALSE),0)</f>
        <v>4650</v>
      </c>
      <c r="X92" s="1">
        <f>IFERROR(VLOOKUP($D92&amp;$C92,生产方式定位!$A$2:$E$38,5,FALSE)+VLOOKUP($E92&amp;$C92,生产方式定位!$F$3:$J$38,5,FALSE),"错误")</f>
        <v>4940</v>
      </c>
      <c r="Y92" s="27" t="str">
        <f t="shared" si="8"/>
        <v/>
      </c>
      <c r="Z92" s="37" t="str">
        <f t="shared" si="9"/>
        <v/>
      </c>
      <c r="AA92" s="37" t="str">
        <f t="shared" si="10"/>
        <v/>
      </c>
      <c r="AB92" s="28">
        <f t="shared" si="11"/>
        <v>0.93</v>
      </c>
      <c r="AC92" s="37"/>
      <c r="AD92" s="38">
        <f t="shared" si="12"/>
        <v>4</v>
      </c>
      <c r="AE92" t="str">
        <f>IFERROR(F92&amp;"*"&amp;ROUND(L92*(G92/$AN92)/VLOOKUP(F92,商品!$A$4:$D$67,4,FALSE),0),"")</f>
        <v/>
      </c>
      <c r="AF92" t="str">
        <f>IFERROR(H92&amp;"*"&amp;ROUND(L92*(I92/$AN92)/VLOOKUP(H92,商品!$A$4:$D$67,4,FALSE),0),"")</f>
        <v/>
      </c>
      <c r="AG92" t="str">
        <f>IFERROR(J92&amp;"*"&amp;ROUND(L92*(K92/$AN92)/VLOOKUP(J92,商品!$A$4:$D$67,4,FALSE),0),"")</f>
        <v/>
      </c>
      <c r="AH92" t="str">
        <f>IFERROR(M92&amp;"*"&amp;ROUND(S92*(N92/$AO92)/VLOOKUP(M92,职业!$A$3:$E$16,4,FALSE),0),"")</f>
        <v/>
      </c>
      <c r="AI92" t="str">
        <f>IFERROR(O92&amp;"*"&amp;ROUND(S92*(P92/$AO92)/VLOOKUP(O92,职业!$A$3:$E$16,4,FALSE),0),"")</f>
        <v/>
      </c>
      <c r="AK92" t="str">
        <f>IFERROR(T92&amp;"*"&amp;ROUND(X92*(U92/$AP92)/VLOOKUP(T92,商品!$A$4:$D$67,4,FALSE),0),"")</f>
        <v/>
      </c>
      <c r="AL92" t="str">
        <f>IFERROR(V92&amp;"*"&amp;ROUND(X92*(W92/$AP92)/VLOOKUP(V92,商品!$A$4:$D$67,4,FALSE),0),"")</f>
        <v/>
      </c>
      <c r="AN92">
        <f t="shared" si="13"/>
        <v>0</v>
      </c>
      <c r="AO92">
        <f t="shared" si="14"/>
        <v>0</v>
      </c>
      <c r="AP92">
        <f t="shared" si="15"/>
        <v>0</v>
      </c>
    </row>
    <row r="93" customHeight="1" spans="1:42">
      <c r="A93" s="18" t="s">
        <v>306</v>
      </c>
      <c r="C93" s="18">
        <v>5</v>
      </c>
      <c r="D93" s="1" t="s">
        <v>222</v>
      </c>
      <c r="E93" s="1" t="s">
        <v>225</v>
      </c>
      <c r="L93" s="1">
        <f>IFERROR(VLOOKUP($D93&amp;$C93,生产方式定位!$A$2:$E$38,2,FALSE)+VLOOKUP($E93&amp;$C93,生产方式定位!$F$3:$J$38,2,FALSE),0)</f>
        <v>5800</v>
      </c>
      <c r="S93" s="1">
        <f>IFERROR(VLOOKUP($D93&amp;$C93,生产方式定位!$A$2:$E$38,3,FALSE)+VLOOKUP($E93&amp;$C93,生产方式定位!$F$3:$J$38,3,FALSE),0)</f>
        <v>5700</v>
      </c>
      <c r="X93" s="1">
        <f>IFERROR(VLOOKUP($D93&amp;$C93,生产方式定位!$A$2:$E$38,5,FALSE)+VLOOKUP($E93&amp;$C93,生产方式定位!$F$3:$J$38,5,FALSE),"错误")</f>
        <v>6313</v>
      </c>
      <c r="Y93" s="27" t="str">
        <f t="shared" si="8"/>
        <v/>
      </c>
      <c r="Z93" s="37" t="str">
        <f t="shared" si="9"/>
        <v/>
      </c>
      <c r="AA93" s="37" t="str">
        <f t="shared" si="10"/>
        <v/>
      </c>
      <c r="AB93" s="28">
        <f t="shared" si="11"/>
        <v>0.92</v>
      </c>
      <c r="AC93" s="37"/>
      <c r="AD93" s="38">
        <f t="shared" si="12"/>
        <v>5</v>
      </c>
      <c r="AE93" t="str">
        <f>IFERROR(F93&amp;"*"&amp;ROUND(L93*(G93/$AN93)/VLOOKUP(F93,商品!$A$4:$D$67,4,FALSE),0),"")</f>
        <v/>
      </c>
      <c r="AF93" t="str">
        <f>IFERROR(H93&amp;"*"&amp;ROUND(L93*(I93/$AN93)/VLOOKUP(H93,商品!$A$4:$D$67,4,FALSE),0),"")</f>
        <v/>
      </c>
      <c r="AG93" t="str">
        <f>IFERROR(J93&amp;"*"&amp;ROUND(L93*(K93/$AN93)/VLOOKUP(J93,商品!$A$4:$D$67,4,FALSE),0),"")</f>
        <v/>
      </c>
      <c r="AH93" t="str">
        <f>IFERROR(M93&amp;"*"&amp;ROUND(S93*(N93/$AO93)/VLOOKUP(M93,职业!$A$3:$E$16,4,FALSE),0),"")</f>
        <v/>
      </c>
      <c r="AI93" t="str">
        <f>IFERROR(O93&amp;"*"&amp;ROUND(S93*(P93/$AO93)/VLOOKUP(O93,职业!$A$3:$E$16,4,FALSE),0),"")</f>
        <v/>
      </c>
      <c r="AK93" t="str">
        <f>IFERROR(T93&amp;"*"&amp;ROUND(X93*(U93/$AP93)/VLOOKUP(T93,商品!$A$4:$D$67,4,FALSE),0),"")</f>
        <v/>
      </c>
      <c r="AL93" t="str">
        <f>IFERROR(V93&amp;"*"&amp;ROUND(X93*(W93/$AP93)/VLOOKUP(V93,商品!$A$4:$D$67,4,FALSE),0),"")</f>
        <v/>
      </c>
      <c r="AN93">
        <f t="shared" si="13"/>
        <v>0</v>
      </c>
      <c r="AO93">
        <f t="shared" si="14"/>
        <v>0</v>
      </c>
      <c r="AP93">
        <f t="shared" si="15"/>
        <v>0</v>
      </c>
    </row>
    <row r="94" customHeight="1" spans="1:42">
      <c r="A94" s="5" t="s">
        <v>307</v>
      </c>
      <c r="C94" s="5">
        <v>1</v>
      </c>
      <c r="D94" s="1" t="s">
        <v>222</v>
      </c>
      <c r="E94" s="1" t="s">
        <v>226</v>
      </c>
      <c r="L94" s="1">
        <f>IFERROR(VLOOKUP($D94&amp;$C94,生产方式定位!$A$2:$E$38,2,FALSE)+VLOOKUP($E94&amp;$C94,生产方式定位!$F$3:$J$38,2,FALSE),0)</f>
        <v>0</v>
      </c>
      <c r="S94" s="1">
        <f>IFERROR(VLOOKUP($D94&amp;$C94,生产方式定位!$A$2:$E$38,3,FALSE)+VLOOKUP($E94&amp;$C94,生产方式定位!$F$3:$J$38,3,FALSE),0)</f>
        <v>500</v>
      </c>
      <c r="X94" s="1">
        <f>IFERROR(VLOOKUP($D94&amp;$C94,生产方式定位!$A$2:$E$38,5,FALSE)+VLOOKUP($E94&amp;$C94,生产方式定位!$F$3:$J$38,5,FALSE),"错误")</f>
        <v>250</v>
      </c>
      <c r="Y94" s="27" t="str">
        <f t="shared" si="8"/>
        <v/>
      </c>
      <c r="Z94" s="37" t="str">
        <f t="shared" si="9"/>
        <v/>
      </c>
      <c r="AA94" s="37" t="str">
        <f t="shared" si="10"/>
        <v/>
      </c>
      <c r="AB94" s="28">
        <f t="shared" si="11"/>
        <v>0</v>
      </c>
      <c r="AC94" s="37"/>
      <c r="AD94" s="38">
        <f t="shared" si="12"/>
        <v>1</v>
      </c>
      <c r="AE94" t="str">
        <f>IFERROR(F94&amp;"*"&amp;ROUND(L94*(G94/$AN94)/VLOOKUP(F94,商品!$A$4:$D$67,4,FALSE),0),"")</f>
        <v/>
      </c>
      <c r="AF94" t="str">
        <f>IFERROR(H94&amp;"*"&amp;ROUND(L94*(I94/$AN94)/VLOOKUP(H94,商品!$A$4:$D$67,4,FALSE),0),"")</f>
        <v/>
      </c>
      <c r="AG94" t="str">
        <f>IFERROR(J94&amp;"*"&amp;ROUND(L94*(K94/$AN94)/VLOOKUP(J94,商品!$A$4:$D$67,4,FALSE),0),"")</f>
        <v/>
      </c>
      <c r="AH94" t="str">
        <f>IFERROR(M94&amp;"*"&amp;ROUND(S94*(N94/$AO94)/VLOOKUP(M94,职业!$A$3:$E$16,4,FALSE),0),"")</f>
        <v/>
      </c>
      <c r="AI94" t="str">
        <f>IFERROR(O94&amp;"*"&amp;ROUND(S94*(P94/$AO94)/VLOOKUP(O94,职业!$A$3:$E$16,4,FALSE),0),"")</f>
        <v/>
      </c>
      <c r="AK94" t="str">
        <f>IFERROR(T94&amp;"*"&amp;ROUND(X94*(U94/$AP94)/VLOOKUP(T94,商品!$A$4:$D$67,4,FALSE),0),"")</f>
        <v/>
      </c>
      <c r="AL94" t="str">
        <f>IFERROR(V94&amp;"*"&amp;ROUND(X94*(W94/$AP94)/VLOOKUP(V94,商品!$A$4:$D$67,4,FALSE),0),"")</f>
        <v/>
      </c>
      <c r="AN94">
        <f t="shared" si="13"/>
        <v>0</v>
      </c>
      <c r="AO94">
        <f t="shared" si="14"/>
        <v>0</v>
      </c>
      <c r="AP94">
        <f t="shared" si="15"/>
        <v>0</v>
      </c>
    </row>
    <row r="95" customHeight="1" spans="1:42">
      <c r="A95" s="5" t="s">
        <v>307</v>
      </c>
      <c r="C95" s="5">
        <v>2</v>
      </c>
      <c r="D95" s="1" t="s">
        <v>222</v>
      </c>
      <c r="E95" s="1" t="s">
        <v>226</v>
      </c>
      <c r="L95" s="1">
        <f>IFERROR(VLOOKUP($D95&amp;$C95,生产方式定位!$A$2:$E$38,2,FALSE)+VLOOKUP($E95&amp;$C95,生产方式定位!$F$3:$J$38,2,FALSE),0)</f>
        <v>3200</v>
      </c>
      <c r="S95" s="1">
        <f>IFERROR(VLOOKUP($D95&amp;$C95,生产方式定位!$A$2:$E$38,3,FALSE)+VLOOKUP($E95&amp;$C95,生产方式定位!$F$3:$J$38,3,FALSE),0)</f>
        <v>350</v>
      </c>
      <c r="X95" s="1">
        <f>IFERROR(VLOOKUP($D95&amp;$C95,生产方式定位!$A$2:$E$38,5,FALSE)+VLOOKUP($E95&amp;$C95,生产方式定位!$F$3:$J$38,5,FALSE),"错误")</f>
        <v>1865</v>
      </c>
      <c r="Y95" s="27" t="str">
        <f t="shared" si="8"/>
        <v/>
      </c>
      <c r="Z95" s="37" t="str">
        <f t="shared" si="9"/>
        <v/>
      </c>
      <c r="AA95" s="37" t="str">
        <f t="shared" si="10"/>
        <v/>
      </c>
      <c r="AB95" s="28">
        <f t="shared" si="11"/>
        <v>1.72</v>
      </c>
      <c r="AC95" s="37"/>
      <c r="AD95" s="38">
        <f t="shared" si="12"/>
        <v>2</v>
      </c>
      <c r="AE95" t="str">
        <f>IFERROR(F95&amp;"*"&amp;ROUND(L95*(G95/$AN95)/VLOOKUP(F95,商品!$A$4:$D$67,4,FALSE),0),"")</f>
        <v/>
      </c>
      <c r="AF95" t="str">
        <f>IFERROR(H95&amp;"*"&amp;ROUND(L95*(I95/$AN95)/VLOOKUP(H95,商品!$A$4:$D$67,4,FALSE),0),"")</f>
        <v/>
      </c>
      <c r="AG95" t="str">
        <f>IFERROR(J95&amp;"*"&amp;ROUND(L95*(K95/$AN95)/VLOOKUP(J95,商品!$A$4:$D$67,4,FALSE),0),"")</f>
        <v/>
      </c>
      <c r="AH95" t="str">
        <f>IFERROR(M95&amp;"*"&amp;ROUND(S95*(N95/$AO95)/VLOOKUP(M95,职业!$A$3:$E$16,4,FALSE),0),"")</f>
        <v/>
      </c>
      <c r="AI95" t="str">
        <f>IFERROR(O95&amp;"*"&amp;ROUND(S95*(P95/$AO95)/VLOOKUP(O95,职业!$A$3:$E$16,4,FALSE),0),"")</f>
        <v/>
      </c>
      <c r="AK95" t="str">
        <f>IFERROR(T95&amp;"*"&amp;ROUND(X95*(U95/$AP95)/VLOOKUP(T95,商品!$A$4:$D$67,4,FALSE),0),"")</f>
        <v/>
      </c>
      <c r="AL95" t="str">
        <f>IFERROR(V95&amp;"*"&amp;ROUND(X95*(W95/$AP95)/VLOOKUP(V95,商品!$A$4:$D$67,4,FALSE),0),"")</f>
        <v/>
      </c>
      <c r="AN95">
        <f t="shared" si="13"/>
        <v>0</v>
      </c>
      <c r="AO95">
        <f t="shared" si="14"/>
        <v>0</v>
      </c>
      <c r="AP95">
        <f t="shared" si="15"/>
        <v>0</v>
      </c>
    </row>
    <row r="96" customHeight="1" spans="1:42">
      <c r="A96" s="5" t="s">
        <v>307</v>
      </c>
      <c r="C96" s="5">
        <v>3</v>
      </c>
      <c r="D96" s="1" t="s">
        <v>222</v>
      </c>
      <c r="E96" s="1" t="s">
        <v>226</v>
      </c>
      <c r="L96" s="1">
        <f>IFERROR(VLOOKUP($D96&amp;$C96,生产方式定位!$A$2:$E$38,2,FALSE)+VLOOKUP($E96&amp;$C96,生产方式定位!$F$3:$J$38,2,FALSE),0)</f>
        <v>4400</v>
      </c>
      <c r="S96" s="1">
        <f>IFERROR(VLOOKUP($D96&amp;$C96,生产方式定位!$A$2:$E$38,3,FALSE)+VLOOKUP($E96&amp;$C96,生产方式定位!$F$3:$J$38,3,FALSE),0)</f>
        <v>200</v>
      </c>
      <c r="X96" s="1">
        <f>IFERROR(VLOOKUP($D96&amp;$C96,生产方式定位!$A$2:$E$38,5,FALSE)+VLOOKUP($E96&amp;$C96,生产方式定位!$F$3:$J$38,5,FALSE),"错误")</f>
        <v>2560</v>
      </c>
      <c r="Y96" s="27" t="str">
        <f t="shared" si="8"/>
        <v/>
      </c>
      <c r="Z96" s="37" t="str">
        <f t="shared" si="9"/>
        <v/>
      </c>
      <c r="AA96" s="37" t="str">
        <f t="shared" si="10"/>
        <v/>
      </c>
      <c r="AB96" s="28">
        <f t="shared" si="11"/>
        <v>1.72</v>
      </c>
      <c r="AC96" s="37"/>
      <c r="AD96" s="38">
        <f t="shared" si="12"/>
        <v>3</v>
      </c>
      <c r="AE96" t="str">
        <f>IFERROR(F96&amp;"*"&amp;ROUND(L96*(G96/$AN96)/VLOOKUP(F96,商品!$A$4:$D$67,4,FALSE),0),"")</f>
        <v/>
      </c>
      <c r="AF96" t="str">
        <f>IFERROR(H96&amp;"*"&amp;ROUND(L96*(I96/$AN96)/VLOOKUP(H96,商品!$A$4:$D$67,4,FALSE),0),"")</f>
        <v/>
      </c>
      <c r="AG96" t="str">
        <f>IFERROR(J96&amp;"*"&amp;ROUND(L96*(K96/$AN96)/VLOOKUP(J96,商品!$A$4:$D$67,4,FALSE),0),"")</f>
        <v/>
      </c>
      <c r="AH96" t="str">
        <f>IFERROR(M96&amp;"*"&amp;ROUND(S96*(N96/$AO96)/VLOOKUP(M96,职业!$A$3:$E$16,4,FALSE),0),"")</f>
        <v/>
      </c>
      <c r="AI96" t="str">
        <f>IFERROR(O96&amp;"*"&amp;ROUND(S96*(P96/$AO96)/VLOOKUP(O96,职业!$A$3:$E$16,4,FALSE),0),"")</f>
        <v/>
      </c>
      <c r="AK96" t="str">
        <f>IFERROR(T96&amp;"*"&amp;ROUND(X96*(U96/$AP96)/VLOOKUP(T96,商品!$A$4:$D$67,4,FALSE),0),"")</f>
        <v/>
      </c>
      <c r="AL96" t="str">
        <f>IFERROR(V96&amp;"*"&amp;ROUND(X96*(W96/$AP96)/VLOOKUP(V96,商品!$A$4:$D$67,4,FALSE),0),"")</f>
        <v/>
      </c>
      <c r="AN96">
        <f t="shared" si="13"/>
        <v>0</v>
      </c>
      <c r="AO96">
        <f t="shared" si="14"/>
        <v>0</v>
      </c>
      <c r="AP96">
        <f t="shared" si="15"/>
        <v>0</v>
      </c>
    </row>
    <row r="97" customHeight="1" spans="1:42">
      <c r="A97" s="5" t="s">
        <v>307</v>
      </c>
      <c r="C97" s="5">
        <v>4</v>
      </c>
      <c r="D97" s="1" t="s">
        <v>222</v>
      </c>
      <c r="E97" s="1" t="s">
        <v>226</v>
      </c>
      <c r="L97" s="1">
        <f>IFERROR(VLOOKUP($D97&amp;$C97,生产方式定位!$A$2:$E$38,2,FALSE)+VLOOKUP($E97&amp;$C97,生产方式定位!$F$3:$J$38,2,FALSE),0)</f>
        <v>5600</v>
      </c>
      <c r="S97" s="1">
        <f>IFERROR(VLOOKUP($D97&amp;$C97,生产方式定位!$A$2:$E$38,3,FALSE)+VLOOKUP($E97&amp;$C97,生产方式定位!$F$3:$J$38,3,FALSE),0)</f>
        <v>50</v>
      </c>
      <c r="X97" s="1">
        <f>IFERROR(VLOOKUP($D97&amp;$C97,生产方式定位!$A$2:$E$38,5,FALSE)+VLOOKUP($E97&amp;$C97,生产方式定位!$F$3:$J$38,5,FALSE),"错误")</f>
        <v>3335</v>
      </c>
      <c r="Y97" s="27" t="str">
        <f t="shared" si="8"/>
        <v/>
      </c>
      <c r="Z97" s="37" t="str">
        <f t="shared" si="9"/>
        <v/>
      </c>
      <c r="AA97" s="37" t="str">
        <f t="shared" si="10"/>
        <v/>
      </c>
      <c r="AB97" s="28">
        <f t="shared" si="11"/>
        <v>1.68</v>
      </c>
      <c r="AC97" s="37"/>
      <c r="AD97" s="38">
        <f t="shared" si="12"/>
        <v>4</v>
      </c>
      <c r="AE97" t="str">
        <f>IFERROR(F97&amp;"*"&amp;ROUND(L97*(G97/$AN97)/VLOOKUP(F97,商品!$A$4:$D$67,4,FALSE),0),"")</f>
        <v/>
      </c>
      <c r="AF97" t="str">
        <f>IFERROR(H97&amp;"*"&amp;ROUND(L97*(I97/$AN97)/VLOOKUP(H97,商品!$A$4:$D$67,4,FALSE),0),"")</f>
        <v/>
      </c>
      <c r="AG97" t="str">
        <f>IFERROR(J97&amp;"*"&amp;ROUND(L97*(K97/$AN97)/VLOOKUP(J97,商品!$A$4:$D$67,4,FALSE),0),"")</f>
        <v/>
      </c>
      <c r="AH97" t="str">
        <f>IFERROR(M97&amp;"*"&amp;ROUND(S97*(N97/$AO97)/VLOOKUP(M97,职业!$A$3:$E$16,4,FALSE),0),"")</f>
        <v/>
      </c>
      <c r="AI97" t="str">
        <f>IFERROR(O97&amp;"*"&amp;ROUND(S97*(P97/$AO97)/VLOOKUP(O97,职业!$A$3:$E$16,4,FALSE),0),"")</f>
        <v/>
      </c>
      <c r="AK97" t="str">
        <f>IFERROR(T97&amp;"*"&amp;ROUND(X97*(U97/$AP97)/VLOOKUP(T97,商品!$A$4:$D$67,4,FALSE),0),"")</f>
        <v/>
      </c>
      <c r="AL97" t="str">
        <f>IFERROR(V97&amp;"*"&amp;ROUND(X97*(W97/$AP97)/VLOOKUP(V97,商品!$A$4:$D$67,4,FALSE),0),"")</f>
        <v/>
      </c>
      <c r="AN97">
        <f t="shared" si="13"/>
        <v>0</v>
      </c>
      <c r="AO97">
        <f t="shared" si="14"/>
        <v>0</v>
      </c>
      <c r="AP97">
        <f t="shared" si="15"/>
        <v>0</v>
      </c>
    </row>
    <row r="98" customHeight="1" spans="1:42">
      <c r="A98" s="5" t="s">
        <v>307</v>
      </c>
      <c r="C98" s="5">
        <v>5</v>
      </c>
      <c r="D98" s="1" t="s">
        <v>222</v>
      </c>
      <c r="E98" s="1" t="s">
        <v>226</v>
      </c>
      <c r="L98" s="1">
        <f>IFERROR(VLOOKUP($D98&amp;$C98,生产方式定位!$A$2:$E$38,2,FALSE)+VLOOKUP($E98&amp;$C98,生产方式定位!$F$3:$J$38,2,FALSE),0)</f>
        <v>6800</v>
      </c>
      <c r="S98" s="1">
        <f>IFERROR(VLOOKUP($D98&amp;$C98,生产方式定位!$A$2:$E$38,3,FALSE)+VLOOKUP($E98&amp;$C98,生产方式定位!$F$3:$J$38,3,FALSE),0)</f>
        <v>-100</v>
      </c>
      <c r="X98" s="1">
        <f>IFERROR(VLOOKUP($D98&amp;$C98,生产方式定位!$A$2:$E$38,5,FALSE)+VLOOKUP($E98&amp;$C98,生产方式定位!$F$3:$J$38,5,FALSE),"错误")</f>
        <v>4190</v>
      </c>
      <c r="Y98" s="27" t="str">
        <f t="shared" si="8"/>
        <v/>
      </c>
      <c r="Z98" s="37" t="str">
        <f t="shared" si="9"/>
        <v/>
      </c>
      <c r="AA98" s="37" t="str">
        <f t="shared" si="10"/>
        <v/>
      </c>
      <c r="AB98" s="28">
        <f t="shared" si="11"/>
        <v>1.62</v>
      </c>
      <c r="AC98" s="37"/>
      <c r="AD98" s="38">
        <f t="shared" si="12"/>
        <v>5</v>
      </c>
      <c r="AE98" t="str">
        <f>IFERROR(F98&amp;"*"&amp;ROUND(L98*(G98/$AN98)/VLOOKUP(F98,商品!$A$4:$D$67,4,FALSE),0),"")</f>
        <v/>
      </c>
      <c r="AF98" t="str">
        <f>IFERROR(H98&amp;"*"&amp;ROUND(L98*(I98/$AN98)/VLOOKUP(H98,商品!$A$4:$D$67,4,FALSE),0),"")</f>
        <v/>
      </c>
      <c r="AG98" t="str">
        <f>IFERROR(J98&amp;"*"&amp;ROUND(L98*(K98/$AN98)/VLOOKUP(J98,商品!$A$4:$D$67,4,FALSE),0),"")</f>
        <v/>
      </c>
      <c r="AH98" t="str">
        <f>IFERROR(M98&amp;"*"&amp;ROUND(S98*(N98/$AO98)/VLOOKUP(M98,职业!$A$3:$E$16,4,FALSE),0),"")</f>
        <v/>
      </c>
      <c r="AI98" t="str">
        <f>IFERROR(O98&amp;"*"&amp;ROUND(S98*(P98/$AO98)/VLOOKUP(O98,职业!$A$3:$E$16,4,FALSE),0),"")</f>
        <v/>
      </c>
      <c r="AK98" t="str">
        <f>IFERROR(T98&amp;"*"&amp;ROUND(X98*(U98/$AP98)/VLOOKUP(T98,商品!$A$4:$D$67,4,FALSE),0),"")</f>
        <v/>
      </c>
      <c r="AL98" t="str">
        <f>IFERROR(V98&amp;"*"&amp;ROUND(X98*(W98/$AP98)/VLOOKUP(V98,商品!$A$4:$D$67,4,FALSE),0),"")</f>
        <v/>
      </c>
      <c r="AN98">
        <f t="shared" si="13"/>
        <v>0</v>
      </c>
      <c r="AO98">
        <f t="shared" si="14"/>
        <v>0</v>
      </c>
      <c r="AP98">
        <f t="shared" si="15"/>
        <v>0</v>
      </c>
    </row>
    <row r="99" customHeight="1" spans="1:42">
      <c r="A99" s="18" t="s">
        <v>307</v>
      </c>
      <c r="C99" s="18">
        <v>1</v>
      </c>
      <c r="D99" s="1" t="s">
        <v>222</v>
      </c>
      <c r="E99" s="1" t="s">
        <v>226</v>
      </c>
      <c r="L99" s="1">
        <f>IFERROR(VLOOKUP($D99&amp;$C99,生产方式定位!$A$2:$E$38,2,FALSE)+VLOOKUP($E99&amp;$C99,生产方式定位!$F$3:$J$38,2,FALSE),0)</f>
        <v>0</v>
      </c>
      <c r="S99" s="1">
        <f>IFERROR(VLOOKUP($D99&amp;$C99,生产方式定位!$A$2:$E$38,3,FALSE)+VLOOKUP($E99&amp;$C99,生产方式定位!$F$3:$J$38,3,FALSE),0)</f>
        <v>500</v>
      </c>
      <c r="X99" s="1">
        <f>IFERROR(VLOOKUP($D99&amp;$C99,生产方式定位!$A$2:$E$38,5,FALSE)+VLOOKUP($E99&amp;$C99,生产方式定位!$F$3:$J$38,5,FALSE),"错误")</f>
        <v>250</v>
      </c>
      <c r="Y99" s="27" t="str">
        <f t="shared" si="8"/>
        <v/>
      </c>
      <c r="Z99" s="37" t="str">
        <f t="shared" si="9"/>
        <v/>
      </c>
      <c r="AA99" s="37" t="str">
        <f t="shared" si="10"/>
        <v/>
      </c>
      <c r="AB99" s="28">
        <f t="shared" si="11"/>
        <v>0</v>
      </c>
      <c r="AC99" s="37"/>
      <c r="AD99" s="38">
        <f t="shared" si="12"/>
        <v>1</v>
      </c>
      <c r="AE99" t="str">
        <f>IFERROR(F99&amp;"*"&amp;ROUND(L99*(G99/$AN99)/VLOOKUP(F99,商品!$A$4:$D$67,4,FALSE),0),"")</f>
        <v/>
      </c>
      <c r="AF99" t="str">
        <f>IFERROR(H99&amp;"*"&amp;ROUND(L99*(I99/$AN99)/VLOOKUP(H99,商品!$A$4:$D$67,4,FALSE),0),"")</f>
        <v/>
      </c>
      <c r="AG99" t="str">
        <f>IFERROR(J99&amp;"*"&amp;ROUND(L99*(K99/$AN99)/VLOOKUP(J99,商品!$A$4:$D$67,4,FALSE),0),"")</f>
        <v/>
      </c>
      <c r="AH99" t="str">
        <f>IFERROR(M99&amp;"*"&amp;ROUND(S99*(N99/$AO99)/VLOOKUP(M99,职业!$A$3:$E$16,4,FALSE),0),"")</f>
        <v/>
      </c>
      <c r="AI99" t="str">
        <f>IFERROR(O99&amp;"*"&amp;ROUND(S99*(P99/$AO99)/VLOOKUP(O99,职业!$A$3:$E$16,4,FALSE),0),"")</f>
        <v/>
      </c>
      <c r="AK99" t="str">
        <f>IFERROR(T99&amp;"*"&amp;ROUND(X99*(U99/$AP99)/VLOOKUP(T99,商品!$A$4:$D$67,4,FALSE),0),"")</f>
        <v/>
      </c>
      <c r="AL99" t="str">
        <f>IFERROR(V99&amp;"*"&amp;ROUND(X99*(W99/$AP99)/VLOOKUP(V99,商品!$A$4:$D$67,4,FALSE),0),"")</f>
        <v/>
      </c>
      <c r="AN99">
        <f t="shared" si="13"/>
        <v>0</v>
      </c>
      <c r="AO99">
        <f t="shared" si="14"/>
        <v>0</v>
      </c>
      <c r="AP99">
        <f t="shared" si="15"/>
        <v>0</v>
      </c>
    </row>
    <row r="100" customHeight="1" spans="1:42">
      <c r="A100" s="18" t="s">
        <v>307</v>
      </c>
      <c r="C100" s="18">
        <v>2</v>
      </c>
      <c r="D100" s="1" t="s">
        <v>222</v>
      </c>
      <c r="E100" s="1" t="s">
        <v>226</v>
      </c>
      <c r="L100" s="1">
        <f>IFERROR(VLOOKUP($D100&amp;$C100,生产方式定位!$A$2:$E$38,2,FALSE)+VLOOKUP($E100&amp;$C100,生产方式定位!$F$3:$J$38,2,FALSE),0)</f>
        <v>3200</v>
      </c>
      <c r="S100" s="1">
        <f>IFERROR(VLOOKUP($D100&amp;$C100,生产方式定位!$A$2:$E$38,3,FALSE)+VLOOKUP($E100&amp;$C100,生产方式定位!$F$3:$J$38,3,FALSE),0)</f>
        <v>350</v>
      </c>
      <c r="X100" s="1">
        <f>IFERROR(VLOOKUP($D100&amp;$C100,生产方式定位!$A$2:$E$38,5,FALSE)+VLOOKUP($E100&amp;$C100,生产方式定位!$F$3:$J$38,5,FALSE),"错误")</f>
        <v>1865</v>
      </c>
      <c r="Y100" s="27" t="str">
        <f t="shared" si="8"/>
        <v/>
      </c>
      <c r="Z100" s="37" t="str">
        <f t="shared" si="9"/>
        <v/>
      </c>
      <c r="AA100" s="37" t="str">
        <f t="shared" si="10"/>
        <v/>
      </c>
      <c r="AB100" s="28">
        <f t="shared" si="11"/>
        <v>1.72</v>
      </c>
      <c r="AC100" s="37"/>
      <c r="AD100" s="38">
        <f t="shared" si="12"/>
        <v>2</v>
      </c>
      <c r="AE100" t="str">
        <f>IFERROR(F100&amp;"*"&amp;ROUND(L100*(G100/$AN100)/VLOOKUP(F100,商品!$A$4:$D$67,4,FALSE),0),"")</f>
        <v/>
      </c>
      <c r="AF100" t="str">
        <f>IFERROR(H100&amp;"*"&amp;ROUND(L100*(I100/$AN100)/VLOOKUP(H100,商品!$A$4:$D$67,4,FALSE),0),"")</f>
        <v/>
      </c>
      <c r="AG100" t="str">
        <f>IFERROR(J100&amp;"*"&amp;ROUND(L100*(K100/$AN100)/VLOOKUP(J100,商品!$A$4:$D$67,4,FALSE),0),"")</f>
        <v/>
      </c>
      <c r="AH100" t="str">
        <f>IFERROR(M100&amp;"*"&amp;ROUND(S100*(N100/$AO100)/VLOOKUP(M100,职业!$A$3:$E$16,4,FALSE),0),"")</f>
        <v/>
      </c>
      <c r="AI100" t="str">
        <f>IFERROR(O100&amp;"*"&amp;ROUND(S100*(P100/$AO100)/VLOOKUP(O100,职业!$A$3:$E$16,4,FALSE),0),"")</f>
        <v/>
      </c>
      <c r="AK100" t="str">
        <f>IFERROR(T100&amp;"*"&amp;ROUND(X100*(U100/$AP100)/VLOOKUP(T100,商品!$A$4:$D$67,4,FALSE),0),"")</f>
        <v/>
      </c>
      <c r="AL100" t="str">
        <f>IFERROR(V100&amp;"*"&amp;ROUND(X100*(W100/$AP100)/VLOOKUP(V100,商品!$A$4:$D$67,4,FALSE),0),"")</f>
        <v/>
      </c>
      <c r="AN100">
        <f t="shared" si="13"/>
        <v>0</v>
      </c>
      <c r="AO100">
        <f t="shared" si="14"/>
        <v>0</v>
      </c>
      <c r="AP100">
        <f t="shared" si="15"/>
        <v>0</v>
      </c>
    </row>
    <row r="101" customHeight="1" spans="1:42">
      <c r="A101" s="18" t="s">
        <v>307</v>
      </c>
      <c r="C101" s="18">
        <v>3</v>
      </c>
      <c r="D101" s="1" t="s">
        <v>222</v>
      </c>
      <c r="E101" s="1" t="s">
        <v>226</v>
      </c>
      <c r="L101" s="1">
        <f>IFERROR(VLOOKUP($D101&amp;$C101,生产方式定位!$A$2:$E$38,2,FALSE)+VLOOKUP($E101&amp;$C101,生产方式定位!$F$3:$J$38,2,FALSE),0)</f>
        <v>4400</v>
      </c>
      <c r="S101" s="1">
        <f>IFERROR(VLOOKUP($D101&amp;$C101,生产方式定位!$A$2:$E$38,3,FALSE)+VLOOKUP($E101&amp;$C101,生产方式定位!$F$3:$J$38,3,FALSE),0)</f>
        <v>200</v>
      </c>
      <c r="X101" s="1">
        <f>IFERROR(VLOOKUP($D101&amp;$C101,生产方式定位!$A$2:$E$38,5,FALSE)+VLOOKUP($E101&amp;$C101,生产方式定位!$F$3:$J$38,5,FALSE),"错误")</f>
        <v>2560</v>
      </c>
      <c r="Y101" s="27" t="str">
        <f t="shared" si="8"/>
        <v/>
      </c>
      <c r="Z101" s="37" t="str">
        <f t="shared" si="9"/>
        <v/>
      </c>
      <c r="AA101" s="37" t="str">
        <f t="shared" si="10"/>
        <v/>
      </c>
      <c r="AB101" s="28">
        <f t="shared" si="11"/>
        <v>1.72</v>
      </c>
      <c r="AC101" s="37"/>
      <c r="AD101" s="38">
        <f t="shared" si="12"/>
        <v>3</v>
      </c>
      <c r="AE101" t="str">
        <f>IFERROR(F101&amp;"*"&amp;ROUND(L101*(G101/$AN101)/VLOOKUP(F101,商品!$A$4:$D$67,4,FALSE),0),"")</f>
        <v/>
      </c>
      <c r="AF101" t="str">
        <f>IFERROR(H101&amp;"*"&amp;ROUND(L101*(I101/$AN101)/VLOOKUP(H101,商品!$A$4:$D$67,4,FALSE),0),"")</f>
        <v/>
      </c>
      <c r="AG101" t="str">
        <f>IFERROR(J101&amp;"*"&amp;ROUND(L101*(K101/$AN101)/VLOOKUP(J101,商品!$A$4:$D$67,4,FALSE),0),"")</f>
        <v/>
      </c>
      <c r="AH101" t="str">
        <f>IFERROR(M101&amp;"*"&amp;ROUND(S101*(N101/$AO101)/VLOOKUP(M101,职业!$A$3:$E$16,4,FALSE),0),"")</f>
        <v/>
      </c>
      <c r="AI101" t="str">
        <f>IFERROR(O101&amp;"*"&amp;ROUND(S101*(P101/$AO101)/VLOOKUP(O101,职业!$A$3:$E$16,4,FALSE),0),"")</f>
        <v/>
      </c>
      <c r="AK101" t="str">
        <f>IFERROR(T101&amp;"*"&amp;ROUND(X101*(U101/$AP101)/VLOOKUP(T101,商品!$A$4:$D$67,4,FALSE),0),"")</f>
        <v/>
      </c>
      <c r="AL101" t="str">
        <f>IFERROR(V101&amp;"*"&amp;ROUND(X101*(W101/$AP101)/VLOOKUP(V101,商品!$A$4:$D$67,4,FALSE),0),"")</f>
        <v/>
      </c>
      <c r="AN101">
        <f t="shared" si="13"/>
        <v>0</v>
      </c>
      <c r="AO101">
        <f t="shared" si="14"/>
        <v>0</v>
      </c>
      <c r="AP101">
        <f t="shared" si="15"/>
        <v>0</v>
      </c>
    </row>
    <row r="102" customHeight="1" spans="1:42">
      <c r="A102" s="18" t="s">
        <v>307</v>
      </c>
      <c r="C102" s="18">
        <v>4</v>
      </c>
      <c r="D102" s="1" t="s">
        <v>222</v>
      </c>
      <c r="E102" s="1" t="s">
        <v>226</v>
      </c>
      <c r="L102" s="1">
        <f>IFERROR(VLOOKUP($D102&amp;$C102,生产方式定位!$A$2:$E$38,2,FALSE)+VLOOKUP($E102&amp;$C102,生产方式定位!$F$3:$J$38,2,FALSE),0)</f>
        <v>5600</v>
      </c>
      <c r="S102" s="1">
        <f>IFERROR(VLOOKUP($D102&amp;$C102,生产方式定位!$A$2:$E$38,3,FALSE)+VLOOKUP($E102&amp;$C102,生产方式定位!$F$3:$J$38,3,FALSE),0)</f>
        <v>50</v>
      </c>
      <c r="X102" s="1">
        <f>IFERROR(VLOOKUP($D102&amp;$C102,生产方式定位!$A$2:$E$38,5,FALSE)+VLOOKUP($E102&amp;$C102,生产方式定位!$F$3:$J$38,5,FALSE),"错误")</f>
        <v>3335</v>
      </c>
      <c r="Y102" s="27" t="str">
        <f t="shared" si="8"/>
        <v/>
      </c>
      <c r="Z102" s="37" t="str">
        <f t="shared" si="9"/>
        <v/>
      </c>
      <c r="AA102" s="37" t="str">
        <f t="shared" si="10"/>
        <v/>
      </c>
      <c r="AB102" s="28">
        <f t="shared" si="11"/>
        <v>1.68</v>
      </c>
      <c r="AC102" s="37"/>
      <c r="AD102" s="38">
        <f t="shared" si="12"/>
        <v>4</v>
      </c>
      <c r="AE102" t="str">
        <f>IFERROR(F102&amp;"*"&amp;ROUND(L102*(G102/$AN102)/VLOOKUP(F102,商品!$A$4:$D$67,4,FALSE),0),"")</f>
        <v/>
      </c>
      <c r="AF102" t="str">
        <f>IFERROR(H102&amp;"*"&amp;ROUND(L102*(I102/$AN102)/VLOOKUP(H102,商品!$A$4:$D$67,4,FALSE),0),"")</f>
        <v/>
      </c>
      <c r="AG102" t="str">
        <f>IFERROR(J102&amp;"*"&amp;ROUND(L102*(K102/$AN102)/VLOOKUP(J102,商品!$A$4:$D$67,4,FALSE),0),"")</f>
        <v/>
      </c>
      <c r="AH102" t="str">
        <f>IFERROR(M102&amp;"*"&amp;ROUND(S102*(N102/$AO102)/VLOOKUP(M102,职业!$A$3:$E$16,4,FALSE),0),"")</f>
        <v/>
      </c>
      <c r="AI102" t="str">
        <f>IFERROR(O102&amp;"*"&amp;ROUND(S102*(P102/$AO102)/VLOOKUP(O102,职业!$A$3:$E$16,4,FALSE),0),"")</f>
        <v/>
      </c>
      <c r="AK102" t="str">
        <f>IFERROR(T102&amp;"*"&amp;ROUND(X102*(U102/$AP102)/VLOOKUP(T102,商品!$A$4:$D$67,4,FALSE),0),"")</f>
        <v/>
      </c>
      <c r="AL102" t="str">
        <f>IFERROR(V102&amp;"*"&amp;ROUND(X102*(W102/$AP102)/VLOOKUP(V102,商品!$A$4:$D$67,4,FALSE),0),"")</f>
        <v/>
      </c>
      <c r="AN102">
        <f t="shared" si="13"/>
        <v>0</v>
      </c>
      <c r="AO102">
        <f t="shared" si="14"/>
        <v>0</v>
      </c>
      <c r="AP102">
        <f t="shared" si="15"/>
        <v>0</v>
      </c>
    </row>
    <row r="103" customHeight="1" spans="1:42">
      <c r="A103" s="18" t="s">
        <v>307</v>
      </c>
      <c r="C103" s="18">
        <v>5</v>
      </c>
      <c r="D103" s="1" t="s">
        <v>222</v>
      </c>
      <c r="E103" s="1" t="s">
        <v>226</v>
      </c>
      <c r="L103" s="1">
        <f>IFERROR(VLOOKUP($D103&amp;$C103,生产方式定位!$A$2:$E$38,2,FALSE)+VLOOKUP($E103&amp;$C103,生产方式定位!$F$3:$J$38,2,FALSE),0)</f>
        <v>6800</v>
      </c>
      <c r="S103" s="1">
        <f>IFERROR(VLOOKUP($D103&amp;$C103,生产方式定位!$A$2:$E$38,3,FALSE)+VLOOKUP($E103&amp;$C103,生产方式定位!$F$3:$J$38,3,FALSE),0)</f>
        <v>-100</v>
      </c>
      <c r="X103" s="1">
        <f>IFERROR(VLOOKUP($D103&amp;$C103,生产方式定位!$A$2:$E$38,5,FALSE)+VLOOKUP($E103&amp;$C103,生产方式定位!$F$3:$J$38,5,FALSE),"错误")</f>
        <v>4190</v>
      </c>
      <c r="Y103" s="27" t="str">
        <f t="shared" si="8"/>
        <v/>
      </c>
      <c r="Z103" s="37" t="str">
        <f t="shared" si="9"/>
        <v/>
      </c>
      <c r="AA103" s="37" t="str">
        <f t="shared" si="10"/>
        <v/>
      </c>
      <c r="AB103" s="28">
        <f t="shared" si="11"/>
        <v>1.62</v>
      </c>
      <c r="AC103" s="37"/>
      <c r="AD103" s="38">
        <f t="shared" si="12"/>
        <v>5</v>
      </c>
      <c r="AE103" t="str">
        <f>IFERROR(F103&amp;"*"&amp;ROUND(L103*(G103/$AN103)/VLOOKUP(F103,商品!$A$4:$D$67,4,FALSE),0),"")</f>
        <v/>
      </c>
      <c r="AF103" t="str">
        <f>IFERROR(H103&amp;"*"&amp;ROUND(L103*(I103/$AN103)/VLOOKUP(H103,商品!$A$4:$D$67,4,FALSE),0),"")</f>
        <v/>
      </c>
      <c r="AG103" t="str">
        <f>IFERROR(J103&amp;"*"&amp;ROUND(L103*(K103/$AN103)/VLOOKUP(J103,商品!$A$4:$D$67,4,FALSE),0),"")</f>
        <v/>
      </c>
      <c r="AH103" t="str">
        <f>IFERROR(M103&amp;"*"&amp;ROUND(S103*(N103/$AO103)/VLOOKUP(M103,职业!$A$3:$E$16,4,FALSE),0),"")</f>
        <v/>
      </c>
      <c r="AI103" t="str">
        <f>IFERROR(O103&amp;"*"&amp;ROUND(S103*(P103/$AO103)/VLOOKUP(O103,职业!$A$3:$E$16,4,FALSE),0),"")</f>
        <v/>
      </c>
      <c r="AK103" t="str">
        <f>IFERROR(T103&amp;"*"&amp;ROUND(X103*(U103/$AP103)/VLOOKUP(T103,商品!$A$4:$D$67,4,FALSE),0),"")</f>
        <v/>
      </c>
      <c r="AL103" t="str">
        <f>IFERROR(V103&amp;"*"&amp;ROUND(X103*(W103/$AP103)/VLOOKUP(V103,商品!$A$4:$D$67,4,FALSE),0),"")</f>
        <v/>
      </c>
      <c r="AN103">
        <f t="shared" si="13"/>
        <v>0</v>
      </c>
      <c r="AO103">
        <f t="shared" si="14"/>
        <v>0</v>
      </c>
      <c r="AP103">
        <f t="shared" si="15"/>
        <v>0</v>
      </c>
    </row>
    <row r="104" customHeight="1" spans="1:42">
      <c r="A104" s="5" t="s">
        <v>308</v>
      </c>
      <c r="C104" s="5">
        <v>1</v>
      </c>
      <c r="D104" s="1" t="s">
        <v>293</v>
      </c>
      <c r="E104" s="1" t="s">
        <v>227</v>
      </c>
      <c r="L104" s="1">
        <f>IFERROR(VLOOKUP($D104&amp;$C104,生产方式定位!$A$2:$E$38,2,FALSE)+VLOOKUP($E104&amp;$C104,生产方式定位!$F$3:$J$38,2,FALSE),0)</f>
        <v>0</v>
      </c>
      <c r="S104" s="1">
        <f>IFERROR(VLOOKUP($D104&amp;$C104,生产方式定位!$A$2:$E$38,3,FALSE)+VLOOKUP($E104&amp;$C104,生产方式定位!$F$3:$J$38,3,FALSE),0)</f>
        <v>0</v>
      </c>
      <c r="X104" s="1">
        <f>IFERROR(VLOOKUP($D104&amp;$C104,生产方式定位!$A$2:$E$38,5,FALSE)+VLOOKUP($E104&amp;$C104,生产方式定位!$F$3:$J$38,5,FALSE),"错误")</f>
        <v>0</v>
      </c>
      <c r="Y104" s="27" t="str">
        <f t="shared" si="8"/>
        <v/>
      </c>
      <c r="Z104" s="37" t="str">
        <f t="shared" si="9"/>
        <v/>
      </c>
      <c r="AA104" s="37" t="str">
        <f t="shared" si="10"/>
        <v/>
      </c>
      <c r="AB104" s="28" t="str">
        <f t="shared" si="11"/>
        <v/>
      </c>
      <c r="AC104" s="37"/>
      <c r="AD104" s="38">
        <f t="shared" si="12"/>
        <v>1</v>
      </c>
      <c r="AE104" t="str">
        <f>IFERROR(F104&amp;"*"&amp;ROUND(L104*(G104/$AN104)/VLOOKUP(F104,商品!$A$4:$D$67,4,FALSE),0),"")</f>
        <v/>
      </c>
      <c r="AF104" t="str">
        <f>IFERROR(H104&amp;"*"&amp;ROUND(L104*(I104/$AN104)/VLOOKUP(H104,商品!$A$4:$D$67,4,FALSE),0),"")</f>
        <v/>
      </c>
      <c r="AG104" t="str">
        <f>IFERROR(J104&amp;"*"&amp;ROUND(L104*(K104/$AN104)/VLOOKUP(J104,商品!$A$4:$D$67,4,FALSE),0),"")</f>
        <v/>
      </c>
      <c r="AH104" t="str">
        <f>IFERROR(M104&amp;"*"&amp;ROUND(S104*(N104/$AO104)/VLOOKUP(M104,职业!$A$3:$E$16,4,FALSE),0),"")</f>
        <v/>
      </c>
      <c r="AI104" t="str">
        <f>IFERROR(O104&amp;"*"&amp;ROUND(S104*(P104/$AO104)/VLOOKUP(O104,职业!$A$3:$E$16,4,FALSE),0),"")</f>
        <v/>
      </c>
      <c r="AK104" t="str">
        <f>IFERROR(T104&amp;"*"&amp;ROUND(X104*(U104/$AP104)/VLOOKUP(T104,商品!$A$4:$D$67,4,FALSE),0),"")</f>
        <v/>
      </c>
      <c r="AL104" t="str">
        <f>IFERROR(V104&amp;"*"&amp;ROUND(X104*(W104/$AP104)/VLOOKUP(V104,商品!$A$4:$D$67,4,FALSE),0),"")</f>
        <v/>
      </c>
      <c r="AN104">
        <f t="shared" si="13"/>
        <v>0</v>
      </c>
      <c r="AO104">
        <f t="shared" si="14"/>
        <v>0</v>
      </c>
      <c r="AP104">
        <f t="shared" si="15"/>
        <v>0</v>
      </c>
    </row>
    <row r="105" customHeight="1" spans="1:42">
      <c r="A105" s="5" t="s">
        <v>308</v>
      </c>
      <c r="C105" s="5">
        <v>2</v>
      </c>
      <c r="D105" s="1" t="s">
        <v>293</v>
      </c>
      <c r="E105" s="1" t="s">
        <v>227</v>
      </c>
      <c r="L105" s="1">
        <f>IFERROR(VLOOKUP($D105&amp;$C105,生产方式定位!$A$2:$E$38,2,FALSE)+VLOOKUP($E105&amp;$C105,生产方式定位!$F$3:$J$38,2,FALSE),0)</f>
        <v>0</v>
      </c>
      <c r="S105" s="1">
        <f>IFERROR(VLOOKUP($D105&amp;$C105,生产方式定位!$A$2:$E$38,3,FALSE)+VLOOKUP($E105&amp;$C105,生产方式定位!$F$3:$J$38,3,FALSE),0)</f>
        <v>0</v>
      </c>
      <c r="X105" s="1">
        <f>IFERROR(VLOOKUP($D105&amp;$C105,生产方式定位!$A$2:$E$38,5,FALSE)+VLOOKUP($E105&amp;$C105,生产方式定位!$F$3:$J$38,5,FALSE),"错误")</f>
        <v>0</v>
      </c>
      <c r="Y105" s="27" t="str">
        <f t="shared" si="8"/>
        <v/>
      </c>
      <c r="Z105" s="37" t="str">
        <f t="shared" si="9"/>
        <v/>
      </c>
      <c r="AA105" s="37" t="str">
        <f t="shared" si="10"/>
        <v/>
      </c>
      <c r="AB105" s="28" t="str">
        <f t="shared" si="11"/>
        <v/>
      </c>
      <c r="AC105" s="37"/>
      <c r="AD105" s="38">
        <f t="shared" si="12"/>
        <v>2</v>
      </c>
      <c r="AE105" t="str">
        <f>IFERROR(F105&amp;"*"&amp;ROUND(L105*(G105/$AN105)/VLOOKUP(F105,商品!$A$4:$D$67,4,FALSE),0),"")</f>
        <v/>
      </c>
      <c r="AF105" t="str">
        <f>IFERROR(H105&amp;"*"&amp;ROUND(L105*(I105/$AN105)/VLOOKUP(H105,商品!$A$4:$D$67,4,FALSE),0),"")</f>
        <v/>
      </c>
      <c r="AG105" t="str">
        <f>IFERROR(J105&amp;"*"&amp;ROUND(L105*(K105/$AN105)/VLOOKUP(J105,商品!$A$4:$D$67,4,FALSE),0),"")</f>
        <v/>
      </c>
      <c r="AH105" t="str">
        <f>IFERROR(M105&amp;"*"&amp;ROUND(S105*(N105/$AO105)/VLOOKUP(M105,职业!$A$3:$E$16,4,FALSE),0),"")</f>
        <v/>
      </c>
      <c r="AI105" t="str">
        <f>IFERROR(O105&amp;"*"&amp;ROUND(S105*(P105/$AO105)/VLOOKUP(O105,职业!$A$3:$E$16,4,FALSE),0),"")</f>
        <v/>
      </c>
      <c r="AK105" t="str">
        <f>IFERROR(T105&amp;"*"&amp;ROUND(X105*(U105/$AP105)/VLOOKUP(T105,商品!$A$4:$D$67,4,FALSE),0),"")</f>
        <v/>
      </c>
      <c r="AL105" t="str">
        <f>IFERROR(V105&amp;"*"&amp;ROUND(X105*(W105/$AP105)/VLOOKUP(V105,商品!$A$4:$D$67,4,FALSE),0),"")</f>
        <v/>
      </c>
      <c r="AN105">
        <f t="shared" si="13"/>
        <v>0</v>
      </c>
      <c r="AO105">
        <f t="shared" si="14"/>
        <v>0</v>
      </c>
      <c r="AP105">
        <f t="shared" si="15"/>
        <v>0</v>
      </c>
    </row>
    <row r="106" customHeight="1" spans="1:42">
      <c r="A106" s="5" t="s">
        <v>308</v>
      </c>
      <c r="C106" s="5">
        <v>3</v>
      </c>
      <c r="D106" s="1" t="s">
        <v>293</v>
      </c>
      <c r="E106" s="1" t="s">
        <v>227</v>
      </c>
      <c r="L106" s="1">
        <f>IFERROR(VLOOKUP($D106&amp;$C106,生产方式定位!$A$2:$E$38,2,FALSE)+VLOOKUP($E106&amp;$C106,生产方式定位!$F$3:$J$38,2,FALSE),0)</f>
        <v>0</v>
      </c>
      <c r="S106" s="1">
        <f>IFERROR(VLOOKUP($D106&amp;$C106,生产方式定位!$A$2:$E$38,3,FALSE)+VLOOKUP($E106&amp;$C106,生产方式定位!$F$3:$J$38,3,FALSE),0)</f>
        <v>0</v>
      </c>
      <c r="X106" s="1">
        <f>IFERROR(VLOOKUP($D106&amp;$C106,生产方式定位!$A$2:$E$38,5,FALSE)+VLOOKUP($E106&amp;$C106,生产方式定位!$F$3:$J$38,5,FALSE),"错误")</f>
        <v>0</v>
      </c>
      <c r="Y106" s="27" t="str">
        <f t="shared" si="8"/>
        <v/>
      </c>
      <c r="Z106" s="37" t="str">
        <f t="shared" si="9"/>
        <v/>
      </c>
      <c r="AA106" s="37" t="str">
        <f t="shared" si="10"/>
        <v/>
      </c>
      <c r="AB106" s="28" t="str">
        <f t="shared" si="11"/>
        <v/>
      </c>
      <c r="AC106" s="37"/>
      <c r="AD106" s="38">
        <f t="shared" si="12"/>
        <v>3</v>
      </c>
      <c r="AE106" t="str">
        <f>IFERROR(F106&amp;"*"&amp;ROUND(L106*(G106/$AN106)/VLOOKUP(F106,商品!$A$4:$D$67,4,FALSE),0),"")</f>
        <v/>
      </c>
      <c r="AF106" t="str">
        <f>IFERROR(H106&amp;"*"&amp;ROUND(L106*(I106/$AN106)/VLOOKUP(H106,商品!$A$4:$D$67,4,FALSE),0),"")</f>
        <v/>
      </c>
      <c r="AG106" t="str">
        <f>IFERROR(J106&amp;"*"&amp;ROUND(L106*(K106/$AN106)/VLOOKUP(J106,商品!$A$4:$D$67,4,FALSE),0),"")</f>
        <v/>
      </c>
      <c r="AH106" t="str">
        <f>IFERROR(M106&amp;"*"&amp;ROUND(S106*(N106/$AO106)/VLOOKUP(M106,职业!$A$3:$E$16,4,FALSE),0),"")</f>
        <v/>
      </c>
      <c r="AI106" t="str">
        <f>IFERROR(O106&amp;"*"&amp;ROUND(S106*(P106/$AO106)/VLOOKUP(O106,职业!$A$3:$E$16,4,FALSE),0),"")</f>
        <v/>
      </c>
      <c r="AK106" t="str">
        <f>IFERROR(T106&amp;"*"&amp;ROUND(X106*(U106/$AP106)/VLOOKUP(T106,商品!$A$4:$D$67,4,FALSE),0),"")</f>
        <v/>
      </c>
      <c r="AL106" t="str">
        <f>IFERROR(V106&amp;"*"&amp;ROUND(X106*(W106/$AP106)/VLOOKUP(V106,商品!$A$4:$D$67,4,FALSE),0),"")</f>
        <v/>
      </c>
      <c r="AN106">
        <f t="shared" si="13"/>
        <v>0</v>
      </c>
      <c r="AO106">
        <f t="shared" si="14"/>
        <v>0</v>
      </c>
      <c r="AP106">
        <f t="shared" si="15"/>
        <v>0</v>
      </c>
    </row>
    <row r="107" customHeight="1" spans="1:42">
      <c r="A107" s="5" t="s">
        <v>308</v>
      </c>
      <c r="C107" s="5">
        <v>4</v>
      </c>
      <c r="D107" s="1" t="s">
        <v>293</v>
      </c>
      <c r="E107" s="1" t="s">
        <v>227</v>
      </c>
      <c r="L107" s="1">
        <f>IFERROR(VLOOKUP($D107&amp;$C107,生产方式定位!$A$2:$E$38,2,FALSE)+VLOOKUP($E107&amp;$C107,生产方式定位!$F$3:$J$38,2,FALSE),0)</f>
        <v>0</v>
      </c>
      <c r="S107" s="1">
        <f>IFERROR(VLOOKUP($D107&amp;$C107,生产方式定位!$A$2:$E$38,3,FALSE)+VLOOKUP($E107&amp;$C107,生产方式定位!$F$3:$J$38,3,FALSE),0)</f>
        <v>0</v>
      </c>
      <c r="X107" s="1">
        <f>IFERROR(VLOOKUP($D107&amp;$C107,生产方式定位!$A$2:$E$38,5,FALSE)+VLOOKUP($E107&amp;$C107,生产方式定位!$F$3:$J$38,5,FALSE),"错误")</f>
        <v>0</v>
      </c>
      <c r="Y107" s="27" t="str">
        <f t="shared" si="8"/>
        <v/>
      </c>
      <c r="Z107" s="37" t="str">
        <f t="shared" si="9"/>
        <v/>
      </c>
      <c r="AA107" s="37" t="str">
        <f t="shared" si="10"/>
        <v/>
      </c>
      <c r="AB107" s="28" t="str">
        <f t="shared" si="11"/>
        <v/>
      </c>
      <c r="AC107" s="37"/>
      <c r="AD107" s="38">
        <f t="shared" si="12"/>
        <v>4</v>
      </c>
      <c r="AE107" t="str">
        <f>IFERROR(F107&amp;"*"&amp;ROUND(L107*(G107/$AN107)/VLOOKUP(F107,商品!$A$4:$D$67,4,FALSE),0),"")</f>
        <v/>
      </c>
      <c r="AF107" t="str">
        <f>IFERROR(H107&amp;"*"&amp;ROUND(L107*(I107/$AN107)/VLOOKUP(H107,商品!$A$4:$D$67,4,FALSE),0),"")</f>
        <v/>
      </c>
      <c r="AG107" t="str">
        <f>IFERROR(J107&amp;"*"&amp;ROUND(L107*(K107/$AN107)/VLOOKUP(J107,商品!$A$4:$D$67,4,FALSE),0),"")</f>
        <v/>
      </c>
      <c r="AH107" t="str">
        <f>IFERROR(M107&amp;"*"&amp;ROUND(S107*(N107/$AO107)/VLOOKUP(M107,职业!$A$3:$E$16,4,FALSE),0),"")</f>
        <v/>
      </c>
      <c r="AI107" t="str">
        <f>IFERROR(O107&amp;"*"&amp;ROUND(S107*(P107/$AO107)/VLOOKUP(O107,职业!$A$3:$E$16,4,FALSE),0),"")</f>
        <v/>
      </c>
      <c r="AK107" t="str">
        <f>IFERROR(T107&amp;"*"&amp;ROUND(X107*(U107/$AP107)/VLOOKUP(T107,商品!$A$4:$D$67,4,FALSE),0),"")</f>
        <v/>
      </c>
      <c r="AL107" t="str">
        <f>IFERROR(V107&amp;"*"&amp;ROUND(X107*(W107/$AP107)/VLOOKUP(V107,商品!$A$4:$D$67,4,FALSE),0),"")</f>
        <v/>
      </c>
      <c r="AN107">
        <f t="shared" si="13"/>
        <v>0</v>
      </c>
      <c r="AO107">
        <f t="shared" si="14"/>
        <v>0</v>
      </c>
      <c r="AP107">
        <f t="shared" si="15"/>
        <v>0</v>
      </c>
    </row>
    <row r="108" customHeight="1" spans="1:42">
      <c r="A108" s="5" t="s">
        <v>308</v>
      </c>
      <c r="C108" s="5">
        <v>5</v>
      </c>
      <c r="D108" s="1" t="s">
        <v>293</v>
      </c>
      <c r="E108" s="1" t="s">
        <v>227</v>
      </c>
      <c r="L108" s="1">
        <f>IFERROR(VLOOKUP($D108&amp;$C108,生产方式定位!$A$2:$E$38,2,FALSE)+VLOOKUP($E108&amp;$C108,生产方式定位!$F$3:$J$38,2,FALSE),0)</f>
        <v>0</v>
      </c>
      <c r="S108" s="1">
        <f>IFERROR(VLOOKUP($D108&amp;$C108,生产方式定位!$A$2:$E$38,3,FALSE)+VLOOKUP($E108&amp;$C108,生产方式定位!$F$3:$J$38,3,FALSE),0)</f>
        <v>0</v>
      </c>
      <c r="X108" s="1">
        <f>IFERROR(VLOOKUP($D108&amp;$C108,生产方式定位!$A$2:$E$38,5,FALSE)+VLOOKUP($E108&amp;$C108,生产方式定位!$F$3:$J$38,5,FALSE),"错误")</f>
        <v>0</v>
      </c>
      <c r="Y108" s="27" t="str">
        <f t="shared" si="8"/>
        <v/>
      </c>
      <c r="Z108" s="37" t="str">
        <f t="shared" si="9"/>
        <v/>
      </c>
      <c r="AA108" s="37" t="str">
        <f t="shared" si="10"/>
        <v/>
      </c>
      <c r="AB108" s="28" t="str">
        <f t="shared" si="11"/>
        <v/>
      </c>
      <c r="AC108" s="37"/>
      <c r="AD108" s="38">
        <f t="shared" si="12"/>
        <v>5</v>
      </c>
      <c r="AE108" t="str">
        <f>IFERROR(F108&amp;"*"&amp;ROUND(L108*(G108/$AN108)/VLOOKUP(F108,商品!$A$4:$D$67,4,FALSE),0),"")</f>
        <v/>
      </c>
      <c r="AF108" t="str">
        <f>IFERROR(H108&amp;"*"&amp;ROUND(L108*(I108/$AN108)/VLOOKUP(H108,商品!$A$4:$D$67,4,FALSE),0),"")</f>
        <v/>
      </c>
      <c r="AG108" t="str">
        <f>IFERROR(J108&amp;"*"&amp;ROUND(L108*(K108/$AN108)/VLOOKUP(J108,商品!$A$4:$D$67,4,FALSE),0),"")</f>
        <v/>
      </c>
      <c r="AH108" t="str">
        <f>IFERROR(M108&amp;"*"&amp;ROUND(S108*(N108/$AO108)/VLOOKUP(M108,职业!$A$3:$E$16,4,FALSE),0),"")</f>
        <v/>
      </c>
      <c r="AI108" t="str">
        <f>IFERROR(O108&amp;"*"&amp;ROUND(S108*(P108/$AO108)/VLOOKUP(O108,职业!$A$3:$E$16,4,FALSE),0),"")</f>
        <v/>
      </c>
      <c r="AK108" t="str">
        <f>IFERROR(T108&amp;"*"&amp;ROUND(X108*(U108/$AP108)/VLOOKUP(T108,商品!$A$4:$D$67,4,FALSE),0),"")</f>
        <v/>
      </c>
      <c r="AL108" t="str">
        <f>IFERROR(V108&amp;"*"&amp;ROUND(X108*(W108/$AP108)/VLOOKUP(V108,商品!$A$4:$D$67,4,FALSE),0),"")</f>
        <v/>
      </c>
      <c r="AN108">
        <f t="shared" si="13"/>
        <v>0</v>
      </c>
      <c r="AO108">
        <f t="shared" si="14"/>
        <v>0</v>
      </c>
      <c r="AP108">
        <f t="shared" si="15"/>
        <v>0</v>
      </c>
    </row>
    <row r="109" customHeight="1" spans="1:42">
      <c r="A109" s="5" t="s">
        <v>308</v>
      </c>
      <c r="C109" s="5">
        <v>6</v>
      </c>
      <c r="D109" s="1" t="s">
        <v>293</v>
      </c>
      <c r="E109" s="1" t="s">
        <v>227</v>
      </c>
      <c r="L109" s="1">
        <f>IFERROR(VLOOKUP($D109&amp;$C109,生产方式定位!$A$2:$E$38,2,FALSE)+VLOOKUP($E109&amp;$C109,生产方式定位!$F$3:$J$38,2,FALSE),0)</f>
        <v>0</v>
      </c>
      <c r="S109" s="1">
        <f>IFERROR(VLOOKUP($D109&amp;$C109,生产方式定位!$A$2:$E$38,3,FALSE)+VLOOKUP($E109&amp;$C109,生产方式定位!$F$3:$J$38,3,FALSE),0)</f>
        <v>0</v>
      </c>
      <c r="X109" s="1">
        <f>IFERROR(VLOOKUP($D109&amp;$C109,生产方式定位!$A$2:$E$38,5,FALSE)+VLOOKUP($E109&amp;$C109,生产方式定位!$F$3:$J$38,5,FALSE),"错误")</f>
        <v>0</v>
      </c>
      <c r="Y109" s="27" t="str">
        <f t="shared" si="8"/>
        <v/>
      </c>
      <c r="Z109" s="37" t="str">
        <f t="shared" si="9"/>
        <v/>
      </c>
      <c r="AA109" s="37" t="str">
        <f t="shared" si="10"/>
        <v/>
      </c>
      <c r="AB109" s="28" t="str">
        <f t="shared" si="11"/>
        <v/>
      </c>
      <c r="AC109" s="37"/>
      <c r="AD109" s="38">
        <f t="shared" si="12"/>
        <v>6</v>
      </c>
      <c r="AE109" t="str">
        <f>IFERROR(F109&amp;"*"&amp;ROUND(L109*(G109/$AN109)/VLOOKUP(F109,商品!$A$4:$D$67,4,FALSE),0),"")</f>
        <v/>
      </c>
      <c r="AF109" t="str">
        <f>IFERROR(H109&amp;"*"&amp;ROUND(L109*(I109/$AN109)/VLOOKUP(H109,商品!$A$4:$D$67,4,FALSE),0),"")</f>
        <v/>
      </c>
      <c r="AG109" t="str">
        <f>IFERROR(J109&amp;"*"&amp;ROUND(L109*(K109/$AN109)/VLOOKUP(J109,商品!$A$4:$D$67,4,FALSE),0),"")</f>
        <v/>
      </c>
      <c r="AH109" t="str">
        <f>IFERROR(M109&amp;"*"&amp;ROUND(S109*(N109/$AO109)/VLOOKUP(M109,职业!$A$3:$E$16,4,FALSE),0),"")</f>
        <v/>
      </c>
      <c r="AI109" t="str">
        <f>IFERROR(O109&amp;"*"&amp;ROUND(S109*(P109/$AO109)/VLOOKUP(O109,职业!$A$3:$E$16,4,FALSE),0),"")</f>
        <v/>
      </c>
      <c r="AK109" t="str">
        <f>IFERROR(T109&amp;"*"&amp;ROUND(X109*(U109/$AP109)/VLOOKUP(T109,商品!$A$4:$D$67,4,FALSE),0),"")</f>
        <v/>
      </c>
      <c r="AL109" t="str">
        <f>IFERROR(V109&amp;"*"&amp;ROUND(X109*(W109/$AP109)/VLOOKUP(V109,商品!$A$4:$D$67,4,FALSE),0),"")</f>
        <v/>
      </c>
      <c r="AN109">
        <f t="shared" si="13"/>
        <v>0</v>
      </c>
      <c r="AO109">
        <f t="shared" si="14"/>
        <v>0</v>
      </c>
      <c r="AP109">
        <f t="shared" si="15"/>
        <v>0</v>
      </c>
    </row>
    <row r="110" customHeight="1" spans="1:42">
      <c r="A110" s="5" t="s">
        <v>308</v>
      </c>
      <c r="C110" s="5">
        <v>7</v>
      </c>
      <c r="D110" s="1" t="s">
        <v>293</v>
      </c>
      <c r="E110" s="1" t="s">
        <v>227</v>
      </c>
      <c r="L110" s="1">
        <f>IFERROR(VLOOKUP($D110&amp;$C110,生产方式定位!$A$2:$E$38,2,FALSE)+VLOOKUP($E110&amp;$C110,生产方式定位!$F$3:$J$38,2,FALSE),0)</f>
        <v>0</v>
      </c>
      <c r="S110" s="1">
        <f>IFERROR(VLOOKUP($D110&amp;$C110,生产方式定位!$A$2:$E$38,3,FALSE)+VLOOKUP($E110&amp;$C110,生产方式定位!$F$3:$J$38,3,FALSE),0)</f>
        <v>0</v>
      </c>
      <c r="X110" s="1">
        <f>IFERROR(VLOOKUP($D110&amp;$C110,生产方式定位!$A$2:$E$38,5,FALSE)+VLOOKUP($E110&amp;$C110,生产方式定位!$F$3:$J$38,5,FALSE),"错误")</f>
        <v>0</v>
      </c>
      <c r="Y110" s="27" t="str">
        <f t="shared" si="8"/>
        <v/>
      </c>
      <c r="Z110" s="37" t="str">
        <f t="shared" si="9"/>
        <v/>
      </c>
      <c r="AA110" s="37" t="str">
        <f t="shared" si="10"/>
        <v/>
      </c>
      <c r="AB110" s="28" t="str">
        <f t="shared" si="11"/>
        <v/>
      </c>
      <c r="AC110" s="37"/>
      <c r="AD110" s="38">
        <f t="shared" si="12"/>
        <v>7</v>
      </c>
      <c r="AE110" t="str">
        <f>IFERROR(F110&amp;"*"&amp;ROUND(L110*(G110/$AN110)/VLOOKUP(F110,商品!$A$4:$D$67,4,FALSE),0),"")</f>
        <v/>
      </c>
      <c r="AF110" t="str">
        <f>IFERROR(H110&amp;"*"&amp;ROUND(L110*(I110/$AN110)/VLOOKUP(H110,商品!$A$4:$D$67,4,FALSE),0),"")</f>
        <v/>
      </c>
      <c r="AG110" t="str">
        <f>IFERROR(J110&amp;"*"&amp;ROUND(L110*(K110/$AN110)/VLOOKUP(J110,商品!$A$4:$D$67,4,FALSE),0),"")</f>
        <v/>
      </c>
      <c r="AH110" t="str">
        <f>IFERROR(M110&amp;"*"&amp;ROUND(S110*(N110/$AO110)/VLOOKUP(M110,职业!$A$3:$E$16,4,FALSE),0),"")</f>
        <v/>
      </c>
      <c r="AI110" t="str">
        <f>IFERROR(O110&amp;"*"&amp;ROUND(S110*(P110/$AO110)/VLOOKUP(O110,职业!$A$3:$E$16,4,FALSE),0),"")</f>
        <v/>
      </c>
      <c r="AK110" t="str">
        <f>IFERROR(T110&amp;"*"&amp;ROUND(X110*(U110/$AP110)/VLOOKUP(T110,商品!$A$4:$D$67,4,FALSE),0),"")</f>
        <v/>
      </c>
      <c r="AL110" t="str">
        <f>IFERROR(V110&amp;"*"&amp;ROUND(X110*(W110/$AP110)/VLOOKUP(V110,商品!$A$4:$D$67,4,FALSE),0),"")</f>
        <v/>
      </c>
      <c r="AN110">
        <f t="shared" si="13"/>
        <v>0</v>
      </c>
      <c r="AO110">
        <f t="shared" si="14"/>
        <v>0</v>
      </c>
      <c r="AP110">
        <f t="shared" si="15"/>
        <v>0</v>
      </c>
    </row>
    <row r="111" customHeight="1" spans="1:42">
      <c r="A111" s="5" t="s">
        <v>308</v>
      </c>
      <c r="C111" s="5">
        <v>8</v>
      </c>
      <c r="D111" s="1" t="s">
        <v>293</v>
      </c>
      <c r="E111" s="1" t="s">
        <v>227</v>
      </c>
      <c r="L111" s="1">
        <f>IFERROR(VLOOKUP($D111&amp;$C111,生产方式定位!$A$2:$E$38,2,FALSE)+VLOOKUP($E111&amp;$C111,生产方式定位!$F$3:$J$38,2,FALSE),0)</f>
        <v>0</v>
      </c>
      <c r="S111" s="1">
        <f>IFERROR(VLOOKUP($D111&amp;$C111,生产方式定位!$A$2:$E$38,3,FALSE)+VLOOKUP($E111&amp;$C111,生产方式定位!$F$3:$J$38,3,FALSE),0)</f>
        <v>0</v>
      </c>
      <c r="X111" s="1">
        <f>IFERROR(VLOOKUP($D111&amp;$C111,生产方式定位!$A$2:$E$38,5,FALSE)+VLOOKUP($E111&amp;$C111,生产方式定位!$F$3:$J$38,5,FALSE),"错误")</f>
        <v>0</v>
      </c>
      <c r="Y111" s="27" t="str">
        <f t="shared" si="8"/>
        <v/>
      </c>
      <c r="Z111" s="37" t="str">
        <f t="shared" si="9"/>
        <v/>
      </c>
      <c r="AA111" s="37" t="str">
        <f t="shared" si="10"/>
        <v/>
      </c>
      <c r="AB111" s="28" t="str">
        <f t="shared" si="11"/>
        <v/>
      </c>
      <c r="AC111" s="37"/>
      <c r="AD111" s="38">
        <f t="shared" si="12"/>
        <v>8</v>
      </c>
      <c r="AE111" t="str">
        <f>IFERROR(F111&amp;"*"&amp;ROUND(L111*(G111/$AN111)/VLOOKUP(F111,商品!$A$4:$D$67,4,FALSE),0),"")</f>
        <v/>
      </c>
      <c r="AF111" t="str">
        <f>IFERROR(H111&amp;"*"&amp;ROUND(L111*(I111/$AN111)/VLOOKUP(H111,商品!$A$4:$D$67,4,FALSE),0),"")</f>
        <v/>
      </c>
      <c r="AG111" t="str">
        <f>IFERROR(J111&amp;"*"&amp;ROUND(L111*(K111/$AN111)/VLOOKUP(J111,商品!$A$4:$D$67,4,FALSE),0),"")</f>
        <v/>
      </c>
      <c r="AH111" t="str">
        <f>IFERROR(M111&amp;"*"&amp;ROUND(S111*(N111/$AO111)/VLOOKUP(M111,职业!$A$3:$E$16,4,FALSE),0),"")</f>
        <v/>
      </c>
      <c r="AI111" t="str">
        <f>IFERROR(O111&amp;"*"&amp;ROUND(S111*(P111/$AO111)/VLOOKUP(O111,职业!$A$3:$E$16,4,FALSE),0),"")</f>
        <v/>
      </c>
      <c r="AK111" t="str">
        <f>IFERROR(T111&amp;"*"&amp;ROUND(X111*(U111/$AP111)/VLOOKUP(T111,商品!$A$4:$D$67,4,FALSE),0),"")</f>
        <v/>
      </c>
      <c r="AL111" t="str">
        <f>IFERROR(V111&amp;"*"&amp;ROUND(X111*(W111/$AP111)/VLOOKUP(V111,商品!$A$4:$D$67,4,FALSE),0),"")</f>
        <v/>
      </c>
      <c r="AN111">
        <f t="shared" si="13"/>
        <v>0</v>
      </c>
      <c r="AO111">
        <f t="shared" si="14"/>
        <v>0</v>
      </c>
      <c r="AP111">
        <f t="shared" si="15"/>
        <v>0</v>
      </c>
    </row>
    <row r="112" customHeight="1" spans="1:42">
      <c r="A112" s="18" t="s">
        <v>310</v>
      </c>
      <c r="C112" s="18">
        <v>1</v>
      </c>
      <c r="D112" s="1" t="s">
        <v>222</v>
      </c>
      <c r="E112" s="1" t="s">
        <v>224</v>
      </c>
      <c r="L112" s="1">
        <f>IFERROR(VLOOKUP($D112&amp;$C112,生产方式定位!$A$2:$E$38,2,FALSE)+VLOOKUP($E112&amp;$C112,生产方式定位!$F$3:$J$38,2,FALSE),0)</f>
        <v>0</v>
      </c>
      <c r="S112" s="1">
        <f>IFERROR(VLOOKUP($D112&amp;$C112,生产方式定位!$A$2:$E$38,3,FALSE)+VLOOKUP($E112&amp;$C112,生产方式定位!$F$3:$J$38,3,FALSE),0)</f>
        <v>500</v>
      </c>
      <c r="X112" s="1">
        <f>IFERROR(VLOOKUP($D112&amp;$C112,生产方式定位!$A$2:$E$38,5,FALSE)+VLOOKUP($E112&amp;$C112,生产方式定位!$F$3:$J$38,5,FALSE),"错误")</f>
        <v>250</v>
      </c>
      <c r="Y112" s="27" t="str">
        <f t="shared" si="8"/>
        <v/>
      </c>
      <c r="Z112" s="37" t="str">
        <f t="shared" si="9"/>
        <v/>
      </c>
      <c r="AA112" s="37" t="str">
        <f t="shared" si="10"/>
        <v/>
      </c>
      <c r="AB112" s="28">
        <f t="shared" si="11"/>
        <v>0</v>
      </c>
      <c r="AC112" s="37"/>
      <c r="AD112" s="38">
        <f t="shared" si="12"/>
        <v>1</v>
      </c>
      <c r="AE112" t="str">
        <f>IFERROR(F112&amp;"*"&amp;ROUND(L112*(G112/$AN112)/VLOOKUP(F112,商品!$A$4:$D$67,4,FALSE),0),"")</f>
        <v/>
      </c>
      <c r="AF112" t="str">
        <f>IFERROR(H112&amp;"*"&amp;ROUND(L112*(I112/$AN112)/VLOOKUP(H112,商品!$A$4:$D$67,4,FALSE),0),"")</f>
        <v/>
      </c>
      <c r="AG112" t="str">
        <f>IFERROR(J112&amp;"*"&amp;ROUND(L112*(K112/$AN112)/VLOOKUP(J112,商品!$A$4:$D$67,4,FALSE),0),"")</f>
        <v/>
      </c>
      <c r="AH112" t="str">
        <f>IFERROR(M112&amp;"*"&amp;ROUND(S112*(N112/$AO112)/VLOOKUP(M112,职业!$A$3:$E$16,4,FALSE),0),"")</f>
        <v/>
      </c>
      <c r="AI112" t="str">
        <f>IFERROR(O112&amp;"*"&amp;ROUND(S112*(P112/$AO112)/VLOOKUP(O112,职业!$A$3:$E$16,4,FALSE),0),"")</f>
        <v/>
      </c>
      <c r="AK112" t="str">
        <f>IFERROR(T112&amp;"*"&amp;ROUND(X112*(U112/$AP112)/VLOOKUP(T112,商品!$A$4:$D$67,4,FALSE),0),"")</f>
        <v/>
      </c>
      <c r="AL112" t="str">
        <f>IFERROR(V112&amp;"*"&amp;ROUND(X112*(W112/$AP112)/VLOOKUP(V112,商品!$A$4:$D$67,4,FALSE),0),"")</f>
        <v/>
      </c>
      <c r="AN112">
        <f t="shared" si="13"/>
        <v>0</v>
      </c>
      <c r="AO112">
        <f t="shared" si="14"/>
        <v>0</v>
      </c>
      <c r="AP112">
        <f t="shared" si="15"/>
        <v>0</v>
      </c>
    </row>
    <row r="113" customHeight="1" spans="1:42">
      <c r="A113" s="18" t="s">
        <v>310</v>
      </c>
      <c r="C113" s="18">
        <v>2</v>
      </c>
      <c r="D113" s="1" t="s">
        <v>222</v>
      </c>
      <c r="E113" s="1" t="s">
        <v>224</v>
      </c>
      <c r="L113" s="1">
        <f>IFERROR(VLOOKUP($D113&amp;$C113,生产方式定位!$A$2:$E$38,2,FALSE)+VLOOKUP($E113&amp;$C113,生产方式定位!$F$3:$J$38,2,FALSE),0)</f>
        <v>2200</v>
      </c>
      <c r="S113" s="1">
        <f>IFERROR(VLOOKUP($D113&amp;$C113,生产方式定位!$A$2:$E$38,3,FALSE)+VLOOKUP($E113&amp;$C113,生产方式定位!$F$3:$J$38,3,FALSE),0)</f>
        <v>750</v>
      </c>
      <c r="X113" s="1">
        <f>IFERROR(VLOOKUP($D113&amp;$C113,生产方式定位!$A$2:$E$38,5,FALSE)+VLOOKUP($E113&amp;$C113,生产方式定位!$F$3:$J$38,5,FALSE),"错误")</f>
        <v>1547</v>
      </c>
      <c r="Y113" s="27" t="str">
        <f t="shared" si="8"/>
        <v/>
      </c>
      <c r="Z113" s="37" t="str">
        <f t="shared" si="9"/>
        <v/>
      </c>
      <c r="AA113" s="37" t="str">
        <f t="shared" si="10"/>
        <v/>
      </c>
      <c r="AB113" s="28">
        <f t="shared" si="11"/>
        <v>1.42</v>
      </c>
      <c r="AC113" s="37"/>
      <c r="AD113" s="38">
        <f t="shared" si="12"/>
        <v>2</v>
      </c>
      <c r="AE113" t="str">
        <f>IFERROR(F113&amp;"*"&amp;ROUND(L113*(G113/$AN113)/VLOOKUP(F113,商品!$A$4:$D$67,4,FALSE),0),"")</f>
        <v/>
      </c>
      <c r="AF113" t="str">
        <f>IFERROR(H113&amp;"*"&amp;ROUND(L113*(I113/$AN113)/VLOOKUP(H113,商品!$A$4:$D$67,4,FALSE),0),"")</f>
        <v/>
      </c>
      <c r="AG113" t="str">
        <f>IFERROR(J113&amp;"*"&amp;ROUND(L113*(K113/$AN113)/VLOOKUP(J113,商品!$A$4:$D$67,4,FALSE),0),"")</f>
        <v/>
      </c>
      <c r="AH113" t="str">
        <f>IFERROR(M113&amp;"*"&amp;ROUND(S113*(N113/$AO113)/VLOOKUP(M113,职业!$A$3:$E$16,4,FALSE),0),"")</f>
        <v/>
      </c>
      <c r="AI113" t="str">
        <f>IFERROR(O113&amp;"*"&amp;ROUND(S113*(P113/$AO113)/VLOOKUP(O113,职业!$A$3:$E$16,4,FALSE),0),"")</f>
        <v/>
      </c>
      <c r="AK113" t="str">
        <f>IFERROR(T113&amp;"*"&amp;ROUND(X113*(U113/$AP113)/VLOOKUP(T113,商品!$A$4:$D$67,4,FALSE),0),"")</f>
        <v/>
      </c>
      <c r="AL113" t="str">
        <f>IFERROR(V113&amp;"*"&amp;ROUND(X113*(W113/$AP113)/VLOOKUP(V113,商品!$A$4:$D$67,4,FALSE),0),"")</f>
        <v/>
      </c>
      <c r="AN113">
        <f t="shared" si="13"/>
        <v>0</v>
      </c>
      <c r="AO113">
        <f t="shared" si="14"/>
        <v>0</v>
      </c>
      <c r="AP113">
        <f t="shared" si="15"/>
        <v>0</v>
      </c>
    </row>
    <row r="114" customHeight="1" spans="1:42">
      <c r="A114" s="18" t="s">
        <v>310</v>
      </c>
      <c r="C114" s="18">
        <v>3</v>
      </c>
      <c r="D114" s="1" t="s">
        <v>222</v>
      </c>
      <c r="E114" s="1" t="s">
        <v>224</v>
      </c>
      <c r="L114" s="1">
        <f>IFERROR(VLOOKUP($D114&amp;$C114,生产方式定位!$A$2:$E$38,2,FALSE)+VLOOKUP($E114&amp;$C114,生产方式定位!$F$3:$J$38,2,FALSE),0)</f>
        <v>3400</v>
      </c>
      <c r="S114" s="1">
        <f>IFERROR(VLOOKUP($D114&amp;$C114,生产方式定位!$A$2:$E$38,3,FALSE)+VLOOKUP($E114&amp;$C114,生产方式定位!$F$3:$J$38,3,FALSE),0)</f>
        <v>1000</v>
      </c>
      <c r="X114" s="1">
        <f>IFERROR(VLOOKUP($D114&amp;$C114,生产方式定位!$A$2:$E$38,5,FALSE)+VLOOKUP($E114&amp;$C114,生产方式定位!$F$3:$J$38,5,FALSE),"错误")</f>
        <v>2488</v>
      </c>
      <c r="Y114" s="27" t="str">
        <f t="shared" si="8"/>
        <v/>
      </c>
      <c r="Z114" s="37" t="str">
        <f t="shared" si="9"/>
        <v/>
      </c>
      <c r="AA114" s="37" t="str">
        <f t="shared" si="10"/>
        <v/>
      </c>
      <c r="AB114" s="28">
        <f t="shared" si="11"/>
        <v>1.37</v>
      </c>
      <c r="AC114" s="37"/>
      <c r="AD114" s="38">
        <f t="shared" si="12"/>
        <v>3</v>
      </c>
      <c r="AE114" t="str">
        <f>IFERROR(F114&amp;"*"&amp;ROUND(L114*(G114/$AN114)/VLOOKUP(F114,商品!$A$4:$D$67,4,FALSE),0),"")</f>
        <v/>
      </c>
      <c r="AF114" t="str">
        <f>IFERROR(H114&amp;"*"&amp;ROUND(L114*(I114/$AN114)/VLOOKUP(H114,商品!$A$4:$D$67,4,FALSE),0),"")</f>
        <v/>
      </c>
      <c r="AG114" t="str">
        <f>IFERROR(J114&amp;"*"&amp;ROUND(L114*(K114/$AN114)/VLOOKUP(J114,商品!$A$4:$D$67,4,FALSE),0),"")</f>
        <v/>
      </c>
      <c r="AH114" t="str">
        <f>IFERROR(M114&amp;"*"&amp;ROUND(S114*(N114/$AO114)/VLOOKUP(M114,职业!$A$3:$E$16,4,FALSE),0),"")</f>
        <v/>
      </c>
      <c r="AI114" t="str">
        <f>IFERROR(O114&amp;"*"&amp;ROUND(S114*(P114/$AO114)/VLOOKUP(O114,职业!$A$3:$E$16,4,FALSE),0),"")</f>
        <v/>
      </c>
      <c r="AK114" t="str">
        <f>IFERROR(T114&amp;"*"&amp;ROUND(X114*(U114/$AP114)/VLOOKUP(T114,商品!$A$4:$D$67,4,FALSE),0),"")</f>
        <v/>
      </c>
      <c r="AL114" t="str">
        <f>IFERROR(V114&amp;"*"&amp;ROUND(X114*(W114/$AP114)/VLOOKUP(V114,商品!$A$4:$D$67,4,FALSE),0),"")</f>
        <v/>
      </c>
      <c r="AN114">
        <f t="shared" si="13"/>
        <v>0</v>
      </c>
      <c r="AO114">
        <f t="shared" si="14"/>
        <v>0</v>
      </c>
      <c r="AP114">
        <f t="shared" si="15"/>
        <v>0</v>
      </c>
    </row>
    <row r="115" customHeight="1" spans="1:42">
      <c r="A115" s="18" t="s">
        <v>310</v>
      </c>
      <c r="C115" s="18">
        <v>4</v>
      </c>
      <c r="D115" s="1" t="s">
        <v>222</v>
      </c>
      <c r="E115" s="1" t="s">
        <v>224</v>
      </c>
      <c r="L115" s="1">
        <f>IFERROR(VLOOKUP($D115&amp;$C115,生产方式定位!$A$2:$E$38,2,FALSE)+VLOOKUP($E115&amp;$C115,生产方式定位!$F$3:$J$38,2,FALSE),0)</f>
        <v>4600</v>
      </c>
      <c r="S115" s="1">
        <f>IFERROR(VLOOKUP($D115&amp;$C115,生产方式定位!$A$2:$E$38,3,FALSE)+VLOOKUP($E115&amp;$C115,生产方式定位!$F$3:$J$38,3,FALSE),0)</f>
        <v>1250</v>
      </c>
      <c r="X115" s="1">
        <f>IFERROR(VLOOKUP($D115&amp;$C115,生产方式定位!$A$2:$E$38,5,FALSE)+VLOOKUP($E115&amp;$C115,生产方式定位!$F$3:$J$38,5,FALSE),"错误")</f>
        <v>3573</v>
      </c>
      <c r="Y115" s="27" t="str">
        <f t="shared" si="8"/>
        <v/>
      </c>
      <c r="Z115" s="37" t="str">
        <f t="shared" si="9"/>
        <v/>
      </c>
      <c r="AA115" s="37" t="str">
        <f t="shared" si="10"/>
        <v/>
      </c>
      <c r="AB115" s="28">
        <f t="shared" si="11"/>
        <v>1.29</v>
      </c>
      <c r="AC115" s="37"/>
      <c r="AD115" s="38">
        <f t="shared" si="12"/>
        <v>4</v>
      </c>
      <c r="AE115" t="str">
        <f>IFERROR(F115&amp;"*"&amp;ROUND(L115*(G115/$AN115)/VLOOKUP(F115,商品!$A$4:$D$67,4,FALSE),0),"")</f>
        <v/>
      </c>
      <c r="AF115" t="str">
        <f>IFERROR(H115&amp;"*"&amp;ROUND(L115*(I115/$AN115)/VLOOKUP(H115,商品!$A$4:$D$67,4,FALSE),0),"")</f>
        <v/>
      </c>
      <c r="AG115" t="str">
        <f>IFERROR(J115&amp;"*"&amp;ROUND(L115*(K115/$AN115)/VLOOKUP(J115,商品!$A$4:$D$67,4,FALSE),0),"")</f>
        <v/>
      </c>
      <c r="AH115" t="str">
        <f>IFERROR(M115&amp;"*"&amp;ROUND(S115*(N115/$AO115)/VLOOKUP(M115,职业!$A$3:$E$16,4,FALSE),0),"")</f>
        <v/>
      </c>
      <c r="AI115" t="str">
        <f>IFERROR(O115&amp;"*"&amp;ROUND(S115*(P115/$AO115)/VLOOKUP(O115,职业!$A$3:$E$16,4,FALSE),0),"")</f>
        <v/>
      </c>
      <c r="AK115" t="str">
        <f>IFERROR(T115&amp;"*"&amp;ROUND(X115*(U115/$AP115)/VLOOKUP(T115,商品!$A$4:$D$67,4,FALSE),0),"")</f>
        <v/>
      </c>
      <c r="AL115" t="str">
        <f>IFERROR(V115&amp;"*"&amp;ROUND(X115*(W115/$AP115)/VLOOKUP(V115,商品!$A$4:$D$67,4,FALSE),0),"")</f>
        <v/>
      </c>
      <c r="AN115">
        <f t="shared" si="13"/>
        <v>0</v>
      </c>
      <c r="AO115">
        <f t="shared" si="14"/>
        <v>0</v>
      </c>
      <c r="AP115">
        <f t="shared" si="15"/>
        <v>0</v>
      </c>
    </row>
    <row r="116" customHeight="1" spans="1:42">
      <c r="A116" s="18" t="s">
        <v>310</v>
      </c>
      <c r="C116" s="18">
        <v>5</v>
      </c>
      <c r="D116" s="1" t="s">
        <v>222</v>
      </c>
      <c r="E116" s="1" t="s">
        <v>224</v>
      </c>
      <c r="L116" s="1">
        <f>IFERROR(VLOOKUP($D116&amp;$C116,生产方式定位!$A$2:$E$38,2,FALSE)+VLOOKUP($E116&amp;$C116,生产方式定位!$F$3:$J$38,2,FALSE),0)</f>
        <v>5800</v>
      </c>
      <c r="S116" s="1">
        <f>IFERROR(VLOOKUP($D116&amp;$C116,生产方式定位!$A$2:$E$38,3,FALSE)+VLOOKUP($E116&amp;$C116,生产方式定位!$F$3:$J$38,3,FALSE),0)</f>
        <v>1500</v>
      </c>
      <c r="X116" s="1">
        <f>IFERROR(VLOOKUP($D116&amp;$C116,生产方式定位!$A$2:$E$38,5,FALSE)+VLOOKUP($E116&amp;$C116,生产方式定位!$F$3:$J$38,5,FALSE),"错误")</f>
        <v>4850</v>
      </c>
      <c r="Y116" s="27" t="str">
        <f t="shared" si="8"/>
        <v/>
      </c>
      <c r="Z116" s="37" t="str">
        <f t="shared" si="9"/>
        <v/>
      </c>
      <c r="AA116" s="37" t="str">
        <f t="shared" si="10"/>
        <v/>
      </c>
      <c r="AB116" s="28">
        <f t="shared" si="11"/>
        <v>1.2</v>
      </c>
      <c r="AC116" s="37"/>
      <c r="AD116" s="38">
        <f t="shared" si="12"/>
        <v>5</v>
      </c>
      <c r="AE116" t="str">
        <f>IFERROR(F116&amp;"*"&amp;ROUND(L116*(G116/$AN116)/VLOOKUP(F116,商品!$A$4:$D$67,4,FALSE),0),"")</f>
        <v/>
      </c>
      <c r="AF116" t="str">
        <f>IFERROR(H116&amp;"*"&amp;ROUND(L116*(I116/$AN116)/VLOOKUP(H116,商品!$A$4:$D$67,4,FALSE),0),"")</f>
        <v/>
      </c>
      <c r="AG116" t="str">
        <f>IFERROR(J116&amp;"*"&amp;ROUND(L116*(K116/$AN116)/VLOOKUP(J116,商品!$A$4:$D$67,4,FALSE),0),"")</f>
        <v/>
      </c>
      <c r="AH116" t="str">
        <f>IFERROR(M116&amp;"*"&amp;ROUND(S116*(N116/$AO116)/VLOOKUP(M116,职业!$A$3:$E$16,4,FALSE),0),"")</f>
        <v/>
      </c>
      <c r="AI116" t="str">
        <f>IFERROR(O116&amp;"*"&amp;ROUND(S116*(P116/$AO116)/VLOOKUP(O116,职业!$A$3:$E$16,4,FALSE),0),"")</f>
        <v/>
      </c>
      <c r="AK116" t="str">
        <f>IFERROR(T116&amp;"*"&amp;ROUND(X116*(U116/$AP116)/VLOOKUP(T116,商品!$A$4:$D$67,4,FALSE),0),"")</f>
        <v/>
      </c>
      <c r="AL116" t="str">
        <f>IFERROR(V116&amp;"*"&amp;ROUND(X116*(W116/$AP116)/VLOOKUP(V116,商品!$A$4:$D$67,4,FALSE),0),"")</f>
        <v/>
      </c>
      <c r="AN116">
        <f t="shared" si="13"/>
        <v>0</v>
      </c>
      <c r="AO116">
        <f t="shared" si="14"/>
        <v>0</v>
      </c>
      <c r="AP116">
        <f t="shared" si="15"/>
        <v>0</v>
      </c>
    </row>
    <row r="117" customHeight="1" spans="1:42">
      <c r="A117" s="5" t="s">
        <v>311</v>
      </c>
      <c r="C117" s="5">
        <v>1</v>
      </c>
      <c r="D117" s="1" t="s">
        <v>222</v>
      </c>
      <c r="E117" s="1" t="s">
        <v>225</v>
      </c>
      <c r="L117" s="1">
        <f>IFERROR(VLOOKUP($D117&amp;$C117,生产方式定位!$A$2:$E$38,2,FALSE)+VLOOKUP($E117&amp;$C117,生产方式定位!$F$3:$J$38,2,FALSE),0)</f>
        <v>0</v>
      </c>
      <c r="S117" s="1">
        <f>IFERROR(VLOOKUP($D117&amp;$C117,生产方式定位!$A$2:$E$38,3,FALSE)+VLOOKUP($E117&amp;$C117,生产方式定位!$F$3:$J$38,3,FALSE),0)</f>
        <v>500</v>
      </c>
      <c r="X117" s="1">
        <f>IFERROR(VLOOKUP($D117&amp;$C117,生产方式定位!$A$2:$E$38,5,FALSE)+VLOOKUP($E117&amp;$C117,生产方式定位!$F$3:$J$38,5,FALSE),"错误")</f>
        <v>250</v>
      </c>
      <c r="Y117" s="27" t="str">
        <f t="shared" si="8"/>
        <v/>
      </c>
      <c r="Z117" s="37" t="str">
        <f t="shared" si="9"/>
        <v/>
      </c>
      <c r="AA117" s="37" t="str">
        <f t="shared" si="10"/>
        <v/>
      </c>
      <c r="AB117" s="28">
        <f t="shared" si="11"/>
        <v>0</v>
      </c>
      <c r="AC117" s="37"/>
      <c r="AD117" s="38">
        <f t="shared" si="12"/>
        <v>1</v>
      </c>
      <c r="AE117" t="str">
        <f>IFERROR(F117&amp;"*"&amp;ROUND(L117*(G117/$AN117)/VLOOKUP(F117,商品!$A$4:$D$67,4,FALSE),0),"")</f>
        <v/>
      </c>
      <c r="AF117" t="str">
        <f>IFERROR(H117&amp;"*"&amp;ROUND(L117*(I117/$AN117)/VLOOKUP(H117,商品!$A$4:$D$67,4,FALSE),0),"")</f>
        <v/>
      </c>
      <c r="AG117" t="str">
        <f>IFERROR(J117&amp;"*"&amp;ROUND(L117*(K117/$AN117)/VLOOKUP(J117,商品!$A$4:$D$67,4,FALSE),0),"")</f>
        <v/>
      </c>
      <c r="AH117" t="str">
        <f>IFERROR(M117&amp;"*"&amp;ROUND(S117*(N117/$AO117)/VLOOKUP(M117,职业!$A$3:$E$16,4,FALSE),0),"")</f>
        <v/>
      </c>
      <c r="AI117" t="str">
        <f>IFERROR(O117&amp;"*"&amp;ROUND(S117*(P117/$AO117)/VLOOKUP(O117,职业!$A$3:$E$16,4,FALSE),0),"")</f>
        <v/>
      </c>
      <c r="AK117" t="str">
        <f>IFERROR(T117&amp;"*"&amp;ROUND(X117*(U117/$AP117)/VLOOKUP(T117,商品!$A$4:$D$67,4,FALSE),0),"")</f>
        <v/>
      </c>
      <c r="AL117" t="str">
        <f>IFERROR(V117&amp;"*"&amp;ROUND(X117*(W117/$AP117)/VLOOKUP(V117,商品!$A$4:$D$67,4,FALSE),0),"")</f>
        <v/>
      </c>
      <c r="AN117">
        <f t="shared" si="13"/>
        <v>0</v>
      </c>
      <c r="AO117">
        <f t="shared" si="14"/>
        <v>0</v>
      </c>
      <c r="AP117">
        <f t="shared" si="15"/>
        <v>0</v>
      </c>
    </row>
    <row r="118" customHeight="1" spans="1:42">
      <c r="A118" s="5" t="s">
        <v>311</v>
      </c>
      <c r="C118" s="5">
        <v>2</v>
      </c>
      <c r="D118" s="1" t="s">
        <v>222</v>
      </c>
      <c r="E118" s="1" t="s">
        <v>225</v>
      </c>
      <c r="L118" s="1">
        <f>IFERROR(VLOOKUP($D118&amp;$C118,生产方式定位!$A$2:$E$38,2,FALSE)+VLOOKUP($E118&amp;$C118,生产方式定位!$F$3:$J$38,2,FALSE),0)</f>
        <v>2200</v>
      </c>
      <c r="S118" s="1">
        <f>IFERROR(VLOOKUP($D118&amp;$C118,生产方式定位!$A$2:$E$38,3,FALSE)+VLOOKUP($E118&amp;$C118,生产方式定位!$F$3:$J$38,3,FALSE),0)</f>
        <v>2550</v>
      </c>
      <c r="X118" s="1">
        <f>IFERROR(VLOOKUP($D118&amp;$C118,生产方式定位!$A$2:$E$38,5,FALSE)+VLOOKUP($E118&amp;$C118,生产方式定位!$F$3:$J$38,5,FALSE),"错误")</f>
        <v>2420</v>
      </c>
      <c r="Y118" s="27" t="str">
        <f t="shared" si="8"/>
        <v/>
      </c>
      <c r="Z118" s="37" t="str">
        <f t="shared" si="9"/>
        <v/>
      </c>
      <c r="AA118" s="37" t="str">
        <f t="shared" si="10"/>
        <v/>
      </c>
      <c r="AB118" s="28">
        <f t="shared" si="11"/>
        <v>0.91</v>
      </c>
      <c r="AC118" s="37"/>
      <c r="AD118" s="38">
        <f t="shared" si="12"/>
        <v>2</v>
      </c>
      <c r="AE118" t="str">
        <f>IFERROR(F118&amp;"*"&amp;ROUND(L118*(G118/$AN118)/VLOOKUP(F118,商品!$A$4:$D$67,4,FALSE),0),"")</f>
        <v/>
      </c>
      <c r="AF118" t="str">
        <f>IFERROR(H118&amp;"*"&amp;ROUND(L118*(I118/$AN118)/VLOOKUP(H118,商品!$A$4:$D$67,4,FALSE),0),"")</f>
        <v/>
      </c>
      <c r="AG118" t="str">
        <f>IFERROR(J118&amp;"*"&amp;ROUND(L118*(K118/$AN118)/VLOOKUP(J118,商品!$A$4:$D$67,4,FALSE),0),"")</f>
        <v/>
      </c>
      <c r="AH118" t="str">
        <f>IFERROR(M118&amp;"*"&amp;ROUND(S118*(N118/$AO118)/VLOOKUP(M118,职业!$A$3:$E$16,4,FALSE),0),"")</f>
        <v/>
      </c>
      <c r="AI118" t="str">
        <f>IFERROR(O118&amp;"*"&amp;ROUND(S118*(P118/$AO118)/VLOOKUP(O118,职业!$A$3:$E$16,4,FALSE),0),"")</f>
        <v/>
      </c>
      <c r="AK118" t="str">
        <f>IFERROR(T118&amp;"*"&amp;ROUND(X118*(U118/$AP118)/VLOOKUP(T118,商品!$A$4:$D$67,4,FALSE),0),"")</f>
        <v/>
      </c>
      <c r="AL118" t="str">
        <f>IFERROR(V118&amp;"*"&amp;ROUND(X118*(W118/$AP118)/VLOOKUP(V118,商品!$A$4:$D$67,4,FALSE),0),"")</f>
        <v/>
      </c>
      <c r="AN118">
        <f t="shared" si="13"/>
        <v>0</v>
      </c>
      <c r="AO118">
        <f t="shared" si="14"/>
        <v>0</v>
      </c>
      <c r="AP118">
        <f t="shared" si="15"/>
        <v>0</v>
      </c>
    </row>
    <row r="119" customHeight="1" spans="1:42">
      <c r="A119" s="5" t="s">
        <v>311</v>
      </c>
      <c r="C119" s="5">
        <v>3</v>
      </c>
      <c r="D119" s="1" t="s">
        <v>222</v>
      </c>
      <c r="E119" s="1" t="s">
        <v>225</v>
      </c>
      <c r="L119" s="1">
        <f>IFERROR(VLOOKUP($D119&amp;$C119,生产方式定位!$A$2:$E$38,2,FALSE)+VLOOKUP($E119&amp;$C119,生产方式定位!$F$3:$J$38,2,FALSE),0)</f>
        <v>3400</v>
      </c>
      <c r="S119" s="1">
        <f>IFERROR(VLOOKUP($D119&amp;$C119,生产方式定位!$A$2:$E$38,3,FALSE)+VLOOKUP($E119&amp;$C119,生产方式定位!$F$3:$J$38,3,FALSE),0)</f>
        <v>3600</v>
      </c>
      <c r="X119" s="1">
        <f>IFERROR(VLOOKUP($D119&amp;$C119,生产方式定位!$A$2:$E$38,5,FALSE)+VLOOKUP($E119&amp;$C119,生产方式定位!$F$3:$J$38,5,FALSE),"错误")</f>
        <v>3650</v>
      </c>
      <c r="Y119" s="27" t="str">
        <f t="shared" si="8"/>
        <v/>
      </c>
      <c r="Z119" s="37" t="str">
        <f t="shared" si="9"/>
        <v/>
      </c>
      <c r="AA119" s="37" t="str">
        <f t="shared" si="10"/>
        <v/>
      </c>
      <c r="AB119" s="28">
        <f t="shared" si="11"/>
        <v>0.93</v>
      </c>
      <c r="AC119" s="37"/>
      <c r="AD119" s="38">
        <f t="shared" si="12"/>
        <v>3</v>
      </c>
      <c r="AE119" t="str">
        <f>IFERROR(F119&amp;"*"&amp;ROUND(L119*(G119/$AN119)/VLOOKUP(F119,商品!$A$4:$D$67,4,FALSE),0),"")</f>
        <v/>
      </c>
      <c r="AF119" t="str">
        <f>IFERROR(H119&amp;"*"&amp;ROUND(L119*(I119/$AN119)/VLOOKUP(H119,商品!$A$4:$D$67,4,FALSE),0),"")</f>
        <v/>
      </c>
      <c r="AG119" t="str">
        <f>IFERROR(J119&amp;"*"&amp;ROUND(L119*(K119/$AN119)/VLOOKUP(J119,商品!$A$4:$D$67,4,FALSE),0),"")</f>
        <v/>
      </c>
      <c r="AH119" t="str">
        <f>IFERROR(M119&amp;"*"&amp;ROUND(S119*(N119/$AO119)/VLOOKUP(M119,职业!$A$3:$E$16,4,FALSE),0),"")</f>
        <v/>
      </c>
      <c r="AI119" t="str">
        <f>IFERROR(O119&amp;"*"&amp;ROUND(S119*(P119/$AO119)/VLOOKUP(O119,职业!$A$3:$E$16,4,FALSE),0),"")</f>
        <v/>
      </c>
      <c r="AK119" t="str">
        <f>IFERROR(T119&amp;"*"&amp;ROUND(X119*(U119/$AP119)/VLOOKUP(T119,商品!$A$4:$D$67,4,FALSE),0),"")</f>
        <v/>
      </c>
      <c r="AL119" t="str">
        <f>IFERROR(V119&amp;"*"&amp;ROUND(X119*(W119/$AP119)/VLOOKUP(V119,商品!$A$4:$D$67,4,FALSE),0),"")</f>
        <v/>
      </c>
      <c r="AN119">
        <f t="shared" si="13"/>
        <v>0</v>
      </c>
      <c r="AO119">
        <f t="shared" si="14"/>
        <v>0</v>
      </c>
      <c r="AP119">
        <f t="shared" si="15"/>
        <v>0</v>
      </c>
    </row>
    <row r="120" customHeight="1" spans="1:42">
      <c r="A120" s="5" t="s">
        <v>311</v>
      </c>
      <c r="C120" s="5">
        <v>4</v>
      </c>
      <c r="D120" s="1" t="s">
        <v>222</v>
      </c>
      <c r="E120" s="1" t="s">
        <v>225</v>
      </c>
      <c r="L120" s="1">
        <f>IFERROR(VLOOKUP($D120&amp;$C120,生产方式定位!$A$2:$E$38,2,FALSE)+VLOOKUP($E120&amp;$C120,生产方式定位!$F$3:$J$38,2,FALSE),0)</f>
        <v>4600</v>
      </c>
      <c r="S120" s="1">
        <f>IFERROR(VLOOKUP($D120&amp;$C120,生产方式定位!$A$2:$E$38,3,FALSE)+VLOOKUP($E120&amp;$C120,生产方式定位!$F$3:$J$38,3,FALSE),0)</f>
        <v>4650</v>
      </c>
      <c r="X120" s="1">
        <f>IFERROR(VLOOKUP($D120&amp;$C120,生产方式定位!$A$2:$E$38,5,FALSE)+VLOOKUP($E120&amp;$C120,生产方式定位!$F$3:$J$38,5,FALSE),"错误")</f>
        <v>4940</v>
      </c>
      <c r="Y120" s="27" t="str">
        <f t="shared" si="8"/>
        <v/>
      </c>
      <c r="Z120" s="37" t="str">
        <f t="shared" si="9"/>
        <v/>
      </c>
      <c r="AA120" s="37" t="str">
        <f t="shared" si="10"/>
        <v/>
      </c>
      <c r="AB120" s="28">
        <f t="shared" si="11"/>
        <v>0.93</v>
      </c>
      <c r="AC120" s="37"/>
      <c r="AD120" s="38">
        <f t="shared" si="12"/>
        <v>4</v>
      </c>
      <c r="AE120" t="str">
        <f>IFERROR(F120&amp;"*"&amp;ROUND(L120*(G120/$AN120)/VLOOKUP(F120,商品!$A$4:$D$67,4,FALSE),0),"")</f>
        <v/>
      </c>
      <c r="AF120" t="str">
        <f>IFERROR(H120&amp;"*"&amp;ROUND(L120*(I120/$AN120)/VLOOKUP(H120,商品!$A$4:$D$67,4,FALSE),0),"")</f>
        <v/>
      </c>
      <c r="AG120" t="str">
        <f>IFERROR(J120&amp;"*"&amp;ROUND(L120*(K120/$AN120)/VLOOKUP(J120,商品!$A$4:$D$67,4,FALSE),0),"")</f>
        <v/>
      </c>
      <c r="AH120" t="str">
        <f>IFERROR(M120&amp;"*"&amp;ROUND(S120*(N120/$AO120)/VLOOKUP(M120,职业!$A$3:$E$16,4,FALSE),0),"")</f>
        <v/>
      </c>
      <c r="AI120" t="str">
        <f>IFERROR(O120&amp;"*"&amp;ROUND(S120*(P120/$AO120)/VLOOKUP(O120,职业!$A$3:$E$16,4,FALSE),0),"")</f>
        <v/>
      </c>
      <c r="AK120" t="str">
        <f>IFERROR(T120&amp;"*"&amp;ROUND(X120*(U120/$AP120)/VLOOKUP(T120,商品!$A$4:$D$67,4,FALSE),0),"")</f>
        <v/>
      </c>
      <c r="AL120" t="str">
        <f>IFERROR(V120&amp;"*"&amp;ROUND(X120*(W120/$AP120)/VLOOKUP(V120,商品!$A$4:$D$67,4,FALSE),0),"")</f>
        <v/>
      </c>
      <c r="AN120">
        <f t="shared" si="13"/>
        <v>0</v>
      </c>
      <c r="AO120">
        <f t="shared" si="14"/>
        <v>0</v>
      </c>
      <c r="AP120">
        <f t="shared" si="15"/>
        <v>0</v>
      </c>
    </row>
    <row r="121" customHeight="1" spans="1:42">
      <c r="A121" s="5" t="s">
        <v>311</v>
      </c>
      <c r="C121" s="5">
        <v>5</v>
      </c>
      <c r="D121" s="1" t="s">
        <v>222</v>
      </c>
      <c r="E121" s="1" t="s">
        <v>225</v>
      </c>
      <c r="L121" s="1">
        <f>IFERROR(VLOOKUP($D121&amp;$C121,生产方式定位!$A$2:$E$38,2,FALSE)+VLOOKUP($E121&amp;$C121,生产方式定位!$F$3:$J$38,2,FALSE),0)</f>
        <v>5800</v>
      </c>
      <c r="S121" s="1">
        <f>IFERROR(VLOOKUP($D121&amp;$C121,生产方式定位!$A$2:$E$38,3,FALSE)+VLOOKUP($E121&amp;$C121,生产方式定位!$F$3:$J$38,3,FALSE),0)</f>
        <v>5700</v>
      </c>
      <c r="X121" s="1">
        <f>IFERROR(VLOOKUP($D121&amp;$C121,生产方式定位!$A$2:$E$38,5,FALSE)+VLOOKUP($E121&amp;$C121,生产方式定位!$F$3:$J$38,5,FALSE),"错误")</f>
        <v>6313</v>
      </c>
      <c r="Y121" s="27" t="str">
        <f t="shared" si="8"/>
        <v/>
      </c>
      <c r="Z121" s="37" t="str">
        <f t="shared" si="9"/>
        <v/>
      </c>
      <c r="AA121" s="37" t="str">
        <f t="shared" si="10"/>
        <v/>
      </c>
      <c r="AB121" s="28">
        <f t="shared" si="11"/>
        <v>0.92</v>
      </c>
      <c r="AC121" s="37"/>
      <c r="AD121" s="38">
        <f t="shared" si="12"/>
        <v>5</v>
      </c>
      <c r="AE121" t="str">
        <f>IFERROR(F121&amp;"*"&amp;ROUND(L121*(G121/$AN121)/VLOOKUP(F121,商品!$A$4:$D$67,4,FALSE),0),"")</f>
        <v/>
      </c>
      <c r="AF121" t="str">
        <f>IFERROR(H121&amp;"*"&amp;ROUND(L121*(I121/$AN121)/VLOOKUP(H121,商品!$A$4:$D$67,4,FALSE),0),"")</f>
        <v/>
      </c>
      <c r="AG121" t="str">
        <f>IFERROR(J121&amp;"*"&amp;ROUND(L121*(K121/$AN121)/VLOOKUP(J121,商品!$A$4:$D$67,4,FALSE),0),"")</f>
        <v/>
      </c>
      <c r="AH121" t="str">
        <f>IFERROR(M121&amp;"*"&amp;ROUND(S121*(N121/$AO121)/VLOOKUP(M121,职业!$A$3:$E$16,4,FALSE),0),"")</f>
        <v/>
      </c>
      <c r="AI121" t="str">
        <f>IFERROR(O121&amp;"*"&amp;ROUND(S121*(P121/$AO121)/VLOOKUP(O121,职业!$A$3:$E$16,4,FALSE),0),"")</f>
        <v/>
      </c>
      <c r="AK121" t="str">
        <f>IFERROR(T121&amp;"*"&amp;ROUND(X121*(U121/$AP121)/VLOOKUP(T121,商品!$A$4:$D$67,4,FALSE),0),"")</f>
        <v/>
      </c>
      <c r="AL121" t="str">
        <f>IFERROR(V121&amp;"*"&amp;ROUND(X121*(W121/$AP121)/VLOOKUP(V121,商品!$A$4:$D$67,4,FALSE),0),"")</f>
        <v/>
      </c>
      <c r="AN121">
        <f t="shared" si="13"/>
        <v>0</v>
      </c>
      <c r="AO121">
        <f t="shared" si="14"/>
        <v>0</v>
      </c>
      <c r="AP121">
        <f t="shared" si="15"/>
        <v>0</v>
      </c>
    </row>
    <row r="122" customHeight="1" spans="1:42">
      <c r="A122" s="18" t="s">
        <v>312</v>
      </c>
      <c r="C122" s="18">
        <v>1</v>
      </c>
      <c r="D122" s="1" t="s">
        <v>222</v>
      </c>
      <c r="E122" s="1" t="s">
        <v>226</v>
      </c>
      <c r="L122" s="1">
        <f>IFERROR(VLOOKUP($D122&amp;$C122,生产方式定位!$A$2:$E$38,2,FALSE)+VLOOKUP($E122&amp;$C122,生产方式定位!$F$3:$J$38,2,FALSE),0)</f>
        <v>0</v>
      </c>
      <c r="S122" s="1">
        <f>IFERROR(VLOOKUP($D122&amp;$C122,生产方式定位!$A$2:$E$38,3,FALSE)+VLOOKUP($E122&amp;$C122,生产方式定位!$F$3:$J$38,3,FALSE),0)</f>
        <v>500</v>
      </c>
      <c r="X122" s="1">
        <f>IFERROR(VLOOKUP($D122&amp;$C122,生产方式定位!$A$2:$E$38,5,FALSE)+VLOOKUP($E122&amp;$C122,生产方式定位!$F$3:$J$38,5,FALSE),"错误")</f>
        <v>250</v>
      </c>
      <c r="Y122" s="27" t="str">
        <f t="shared" si="8"/>
        <v/>
      </c>
      <c r="Z122" s="37" t="str">
        <f t="shared" si="9"/>
        <v/>
      </c>
      <c r="AA122" s="37" t="str">
        <f t="shared" si="10"/>
        <v/>
      </c>
      <c r="AB122" s="28">
        <f t="shared" si="11"/>
        <v>0</v>
      </c>
      <c r="AC122" s="37"/>
      <c r="AD122" s="38">
        <f t="shared" si="12"/>
        <v>1</v>
      </c>
      <c r="AE122" t="str">
        <f>IFERROR(F122&amp;"*"&amp;ROUND(L122*(G122/$AN122)/VLOOKUP(F122,商品!$A$4:$D$67,4,FALSE),0),"")</f>
        <v/>
      </c>
      <c r="AF122" t="str">
        <f>IFERROR(H122&amp;"*"&amp;ROUND(L122*(I122/$AN122)/VLOOKUP(H122,商品!$A$4:$D$67,4,FALSE),0),"")</f>
        <v/>
      </c>
      <c r="AG122" t="str">
        <f>IFERROR(J122&amp;"*"&amp;ROUND(L122*(K122/$AN122)/VLOOKUP(J122,商品!$A$4:$D$67,4,FALSE),0),"")</f>
        <v/>
      </c>
      <c r="AH122" t="str">
        <f>IFERROR(M122&amp;"*"&amp;ROUND(S122*(N122/$AO122)/VLOOKUP(M122,职业!$A$3:$E$16,4,FALSE),0),"")</f>
        <v/>
      </c>
      <c r="AI122" t="str">
        <f>IFERROR(O122&amp;"*"&amp;ROUND(S122*(P122/$AO122)/VLOOKUP(O122,职业!$A$3:$E$16,4,FALSE),0),"")</f>
        <v/>
      </c>
      <c r="AK122" t="str">
        <f>IFERROR(T122&amp;"*"&amp;ROUND(X122*(U122/$AP122)/VLOOKUP(T122,商品!$A$4:$D$67,4,FALSE),0),"")</f>
        <v/>
      </c>
      <c r="AL122" t="str">
        <f>IFERROR(V122&amp;"*"&amp;ROUND(X122*(W122/$AP122)/VLOOKUP(V122,商品!$A$4:$D$67,4,FALSE),0),"")</f>
        <v/>
      </c>
      <c r="AN122">
        <f t="shared" si="13"/>
        <v>0</v>
      </c>
      <c r="AO122">
        <f t="shared" si="14"/>
        <v>0</v>
      </c>
      <c r="AP122">
        <f t="shared" si="15"/>
        <v>0</v>
      </c>
    </row>
    <row r="123" customHeight="1" spans="1:42">
      <c r="A123" s="18" t="s">
        <v>312</v>
      </c>
      <c r="C123" s="18">
        <v>2</v>
      </c>
      <c r="D123" s="1" t="s">
        <v>222</v>
      </c>
      <c r="E123" s="1" t="s">
        <v>226</v>
      </c>
      <c r="L123" s="1">
        <f>IFERROR(VLOOKUP($D123&amp;$C123,生产方式定位!$A$2:$E$38,2,FALSE)+VLOOKUP($E123&amp;$C123,生产方式定位!$F$3:$J$38,2,FALSE),0)</f>
        <v>3200</v>
      </c>
      <c r="S123" s="1">
        <f>IFERROR(VLOOKUP($D123&amp;$C123,生产方式定位!$A$2:$E$38,3,FALSE)+VLOOKUP($E123&amp;$C123,生产方式定位!$F$3:$J$38,3,FALSE),0)</f>
        <v>350</v>
      </c>
      <c r="X123" s="1">
        <f>IFERROR(VLOOKUP($D123&amp;$C123,生产方式定位!$A$2:$E$38,5,FALSE)+VLOOKUP($E123&amp;$C123,生产方式定位!$F$3:$J$38,5,FALSE),"错误")</f>
        <v>1865</v>
      </c>
      <c r="Y123" s="27" t="str">
        <f t="shared" si="8"/>
        <v/>
      </c>
      <c r="Z123" s="37" t="str">
        <f t="shared" si="9"/>
        <v/>
      </c>
      <c r="AA123" s="37" t="str">
        <f t="shared" si="10"/>
        <v/>
      </c>
      <c r="AB123" s="28">
        <f t="shared" si="11"/>
        <v>1.72</v>
      </c>
      <c r="AC123" s="37"/>
      <c r="AD123" s="38">
        <f t="shared" si="12"/>
        <v>2</v>
      </c>
      <c r="AE123" t="str">
        <f>IFERROR(F123&amp;"*"&amp;ROUND(L123*(G123/$AN123)/VLOOKUP(F123,商品!$A$4:$D$67,4,FALSE),0),"")</f>
        <v/>
      </c>
      <c r="AF123" t="str">
        <f>IFERROR(H123&amp;"*"&amp;ROUND(L123*(I123/$AN123)/VLOOKUP(H123,商品!$A$4:$D$67,4,FALSE),0),"")</f>
        <v/>
      </c>
      <c r="AG123" t="str">
        <f>IFERROR(J123&amp;"*"&amp;ROUND(L123*(K123/$AN123)/VLOOKUP(J123,商品!$A$4:$D$67,4,FALSE),0),"")</f>
        <v/>
      </c>
      <c r="AH123" t="str">
        <f>IFERROR(M123&amp;"*"&amp;ROUND(S123*(N123/$AO123)/VLOOKUP(M123,职业!$A$3:$E$16,4,FALSE),0),"")</f>
        <v/>
      </c>
      <c r="AI123" t="str">
        <f>IFERROR(O123&amp;"*"&amp;ROUND(S123*(P123/$AO123)/VLOOKUP(O123,职业!$A$3:$E$16,4,FALSE),0),"")</f>
        <v/>
      </c>
      <c r="AK123" t="str">
        <f>IFERROR(T123&amp;"*"&amp;ROUND(X123*(U123/$AP123)/VLOOKUP(T123,商品!$A$4:$D$67,4,FALSE),0),"")</f>
        <v/>
      </c>
      <c r="AL123" t="str">
        <f>IFERROR(V123&amp;"*"&amp;ROUND(X123*(W123/$AP123)/VLOOKUP(V123,商品!$A$4:$D$67,4,FALSE),0),"")</f>
        <v/>
      </c>
      <c r="AN123">
        <f t="shared" si="13"/>
        <v>0</v>
      </c>
      <c r="AO123">
        <f t="shared" si="14"/>
        <v>0</v>
      </c>
      <c r="AP123">
        <f t="shared" si="15"/>
        <v>0</v>
      </c>
    </row>
    <row r="124" customHeight="1" spans="1:42">
      <c r="A124" s="18" t="s">
        <v>312</v>
      </c>
      <c r="C124" s="18">
        <v>3</v>
      </c>
      <c r="D124" s="1" t="s">
        <v>222</v>
      </c>
      <c r="E124" s="1" t="s">
        <v>226</v>
      </c>
      <c r="L124" s="1">
        <f>IFERROR(VLOOKUP($D124&amp;$C124,生产方式定位!$A$2:$E$38,2,FALSE)+VLOOKUP($E124&amp;$C124,生产方式定位!$F$3:$J$38,2,FALSE),0)</f>
        <v>4400</v>
      </c>
      <c r="S124" s="1">
        <f>IFERROR(VLOOKUP($D124&amp;$C124,生产方式定位!$A$2:$E$38,3,FALSE)+VLOOKUP($E124&amp;$C124,生产方式定位!$F$3:$J$38,3,FALSE),0)</f>
        <v>200</v>
      </c>
      <c r="X124" s="1">
        <f>IFERROR(VLOOKUP($D124&amp;$C124,生产方式定位!$A$2:$E$38,5,FALSE)+VLOOKUP($E124&amp;$C124,生产方式定位!$F$3:$J$38,5,FALSE),"错误")</f>
        <v>2560</v>
      </c>
      <c r="Y124" s="27" t="str">
        <f t="shared" si="8"/>
        <v/>
      </c>
      <c r="Z124" s="37" t="str">
        <f t="shared" si="9"/>
        <v/>
      </c>
      <c r="AA124" s="37" t="str">
        <f t="shared" si="10"/>
        <v/>
      </c>
      <c r="AB124" s="28">
        <f t="shared" si="11"/>
        <v>1.72</v>
      </c>
      <c r="AC124" s="37"/>
      <c r="AD124" s="38">
        <f t="shared" si="12"/>
        <v>3</v>
      </c>
      <c r="AE124" t="str">
        <f>IFERROR(F124&amp;"*"&amp;ROUND(L124*(G124/$AN124)/VLOOKUP(F124,商品!$A$4:$D$67,4,FALSE),0),"")</f>
        <v/>
      </c>
      <c r="AF124" t="str">
        <f>IFERROR(H124&amp;"*"&amp;ROUND(L124*(I124/$AN124)/VLOOKUP(H124,商品!$A$4:$D$67,4,FALSE),0),"")</f>
        <v/>
      </c>
      <c r="AG124" t="str">
        <f>IFERROR(J124&amp;"*"&amp;ROUND(L124*(K124/$AN124)/VLOOKUP(J124,商品!$A$4:$D$67,4,FALSE),0),"")</f>
        <v/>
      </c>
      <c r="AH124" t="str">
        <f>IFERROR(M124&amp;"*"&amp;ROUND(S124*(N124/$AO124)/VLOOKUP(M124,职业!$A$3:$E$16,4,FALSE),0),"")</f>
        <v/>
      </c>
      <c r="AI124" t="str">
        <f>IFERROR(O124&amp;"*"&amp;ROUND(S124*(P124/$AO124)/VLOOKUP(O124,职业!$A$3:$E$16,4,FALSE),0),"")</f>
        <v/>
      </c>
      <c r="AK124" t="str">
        <f>IFERROR(T124&amp;"*"&amp;ROUND(X124*(U124/$AP124)/VLOOKUP(T124,商品!$A$4:$D$67,4,FALSE),0),"")</f>
        <v/>
      </c>
      <c r="AL124" t="str">
        <f>IFERROR(V124&amp;"*"&amp;ROUND(X124*(W124/$AP124)/VLOOKUP(V124,商品!$A$4:$D$67,4,FALSE),0),"")</f>
        <v/>
      </c>
      <c r="AN124">
        <f t="shared" si="13"/>
        <v>0</v>
      </c>
      <c r="AO124">
        <f t="shared" si="14"/>
        <v>0</v>
      </c>
      <c r="AP124">
        <f t="shared" si="15"/>
        <v>0</v>
      </c>
    </row>
    <row r="125" customHeight="1" spans="1:42">
      <c r="A125" s="18" t="s">
        <v>312</v>
      </c>
      <c r="C125" s="18">
        <v>4</v>
      </c>
      <c r="D125" s="1" t="s">
        <v>222</v>
      </c>
      <c r="E125" s="1" t="s">
        <v>226</v>
      </c>
      <c r="L125" s="1">
        <f>IFERROR(VLOOKUP($D125&amp;$C125,生产方式定位!$A$2:$E$38,2,FALSE)+VLOOKUP($E125&amp;$C125,生产方式定位!$F$3:$J$38,2,FALSE),0)</f>
        <v>5600</v>
      </c>
      <c r="S125" s="1">
        <f>IFERROR(VLOOKUP($D125&amp;$C125,生产方式定位!$A$2:$E$38,3,FALSE)+VLOOKUP($E125&amp;$C125,生产方式定位!$F$3:$J$38,3,FALSE),0)</f>
        <v>50</v>
      </c>
      <c r="X125" s="1">
        <f>IFERROR(VLOOKUP($D125&amp;$C125,生产方式定位!$A$2:$E$38,5,FALSE)+VLOOKUP($E125&amp;$C125,生产方式定位!$F$3:$J$38,5,FALSE),"错误")</f>
        <v>3335</v>
      </c>
      <c r="Y125" s="27" t="str">
        <f t="shared" si="8"/>
        <v/>
      </c>
      <c r="Z125" s="37" t="str">
        <f t="shared" si="9"/>
        <v/>
      </c>
      <c r="AA125" s="37" t="str">
        <f t="shared" si="10"/>
        <v/>
      </c>
      <c r="AB125" s="28">
        <f t="shared" si="11"/>
        <v>1.68</v>
      </c>
      <c r="AC125" s="37"/>
      <c r="AD125" s="38">
        <f t="shared" si="12"/>
        <v>4</v>
      </c>
      <c r="AE125" t="str">
        <f>IFERROR(F125&amp;"*"&amp;ROUND(L125*(G125/$AN125)/VLOOKUP(F125,商品!$A$4:$D$67,4,FALSE),0),"")</f>
        <v/>
      </c>
      <c r="AF125" t="str">
        <f>IFERROR(H125&amp;"*"&amp;ROUND(L125*(I125/$AN125)/VLOOKUP(H125,商品!$A$4:$D$67,4,FALSE),0),"")</f>
        <v/>
      </c>
      <c r="AG125" t="str">
        <f>IFERROR(J125&amp;"*"&amp;ROUND(L125*(K125/$AN125)/VLOOKUP(J125,商品!$A$4:$D$67,4,FALSE),0),"")</f>
        <v/>
      </c>
      <c r="AH125" t="str">
        <f>IFERROR(M125&amp;"*"&amp;ROUND(S125*(N125/$AO125)/VLOOKUP(M125,职业!$A$3:$E$16,4,FALSE),0),"")</f>
        <v/>
      </c>
      <c r="AI125" t="str">
        <f>IFERROR(O125&amp;"*"&amp;ROUND(S125*(P125/$AO125)/VLOOKUP(O125,职业!$A$3:$E$16,4,FALSE),0),"")</f>
        <v/>
      </c>
      <c r="AK125" t="str">
        <f>IFERROR(T125&amp;"*"&amp;ROUND(X125*(U125/$AP125)/VLOOKUP(T125,商品!$A$4:$D$67,4,FALSE),0),"")</f>
        <v/>
      </c>
      <c r="AL125" t="str">
        <f>IFERROR(V125&amp;"*"&amp;ROUND(X125*(W125/$AP125)/VLOOKUP(V125,商品!$A$4:$D$67,4,FALSE),0),"")</f>
        <v/>
      </c>
      <c r="AN125">
        <f t="shared" si="13"/>
        <v>0</v>
      </c>
      <c r="AO125">
        <f t="shared" si="14"/>
        <v>0</v>
      </c>
      <c r="AP125">
        <f t="shared" si="15"/>
        <v>0</v>
      </c>
    </row>
    <row r="126" customHeight="1" spans="1:42">
      <c r="A126" s="18" t="s">
        <v>312</v>
      </c>
      <c r="C126" s="18">
        <v>5</v>
      </c>
      <c r="D126" s="1" t="s">
        <v>222</v>
      </c>
      <c r="E126" s="1" t="s">
        <v>226</v>
      </c>
      <c r="L126" s="1">
        <f>IFERROR(VLOOKUP($D126&amp;$C126,生产方式定位!$A$2:$E$38,2,FALSE)+VLOOKUP($E126&amp;$C126,生产方式定位!$F$3:$J$38,2,FALSE),0)</f>
        <v>6800</v>
      </c>
      <c r="S126" s="1">
        <f>IFERROR(VLOOKUP($D126&amp;$C126,生产方式定位!$A$2:$E$38,3,FALSE)+VLOOKUP($E126&amp;$C126,生产方式定位!$F$3:$J$38,3,FALSE),0)</f>
        <v>-100</v>
      </c>
      <c r="X126" s="1">
        <f>IFERROR(VLOOKUP($D126&amp;$C126,生产方式定位!$A$2:$E$38,5,FALSE)+VLOOKUP($E126&amp;$C126,生产方式定位!$F$3:$J$38,5,FALSE),"错误")</f>
        <v>4190</v>
      </c>
      <c r="Y126" s="27" t="str">
        <f t="shared" si="8"/>
        <v/>
      </c>
      <c r="Z126" s="37" t="str">
        <f t="shared" si="9"/>
        <v/>
      </c>
      <c r="AA126" s="37" t="str">
        <f t="shared" si="10"/>
        <v/>
      </c>
      <c r="AB126" s="28">
        <f t="shared" si="11"/>
        <v>1.62</v>
      </c>
      <c r="AC126" s="37"/>
      <c r="AD126" s="38">
        <f t="shared" si="12"/>
        <v>5</v>
      </c>
      <c r="AE126" t="str">
        <f>IFERROR(F126&amp;"*"&amp;ROUND(L126*(G126/$AN126)/VLOOKUP(F126,商品!$A$4:$D$67,4,FALSE),0),"")</f>
        <v/>
      </c>
      <c r="AF126" t="str">
        <f>IFERROR(H126&amp;"*"&amp;ROUND(L126*(I126/$AN126)/VLOOKUP(H126,商品!$A$4:$D$67,4,FALSE),0),"")</f>
        <v/>
      </c>
      <c r="AG126" t="str">
        <f>IFERROR(J126&amp;"*"&amp;ROUND(L126*(K126/$AN126)/VLOOKUP(J126,商品!$A$4:$D$67,4,FALSE),0),"")</f>
        <v/>
      </c>
      <c r="AH126" t="str">
        <f>IFERROR(M126&amp;"*"&amp;ROUND(S126*(N126/$AO126)/VLOOKUP(M126,职业!$A$3:$E$16,4,FALSE),0),"")</f>
        <v/>
      </c>
      <c r="AI126" t="str">
        <f>IFERROR(O126&amp;"*"&amp;ROUND(S126*(P126/$AO126)/VLOOKUP(O126,职业!$A$3:$E$16,4,FALSE),0),"")</f>
        <v/>
      </c>
      <c r="AK126" t="str">
        <f>IFERROR(T126&amp;"*"&amp;ROUND(X126*(U126/$AP126)/VLOOKUP(T126,商品!$A$4:$D$67,4,FALSE),0),"")</f>
        <v/>
      </c>
      <c r="AL126" t="str">
        <f>IFERROR(V126&amp;"*"&amp;ROUND(X126*(W126/$AP126)/VLOOKUP(V126,商品!$A$4:$D$67,4,FALSE),0),"")</f>
        <v/>
      </c>
      <c r="AN126">
        <f t="shared" si="13"/>
        <v>0</v>
      </c>
      <c r="AO126">
        <f t="shared" si="14"/>
        <v>0</v>
      </c>
      <c r="AP126">
        <f t="shared" si="15"/>
        <v>0</v>
      </c>
    </row>
    <row r="127" customHeight="1" spans="1:42">
      <c r="A127" s="5" t="s">
        <v>312</v>
      </c>
      <c r="C127" s="5">
        <v>1</v>
      </c>
      <c r="D127" s="1" t="s">
        <v>222</v>
      </c>
      <c r="E127" s="1" t="s">
        <v>226</v>
      </c>
      <c r="L127" s="1">
        <f>IFERROR(VLOOKUP($D127&amp;$C127,生产方式定位!$A$2:$E$38,2,FALSE)+VLOOKUP($E127&amp;$C127,生产方式定位!$F$3:$J$38,2,FALSE),0)</f>
        <v>0</v>
      </c>
      <c r="S127" s="1">
        <f>IFERROR(VLOOKUP($D127&amp;$C127,生产方式定位!$A$2:$E$38,3,FALSE)+VLOOKUP($E127&amp;$C127,生产方式定位!$F$3:$J$38,3,FALSE),0)</f>
        <v>500</v>
      </c>
      <c r="X127" s="1">
        <f>IFERROR(VLOOKUP($D127&amp;$C127,生产方式定位!$A$2:$E$38,5,FALSE)+VLOOKUP($E127&amp;$C127,生产方式定位!$F$3:$J$38,5,FALSE),"错误")</f>
        <v>250</v>
      </c>
      <c r="Y127" s="27" t="str">
        <f t="shared" si="8"/>
        <v/>
      </c>
      <c r="Z127" s="37" t="str">
        <f t="shared" si="9"/>
        <v/>
      </c>
      <c r="AA127" s="37" t="str">
        <f t="shared" si="10"/>
        <v/>
      </c>
      <c r="AB127" s="28">
        <f t="shared" si="11"/>
        <v>0</v>
      </c>
      <c r="AC127" s="37"/>
      <c r="AD127" s="38">
        <f t="shared" si="12"/>
        <v>1</v>
      </c>
      <c r="AE127" t="str">
        <f>IFERROR(F127&amp;"*"&amp;ROUND(L127*(G127/$AN127)/VLOOKUP(F127,商品!$A$4:$D$67,4,FALSE),0),"")</f>
        <v/>
      </c>
      <c r="AF127" t="str">
        <f>IFERROR(H127&amp;"*"&amp;ROUND(L127*(I127/$AN127)/VLOOKUP(H127,商品!$A$4:$D$67,4,FALSE),0),"")</f>
        <v/>
      </c>
      <c r="AG127" t="str">
        <f>IFERROR(J127&amp;"*"&amp;ROUND(L127*(K127/$AN127)/VLOOKUP(J127,商品!$A$4:$D$67,4,FALSE),0),"")</f>
        <v/>
      </c>
      <c r="AH127" t="str">
        <f>IFERROR(M127&amp;"*"&amp;ROUND(S127*(N127/$AO127)/VLOOKUP(M127,职业!$A$3:$E$16,4,FALSE),0),"")</f>
        <v/>
      </c>
      <c r="AI127" t="str">
        <f>IFERROR(O127&amp;"*"&amp;ROUND(S127*(P127/$AO127)/VLOOKUP(O127,职业!$A$3:$E$16,4,FALSE),0),"")</f>
        <v/>
      </c>
      <c r="AK127" t="str">
        <f>IFERROR(T127&amp;"*"&amp;ROUND(X127*(U127/$AP127)/VLOOKUP(T127,商品!$A$4:$D$67,4,FALSE),0),"")</f>
        <v/>
      </c>
      <c r="AL127" t="str">
        <f>IFERROR(V127&amp;"*"&amp;ROUND(X127*(W127/$AP127)/VLOOKUP(V127,商品!$A$4:$D$67,4,FALSE),0),"")</f>
        <v/>
      </c>
      <c r="AN127">
        <f t="shared" si="13"/>
        <v>0</v>
      </c>
      <c r="AO127">
        <f t="shared" si="14"/>
        <v>0</v>
      </c>
      <c r="AP127">
        <f t="shared" si="15"/>
        <v>0</v>
      </c>
    </row>
    <row r="128" customHeight="1" spans="1:42">
      <c r="A128" s="5" t="s">
        <v>312</v>
      </c>
      <c r="C128" s="5">
        <v>2</v>
      </c>
      <c r="D128" s="1" t="s">
        <v>222</v>
      </c>
      <c r="E128" s="1" t="s">
        <v>226</v>
      </c>
      <c r="L128" s="1">
        <f>IFERROR(VLOOKUP($D128&amp;$C128,生产方式定位!$A$2:$E$38,2,FALSE)+VLOOKUP($E128&amp;$C128,生产方式定位!$F$3:$J$38,2,FALSE),0)</f>
        <v>3200</v>
      </c>
      <c r="S128" s="1">
        <f>IFERROR(VLOOKUP($D128&amp;$C128,生产方式定位!$A$2:$E$38,3,FALSE)+VLOOKUP($E128&amp;$C128,生产方式定位!$F$3:$J$38,3,FALSE),0)</f>
        <v>350</v>
      </c>
      <c r="X128" s="1">
        <f>IFERROR(VLOOKUP($D128&amp;$C128,生产方式定位!$A$2:$E$38,5,FALSE)+VLOOKUP($E128&amp;$C128,生产方式定位!$F$3:$J$38,5,FALSE),"错误")</f>
        <v>1865</v>
      </c>
      <c r="Y128" s="27" t="str">
        <f t="shared" si="8"/>
        <v/>
      </c>
      <c r="Z128" s="37" t="str">
        <f t="shared" si="9"/>
        <v/>
      </c>
      <c r="AA128" s="37" t="str">
        <f t="shared" si="10"/>
        <v/>
      </c>
      <c r="AB128" s="28">
        <f t="shared" si="11"/>
        <v>1.72</v>
      </c>
      <c r="AC128" s="37"/>
      <c r="AD128" s="38">
        <f t="shared" si="12"/>
        <v>2</v>
      </c>
      <c r="AE128" t="str">
        <f>IFERROR(F128&amp;"*"&amp;ROUND(L128*(G128/$AN128)/VLOOKUP(F128,商品!$A$4:$D$67,4,FALSE),0),"")</f>
        <v/>
      </c>
      <c r="AF128" t="str">
        <f>IFERROR(H128&amp;"*"&amp;ROUND(L128*(I128/$AN128)/VLOOKUP(H128,商品!$A$4:$D$67,4,FALSE),0),"")</f>
        <v/>
      </c>
      <c r="AG128" t="str">
        <f>IFERROR(J128&amp;"*"&amp;ROUND(L128*(K128/$AN128)/VLOOKUP(J128,商品!$A$4:$D$67,4,FALSE),0),"")</f>
        <v/>
      </c>
      <c r="AH128" t="str">
        <f>IFERROR(M128&amp;"*"&amp;ROUND(S128*(N128/$AO128)/VLOOKUP(M128,职业!$A$3:$E$16,4,FALSE),0),"")</f>
        <v/>
      </c>
      <c r="AI128" t="str">
        <f>IFERROR(O128&amp;"*"&amp;ROUND(S128*(P128/$AO128)/VLOOKUP(O128,职业!$A$3:$E$16,4,FALSE),0),"")</f>
        <v/>
      </c>
      <c r="AK128" t="str">
        <f>IFERROR(T128&amp;"*"&amp;ROUND(X128*(U128/$AP128)/VLOOKUP(T128,商品!$A$4:$D$67,4,FALSE),0),"")</f>
        <v/>
      </c>
      <c r="AL128" t="str">
        <f>IFERROR(V128&amp;"*"&amp;ROUND(X128*(W128/$AP128)/VLOOKUP(V128,商品!$A$4:$D$67,4,FALSE),0),"")</f>
        <v/>
      </c>
      <c r="AN128">
        <f t="shared" si="13"/>
        <v>0</v>
      </c>
      <c r="AO128">
        <f t="shared" si="14"/>
        <v>0</v>
      </c>
      <c r="AP128">
        <f t="shared" si="15"/>
        <v>0</v>
      </c>
    </row>
    <row r="129" customHeight="1" spans="1:42">
      <c r="A129" s="5" t="s">
        <v>312</v>
      </c>
      <c r="C129" s="5">
        <v>3</v>
      </c>
      <c r="D129" s="1" t="s">
        <v>222</v>
      </c>
      <c r="E129" s="1" t="s">
        <v>226</v>
      </c>
      <c r="L129" s="1">
        <f>IFERROR(VLOOKUP($D129&amp;$C129,生产方式定位!$A$2:$E$38,2,FALSE)+VLOOKUP($E129&amp;$C129,生产方式定位!$F$3:$J$38,2,FALSE),0)</f>
        <v>4400</v>
      </c>
      <c r="S129" s="1">
        <f>IFERROR(VLOOKUP($D129&amp;$C129,生产方式定位!$A$2:$E$38,3,FALSE)+VLOOKUP($E129&amp;$C129,生产方式定位!$F$3:$J$38,3,FALSE),0)</f>
        <v>200</v>
      </c>
      <c r="X129" s="1">
        <f>IFERROR(VLOOKUP($D129&amp;$C129,生产方式定位!$A$2:$E$38,5,FALSE)+VLOOKUP($E129&amp;$C129,生产方式定位!$F$3:$J$38,5,FALSE),"错误")</f>
        <v>2560</v>
      </c>
      <c r="Y129" s="27" t="str">
        <f t="shared" si="8"/>
        <v/>
      </c>
      <c r="Z129" s="37" t="str">
        <f t="shared" si="9"/>
        <v/>
      </c>
      <c r="AA129" s="37" t="str">
        <f t="shared" si="10"/>
        <v/>
      </c>
      <c r="AB129" s="28">
        <f t="shared" si="11"/>
        <v>1.72</v>
      </c>
      <c r="AC129" s="37"/>
      <c r="AD129" s="38">
        <f t="shared" si="12"/>
        <v>3</v>
      </c>
      <c r="AE129" t="str">
        <f>IFERROR(F129&amp;"*"&amp;ROUND(L129*(G129/$AN129)/VLOOKUP(F129,商品!$A$4:$D$67,4,FALSE),0),"")</f>
        <v/>
      </c>
      <c r="AF129" t="str">
        <f>IFERROR(H129&amp;"*"&amp;ROUND(L129*(I129/$AN129)/VLOOKUP(H129,商品!$A$4:$D$67,4,FALSE),0),"")</f>
        <v/>
      </c>
      <c r="AG129" t="str">
        <f>IFERROR(J129&amp;"*"&amp;ROUND(L129*(K129/$AN129)/VLOOKUP(J129,商品!$A$4:$D$67,4,FALSE),0),"")</f>
        <v/>
      </c>
      <c r="AH129" t="str">
        <f>IFERROR(M129&amp;"*"&amp;ROUND(S129*(N129/$AO129)/VLOOKUP(M129,职业!$A$3:$E$16,4,FALSE),0),"")</f>
        <v/>
      </c>
      <c r="AI129" t="str">
        <f>IFERROR(O129&amp;"*"&amp;ROUND(S129*(P129/$AO129)/VLOOKUP(O129,职业!$A$3:$E$16,4,FALSE),0),"")</f>
        <v/>
      </c>
      <c r="AK129" t="str">
        <f>IFERROR(T129&amp;"*"&amp;ROUND(X129*(U129/$AP129)/VLOOKUP(T129,商品!$A$4:$D$67,4,FALSE),0),"")</f>
        <v/>
      </c>
      <c r="AL129" t="str">
        <f>IFERROR(V129&amp;"*"&amp;ROUND(X129*(W129/$AP129)/VLOOKUP(V129,商品!$A$4:$D$67,4,FALSE),0),"")</f>
        <v/>
      </c>
      <c r="AN129">
        <f t="shared" si="13"/>
        <v>0</v>
      </c>
      <c r="AO129">
        <f t="shared" si="14"/>
        <v>0</v>
      </c>
      <c r="AP129">
        <f t="shared" si="15"/>
        <v>0</v>
      </c>
    </row>
    <row r="130" customHeight="1" spans="1:42">
      <c r="A130" s="5" t="s">
        <v>312</v>
      </c>
      <c r="C130" s="5">
        <v>4</v>
      </c>
      <c r="D130" s="1" t="s">
        <v>222</v>
      </c>
      <c r="E130" s="1" t="s">
        <v>226</v>
      </c>
      <c r="L130" s="1">
        <f>IFERROR(VLOOKUP($D130&amp;$C130,生产方式定位!$A$2:$E$38,2,FALSE)+VLOOKUP($E130&amp;$C130,生产方式定位!$F$3:$J$38,2,FALSE),0)</f>
        <v>5600</v>
      </c>
      <c r="S130" s="1">
        <f>IFERROR(VLOOKUP($D130&amp;$C130,生产方式定位!$A$2:$E$38,3,FALSE)+VLOOKUP($E130&amp;$C130,生产方式定位!$F$3:$J$38,3,FALSE),0)</f>
        <v>50</v>
      </c>
      <c r="X130" s="1">
        <f>IFERROR(VLOOKUP($D130&amp;$C130,生产方式定位!$A$2:$E$38,5,FALSE)+VLOOKUP($E130&amp;$C130,生产方式定位!$F$3:$J$38,5,FALSE),"错误")</f>
        <v>3335</v>
      </c>
      <c r="Y130" s="27" t="str">
        <f t="shared" si="8"/>
        <v/>
      </c>
      <c r="Z130" s="37" t="str">
        <f t="shared" si="9"/>
        <v/>
      </c>
      <c r="AA130" s="37" t="str">
        <f t="shared" si="10"/>
        <v/>
      </c>
      <c r="AB130" s="28">
        <f t="shared" si="11"/>
        <v>1.68</v>
      </c>
      <c r="AC130" s="37"/>
      <c r="AD130" s="38">
        <f t="shared" si="12"/>
        <v>4</v>
      </c>
      <c r="AE130" t="str">
        <f>IFERROR(F130&amp;"*"&amp;ROUND(L130*(G130/$AN130)/VLOOKUP(F130,商品!$A$4:$D$67,4,FALSE),0),"")</f>
        <v/>
      </c>
      <c r="AF130" t="str">
        <f>IFERROR(H130&amp;"*"&amp;ROUND(L130*(I130/$AN130)/VLOOKUP(H130,商品!$A$4:$D$67,4,FALSE),0),"")</f>
        <v/>
      </c>
      <c r="AG130" t="str">
        <f>IFERROR(J130&amp;"*"&amp;ROUND(L130*(K130/$AN130)/VLOOKUP(J130,商品!$A$4:$D$67,4,FALSE),0),"")</f>
        <v/>
      </c>
      <c r="AH130" t="str">
        <f>IFERROR(M130&amp;"*"&amp;ROUND(S130*(N130/$AO130)/VLOOKUP(M130,职业!$A$3:$E$16,4,FALSE),0),"")</f>
        <v/>
      </c>
      <c r="AI130" t="str">
        <f>IFERROR(O130&amp;"*"&amp;ROUND(S130*(P130/$AO130)/VLOOKUP(O130,职业!$A$3:$E$16,4,FALSE),0),"")</f>
        <v/>
      </c>
      <c r="AK130" t="str">
        <f>IFERROR(T130&amp;"*"&amp;ROUND(X130*(U130/$AP130)/VLOOKUP(T130,商品!$A$4:$D$67,4,FALSE),0),"")</f>
        <v/>
      </c>
      <c r="AL130" t="str">
        <f>IFERROR(V130&amp;"*"&amp;ROUND(X130*(W130/$AP130)/VLOOKUP(V130,商品!$A$4:$D$67,4,FALSE),0),"")</f>
        <v/>
      </c>
      <c r="AN130">
        <f t="shared" si="13"/>
        <v>0</v>
      </c>
      <c r="AO130">
        <f t="shared" si="14"/>
        <v>0</v>
      </c>
      <c r="AP130">
        <f t="shared" si="15"/>
        <v>0</v>
      </c>
    </row>
    <row r="131" customHeight="1" spans="1:42">
      <c r="A131" s="5" t="s">
        <v>312</v>
      </c>
      <c r="C131" s="5">
        <v>5</v>
      </c>
      <c r="D131" s="1" t="s">
        <v>222</v>
      </c>
      <c r="E131" s="1" t="s">
        <v>226</v>
      </c>
      <c r="L131" s="1">
        <f>IFERROR(VLOOKUP($D131&amp;$C131,生产方式定位!$A$2:$E$38,2,FALSE)+VLOOKUP($E131&amp;$C131,生产方式定位!$F$3:$J$38,2,FALSE),0)</f>
        <v>6800</v>
      </c>
      <c r="S131" s="1">
        <f>IFERROR(VLOOKUP($D131&amp;$C131,生产方式定位!$A$2:$E$38,3,FALSE)+VLOOKUP($E131&amp;$C131,生产方式定位!$F$3:$J$38,3,FALSE),0)</f>
        <v>-100</v>
      </c>
      <c r="X131" s="1">
        <f>IFERROR(VLOOKUP($D131&amp;$C131,生产方式定位!$A$2:$E$38,5,FALSE)+VLOOKUP($E131&amp;$C131,生产方式定位!$F$3:$J$38,5,FALSE),"错误")</f>
        <v>4190</v>
      </c>
      <c r="Y131" s="27" t="str">
        <f t="shared" si="8"/>
        <v/>
      </c>
      <c r="Z131" s="37" t="str">
        <f t="shared" si="9"/>
        <v/>
      </c>
      <c r="AA131" s="37" t="str">
        <f t="shared" si="10"/>
        <v/>
      </c>
      <c r="AB131" s="28">
        <f t="shared" si="11"/>
        <v>1.62</v>
      </c>
      <c r="AC131" s="37"/>
      <c r="AD131" s="38">
        <f t="shared" si="12"/>
        <v>5</v>
      </c>
      <c r="AE131" t="str">
        <f>IFERROR(F131&amp;"*"&amp;ROUND(L131*(G131/$AN131)/VLOOKUP(F131,商品!$A$4:$D$67,4,FALSE),0),"")</f>
        <v/>
      </c>
      <c r="AF131" t="str">
        <f>IFERROR(H131&amp;"*"&amp;ROUND(L131*(I131/$AN131)/VLOOKUP(H131,商品!$A$4:$D$67,4,FALSE),0),"")</f>
        <v/>
      </c>
      <c r="AG131" t="str">
        <f>IFERROR(J131&amp;"*"&amp;ROUND(L131*(K131/$AN131)/VLOOKUP(J131,商品!$A$4:$D$67,4,FALSE),0),"")</f>
        <v/>
      </c>
      <c r="AH131" t="str">
        <f>IFERROR(M131&amp;"*"&amp;ROUND(S131*(N131/$AO131)/VLOOKUP(M131,职业!$A$3:$E$16,4,FALSE),0),"")</f>
        <v/>
      </c>
      <c r="AI131" t="str">
        <f>IFERROR(O131&amp;"*"&amp;ROUND(S131*(P131/$AO131)/VLOOKUP(O131,职业!$A$3:$E$16,4,FALSE),0),"")</f>
        <v/>
      </c>
      <c r="AK131" t="str">
        <f>IFERROR(T131&amp;"*"&amp;ROUND(X131*(U131/$AP131)/VLOOKUP(T131,商品!$A$4:$D$67,4,FALSE),0),"")</f>
        <v/>
      </c>
      <c r="AL131" t="str">
        <f>IFERROR(V131&amp;"*"&amp;ROUND(X131*(W131/$AP131)/VLOOKUP(V131,商品!$A$4:$D$67,4,FALSE),0),"")</f>
        <v/>
      </c>
      <c r="AN131">
        <f t="shared" si="13"/>
        <v>0</v>
      </c>
      <c r="AO131">
        <f t="shared" si="14"/>
        <v>0</v>
      </c>
      <c r="AP131">
        <f t="shared" si="15"/>
        <v>0</v>
      </c>
    </row>
    <row r="132" customHeight="1" spans="1:42">
      <c r="A132" s="18" t="s">
        <v>313</v>
      </c>
      <c r="C132" s="18">
        <v>1</v>
      </c>
      <c r="D132" s="1" t="s">
        <v>293</v>
      </c>
      <c r="E132" s="1" t="s">
        <v>227</v>
      </c>
      <c r="L132" s="1">
        <f>IFERROR(VLOOKUP($D132&amp;$C132,生产方式定位!$A$2:$E$38,2,FALSE)+VLOOKUP($E132&amp;$C132,生产方式定位!$F$3:$J$38,2,FALSE),0)</f>
        <v>0</v>
      </c>
      <c r="S132" s="1">
        <f>IFERROR(VLOOKUP($D132&amp;$C132,生产方式定位!$A$2:$E$38,3,FALSE)+VLOOKUP($E132&amp;$C132,生产方式定位!$F$3:$J$38,3,FALSE),0)</f>
        <v>0</v>
      </c>
      <c r="X132" s="1">
        <f>IFERROR(VLOOKUP($D132&amp;$C132,生产方式定位!$A$2:$E$38,5,FALSE)+VLOOKUP($E132&amp;$C132,生产方式定位!$F$3:$J$38,5,FALSE),"错误")</f>
        <v>0</v>
      </c>
      <c r="Y132" s="27" t="str">
        <f t="shared" si="8"/>
        <v/>
      </c>
      <c r="Z132" s="37" t="str">
        <f t="shared" si="9"/>
        <v/>
      </c>
      <c r="AA132" s="37" t="str">
        <f t="shared" si="10"/>
        <v/>
      </c>
      <c r="AB132" s="28" t="str">
        <f t="shared" si="11"/>
        <v/>
      </c>
      <c r="AC132" s="37"/>
      <c r="AD132" s="38">
        <f t="shared" si="12"/>
        <v>1</v>
      </c>
      <c r="AE132" t="str">
        <f>IFERROR(F132&amp;"*"&amp;ROUND(L132*(G132/$AN132)/VLOOKUP(F132,商品!$A$4:$D$67,4,FALSE),0),"")</f>
        <v/>
      </c>
      <c r="AF132" t="str">
        <f>IFERROR(H132&amp;"*"&amp;ROUND(L132*(I132/$AN132)/VLOOKUP(H132,商品!$A$4:$D$67,4,FALSE),0),"")</f>
        <v/>
      </c>
      <c r="AG132" t="str">
        <f>IFERROR(J132&amp;"*"&amp;ROUND(L132*(K132/$AN132)/VLOOKUP(J132,商品!$A$4:$D$67,4,FALSE),0),"")</f>
        <v/>
      </c>
      <c r="AH132" t="str">
        <f>IFERROR(M132&amp;"*"&amp;ROUND(S132*(N132/$AO132)/VLOOKUP(M132,职业!$A$3:$E$16,4,FALSE),0),"")</f>
        <v/>
      </c>
      <c r="AI132" t="str">
        <f>IFERROR(O132&amp;"*"&amp;ROUND(S132*(P132/$AO132)/VLOOKUP(O132,职业!$A$3:$E$16,4,FALSE),0),"")</f>
        <v/>
      </c>
      <c r="AK132" t="str">
        <f>IFERROR(T132&amp;"*"&amp;ROUND(X132*(U132/$AP132)/VLOOKUP(T132,商品!$A$4:$D$67,4,FALSE),0),"")</f>
        <v/>
      </c>
      <c r="AL132" t="str">
        <f>IFERROR(V132&amp;"*"&amp;ROUND(X132*(W132/$AP132)/VLOOKUP(V132,商品!$A$4:$D$67,4,FALSE),0),"")</f>
        <v/>
      </c>
      <c r="AN132">
        <f t="shared" si="13"/>
        <v>0</v>
      </c>
      <c r="AO132">
        <f t="shared" si="14"/>
        <v>0</v>
      </c>
      <c r="AP132">
        <f t="shared" si="15"/>
        <v>0</v>
      </c>
    </row>
    <row r="133" customHeight="1" spans="1:42">
      <c r="A133" s="18" t="s">
        <v>313</v>
      </c>
      <c r="C133" s="18">
        <v>2</v>
      </c>
      <c r="D133" s="1" t="s">
        <v>293</v>
      </c>
      <c r="E133" s="1" t="s">
        <v>227</v>
      </c>
      <c r="L133" s="1">
        <f>IFERROR(VLOOKUP($D133&amp;$C133,生产方式定位!$A$2:$E$38,2,FALSE)+VLOOKUP($E133&amp;$C133,生产方式定位!$F$3:$J$38,2,FALSE),0)</f>
        <v>0</v>
      </c>
      <c r="S133" s="1">
        <f>IFERROR(VLOOKUP($D133&amp;$C133,生产方式定位!$A$2:$E$38,3,FALSE)+VLOOKUP($E133&amp;$C133,生产方式定位!$F$3:$J$38,3,FALSE),0)</f>
        <v>0</v>
      </c>
      <c r="X133" s="1">
        <f>IFERROR(VLOOKUP($D133&amp;$C133,生产方式定位!$A$2:$E$38,5,FALSE)+VLOOKUP($E133&amp;$C133,生产方式定位!$F$3:$J$38,5,FALSE),"错误")</f>
        <v>0</v>
      </c>
      <c r="Y133" s="27" t="str">
        <f t="shared" ref="Y133:Y196" si="16">IF(AE133="","",AE133)&amp;IF(AF133="","",","&amp;AF133)&amp;IF(AG133="","",","&amp;AG133)</f>
        <v/>
      </c>
      <c r="Z133" s="37" t="str">
        <f t="shared" ref="Z133:Z196" si="17">IF(AH133="","",AH133)&amp;IF(AI133="","",","&amp;AI133)</f>
        <v/>
      </c>
      <c r="AA133" s="37" t="str">
        <f t="shared" ref="AA133:AA196" si="18">IF(AK133="","",AK133)&amp;IF(AL133="","",","&amp;AL133)</f>
        <v/>
      </c>
      <c r="AB133" s="28" t="str">
        <f t="shared" ref="AB133:AB196" si="19">IFERROR(ROUND(L133/X133,2),"")</f>
        <v/>
      </c>
      <c r="AC133" s="37"/>
      <c r="AD133" s="38">
        <f t="shared" ref="AD133:AD196" si="20">C133</f>
        <v>2</v>
      </c>
      <c r="AE133" t="str">
        <f>IFERROR(F133&amp;"*"&amp;ROUND(L133*(G133/$AN133)/VLOOKUP(F133,商品!$A$4:$D$67,4,FALSE),0),"")</f>
        <v/>
      </c>
      <c r="AF133" t="str">
        <f>IFERROR(H133&amp;"*"&amp;ROUND(L133*(I133/$AN133)/VLOOKUP(H133,商品!$A$4:$D$67,4,FALSE),0),"")</f>
        <v/>
      </c>
      <c r="AG133" t="str">
        <f>IFERROR(J133&amp;"*"&amp;ROUND(L133*(K133/$AN133)/VLOOKUP(J133,商品!$A$4:$D$67,4,FALSE),0),"")</f>
        <v/>
      </c>
      <c r="AH133" t="str">
        <f>IFERROR(M133&amp;"*"&amp;ROUND(S133*(N133/$AO133)/VLOOKUP(M133,职业!$A$3:$E$16,4,FALSE),0),"")</f>
        <v/>
      </c>
      <c r="AI133" t="str">
        <f>IFERROR(O133&amp;"*"&amp;ROUND(S133*(P133/$AO133)/VLOOKUP(O133,职业!$A$3:$E$16,4,FALSE),0),"")</f>
        <v/>
      </c>
      <c r="AK133" t="str">
        <f>IFERROR(T133&amp;"*"&amp;ROUND(X133*(U133/$AP133)/VLOOKUP(T133,商品!$A$4:$D$67,4,FALSE),0),"")</f>
        <v/>
      </c>
      <c r="AL133" t="str">
        <f>IFERROR(V133&amp;"*"&amp;ROUND(X133*(W133/$AP133)/VLOOKUP(V133,商品!$A$4:$D$67,4,FALSE),0),"")</f>
        <v/>
      </c>
      <c r="AN133">
        <f t="shared" si="13"/>
        <v>0</v>
      </c>
      <c r="AO133">
        <f t="shared" si="14"/>
        <v>0</v>
      </c>
      <c r="AP133">
        <f t="shared" si="15"/>
        <v>0</v>
      </c>
    </row>
    <row r="134" customHeight="1" spans="1:42">
      <c r="A134" s="18" t="s">
        <v>313</v>
      </c>
      <c r="C134" s="18">
        <v>3</v>
      </c>
      <c r="D134" s="1" t="s">
        <v>293</v>
      </c>
      <c r="E134" s="1" t="s">
        <v>227</v>
      </c>
      <c r="L134" s="1">
        <f>IFERROR(VLOOKUP($D134&amp;$C134,生产方式定位!$A$2:$E$38,2,FALSE)+VLOOKUP($E134&amp;$C134,生产方式定位!$F$3:$J$38,2,FALSE),0)</f>
        <v>0</v>
      </c>
      <c r="S134" s="1">
        <f>IFERROR(VLOOKUP($D134&amp;$C134,生产方式定位!$A$2:$E$38,3,FALSE)+VLOOKUP($E134&amp;$C134,生产方式定位!$F$3:$J$38,3,FALSE),0)</f>
        <v>0</v>
      </c>
      <c r="X134" s="1">
        <f>IFERROR(VLOOKUP($D134&amp;$C134,生产方式定位!$A$2:$E$38,5,FALSE)+VLOOKUP($E134&amp;$C134,生产方式定位!$F$3:$J$38,5,FALSE),"错误")</f>
        <v>0</v>
      </c>
      <c r="Y134" s="27" t="str">
        <f t="shared" si="16"/>
        <v/>
      </c>
      <c r="Z134" s="37" t="str">
        <f t="shared" si="17"/>
        <v/>
      </c>
      <c r="AA134" s="37" t="str">
        <f t="shared" si="18"/>
        <v/>
      </c>
      <c r="AB134" s="28" t="str">
        <f t="shared" si="19"/>
        <v/>
      </c>
      <c r="AC134" s="37"/>
      <c r="AD134" s="38">
        <f t="shared" si="20"/>
        <v>3</v>
      </c>
      <c r="AE134" t="str">
        <f>IFERROR(F134&amp;"*"&amp;ROUND(L134*(G134/$AN134)/VLOOKUP(F134,商品!$A$4:$D$67,4,FALSE),0),"")</f>
        <v/>
      </c>
      <c r="AF134" t="str">
        <f>IFERROR(H134&amp;"*"&amp;ROUND(L134*(I134/$AN134)/VLOOKUP(H134,商品!$A$4:$D$67,4,FALSE),0),"")</f>
        <v/>
      </c>
      <c r="AG134" t="str">
        <f>IFERROR(J134&amp;"*"&amp;ROUND(L134*(K134/$AN134)/VLOOKUP(J134,商品!$A$4:$D$67,4,FALSE),0),"")</f>
        <v/>
      </c>
      <c r="AH134" t="str">
        <f>IFERROR(M134&amp;"*"&amp;ROUND(S134*(N134/$AO134)/VLOOKUP(M134,职业!$A$3:$E$16,4,FALSE),0),"")</f>
        <v/>
      </c>
      <c r="AI134" t="str">
        <f>IFERROR(O134&amp;"*"&amp;ROUND(S134*(P134/$AO134)/VLOOKUP(O134,职业!$A$3:$E$16,4,FALSE),0),"")</f>
        <v/>
      </c>
      <c r="AK134" t="str">
        <f>IFERROR(T134&amp;"*"&amp;ROUND(X134*(U134/$AP134)/VLOOKUP(T134,商品!$A$4:$D$67,4,FALSE),0),"")</f>
        <v/>
      </c>
      <c r="AL134" t="str">
        <f>IFERROR(V134&amp;"*"&amp;ROUND(X134*(W134/$AP134)/VLOOKUP(V134,商品!$A$4:$D$67,4,FALSE),0),"")</f>
        <v/>
      </c>
      <c r="AN134">
        <f t="shared" ref="AN134:AN197" si="21">G134+I134+K134</f>
        <v>0</v>
      </c>
      <c r="AO134">
        <f t="shared" ref="AO134:AO197" si="22">N134+P134+R134</f>
        <v>0</v>
      </c>
      <c r="AP134">
        <f t="shared" ref="AP134:AP197" si="23">U134+W134</f>
        <v>0</v>
      </c>
    </row>
    <row r="135" customHeight="1" spans="1:42">
      <c r="A135" s="18" t="s">
        <v>313</v>
      </c>
      <c r="C135" s="18">
        <v>4</v>
      </c>
      <c r="D135" s="1" t="s">
        <v>293</v>
      </c>
      <c r="E135" s="1" t="s">
        <v>227</v>
      </c>
      <c r="L135" s="1">
        <f>IFERROR(VLOOKUP($D135&amp;$C135,生产方式定位!$A$2:$E$38,2,FALSE)+VLOOKUP($E135&amp;$C135,生产方式定位!$F$3:$J$38,2,FALSE),0)</f>
        <v>0</v>
      </c>
      <c r="S135" s="1">
        <f>IFERROR(VLOOKUP($D135&amp;$C135,生产方式定位!$A$2:$E$38,3,FALSE)+VLOOKUP($E135&amp;$C135,生产方式定位!$F$3:$J$38,3,FALSE),0)</f>
        <v>0</v>
      </c>
      <c r="X135" s="1">
        <f>IFERROR(VLOOKUP($D135&amp;$C135,生产方式定位!$A$2:$E$38,5,FALSE)+VLOOKUP($E135&amp;$C135,生产方式定位!$F$3:$J$38,5,FALSE),"错误")</f>
        <v>0</v>
      </c>
      <c r="Y135" s="27" t="str">
        <f t="shared" si="16"/>
        <v/>
      </c>
      <c r="Z135" s="37" t="str">
        <f t="shared" si="17"/>
        <v/>
      </c>
      <c r="AA135" s="37" t="str">
        <f t="shared" si="18"/>
        <v/>
      </c>
      <c r="AB135" s="28" t="str">
        <f t="shared" si="19"/>
        <v/>
      </c>
      <c r="AC135" s="37"/>
      <c r="AD135" s="38">
        <f t="shared" si="20"/>
        <v>4</v>
      </c>
      <c r="AE135" t="str">
        <f>IFERROR(F135&amp;"*"&amp;ROUND(L135*(G135/$AN135)/VLOOKUP(F135,商品!$A$4:$D$67,4,FALSE),0),"")</f>
        <v/>
      </c>
      <c r="AF135" t="str">
        <f>IFERROR(H135&amp;"*"&amp;ROUND(L135*(I135/$AN135)/VLOOKUP(H135,商品!$A$4:$D$67,4,FALSE),0),"")</f>
        <v/>
      </c>
      <c r="AG135" t="str">
        <f>IFERROR(J135&amp;"*"&amp;ROUND(L135*(K135/$AN135)/VLOOKUP(J135,商品!$A$4:$D$67,4,FALSE),0),"")</f>
        <v/>
      </c>
      <c r="AH135" t="str">
        <f>IFERROR(M135&amp;"*"&amp;ROUND(S135*(N135/$AO135)/VLOOKUP(M135,职业!$A$3:$E$16,4,FALSE),0),"")</f>
        <v/>
      </c>
      <c r="AI135" t="str">
        <f>IFERROR(O135&amp;"*"&amp;ROUND(S135*(P135/$AO135)/VLOOKUP(O135,职业!$A$3:$E$16,4,FALSE),0),"")</f>
        <v/>
      </c>
      <c r="AK135" t="str">
        <f>IFERROR(T135&amp;"*"&amp;ROUND(X135*(U135/$AP135)/VLOOKUP(T135,商品!$A$4:$D$67,4,FALSE),0),"")</f>
        <v/>
      </c>
      <c r="AL135" t="str">
        <f>IFERROR(V135&amp;"*"&amp;ROUND(X135*(W135/$AP135)/VLOOKUP(V135,商品!$A$4:$D$67,4,FALSE),0),"")</f>
        <v/>
      </c>
      <c r="AN135">
        <f t="shared" si="21"/>
        <v>0</v>
      </c>
      <c r="AO135">
        <f t="shared" si="22"/>
        <v>0</v>
      </c>
      <c r="AP135">
        <f t="shared" si="23"/>
        <v>0</v>
      </c>
    </row>
    <row r="136" customHeight="1" spans="1:42">
      <c r="A136" s="18" t="s">
        <v>313</v>
      </c>
      <c r="C136" s="18">
        <v>5</v>
      </c>
      <c r="D136" s="1" t="s">
        <v>293</v>
      </c>
      <c r="E136" s="1" t="s">
        <v>227</v>
      </c>
      <c r="L136" s="1">
        <f>IFERROR(VLOOKUP($D136&amp;$C136,生产方式定位!$A$2:$E$38,2,FALSE)+VLOOKUP($E136&amp;$C136,生产方式定位!$F$3:$J$38,2,FALSE),0)</f>
        <v>0</v>
      </c>
      <c r="S136" s="1">
        <f>IFERROR(VLOOKUP($D136&amp;$C136,生产方式定位!$A$2:$E$38,3,FALSE)+VLOOKUP($E136&amp;$C136,生产方式定位!$F$3:$J$38,3,FALSE),0)</f>
        <v>0</v>
      </c>
      <c r="X136" s="1">
        <f>IFERROR(VLOOKUP($D136&amp;$C136,生产方式定位!$A$2:$E$38,5,FALSE)+VLOOKUP($E136&amp;$C136,生产方式定位!$F$3:$J$38,5,FALSE),"错误")</f>
        <v>0</v>
      </c>
      <c r="Y136" s="27" t="str">
        <f t="shared" si="16"/>
        <v/>
      </c>
      <c r="Z136" s="37" t="str">
        <f t="shared" si="17"/>
        <v/>
      </c>
      <c r="AA136" s="37" t="str">
        <f t="shared" si="18"/>
        <v/>
      </c>
      <c r="AB136" s="28" t="str">
        <f t="shared" si="19"/>
        <v/>
      </c>
      <c r="AC136" s="37"/>
      <c r="AD136" s="38">
        <f t="shared" si="20"/>
        <v>5</v>
      </c>
      <c r="AE136" t="str">
        <f>IFERROR(F136&amp;"*"&amp;ROUND(L136*(G136/$AN136)/VLOOKUP(F136,商品!$A$4:$D$67,4,FALSE),0),"")</f>
        <v/>
      </c>
      <c r="AF136" t="str">
        <f>IFERROR(H136&amp;"*"&amp;ROUND(L136*(I136/$AN136)/VLOOKUP(H136,商品!$A$4:$D$67,4,FALSE),0),"")</f>
        <v/>
      </c>
      <c r="AG136" t="str">
        <f>IFERROR(J136&amp;"*"&amp;ROUND(L136*(K136/$AN136)/VLOOKUP(J136,商品!$A$4:$D$67,4,FALSE),0),"")</f>
        <v/>
      </c>
      <c r="AH136" t="str">
        <f>IFERROR(M136&amp;"*"&amp;ROUND(S136*(N136/$AO136)/VLOOKUP(M136,职业!$A$3:$E$16,4,FALSE),0),"")</f>
        <v/>
      </c>
      <c r="AI136" t="str">
        <f>IFERROR(O136&amp;"*"&amp;ROUND(S136*(P136/$AO136)/VLOOKUP(O136,职业!$A$3:$E$16,4,FALSE),0),"")</f>
        <v/>
      </c>
      <c r="AK136" t="str">
        <f>IFERROR(T136&amp;"*"&amp;ROUND(X136*(U136/$AP136)/VLOOKUP(T136,商品!$A$4:$D$67,4,FALSE),0),"")</f>
        <v/>
      </c>
      <c r="AL136" t="str">
        <f>IFERROR(V136&amp;"*"&amp;ROUND(X136*(W136/$AP136)/VLOOKUP(V136,商品!$A$4:$D$67,4,FALSE),0),"")</f>
        <v/>
      </c>
      <c r="AN136">
        <f t="shared" si="21"/>
        <v>0</v>
      </c>
      <c r="AO136">
        <f t="shared" si="22"/>
        <v>0</v>
      </c>
      <c r="AP136">
        <f t="shared" si="23"/>
        <v>0</v>
      </c>
    </row>
    <row r="137" customHeight="1" spans="1:42">
      <c r="A137" s="18" t="s">
        <v>313</v>
      </c>
      <c r="C137" s="18">
        <v>6</v>
      </c>
      <c r="D137" s="1" t="s">
        <v>293</v>
      </c>
      <c r="E137" s="1" t="s">
        <v>227</v>
      </c>
      <c r="L137" s="1">
        <f>IFERROR(VLOOKUP($D137&amp;$C137,生产方式定位!$A$2:$E$38,2,FALSE)+VLOOKUP($E137&amp;$C137,生产方式定位!$F$3:$J$38,2,FALSE),0)</f>
        <v>0</v>
      </c>
      <c r="S137" s="1">
        <f>IFERROR(VLOOKUP($D137&amp;$C137,生产方式定位!$A$2:$E$38,3,FALSE)+VLOOKUP($E137&amp;$C137,生产方式定位!$F$3:$J$38,3,FALSE),0)</f>
        <v>0</v>
      </c>
      <c r="X137" s="1">
        <f>IFERROR(VLOOKUP($D137&amp;$C137,生产方式定位!$A$2:$E$38,5,FALSE)+VLOOKUP($E137&amp;$C137,生产方式定位!$F$3:$J$38,5,FALSE),"错误")</f>
        <v>0</v>
      </c>
      <c r="Y137" s="27" t="str">
        <f t="shared" si="16"/>
        <v/>
      </c>
      <c r="Z137" s="37" t="str">
        <f t="shared" si="17"/>
        <v/>
      </c>
      <c r="AA137" s="37" t="str">
        <f t="shared" si="18"/>
        <v/>
      </c>
      <c r="AB137" s="28" t="str">
        <f t="shared" si="19"/>
        <v/>
      </c>
      <c r="AC137" s="37"/>
      <c r="AD137" s="38">
        <f t="shared" si="20"/>
        <v>6</v>
      </c>
      <c r="AE137" t="str">
        <f>IFERROR(F137&amp;"*"&amp;ROUND(L137*(G137/$AN137)/VLOOKUP(F137,商品!$A$4:$D$67,4,FALSE),0),"")</f>
        <v/>
      </c>
      <c r="AF137" t="str">
        <f>IFERROR(H137&amp;"*"&amp;ROUND(L137*(I137/$AN137)/VLOOKUP(H137,商品!$A$4:$D$67,4,FALSE),0),"")</f>
        <v/>
      </c>
      <c r="AG137" t="str">
        <f>IFERROR(J137&amp;"*"&amp;ROUND(L137*(K137/$AN137)/VLOOKUP(J137,商品!$A$4:$D$67,4,FALSE),0),"")</f>
        <v/>
      </c>
      <c r="AH137" t="str">
        <f>IFERROR(M137&amp;"*"&amp;ROUND(S137*(N137/$AO137)/VLOOKUP(M137,职业!$A$3:$E$16,4,FALSE),0),"")</f>
        <v/>
      </c>
      <c r="AI137" t="str">
        <f>IFERROR(O137&amp;"*"&amp;ROUND(S137*(P137/$AO137)/VLOOKUP(O137,职业!$A$3:$E$16,4,FALSE),0),"")</f>
        <v/>
      </c>
      <c r="AK137" t="str">
        <f>IFERROR(T137&amp;"*"&amp;ROUND(X137*(U137/$AP137)/VLOOKUP(T137,商品!$A$4:$D$67,4,FALSE),0),"")</f>
        <v/>
      </c>
      <c r="AL137" t="str">
        <f>IFERROR(V137&amp;"*"&amp;ROUND(X137*(W137/$AP137)/VLOOKUP(V137,商品!$A$4:$D$67,4,FALSE),0),"")</f>
        <v/>
      </c>
      <c r="AN137">
        <f t="shared" si="21"/>
        <v>0</v>
      </c>
      <c r="AO137">
        <f t="shared" si="22"/>
        <v>0</v>
      </c>
      <c r="AP137">
        <f t="shared" si="23"/>
        <v>0</v>
      </c>
    </row>
    <row r="138" customHeight="1" spans="1:42">
      <c r="A138" s="18" t="s">
        <v>313</v>
      </c>
      <c r="C138" s="18">
        <v>7</v>
      </c>
      <c r="D138" s="1" t="s">
        <v>293</v>
      </c>
      <c r="E138" s="1" t="s">
        <v>227</v>
      </c>
      <c r="L138" s="1">
        <f>IFERROR(VLOOKUP($D138&amp;$C138,生产方式定位!$A$2:$E$38,2,FALSE)+VLOOKUP($E138&amp;$C138,生产方式定位!$F$3:$J$38,2,FALSE),0)</f>
        <v>0</v>
      </c>
      <c r="S138" s="1">
        <f>IFERROR(VLOOKUP($D138&amp;$C138,生产方式定位!$A$2:$E$38,3,FALSE)+VLOOKUP($E138&amp;$C138,生产方式定位!$F$3:$J$38,3,FALSE),0)</f>
        <v>0</v>
      </c>
      <c r="X138" s="1">
        <f>IFERROR(VLOOKUP($D138&amp;$C138,生产方式定位!$A$2:$E$38,5,FALSE)+VLOOKUP($E138&amp;$C138,生产方式定位!$F$3:$J$38,5,FALSE),"错误")</f>
        <v>0</v>
      </c>
      <c r="Y138" s="27" t="str">
        <f t="shared" si="16"/>
        <v/>
      </c>
      <c r="Z138" s="37" t="str">
        <f t="shared" si="17"/>
        <v/>
      </c>
      <c r="AA138" s="37" t="str">
        <f t="shared" si="18"/>
        <v/>
      </c>
      <c r="AB138" s="28" t="str">
        <f t="shared" si="19"/>
        <v/>
      </c>
      <c r="AC138" s="37"/>
      <c r="AD138" s="38">
        <f t="shared" si="20"/>
        <v>7</v>
      </c>
      <c r="AE138" t="str">
        <f>IFERROR(F138&amp;"*"&amp;ROUND(L138*(G138/$AN138)/VLOOKUP(F138,商品!$A$4:$D$67,4,FALSE),0),"")</f>
        <v/>
      </c>
      <c r="AF138" t="str">
        <f>IFERROR(H138&amp;"*"&amp;ROUND(L138*(I138/$AN138)/VLOOKUP(H138,商品!$A$4:$D$67,4,FALSE),0),"")</f>
        <v/>
      </c>
      <c r="AG138" t="str">
        <f>IFERROR(J138&amp;"*"&amp;ROUND(L138*(K138/$AN138)/VLOOKUP(J138,商品!$A$4:$D$67,4,FALSE),0),"")</f>
        <v/>
      </c>
      <c r="AH138" t="str">
        <f>IFERROR(M138&amp;"*"&amp;ROUND(S138*(N138/$AO138)/VLOOKUP(M138,职业!$A$3:$E$16,4,FALSE),0),"")</f>
        <v/>
      </c>
      <c r="AI138" t="str">
        <f>IFERROR(O138&amp;"*"&amp;ROUND(S138*(P138/$AO138)/VLOOKUP(O138,职业!$A$3:$E$16,4,FALSE),0),"")</f>
        <v/>
      </c>
      <c r="AK138" t="str">
        <f>IFERROR(T138&amp;"*"&amp;ROUND(X138*(U138/$AP138)/VLOOKUP(T138,商品!$A$4:$D$67,4,FALSE),0),"")</f>
        <v/>
      </c>
      <c r="AL138" t="str">
        <f>IFERROR(V138&amp;"*"&amp;ROUND(X138*(W138/$AP138)/VLOOKUP(V138,商品!$A$4:$D$67,4,FALSE),0),"")</f>
        <v/>
      </c>
      <c r="AN138">
        <f t="shared" si="21"/>
        <v>0</v>
      </c>
      <c r="AO138">
        <f t="shared" si="22"/>
        <v>0</v>
      </c>
      <c r="AP138">
        <f t="shared" si="23"/>
        <v>0</v>
      </c>
    </row>
    <row r="139" customHeight="1" spans="1:42">
      <c r="A139" s="18" t="s">
        <v>313</v>
      </c>
      <c r="C139" s="18">
        <v>8</v>
      </c>
      <c r="D139" s="1" t="s">
        <v>293</v>
      </c>
      <c r="E139" s="1" t="s">
        <v>227</v>
      </c>
      <c r="L139" s="1">
        <f>IFERROR(VLOOKUP($D139&amp;$C139,生产方式定位!$A$2:$E$38,2,FALSE)+VLOOKUP($E139&amp;$C139,生产方式定位!$F$3:$J$38,2,FALSE),0)</f>
        <v>0</v>
      </c>
      <c r="S139" s="1">
        <f>IFERROR(VLOOKUP($D139&amp;$C139,生产方式定位!$A$2:$E$38,3,FALSE)+VLOOKUP($E139&amp;$C139,生产方式定位!$F$3:$J$38,3,FALSE),0)</f>
        <v>0</v>
      </c>
      <c r="X139" s="1">
        <f>IFERROR(VLOOKUP($D139&amp;$C139,生产方式定位!$A$2:$E$38,5,FALSE)+VLOOKUP($E139&amp;$C139,生产方式定位!$F$3:$J$38,5,FALSE),"错误")</f>
        <v>0</v>
      </c>
      <c r="Y139" s="27" t="str">
        <f t="shared" si="16"/>
        <v/>
      </c>
      <c r="Z139" s="37" t="str">
        <f t="shared" si="17"/>
        <v/>
      </c>
      <c r="AA139" s="37" t="str">
        <f t="shared" si="18"/>
        <v/>
      </c>
      <c r="AB139" s="28" t="str">
        <f t="shared" si="19"/>
        <v/>
      </c>
      <c r="AC139" s="37"/>
      <c r="AD139" s="38">
        <f t="shared" si="20"/>
        <v>8</v>
      </c>
      <c r="AE139" t="str">
        <f>IFERROR(F139&amp;"*"&amp;ROUND(L139*(G139/$AN139)/VLOOKUP(F139,商品!$A$4:$D$67,4,FALSE),0),"")</f>
        <v/>
      </c>
      <c r="AF139" t="str">
        <f>IFERROR(H139&amp;"*"&amp;ROUND(L139*(I139/$AN139)/VLOOKUP(H139,商品!$A$4:$D$67,4,FALSE),0),"")</f>
        <v/>
      </c>
      <c r="AG139" t="str">
        <f>IFERROR(J139&amp;"*"&amp;ROUND(L139*(K139/$AN139)/VLOOKUP(J139,商品!$A$4:$D$67,4,FALSE),0),"")</f>
        <v/>
      </c>
      <c r="AH139" t="str">
        <f>IFERROR(M139&amp;"*"&amp;ROUND(S139*(N139/$AO139)/VLOOKUP(M139,职业!$A$3:$E$16,4,FALSE),0),"")</f>
        <v/>
      </c>
      <c r="AI139" t="str">
        <f>IFERROR(O139&amp;"*"&amp;ROUND(S139*(P139/$AO139)/VLOOKUP(O139,职业!$A$3:$E$16,4,FALSE),0),"")</f>
        <v/>
      </c>
      <c r="AK139" t="str">
        <f>IFERROR(T139&amp;"*"&amp;ROUND(X139*(U139/$AP139)/VLOOKUP(T139,商品!$A$4:$D$67,4,FALSE),0),"")</f>
        <v/>
      </c>
      <c r="AL139" t="str">
        <f>IFERROR(V139&amp;"*"&amp;ROUND(X139*(W139/$AP139)/VLOOKUP(V139,商品!$A$4:$D$67,4,FALSE),0),"")</f>
        <v/>
      </c>
      <c r="AN139">
        <f t="shared" si="21"/>
        <v>0</v>
      </c>
      <c r="AO139">
        <f t="shared" si="22"/>
        <v>0</v>
      </c>
      <c r="AP139">
        <f t="shared" si="23"/>
        <v>0</v>
      </c>
    </row>
    <row r="140" customHeight="1" spans="1:42">
      <c r="A140" s="5" t="s">
        <v>315</v>
      </c>
      <c r="C140" s="5">
        <v>1</v>
      </c>
      <c r="D140" s="1" t="s">
        <v>222</v>
      </c>
      <c r="E140" s="1" t="s">
        <v>224</v>
      </c>
      <c r="L140" s="1">
        <f>IFERROR(VLOOKUP($D140&amp;$C140,生产方式定位!$A$2:$E$38,2,FALSE)+VLOOKUP($E140&amp;$C140,生产方式定位!$F$3:$J$38,2,FALSE),0)</f>
        <v>0</v>
      </c>
      <c r="S140" s="1">
        <f>IFERROR(VLOOKUP($D140&amp;$C140,生产方式定位!$A$2:$E$38,3,FALSE)+VLOOKUP($E140&amp;$C140,生产方式定位!$F$3:$J$38,3,FALSE),0)</f>
        <v>500</v>
      </c>
      <c r="X140" s="1">
        <f>IFERROR(VLOOKUP($D140&amp;$C140,生产方式定位!$A$2:$E$38,5,FALSE)+VLOOKUP($E140&amp;$C140,生产方式定位!$F$3:$J$38,5,FALSE),"错误")</f>
        <v>250</v>
      </c>
      <c r="Y140" s="27" t="str">
        <f t="shared" si="16"/>
        <v/>
      </c>
      <c r="Z140" s="37" t="str">
        <f t="shared" si="17"/>
        <v/>
      </c>
      <c r="AA140" s="37" t="str">
        <f t="shared" si="18"/>
        <v/>
      </c>
      <c r="AB140" s="28">
        <f t="shared" si="19"/>
        <v>0</v>
      </c>
      <c r="AC140" s="37"/>
      <c r="AD140" s="38">
        <f t="shared" si="20"/>
        <v>1</v>
      </c>
      <c r="AE140" t="str">
        <f>IFERROR(F140&amp;"*"&amp;ROUND(L140*(G140/$AN140)/VLOOKUP(F140,商品!$A$4:$D$67,4,FALSE),0),"")</f>
        <v/>
      </c>
      <c r="AF140" t="str">
        <f>IFERROR(H140&amp;"*"&amp;ROUND(L140*(I140/$AN140)/VLOOKUP(H140,商品!$A$4:$D$67,4,FALSE),0),"")</f>
        <v/>
      </c>
      <c r="AG140" t="str">
        <f>IFERROR(J140&amp;"*"&amp;ROUND(L140*(K140/$AN140)/VLOOKUP(J140,商品!$A$4:$D$67,4,FALSE),0),"")</f>
        <v/>
      </c>
      <c r="AH140" t="str">
        <f>IFERROR(M140&amp;"*"&amp;ROUND(S140*(N140/$AO140)/VLOOKUP(M140,职业!$A$3:$E$16,4,FALSE),0),"")</f>
        <v/>
      </c>
      <c r="AI140" t="str">
        <f>IFERROR(O140&amp;"*"&amp;ROUND(S140*(P140/$AO140)/VLOOKUP(O140,职业!$A$3:$E$16,4,FALSE),0),"")</f>
        <v/>
      </c>
      <c r="AK140" t="str">
        <f>IFERROR(T140&amp;"*"&amp;ROUND(X140*(U140/$AP140)/VLOOKUP(T140,商品!$A$4:$D$67,4,FALSE),0),"")</f>
        <v/>
      </c>
      <c r="AL140" t="str">
        <f>IFERROR(V140&amp;"*"&amp;ROUND(X140*(W140/$AP140)/VLOOKUP(V140,商品!$A$4:$D$67,4,FALSE),0),"")</f>
        <v/>
      </c>
      <c r="AN140">
        <f t="shared" si="21"/>
        <v>0</v>
      </c>
      <c r="AO140">
        <f t="shared" si="22"/>
        <v>0</v>
      </c>
      <c r="AP140">
        <f t="shared" si="23"/>
        <v>0</v>
      </c>
    </row>
    <row r="141" customHeight="1" spans="1:42">
      <c r="A141" s="5" t="s">
        <v>315</v>
      </c>
      <c r="C141" s="5">
        <v>2</v>
      </c>
      <c r="D141" s="1" t="s">
        <v>222</v>
      </c>
      <c r="E141" s="1" t="s">
        <v>224</v>
      </c>
      <c r="L141" s="1">
        <f>IFERROR(VLOOKUP($D141&amp;$C141,生产方式定位!$A$2:$E$38,2,FALSE)+VLOOKUP($E141&amp;$C141,生产方式定位!$F$3:$J$38,2,FALSE),0)</f>
        <v>2200</v>
      </c>
      <c r="S141" s="1">
        <f>IFERROR(VLOOKUP($D141&amp;$C141,生产方式定位!$A$2:$E$38,3,FALSE)+VLOOKUP($E141&amp;$C141,生产方式定位!$F$3:$J$38,3,FALSE),0)</f>
        <v>750</v>
      </c>
      <c r="X141" s="1">
        <f>IFERROR(VLOOKUP($D141&amp;$C141,生产方式定位!$A$2:$E$38,5,FALSE)+VLOOKUP($E141&amp;$C141,生产方式定位!$F$3:$J$38,5,FALSE),"错误")</f>
        <v>1547</v>
      </c>
      <c r="Y141" s="27" t="str">
        <f t="shared" si="16"/>
        <v/>
      </c>
      <c r="Z141" s="37" t="str">
        <f t="shared" si="17"/>
        <v/>
      </c>
      <c r="AA141" s="37" t="str">
        <f t="shared" si="18"/>
        <v/>
      </c>
      <c r="AB141" s="28">
        <f t="shared" si="19"/>
        <v>1.42</v>
      </c>
      <c r="AC141" s="37"/>
      <c r="AD141" s="38">
        <f t="shared" si="20"/>
        <v>2</v>
      </c>
      <c r="AE141" t="str">
        <f>IFERROR(F141&amp;"*"&amp;ROUND(L141*(G141/$AN141)/VLOOKUP(F141,商品!$A$4:$D$67,4,FALSE),0),"")</f>
        <v/>
      </c>
      <c r="AF141" t="str">
        <f>IFERROR(H141&amp;"*"&amp;ROUND(L141*(I141/$AN141)/VLOOKUP(H141,商品!$A$4:$D$67,4,FALSE),0),"")</f>
        <v/>
      </c>
      <c r="AG141" t="str">
        <f>IFERROR(J141&amp;"*"&amp;ROUND(L141*(K141/$AN141)/VLOOKUP(J141,商品!$A$4:$D$67,4,FALSE),0),"")</f>
        <v/>
      </c>
      <c r="AH141" t="str">
        <f>IFERROR(M141&amp;"*"&amp;ROUND(S141*(N141/$AO141)/VLOOKUP(M141,职业!$A$3:$E$16,4,FALSE),0),"")</f>
        <v/>
      </c>
      <c r="AI141" t="str">
        <f>IFERROR(O141&amp;"*"&amp;ROUND(S141*(P141/$AO141)/VLOOKUP(O141,职业!$A$3:$E$16,4,FALSE),0),"")</f>
        <v/>
      </c>
      <c r="AK141" t="str">
        <f>IFERROR(T141&amp;"*"&amp;ROUND(X141*(U141/$AP141)/VLOOKUP(T141,商品!$A$4:$D$67,4,FALSE),0),"")</f>
        <v/>
      </c>
      <c r="AL141" t="str">
        <f>IFERROR(V141&amp;"*"&amp;ROUND(X141*(W141/$AP141)/VLOOKUP(V141,商品!$A$4:$D$67,4,FALSE),0),"")</f>
        <v/>
      </c>
      <c r="AN141">
        <f t="shared" si="21"/>
        <v>0</v>
      </c>
      <c r="AO141">
        <f t="shared" si="22"/>
        <v>0</v>
      </c>
      <c r="AP141">
        <f t="shared" si="23"/>
        <v>0</v>
      </c>
    </row>
    <row r="142" customHeight="1" spans="1:42">
      <c r="A142" s="5" t="s">
        <v>315</v>
      </c>
      <c r="C142" s="5">
        <v>3</v>
      </c>
      <c r="D142" s="1" t="s">
        <v>222</v>
      </c>
      <c r="E142" s="1" t="s">
        <v>224</v>
      </c>
      <c r="L142" s="1">
        <f>IFERROR(VLOOKUP($D142&amp;$C142,生产方式定位!$A$2:$E$38,2,FALSE)+VLOOKUP($E142&amp;$C142,生产方式定位!$F$3:$J$38,2,FALSE),0)</f>
        <v>3400</v>
      </c>
      <c r="S142" s="1">
        <f>IFERROR(VLOOKUP($D142&amp;$C142,生产方式定位!$A$2:$E$38,3,FALSE)+VLOOKUP($E142&amp;$C142,生产方式定位!$F$3:$J$38,3,FALSE),0)</f>
        <v>1000</v>
      </c>
      <c r="X142" s="1">
        <f>IFERROR(VLOOKUP($D142&amp;$C142,生产方式定位!$A$2:$E$38,5,FALSE)+VLOOKUP($E142&amp;$C142,生产方式定位!$F$3:$J$38,5,FALSE),"错误")</f>
        <v>2488</v>
      </c>
      <c r="Y142" s="27" t="str">
        <f t="shared" si="16"/>
        <v/>
      </c>
      <c r="Z142" s="37" t="str">
        <f t="shared" si="17"/>
        <v/>
      </c>
      <c r="AA142" s="37" t="str">
        <f t="shared" si="18"/>
        <v/>
      </c>
      <c r="AB142" s="28">
        <f t="shared" si="19"/>
        <v>1.37</v>
      </c>
      <c r="AC142" s="37"/>
      <c r="AD142" s="38">
        <f t="shared" si="20"/>
        <v>3</v>
      </c>
      <c r="AE142" t="str">
        <f>IFERROR(F142&amp;"*"&amp;ROUND(L142*(G142/$AN142)/VLOOKUP(F142,商品!$A$4:$D$67,4,FALSE),0),"")</f>
        <v/>
      </c>
      <c r="AF142" t="str">
        <f>IFERROR(H142&amp;"*"&amp;ROUND(L142*(I142/$AN142)/VLOOKUP(H142,商品!$A$4:$D$67,4,FALSE),0),"")</f>
        <v/>
      </c>
      <c r="AG142" t="str">
        <f>IFERROR(J142&amp;"*"&amp;ROUND(L142*(K142/$AN142)/VLOOKUP(J142,商品!$A$4:$D$67,4,FALSE),0),"")</f>
        <v/>
      </c>
      <c r="AH142" t="str">
        <f>IFERROR(M142&amp;"*"&amp;ROUND(S142*(N142/$AO142)/VLOOKUP(M142,职业!$A$3:$E$16,4,FALSE),0),"")</f>
        <v/>
      </c>
      <c r="AI142" t="str">
        <f>IFERROR(O142&amp;"*"&amp;ROUND(S142*(P142/$AO142)/VLOOKUP(O142,职业!$A$3:$E$16,4,FALSE),0),"")</f>
        <v/>
      </c>
      <c r="AK142" t="str">
        <f>IFERROR(T142&amp;"*"&amp;ROUND(X142*(U142/$AP142)/VLOOKUP(T142,商品!$A$4:$D$67,4,FALSE),0),"")</f>
        <v/>
      </c>
      <c r="AL142" t="str">
        <f>IFERROR(V142&amp;"*"&amp;ROUND(X142*(W142/$AP142)/VLOOKUP(V142,商品!$A$4:$D$67,4,FALSE),0),"")</f>
        <v/>
      </c>
      <c r="AN142">
        <f t="shared" si="21"/>
        <v>0</v>
      </c>
      <c r="AO142">
        <f t="shared" si="22"/>
        <v>0</v>
      </c>
      <c r="AP142">
        <f t="shared" si="23"/>
        <v>0</v>
      </c>
    </row>
    <row r="143" customHeight="1" spans="1:42">
      <c r="A143" s="5" t="s">
        <v>315</v>
      </c>
      <c r="C143" s="5">
        <v>4</v>
      </c>
      <c r="D143" s="1" t="s">
        <v>222</v>
      </c>
      <c r="E143" s="1" t="s">
        <v>224</v>
      </c>
      <c r="L143" s="1">
        <f>IFERROR(VLOOKUP($D143&amp;$C143,生产方式定位!$A$2:$E$38,2,FALSE)+VLOOKUP($E143&amp;$C143,生产方式定位!$F$3:$J$38,2,FALSE),0)</f>
        <v>4600</v>
      </c>
      <c r="S143" s="1">
        <f>IFERROR(VLOOKUP($D143&amp;$C143,生产方式定位!$A$2:$E$38,3,FALSE)+VLOOKUP($E143&amp;$C143,生产方式定位!$F$3:$J$38,3,FALSE),0)</f>
        <v>1250</v>
      </c>
      <c r="X143" s="1">
        <f>IFERROR(VLOOKUP($D143&amp;$C143,生产方式定位!$A$2:$E$38,5,FALSE)+VLOOKUP($E143&amp;$C143,生产方式定位!$F$3:$J$38,5,FALSE),"错误")</f>
        <v>3573</v>
      </c>
      <c r="Y143" s="27" t="str">
        <f t="shared" si="16"/>
        <v/>
      </c>
      <c r="Z143" s="37" t="str">
        <f t="shared" si="17"/>
        <v/>
      </c>
      <c r="AA143" s="37" t="str">
        <f t="shared" si="18"/>
        <v/>
      </c>
      <c r="AB143" s="28">
        <f t="shared" si="19"/>
        <v>1.29</v>
      </c>
      <c r="AC143" s="37"/>
      <c r="AD143" s="38">
        <f t="shared" si="20"/>
        <v>4</v>
      </c>
      <c r="AE143" t="str">
        <f>IFERROR(F143&amp;"*"&amp;ROUND(L143*(G143/$AN143)/VLOOKUP(F143,商品!$A$4:$D$67,4,FALSE),0),"")</f>
        <v/>
      </c>
      <c r="AF143" t="str">
        <f>IFERROR(H143&amp;"*"&amp;ROUND(L143*(I143/$AN143)/VLOOKUP(H143,商品!$A$4:$D$67,4,FALSE),0),"")</f>
        <v/>
      </c>
      <c r="AG143" t="str">
        <f>IFERROR(J143&amp;"*"&amp;ROUND(L143*(K143/$AN143)/VLOOKUP(J143,商品!$A$4:$D$67,4,FALSE),0),"")</f>
        <v/>
      </c>
      <c r="AH143" t="str">
        <f>IFERROR(M143&amp;"*"&amp;ROUND(S143*(N143/$AO143)/VLOOKUP(M143,职业!$A$3:$E$16,4,FALSE),0),"")</f>
        <v/>
      </c>
      <c r="AI143" t="str">
        <f>IFERROR(O143&amp;"*"&amp;ROUND(S143*(P143/$AO143)/VLOOKUP(O143,职业!$A$3:$E$16,4,FALSE),0),"")</f>
        <v/>
      </c>
      <c r="AK143" t="str">
        <f>IFERROR(T143&amp;"*"&amp;ROUND(X143*(U143/$AP143)/VLOOKUP(T143,商品!$A$4:$D$67,4,FALSE),0),"")</f>
        <v/>
      </c>
      <c r="AL143" t="str">
        <f>IFERROR(V143&amp;"*"&amp;ROUND(X143*(W143/$AP143)/VLOOKUP(V143,商品!$A$4:$D$67,4,FALSE),0),"")</f>
        <v/>
      </c>
      <c r="AN143">
        <f t="shared" si="21"/>
        <v>0</v>
      </c>
      <c r="AO143">
        <f t="shared" si="22"/>
        <v>0</v>
      </c>
      <c r="AP143">
        <f t="shared" si="23"/>
        <v>0</v>
      </c>
    </row>
    <row r="144" customHeight="1" spans="1:42">
      <c r="A144" s="5" t="s">
        <v>315</v>
      </c>
      <c r="C144" s="5">
        <v>5</v>
      </c>
      <c r="D144" s="1" t="s">
        <v>222</v>
      </c>
      <c r="E144" s="1" t="s">
        <v>224</v>
      </c>
      <c r="L144" s="1">
        <f>IFERROR(VLOOKUP($D144&amp;$C144,生产方式定位!$A$2:$E$38,2,FALSE)+VLOOKUP($E144&amp;$C144,生产方式定位!$F$3:$J$38,2,FALSE),0)</f>
        <v>5800</v>
      </c>
      <c r="S144" s="1">
        <f>IFERROR(VLOOKUP($D144&amp;$C144,生产方式定位!$A$2:$E$38,3,FALSE)+VLOOKUP($E144&amp;$C144,生产方式定位!$F$3:$J$38,3,FALSE),0)</f>
        <v>1500</v>
      </c>
      <c r="X144" s="1">
        <f>IFERROR(VLOOKUP($D144&amp;$C144,生产方式定位!$A$2:$E$38,5,FALSE)+VLOOKUP($E144&amp;$C144,生产方式定位!$F$3:$J$38,5,FALSE),"错误")</f>
        <v>4850</v>
      </c>
      <c r="Y144" s="27" t="str">
        <f t="shared" si="16"/>
        <v/>
      </c>
      <c r="Z144" s="37" t="str">
        <f t="shared" si="17"/>
        <v/>
      </c>
      <c r="AA144" s="37" t="str">
        <f t="shared" si="18"/>
        <v/>
      </c>
      <c r="AB144" s="28">
        <f t="shared" si="19"/>
        <v>1.2</v>
      </c>
      <c r="AC144" s="37"/>
      <c r="AD144" s="38">
        <f t="shared" si="20"/>
        <v>5</v>
      </c>
      <c r="AE144" t="str">
        <f>IFERROR(F144&amp;"*"&amp;ROUND(L144*(G144/$AN144)/VLOOKUP(F144,商品!$A$4:$D$67,4,FALSE),0),"")</f>
        <v/>
      </c>
      <c r="AF144" t="str">
        <f>IFERROR(H144&amp;"*"&amp;ROUND(L144*(I144/$AN144)/VLOOKUP(H144,商品!$A$4:$D$67,4,FALSE),0),"")</f>
        <v/>
      </c>
      <c r="AG144" t="str">
        <f>IFERROR(J144&amp;"*"&amp;ROUND(L144*(K144/$AN144)/VLOOKUP(J144,商品!$A$4:$D$67,4,FALSE),0),"")</f>
        <v/>
      </c>
      <c r="AH144" t="str">
        <f>IFERROR(M144&amp;"*"&amp;ROUND(S144*(N144/$AO144)/VLOOKUP(M144,职业!$A$3:$E$16,4,FALSE),0),"")</f>
        <v/>
      </c>
      <c r="AI144" t="str">
        <f>IFERROR(O144&amp;"*"&amp;ROUND(S144*(P144/$AO144)/VLOOKUP(O144,职业!$A$3:$E$16,4,FALSE),0),"")</f>
        <v/>
      </c>
      <c r="AK144" t="str">
        <f>IFERROR(T144&amp;"*"&amp;ROUND(X144*(U144/$AP144)/VLOOKUP(T144,商品!$A$4:$D$67,4,FALSE),0),"")</f>
        <v/>
      </c>
      <c r="AL144" t="str">
        <f>IFERROR(V144&amp;"*"&amp;ROUND(X144*(W144/$AP144)/VLOOKUP(V144,商品!$A$4:$D$67,4,FALSE),0),"")</f>
        <v/>
      </c>
      <c r="AN144">
        <f t="shared" si="21"/>
        <v>0</v>
      </c>
      <c r="AO144">
        <f t="shared" si="22"/>
        <v>0</v>
      </c>
      <c r="AP144">
        <f t="shared" si="23"/>
        <v>0</v>
      </c>
    </row>
    <row r="145" customHeight="1" spans="1:42">
      <c r="A145" s="18" t="s">
        <v>316</v>
      </c>
      <c r="C145" s="18">
        <v>1</v>
      </c>
      <c r="D145" s="1" t="s">
        <v>222</v>
      </c>
      <c r="E145" s="1" t="s">
        <v>225</v>
      </c>
      <c r="L145" s="1">
        <f>IFERROR(VLOOKUP($D145&amp;$C145,生产方式定位!$A$2:$E$38,2,FALSE)+VLOOKUP($E145&amp;$C145,生产方式定位!$F$3:$J$38,2,FALSE),0)</f>
        <v>0</v>
      </c>
      <c r="S145" s="1">
        <f>IFERROR(VLOOKUP($D145&amp;$C145,生产方式定位!$A$2:$E$38,3,FALSE)+VLOOKUP($E145&amp;$C145,生产方式定位!$F$3:$J$38,3,FALSE),0)</f>
        <v>500</v>
      </c>
      <c r="X145" s="1">
        <f>IFERROR(VLOOKUP($D145&amp;$C145,生产方式定位!$A$2:$E$38,5,FALSE)+VLOOKUP($E145&amp;$C145,生产方式定位!$F$3:$J$38,5,FALSE),"错误")</f>
        <v>250</v>
      </c>
      <c r="Y145" s="27" t="str">
        <f t="shared" si="16"/>
        <v/>
      </c>
      <c r="Z145" s="37" t="str">
        <f t="shared" si="17"/>
        <v/>
      </c>
      <c r="AA145" s="37" t="str">
        <f t="shared" si="18"/>
        <v/>
      </c>
      <c r="AB145" s="28">
        <f t="shared" si="19"/>
        <v>0</v>
      </c>
      <c r="AC145" s="37"/>
      <c r="AD145" s="38">
        <f t="shared" si="20"/>
        <v>1</v>
      </c>
      <c r="AE145" t="str">
        <f>IFERROR(F145&amp;"*"&amp;ROUND(L145*(G145/$AN145)/VLOOKUP(F145,商品!$A$4:$D$67,4,FALSE),0),"")</f>
        <v/>
      </c>
      <c r="AF145" t="str">
        <f>IFERROR(H145&amp;"*"&amp;ROUND(L145*(I145/$AN145)/VLOOKUP(H145,商品!$A$4:$D$67,4,FALSE),0),"")</f>
        <v/>
      </c>
      <c r="AG145" t="str">
        <f>IFERROR(J145&amp;"*"&amp;ROUND(L145*(K145/$AN145)/VLOOKUP(J145,商品!$A$4:$D$67,4,FALSE),0),"")</f>
        <v/>
      </c>
      <c r="AH145" t="str">
        <f>IFERROR(M145&amp;"*"&amp;ROUND(S145*(N145/$AO145)/VLOOKUP(M145,职业!$A$3:$E$16,4,FALSE),0),"")</f>
        <v/>
      </c>
      <c r="AI145" t="str">
        <f>IFERROR(O145&amp;"*"&amp;ROUND(S145*(P145/$AO145)/VLOOKUP(O145,职业!$A$3:$E$16,4,FALSE),0),"")</f>
        <v/>
      </c>
      <c r="AK145" t="str">
        <f>IFERROR(T145&amp;"*"&amp;ROUND(X145*(U145/$AP145)/VLOOKUP(T145,商品!$A$4:$D$67,4,FALSE),0),"")</f>
        <v/>
      </c>
      <c r="AL145" t="str">
        <f>IFERROR(V145&amp;"*"&amp;ROUND(X145*(W145/$AP145)/VLOOKUP(V145,商品!$A$4:$D$67,4,FALSE),0),"")</f>
        <v/>
      </c>
      <c r="AN145">
        <f t="shared" si="21"/>
        <v>0</v>
      </c>
      <c r="AO145">
        <f t="shared" si="22"/>
        <v>0</v>
      </c>
      <c r="AP145">
        <f t="shared" si="23"/>
        <v>0</v>
      </c>
    </row>
    <row r="146" customHeight="1" spans="1:42">
      <c r="A146" s="18" t="s">
        <v>316</v>
      </c>
      <c r="C146" s="18">
        <v>2</v>
      </c>
      <c r="D146" s="1" t="s">
        <v>222</v>
      </c>
      <c r="E146" s="1" t="s">
        <v>225</v>
      </c>
      <c r="L146" s="1">
        <f>IFERROR(VLOOKUP($D146&amp;$C146,生产方式定位!$A$2:$E$38,2,FALSE)+VLOOKUP($E146&amp;$C146,生产方式定位!$F$3:$J$38,2,FALSE),0)</f>
        <v>2200</v>
      </c>
      <c r="S146" s="1">
        <f>IFERROR(VLOOKUP($D146&amp;$C146,生产方式定位!$A$2:$E$38,3,FALSE)+VLOOKUP($E146&amp;$C146,生产方式定位!$F$3:$J$38,3,FALSE),0)</f>
        <v>2550</v>
      </c>
      <c r="X146" s="1">
        <f>IFERROR(VLOOKUP($D146&amp;$C146,生产方式定位!$A$2:$E$38,5,FALSE)+VLOOKUP($E146&amp;$C146,生产方式定位!$F$3:$J$38,5,FALSE),"错误")</f>
        <v>2420</v>
      </c>
      <c r="Y146" s="27" t="str">
        <f t="shared" si="16"/>
        <v/>
      </c>
      <c r="Z146" s="37" t="str">
        <f t="shared" si="17"/>
        <v/>
      </c>
      <c r="AA146" s="37" t="str">
        <f t="shared" si="18"/>
        <v/>
      </c>
      <c r="AB146" s="28">
        <f t="shared" si="19"/>
        <v>0.91</v>
      </c>
      <c r="AC146" s="37"/>
      <c r="AD146" s="38">
        <f t="shared" si="20"/>
        <v>2</v>
      </c>
      <c r="AE146" t="str">
        <f>IFERROR(F146&amp;"*"&amp;ROUND(L146*(G146/$AN146)/VLOOKUP(F146,商品!$A$4:$D$67,4,FALSE),0),"")</f>
        <v/>
      </c>
      <c r="AF146" t="str">
        <f>IFERROR(H146&amp;"*"&amp;ROUND(L146*(I146/$AN146)/VLOOKUP(H146,商品!$A$4:$D$67,4,FALSE),0),"")</f>
        <v/>
      </c>
      <c r="AG146" t="str">
        <f>IFERROR(J146&amp;"*"&amp;ROUND(L146*(K146/$AN146)/VLOOKUP(J146,商品!$A$4:$D$67,4,FALSE),0),"")</f>
        <v/>
      </c>
      <c r="AH146" t="str">
        <f>IFERROR(M146&amp;"*"&amp;ROUND(S146*(N146/$AO146)/VLOOKUP(M146,职业!$A$3:$E$16,4,FALSE),0),"")</f>
        <v/>
      </c>
      <c r="AI146" t="str">
        <f>IFERROR(O146&amp;"*"&amp;ROUND(S146*(P146/$AO146)/VLOOKUP(O146,职业!$A$3:$E$16,4,FALSE),0),"")</f>
        <v/>
      </c>
      <c r="AK146" t="str">
        <f>IFERROR(T146&amp;"*"&amp;ROUND(X146*(U146/$AP146)/VLOOKUP(T146,商品!$A$4:$D$67,4,FALSE),0),"")</f>
        <v/>
      </c>
      <c r="AL146" t="str">
        <f>IFERROR(V146&amp;"*"&amp;ROUND(X146*(W146/$AP146)/VLOOKUP(V146,商品!$A$4:$D$67,4,FALSE),0),"")</f>
        <v/>
      </c>
      <c r="AN146">
        <f t="shared" si="21"/>
        <v>0</v>
      </c>
      <c r="AO146">
        <f t="shared" si="22"/>
        <v>0</v>
      </c>
      <c r="AP146">
        <f t="shared" si="23"/>
        <v>0</v>
      </c>
    </row>
    <row r="147" customHeight="1" spans="1:42">
      <c r="A147" s="18" t="s">
        <v>316</v>
      </c>
      <c r="C147" s="18">
        <v>3</v>
      </c>
      <c r="D147" s="1" t="s">
        <v>222</v>
      </c>
      <c r="E147" s="1" t="s">
        <v>225</v>
      </c>
      <c r="L147" s="1">
        <f>IFERROR(VLOOKUP($D147&amp;$C147,生产方式定位!$A$2:$E$38,2,FALSE)+VLOOKUP($E147&amp;$C147,生产方式定位!$F$3:$J$38,2,FALSE),0)</f>
        <v>3400</v>
      </c>
      <c r="S147" s="1">
        <f>IFERROR(VLOOKUP($D147&amp;$C147,生产方式定位!$A$2:$E$38,3,FALSE)+VLOOKUP($E147&amp;$C147,生产方式定位!$F$3:$J$38,3,FALSE),0)</f>
        <v>3600</v>
      </c>
      <c r="X147" s="1">
        <f>IFERROR(VLOOKUP($D147&amp;$C147,生产方式定位!$A$2:$E$38,5,FALSE)+VLOOKUP($E147&amp;$C147,生产方式定位!$F$3:$J$38,5,FALSE),"错误")</f>
        <v>3650</v>
      </c>
      <c r="Y147" s="27" t="str">
        <f t="shared" si="16"/>
        <v/>
      </c>
      <c r="Z147" s="37" t="str">
        <f t="shared" si="17"/>
        <v/>
      </c>
      <c r="AA147" s="37" t="str">
        <f t="shared" si="18"/>
        <v/>
      </c>
      <c r="AB147" s="28">
        <f t="shared" si="19"/>
        <v>0.93</v>
      </c>
      <c r="AC147" s="37"/>
      <c r="AD147" s="38">
        <f t="shared" si="20"/>
        <v>3</v>
      </c>
      <c r="AE147" t="str">
        <f>IFERROR(F147&amp;"*"&amp;ROUND(L147*(G147/$AN147)/VLOOKUP(F147,商品!$A$4:$D$67,4,FALSE),0),"")</f>
        <v/>
      </c>
      <c r="AF147" t="str">
        <f>IFERROR(H147&amp;"*"&amp;ROUND(L147*(I147/$AN147)/VLOOKUP(H147,商品!$A$4:$D$67,4,FALSE),0),"")</f>
        <v/>
      </c>
      <c r="AG147" t="str">
        <f>IFERROR(J147&amp;"*"&amp;ROUND(L147*(K147/$AN147)/VLOOKUP(J147,商品!$A$4:$D$67,4,FALSE),0),"")</f>
        <v/>
      </c>
      <c r="AH147" t="str">
        <f>IFERROR(M147&amp;"*"&amp;ROUND(S147*(N147/$AO147)/VLOOKUP(M147,职业!$A$3:$E$16,4,FALSE),0),"")</f>
        <v/>
      </c>
      <c r="AI147" t="str">
        <f>IFERROR(O147&amp;"*"&amp;ROUND(S147*(P147/$AO147)/VLOOKUP(O147,职业!$A$3:$E$16,4,FALSE),0),"")</f>
        <v/>
      </c>
      <c r="AK147" t="str">
        <f>IFERROR(T147&amp;"*"&amp;ROUND(X147*(U147/$AP147)/VLOOKUP(T147,商品!$A$4:$D$67,4,FALSE),0),"")</f>
        <v/>
      </c>
      <c r="AL147" t="str">
        <f>IFERROR(V147&amp;"*"&amp;ROUND(X147*(W147/$AP147)/VLOOKUP(V147,商品!$A$4:$D$67,4,FALSE),0),"")</f>
        <v/>
      </c>
      <c r="AN147">
        <f t="shared" si="21"/>
        <v>0</v>
      </c>
      <c r="AO147">
        <f t="shared" si="22"/>
        <v>0</v>
      </c>
      <c r="AP147">
        <f t="shared" si="23"/>
        <v>0</v>
      </c>
    </row>
    <row r="148" customHeight="1" spans="1:42">
      <c r="A148" s="18" t="s">
        <v>316</v>
      </c>
      <c r="C148" s="18">
        <v>4</v>
      </c>
      <c r="D148" s="1" t="s">
        <v>222</v>
      </c>
      <c r="E148" s="1" t="s">
        <v>225</v>
      </c>
      <c r="L148" s="1">
        <f>IFERROR(VLOOKUP($D148&amp;$C148,生产方式定位!$A$2:$E$38,2,FALSE)+VLOOKUP($E148&amp;$C148,生产方式定位!$F$3:$J$38,2,FALSE),0)</f>
        <v>4600</v>
      </c>
      <c r="S148" s="1">
        <f>IFERROR(VLOOKUP($D148&amp;$C148,生产方式定位!$A$2:$E$38,3,FALSE)+VLOOKUP($E148&amp;$C148,生产方式定位!$F$3:$J$38,3,FALSE),0)</f>
        <v>4650</v>
      </c>
      <c r="X148" s="1">
        <f>IFERROR(VLOOKUP($D148&amp;$C148,生产方式定位!$A$2:$E$38,5,FALSE)+VLOOKUP($E148&amp;$C148,生产方式定位!$F$3:$J$38,5,FALSE),"错误")</f>
        <v>4940</v>
      </c>
      <c r="Y148" s="27" t="str">
        <f t="shared" si="16"/>
        <v/>
      </c>
      <c r="Z148" s="37" t="str">
        <f t="shared" si="17"/>
        <v/>
      </c>
      <c r="AA148" s="37" t="str">
        <f t="shared" si="18"/>
        <v/>
      </c>
      <c r="AB148" s="28">
        <f t="shared" si="19"/>
        <v>0.93</v>
      </c>
      <c r="AC148" s="37"/>
      <c r="AD148" s="38">
        <f t="shared" si="20"/>
        <v>4</v>
      </c>
      <c r="AE148" t="str">
        <f>IFERROR(F148&amp;"*"&amp;ROUND(L148*(G148/$AN148)/VLOOKUP(F148,商品!$A$4:$D$67,4,FALSE),0),"")</f>
        <v/>
      </c>
      <c r="AF148" t="str">
        <f>IFERROR(H148&amp;"*"&amp;ROUND(L148*(I148/$AN148)/VLOOKUP(H148,商品!$A$4:$D$67,4,FALSE),0),"")</f>
        <v/>
      </c>
      <c r="AG148" t="str">
        <f>IFERROR(J148&amp;"*"&amp;ROUND(L148*(K148/$AN148)/VLOOKUP(J148,商品!$A$4:$D$67,4,FALSE),0),"")</f>
        <v/>
      </c>
      <c r="AH148" t="str">
        <f>IFERROR(M148&amp;"*"&amp;ROUND(S148*(N148/$AO148)/VLOOKUP(M148,职业!$A$3:$E$16,4,FALSE),0),"")</f>
        <v/>
      </c>
      <c r="AI148" t="str">
        <f>IFERROR(O148&amp;"*"&amp;ROUND(S148*(P148/$AO148)/VLOOKUP(O148,职业!$A$3:$E$16,4,FALSE),0),"")</f>
        <v/>
      </c>
      <c r="AK148" t="str">
        <f>IFERROR(T148&amp;"*"&amp;ROUND(X148*(U148/$AP148)/VLOOKUP(T148,商品!$A$4:$D$67,4,FALSE),0),"")</f>
        <v/>
      </c>
      <c r="AL148" t="str">
        <f>IFERROR(V148&amp;"*"&amp;ROUND(X148*(W148/$AP148)/VLOOKUP(V148,商品!$A$4:$D$67,4,FALSE),0),"")</f>
        <v/>
      </c>
      <c r="AN148">
        <f t="shared" si="21"/>
        <v>0</v>
      </c>
      <c r="AO148">
        <f t="shared" si="22"/>
        <v>0</v>
      </c>
      <c r="AP148">
        <f t="shared" si="23"/>
        <v>0</v>
      </c>
    </row>
    <row r="149" customHeight="1" spans="1:42">
      <c r="A149" s="18" t="s">
        <v>316</v>
      </c>
      <c r="C149" s="18">
        <v>5</v>
      </c>
      <c r="D149" s="1" t="s">
        <v>222</v>
      </c>
      <c r="E149" s="1" t="s">
        <v>225</v>
      </c>
      <c r="L149" s="1">
        <f>IFERROR(VLOOKUP($D149&amp;$C149,生产方式定位!$A$2:$E$38,2,FALSE)+VLOOKUP($E149&amp;$C149,生产方式定位!$F$3:$J$38,2,FALSE),0)</f>
        <v>5800</v>
      </c>
      <c r="S149" s="1">
        <f>IFERROR(VLOOKUP($D149&amp;$C149,生产方式定位!$A$2:$E$38,3,FALSE)+VLOOKUP($E149&amp;$C149,生产方式定位!$F$3:$J$38,3,FALSE),0)</f>
        <v>5700</v>
      </c>
      <c r="X149" s="1">
        <f>IFERROR(VLOOKUP($D149&amp;$C149,生产方式定位!$A$2:$E$38,5,FALSE)+VLOOKUP($E149&amp;$C149,生产方式定位!$F$3:$J$38,5,FALSE),"错误")</f>
        <v>6313</v>
      </c>
      <c r="Y149" s="27" t="str">
        <f t="shared" si="16"/>
        <v/>
      </c>
      <c r="Z149" s="37" t="str">
        <f t="shared" si="17"/>
        <v/>
      </c>
      <c r="AA149" s="37" t="str">
        <f t="shared" si="18"/>
        <v/>
      </c>
      <c r="AB149" s="28">
        <f t="shared" si="19"/>
        <v>0.92</v>
      </c>
      <c r="AC149" s="37"/>
      <c r="AD149" s="38">
        <f t="shared" si="20"/>
        <v>5</v>
      </c>
      <c r="AE149" t="str">
        <f>IFERROR(F149&amp;"*"&amp;ROUND(L149*(G149/$AN149)/VLOOKUP(F149,商品!$A$4:$D$67,4,FALSE),0),"")</f>
        <v/>
      </c>
      <c r="AF149" t="str">
        <f>IFERROR(H149&amp;"*"&amp;ROUND(L149*(I149/$AN149)/VLOOKUP(H149,商品!$A$4:$D$67,4,FALSE),0),"")</f>
        <v/>
      </c>
      <c r="AG149" t="str">
        <f>IFERROR(J149&amp;"*"&amp;ROUND(L149*(K149/$AN149)/VLOOKUP(J149,商品!$A$4:$D$67,4,FALSE),0),"")</f>
        <v/>
      </c>
      <c r="AH149" t="str">
        <f>IFERROR(M149&amp;"*"&amp;ROUND(S149*(N149/$AO149)/VLOOKUP(M149,职业!$A$3:$E$16,4,FALSE),0),"")</f>
        <v/>
      </c>
      <c r="AI149" t="str">
        <f>IFERROR(O149&amp;"*"&amp;ROUND(S149*(P149/$AO149)/VLOOKUP(O149,职业!$A$3:$E$16,4,FALSE),0),"")</f>
        <v/>
      </c>
      <c r="AK149" t="str">
        <f>IFERROR(T149&amp;"*"&amp;ROUND(X149*(U149/$AP149)/VLOOKUP(T149,商品!$A$4:$D$67,4,FALSE),0),"")</f>
        <v/>
      </c>
      <c r="AL149" t="str">
        <f>IFERROR(V149&amp;"*"&amp;ROUND(X149*(W149/$AP149)/VLOOKUP(V149,商品!$A$4:$D$67,4,FALSE),0),"")</f>
        <v/>
      </c>
      <c r="AN149">
        <f t="shared" si="21"/>
        <v>0</v>
      </c>
      <c r="AO149">
        <f t="shared" si="22"/>
        <v>0</v>
      </c>
      <c r="AP149">
        <f t="shared" si="23"/>
        <v>0</v>
      </c>
    </row>
    <row r="150" customHeight="1" spans="1:42">
      <c r="A150" s="5" t="s">
        <v>317</v>
      </c>
      <c r="C150" s="5">
        <v>1</v>
      </c>
      <c r="D150" s="1" t="s">
        <v>222</v>
      </c>
      <c r="E150" s="1" t="s">
        <v>226</v>
      </c>
      <c r="L150" s="1">
        <f>IFERROR(VLOOKUP($D150&amp;$C150,生产方式定位!$A$2:$E$38,2,FALSE)+VLOOKUP($E150&amp;$C150,生产方式定位!$F$3:$J$38,2,FALSE),0)</f>
        <v>0</v>
      </c>
      <c r="S150" s="1">
        <f>IFERROR(VLOOKUP($D150&amp;$C150,生产方式定位!$A$2:$E$38,3,FALSE)+VLOOKUP($E150&amp;$C150,生产方式定位!$F$3:$J$38,3,FALSE),0)</f>
        <v>500</v>
      </c>
      <c r="X150" s="1">
        <f>IFERROR(VLOOKUP($D150&amp;$C150,生产方式定位!$A$2:$E$38,5,FALSE)+VLOOKUP($E150&amp;$C150,生产方式定位!$F$3:$J$38,5,FALSE),"错误")</f>
        <v>250</v>
      </c>
      <c r="Y150" s="27" t="str">
        <f t="shared" si="16"/>
        <v/>
      </c>
      <c r="Z150" s="37" t="str">
        <f t="shared" si="17"/>
        <v/>
      </c>
      <c r="AA150" s="37" t="str">
        <f t="shared" si="18"/>
        <v/>
      </c>
      <c r="AB150" s="28">
        <f t="shared" si="19"/>
        <v>0</v>
      </c>
      <c r="AC150" s="37"/>
      <c r="AD150" s="38">
        <f t="shared" si="20"/>
        <v>1</v>
      </c>
      <c r="AE150" t="str">
        <f>IFERROR(F150&amp;"*"&amp;ROUND(L150*(G150/$AN150)/VLOOKUP(F150,商品!$A$4:$D$67,4,FALSE),0),"")</f>
        <v/>
      </c>
      <c r="AF150" t="str">
        <f>IFERROR(H150&amp;"*"&amp;ROUND(L150*(I150/$AN150)/VLOOKUP(H150,商品!$A$4:$D$67,4,FALSE),0),"")</f>
        <v/>
      </c>
      <c r="AG150" t="str">
        <f>IFERROR(J150&amp;"*"&amp;ROUND(L150*(K150/$AN150)/VLOOKUP(J150,商品!$A$4:$D$67,4,FALSE),0),"")</f>
        <v/>
      </c>
      <c r="AH150" t="str">
        <f>IFERROR(M150&amp;"*"&amp;ROUND(S150*(N150/$AO150)/VLOOKUP(M150,职业!$A$3:$E$16,4,FALSE),0),"")</f>
        <v/>
      </c>
      <c r="AI150" t="str">
        <f>IFERROR(O150&amp;"*"&amp;ROUND(S150*(P150/$AO150)/VLOOKUP(O150,职业!$A$3:$E$16,4,FALSE),0),"")</f>
        <v/>
      </c>
      <c r="AK150" t="str">
        <f>IFERROR(T150&amp;"*"&amp;ROUND(X150*(U150/$AP150)/VLOOKUP(T150,商品!$A$4:$D$67,4,FALSE),0),"")</f>
        <v/>
      </c>
      <c r="AL150" t="str">
        <f>IFERROR(V150&amp;"*"&amp;ROUND(X150*(W150/$AP150)/VLOOKUP(V150,商品!$A$4:$D$67,4,FALSE),0),"")</f>
        <v/>
      </c>
      <c r="AN150">
        <f t="shared" si="21"/>
        <v>0</v>
      </c>
      <c r="AO150">
        <f t="shared" si="22"/>
        <v>0</v>
      </c>
      <c r="AP150">
        <f t="shared" si="23"/>
        <v>0</v>
      </c>
    </row>
    <row r="151" customHeight="1" spans="1:42">
      <c r="A151" s="5" t="s">
        <v>317</v>
      </c>
      <c r="C151" s="5">
        <v>2</v>
      </c>
      <c r="D151" s="1" t="s">
        <v>222</v>
      </c>
      <c r="E151" s="1" t="s">
        <v>226</v>
      </c>
      <c r="L151" s="1">
        <f>IFERROR(VLOOKUP($D151&amp;$C151,生产方式定位!$A$2:$E$38,2,FALSE)+VLOOKUP($E151&amp;$C151,生产方式定位!$F$3:$J$38,2,FALSE),0)</f>
        <v>3200</v>
      </c>
      <c r="S151" s="1">
        <f>IFERROR(VLOOKUP($D151&amp;$C151,生产方式定位!$A$2:$E$38,3,FALSE)+VLOOKUP($E151&amp;$C151,生产方式定位!$F$3:$J$38,3,FALSE),0)</f>
        <v>350</v>
      </c>
      <c r="X151" s="1">
        <f>IFERROR(VLOOKUP($D151&amp;$C151,生产方式定位!$A$2:$E$38,5,FALSE)+VLOOKUP($E151&amp;$C151,生产方式定位!$F$3:$J$38,5,FALSE),"错误")</f>
        <v>1865</v>
      </c>
      <c r="Y151" s="27" t="str">
        <f t="shared" si="16"/>
        <v/>
      </c>
      <c r="Z151" s="37" t="str">
        <f t="shared" si="17"/>
        <v/>
      </c>
      <c r="AA151" s="37" t="str">
        <f t="shared" si="18"/>
        <v/>
      </c>
      <c r="AB151" s="28">
        <f t="shared" si="19"/>
        <v>1.72</v>
      </c>
      <c r="AC151" s="37"/>
      <c r="AD151" s="38">
        <f t="shared" si="20"/>
        <v>2</v>
      </c>
      <c r="AE151" t="str">
        <f>IFERROR(F151&amp;"*"&amp;ROUND(L151*(G151/$AN151)/VLOOKUP(F151,商品!$A$4:$D$67,4,FALSE),0),"")</f>
        <v/>
      </c>
      <c r="AF151" t="str">
        <f>IFERROR(H151&amp;"*"&amp;ROUND(L151*(I151/$AN151)/VLOOKUP(H151,商品!$A$4:$D$67,4,FALSE),0),"")</f>
        <v/>
      </c>
      <c r="AG151" t="str">
        <f>IFERROR(J151&amp;"*"&amp;ROUND(L151*(K151/$AN151)/VLOOKUP(J151,商品!$A$4:$D$67,4,FALSE),0),"")</f>
        <v/>
      </c>
      <c r="AH151" t="str">
        <f>IFERROR(M151&amp;"*"&amp;ROUND(S151*(N151/$AO151)/VLOOKUP(M151,职业!$A$3:$E$16,4,FALSE),0),"")</f>
        <v/>
      </c>
      <c r="AI151" t="str">
        <f>IFERROR(O151&amp;"*"&amp;ROUND(S151*(P151/$AO151)/VLOOKUP(O151,职业!$A$3:$E$16,4,FALSE),0),"")</f>
        <v/>
      </c>
      <c r="AK151" t="str">
        <f>IFERROR(T151&amp;"*"&amp;ROUND(X151*(U151/$AP151)/VLOOKUP(T151,商品!$A$4:$D$67,4,FALSE),0),"")</f>
        <v/>
      </c>
      <c r="AL151" t="str">
        <f>IFERROR(V151&amp;"*"&amp;ROUND(X151*(W151/$AP151)/VLOOKUP(V151,商品!$A$4:$D$67,4,FALSE),0),"")</f>
        <v/>
      </c>
      <c r="AN151">
        <f t="shared" si="21"/>
        <v>0</v>
      </c>
      <c r="AO151">
        <f t="shared" si="22"/>
        <v>0</v>
      </c>
      <c r="AP151">
        <f t="shared" si="23"/>
        <v>0</v>
      </c>
    </row>
    <row r="152" customHeight="1" spans="1:42">
      <c r="A152" s="5" t="s">
        <v>317</v>
      </c>
      <c r="C152" s="5">
        <v>3</v>
      </c>
      <c r="D152" s="1" t="s">
        <v>222</v>
      </c>
      <c r="E152" s="1" t="s">
        <v>226</v>
      </c>
      <c r="L152" s="1">
        <f>IFERROR(VLOOKUP($D152&amp;$C152,生产方式定位!$A$2:$E$38,2,FALSE)+VLOOKUP($E152&amp;$C152,生产方式定位!$F$3:$J$38,2,FALSE),0)</f>
        <v>4400</v>
      </c>
      <c r="S152" s="1">
        <f>IFERROR(VLOOKUP($D152&amp;$C152,生产方式定位!$A$2:$E$38,3,FALSE)+VLOOKUP($E152&amp;$C152,生产方式定位!$F$3:$J$38,3,FALSE),0)</f>
        <v>200</v>
      </c>
      <c r="X152" s="1">
        <f>IFERROR(VLOOKUP($D152&amp;$C152,生产方式定位!$A$2:$E$38,5,FALSE)+VLOOKUP($E152&amp;$C152,生产方式定位!$F$3:$J$38,5,FALSE),"错误")</f>
        <v>2560</v>
      </c>
      <c r="Y152" s="27" t="str">
        <f t="shared" si="16"/>
        <v/>
      </c>
      <c r="Z152" s="37" t="str">
        <f t="shared" si="17"/>
        <v/>
      </c>
      <c r="AA152" s="37" t="str">
        <f t="shared" si="18"/>
        <v/>
      </c>
      <c r="AB152" s="28">
        <f t="shared" si="19"/>
        <v>1.72</v>
      </c>
      <c r="AC152" s="37"/>
      <c r="AD152" s="38">
        <f t="shared" si="20"/>
        <v>3</v>
      </c>
      <c r="AE152" t="str">
        <f>IFERROR(F152&amp;"*"&amp;ROUND(L152*(G152/$AN152)/VLOOKUP(F152,商品!$A$4:$D$67,4,FALSE),0),"")</f>
        <v/>
      </c>
      <c r="AF152" t="str">
        <f>IFERROR(H152&amp;"*"&amp;ROUND(L152*(I152/$AN152)/VLOOKUP(H152,商品!$A$4:$D$67,4,FALSE),0),"")</f>
        <v/>
      </c>
      <c r="AG152" t="str">
        <f>IFERROR(J152&amp;"*"&amp;ROUND(L152*(K152/$AN152)/VLOOKUP(J152,商品!$A$4:$D$67,4,FALSE),0),"")</f>
        <v/>
      </c>
      <c r="AH152" t="str">
        <f>IFERROR(M152&amp;"*"&amp;ROUND(S152*(N152/$AO152)/VLOOKUP(M152,职业!$A$3:$E$16,4,FALSE),0),"")</f>
        <v/>
      </c>
      <c r="AI152" t="str">
        <f>IFERROR(O152&amp;"*"&amp;ROUND(S152*(P152/$AO152)/VLOOKUP(O152,职业!$A$3:$E$16,4,FALSE),0),"")</f>
        <v/>
      </c>
      <c r="AK152" t="str">
        <f>IFERROR(T152&amp;"*"&amp;ROUND(X152*(U152/$AP152)/VLOOKUP(T152,商品!$A$4:$D$67,4,FALSE),0),"")</f>
        <v/>
      </c>
      <c r="AL152" t="str">
        <f>IFERROR(V152&amp;"*"&amp;ROUND(X152*(W152/$AP152)/VLOOKUP(V152,商品!$A$4:$D$67,4,FALSE),0),"")</f>
        <v/>
      </c>
      <c r="AN152">
        <f t="shared" si="21"/>
        <v>0</v>
      </c>
      <c r="AO152">
        <f t="shared" si="22"/>
        <v>0</v>
      </c>
      <c r="AP152">
        <f t="shared" si="23"/>
        <v>0</v>
      </c>
    </row>
    <row r="153" customHeight="1" spans="1:42">
      <c r="A153" s="5" t="s">
        <v>317</v>
      </c>
      <c r="C153" s="5">
        <v>4</v>
      </c>
      <c r="D153" s="1" t="s">
        <v>222</v>
      </c>
      <c r="E153" s="1" t="s">
        <v>226</v>
      </c>
      <c r="L153" s="1">
        <f>IFERROR(VLOOKUP($D153&amp;$C153,生产方式定位!$A$2:$E$38,2,FALSE)+VLOOKUP($E153&amp;$C153,生产方式定位!$F$3:$J$38,2,FALSE),0)</f>
        <v>5600</v>
      </c>
      <c r="S153" s="1">
        <f>IFERROR(VLOOKUP($D153&amp;$C153,生产方式定位!$A$2:$E$38,3,FALSE)+VLOOKUP($E153&amp;$C153,生产方式定位!$F$3:$J$38,3,FALSE),0)</f>
        <v>50</v>
      </c>
      <c r="X153" s="1">
        <f>IFERROR(VLOOKUP($D153&amp;$C153,生产方式定位!$A$2:$E$38,5,FALSE)+VLOOKUP($E153&amp;$C153,生产方式定位!$F$3:$J$38,5,FALSE),"错误")</f>
        <v>3335</v>
      </c>
      <c r="Y153" s="27" t="str">
        <f t="shared" si="16"/>
        <v/>
      </c>
      <c r="Z153" s="37" t="str">
        <f t="shared" si="17"/>
        <v/>
      </c>
      <c r="AA153" s="37" t="str">
        <f t="shared" si="18"/>
        <v/>
      </c>
      <c r="AB153" s="28">
        <f t="shared" si="19"/>
        <v>1.68</v>
      </c>
      <c r="AC153" s="37"/>
      <c r="AD153" s="38">
        <f t="shared" si="20"/>
        <v>4</v>
      </c>
      <c r="AE153" t="str">
        <f>IFERROR(F153&amp;"*"&amp;ROUND(L153*(G153/$AN153)/VLOOKUP(F153,商品!$A$4:$D$67,4,FALSE),0),"")</f>
        <v/>
      </c>
      <c r="AF153" t="str">
        <f>IFERROR(H153&amp;"*"&amp;ROUND(L153*(I153/$AN153)/VLOOKUP(H153,商品!$A$4:$D$67,4,FALSE),0),"")</f>
        <v/>
      </c>
      <c r="AG153" t="str">
        <f>IFERROR(J153&amp;"*"&amp;ROUND(L153*(K153/$AN153)/VLOOKUP(J153,商品!$A$4:$D$67,4,FALSE),0),"")</f>
        <v/>
      </c>
      <c r="AH153" t="str">
        <f>IFERROR(M153&amp;"*"&amp;ROUND(S153*(N153/$AO153)/VLOOKUP(M153,职业!$A$3:$E$16,4,FALSE),0),"")</f>
        <v/>
      </c>
      <c r="AI153" t="str">
        <f>IFERROR(O153&amp;"*"&amp;ROUND(S153*(P153/$AO153)/VLOOKUP(O153,职业!$A$3:$E$16,4,FALSE),0),"")</f>
        <v/>
      </c>
      <c r="AK153" t="str">
        <f>IFERROR(T153&amp;"*"&amp;ROUND(X153*(U153/$AP153)/VLOOKUP(T153,商品!$A$4:$D$67,4,FALSE),0),"")</f>
        <v/>
      </c>
      <c r="AL153" t="str">
        <f>IFERROR(V153&amp;"*"&amp;ROUND(X153*(W153/$AP153)/VLOOKUP(V153,商品!$A$4:$D$67,4,FALSE),0),"")</f>
        <v/>
      </c>
      <c r="AN153">
        <f t="shared" si="21"/>
        <v>0</v>
      </c>
      <c r="AO153">
        <f t="shared" si="22"/>
        <v>0</v>
      </c>
      <c r="AP153">
        <f t="shared" si="23"/>
        <v>0</v>
      </c>
    </row>
    <row r="154" customHeight="1" spans="1:42">
      <c r="A154" s="5" t="s">
        <v>317</v>
      </c>
      <c r="C154" s="5">
        <v>5</v>
      </c>
      <c r="D154" s="1" t="s">
        <v>222</v>
      </c>
      <c r="E154" s="1" t="s">
        <v>226</v>
      </c>
      <c r="L154" s="1">
        <f>IFERROR(VLOOKUP($D154&amp;$C154,生产方式定位!$A$2:$E$38,2,FALSE)+VLOOKUP($E154&amp;$C154,生产方式定位!$F$3:$J$38,2,FALSE),0)</f>
        <v>6800</v>
      </c>
      <c r="S154" s="1">
        <f>IFERROR(VLOOKUP($D154&amp;$C154,生产方式定位!$A$2:$E$38,3,FALSE)+VLOOKUP($E154&amp;$C154,生产方式定位!$F$3:$J$38,3,FALSE),0)</f>
        <v>-100</v>
      </c>
      <c r="X154" s="1">
        <f>IFERROR(VLOOKUP($D154&amp;$C154,生产方式定位!$A$2:$E$38,5,FALSE)+VLOOKUP($E154&amp;$C154,生产方式定位!$F$3:$J$38,5,FALSE),"错误")</f>
        <v>4190</v>
      </c>
      <c r="Y154" s="27" t="str">
        <f t="shared" si="16"/>
        <v/>
      </c>
      <c r="Z154" s="37" t="str">
        <f t="shared" si="17"/>
        <v/>
      </c>
      <c r="AA154" s="37" t="str">
        <f t="shared" si="18"/>
        <v/>
      </c>
      <c r="AB154" s="28">
        <f t="shared" si="19"/>
        <v>1.62</v>
      </c>
      <c r="AC154" s="37"/>
      <c r="AD154" s="38">
        <f t="shared" si="20"/>
        <v>5</v>
      </c>
      <c r="AE154" t="str">
        <f>IFERROR(F154&amp;"*"&amp;ROUND(L154*(G154/$AN154)/VLOOKUP(F154,商品!$A$4:$D$67,4,FALSE),0),"")</f>
        <v/>
      </c>
      <c r="AF154" t="str">
        <f>IFERROR(H154&amp;"*"&amp;ROUND(L154*(I154/$AN154)/VLOOKUP(H154,商品!$A$4:$D$67,4,FALSE),0),"")</f>
        <v/>
      </c>
      <c r="AG154" t="str">
        <f>IFERROR(J154&amp;"*"&amp;ROUND(L154*(K154/$AN154)/VLOOKUP(J154,商品!$A$4:$D$67,4,FALSE),0),"")</f>
        <v/>
      </c>
      <c r="AH154" t="str">
        <f>IFERROR(M154&amp;"*"&amp;ROUND(S154*(N154/$AO154)/VLOOKUP(M154,职业!$A$3:$E$16,4,FALSE),0),"")</f>
        <v/>
      </c>
      <c r="AI154" t="str">
        <f>IFERROR(O154&amp;"*"&amp;ROUND(S154*(P154/$AO154)/VLOOKUP(O154,职业!$A$3:$E$16,4,FALSE),0),"")</f>
        <v/>
      </c>
      <c r="AK154" t="str">
        <f>IFERROR(T154&amp;"*"&amp;ROUND(X154*(U154/$AP154)/VLOOKUP(T154,商品!$A$4:$D$67,4,FALSE),0),"")</f>
        <v/>
      </c>
      <c r="AL154" t="str">
        <f>IFERROR(V154&amp;"*"&amp;ROUND(X154*(W154/$AP154)/VLOOKUP(V154,商品!$A$4:$D$67,4,FALSE),0),"")</f>
        <v/>
      </c>
      <c r="AN154">
        <f t="shared" si="21"/>
        <v>0</v>
      </c>
      <c r="AO154">
        <f t="shared" si="22"/>
        <v>0</v>
      </c>
      <c r="AP154">
        <f t="shared" si="23"/>
        <v>0</v>
      </c>
    </row>
    <row r="155" customHeight="1" spans="1:42">
      <c r="A155" s="18" t="s">
        <v>317</v>
      </c>
      <c r="C155" s="18">
        <v>1</v>
      </c>
      <c r="D155" s="1" t="s">
        <v>222</v>
      </c>
      <c r="E155" s="1" t="s">
        <v>226</v>
      </c>
      <c r="L155" s="1">
        <f>IFERROR(VLOOKUP($D155&amp;$C155,生产方式定位!$A$2:$E$38,2,FALSE)+VLOOKUP($E155&amp;$C155,生产方式定位!$F$3:$J$38,2,FALSE),0)</f>
        <v>0</v>
      </c>
      <c r="S155" s="1">
        <f>IFERROR(VLOOKUP($D155&amp;$C155,生产方式定位!$A$2:$E$38,3,FALSE)+VLOOKUP($E155&amp;$C155,生产方式定位!$F$3:$J$38,3,FALSE),0)</f>
        <v>500</v>
      </c>
      <c r="X155" s="1">
        <f>IFERROR(VLOOKUP($D155&amp;$C155,生产方式定位!$A$2:$E$38,5,FALSE)+VLOOKUP($E155&amp;$C155,生产方式定位!$F$3:$J$38,5,FALSE),"错误")</f>
        <v>250</v>
      </c>
      <c r="Y155" s="27" t="str">
        <f t="shared" si="16"/>
        <v/>
      </c>
      <c r="Z155" s="37" t="str">
        <f t="shared" si="17"/>
        <v/>
      </c>
      <c r="AA155" s="37" t="str">
        <f t="shared" si="18"/>
        <v/>
      </c>
      <c r="AB155" s="28">
        <f t="shared" si="19"/>
        <v>0</v>
      </c>
      <c r="AC155" s="37"/>
      <c r="AD155" s="38">
        <f t="shared" si="20"/>
        <v>1</v>
      </c>
      <c r="AE155" t="str">
        <f>IFERROR(F155&amp;"*"&amp;ROUND(L155*(G155/$AN155)/VLOOKUP(F155,商品!$A$4:$D$67,4,FALSE),0),"")</f>
        <v/>
      </c>
      <c r="AF155" t="str">
        <f>IFERROR(H155&amp;"*"&amp;ROUND(L155*(I155/$AN155)/VLOOKUP(H155,商品!$A$4:$D$67,4,FALSE),0),"")</f>
        <v/>
      </c>
      <c r="AG155" t="str">
        <f>IFERROR(J155&amp;"*"&amp;ROUND(L155*(K155/$AN155)/VLOOKUP(J155,商品!$A$4:$D$67,4,FALSE),0),"")</f>
        <v/>
      </c>
      <c r="AH155" t="str">
        <f>IFERROR(M155&amp;"*"&amp;ROUND(S155*(N155/$AO155)/VLOOKUP(M155,职业!$A$3:$E$16,4,FALSE),0),"")</f>
        <v/>
      </c>
      <c r="AI155" t="str">
        <f>IFERROR(O155&amp;"*"&amp;ROUND(S155*(P155/$AO155)/VLOOKUP(O155,职业!$A$3:$E$16,4,FALSE),0),"")</f>
        <v/>
      </c>
      <c r="AK155" t="str">
        <f>IFERROR(T155&amp;"*"&amp;ROUND(X155*(U155/$AP155)/VLOOKUP(T155,商品!$A$4:$D$67,4,FALSE),0),"")</f>
        <v/>
      </c>
      <c r="AL155" t="str">
        <f>IFERROR(V155&amp;"*"&amp;ROUND(X155*(W155/$AP155)/VLOOKUP(V155,商品!$A$4:$D$67,4,FALSE),0),"")</f>
        <v/>
      </c>
      <c r="AN155">
        <f t="shared" si="21"/>
        <v>0</v>
      </c>
      <c r="AO155">
        <f t="shared" si="22"/>
        <v>0</v>
      </c>
      <c r="AP155">
        <f t="shared" si="23"/>
        <v>0</v>
      </c>
    </row>
    <row r="156" customHeight="1" spans="1:42">
      <c r="A156" s="18" t="s">
        <v>317</v>
      </c>
      <c r="C156" s="18">
        <v>2</v>
      </c>
      <c r="D156" s="1" t="s">
        <v>222</v>
      </c>
      <c r="E156" s="1" t="s">
        <v>226</v>
      </c>
      <c r="L156" s="1">
        <f>IFERROR(VLOOKUP($D156&amp;$C156,生产方式定位!$A$2:$E$38,2,FALSE)+VLOOKUP($E156&amp;$C156,生产方式定位!$F$3:$J$38,2,FALSE),0)</f>
        <v>3200</v>
      </c>
      <c r="S156" s="1">
        <f>IFERROR(VLOOKUP($D156&amp;$C156,生产方式定位!$A$2:$E$38,3,FALSE)+VLOOKUP($E156&amp;$C156,生产方式定位!$F$3:$J$38,3,FALSE),0)</f>
        <v>350</v>
      </c>
      <c r="X156" s="1">
        <f>IFERROR(VLOOKUP($D156&amp;$C156,生产方式定位!$A$2:$E$38,5,FALSE)+VLOOKUP($E156&amp;$C156,生产方式定位!$F$3:$J$38,5,FALSE),"错误")</f>
        <v>1865</v>
      </c>
      <c r="Y156" s="27" t="str">
        <f t="shared" si="16"/>
        <v/>
      </c>
      <c r="Z156" s="37" t="str">
        <f t="shared" si="17"/>
        <v/>
      </c>
      <c r="AA156" s="37" t="str">
        <f t="shared" si="18"/>
        <v/>
      </c>
      <c r="AB156" s="28">
        <f t="shared" si="19"/>
        <v>1.72</v>
      </c>
      <c r="AC156" s="37"/>
      <c r="AD156" s="38">
        <f t="shared" si="20"/>
        <v>2</v>
      </c>
      <c r="AE156" t="str">
        <f>IFERROR(F156&amp;"*"&amp;ROUND(L156*(G156/$AN156)/VLOOKUP(F156,商品!$A$4:$D$67,4,FALSE),0),"")</f>
        <v/>
      </c>
      <c r="AF156" t="str">
        <f>IFERROR(H156&amp;"*"&amp;ROUND(L156*(I156/$AN156)/VLOOKUP(H156,商品!$A$4:$D$67,4,FALSE),0),"")</f>
        <v/>
      </c>
      <c r="AG156" t="str">
        <f>IFERROR(J156&amp;"*"&amp;ROUND(L156*(K156/$AN156)/VLOOKUP(J156,商品!$A$4:$D$67,4,FALSE),0),"")</f>
        <v/>
      </c>
      <c r="AH156" t="str">
        <f>IFERROR(M156&amp;"*"&amp;ROUND(S156*(N156/$AO156)/VLOOKUP(M156,职业!$A$3:$E$16,4,FALSE),0),"")</f>
        <v/>
      </c>
      <c r="AI156" t="str">
        <f>IFERROR(O156&amp;"*"&amp;ROUND(S156*(P156/$AO156)/VLOOKUP(O156,职业!$A$3:$E$16,4,FALSE),0),"")</f>
        <v/>
      </c>
      <c r="AK156" t="str">
        <f>IFERROR(T156&amp;"*"&amp;ROUND(X156*(U156/$AP156)/VLOOKUP(T156,商品!$A$4:$D$67,4,FALSE),0),"")</f>
        <v/>
      </c>
      <c r="AL156" t="str">
        <f>IFERROR(V156&amp;"*"&amp;ROUND(X156*(W156/$AP156)/VLOOKUP(V156,商品!$A$4:$D$67,4,FALSE),0),"")</f>
        <v/>
      </c>
      <c r="AN156">
        <f t="shared" si="21"/>
        <v>0</v>
      </c>
      <c r="AO156">
        <f t="shared" si="22"/>
        <v>0</v>
      </c>
      <c r="AP156">
        <f t="shared" si="23"/>
        <v>0</v>
      </c>
    </row>
    <row r="157" customHeight="1" spans="1:42">
      <c r="A157" s="18" t="s">
        <v>317</v>
      </c>
      <c r="C157" s="18">
        <v>3</v>
      </c>
      <c r="D157" s="1" t="s">
        <v>222</v>
      </c>
      <c r="E157" s="1" t="s">
        <v>226</v>
      </c>
      <c r="L157" s="1">
        <f>IFERROR(VLOOKUP($D157&amp;$C157,生产方式定位!$A$2:$E$38,2,FALSE)+VLOOKUP($E157&amp;$C157,生产方式定位!$F$3:$J$38,2,FALSE),0)</f>
        <v>4400</v>
      </c>
      <c r="S157" s="1">
        <f>IFERROR(VLOOKUP($D157&amp;$C157,生产方式定位!$A$2:$E$38,3,FALSE)+VLOOKUP($E157&amp;$C157,生产方式定位!$F$3:$J$38,3,FALSE),0)</f>
        <v>200</v>
      </c>
      <c r="X157" s="1">
        <f>IFERROR(VLOOKUP($D157&amp;$C157,生产方式定位!$A$2:$E$38,5,FALSE)+VLOOKUP($E157&amp;$C157,生产方式定位!$F$3:$J$38,5,FALSE),"错误")</f>
        <v>2560</v>
      </c>
      <c r="Y157" s="27" t="str">
        <f t="shared" si="16"/>
        <v/>
      </c>
      <c r="Z157" s="37" t="str">
        <f t="shared" si="17"/>
        <v/>
      </c>
      <c r="AA157" s="37" t="str">
        <f t="shared" si="18"/>
        <v/>
      </c>
      <c r="AB157" s="28">
        <f t="shared" si="19"/>
        <v>1.72</v>
      </c>
      <c r="AC157" s="37"/>
      <c r="AD157" s="38">
        <f t="shared" si="20"/>
        <v>3</v>
      </c>
      <c r="AE157" t="str">
        <f>IFERROR(F157&amp;"*"&amp;ROUND(L157*(G157/$AN157)/VLOOKUP(F157,商品!$A$4:$D$67,4,FALSE),0),"")</f>
        <v/>
      </c>
      <c r="AF157" t="str">
        <f>IFERROR(H157&amp;"*"&amp;ROUND(L157*(I157/$AN157)/VLOOKUP(H157,商品!$A$4:$D$67,4,FALSE),0),"")</f>
        <v/>
      </c>
      <c r="AG157" t="str">
        <f>IFERROR(J157&amp;"*"&amp;ROUND(L157*(K157/$AN157)/VLOOKUP(J157,商品!$A$4:$D$67,4,FALSE),0),"")</f>
        <v/>
      </c>
      <c r="AH157" t="str">
        <f>IFERROR(M157&amp;"*"&amp;ROUND(S157*(N157/$AO157)/VLOOKUP(M157,职业!$A$3:$E$16,4,FALSE),0),"")</f>
        <v/>
      </c>
      <c r="AI157" t="str">
        <f>IFERROR(O157&amp;"*"&amp;ROUND(S157*(P157/$AO157)/VLOOKUP(O157,职业!$A$3:$E$16,4,FALSE),0),"")</f>
        <v/>
      </c>
      <c r="AK157" t="str">
        <f>IFERROR(T157&amp;"*"&amp;ROUND(X157*(U157/$AP157)/VLOOKUP(T157,商品!$A$4:$D$67,4,FALSE),0),"")</f>
        <v/>
      </c>
      <c r="AL157" t="str">
        <f>IFERROR(V157&amp;"*"&amp;ROUND(X157*(W157/$AP157)/VLOOKUP(V157,商品!$A$4:$D$67,4,FALSE),0),"")</f>
        <v/>
      </c>
      <c r="AN157">
        <f t="shared" si="21"/>
        <v>0</v>
      </c>
      <c r="AO157">
        <f t="shared" si="22"/>
        <v>0</v>
      </c>
      <c r="AP157">
        <f t="shared" si="23"/>
        <v>0</v>
      </c>
    </row>
    <row r="158" customHeight="1" spans="1:42">
      <c r="A158" s="18" t="s">
        <v>317</v>
      </c>
      <c r="C158" s="18">
        <v>4</v>
      </c>
      <c r="D158" s="1" t="s">
        <v>222</v>
      </c>
      <c r="E158" s="1" t="s">
        <v>226</v>
      </c>
      <c r="L158" s="1">
        <f>IFERROR(VLOOKUP($D158&amp;$C158,生产方式定位!$A$2:$E$38,2,FALSE)+VLOOKUP($E158&amp;$C158,生产方式定位!$F$3:$J$38,2,FALSE),0)</f>
        <v>5600</v>
      </c>
      <c r="S158" s="1">
        <f>IFERROR(VLOOKUP($D158&amp;$C158,生产方式定位!$A$2:$E$38,3,FALSE)+VLOOKUP($E158&amp;$C158,生产方式定位!$F$3:$J$38,3,FALSE),0)</f>
        <v>50</v>
      </c>
      <c r="X158" s="1">
        <f>IFERROR(VLOOKUP($D158&amp;$C158,生产方式定位!$A$2:$E$38,5,FALSE)+VLOOKUP($E158&amp;$C158,生产方式定位!$F$3:$J$38,5,FALSE),"错误")</f>
        <v>3335</v>
      </c>
      <c r="Y158" s="27" t="str">
        <f t="shared" si="16"/>
        <v/>
      </c>
      <c r="Z158" s="37" t="str">
        <f t="shared" si="17"/>
        <v/>
      </c>
      <c r="AA158" s="37" t="str">
        <f t="shared" si="18"/>
        <v/>
      </c>
      <c r="AB158" s="28">
        <f t="shared" si="19"/>
        <v>1.68</v>
      </c>
      <c r="AC158" s="37"/>
      <c r="AD158" s="38">
        <f t="shared" si="20"/>
        <v>4</v>
      </c>
      <c r="AE158" t="str">
        <f>IFERROR(F158&amp;"*"&amp;ROUND(L158*(G158/$AN158)/VLOOKUP(F158,商品!$A$4:$D$67,4,FALSE),0),"")</f>
        <v/>
      </c>
      <c r="AF158" t="str">
        <f>IFERROR(H158&amp;"*"&amp;ROUND(L158*(I158/$AN158)/VLOOKUP(H158,商品!$A$4:$D$67,4,FALSE),0),"")</f>
        <v/>
      </c>
      <c r="AG158" t="str">
        <f>IFERROR(J158&amp;"*"&amp;ROUND(L158*(K158/$AN158)/VLOOKUP(J158,商品!$A$4:$D$67,4,FALSE),0),"")</f>
        <v/>
      </c>
      <c r="AH158" t="str">
        <f>IFERROR(M158&amp;"*"&amp;ROUND(S158*(N158/$AO158)/VLOOKUP(M158,职业!$A$3:$E$16,4,FALSE),0),"")</f>
        <v/>
      </c>
      <c r="AI158" t="str">
        <f>IFERROR(O158&amp;"*"&amp;ROUND(S158*(P158/$AO158)/VLOOKUP(O158,职业!$A$3:$E$16,4,FALSE),0),"")</f>
        <v/>
      </c>
      <c r="AK158" t="str">
        <f>IFERROR(T158&amp;"*"&amp;ROUND(X158*(U158/$AP158)/VLOOKUP(T158,商品!$A$4:$D$67,4,FALSE),0),"")</f>
        <v/>
      </c>
      <c r="AL158" t="str">
        <f>IFERROR(V158&amp;"*"&amp;ROUND(X158*(W158/$AP158)/VLOOKUP(V158,商品!$A$4:$D$67,4,FALSE),0),"")</f>
        <v/>
      </c>
      <c r="AN158">
        <f t="shared" si="21"/>
        <v>0</v>
      </c>
      <c r="AO158">
        <f t="shared" si="22"/>
        <v>0</v>
      </c>
      <c r="AP158">
        <f t="shared" si="23"/>
        <v>0</v>
      </c>
    </row>
    <row r="159" customHeight="1" spans="1:42">
      <c r="A159" s="18" t="s">
        <v>317</v>
      </c>
      <c r="C159" s="18">
        <v>5</v>
      </c>
      <c r="D159" s="1" t="s">
        <v>222</v>
      </c>
      <c r="E159" s="1" t="s">
        <v>226</v>
      </c>
      <c r="L159" s="1">
        <f>IFERROR(VLOOKUP($D159&amp;$C159,生产方式定位!$A$2:$E$38,2,FALSE)+VLOOKUP($E159&amp;$C159,生产方式定位!$F$3:$J$38,2,FALSE),0)</f>
        <v>6800</v>
      </c>
      <c r="S159" s="1">
        <f>IFERROR(VLOOKUP($D159&amp;$C159,生产方式定位!$A$2:$E$38,3,FALSE)+VLOOKUP($E159&amp;$C159,生产方式定位!$F$3:$J$38,3,FALSE),0)</f>
        <v>-100</v>
      </c>
      <c r="X159" s="1">
        <f>IFERROR(VLOOKUP($D159&amp;$C159,生产方式定位!$A$2:$E$38,5,FALSE)+VLOOKUP($E159&amp;$C159,生产方式定位!$F$3:$J$38,5,FALSE),"错误")</f>
        <v>4190</v>
      </c>
      <c r="Y159" s="27" t="str">
        <f t="shared" si="16"/>
        <v/>
      </c>
      <c r="Z159" s="37" t="str">
        <f t="shared" si="17"/>
        <v/>
      </c>
      <c r="AA159" s="37" t="str">
        <f t="shared" si="18"/>
        <v/>
      </c>
      <c r="AB159" s="28">
        <f t="shared" si="19"/>
        <v>1.62</v>
      </c>
      <c r="AC159" s="37"/>
      <c r="AD159" s="38">
        <f t="shared" si="20"/>
        <v>5</v>
      </c>
      <c r="AE159" t="str">
        <f>IFERROR(F159&amp;"*"&amp;ROUND(L159*(G159/$AN159)/VLOOKUP(F159,商品!$A$4:$D$67,4,FALSE),0),"")</f>
        <v/>
      </c>
      <c r="AF159" t="str">
        <f>IFERROR(H159&amp;"*"&amp;ROUND(L159*(I159/$AN159)/VLOOKUP(H159,商品!$A$4:$D$67,4,FALSE),0),"")</f>
        <v/>
      </c>
      <c r="AG159" t="str">
        <f>IFERROR(J159&amp;"*"&amp;ROUND(L159*(K159/$AN159)/VLOOKUP(J159,商品!$A$4:$D$67,4,FALSE),0),"")</f>
        <v/>
      </c>
      <c r="AH159" t="str">
        <f>IFERROR(M159&amp;"*"&amp;ROUND(S159*(N159/$AO159)/VLOOKUP(M159,职业!$A$3:$E$16,4,FALSE),0),"")</f>
        <v/>
      </c>
      <c r="AI159" t="str">
        <f>IFERROR(O159&amp;"*"&amp;ROUND(S159*(P159/$AO159)/VLOOKUP(O159,职业!$A$3:$E$16,4,FALSE),0),"")</f>
        <v/>
      </c>
      <c r="AK159" t="str">
        <f>IFERROR(T159&amp;"*"&amp;ROUND(X159*(U159/$AP159)/VLOOKUP(T159,商品!$A$4:$D$67,4,FALSE),0),"")</f>
        <v/>
      </c>
      <c r="AL159" t="str">
        <f>IFERROR(V159&amp;"*"&amp;ROUND(X159*(W159/$AP159)/VLOOKUP(V159,商品!$A$4:$D$67,4,FALSE),0),"")</f>
        <v/>
      </c>
      <c r="AN159">
        <f t="shared" si="21"/>
        <v>0</v>
      </c>
      <c r="AO159">
        <f t="shared" si="22"/>
        <v>0</v>
      </c>
      <c r="AP159">
        <f t="shared" si="23"/>
        <v>0</v>
      </c>
    </row>
    <row r="160" customHeight="1" spans="1:42">
      <c r="A160" s="5" t="s">
        <v>318</v>
      </c>
      <c r="C160" s="5">
        <v>1</v>
      </c>
      <c r="D160" s="1" t="s">
        <v>293</v>
      </c>
      <c r="E160" s="1" t="s">
        <v>227</v>
      </c>
      <c r="L160" s="1">
        <f>IFERROR(VLOOKUP($D160&amp;$C160,生产方式定位!$A$2:$E$38,2,FALSE)+VLOOKUP($E160&amp;$C160,生产方式定位!$F$3:$J$38,2,FALSE),0)</f>
        <v>0</v>
      </c>
      <c r="S160" s="1">
        <f>IFERROR(VLOOKUP($D160&amp;$C160,生产方式定位!$A$2:$E$38,3,FALSE)+VLOOKUP($E160&amp;$C160,生产方式定位!$F$3:$J$38,3,FALSE),0)</f>
        <v>0</v>
      </c>
      <c r="X160" s="1">
        <f>IFERROR(VLOOKUP($D160&amp;$C160,生产方式定位!$A$2:$E$38,5,FALSE)+VLOOKUP($E160&amp;$C160,生产方式定位!$F$3:$J$38,5,FALSE),"错误")</f>
        <v>0</v>
      </c>
      <c r="Y160" s="27" t="str">
        <f t="shared" si="16"/>
        <v/>
      </c>
      <c r="Z160" s="37" t="str">
        <f t="shared" si="17"/>
        <v/>
      </c>
      <c r="AA160" s="37" t="str">
        <f t="shared" si="18"/>
        <v/>
      </c>
      <c r="AB160" s="28" t="str">
        <f t="shared" si="19"/>
        <v/>
      </c>
      <c r="AC160" s="37"/>
      <c r="AD160" s="38">
        <f t="shared" si="20"/>
        <v>1</v>
      </c>
      <c r="AE160" t="str">
        <f>IFERROR(F160&amp;"*"&amp;ROUND(L160*(G160/$AN160)/VLOOKUP(F160,商品!$A$4:$D$67,4,FALSE),0),"")</f>
        <v/>
      </c>
      <c r="AF160" t="str">
        <f>IFERROR(H160&amp;"*"&amp;ROUND(L160*(I160/$AN160)/VLOOKUP(H160,商品!$A$4:$D$67,4,FALSE),0),"")</f>
        <v/>
      </c>
      <c r="AG160" t="str">
        <f>IFERROR(J160&amp;"*"&amp;ROUND(L160*(K160/$AN160)/VLOOKUP(J160,商品!$A$4:$D$67,4,FALSE),0),"")</f>
        <v/>
      </c>
      <c r="AH160" t="str">
        <f>IFERROR(M160&amp;"*"&amp;ROUND(S160*(N160/$AO160)/VLOOKUP(M160,职业!$A$3:$E$16,4,FALSE),0),"")</f>
        <v/>
      </c>
      <c r="AI160" t="str">
        <f>IFERROR(O160&amp;"*"&amp;ROUND(S160*(P160/$AO160)/VLOOKUP(O160,职业!$A$3:$E$16,4,FALSE),0),"")</f>
        <v/>
      </c>
      <c r="AK160" t="str">
        <f>IFERROR(T160&amp;"*"&amp;ROUND(X160*(U160/$AP160)/VLOOKUP(T160,商品!$A$4:$D$67,4,FALSE),0),"")</f>
        <v/>
      </c>
      <c r="AL160" t="str">
        <f>IFERROR(V160&amp;"*"&amp;ROUND(X160*(W160/$AP160)/VLOOKUP(V160,商品!$A$4:$D$67,4,FALSE),0),"")</f>
        <v/>
      </c>
      <c r="AN160">
        <f t="shared" si="21"/>
        <v>0</v>
      </c>
      <c r="AO160">
        <f t="shared" si="22"/>
        <v>0</v>
      </c>
      <c r="AP160">
        <f t="shared" si="23"/>
        <v>0</v>
      </c>
    </row>
    <row r="161" customHeight="1" spans="1:42">
      <c r="A161" s="5" t="s">
        <v>318</v>
      </c>
      <c r="C161" s="5">
        <v>2</v>
      </c>
      <c r="D161" s="1" t="s">
        <v>293</v>
      </c>
      <c r="E161" s="1" t="s">
        <v>227</v>
      </c>
      <c r="L161" s="1">
        <f>IFERROR(VLOOKUP($D161&amp;$C161,生产方式定位!$A$2:$E$38,2,FALSE)+VLOOKUP($E161&amp;$C161,生产方式定位!$F$3:$J$38,2,FALSE),0)</f>
        <v>0</v>
      </c>
      <c r="S161" s="1">
        <f>IFERROR(VLOOKUP($D161&amp;$C161,生产方式定位!$A$2:$E$38,3,FALSE)+VLOOKUP($E161&amp;$C161,生产方式定位!$F$3:$J$38,3,FALSE),0)</f>
        <v>0</v>
      </c>
      <c r="X161" s="1">
        <f>IFERROR(VLOOKUP($D161&amp;$C161,生产方式定位!$A$2:$E$38,5,FALSE)+VLOOKUP($E161&amp;$C161,生产方式定位!$F$3:$J$38,5,FALSE),"错误")</f>
        <v>0</v>
      </c>
      <c r="Y161" s="27" t="str">
        <f t="shared" si="16"/>
        <v/>
      </c>
      <c r="Z161" s="37" t="str">
        <f t="shared" si="17"/>
        <v/>
      </c>
      <c r="AA161" s="37" t="str">
        <f t="shared" si="18"/>
        <v/>
      </c>
      <c r="AB161" s="28" t="str">
        <f t="shared" si="19"/>
        <v/>
      </c>
      <c r="AC161" s="37"/>
      <c r="AD161" s="38">
        <f t="shared" si="20"/>
        <v>2</v>
      </c>
      <c r="AE161" t="str">
        <f>IFERROR(F161&amp;"*"&amp;ROUND(L161*(G161/$AN161)/VLOOKUP(F161,商品!$A$4:$D$67,4,FALSE),0),"")</f>
        <v/>
      </c>
      <c r="AF161" t="str">
        <f>IFERROR(H161&amp;"*"&amp;ROUND(L161*(I161/$AN161)/VLOOKUP(H161,商品!$A$4:$D$67,4,FALSE),0),"")</f>
        <v/>
      </c>
      <c r="AG161" t="str">
        <f>IFERROR(J161&amp;"*"&amp;ROUND(L161*(K161/$AN161)/VLOOKUP(J161,商品!$A$4:$D$67,4,FALSE),0),"")</f>
        <v/>
      </c>
      <c r="AH161" t="str">
        <f>IFERROR(M161&amp;"*"&amp;ROUND(S161*(N161/$AO161)/VLOOKUP(M161,职业!$A$3:$E$16,4,FALSE),0),"")</f>
        <v/>
      </c>
      <c r="AI161" t="str">
        <f>IFERROR(O161&amp;"*"&amp;ROUND(S161*(P161/$AO161)/VLOOKUP(O161,职业!$A$3:$E$16,4,FALSE),0),"")</f>
        <v/>
      </c>
      <c r="AK161" t="str">
        <f>IFERROR(T161&amp;"*"&amp;ROUND(X161*(U161/$AP161)/VLOOKUP(T161,商品!$A$4:$D$67,4,FALSE),0),"")</f>
        <v/>
      </c>
      <c r="AL161" t="str">
        <f>IFERROR(V161&amp;"*"&amp;ROUND(X161*(W161/$AP161)/VLOOKUP(V161,商品!$A$4:$D$67,4,FALSE),0),"")</f>
        <v/>
      </c>
      <c r="AN161">
        <f t="shared" si="21"/>
        <v>0</v>
      </c>
      <c r="AO161">
        <f t="shared" si="22"/>
        <v>0</v>
      </c>
      <c r="AP161">
        <f t="shared" si="23"/>
        <v>0</v>
      </c>
    </row>
    <row r="162" customHeight="1" spans="1:42">
      <c r="A162" s="5" t="s">
        <v>318</v>
      </c>
      <c r="C162" s="5">
        <v>3</v>
      </c>
      <c r="D162" s="1" t="s">
        <v>293</v>
      </c>
      <c r="E162" s="1" t="s">
        <v>227</v>
      </c>
      <c r="L162" s="1">
        <f>IFERROR(VLOOKUP($D162&amp;$C162,生产方式定位!$A$2:$E$38,2,FALSE)+VLOOKUP($E162&amp;$C162,生产方式定位!$F$3:$J$38,2,FALSE),0)</f>
        <v>0</v>
      </c>
      <c r="S162" s="1">
        <f>IFERROR(VLOOKUP($D162&amp;$C162,生产方式定位!$A$2:$E$38,3,FALSE)+VLOOKUP($E162&amp;$C162,生产方式定位!$F$3:$J$38,3,FALSE),0)</f>
        <v>0</v>
      </c>
      <c r="X162" s="1">
        <f>IFERROR(VLOOKUP($D162&amp;$C162,生产方式定位!$A$2:$E$38,5,FALSE)+VLOOKUP($E162&amp;$C162,生产方式定位!$F$3:$J$38,5,FALSE),"错误")</f>
        <v>0</v>
      </c>
      <c r="Y162" s="27" t="str">
        <f t="shared" si="16"/>
        <v/>
      </c>
      <c r="Z162" s="37" t="str">
        <f t="shared" si="17"/>
        <v/>
      </c>
      <c r="AA162" s="37" t="str">
        <f t="shared" si="18"/>
        <v/>
      </c>
      <c r="AB162" s="28" t="str">
        <f t="shared" si="19"/>
        <v/>
      </c>
      <c r="AC162" s="37"/>
      <c r="AD162" s="38">
        <f t="shared" si="20"/>
        <v>3</v>
      </c>
      <c r="AE162" t="str">
        <f>IFERROR(F162&amp;"*"&amp;ROUND(L162*(G162/$AN162)/VLOOKUP(F162,商品!$A$4:$D$67,4,FALSE),0),"")</f>
        <v/>
      </c>
      <c r="AF162" t="str">
        <f>IFERROR(H162&amp;"*"&amp;ROUND(L162*(I162/$AN162)/VLOOKUP(H162,商品!$A$4:$D$67,4,FALSE),0),"")</f>
        <v/>
      </c>
      <c r="AG162" t="str">
        <f>IFERROR(J162&amp;"*"&amp;ROUND(L162*(K162/$AN162)/VLOOKUP(J162,商品!$A$4:$D$67,4,FALSE),0),"")</f>
        <v/>
      </c>
      <c r="AH162" t="str">
        <f>IFERROR(M162&amp;"*"&amp;ROUND(S162*(N162/$AO162)/VLOOKUP(M162,职业!$A$3:$E$16,4,FALSE),0),"")</f>
        <v/>
      </c>
      <c r="AI162" t="str">
        <f>IFERROR(O162&amp;"*"&amp;ROUND(S162*(P162/$AO162)/VLOOKUP(O162,职业!$A$3:$E$16,4,FALSE),0),"")</f>
        <v/>
      </c>
      <c r="AK162" t="str">
        <f>IFERROR(T162&amp;"*"&amp;ROUND(X162*(U162/$AP162)/VLOOKUP(T162,商品!$A$4:$D$67,4,FALSE),0),"")</f>
        <v/>
      </c>
      <c r="AL162" t="str">
        <f>IFERROR(V162&amp;"*"&amp;ROUND(X162*(W162/$AP162)/VLOOKUP(V162,商品!$A$4:$D$67,4,FALSE),0),"")</f>
        <v/>
      </c>
      <c r="AN162">
        <f t="shared" si="21"/>
        <v>0</v>
      </c>
      <c r="AO162">
        <f t="shared" si="22"/>
        <v>0</v>
      </c>
      <c r="AP162">
        <f t="shared" si="23"/>
        <v>0</v>
      </c>
    </row>
    <row r="163" customHeight="1" spans="1:42">
      <c r="A163" s="5" t="s">
        <v>318</v>
      </c>
      <c r="C163" s="5">
        <v>4</v>
      </c>
      <c r="D163" s="1" t="s">
        <v>293</v>
      </c>
      <c r="E163" s="1" t="s">
        <v>227</v>
      </c>
      <c r="L163" s="1">
        <f>IFERROR(VLOOKUP($D163&amp;$C163,生产方式定位!$A$2:$E$38,2,FALSE)+VLOOKUP($E163&amp;$C163,生产方式定位!$F$3:$J$38,2,FALSE),0)</f>
        <v>0</v>
      </c>
      <c r="S163" s="1">
        <f>IFERROR(VLOOKUP($D163&amp;$C163,生产方式定位!$A$2:$E$38,3,FALSE)+VLOOKUP($E163&amp;$C163,生产方式定位!$F$3:$J$38,3,FALSE),0)</f>
        <v>0</v>
      </c>
      <c r="X163" s="1">
        <f>IFERROR(VLOOKUP($D163&amp;$C163,生产方式定位!$A$2:$E$38,5,FALSE)+VLOOKUP($E163&amp;$C163,生产方式定位!$F$3:$J$38,5,FALSE),"错误")</f>
        <v>0</v>
      </c>
      <c r="Y163" s="27" t="str">
        <f t="shared" si="16"/>
        <v/>
      </c>
      <c r="Z163" s="37" t="str">
        <f t="shared" si="17"/>
        <v/>
      </c>
      <c r="AA163" s="37" t="str">
        <f t="shared" si="18"/>
        <v/>
      </c>
      <c r="AB163" s="28" t="str">
        <f t="shared" si="19"/>
        <v/>
      </c>
      <c r="AC163" s="37"/>
      <c r="AD163" s="38">
        <f t="shared" si="20"/>
        <v>4</v>
      </c>
      <c r="AE163" t="str">
        <f>IFERROR(F163&amp;"*"&amp;ROUND(L163*(G163/$AN163)/VLOOKUP(F163,商品!$A$4:$D$67,4,FALSE),0),"")</f>
        <v/>
      </c>
      <c r="AF163" t="str">
        <f>IFERROR(H163&amp;"*"&amp;ROUND(L163*(I163/$AN163)/VLOOKUP(H163,商品!$A$4:$D$67,4,FALSE),0),"")</f>
        <v/>
      </c>
      <c r="AG163" t="str">
        <f>IFERROR(J163&amp;"*"&amp;ROUND(L163*(K163/$AN163)/VLOOKUP(J163,商品!$A$4:$D$67,4,FALSE),0),"")</f>
        <v/>
      </c>
      <c r="AH163" t="str">
        <f>IFERROR(M163&amp;"*"&amp;ROUND(S163*(N163/$AO163)/VLOOKUP(M163,职业!$A$3:$E$16,4,FALSE),0),"")</f>
        <v/>
      </c>
      <c r="AI163" t="str">
        <f>IFERROR(O163&amp;"*"&amp;ROUND(S163*(P163/$AO163)/VLOOKUP(O163,职业!$A$3:$E$16,4,FALSE),0),"")</f>
        <v/>
      </c>
      <c r="AK163" t="str">
        <f>IFERROR(T163&amp;"*"&amp;ROUND(X163*(U163/$AP163)/VLOOKUP(T163,商品!$A$4:$D$67,4,FALSE),0),"")</f>
        <v/>
      </c>
      <c r="AL163" t="str">
        <f>IFERROR(V163&amp;"*"&amp;ROUND(X163*(W163/$AP163)/VLOOKUP(V163,商品!$A$4:$D$67,4,FALSE),0),"")</f>
        <v/>
      </c>
      <c r="AN163">
        <f t="shared" si="21"/>
        <v>0</v>
      </c>
      <c r="AO163">
        <f t="shared" si="22"/>
        <v>0</v>
      </c>
      <c r="AP163">
        <f t="shared" si="23"/>
        <v>0</v>
      </c>
    </row>
    <row r="164" customHeight="1" spans="1:42">
      <c r="A164" s="5" t="s">
        <v>318</v>
      </c>
      <c r="C164" s="5">
        <v>5</v>
      </c>
      <c r="D164" s="1" t="s">
        <v>293</v>
      </c>
      <c r="E164" s="1" t="s">
        <v>227</v>
      </c>
      <c r="L164" s="1">
        <f>IFERROR(VLOOKUP($D164&amp;$C164,生产方式定位!$A$2:$E$38,2,FALSE)+VLOOKUP($E164&amp;$C164,生产方式定位!$F$3:$J$38,2,FALSE),0)</f>
        <v>0</v>
      </c>
      <c r="S164" s="1">
        <f>IFERROR(VLOOKUP($D164&amp;$C164,生产方式定位!$A$2:$E$38,3,FALSE)+VLOOKUP($E164&amp;$C164,生产方式定位!$F$3:$J$38,3,FALSE),0)</f>
        <v>0</v>
      </c>
      <c r="X164" s="1">
        <f>IFERROR(VLOOKUP($D164&amp;$C164,生产方式定位!$A$2:$E$38,5,FALSE)+VLOOKUP($E164&amp;$C164,生产方式定位!$F$3:$J$38,5,FALSE),"错误")</f>
        <v>0</v>
      </c>
      <c r="Y164" s="27" t="str">
        <f t="shared" si="16"/>
        <v/>
      </c>
      <c r="Z164" s="37" t="str">
        <f t="shared" si="17"/>
        <v/>
      </c>
      <c r="AA164" s="37" t="str">
        <f t="shared" si="18"/>
        <v/>
      </c>
      <c r="AB164" s="28" t="str">
        <f t="shared" si="19"/>
        <v/>
      </c>
      <c r="AC164" s="37"/>
      <c r="AD164" s="38">
        <f t="shared" si="20"/>
        <v>5</v>
      </c>
      <c r="AE164" t="str">
        <f>IFERROR(F164&amp;"*"&amp;ROUND(L164*(G164/$AN164)/VLOOKUP(F164,商品!$A$4:$D$67,4,FALSE),0),"")</f>
        <v/>
      </c>
      <c r="AF164" t="str">
        <f>IFERROR(H164&amp;"*"&amp;ROUND(L164*(I164/$AN164)/VLOOKUP(H164,商品!$A$4:$D$67,4,FALSE),0),"")</f>
        <v/>
      </c>
      <c r="AG164" t="str">
        <f>IFERROR(J164&amp;"*"&amp;ROUND(L164*(K164/$AN164)/VLOOKUP(J164,商品!$A$4:$D$67,4,FALSE),0),"")</f>
        <v/>
      </c>
      <c r="AH164" t="str">
        <f>IFERROR(M164&amp;"*"&amp;ROUND(S164*(N164/$AO164)/VLOOKUP(M164,职业!$A$3:$E$16,4,FALSE),0),"")</f>
        <v/>
      </c>
      <c r="AI164" t="str">
        <f>IFERROR(O164&amp;"*"&amp;ROUND(S164*(P164/$AO164)/VLOOKUP(O164,职业!$A$3:$E$16,4,FALSE),0),"")</f>
        <v/>
      </c>
      <c r="AK164" t="str">
        <f>IFERROR(T164&amp;"*"&amp;ROUND(X164*(U164/$AP164)/VLOOKUP(T164,商品!$A$4:$D$67,4,FALSE),0),"")</f>
        <v/>
      </c>
      <c r="AL164" t="str">
        <f>IFERROR(V164&amp;"*"&amp;ROUND(X164*(W164/$AP164)/VLOOKUP(V164,商品!$A$4:$D$67,4,FALSE),0),"")</f>
        <v/>
      </c>
      <c r="AN164">
        <f t="shared" si="21"/>
        <v>0</v>
      </c>
      <c r="AO164">
        <f t="shared" si="22"/>
        <v>0</v>
      </c>
      <c r="AP164">
        <f t="shared" si="23"/>
        <v>0</v>
      </c>
    </row>
    <row r="165" customHeight="1" spans="1:42">
      <c r="A165" s="5" t="s">
        <v>318</v>
      </c>
      <c r="C165" s="5">
        <v>6</v>
      </c>
      <c r="D165" s="1" t="s">
        <v>293</v>
      </c>
      <c r="E165" s="1" t="s">
        <v>227</v>
      </c>
      <c r="L165" s="1">
        <f>IFERROR(VLOOKUP($D165&amp;$C165,生产方式定位!$A$2:$E$38,2,FALSE)+VLOOKUP($E165&amp;$C165,生产方式定位!$F$3:$J$38,2,FALSE),0)</f>
        <v>0</v>
      </c>
      <c r="S165" s="1">
        <f>IFERROR(VLOOKUP($D165&amp;$C165,生产方式定位!$A$2:$E$38,3,FALSE)+VLOOKUP($E165&amp;$C165,生产方式定位!$F$3:$J$38,3,FALSE),0)</f>
        <v>0</v>
      </c>
      <c r="X165" s="1">
        <f>IFERROR(VLOOKUP($D165&amp;$C165,生产方式定位!$A$2:$E$38,5,FALSE)+VLOOKUP($E165&amp;$C165,生产方式定位!$F$3:$J$38,5,FALSE),"错误")</f>
        <v>0</v>
      </c>
      <c r="Y165" s="27" t="str">
        <f t="shared" si="16"/>
        <v/>
      </c>
      <c r="Z165" s="37" t="str">
        <f t="shared" si="17"/>
        <v/>
      </c>
      <c r="AA165" s="37" t="str">
        <f t="shared" si="18"/>
        <v/>
      </c>
      <c r="AB165" s="28" t="str">
        <f t="shared" si="19"/>
        <v/>
      </c>
      <c r="AC165" s="37"/>
      <c r="AD165" s="38">
        <f t="shared" si="20"/>
        <v>6</v>
      </c>
      <c r="AE165" t="str">
        <f>IFERROR(F165&amp;"*"&amp;ROUND(L165*(G165/$AN165)/VLOOKUP(F165,商品!$A$4:$D$67,4,FALSE),0),"")</f>
        <v/>
      </c>
      <c r="AF165" t="str">
        <f>IFERROR(H165&amp;"*"&amp;ROUND(L165*(I165/$AN165)/VLOOKUP(H165,商品!$A$4:$D$67,4,FALSE),0),"")</f>
        <v/>
      </c>
      <c r="AG165" t="str">
        <f>IFERROR(J165&amp;"*"&amp;ROUND(L165*(K165/$AN165)/VLOOKUP(J165,商品!$A$4:$D$67,4,FALSE),0),"")</f>
        <v/>
      </c>
      <c r="AH165" t="str">
        <f>IFERROR(M165&amp;"*"&amp;ROUND(S165*(N165/$AO165)/VLOOKUP(M165,职业!$A$3:$E$16,4,FALSE),0),"")</f>
        <v/>
      </c>
      <c r="AI165" t="str">
        <f>IFERROR(O165&amp;"*"&amp;ROUND(S165*(P165/$AO165)/VLOOKUP(O165,职业!$A$3:$E$16,4,FALSE),0),"")</f>
        <v/>
      </c>
      <c r="AK165" t="str">
        <f>IFERROR(T165&amp;"*"&amp;ROUND(X165*(U165/$AP165)/VLOOKUP(T165,商品!$A$4:$D$67,4,FALSE),0),"")</f>
        <v/>
      </c>
      <c r="AL165" t="str">
        <f>IFERROR(V165&amp;"*"&amp;ROUND(X165*(W165/$AP165)/VLOOKUP(V165,商品!$A$4:$D$67,4,FALSE),0),"")</f>
        <v/>
      </c>
      <c r="AN165">
        <f t="shared" si="21"/>
        <v>0</v>
      </c>
      <c r="AO165">
        <f t="shared" si="22"/>
        <v>0</v>
      </c>
      <c r="AP165">
        <f t="shared" si="23"/>
        <v>0</v>
      </c>
    </row>
    <row r="166" customHeight="1" spans="1:42">
      <c r="A166" s="5" t="s">
        <v>318</v>
      </c>
      <c r="C166" s="5">
        <v>7</v>
      </c>
      <c r="D166" s="1" t="s">
        <v>293</v>
      </c>
      <c r="E166" s="1" t="s">
        <v>227</v>
      </c>
      <c r="L166" s="1">
        <f>IFERROR(VLOOKUP($D166&amp;$C166,生产方式定位!$A$2:$E$38,2,FALSE)+VLOOKUP($E166&amp;$C166,生产方式定位!$F$3:$J$38,2,FALSE),0)</f>
        <v>0</v>
      </c>
      <c r="S166" s="1">
        <f>IFERROR(VLOOKUP($D166&amp;$C166,生产方式定位!$A$2:$E$38,3,FALSE)+VLOOKUP($E166&amp;$C166,生产方式定位!$F$3:$J$38,3,FALSE),0)</f>
        <v>0</v>
      </c>
      <c r="X166" s="1">
        <f>IFERROR(VLOOKUP($D166&amp;$C166,生产方式定位!$A$2:$E$38,5,FALSE)+VLOOKUP($E166&amp;$C166,生产方式定位!$F$3:$J$38,5,FALSE),"错误")</f>
        <v>0</v>
      </c>
      <c r="Y166" s="27" t="str">
        <f t="shared" si="16"/>
        <v/>
      </c>
      <c r="Z166" s="37" t="str">
        <f t="shared" si="17"/>
        <v/>
      </c>
      <c r="AA166" s="37" t="str">
        <f t="shared" si="18"/>
        <v/>
      </c>
      <c r="AB166" s="28" t="str">
        <f t="shared" si="19"/>
        <v/>
      </c>
      <c r="AC166" s="37"/>
      <c r="AD166" s="38">
        <f t="shared" si="20"/>
        <v>7</v>
      </c>
      <c r="AE166" t="str">
        <f>IFERROR(F166&amp;"*"&amp;ROUND(L166*(G166/$AN166)/VLOOKUP(F166,商品!$A$4:$D$67,4,FALSE),0),"")</f>
        <v/>
      </c>
      <c r="AF166" t="str">
        <f>IFERROR(H166&amp;"*"&amp;ROUND(L166*(I166/$AN166)/VLOOKUP(H166,商品!$A$4:$D$67,4,FALSE),0),"")</f>
        <v/>
      </c>
      <c r="AG166" t="str">
        <f>IFERROR(J166&amp;"*"&amp;ROUND(L166*(K166/$AN166)/VLOOKUP(J166,商品!$A$4:$D$67,4,FALSE),0),"")</f>
        <v/>
      </c>
      <c r="AH166" t="str">
        <f>IFERROR(M166&amp;"*"&amp;ROUND(S166*(N166/$AO166)/VLOOKUP(M166,职业!$A$3:$E$16,4,FALSE),0),"")</f>
        <v/>
      </c>
      <c r="AI166" t="str">
        <f>IFERROR(O166&amp;"*"&amp;ROUND(S166*(P166/$AO166)/VLOOKUP(O166,职业!$A$3:$E$16,4,FALSE),0),"")</f>
        <v/>
      </c>
      <c r="AK166" t="str">
        <f>IFERROR(T166&amp;"*"&amp;ROUND(X166*(U166/$AP166)/VLOOKUP(T166,商品!$A$4:$D$67,4,FALSE),0),"")</f>
        <v/>
      </c>
      <c r="AL166" t="str">
        <f>IFERROR(V166&amp;"*"&amp;ROUND(X166*(W166/$AP166)/VLOOKUP(V166,商品!$A$4:$D$67,4,FALSE),0),"")</f>
        <v/>
      </c>
      <c r="AN166">
        <f t="shared" si="21"/>
        <v>0</v>
      </c>
      <c r="AO166">
        <f t="shared" si="22"/>
        <v>0</v>
      </c>
      <c r="AP166">
        <f t="shared" si="23"/>
        <v>0</v>
      </c>
    </row>
    <row r="167" customHeight="1" spans="1:42">
      <c r="A167" s="5" t="s">
        <v>318</v>
      </c>
      <c r="C167" s="5">
        <v>8</v>
      </c>
      <c r="D167" s="1" t="s">
        <v>293</v>
      </c>
      <c r="E167" s="1" t="s">
        <v>227</v>
      </c>
      <c r="L167" s="1">
        <f>IFERROR(VLOOKUP($D167&amp;$C167,生产方式定位!$A$2:$E$38,2,FALSE)+VLOOKUP($E167&amp;$C167,生产方式定位!$F$3:$J$38,2,FALSE),0)</f>
        <v>0</v>
      </c>
      <c r="S167" s="1">
        <f>IFERROR(VLOOKUP($D167&amp;$C167,生产方式定位!$A$2:$E$38,3,FALSE)+VLOOKUP($E167&amp;$C167,生产方式定位!$F$3:$J$38,3,FALSE),0)</f>
        <v>0</v>
      </c>
      <c r="X167" s="1">
        <f>IFERROR(VLOOKUP($D167&amp;$C167,生产方式定位!$A$2:$E$38,5,FALSE)+VLOOKUP($E167&amp;$C167,生产方式定位!$F$3:$J$38,5,FALSE),"错误")</f>
        <v>0</v>
      </c>
      <c r="Y167" s="27" t="str">
        <f t="shared" si="16"/>
        <v/>
      </c>
      <c r="Z167" s="37" t="str">
        <f t="shared" si="17"/>
        <v/>
      </c>
      <c r="AA167" s="37" t="str">
        <f t="shared" si="18"/>
        <v/>
      </c>
      <c r="AB167" s="28" t="str">
        <f t="shared" si="19"/>
        <v/>
      </c>
      <c r="AC167" s="37"/>
      <c r="AD167" s="38">
        <f t="shared" si="20"/>
        <v>8</v>
      </c>
      <c r="AE167" t="str">
        <f>IFERROR(F167&amp;"*"&amp;ROUND(L167*(G167/$AN167)/VLOOKUP(F167,商品!$A$4:$D$67,4,FALSE),0),"")</f>
        <v/>
      </c>
      <c r="AF167" t="str">
        <f>IFERROR(H167&amp;"*"&amp;ROUND(L167*(I167/$AN167)/VLOOKUP(H167,商品!$A$4:$D$67,4,FALSE),0),"")</f>
        <v/>
      </c>
      <c r="AG167" t="str">
        <f>IFERROR(J167&amp;"*"&amp;ROUND(L167*(K167/$AN167)/VLOOKUP(J167,商品!$A$4:$D$67,4,FALSE),0),"")</f>
        <v/>
      </c>
      <c r="AH167" t="str">
        <f>IFERROR(M167&amp;"*"&amp;ROUND(S167*(N167/$AO167)/VLOOKUP(M167,职业!$A$3:$E$16,4,FALSE),0),"")</f>
        <v/>
      </c>
      <c r="AI167" t="str">
        <f>IFERROR(O167&amp;"*"&amp;ROUND(S167*(P167/$AO167)/VLOOKUP(O167,职业!$A$3:$E$16,4,FALSE),0),"")</f>
        <v/>
      </c>
      <c r="AK167" t="str">
        <f>IFERROR(T167&amp;"*"&amp;ROUND(X167*(U167/$AP167)/VLOOKUP(T167,商品!$A$4:$D$67,4,FALSE),0),"")</f>
        <v/>
      </c>
      <c r="AL167" t="str">
        <f>IFERROR(V167&amp;"*"&amp;ROUND(X167*(W167/$AP167)/VLOOKUP(V167,商品!$A$4:$D$67,4,FALSE),0),"")</f>
        <v/>
      </c>
      <c r="AN167">
        <f t="shared" si="21"/>
        <v>0</v>
      </c>
      <c r="AO167">
        <f t="shared" si="22"/>
        <v>0</v>
      </c>
      <c r="AP167">
        <f t="shared" si="23"/>
        <v>0</v>
      </c>
    </row>
    <row r="168" customHeight="1" spans="1:42">
      <c r="A168" s="18" t="s">
        <v>320</v>
      </c>
      <c r="C168" s="18">
        <v>1</v>
      </c>
      <c r="D168" s="1" t="s">
        <v>222</v>
      </c>
      <c r="E168" s="1" t="s">
        <v>224</v>
      </c>
      <c r="L168" s="1">
        <f>IFERROR(VLOOKUP($D168&amp;$C168,生产方式定位!$A$2:$E$38,2,FALSE)+VLOOKUP($E168&amp;$C168,生产方式定位!$F$3:$J$38,2,FALSE),0)</f>
        <v>0</v>
      </c>
      <c r="S168" s="1">
        <f>IFERROR(VLOOKUP($D168&amp;$C168,生产方式定位!$A$2:$E$38,3,FALSE)+VLOOKUP($E168&amp;$C168,生产方式定位!$F$3:$J$38,3,FALSE),0)</f>
        <v>500</v>
      </c>
      <c r="X168" s="1">
        <f>IFERROR(VLOOKUP($D168&amp;$C168,生产方式定位!$A$2:$E$38,5,FALSE)+VLOOKUP($E168&amp;$C168,生产方式定位!$F$3:$J$38,5,FALSE),"错误")</f>
        <v>250</v>
      </c>
      <c r="Y168" s="27" t="str">
        <f t="shared" si="16"/>
        <v/>
      </c>
      <c r="Z168" s="37" t="str">
        <f t="shared" si="17"/>
        <v/>
      </c>
      <c r="AA168" s="37" t="str">
        <f t="shared" si="18"/>
        <v/>
      </c>
      <c r="AB168" s="28">
        <f t="shared" si="19"/>
        <v>0</v>
      </c>
      <c r="AC168" s="37"/>
      <c r="AD168" s="38">
        <f t="shared" si="20"/>
        <v>1</v>
      </c>
      <c r="AE168" t="str">
        <f>IFERROR(F168&amp;"*"&amp;ROUND(L168*(G168/$AN168)/VLOOKUP(F168,商品!$A$4:$D$67,4,FALSE),0),"")</f>
        <v/>
      </c>
      <c r="AF168" t="str">
        <f>IFERROR(H168&amp;"*"&amp;ROUND(L168*(I168/$AN168)/VLOOKUP(H168,商品!$A$4:$D$67,4,FALSE),0),"")</f>
        <v/>
      </c>
      <c r="AG168" t="str">
        <f>IFERROR(J168&amp;"*"&amp;ROUND(L168*(K168/$AN168)/VLOOKUP(J168,商品!$A$4:$D$67,4,FALSE),0),"")</f>
        <v/>
      </c>
      <c r="AH168" t="str">
        <f>IFERROR(M168&amp;"*"&amp;ROUND(S168*(N168/$AO168)/VLOOKUP(M168,职业!$A$3:$E$16,4,FALSE),0),"")</f>
        <v/>
      </c>
      <c r="AI168" t="str">
        <f>IFERROR(O168&amp;"*"&amp;ROUND(S168*(P168/$AO168)/VLOOKUP(O168,职业!$A$3:$E$16,4,FALSE),0),"")</f>
        <v/>
      </c>
      <c r="AK168" t="str">
        <f>IFERROR(T168&amp;"*"&amp;ROUND(X168*(U168/$AP168)/VLOOKUP(T168,商品!$A$4:$D$67,4,FALSE),0),"")</f>
        <v/>
      </c>
      <c r="AL168" t="str">
        <f>IFERROR(V168&amp;"*"&amp;ROUND(X168*(W168/$AP168)/VLOOKUP(V168,商品!$A$4:$D$67,4,FALSE),0),"")</f>
        <v/>
      </c>
      <c r="AN168">
        <f t="shared" si="21"/>
        <v>0</v>
      </c>
      <c r="AO168">
        <f t="shared" si="22"/>
        <v>0</v>
      </c>
      <c r="AP168">
        <f t="shared" si="23"/>
        <v>0</v>
      </c>
    </row>
    <row r="169" customHeight="1" spans="1:42">
      <c r="A169" s="18" t="s">
        <v>320</v>
      </c>
      <c r="C169" s="18">
        <v>2</v>
      </c>
      <c r="D169" s="1" t="s">
        <v>222</v>
      </c>
      <c r="E169" s="1" t="s">
        <v>224</v>
      </c>
      <c r="L169" s="1">
        <f>IFERROR(VLOOKUP($D169&amp;$C169,生产方式定位!$A$2:$E$38,2,FALSE)+VLOOKUP($E169&amp;$C169,生产方式定位!$F$3:$J$38,2,FALSE),0)</f>
        <v>2200</v>
      </c>
      <c r="S169" s="1">
        <f>IFERROR(VLOOKUP($D169&amp;$C169,生产方式定位!$A$2:$E$38,3,FALSE)+VLOOKUP($E169&amp;$C169,生产方式定位!$F$3:$J$38,3,FALSE),0)</f>
        <v>750</v>
      </c>
      <c r="X169" s="1">
        <f>IFERROR(VLOOKUP($D169&amp;$C169,生产方式定位!$A$2:$E$38,5,FALSE)+VLOOKUP($E169&amp;$C169,生产方式定位!$F$3:$J$38,5,FALSE),"错误")</f>
        <v>1547</v>
      </c>
      <c r="Y169" s="27" t="str">
        <f t="shared" si="16"/>
        <v/>
      </c>
      <c r="Z169" s="37" t="str">
        <f t="shared" si="17"/>
        <v/>
      </c>
      <c r="AA169" s="37" t="str">
        <f t="shared" si="18"/>
        <v/>
      </c>
      <c r="AB169" s="28">
        <f t="shared" si="19"/>
        <v>1.42</v>
      </c>
      <c r="AC169" s="37"/>
      <c r="AD169" s="38">
        <f t="shared" si="20"/>
        <v>2</v>
      </c>
      <c r="AE169" t="str">
        <f>IFERROR(F169&amp;"*"&amp;ROUND(L169*(G169/$AN169)/VLOOKUP(F169,商品!$A$4:$D$67,4,FALSE),0),"")</f>
        <v/>
      </c>
      <c r="AF169" t="str">
        <f>IFERROR(H169&amp;"*"&amp;ROUND(L169*(I169/$AN169)/VLOOKUP(H169,商品!$A$4:$D$67,4,FALSE),0),"")</f>
        <v/>
      </c>
      <c r="AG169" t="str">
        <f>IFERROR(J169&amp;"*"&amp;ROUND(L169*(K169/$AN169)/VLOOKUP(J169,商品!$A$4:$D$67,4,FALSE),0),"")</f>
        <v/>
      </c>
      <c r="AH169" t="str">
        <f>IFERROR(M169&amp;"*"&amp;ROUND(S169*(N169/$AO169)/VLOOKUP(M169,职业!$A$3:$E$16,4,FALSE),0),"")</f>
        <v/>
      </c>
      <c r="AI169" t="str">
        <f>IFERROR(O169&amp;"*"&amp;ROUND(S169*(P169/$AO169)/VLOOKUP(O169,职业!$A$3:$E$16,4,FALSE),0),"")</f>
        <v/>
      </c>
      <c r="AK169" t="str">
        <f>IFERROR(T169&amp;"*"&amp;ROUND(X169*(U169/$AP169)/VLOOKUP(T169,商品!$A$4:$D$67,4,FALSE),0),"")</f>
        <v/>
      </c>
      <c r="AL169" t="str">
        <f>IFERROR(V169&amp;"*"&amp;ROUND(X169*(W169/$AP169)/VLOOKUP(V169,商品!$A$4:$D$67,4,FALSE),0),"")</f>
        <v/>
      </c>
      <c r="AN169">
        <f t="shared" si="21"/>
        <v>0</v>
      </c>
      <c r="AO169">
        <f t="shared" si="22"/>
        <v>0</v>
      </c>
      <c r="AP169">
        <f t="shared" si="23"/>
        <v>0</v>
      </c>
    </row>
    <row r="170" customHeight="1" spans="1:42">
      <c r="A170" s="18" t="s">
        <v>320</v>
      </c>
      <c r="C170" s="18">
        <v>3</v>
      </c>
      <c r="D170" s="1" t="s">
        <v>222</v>
      </c>
      <c r="E170" s="1" t="s">
        <v>224</v>
      </c>
      <c r="L170" s="1">
        <f>IFERROR(VLOOKUP($D170&amp;$C170,生产方式定位!$A$2:$E$38,2,FALSE)+VLOOKUP($E170&amp;$C170,生产方式定位!$F$3:$J$38,2,FALSE),0)</f>
        <v>3400</v>
      </c>
      <c r="S170" s="1">
        <f>IFERROR(VLOOKUP($D170&amp;$C170,生产方式定位!$A$2:$E$38,3,FALSE)+VLOOKUP($E170&amp;$C170,生产方式定位!$F$3:$J$38,3,FALSE),0)</f>
        <v>1000</v>
      </c>
      <c r="X170" s="1">
        <f>IFERROR(VLOOKUP($D170&amp;$C170,生产方式定位!$A$2:$E$38,5,FALSE)+VLOOKUP($E170&amp;$C170,生产方式定位!$F$3:$J$38,5,FALSE),"错误")</f>
        <v>2488</v>
      </c>
      <c r="Y170" s="27" t="str">
        <f t="shared" si="16"/>
        <v/>
      </c>
      <c r="Z170" s="37" t="str">
        <f t="shared" si="17"/>
        <v/>
      </c>
      <c r="AA170" s="37" t="str">
        <f t="shared" si="18"/>
        <v/>
      </c>
      <c r="AB170" s="28">
        <f t="shared" si="19"/>
        <v>1.37</v>
      </c>
      <c r="AC170" s="37"/>
      <c r="AD170" s="38">
        <f t="shared" si="20"/>
        <v>3</v>
      </c>
      <c r="AE170" t="str">
        <f>IFERROR(F170&amp;"*"&amp;ROUND(L170*(G170/$AN170)/VLOOKUP(F170,商品!$A$4:$D$67,4,FALSE),0),"")</f>
        <v/>
      </c>
      <c r="AF170" t="str">
        <f>IFERROR(H170&amp;"*"&amp;ROUND(L170*(I170/$AN170)/VLOOKUP(H170,商品!$A$4:$D$67,4,FALSE),0),"")</f>
        <v/>
      </c>
      <c r="AG170" t="str">
        <f>IFERROR(J170&amp;"*"&amp;ROUND(L170*(K170/$AN170)/VLOOKUP(J170,商品!$A$4:$D$67,4,FALSE),0),"")</f>
        <v/>
      </c>
      <c r="AH170" t="str">
        <f>IFERROR(M170&amp;"*"&amp;ROUND(S170*(N170/$AO170)/VLOOKUP(M170,职业!$A$3:$E$16,4,FALSE),0),"")</f>
        <v/>
      </c>
      <c r="AI170" t="str">
        <f>IFERROR(O170&amp;"*"&amp;ROUND(S170*(P170/$AO170)/VLOOKUP(O170,职业!$A$3:$E$16,4,FALSE),0),"")</f>
        <v/>
      </c>
      <c r="AK170" t="str">
        <f>IFERROR(T170&amp;"*"&amp;ROUND(X170*(U170/$AP170)/VLOOKUP(T170,商品!$A$4:$D$67,4,FALSE),0),"")</f>
        <v/>
      </c>
      <c r="AL170" t="str">
        <f>IFERROR(V170&amp;"*"&amp;ROUND(X170*(W170/$AP170)/VLOOKUP(V170,商品!$A$4:$D$67,4,FALSE),0),"")</f>
        <v/>
      </c>
      <c r="AN170">
        <f t="shared" si="21"/>
        <v>0</v>
      </c>
      <c r="AO170">
        <f t="shared" si="22"/>
        <v>0</v>
      </c>
      <c r="AP170">
        <f t="shared" si="23"/>
        <v>0</v>
      </c>
    </row>
    <row r="171" customHeight="1" spans="1:42">
      <c r="A171" s="18" t="s">
        <v>320</v>
      </c>
      <c r="C171" s="18">
        <v>4</v>
      </c>
      <c r="D171" s="1" t="s">
        <v>222</v>
      </c>
      <c r="E171" s="1" t="s">
        <v>224</v>
      </c>
      <c r="L171" s="1">
        <f>IFERROR(VLOOKUP($D171&amp;$C171,生产方式定位!$A$2:$E$38,2,FALSE)+VLOOKUP($E171&amp;$C171,生产方式定位!$F$3:$J$38,2,FALSE),0)</f>
        <v>4600</v>
      </c>
      <c r="S171" s="1">
        <f>IFERROR(VLOOKUP($D171&amp;$C171,生产方式定位!$A$2:$E$38,3,FALSE)+VLOOKUP($E171&amp;$C171,生产方式定位!$F$3:$J$38,3,FALSE),0)</f>
        <v>1250</v>
      </c>
      <c r="X171" s="1">
        <f>IFERROR(VLOOKUP($D171&amp;$C171,生产方式定位!$A$2:$E$38,5,FALSE)+VLOOKUP($E171&amp;$C171,生产方式定位!$F$3:$J$38,5,FALSE),"错误")</f>
        <v>3573</v>
      </c>
      <c r="Y171" s="27" t="str">
        <f t="shared" si="16"/>
        <v/>
      </c>
      <c r="Z171" s="37" t="str">
        <f t="shared" si="17"/>
        <v/>
      </c>
      <c r="AA171" s="37" t="str">
        <f t="shared" si="18"/>
        <v/>
      </c>
      <c r="AB171" s="28">
        <f t="shared" si="19"/>
        <v>1.29</v>
      </c>
      <c r="AC171" s="37"/>
      <c r="AD171" s="38">
        <f t="shared" si="20"/>
        <v>4</v>
      </c>
      <c r="AE171" t="str">
        <f>IFERROR(F171&amp;"*"&amp;ROUND(L171*(G171/$AN171)/VLOOKUP(F171,商品!$A$4:$D$67,4,FALSE),0),"")</f>
        <v/>
      </c>
      <c r="AF171" t="str">
        <f>IFERROR(H171&amp;"*"&amp;ROUND(L171*(I171/$AN171)/VLOOKUP(H171,商品!$A$4:$D$67,4,FALSE),0),"")</f>
        <v/>
      </c>
      <c r="AG171" t="str">
        <f>IFERROR(J171&amp;"*"&amp;ROUND(L171*(K171/$AN171)/VLOOKUP(J171,商品!$A$4:$D$67,4,FALSE),0),"")</f>
        <v/>
      </c>
      <c r="AH171" t="str">
        <f>IFERROR(M171&amp;"*"&amp;ROUND(S171*(N171/$AO171)/VLOOKUP(M171,职业!$A$3:$E$16,4,FALSE),0),"")</f>
        <v/>
      </c>
      <c r="AI171" t="str">
        <f>IFERROR(O171&amp;"*"&amp;ROUND(S171*(P171/$AO171)/VLOOKUP(O171,职业!$A$3:$E$16,4,FALSE),0),"")</f>
        <v/>
      </c>
      <c r="AK171" t="str">
        <f>IFERROR(T171&amp;"*"&amp;ROUND(X171*(U171/$AP171)/VLOOKUP(T171,商品!$A$4:$D$67,4,FALSE),0),"")</f>
        <v/>
      </c>
      <c r="AL171" t="str">
        <f>IFERROR(V171&amp;"*"&amp;ROUND(X171*(W171/$AP171)/VLOOKUP(V171,商品!$A$4:$D$67,4,FALSE),0),"")</f>
        <v/>
      </c>
      <c r="AN171">
        <f t="shared" si="21"/>
        <v>0</v>
      </c>
      <c r="AO171">
        <f t="shared" si="22"/>
        <v>0</v>
      </c>
      <c r="AP171">
        <f t="shared" si="23"/>
        <v>0</v>
      </c>
    </row>
    <row r="172" customHeight="1" spans="1:42">
      <c r="A172" s="18" t="s">
        <v>320</v>
      </c>
      <c r="C172" s="18">
        <v>5</v>
      </c>
      <c r="D172" s="1" t="s">
        <v>222</v>
      </c>
      <c r="E172" s="1" t="s">
        <v>224</v>
      </c>
      <c r="L172" s="1">
        <f>IFERROR(VLOOKUP($D172&amp;$C172,生产方式定位!$A$2:$E$38,2,FALSE)+VLOOKUP($E172&amp;$C172,生产方式定位!$F$3:$J$38,2,FALSE),0)</f>
        <v>5800</v>
      </c>
      <c r="S172" s="1">
        <f>IFERROR(VLOOKUP($D172&amp;$C172,生产方式定位!$A$2:$E$38,3,FALSE)+VLOOKUP($E172&amp;$C172,生产方式定位!$F$3:$J$38,3,FALSE),0)</f>
        <v>1500</v>
      </c>
      <c r="X172" s="1">
        <f>IFERROR(VLOOKUP($D172&amp;$C172,生产方式定位!$A$2:$E$38,5,FALSE)+VLOOKUP($E172&amp;$C172,生产方式定位!$F$3:$J$38,5,FALSE),"错误")</f>
        <v>4850</v>
      </c>
      <c r="Y172" s="27" t="str">
        <f t="shared" si="16"/>
        <v/>
      </c>
      <c r="Z172" s="37" t="str">
        <f t="shared" si="17"/>
        <v/>
      </c>
      <c r="AA172" s="37" t="str">
        <f t="shared" si="18"/>
        <v/>
      </c>
      <c r="AB172" s="28">
        <f t="shared" si="19"/>
        <v>1.2</v>
      </c>
      <c r="AC172" s="37"/>
      <c r="AD172" s="38">
        <f t="shared" si="20"/>
        <v>5</v>
      </c>
      <c r="AE172" t="str">
        <f>IFERROR(F172&amp;"*"&amp;ROUND(L172*(G172/$AN172)/VLOOKUP(F172,商品!$A$4:$D$67,4,FALSE),0),"")</f>
        <v/>
      </c>
      <c r="AF172" t="str">
        <f>IFERROR(H172&amp;"*"&amp;ROUND(L172*(I172/$AN172)/VLOOKUP(H172,商品!$A$4:$D$67,4,FALSE),0),"")</f>
        <v/>
      </c>
      <c r="AG172" t="str">
        <f>IFERROR(J172&amp;"*"&amp;ROUND(L172*(K172/$AN172)/VLOOKUP(J172,商品!$A$4:$D$67,4,FALSE),0),"")</f>
        <v/>
      </c>
      <c r="AH172" t="str">
        <f>IFERROR(M172&amp;"*"&amp;ROUND(S172*(N172/$AO172)/VLOOKUP(M172,职业!$A$3:$E$16,4,FALSE),0),"")</f>
        <v/>
      </c>
      <c r="AI172" t="str">
        <f>IFERROR(O172&amp;"*"&amp;ROUND(S172*(P172/$AO172)/VLOOKUP(O172,职业!$A$3:$E$16,4,FALSE),0),"")</f>
        <v/>
      </c>
      <c r="AK172" t="str">
        <f>IFERROR(T172&amp;"*"&amp;ROUND(X172*(U172/$AP172)/VLOOKUP(T172,商品!$A$4:$D$67,4,FALSE),0),"")</f>
        <v/>
      </c>
      <c r="AL172" t="str">
        <f>IFERROR(V172&amp;"*"&amp;ROUND(X172*(W172/$AP172)/VLOOKUP(V172,商品!$A$4:$D$67,4,FALSE),0),"")</f>
        <v/>
      </c>
      <c r="AN172">
        <f t="shared" si="21"/>
        <v>0</v>
      </c>
      <c r="AO172">
        <f t="shared" si="22"/>
        <v>0</v>
      </c>
      <c r="AP172">
        <f t="shared" si="23"/>
        <v>0</v>
      </c>
    </row>
    <row r="173" customHeight="1" spans="1:42">
      <c r="A173" s="5" t="s">
        <v>321</v>
      </c>
      <c r="C173" s="5">
        <v>1</v>
      </c>
      <c r="D173" s="1" t="s">
        <v>222</v>
      </c>
      <c r="E173" s="1" t="s">
        <v>225</v>
      </c>
      <c r="L173" s="1">
        <f>IFERROR(VLOOKUP($D173&amp;$C173,生产方式定位!$A$2:$E$38,2,FALSE)+VLOOKUP($E173&amp;$C173,生产方式定位!$F$3:$J$38,2,FALSE),0)</f>
        <v>0</v>
      </c>
      <c r="S173" s="1">
        <f>IFERROR(VLOOKUP($D173&amp;$C173,生产方式定位!$A$2:$E$38,3,FALSE)+VLOOKUP($E173&amp;$C173,生产方式定位!$F$3:$J$38,3,FALSE),0)</f>
        <v>500</v>
      </c>
      <c r="X173" s="1">
        <f>IFERROR(VLOOKUP($D173&amp;$C173,生产方式定位!$A$2:$E$38,5,FALSE)+VLOOKUP($E173&amp;$C173,生产方式定位!$F$3:$J$38,5,FALSE),"错误")</f>
        <v>250</v>
      </c>
      <c r="Y173" s="27" t="str">
        <f t="shared" si="16"/>
        <v/>
      </c>
      <c r="Z173" s="37" t="str">
        <f t="shared" si="17"/>
        <v/>
      </c>
      <c r="AA173" s="37" t="str">
        <f t="shared" si="18"/>
        <v/>
      </c>
      <c r="AB173" s="28">
        <f t="shared" si="19"/>
        <v>0</v>
      </c>
      <c r="AC173" s="37"/>
      <c r="AD173" s="38">
        <f t="shared" si="20"/>
        <v>1</v>
      </c>
      <c r="AE173" t="str">
        <f>IFERROR(F173&amp;"*"&amp;ROUND(L173*(G173/$AN173)/VLOOKUP(F173,商品!$A$4:$D$67,4,FALSE),0),"")</f>
        <v/>
      </c>
      <c r="AF173" t="str">
        <f>IFERROR(H173&amp;"*"&amp;ROUND(L173*(I173/$AN173)/VLOOKUP(H173,商品!$A$4:$D$67,4,FALSE),0),"")</f>
        <v/>
      </c>
      <c r="AG173" t="str">
        <f>IFERROR(J173&amp;"*"&amp;ROUND(L173*(K173/$AN173)/VLOOKUP(J173,商品!$A$4:$D$67,4,FALSE),0),"")</f>
        <v/>
      </c>
      <c r="AH173" t="str">
        <f>IFERROR(M173&amp;"*"&amp;ROUND(S173*(N173/$AO173)/VLOOKUP(M173,职业!$A$3:$E$16,4,FALSE),0),"")</f>
        <v/>
      </c>
      <c r="AI173" t="str">
        <f>IFERROR(O173&amp;"*"&amp;ROUND(S173*(P173/$AO173)/VLOOKUP(O173,职业!$A$3:$E$16,4,FALSE),0),"")</f>
        <v/>
      </c>
      <c r="AK173" t="str">
        <f>IFERROR(T173&amp;"*"&amp;ROUND(X173*(U173/$AP173)/VLOOKUP(T173,商品!$A$4:$D$67,4,FALSE),0),"")</f>
        <v/>
      </c>
      <c r="AL173" t="str">
        <f>IFERROR(V173&amp;"*"&amp;ROUND(X173*(W173/$AP173)/VLOOKUP(V173,商品!$A$4:$D$67,4,FALSE),0),"")</f>
        <v/>
      </c>
      <c r="AN173">
        <f t="shared" si="21"/>
        <v>0</v>
      </c>
      <c r="AO173">
        <f t="shared" si="22"/>
        <v>0</v>
      </c>
      <c r="AP173">
        <f t="shared" si="23"/>
        <v>0</v>
      </c>
    </row>
    <row r="174" customHeight="1" spans="1:42">
      <c r="A174" s="5" t="s">
        <v>321</v>
      </c>
      <c r="C174" s="5">
        <v>2</v>
      </c>
      <c r="D174" s="1" t="s">
        <v>222</v>
      </c>
      <c r="E174" s="1" t="s">
        <v>225</v>
      </c>
      <c r="L174" s="1">
        <f>IFERROR(VLOOKUP($D174&amp;$C174,生产方式定位!$A$2:$E$38,2,FALSE)+VLOOKUP($E174&amp;$C174,生产方式定位!$F$3:$J$38,2,FALSE),0)</f>
        <v>2200</v>
      </c>
      <c r="S174" s="1">
        <f>IFERROR(VLOOKUP($D174&amp;$C174,生产方式定位!$A$2:$E$38,3,FALSE)+VLOOKUP($E174&amp;$C174,生产方式定位!$F$3:$J$38,3,FALSE),0)</f>
        <v>2550</v>
      </c>
      <c r="X174" s="1">
        <f>IFERROR(VLOOKUP($D174&amp;$C174,生产方式定位!$A$2:$E$38,5,FALSE)+VLOOKUP($E174&amp;$C174,生产方式定位!$F$3:$J$38,5,FALSE),"错误")</f>
        <v>2420</v>
      </c>
      <c r="Y174" s="27" t="str">
        <f t="shared" si="16"/>
        <v/>
      </c>
      <c r="Z174" s="37" t="str">
        <f t="shared" si="17"/>
        <v/>
      </c>
      <c r="AA174" s="37" t="str">
        <f t="shared" si="18"/>
        <v/>
      </c>
      <c r="AB174" s="28">
        <f t="shared" si="19"/>
        <v>0.91</v>
      </c>
      <c r="AC174" s="37"/>
      <c r="AD174" s="38">
        <f t="shared" si="20"/>
        <v>2</v>
      </c>
      <c r="AE174" t="str">
        <f>IFERROR(F174&amp;"*"&amp;ROUND(L174*(G174/$AN174)/VLOOKUP(F174,商品!$A$4:$D$67,4,FALSE),0),"")</f>
        <v/>
      </c>
      <c r="AF174" t="str">
        <f>IFERROR(H174&amp;"*"&amp;ROUND(L174*(I174/$AN174)/VLOOKUP(H174,商品!$A$4:$D$67,4,FALSE),0),"")</f>
        <v/>
      </c>
      <c r="AG174" t="str">
        <f>IFERROR(J174&amp;"*"&amp;ROUND(L174*(K174/$AN174)/VLOOKUP(J174,商品!$A$4:$D$67,4,FALSE),0),"")</f>
        <v/>
      </c>
      <c r="AH174" t="str">
        <f>IFERROR(M174&amp;"*"&amp;ROUND(S174*(N174/$AO174)/VLOOKUP(M174,职业!$A$3:$E$16,4,FALSE),0),"")</f>
        <v/>
      </c>
      <c r="AI174" t="str">
        <f>IFERROR(O174&amp;"*"&amp;ROUND(S174*(P174/$AO174)/VLOOKUP(O174,职业!$A$3:$E$16,4,FALSE),0),"")</f>
        <v/>
      </c>
      <c r="AK174" t="str">
        <f>IFERROR(T174&amp;"*"&amp;ROUND(X174*(U174/$AP174)/VLOOKUP(T174,商品!$A$4:$D$67,4,FALSE),0),"")</f>
        <v/>
      </c>
      <c r="AL174" t="str">
        <f>IFERROR(V174&amp;"*"&amp;ROUND(X174*(W174/$AP174)/VLOOKUP(V174,商品!$A$4:$D$67,4,FALSE),0),"")</f>
        <v/>
      </c>
      <c r="AN174">
        <f t="shared" si="21"/>
        <v>0</v>
      </c>
      <c r="AO174">
        <f t="shared" si="22"/>
        <v>0</v>
      </c>
      <c r="AP174">
        <f t="shared" si="23"/>
        <v>0</v>
      </c>
    </row>
    <row r="175" customHeight="1" spans="1:42">
      <c r="A175" s="5" t="s">
        <v>321</v>
      </c>
      <c r="C175" s="5">
        <v>3</v>
      </c>
      <c r="D175" s="1" t="s">
        <v>222</v>
      </c>
      <c r="E175" s="1" t="s">
        <v>225</v>
      </c>
      <c r="L175" s="1">
        <f>IFERROR(VLOOKUP($D175&amp;$C175,生产方式定位!$A$2:$E$38,2,FALSE)+VLOOKUP($E175&amp;$C175,生产方式定位!$F$3:$J$38,2,FALSE),0)</f>
        <v>3400</v>
      </c>
      <c r="S175" s="1">
        <f>IFERROR(VLOOKUP($D175&amp;$C175,生产方式定位!$A$2:$E$38,3,FALSE)+VLOOKUP($E175&amp;$C175,生产方式定位!$F$3:$J$38,3,FALSE),0)</f>
        <v>3600</v>
      </c>
      <c r="X175" s="1">
        <f>IFERROR(VLOOKUP($D175&amp;$C175,生产方式定位!$A$2:$E$38,5,FALSE)+VLOOKUP($E175&amp;$C175,生产方式定位!$F$3:$J$38,5,FALSE),"错误")</f>
        <v>3650</v>
      </c>
      <c r="Y175" s="27" t="str">
        <f t="shared" si="16"/>
        <v/>
      </c>
      <c r="Z175" s="37" t="str">
        <f t="shared" si="17"/>
        <v/>
      </c>
      <c r="AA175" s="37" t="str">
        <f t="shared" si="18"/>
        <v/>
      </c>
      <c r="AB175" s="28">
        <f t="shared" si="19"/>
        <v>0.93</v>
      </c>
      <c r="AC175" s="37"/>
      <c r="AD175" s="38">
        <f t="shared" si="20"/>
        <v>3</v>
      </c>
      <c r="AE175" t="str">
        <f>IFERROR(F175&amp;"*"&amp;ROUND(L175*(G175/$AN175)/VLOOKUP(F175,商品!$A$4:$D$67,4,FALSE),0),"")</f>
        <v/>
      </c>
      <c r="AF175" t="str">
        <f>IFERROR(H175&amp;"*"&amp;ROUND(L175*(I175/$AN175)/VLOOKUP(H175,商品!$A$4:$D$67,4,FALSE),0),"")</f>
        <v/>
      </c>
      <c r="AG175" t="str">
        <f>IFERROR(J175&amp;"*"&amp;ROUND(L175*(K175/$AN175)/VLOOKUP(J175,商品!$A$4:$D$67,4,FALSE),0),"")</f>
        <v/>
      </c>
      <c r="AH175" t="str">
        <f>IFERROR(M175&amp;"*"&amp;ROUND(S175*(N175/$AO175)/VLOOKUP(M175,职业!$A$3:$E$16,4,FALSE),0),"")</f>
        <v/>
      </c>
      <c r="AI175" t="str">
        <f>IFERROR(O175&amp;"*"&amp;ROUND(S175*(P175/$AO175)/VLOOKUP(O175,职业!$A$3:$E$16,4,FALSE),0),"")</f>
        <v/>
      </c>
      <c r="AK175" t="str">
        <f>IFERROR(T175&amp;"*"&amp;ROUND(X175*(U175/$AP175)/VLOOKUP(T175,商品!$A$4:$D$67,4,FALSE),0),"")</f>
        <v/>
      </c>
      <c r="AL175" t="str">
        <f>IFERROR(V175&amp;"*"&amp;ROUND(X175*(W175/$AP175)/VLOOKUP(V175,商品!$A$4:$D$67,4,FALSE),0),"")</f>
        <v/>
      </c>
      <c r="AN175">
        <f t="shared" si="21"/>
        <v>0</v>
      </c>
      <c r="AO175">
        <f t="shared" si="22"/>
        <v>0</v>
      </c>
      <c r="AP175">
        <f t="shared" si="23"/>
        <v>0</v>
      </c>
    </row>
    <row r="176" customHeight="1" spans="1:42">
      <c r="A176" s="5" t="s">
        <v>321</v>
      </c>
      <c r="C176" s="5">
        <v>4</v>
      </c>
      <c r="D176" s="1" t="s">
        <v>222</v>
      </c>
      <c r="E176" s="1" t="s">
        <v>225</v>
      </c>
      <c r="L176" s="1">
        <f>IFERROR(VLOOKUP($D176&amp;$C176,生产方式定位!$A$2:$E$38,2,FALSE)+VLOOKUP($E176&amp;$C176,生产方式定位!$F$3:$J$38,2,FALSE),0)</f>
        <v>4600</v>
      </c>
      <c r="S176" s="1">
        <f>IFERROR(VLOOKUP($D176&amp;$C176,生产方式定位!$A$2:$E$38,3,FALSE)+VLOOKUP($E176&amp;$C176,生产方式定位!$F$3:$J$38,3,FALSE),0)</f>
        <v>4650</v>
      </c>
      <c r="X176" s="1">
        <f>IFERROR(VLOOKUP($D176&amp;$C176,生产方式定位!$A$2:$E$38,5,FALSE)+VLOOKUP($E176&amp;$C176,生产方式定位!$F$3:$J$38,5,FALSE),"错误")</f>
        <v>4940</v>
      </c>
      <c r="Y176" s="27" t="str">
        <f t="shared" si="16"/>
        <v/>
      </c>
      <c r="Z176" s="37" t="str">
        <f t="shared" si="17"/>
        <v/>
      </c>
      <c r="AA176" s="37" t="str">
        <f t="shared" si="18"/>
        <v/>
      </c>
      <c r="AB176" s="28">
        <f t="shared" si="19"/>
        <v>0.93</v>
      </c>
      <c r="AC176" s="37"/>
      <c r="AD176" s="38">
        <f t="shared" si="20"/>
        <v>4</v>
      </c>
      <c r="AE176" t="str">
        <f>IFERROR(F176&amp;"*"&amp;ROUND(L176*(G176/$AN176)/VLOOKUP(F176,商品!$A$4:$D$67,4,FALSE),0),"")</f>
        <v/>
      </c>
      <c r="AF176" t="str">
        <f>IFERROR(H176&amp;"*"&amp;ROUND(L176*(I176/$AN176)/VLOOKUP(H176,商品!$A$4:$D$67,4,FALSE),0),"")</f>
        <v/>
      </c>
      <c r="AG176" t="str">
        <f>IFERROR(J176&amp;"*"&amp;ROUND(L176*(K176/$AN176)/VLOOKUP(J176,商品!$A$4:$D$67,4,FALSE),0),"")</f>
        <v/>
      </c>
      <c r="AH176" t="str">
        <f>IFERROR(M176&amp;"*"&amp;ROUND(S176*(N176/$AO176)/VLOOKUP(M176,职业!$A$3:$E$16,4,FALSE),0),"")</f>
        <v/>
      </c>
      <c r="AI176" t="str">
        <f>IFERROR(O176&amp;"*"&amp;ROUND(S176*(P176/$AO176)/VLOOKUP(O176,职业!$A$3:$E$16,4,FALSE),0),"")</f>
        <v/>
      </c>
      <c r="AK176" t="str">
        <f>IFERROR(T176&amp;"*"&amp;ROUND(X176*(U176/$AP176)/VLOOKUP(T176,商品!$A$4:$D$67,4,FALSE),0),"")</f>
        <v/>
      </c>
      <c r="AL176" t="str">
        <f>IFERROR(V176&amp;"*"&amp;ROUND(X176*(W176/$AP176)/VLOOKUP(V176,商品!$A$4:$D$67,4,FALSE),0),"")</f>
        <v/>
      </c>
      <c r="AN176">
        <f t="shared" si="21"/>
        <v>0</v>
      </c>
      <c r="AO176">
        <f t="shared" si="22"/>
        <v>0</v>
      </c>
      <c r="AP176">
        <f t="shared" si="23"/>
        <v>0</v>
      </c>
    </row>
    <row r="177" customHeight="1" spans="1:42">
      <c r="A177" s="5" t="s">
        <v>321</v>
      </c>
      <c r="C177" s="5">
        <v>5</v>
      </c>
      <c r="D177" s="1" t="s">
        <v>222</v>
      </c>
      <c r="E177" s="1" t="s">
        <v>225</v>
      </c>
      <c r="L177" s="1">
        <f>IFERROR(VLOOKUP($D177&amp;$C177,生产方式定位!$A$2:$E$38,2,FALSE)+VLOOKUP($E177&amp;$C177,生产方式定位!$F$3:$J$38,2,FALSE),0)</f>
        <v>5800</v>
      </c>
      <c r="S177" s="1">
        <f>IFERROR(VLOOKUP($D177&amp;$C177,生产方式定位!$A$2:$E$38,3,FALSE)+VLOOKUP($E177&amp;$C177,生产方式定位!$F$3:$J$38,3,FALSE),0)</f>
        <v>5700</v>
      </c>
      <c r="X177" s="1">
        <f>IFERROR(VLOOKUP($D177&amp;$C177,生产方式定位!$A$2:$E$38,5,FALSE)+VLOOKUP($E177&amp;$C177,生产方式定位!$F$3:$J$38,5,FALSE),"错误")</f>
        <v>6313</v>
      </c>
      <c r="Y177" s="27" t="str">
        <f t="shared" si="16"/>
        <v/>
      </c>
      <c r="Z177" s="37" t="str">
        <f t="shared" si="17"/>
        <v/>
      </c>
      <c r="AA177" s="37" t="str">
        <f t="shared" si="18"/>
        <v/>
      </c>
      <c r="AB177" s="28">
        <f t="shared" si="19"/>
        <v>0.92</v>
      </c>
      <c r="AC177" s="37"/>
      <c r="AD177" s="38">
        <f t="shared" si="20"/>
        <v>5</v>
      </c>
      <c r="AE177" t="str">
        <f>IFERROR(F177&amp;"*"&amp;ROUND(L177*(G177/$AN177)/VLOOKUP(F177,商品!$A$4:$D$67,4,FALSE),0),"")</f>
        <v/>
      </c>
      <c r="AF177" t="str">
        <f>IFERROR(H177&amp;"*"&amp;ROUND(L177*(I177/$AN177)/VLOOKUP(H177,商品!$A$4:$D$67,4,FALSE),0),"")</f>
        <v/>
      </c>
      <c r="AG177" t="str">
        <f>IFERROR(J177&amp;"*"&amp;ROUND(L177*(K177/$AN177)/VLOOKUP(J177,商品!$A$4:$D$67,4,FALSE),0),"")</f>
        <v/>
      </c>
      <c r="AH177" t="str">
        <f>IFERROR(M177&amp;"*"&amp;ROUND(S177*(N177/$AO177)/VLOOKUP(M177,职业!$A$3:$E$16,4,FALSE),0),"")</f>
        <v/>
      </c>
      <c r="AI177" t="str">
        <f>IFERROR(O177&amp;"*"&amp;ROUND(S177*(P177/$AO177)/VLOOKUP(O177,职业!$A$3:$E$16,4,FALSE),0),"")</f>
        <v/>
      </c>
      <c r="AK177" t="str">
        <f>IFERROR(T177&amp;"*"&amp;ROUND(X177*(U177/$AP177)/VLOOKUP(T177,商品!$A$4:$D$67,4,FALSE),0),"")</f>
        <v/>
      </c>
      <c r="AL177" t="str">
        <f>IFERROR(V177&amp;"*"&amp;ROUND(X177*(W177/$AP177)/VLOOKUP(V177,商品!$A$4:$D$67,4,FALSE),0),"")</f>
        <v/>
      </c>
      <c r="AN177">
        <f t="shared" si="21"/>
        <v>0</v>
      </c>
      <c r="AO177">
        <f t="shared" si="22"/>
        <v>0</v>
      </c>
      <c r="AP177">
        <f t="shared" si="23"/>
        <v>0</v>
      </c>
    </row>
    <row r="178" customHeight="1" spans="1:42">
      <c r="A178" s="18" t="s">
        <v>322</v>
      </c>
      <c r="C178" s="18">
        <v>1</v>
      </c>
      <c r="D178" s="1" t="s">
        <v>222</v>
      </c>
      <c r="E178" s="1" t="s">
        <v>226</v>
      </c>
      <c r="L178" s="1">
        <f>IFERROR(VLOOKUP($D178&amp;$C178,生产方式定位!$A$2:$E$38,2,FALSE)+VLOOKUP($E178&amp;$C178,生产方式定位!$F$3:$J$38,2,FALSE),0)</f>
        <v>0</v>
      </c>
      <c r="S178" s="1">
        <f>IFERROR(VLOOKUP($D178&amp;$C178,生产方式定位!$A$2:$E$38,3,FALSE)+VLOOKUP($E178&amp;$C178,生产方式定位!$F$3:$J$38,3,FALSE),0)</f>
        <v>500</v>
      </c>
      <c r="X178" s="1">
        <f>IFERROR(VLOOKUP($D178&amp;$C178,生产方式定位!$A$2:$E$38,5,FALSE)+VLOOKUP($E178&amp;$C178,生产方式定位!$F$3:$J$38,5,FALSE),"错误")</f>
        <v>250</v>
      </c>
      <c r="Y178" s="27" t="str">
        <f t="shared" si="16"/>
        <v/>
      </c>
      <c r="Z178" s="37" t="str">
        <f t="shared" si="17"/>
        <v/>
      </c>
      <c r="AA178" s="37" t="str">
        <f t="shared" si="18"/>
        <v/>
      </c>
      <c r="AB178" s="28">
        <f t="shared" si="19"/>
        <v>0</v>
      </c>
      <c r="AC178" s="37"/>
      <c r="AD178" s="38">
        <f t="shared" si="20"/>
        <v>1</v>
      </c>
      <c r="AE178" t="str">
        <f>IFERROR(F178&amp;"*"&amp;ROUND(L178*(G178/$AN178)/VLOOKUP(F178,商品!$A$4:$D$67,4,FALSE),0),"")</f>
        <v/>
      </c>
      <c r="AF178" t="str">
        <f>IFERROR(H178&amp;"*"&amp;ROUND(L178*(I178/$AN178)/VLOOKUP(H178,商品!$A$4:$D$67,4,FALSE),0),"")</f>
        <v/>
      </c>
      <c r="AG178" t="str">
        <f>IFERROR(J178&amp;"*"&amp;ROUND(L178*(K178/$AN178)/VLOOKUP(J178,商品!$A$4:$D$67,4,FALSE),0),"")</f>
        <v/>
      </c>
      <c r="AH178" t="str">
        <f>IFERROR(M178&amp;"*"&amp;ROUND(S178*(N178/$AO178)/VLOOKUP(M178,职业!$A$3:$E$16,4,FALSE),0),"")</f>
        <v/>
      </c>
      <c r="AI178" t="str">
        <f>IFERROR(O178&amp;"*"&amp;ROUND(S178*(P178/$AO178)/VLOOKUP(O178,职业!$A$3:$E$16,4,FALSE),0),"")</f>
        <v/>
      </c>
      <c r="AK178" t="str">
        <f>IFERROR(T178&amp;"*"&amp;ROUND(X178*(U178/$AP178)/VLOOKUP(T178,商品!$A$4:$D$67,4,FALSE),0),"")</f>
        <v/>
      </c>
      <c r="AL178" t="str">
        <f>IFERROR(V178&amp;"*"&amp;ROUND(X178*(W178/$AP178)/VLOOKUP(V178,商品!$A$4:$D$67,4,FALSE),0),"")</f>
        <v/>
      </c>
      <c r="AN178">
        <f t="shared" si="21"/>
        <v>0</v>
      </c>
      <c r="AO178">
        <f t="shared" si="22"/>
        <v>0</v>
      </c>
      <c r="AP178">
        <f t="shared" si="23"/>
        <v>0</v>
      </c>
    </row>
    <row r="179" customHeight="1" spans="1:42">
      <c r="A179" s="18" t="s">
        <v>322</v>
      </c>
      <c r="C179" s="18">
        <v>2</v>
      </c>
      <c r="D179" s="1" t="s">
        <v>222</v>
      </c>
      <c r="E179" s="1" t="s">
        <v>226</v>
      </c>
      <c r="L179" s="1">
        <f>IFERROR(VLOOKUP($D179&amp;$C179,生产方式定位!$A$2:$E$38,2,FALSE)+VLOOKUP($E179&amp;$C179,生产方式定位!$F$3:$J$38,2,FALSE),0)</f>
        <v>3200</v>
      </c>
      <c r="S179" s="1">
        <f>IFERROR(VLOOKUP($D179&amp;$C179,生产方式定位!$A$2:$E$38,3,FALSE)+VLOOKUP($E179&amp;$C179,生产方式定位!$F$3:$J$38,3,FALSE),0)</f>
        <v>350</v>
      </c>
      <c r="X179" s="1">
        <f>IFERROR(VLOOKUP($D179&amp;$C179,生产方式定位!$A$2:$E$38,5,FALSE)+VLOOKUP($E179&amp;$C179,生产方式定位!$F$3:$J$38,5,FALSE),"错误")</f>
        <v>1865</v>
      </c>
      <c r="Y179" s="27" t="str">
        <f t="shared" si="16"/>
        <v/>
      </c>
      <c r="Z179" s="37" t="str">
        <f t="shared" si="17"/>
        <v/>
      </c>
      <c r="AA179" s="37" t="str">
        <f t="shared" si="18"/>
        <v/>
      </c>
      <c r="AB179" s="28">
        <f t="shared" si="19"/>
        <v>1.72</v>
      </c>
      <c r="AC179" s="37"/>
      <c r="AD179" s="38">
        <f t="shared" si="20"/>
        <v>2</v>
      </c>
      <c r="AE179" t="str">
        <f>IFERROR(F179&amp;"*"&amp;ROUND(L179*(G179/$AN179)/VLOOKUP(F179,商品!$A$4:$D$67,4,FALSE),0),"")</f>
        <v/>
      </c>
      <c r="AF179" t="str">
        <f>IFERROR(H179&amp;"*"&amp;ROUND(L179*(I179/$AN179)/VLOOKUP(H179,商品!$A$4:$D$67,4,FALSE),0),"")</f>
        <v/>
      </c>
      <c r="AG179" t="str">
        <f>IFERROR(J179&amp;"*"&amp;ROUND(L179*(K179/$AN179)/VLOOKUP(J179,商品!$A$4:$D$67,4,FALSE),0),"")</f>
        <v/>
      </c>
      <c r="AH179" t="str">
        <f>IFERROR(M179&amp;"*"&amp;ROUND(S179*(N179/$AO179)/VLOOKUP(M179,职业!$A$3:$E$16,4,FALSE),0),"")</f>
        <v/>
      </c>
      <c r="AI179" t="str">
        <f>IFERROR(O179&amp;"*"&amp;ROUND(S179*(P179/$AO179)/VLOOKUP(O179,职业!$A$3:$E$16,4,FALSE),0),"")</f>
        <v/>
      </c>
      <c r="AK179" t="str">
        <f>IFERROR(T179&amp;"*"&amp;ROUND(X179*(U179/$AP179)/VLOOKUP(T179,商品!$A$4:$D$67,4,FALSE),0),"")</f>
        <v/>
      </c>
      <c r="AL179" t="str">
        <f>IFERROR(V179&amp;"*"&amp;ROUND(X179*(W179/$AP179)/VLOOKUP(V179,商品!$A$4:$D$67,4,FALSE),0),"")</f>
        <v/>
      </c>
      <c r="AN179">
        <f t="shared" si="21"/>
        <v>0</v>
      </c>
      <c r="AO179">
        <f t="shared" si="22"/>
        <v>0</v>
      </c>
      <c r="AP179">
        <f t="shared" si="23"/>
        <v>0</v>
      </c>
    </row>
    <row r="180" customHeight="1" spans="1:42">
      <c r="A180" s="18" t="s">
        <v>322</v>
      </c>
      <c r="C180" s="18">
        <v>3</v>
      </c>
      <c r="D180" s="1" t="s">
        <v>222</v>
      </c>
      <c r="E180" s="1" t="s">
        <v>226</v>
      </c>
      <c r="L180" s="1">
        <f>IFERROR(VLOOKUP($D180&amp;$C180,生产方式定位!$A$2:$E$38,2,FALSE)+VLOOKUP($E180&amp;$C180,生产方式定位!$F$3:$J$38,2,FALSE),0)</f>
        <v>4400</v>
      </c>
      <c r="S180" s="1">
        <f>IFERROR(VLOOKUP($D180&amp;$C180,生产方式定位!$A$2:$E$38,3,FALSE)+VLOOKUP($E180&amp;$C180,生产方式定位!$F$3:$J$38,3,FALSE),0)</f>
        <v>200</v>
      </c>
      <c r="X180" s="1">
        <f>IFERROR(VLOOKUP($D180&amp;$C180,生产方式定位!$A$2:$E$38,5,FALSE)+VLOOKUP($E180&amp;$C180,生产方式定位!$F$3:$J$38,5,FALSE),"错误")</f>
        <v>2560</v>
      </c>
      <c r="Y180" s="27" t="str">
        <f t="shared" si="16"/>
        <v/>
      </c>
      <c r="Z180" s="37" t="str">
        <f t="shared" si="17"/>
        <v/>
      </c>
      <c r="AA180" s="37" t="str">
        <f t="shared" si="18"/>
        <v/>
      </c>
      <c r="AB180" s="28">
        <f t="shared" si="19"/>
        <v>1.72</v>
      </c>
      <c r="AC180" s="37"/>
      <c r="AD180" s="38">
        <f t="shared" si="20"/>
        <v>3</v>
      </c>
      <c r="AE180" t="str">
        <f>IFERROR(F180&amp;"*"&amp;ROUND(L180*(G180/$AN180)/VLOOKUP(F180,商品!$A$4:$D$67,4,FALSE),0),"")</f>
        <v/>
      </c>
      <c r="AF180" t="str">
        <f>IFERROR(H180&amp;"*"&amp;ROUND(L180*(I180/$AN180)/VLOOKUP(H180,商品!$A$4:$D$67,4,FALSE),0),"")</f>
        <v/>
      </c>
      <c r="AG180" t="str">
        <f>IFERROR(J180&amp;"*"&amp;ROUND(L180*(K180/$AN180)/VLOOKUP(J180,商品!$A$4:$D$67,4,FALSE),0),"")</f>
        <v/>
      </c>
      <c r="AH180" t="str">
        <f>IFERROR(M180&amp;"*"&amp;ROUND(S180*(N180/$AO180)/VLOOKUP(M180,职业!$A$3:$E$16,4,FALSE),0),"")</f>
        <v/>
      </c>
      <c r="AI180" t="str">
        <f>IFERROR(O180&amp;"*"&amp;ROUND(S180*(P180/$AO180)/VLOOKUP(O180,职业!$A$3:$E$16,4,FALSE),0),"")</f>
        <v/>
      </c>
      <c r="AK180" t="str">
        <f>IFERROR(T180&amp;"*"&amp;ROUND(X180*(U180/$AP180)/VLOOKUP(T180,商品!$A$4:$D$67,4,FALSE),0),"")</f>
        <v/>
      </c>
      <c r="AL180" t="str">
        <f>IFERROR(V180&amp;"*"&amp;ROUND(X180*(W180/$AP180)/VLOOKUP(V180,商品!$A$4:$D$67,4,FALSE),0),"")</f>
        <v/>
      </c>
      <c r="AN180">
        <f t="shared" si="21"/>
        <v>0</v>
      </c>
      <c r="AO180">
        <f t="shared" si="22"/>
        <v>0</v>
      </c>
      <c r="AP180">
        <f t="shared" si="23"/>
        <v>0</v>
      </c>
    </row>
    <row r="181" customHeight="1" spans="1:42">
      <c r="A181" s="18" t="s">
        <v>322</v>
      </c>
      <c r="C181" s="18">
        <v>4</v>
      </c>
      <c r="D181" s="1" t="s">
        <v>222</v>
      </c>
      <c r="E181" s="1" t="s">
        <v>226</v>
      </c>
      <c r="L181" s="1">
        <f>IFERROR(VLOOKUP($D181&amp;$C181,生产方式定位!$A$2:$E$38,2,FALSE)+VLOOKUP($E181&amp;$C181,生产方式定位!$F$3:$J$38,2,FALSE),0)</f>
        <v>5600</v>
      </c>
      <c r="S181" s="1">
        <f>IFERROR(VLOOKUP($D181&amp;$C181,生产方式定位!$A$2:$E$38,3,FALSE)+VLOOKUP($E181&amp;$C181,生产方式定位!$F$3:$J$38,3,FALSE),0)</f>
        <v>50</v>
      </c>
      <c r="X181" s="1">
        <f>IFERROR(VLOOKUP($D181&amp;$C181,生产方式定位!$A$2:$E$38,5,FALSE)+VLOOKUP($E181&amp;$C181,生产方式定位!$F$3:$J$38,5,FALSE),"错误")</f>
        <v>3335</v>
      </c>
      <c r="Y181" s="27" t="str">
        <f t="shared" si="16"/>
        <v/>
      </c>
      <c r="Z181" s="37" t="str">
        <f t="shared" si="17"/>
        <v/>
      </c>
      <c r="AA181" s="37" t="str">
        <f t="shared" si="18"/>
        <v/>
      </c>
      <c r="AB181" s="28">
        <f t="shared" si="19"/>
        <v>1.68</v>
      </c>
      <c r="AC181" s="37"/>
      <c r="AD181" s="38">
        <f t="shared" si="20"/>
        <v>4</v>
      </c>
      <c r="AE181" t="str">
        <f>IFERROR(F181&amp;"*"&amp;ROUND(L181*(G181/$AN181)/VLOOKUP(F181,商品!$A$4:$D$67,4,FALSE),0),"")</f>
        <v/>
      </c>
      <c r="AF181" t="str">
        <f>IFERROR(H181&amp;"*"&amp;ROUND(L181*(I181/$AN181)/VLOOKUP(H181,商品!$A$4:$D$67,4,FALSE),0),"")</f>
        <v/>
      </c>
      <c r="AG181" t="str">
        <f>IFERROR(J181&amp;"*"&amp;ROUND(L181*(K181/$AN181)/VLOOKUP(J181,商品!$A$4:$D$67,4,FALSE),0),"")</f>
        <v/>
      </c>
      <c r="AH181" t="str">
        <f>IFERROR(M181&amp;"*"&amp;ROUND(S181*(N181/$AO181)/VLOOKUP(M181,职业!$A$3:$E$16,4,FALSE),0),"")</f>
        <v/>
      </c>
      <c r="AI181" t="str">
        <f>IFERROR(O181&amp;"*"&amp;ROUND(S181*(P181/$AO181)/VLOOKUP(O181,职业!$A$3:$E$16,4,FALSE),0),"")</f>
        <v/>
      </c>
      <c r="AK181" t="str">
        <f>IFERROR(T181&amp;"*"&amp;ROUND(X181*(U181/$AP181)/VLOOKUP(T181,商品!$A$4:$D$67,4,FALSE),0),"")</f>
        <v/>
      </c>
      <c r="AL181" t="str">
        <f>IFERROR(V181&amp;"*"&amp;ROUND(X181*(W181/$AP181)/VLOOKUP(V181,商品!$A$4:$D$67,4,FALSE),0),"")</f>
        <v/>
      </c>
      <c r="AN181">
        <f t="shared" si="21"/>
        <v>0</v>
      </c>
      <c r="AO181">
        <f t="shared" si="22"/>
        <v>0</v>
      </c>
      <c r="AP181">
        <f t="shared" si="23"/>
        <v>0</v>
      </c>
    </row>
    <row r="182" customHeight="1" spans="1:42">
      <c r="A182" s="18" t="s">
        <v>322</v>
      </c>
      <c r="C182" s="18">
        <v>5</v>
      </c>
      <c r="D182" s="1" t="s">
        <v>222</v>
      </c>
      <c r="E182" s="1" t="s">
        <v>226</v>
      </c>
      <c r="L182" s="1">
        <f>IFERROR(VLOOKUP($D182&amp;$C182,生产方式定位!$A$2:$E$38,2,FALSE)+VLOOKUP($E182&amp;$C182,生产方式定位!$F$3:$J$38,2,FALSE),0)</f>
        <v>6800</v>
      </c>
      <c r="S182" s="1">
        <f>IFERROR(VLOOKUP($D182&amp;$C182,生产方式定位!$A$2:$E$38,3,FALSE)+VLOOKUP($E182&amp;$C182,生产方式定位!$F$3:$J$38,3,FALSE),0)</f>
        <v>-100</v>
      </c>
      <c r="X182" s="1">
        <f>IFERROR(VLOOKUP($D182&amp;$C182,生产方式定位!$A$2:$E$38,5,FALSE)+VLOOKUP($E182&amp;$C182,生产方式定位!$F$3:$J$38,5,FALSE),"错误")</f>
        <v>4190</v>
      </c>
      <c r="Y182" s="27" t="str">
        <f t="shared" si="16"/>
        <v/>
      </c>
      <c r="Z182" s="37" t="str">
        <f t="shared" si="17"/>
        <v/>
      </c>
      <c r="AA182" s="37" t="str">
        <f t="shared" si="18"/>
        <v/>
      </c>
      <c r="AB182" s="28">
        <f t="shared" si="19"/>
        <v>1.62</v>
      </c>
      <c r="AC182" s="37"/>
      <c r="AD182" s="38">
        <f t="shared" si="20"/>
        <v>5</v>
      </c>
      <c r="AE182" t="str">
        <f>IFERROR(F182&amp;"*"&amp;ROUND(L182*(G182/$AN182)/VLOOKUP(F182,商品!$A$4:$D$67,4,FALSE),0),"")</f>
        <v/>
      </c>
      <c r="AF182" t="str">
        <f>IFERROR(H182&amp;"*"&amp;ROUND(L182*(I182/$AN182)/VLOOKUP(H182,商品!$A$4:$D$67,4,FALSE),0),"")</f>
        <v/>
      </c>
      <c r="AG182" t="str">
        <f>IFERROR(J182&amp;"*"&amp;ROUND(L182*(K182/$AN182)/VLOOKUP(J182,商品!$A$4:$D$67,4,FALSE),0),"")</f>
        <v/>
      </c>
      <c r="AH182" t="str">
        <f>IFERROR(M182&amp;"*"&amp;ROUND(S182*(N182/$AO182)/VLOOKUP(M182,职业!$A$3:$E$16,4,FALSE),0),"")</f>
        <v/>
      </c>
      <c r="AI182" t="str">
        <f>IFERROR(O182&amp;"*"&amp;ROUND(S182*(P182/$AO182)/VLOOKUP(O182,职业!$A$3:$E$16,4,FALSE),0),"")</f>
        <v/>
      </c>
      <c r="AK182" t="str">
        <f>IFERROR(T182&amp;"*"&amp;ROUND(X182*(U182/$AP182)/VLOOKUP(T182,商品!$A$4:$D$67,4,FALSE),0),"")</f>
        <v/>
      </c>
      <c r="AL182" t="str">
        <f>IFERROR(V182&amp;"*"&amp;ROUND(X182*(W182/$AP182)/VLOOKUP(V182,商品!$A$4:$D$67,4,FALSE),0),"")</f>
        <v/>
      </c>
      <c r="AN182">
        <f t="shared" si="21"/>
        <v>0</v>
      </c>
      <c r="AO182">
        <f t="shared" si="22"/>
        <v>0</v>
      </c>
      <c r="AP182">
        <f t="shared" si="23"/>
        <v>0</v>
      </c>
    </row>
    <row r="183" customHeight="1" spans="1:42">
      <c r="A183" s="5" t="s">
        <v>322</v>
      </c>
      <c r="C183" s="5">
        <v>1</v>
      </c>
      <c r="D183" s="1" t="s">
        <v>222</v>
      </c>
      <c r="E183" s="1" t="s">
        <v>226</v>
      </c>
      <c r="L183" s="1">
        <f>IFERROR(VLOOKUP($D183&amp;$C183,生产方式定位!$A$2:$E$38,2,FALSE)+VLOOKUP($E183&amp;$C183,生产方式定位!$F$3:$J$38,2,FALSE),0)</f>
        <v>0</v>
      </c>
      <c r="S183" s="1">
        <f>IFERROR(VLOOKUP($D183&amp;$C183,生产方式定位!$A$2:$E$38,3,FALSE)+VLOOKUP($E183&amp;$C183,生产方式定位!$F$3:$J$38,3,FALSE),0)</f>
        <v>500</v>
      </c>
      <c r="X183" s="1">
        <f>IFERROR(VLOOKUP($D183&amp;$C183,生产方式定位!$A$2:$E$38,5,FALSE)+VLOOKUP($E183&amp;$C183,生产方式定位!$F$3:$J$38,5,FALSE),"错误")</f>
        <v>250</v>
      </c>
      <c r="Y183" s="27" t="str">
        <f t="shared" si="16"/>
        <v/>
      </c>
      <c r="Z183" s="37" t="str">
        <f t="shared" si="17"/>
        <v/>
      </c>
      <c r="AA183" s="37" t="str">
        <f t="shared" si="18"/>
        <v/>
      </c>
      <c r="AB183" s="28">
        <f t="shared" si="19"/>
        <v>0</v>
      </c>
      <c r="AC183" s="37"/>
      <c r="AD183" s="38">
        <f t="shared" si="20"/>
        <v>1</v>
      </c>
      <c r="AE183" t="str">
        <f>IFERROR(F183&amp;"*"&amp;ROUND(L183*(G183/$AN183)/VLOOKUP(F183,商品!$A$4:$D$67,4,FALSE),0),"")</f>
        <v/>
      </c>
      <c r="AF183" t="str">
        <f>IFERROR(H183&amp;"*"&amp;ROUND(L183*(I183/$AN183)/VLOOKUP(H183,商品!$A$4:$D$67,4,FALSE),0),"")</f>
        <v/>
      </c>
      <c r="AG183" t="str">
        <f>IFERROR(J183&amp;"*"&amp;ROUND(L183*(K183/$AN183)/VLOOKUP(J183,商品!$A$4:$D$67,4,FALSE),0),"")</f>
        <v/>
      </c>
      <c r="AH183" t="str">
        <f>IFERROR(M183&amp;"*"&amp;ROUND(S183*(N183/$AO183)/VLOOKUP(M183,职业!$A$3:$E$16,4,FALSE),0),"")</f>
        <v/>
      </c>
      <c r="AI183" t="str">
        <f>IFERROR(O183&amp;"*"&amp;ROUND(S183*(P183/$AO183)/VLOOKUP(O183,职业!$A$3:$E$16,4,FALSE),0),"")</f>
        <v/>
      </c>
      <c r="AK183" t="str">
        <f>IFERROR(T183&amp;"*"&amp;ROUND(X183*(U183/$AP183)/VLOOKUP(T183,商品!$A$4:$D$67,4,FALSE),0),"")</f>
        <v/>
      </c>
      <c r="AL183" t="str">
        <f>IFERROR(V183&amp;"*"&amp;ROUND(X183*(W183/$AP183)/VLOOKUP(V183,商品!$A$4:$D$67,4,FALSE),0),"")</f>
        <v/>
      </c>
      <c r="AN183">
        <f t="shared" si="21"/>
        <v>0</v>
      </c>
      <c r="AO183">
        <f t="shared" si="22"/>
        <v>0</v>
      </c>
      <c r="AP183">
        <f t="shared" si="23"/>
        <v>0</v>
      </c>
    </row>
    <row r="184" customHeight="1" spans="1:42">
      <c r="A184" s="5" t="s">
        <v>322</v>
      </c>
      <c r="C184" s="5">
        <v>2</v>
      </c>
      <c r="D184" s="1" t="s">
        <v>222</v>
      </c>
      <c r="E184" s="1" t="s">
        <v>226</v>
      </c>
      <c r="L184" s="1">
        <f>IFERROR(VLOOKUP($D184&amp;$C184,生产方式定位!$A$2:$E$38,2,FALSE)+VLOOKUP($E184&amp;$C184,生产方式定位!$F$3:$J$38,2,FALSE),0)</f>
        <v>3200</v>
      </c>
      <c r="S184" s="1">
        <f>IFERROR(VLOOKUP($D184&amp;$C184,生产方式定位!$A$2:$E$38,3,FALSE)+VLOOKUP($E184&amp;$C184,生产方式定位!$F$3:$J$38,3,FALSE),0)</f>
        <v>350</v>
      </c>
      <c r="X184" s="1">
        <f>IFERROR(VLOOKUP($D184&amp;$C184,生产方式定位!$A$2:$E$38,5,FALSE)+VLOOKUP($E184&amp;$C184,生产方式定位!$F$3:$J$38,5,FALSE),"错误")</f>
        <v>1865</v>
      </c>
      <c r="Y184" s="27" t="str">
        <f t="shared" si="16"/>
        <v/>
      </c>
      <c r="Z184" s="37" t="str">
        <f t="shared" si="17"/>
        <v/>
      </c>
      <c r="AA184" s="37" t="str">
        <f t="shared" si="18"/>
        <v/>
      </c>
      <c r="AB184" s="28">
        <f t="shared" si="19"/>
        <v>1.72</v>
      </c>
      <c r="AC184" s="37"/>
      <c r="AD184" s="38">
        <f t="shared" si="20"/>
        <v>2</v>
      </c>
      <c r="AE184" t="str">
        <f>IFERROR(F184&amp;"*"&amp;ROUND(L184*(G184/$AN184)/VLOOKUP(F184,商品!$A$4:$D$67,4,FALSE),0),"")</f>
        <v/>
      </c>
      <c r="AF184" t="str">
        <f>IFERROR(H184&amp;"*"&amp;ROUND(L184*(I184/$AN184)/VLOOKUP(H184,商品!$A$4:$D$67,4,FALSE),0),"")</f>
        <v/>
      </c>
      <c r="AG184" t="str">
        <f>IFERROR(J184&amp;"*"&amp;ROUND(L184*(K184/$AN184)/VLOOKUP(J184,商品!$A$4:$D$67,4,FALSE),0),"")</f>
        <v/>
      </c>
      <c r="AH184" t="str">
        <f>IFERROR(M184&amp;"*"&amp;ROUND(S184*(N184/$AO184)/VLOOKUP(M184,职业!$A$3:$E$16,4,FALSE),0),"")</f>
        <v/>
      </c>
      <c r="AI184" t="str">
        <f>IFERROR(O184&amp;"*"&amp;ROUND(S184*(P184/$AO184)/VLOOKUP(O184,职业!$A$3:$E$16,4,FALSE),0),"")</f>
        <v/>
      </c>
      <c r="AK184" t="str">
        <f>IFERROR(T184&amp;"*"&amp;ROUND(X184*(U184/$AP184)/VLOOKUP(T184,商品!$A$4:$D$67,4,FALSE),0),"")</f>
        <v/>
      </c>
      <c r="AL184" t="str">
        <f>IFERROR(V184&amp;"*"&amp;ROUND(X184*(W184/$AP184)/VLOOKUP(V184,商品!$A$4:$D$67,4,FALSE),0),"")</f>
        <v/>
      </c>
      <c r="AN184">
        <f t="shared" si="21"/>
        <v>0</v>
      </c>
      <c r="AO184">
        <f t="shared" si="22"/>
        <v>0</v>
      </c>
      <c r="AP184">
        <f t="shared" si="23"/>
        <v>0</v>
      </c>
    </row>
    <row r="185" customHeight="1" spans="1:42">
      <c r="A185" s="5" t="s">
        <v>322</v>
      </c>
      <c r="C185" s="5">
        <v>3</v>
      </c>
      <c r="D185" s="1" t="s">
        <v>222</v>
      </c>
      <c r="E185" s="1" t="s">
        <v>226</v>
      </c>
      <c r="L185" s="1">
        <f>IFERROR(VLOOKUP($D185&amp;$C185,生产方式定位!$A$2:$E$38,2,FALSE)+VLOOKUP($E185&amp;$C185,生产方式定位!$F$3:$J$38,2,FALSE),0)</f>
        <v>4400</v>
      </c>
      <c r="S185" s="1">
        <f>IFERROR(VLOOKUP($D185&amp;$C185,生产方式定位!$A$2:$E$38,3,FALSE)+VLOOKUP($E185&amp;$C185,生产方式定位!$F$3:$J$38,3,FALSE),0)</f>
        <v>200</v>
      </c>
      <c r="X185" s="1">
        <f>IFERROR(VLOOKUP($D185&amp;$C185,生产方式定位!$A$2:$E$38,5,FALSE)+VLOOKUP($E185&amp;$C185,生产方式定位!$F$3:$J$38,5,FALSE),"错误")</f>
        <v>2560</v>
      </c>
      <c r="Y185" s="27" t="str">
        <f t="shared" si="16"/>
        <v/>
      </c>
      <c r="Z185" s="37" t="str">
        <f t="shared" si="17"/>
        <v/>
      </c>
      <c r="AA185" s="37" t="str">
        <f t="shared" si="18"/>
        <v/>
      </c>
      <c r="AB185" s="28">
        <f t="shared" si="19"/>
        <v>1.72</v>
      </c>
      <c r="AC185" s="37"/>
      <c r="AD185" s="38">
        <f t="shared" si="20"/>
        <v>3</v>
      </c>
      <c r="AE185" t="str">
        <f>IFERROR(F185&amp;"*"&amp;ROUND(L185*(G185/$AN185)/VLOOKUP(F185,商品!$A$4:$D$67,4,FALSE),0),"")</f>
        <v/>
      </c>
      <c r="AF185" t="str">
        <f>IFERROR(H185&amp;"*"&amp;ROUND(L185*(I185/$AN185)/VLOOKUP(H185,商品!$A$4:$D$67,4,FALSE),0),"")</f>
        <v/>
      </c>
      <c r="AG185" t="str">
        <f>IFERROR(J185&amp;"*"&amp;ROUND(L185*(K185/$AN185)/VLOOKUP(J185,商品!$A$4:$D$67,4,FALSE),0),"")</f>
        <v/>
      </c>
      <c r="AH185" t="str">
        <f>IFERROR(M185&amp;"*"&amp;ROUND(S185*(N185/$AO185)/VLOOKUP(M185,职业!$A$3:$E$16,4,FALSE),0),"")</f>
        <v/>
      </c>
      <c r="AI185" t="str">
        <f>IFERROR(O185&amp;"*"&amp;ROUND(S185*(P185/$AO185)/VLOOKUP(O185,职业!$A$3:$E$16,4,FALSE),0),"")</f>
        <v/>
      </c>
      <c r="AK185" t="str">
        <f>IFERROR(T185&amp;"*"&amp;ROUND(X185*(U185/$AP185)/VLOOKUP(T185,商品!$A$4:$D$67,4,FALSE),0),"")</f>
        <v/>
      </c>
      <c r="AL185" t="str">
        <f>IFERROR(V185&amp;"*"&amp;ROUND(X185*(W185/$AP185)/VLOOKUP(V185,商品!$A$4:$D$67,4,FALSE),0),"")</f>
        <v/>
      </c>
      <c r="AN185">
        <f t="shared" si="21"/>
        <v>0</v>
      </c>
      <c r="AO185">
        <f t="shared" si="22"/>
        <v>0</v>
      </c>
      <c r="AP185">
        <f t="shared" si="23"/>
        <v>0</v>
      </c>
    </row>
    <row r="186" customHeight="1" spans="1:42">
      <c r="A186" s="5" t="s">
        <v>322</v>
      </c>
      <c r="C186" s="5">
        <v>4</v>
      </c>
      <c r="D186" s="1" t="s">
        <v>222</v>
      </c>
      <c r="E186" s="1" t="s">
        <v>226</v>
      </c>
      <c r="L186" s="1">
        <f>IFERROR(VLOOKUP($D186&amp;$C186,生产方式定位!$A$2:$E$38,2,FALSE)+VLOOKUP($E186&amp;$C186,生产方式定位!$F$3:$J$38,2,FALSE),0)</f>
        <v>5600</v>
      </c>
      <c r="S186" s="1">
        <f>IFERROR(VLOOKUP($D186&amp;$C186,生产方式定位!$A$2:$E$38,3,FALSE)+VLOOKUP($E186&amp;$C186,生产方式定位!$F$3:$J$38,3,FALSE),0)</f>
        <v>50</v>
      </c>
      <c r="X186" s="1">
        <f>IFERROR(VLOOKUP($D186&amp;$C186,生产方式定位!$A$2:$E$38,5,FALSE)+VLOOKUP($E186&amp;$C186,生产方式定位!$F$3:$J$38,5,FALSE),"错误")</f>
        <v>3335</v>
      </c>
      <c r="Y186" s="27" t="str">
        <f t="shared" si="16"/>
        <v/>
      </c>
      <c r="Z186" s="37" t="str">
        <f t="shared" si="17"/>
        <v/>
      </c>
      <c r="AA186" s="37" t="str">
        <f t="shared" si="18"/>
        <v/>
      </c>
      <c r="AB186" s="28">
        <f t="shared" si="19"/>
        <v>1.68</v>
      </c>
      <c r="AC186" s="37"/>
      <c r="AD186" s="38">
        <f t="shared" si="20"/>
        <v>4</v>
      </c>
      <c r="AE186" t="str">
        <f>IFERROR(F186&amp;"*"&amp;ROUND(L186*(G186/$AN186)/VLOOKUP(F186,商品!$A$4:$D$67,4,FALSE),0),"")</f>
        <v/>
      </c>
      <c r="AF186" t="str">
        <f>IFERROR(H186&amp;"*"&amp;ROUND(L186*(I186/$AN186)/VLOOKUP(H186,商品!$A$4:$D$67,4,FALSE),0),"")</f>
        <v/>
      </c>
      <c r="AG186" t="str">
        <f>IFERROR(J186&amp;"*"&amp;ROUND(L186*(K186/$AN186)/VLOOKUP(J186,商品!$A$4:$D$67,4,FALSE),0),"")</f>
        <v/>
      </c>
      <c r="AH186" t="str">
        <f>IFERROR(M186&amp;"*"&amp;ROUND(S186*(N186/$AO186)/VLOOKUP(M186,职业!$A$3:$E$16,4,FALSE),0),"")</f>
        <v/>
      </c>
      <c r="AI186" t="str">
        <f>IFERROR(O186&amp;"*"&amp;ROUND(S186*(P186/$AO186)/VLOOKUP(O186,职业!$A$3:$E$16,4,FALSE),0),"")</f>
        <v/>
      </c>
      <c r="AK186" t="str">
        <f>IFERROR(T186&amp;"*"&amp;ROUND(X186*(U186/$AP186)/VLOOKUP(T186,商品!$A$4:$D$67,4,FALSE),0),"")</f>
        <v/>
      </c>
      <c r="AL186" t="str">
        <f>IFERROR(V186&amp;"*"&amp;ROUND(X186*(W186/$AP186)/VLOOKUP(V186,商品!$A$4:$D$67,4,FALSE),0),"")</f>
        <v/>
      </c>
      <c r="AN186">
        <f t="shared" si="21"/>
        <v>0</v>
      </c>
      <c r="AO186">
        <f t="shared" si="22"/>
        <v>0</v>
      </c>
      <c r="AP186">
        <f t="shared" si="23"/>
        <v>0</v>
      </c>
    </row>
    <row r="187" customHeight="1" spans="1:42">
      <c r="A187" s="5" t="s">
        <v>322</v>
      </c>
      <c r="C187" s="5">
        <v>5</v>
      </c>
      <c r="D187" s="1" t="s">
        <v>222</v>
      </c>
      <c r="E187" s="1" t="s">
        <v>226</v>
      </c>
      <c r="L187" s="1">
        <f>IFERROR(VLOOKUP($D187&amp;$C187,生产方式定位!$A$2:$E$38,2,FALSE)+VLOOKUP($E187&amp;$C187,生产方式定位!$F$3:$J$38,2,FALSE),0)</f>
        <v>6800</v>
      </c>
      <c r="S187" s="1">
        <f>IFERROR(VLOOKUP($D187&amp;$C187,生产方式定位!$A$2:$E$38,3,FALSE)+VLOOKUP($E187&amp;$C187,生产方式定位!$F$3:$J$38,3,FALSE),0)</f>
        <v>-100</v>
      </c>
      <c r="X187" s="1">
        <f>IFERROR(VLOOKUP($D187&amp;$C187,生产方式定位!$A$2:$E$38,5,FALSE)+VLOOKUP($E187&amp;$C187,生产方式定位!$F$3:$J$38,5,FALSE),"错误")</f>
        <v>4190</v>
      </c>
      <c r="Y187" s="27" t="str">
        <f t="shared" si="16"/>
        <v/>
      </c>
      <c r="Z187" s="37" t="str">
        <f t="shared" si="17"/>
        <v/>
      </c>
      <c r="AA187" s="37" t="str">
        <f t="shared" si="18"/>
        <v/>
      </c>
      <c r="AB187" s="28">
        <f t="shared" si="19"/>
        <v>1.62</v>
      </c>
      <c r="AC187" s="37"/>
      <c r="AD187" s="38">
        <f t="shared" si="20"/>
        <v>5</v>
      </c>
      <c r="AE187" t="str">
        <f>IFERROR(F187&amp;"*"&amp;ROUND(L187*(G187/$AN187)/VLOOKUP(F187,商品!$A$4:$D$67,4,FALSE),0),"")</f>
        <v/>
      </c>
      <c r="AF187" t="str">
        <f>IFERROR(H187&amp;"*"&amp;ROUND(L187*(I187/$AN187)/VLOOKUP(H187,商品!$A$4:$D$67,4,FALSE),0),"")</f>
        <v/>
      </c>
      <c r="AG187" t="str">
        <f>IFERROR(J187&amp;"*"&amp;ROUND(L187*(K187/$AN187)/VLOOKUP(J187,商品!$A$4:$D$67,4,FALSE),0),"")</f>
        <v/>
      </c>
      <c r="AH187" t="str">
        <f>IFERROR(M187&amp;"*"&amp;ROUND(S187*(N187/$AO187)/VLOOKUP(M187,职业!$A$3:$E$16,4,FALSE),0),"")</f>
        <v/>
      </c>
      <c r="AI187" t="str">
        <f>IFERROR(O187&amp;"*"&amp;ROUND(S187*(P187/$AO187)/VLOOKUP(O187,职业!$A$3:$E$16,4,FALSE),0),"")</f>
        <v/>
      </c>
      <c r="AK187" t="str">
        <f>IFERROR(T187&amp;"*"&amp;ROUND(X187*(U187/$AP187)/VLOOKUP(T187,商品!$A$4:$D$67,4,FALSE),0),"")</f>
        <v/>
      </c>
      <c r="AL187" t="str">
        <f>IFERROR(V187&amp;"*"&amp;ROUND(X187*(W187/$AP187)/VLOOKUP(V187,商品!$A$4:$D$67,4,FALSE),0),"")</f>
        <v/>
      </c>
      <c r="AN187">
        <f t="shared" si="21"/>
        <v>0</v>
      </c>
      <c r="AO187">
        <f t="shared" si="22"/>
        <v>0</v>
      </c>
      <c r="AP187">
        <f t="shared" si="23"/>
        <v>0</v>
      </c>
    </row>
    <row r="188" customHeight="1" spans="1:42">
      <c r="A188" s="18" t="s">
        <v>323</v>
      </c>
      <c r="C188" s="18">
        <v>1</v>
      </c>
      <c r="D188" s="1" t="s">
        <v>293</v>
      </c>
      <c r="E188" s="1" t="s">
        <v>227</v>
      </c>
      <c r="L188" s="1">
        <f>IFERROR(VLOOKUP($D188&amp;$C188,生产方式定位!$A$2:$E$38,2,FALSE)+VLOOKUP($E188&amp;$C188,生产方式定位!$F$3:$J$38,2,FALSE),0)</f>
        <v>0</v>
      </c>
      <c r="S188" s="1">
        <f>IFERROR(VLOOKUP($D188&amp;$C188,生产方式定位!$A$2:$E$38,3,FALSE)+VLOOKUP($E188&amp;$C188,生产方式定位!$F$3:$J$38,3,FALSE),0)</f>
        <v>0</v>
      </c>
      <c r="X188" s="1">
        <f>IFERROR(VLOOKUP($D188&amp;$C188,生产方式定位!$A$2:$E$38,5,FALSE)+VLOOKUP($E188&amp;$C188,生产方式定位!$F$3:$J$38,5,FALSE),"错误")</f>
        <v>0</v>
      </c>
      <c r="Y188" s="27" t="str">
        <f t="shared" si="16"/>
        <v/>
      </c>
      <c r="Z188" s="37" t="str">
        <f t="shared" si="17"/>
        <v/>
      </c>
      <c r="AA188" s="37" t="str">
        <f t="shared" si="18"/>
        <v/>
      </c>
      <c r="AB188" s="28" t="str">
        <f t="shared" si="19"/>
        <v/>
      </c>
      <c r="AC188" s="37"/>
      <c r="AD188" s="38">
        <f t="shared" si="20"/>
        <v>1</v>
      </c>
      <c r="AE188" t="str">
        <f>IFERROR(F188&amp;"*"&amp;ROUND(L188*(G188/$AN188)/VLOOKUP(F188,商品!$A$4:$D$67,4,FALSE),0),"")</f>
        <v/>
      </c>
      <c r="AF188" t="str">
        <f>IFERROR(H188&amp;"*"&amp;ROUND(L188*(I188/$AN188)/VLOOKUP(H188,商品!$A$4:$D$67,4,FALSE),0),"")</f>
        <v/>
      </c>
      <c r="AG188" t="str">
        <f>IFERROR(J188&amp;"*"&amp;ROUND(L188*(K188/$AN188)/VLOOKUP(J188,商品!$A$4:$D$67,4,FALSE),0),"")</f>
        <v/>
      </c>
      <c r="AH188" t="str">
        <f>IFERROR(M188&amp;"*"&amp;ROUND(S188*(N188/$AO188)/VLOOKUP(M188,职业!$A$3:$E$16,4,FALSE),0),"")</f>
        <v/>
      </c>
      <c r="AI188" t="str">
        <f>IFERROR(O188&amp;"*"&amp;ROUND(S188*(P188/$AO188)/VLOOKUP(O188,职业!$A$3:$E$16,4,FALSE),0),"")</f>
        <v/>
      </c>
      <c r="AK188" t="str">
        <f>IFERROR(T188&amp;"*"&amp;ROUND(X188*(U188/$AP188)/VLOOKUP(T188,商品!$A$4:$D$67,4,FALSE),0),"")</f>
        <v/>
      </c>
      <c r="AL188" t="str">
        <f>IFERROR(V188&amp;"*"&amp;ROUND(X188*(W188/$AP188)/VLOOKUP(V188,商品!$A$4:$D$67,4,FALSE),0),"")</f>
        <v/>
      </c>
      <c r="AN188">
        <f t="shared" si="21"/>
        <v>0</v>
      </c>
      <c r="AO188">
        <f t="shared" si="22"/>
        <v>0</v>
      </c>
      <c r="AP188">
        <f t="shared" si="23"/>
        <v>0</v>
      </c>
    </row>
    <row r="189" customHeight="1" spans="1:42">
      <c r="A189" s="18" t="s">
        <v>323</v>
      </c>
      <c r="C189" s="18">
        <v>2</v>
      </c>
      <c r="D189" s="1" t="s">
        <v>293</v>
      </c>
      <c r="E189" s="1" t="s">
        <v>227</v>
      </c>
      <c r="L189" s="1">
        <f>IFERROR(VLOOKUP($D189&amp;$C189,生产方式定位!$A$2:$E$38,2,FALSE)+VLOOKUP($E189&amp;$C189,生产方式定位!$F$3:$J$38,2,FALSE),0)</f>
        <v>0</v>
      </c>
      <c r="S189" s="1">
        <f>IFERROR(VLOOKUP($D189&amp;$C189,生产方式定位!$A$2:$E$38,3,FALSE)+VLOOKUP($E189&amp;$C189,生产方式定位!$F$3:$J$38,3,FALSE),0)</f>
        <v>0</v>
      </c>
      <c r="X189" s="1">
        <f>IFERROR(VLOOKUP($D189&amp;$C189,生产方式定位!$A$2:$E$38,5,FALSE)+VLOOKUP($E189&amp;$C189,生产方式定位!$F$3:$J$38,5,FALSE),"错误")</f>
        <v>0</v>
      </c>
      <c r="Y189" s="27" t="str">
        <f t="shared" si="16"/>
        <v/>
      </c>
      <c r="Z189" s="37" t="str">
        <f t="shared" si="17"/>
        <v/>
      </c>
      <c r="AA189" s="37" t="str">
        <f t="shared" si="18"/>
        <v/>
      </c>
      <c r="AB189" s="28" t="str">
        <f t="shared" si="19"/>
        <v/>
      </c>
      <c r="AC189" s="37"/>
      <c r="AD189" s="38">
        <f t="shared" si="20"/>
        <v>2</v>
      </c>
      <c r="AE189" t="str">
        <f>IFERROR(F189&amp;"*"&amp;ROUND(L189*(G189/$AN189)/VLOOKUP(F189,商品!$A$4:$D$67,4,FALSE),0),"")</f>
        <v/>
      </c>
      <c r="AF189" t="str">
        <f>IFERROR(H189&amp;"*"&amp;ROUND(L189*(I189/$AN189)/VLOOKUP(H189,商品!$A$4:$D$67,4,FALSE),0),"")</f>
        <v/>
      </c>
      <c r="AG189" t="str">
        <f>IFERROR(J189&amp;"*"&amp;ROUND(L189*(K189/$AN189)/VLOOKUP(J189,商品!$A$4:$D$67,4,FALSE),0),"")</f>
        <v/>
      </c>
      <c r="AH189" t="str">
        <f>IFERROR(M189&amp;"*"&amp;ROUND(S189*(N189/$AO189)/VLOOKUP(M189,职业!$A$3:$E$16,4,FALSE),0),"")</f>
        <v/>
      </c>
      <c r="AI189" t="str">
        <f>IFERROR(O189&amp;"*"&amp;ROUND(S189*(P189/$AO189)/VLOOKUP(O189,职业!$A$3:$E$16,4,FALSE),0),"")</f>
        <v/>
      </c>
      <c r="AK189" t="str">
        <f>IFERROR(T189&amp;"*"&amp;ROUND(X189*(U189/$AP189)/VLOOKUP(T189,商品!$A$4:$D$67,4,FALSE),0),"")</f>
        <v/>
      </c>
      <c r="AL189" t="str">
        <f>IFERROR(V189&amp;"*"&amp;ROUND(X189*(W189/$AP189)/VLOOKUP(V189,商品!$A$4:$D$67,4,FALSE),0),"")</f>
        <v/>
      </c>
      <c r="AN189">
        <f t="shared" si="21"/>
        <v>0</v>
      </c>
      <c r="AO189">
        <f t="shared" si="22"/>
        <v>0</v>
      </c>
      <c r="AP189">
        <f t="shared" si="23"/>
        <v>0</v>
      </c>
    </row>
    <row r="190" customHeight="1" spans="1:42">
      <c r="A190" s="18" t="s">
        <v>323</v>
      </c>
      <c r="C190" s="18">
        <v>3</v>
      </c>
      <c r="D190" s="1" t="s">
        <v>293</v>
      </c>
      <c r="E190" s="1" t="s">
        <v>227</v>
      </c>
      <c r="L190" s="1">
        <f>IFERROR(VLOOKUP($D190&amp;$C190,生产方式定位!$A$2:$E$38,2,FALSE)+VLOOKUP($E190&amp;$C190,生产方式定位!$F$3:$J$38,2,FALSE),0)</f>
        <v>0</v>
      </c>
      <c r="S190" s="1">
        <f>IFERROR(VLOOKUP($D190&amp;$C190,生产方式定位!$A$2:$E$38,3,FALSE)+VLOOKUP($E190&amp;$C190,生产方式定位!$F$3:$J$38,3,FALSE),0)</f>
        <v>0</v>
      </c>
      <c r="X190" s="1">
        <f>IFERROR(VLOOKUP($D190&amp;$C190,生产方式定位!$A$2:$E$38,5,FALSE)+VLOOKUP($E190&amp;$C190,生产方式定位!$F$3:$J$38,5,FALSE),"错误")</f>
        <v>0</v>
      </c>
      <c r="Y190" s="27" t="str">
        <f t="shared" si="16"/>
        <v/>
      </c>
      <c r="Z190" s="37" t="str">
        <f t="shared" si="17"/>
        <v/>
      </c>
      <c r="AA190" s="37" t="str">
        <f t="shared" si="18"/>
        <v/>
      </c>
      <c r="AB190" s="28" t="str">
        <f t="shared" si="19"/>
        <v/>
      </c>
      <c r="AC190" s="37"/>
      <c r="AD190" s="38">
        <f t="shared" si="20"/>
        <v>3</v>
      </c>
      <c r="AE190" t="str">
        <f>IFERROR(F190&amp;"*"&amp;ROUND(L190*(G190/$AN190)/VLOOKUP(F190,商品!$A$4:$D$67,4,FALSE),0),"")</f>
        <v/>
      </c>
      <c r="AF190" t="str">
        <f>IFERROR(H190&amp;"*"&amp;ROUND(L190*(I190/$AN190)/VLOOKUP(H190,商品!$A$4:$D$67,4,FALSE),0),"")</f>
        <v/>
      </c>
      <c r="AG190" t="str">
        <f>IFERROR(J190&amp;"*"&amp;ROUND(L190*(K190/$AN190)/VLOOKUP(J190,商品!$A$4:$D$67,4,FALSE),0),"")</f>
        <v/>
      </c>
      <c r="AH190" t="str">
        <f>IFERROR(M190&amp;"*"&amp;ROUND(S190*(N190/$AO190)/VLOOKUP(M190,职业!$A$3:$E$16,4,FALSE),0),"")</f>
        <v/>
      </c>
      <c r="AI190" t="str">
        <f>IFERROR(O190&amp;"*"&amp;ROUND(S190*(P190/$AO190)/VLOOKUP(O190,职业!$A$3:$E$16,4,FALSE),0),"")</f>
        <v/>
      </c>
      <c r="AK190" t="str">
        <f>IFERROR(T190&amp;"*"&amp;ROUND(X190*(U190/$AP190)/VLOOKUP(T190,商品!$A$4:$D$67,4,FALSE),0),"")</f>
        <v/>
      </c>
      <c r="AL190" t="str">
        <f>IFERROR(V190&amp;"*"&amp;ROUND(X190*(W190/$AP190)/VLOOKUP(V190,商品!$A$4:$D$67,4,FALSE),0),"")</f>
        <v/>
      </c>
      <c r="AN190">
        <f t="shared" si="21"/>
        <v>0</v>
      </c>
      <c r="AO190">
        <f t="shared" si="22"/>
        <v>0</v>
      </c>
      <c r="AP190">
        <f t="shared" si="23"/>
        <v>0</v>
      </c>
    </row>
    <row r="191" customHeight="1" spans="1:42">
      <c r="A191" s="18" t="s">
        <v>323</v>
      </c>
      <c r="C191" s="18">
        <v>4</v>
      </c>
      <c r="D191" s="1" t="s">
        <v>293</v>
      </c>
      <c r="E191" s="1" t="s">
        <v>227</v>
      </c>
      <c r="L191" s="1">
        <f>IFERROR(VLOOKUP($D191&amp;$C191,生产方式定位!$A$2:$E$38,2,FALSE)+VLOOKUP($E191&amp;$C191,生产方式定位!$F$3:$J$38,2,FALSE),0)</f>
        <v>0</v>
      </c>
      <c r="S191" s="1">
        <f>IFERROR(VLOOKUP($D191&amp;$C191,生产方式定位!$A$2:$E$38,3,FALSE)+VLOOKUP($E191&amp;$C191,生产方式定位!$F$3:$J$38,3,FALSE),0)</f>
        <v>0</v>
      </c>
      <c r="X191" s="1">
        <f>IFERROR(VLOOKUP($D191&amp;$C191,生产方式定位!$A$2:$E$38,5,FALSE)+VLOOKUP($E191&amp;$C191,生产方式定位!$F$3:$J$38,5,FALSE),"错误")</f>
        <v>0</v>
      </c>
      <c r="Y191" s="27" t="str">
        <f t="shared" si="16"/>
        <v/>
      </c>
      <c r="Z191" s="37" t="str">
        <f t="shared" si="17"/>
        <v/>
      </c>
      <c r="AA191" s="37" t="str">
        <f t="shared" si="18"/>
        <v/>
      </c>
      <c r="AB191" s="28" t="str">
        <f t="shared" si="19"/>
        <v/>
      </c>
      <c r="AC191" s="37"/>
      <c r="AD191" s="38">
        <f t="shared" si="20"/>
        <v>4</v>
      </c>
      <c r="AE191" t="str">
        <f>IFERROR(F191&amp;"*"&amp;ROUND(L191*(G191/$AN191)/VLOOKUP(F191,商品!$A$4:$D$67,4,FALSE),0),"")</f>
        <v/>
      </c>
      <c r="AF191" t="str">
        <f>IFERROR(H191&amp;"*"&amp;ROUND(L191*(I191/$AN191)/VLOOKUP(H191,商品!$A$4:$D$67,4,FALSE),0),"")</f>
        <v/>
      </c>
      <c r="AG191" t="str">
        <f>IFERROR(J191&amp;"*"&amp;ROUND(L191*(K191/$AN191)/VLOOKUP(J191,商品!$A$4:$D$67,4,FALSE),0),"")</f>
        <v/>
      </c>
      <c r="AH191" t="str">
        <f>IFERROR(M191&amp;"*"&amp;ROUND(S191*(N191/$AO191)/VLOOKUP(M191,职业!$A$3:$E$16,4,FALSE),0),"")</f>
        <v/>
      </c>
      <c r="AI191" t="str">
        <f>IFERROR(O191&amp;"*"&amp;ROUND(S191*(P191/$AO191)/VLOOKUP(O191,职业!$A$3:$E$16,4,FALSE),0),"")</f>
        <v/>
      </c>
      <c r="AK191" t="str">
        <f>IFERROR(T191&amp;"*"&amp;ROUND(X191*(U191/$AP191)/VLOOKUP(T191,商品!$A$4:$D$67,4,FALSE),0),"")</f>
        <v/>
      </c>
      <c r="AL191" t="str">
        <f>IFERROR(V191&amp;"*"&amp;ROUND(X191*(W191/$AP191)/VLOOKUP(V191,商品!$A$4:$D$67,4,FALSE),0),"")</f>
        <v/>
      </c>
      <c r="AN191">
        <f t="shared" si="21"/>
        <v>0</v>
      </c>
      <c r="AO191">
        <f t="shared" si="22"/>
        <v>0</v>
      </c>
      <c r="AP191">
        <f t="shared" si="23"/>
        <v>0</v>
      </c>
    </row>
    <row r="192" customHeight="1" spans="1:42">
      <c r="A192" s="18" t="s">
        <v>323</v>
      </c>
      <c r="C192" s="18">
        <v>5</v>
      </c>
      <c r="D192" s="1" t="s">
        <v>293</v>
      </c>
      <c r="E192" s="1" t="s">
        <v>227</v>
      </c>
      <c r="L192" s="1">
        <f>IFERROR(VLOOKUP($D192&amp;$C192,生产方式定位!$A$2:$E$38,2,FALSE)+VLOOKUP($E192&amp;$C192,生产方式定位!$F$3:$J$38,2,FALSE),0)</f>
        <v>0</v>
      </c>
      <c r="S192" s="1">
        <f>IFERROR(VLOOKUP($D192&amp;$C192,生产方式定位!$A$2:$E$38,3,FALSE)+VLOOKUP($E192&amp;$C192,生产方式定位!$F$3:$J$38,3,FALSE),0)</f>
        <v>0</v>
      </c>
      <c r="X192" s="1">
        <f>IFERROR(VLOOKUP($D192&amp;$C192,生产方式定位!$A$2:$E$38,5,FALSE)+VLOOKUP($E192&amp;$C192,生产方式定位!$F$3:$J$38,5,FALSE),"错误")</f>
        <v>0</v>
      </c>
      <c r="Y192" s="27" t="str">
        <f t="shared" si="16"/>
        <v/>
      </c>
      <c r="Z192" s="37" t="str">
        <f t="shared" si="17"/>
        <v/>
      </c>
      <c r="AA192" s="37" t="str">
        <f t="shared" si="18"/>
        <v/>
      </c>
      <c r="AB192" s="28" t="str">
        <f t="shared" si="19"/>
        <v/>
      </c>
      <c r="AC192" s="37"/>
      <c r="AD192" s="38">
        <f t="shared" si="20"/>
        <v>5</v>
      </c>
      <c r="AE192" t="str">
        <f>IFERROR(F192&amp;"*"&amp;ROUND(L192*(G192/$AN192)/VLOOKUP(F192,商品!$A$4:$D$67,4,FALSE),0),"")</f>
        <v/>
      </c>
      <c r="AF192" t="str">
        <f>IFERROR(H192&amp;"*"&amp;ROUND(L192*(I192/$AN192)/VLOOKUP(H192,商品!$A$4:$D$67,4,FALSE),0),"")</f>
        <v/>
      </c>
      <c r="AG192" t="str">
        <f>IFERROR(J192&amp;"*"&amp;ROUND(L192*(K192/$AN192)/VLOOKUP(J192,商品!$A$4:$D$67,4,FALSE),0),"")</f>
        <v/>
      </c>
      <c r="AH192" t="str">
        <f>IFERROR(M192&amp;"*"&amp;ROUND(S192*(N192/$AO192)/VLOOKUP(M192,职业!$A$3:$E$16,4,FALSE),0),"")</f>
        <v/>
      </c>
      <c r="AI192" t="str">
        <f>IFERROR(O192&amp;"*"&amp;ROUND(S192*(P192/$AO192)/VLOOKUP(O192,职业!$A$3:$E$16,4,FALSE),0),"")</f>
        <v/>
      </c>
      <c r="AK192" t="str">
        <f>IFERROR(T192&amp;"*"&amp;ROUND(X192*(U192/$AP192)/VLOOKUP(T192,商品!$A$4:$D$67,4,FALSE),0),"")</f>
        <v/>
      </c>
      <c r="AL192" t="str">
        <f>IFERROR(V192&amp;"*"&amp;ROUND(X192*(W192/$AP192)/VLOOKUP(V192,商品!$A$4:$D$67,4,FALSE),0),"")</f>
        <v/>
      </c>
      <c r="AN192">
        <f t="shared" si="21"/>
        <v>0</v>
      </c>
      <c r="AO192">
        <f t="shared" si="22"/>
        <v>0</v>
      </c>
      <c r="AP192">
        <f t="shared" si="23"/>
        <v>0</v>
      </c>
    </row>
    <row r="193" customHeight="1" spans="1:42">
      <c r="A193" s="18" t="s">
        <v>323</v>
      </c>
      <c r="C193" s="18">
        <v>6</v>
      </c>
      <c r="D193" s="1" t="s">
        <v>293</v>
      </c>
      <c r="E193" s="1" t="s">
        <v>227</v>
      </c>
      <c r="L193" s="1">
        <f>IFERROR(VLOOKUP($D193&amp;$C193,生产方式定位!$A$2:$E$38,2,FALSE)+VLOOKUP($E193&amp;$C193,生产方式定位!$F$3:$J$38,2,FALSE),0)</f>
        <v>0</v>
      </c>
      <c r="S193" s="1">
        <f>IFERROR(VLOOKUP($D193&amp;$C193,生产方式定位!$A$2:$E$38,3,FALSE)+VLOOKUP($E193&amp;$C193,生产方式定位!$F$3:$J$38,3,FALSE),0)</f>
        <v>0</v>
      </c>
      <c r="X193" s="1">
        <f>IFERROR(VLOOKUP($D193&amp;$C193,生产方式定位!$A$2:$E$38,5,FALSE)+VLOOKUP($E193&amp;$C193,生产方式定位!$F$3:$J$38,5,FALSE),"错误")</f>
        <v>0</v>
      </c>
      <c r="Y193" s="27" t="str">
        <f t="shared" si="16"/>
        <v/>
      </c>
      <c r="Z193" s="37" t="str">
        <f t="shared" si="17"/>
        <v/>
      </c>
      <c r="AA193" s="37" t="str">
        <f t="shared" si="18"/>
        <v/>
      </c>
      <c r="AB193" s="28" t="str">
        <f t="shared" si="19"/>
        <v/>
      </c>
      <c r="AC193" s="37"/>
      <c r="AD193" s="38">
        <f t="shared" si="20"/>
        <v>6</v>
      </c>
      <c r="AE193" t="str">
        <f>IFERROR(F193&amp;"*"&amp;ROUND(L193*(G193/$AN193)/VLOOKUP(F193,商品!$A$4:$D$67,4,FALSE),0),"")</f>
        <v/>
      </c>
      <c r="AF193" t="str">
        <f>IFERROR(H193&amp;"*"&amp;ROUND(L193*(I193/$AN193)/VLOOKUP(H193,商品!$A$4:$D$67,4,FALSE),0),"")</f>
        <v/>
      </c>
      <c r="AG193" t="str">
        <f>IFERROR(J193&amp;"*"&amp;ROUND(L193*(K193/$AN193)/VLOOKUP(J193,商品!$A$4:$D$67,4,FALSE),0),"")</f>
        <v/>
      </c>
      <c r="AH193" t="str">
        <f>IFERROR(M193&amp;"*"&amp;ROUND(S193*(N193/$AO193)/VLOOKUP(M193,职业!$A$3:$E$16,4,FALSE),0),"")</f>
        <v/>
      </c>
      <c r="AI193" t="str">
        <f>IFERROR(O193&amp;"*"&amp;ROUND(S193*(P193/$AO193)/VLOOKUP(O193,职业!$A$3:$E$16,4,FALSE),0),"")</f>
        <v/>
      </c>
      <c r="AK193" t="str">
        <f>IFERROR(T193&amp;"*"&amp;ROUND(X193*(U193/$AP193)/VLOOKUP(T193,商品!$A$4:$D$67,4,FALSE),0),"")</f>
        <v/>
      </c>
      <c r="AL193" t="str">
        <f>IFERROR(V193&amp;"*"&amp;ROUND(X193*(W193/$AP193)/VLOOKUP(V193,商品!$A$4:$D$67,4,FALSE),0),"")</f>
        <v/>
      </c>
      <c r="AN193">
        <f t="shared" si="21"/>
        <v>0</v>
      </c>
      <c r="AO193">
        <f t="shared" si="22"/>
        <v>0</v>
      </c>
      <c r="AP193">
        <f t="shared" si="23"/>
        <v>0</v>
      </c>
    </row>
    <row r="194" customHeight="1" spans="1:42">
      <c r="A194" s="18" t="s">
        <v>323</v>
      </c>
      <c r="C194" s="18">
        <v>7</v>
      </c>
      <c r="D194" s="1" t="s">
        <v>293</v>
      </c>
      <c r="E194" s="1" t="s">
        <v>227</v>
      </c>
      <c r="L194" s="1">
        <f>IFERROR(VLOOKUP($D194&amp;$C194,生产方式定位!$A$2:$E$38,2,FALSE)+VLOOKUP($E194&amp;$C194,生产方式定位!$F$3:$J$38,2,FALSE),0)</f>
        <v>0</v>
      </c>
      <c r="S194" s="1">
        <f>IFERROR(VLOOKUP($D194&amp;$C194,生产方式定位!$A$2:$E$38,3,FALSE)+VLOOKUP($E194&amp;$C194,生产方式定位!$F$3:$J$38,3,FALSE),0)</f>
        <v>0</v>
      </c>
      <c r="X194" s="1">
        <f>IFERROR(VLOOKUP($D194&amp;$C194,生产方式定位!$A$2:$E$38,5,FALSE)+VLOOKUP($E194&amp;$C194,生产方式定位!$F$3:$J$38,5,FALSE),"错误")</f>
        <v>0</v>
      </c>
      <c r="Y194" s="27" t="str">
        <f t="shared" si="16"/>
        <v/>
      </c>
      <c r="Z194" s="37" t="str">
        <f t="shared" si="17"/>
        <v/>
      </c>
      <c r="AA194" s="37" t="str">
        <f t="shared" si="18"/>
        <v/>
      </c>
      <c r="AB194" s="28" t="str">
        <f t="shared" si="19"/>
        <v/>
      </c>
      <c r="AC194" s="37"/>
      <c r="AD194" s="38">
        <f t="shared" si="20"/>
        <v>7</v>
      </c>
      <c r="AE194" t="str">
        <f>IFERROR(F194&amp;"*"&amp;ROUND(L194*(G194/$AN194)/VLOOKUP(F194,商品!$A$4:$D$67,4,FALSE),0),"")</f>
        <v/>
      </c>
      <c r="AF194" t="str">
        <f>IFERROR(H194&amp;"*"&amp;ROUND(L194*(I194/$AN194)/VLOOKUP(H194,商品!$A$4:$D$67,4,FALSE),0),"")</f>
        <v/>
      </c>
      <c r="AG194" t="str">
        <f>IFERROR(J194&amp;"*"&amp;ROUND(L194*(K194/$AN194)/VLOOKUP(J194,商品!$A$4:$D$67,4,FALSE),0),"")</f>
        <v/>
      </c>
      <c r="AH194" t="str">
        <f>IFERROR(M194&amp;"*"&amp;ROUND(S194*(N194/$AO194)/VLOOKUP(M194,职业!$A$3:$E$16,4,FALSE),0),"")</f>
        <v/>
      </c>
      <c r="AI194" t="str">
        <f>IFERROR(O194&amp;"*"&amp;ROUND(S194*(P194/$AO194)/VLOOKUP(O194,职业!$A$3:$E$16,4,FALSE),0),"")</f>
        <v/>
      </c>
      <c r="AK194" t="str">
        <f>IFERROR(T194&amp;"*"&amp;ROUND(X194*(U194/$AP194)/VLOOKUP(T194,商品!$A$4:$D$67,4,FALSE),0),"")</f>
        <v/>
      </c>
      <c r="AL194" t="str">
        <f>IFERROR(V194&amp;"*"&amp;ROUND(X194*(W194/$AP194)/VLOOKUP(V194,商品!$A$4:$D$67,4,FALSE),0),"")</f>
        <v/>
      </c>
      <c r="AN194">
        <f t="shared" si="21"/>
        <v>0</v>
      </c>
      <c r="AO194">
        <f t="shared" si="22"/>
        <v>0</v>
      </c>
      <c r="AP194">
        <f t="shared" si="23"/>
        <v>0</v>
      </c>
    </row>
    <row r="195" customHeight="1" spans="1:42">
      <c r="A195" s="18" t="s">
        <v>323</v>
      </c>
      <c r="C195" s="18">
        <v>8</v>
      </c>
      <c r="D195" s="1" t="s">
        <v>293</v>
      </c>
      <c r="E195" s="1" t="s">
        <v>227</v>
      </c>
      <c r="L195" s="1">
        <f>IFERROR(VLOOKUP($D195&amp;$C195,生产方式定位!$A$2:$E$38,2,FALSE)+VLOOKUP($E195&amp;$C195,生产方式定位!$F$3:$J$38,2,FALSE),0)</f>
        <v>0</v>
      </c>
      <c r="S195" s="1">
        <f>IFERROR(VLOOKUP($D195&amp;$C195,生产方式定位!$A$2:$E$38,3,FALSE)+VLOOKUP($E195&amp;$C195,生产方式定位!$F$3:$J$38,3,FALSE),0)</f>
        <v>0</v>
      </c>
      <c r="X195" s="1">
        <f>IFERROR(VLOOKUP($D195&amp;$C195,生产方式定位!$A$2:$E$38,5,FALSE)+VLOOKUP($E195&amp;$C195,生产方式定位!$F$3:$J$38,5,FALSE),"错误")</f>
        <v>0</v>
      </c>
      <c r="Y195" s="27" t="str">
        <f t="shared" si="16"/>
        <v/>
      </c>
      <c r="Z195" s="37" t="str">
        <f t="shared" si="17"/>
        <v/>
      </c>
      <c r="AA195" s="37" t="str">
        <f t="shared" si="18"/>
        <v/>
      </c>
      <c r="AB195" s="28" t="str">
        <f t="shared" si="19"/>
        <v/>
      </c>
      <c r="AC195" s="37"/>
      <c r="AD195" s="38">
        <f t="shared" si="20"/>
        <v>8</v>
      </c>
      <c r="AE195" t="str">
        <f>IFERROR(F195&amp;"*"&amp;ROUND(L195*(G195/$AN195)/VLOOKUP(F195,商品!$A$4:$D$67,4,FALSE),0),"")</f>
        <v/>
      </c>
      <c r="AF195" t="str">
        <f>IFERROR(H195&amp;"*"&amp;ROUND(L195*(I195/$AN195)/VLOOKUP(H195,商品!$A$4:$D$67,4,FALSE),0),"")</f>
        <v/>
      </c>
      <c r="AG195" t="str">
        <f>IFERROR(J195&amp;"*"&amp;ROUND(L195*(K195/$AN195)/VLOOKUP(J195,商品!$A$4:$D$67,4,FALSE),0),"")</f>
        <v/>
      </c>
      <c r="AH195" t="str">
        <f>IFERROR(M195&amp;"*"&amp;ROUND(S195*(N195/$AO195)/VLOOKUP(M195,职业!$A$3:$E$16,4,FALSE),0),"")</f>
        <v/>
      </c>
      <c r="AI195" t="str">
        <f>IFERROR(O195&amp;"*"&amp;ROUND(S195*(P195/$AO195)/VLOOKUP(O195,职业!$A$3:$E$16,4,FALSE),0),"")</f>
        <v/>
      </c>
      <c r="AK195" t="str">
        <f>IFERROR(T195&amp;"*"&amp;ROUND(X195*(U195/$AP195)/VLOOKUP(T195,商品!$A$4:$D$67,4,FALSE),0),"")</f>
        <v/>
      </c>
      <c r="AL195" t="str">
        <f>IFERROR(V195&amp;"*"&amp;ROUND(X195*(W195/$AP195)/VLOOKUP(V195,商品!$A$4:$D$67,4,FALSE),0),"")</f>
        <v/>
      </c>
      <c r="AN195">
        <f t="shared" si="21"/>
        <v>0</v>
      </c>
      <c r="AO195">
        <f t="shared" si="22"/>
        <v>0</v>
      </c>
      <c r="AP195">
        <f t="shared" si="23"/>
        <v>0</v>
      </c>
    </row>
    <row r="196" customHeight="1" spans="1:42">
      <c r="A196" s="5" t="s">
        <v>325</v>
      </c>
      <c r="C196" s="5">
        <v>1</v>
      </c>
      <c r="D196" s="1" t="s">
        <v>222</v>
      </c>
      <c r="E196" s="1" t="s">
        <v>224</v>
      </c>
      <c r="L196" s="1">
        <f>IFERROR(VLOOKUP($D196&amp;$C196,生产方式定位!$A$2:$E$38,2,FALSE)+VLOOKUP($E196&amp;$C196,生产方式定位!$F$3:$J$38,2,FALSE),0)</f>
        <v>0</v>
      </c>
      <c r="S196" s="1">
        <f>IFERROR(VLOOKUP($D196&amp;$C196,生产方式定位!$A$2:$E$38,3,FALSE)+VLOOKUP($E196&amp;$C196,生产方式定位!$F$3:$J$38,3,FALSE),0)</f>
        <v>500</v>
      </c>
      <c r="X196" s="1">
        <f>IFERROR(VLOOKUP($D196&amp;$C196,生产方式定位!$A$2:$E$38,5,FALSE)+VLOOKUP($E196&amp;$C196,生产方式定位!$F$3:$J$38,5,FALSE),"错误")</f>
        <v>250</v>
      </c>
      <c r="Y196" s="27" t="str">
        <f t="shared" si="16"/>
        <v/>
      </c>
      <c r="Z196" s="37" t="str">
        <f t="shared" si="17"/>
        <v/>
      </c>
      <c r="AA196" s="37" t="str">
        <f t="shared" si="18"/>
        <v/>
      </c>
      <c r="AB196" s="28">
        <f t="shared" si="19"/>
        <v>0</v>
      </c>
      <c r="AC196" s="37"/>
      <c r="AD196" s="38">
        <f t="shared" si="20"/>
        <v>1</v>
      </c>
      <c r="AE196" t="str">
        <f>IFERROR(F196&amp;"*"&amp;ROUND(L196*(G196/$AN196)/VLOOKUP(F196,商品!$A$4:$D$67,4,FALSE),0),"")</f>
        <v/>
      </c>
      <c r="AF196" t="str">
        <f>IFERROR(H196&amp;"*"&amp;ROUND(L196*(I196/$AN196)/VLOOKUP(H196,商品!$A$4:$D$67,4,FALSE),0),"")</f>
        <v/>
      </c>
      <c r="AG196" t="str">
        <f>IFERROR(J196&amp;"*"&amp;ROUND(L196*(K196/$AN196)/VLOOKUP(J196,商品!$A$4:$D$67,4,FALSE),0),"")</f>
        <v/>
      </c>
      <c r="AH196" t="str">
        <f>IFERROR(M196&amp;"*"&amp;ROUND(S196*(N196/$AO196)/VLOOKUP(M196,职业!$A$3:$E$16,4,FALSE),0),"")</f>
        <v/>
      </c>
      <c r="AI196" t="str">
        <f>IFERROR(O196&amp;"*"&amp;ROUND(S196*(P196/$AO196)/VLOOKUP(O196,职业!$A$3:$E$16,4,FALSE),0),"")</f>
        <v/>
      </c>
      <c r="AK196" t="str">
        <f>IFERROR(T196&amp;"*"&amp;ROUND(X196*(U196/$AP196)/VLOOKUP(T196,商品!$A$4:$D$67,4,FALSE),0),"")</f>
        <v/>
      </c>
      <c r="AL196" t="str">
        <f>IFERROR(V196&amp;"*"&amp;ROUND(X196*(W196/$AP196)/VLOOKUP(V196,商品!$A$4:$D$67,4,FALSE),0),"")</f>
        <v/>
      </c>
      <c r="AN196">
        <f t="shared" si="21"/>
        <v>0</v>
      </c>
      <c r="AO196">
        <f t="shared" si="22"/>
        <v>0</v>
      </c>
      <c r="AP196">
        <f t="shared" si="23"/>
        <v>0</v>
      </c>
    </row>
    <row r="197" customHeight="1" spans="1:42">
      <c r="A197" s="5" t="s">
        <v>325</v>
      </c>
      <c r="C197" s="5">
        <v>2</v>
      </c>
      <c r="D197" s="1" t="s">
        <v>222</v>
      </c>
      <c r="E197" s="1" t="s">
        <v>224</v>
      </c>
      <c r="L197" s="1">
        <f>IFERROR(VLOOKUP($D197&amp;$C197,生产方式定位!$A$2:$E$38,2,FALSE)+VLOOKUP($E197&amp;$C197,生产方式定位!$F$3:$J$38,2,FALSE),0)</f>
        <v>2200</v>
      </c>
      <c r="S197" s="1">
        <f>IFERROR(VLOOKUP($D197&amp;$C197,生产方式定位!$A$2:$E$38,3,FALSE)+VLOOKUP($E197&amp;$C197,生产方式定位!$F$3:$J$38,3,FALSE),0)</f>
        <v>750</v>
      </c>
      <c r="X197" s="1">
        <f>IFERROR(VLOOKUP($D197&amp;$C197,生产方式定位!$A$2:$E$38,5,FALSE)+VLOOKUP($E197&amp;$C197,生产方式定位!$F$3:$J$38,5,FALSE),"错误")</f>
        <v>1547</v>
      </c>
      <c r="Y197" s="27" t="str">
        <f t="shared" ref="Y197:Y260" si="24">IF(AE197="","",AE197)&amp;IF(AF197="","",","&amp;AF197)&amp;IF(AG197="","",","&amp;AG197)</f>
        <v/>
      </c>
      <c r="Z197" s="37" t="str">
        <f t="shared" ref="Z197:Z260" si="25">IF(AH197="","",AH197)&amp;IF(AI197="","",","&amp;AI197)</f>
        <v/>
      </c>
      <c r="AA197" s="37" t="str">
        <f t="shared" ref="AA197:AA260" si="26">IF(AK197="","",AK197)&amp;IF(AL197="","",","&amp;AL197)</f>
        <v/>
      </c>
      <c r="AB197" s="28">
        <f t="shared" ref="AB197:AB260" si="27">IFERROR(ROUND(L197/X197,2),"")</f>
        <v>1.42</v>
      </c>
      <c r="AC197" s="37"/>
      <c r="AD197" s="38">
        <f t="shared" ref="AD197:AD260" si="28">C197</f>
        <v>2</v>
      </c>
      <c r="AE197" t="str">
        <f>IFERROR(F197&amp;"*"&amp;ROUND(L197*(G197/$AN197)/VLOOKUP(F197,商品!$A$4:$D$67,4,FALSE),0),"")</f>
        <v/>
      </c>
      <c r="AF197" t="str">
        <f>IFERROR(H197&amp;"*"&amp;ROUND(L197*(I197/$AN197)/VLOOKUP(H197,商品!$A$4:$D$67,4,FALSE),0),"")</f>
        <v/>
      </c>
      <c r="AG197" t="str">
        <f>IFERROR(J197&amp;"*"&amp;ROUND(L197*(K197/$AN197)/VLOOKUP(J197,商品!$A$4:$D$67,4,FALSE),0),"")</f>
        <v/>
      </c>
      <c r="AH197" t="str">
        <f>IFERROR(M197&amp;"*"&amp;ROUND(S197*(N197/$AO197)/VLOOKUP(M197,职业!$A$3:$E$16,4,FALSE),0),"")</f>
        <v/>
      </c>
      <c r="AI197" t="str">
        <f>IFERROR(O197&amp;"*"&amp;ROUND(S197*(P197/$AO197)/VLOOKUP(O197,职业!$A$3:$E$16,4,FALSE),0),"")</f>
        <v/>
      </c>
      <c r="AK197" t="str">
        <f>IFERROR(T197&amp;"*"&amp;ROUND(X197*(U197/$AP197)/VLOOKUP(T197,商品!$A$4:$D$67,4,FALSE),0),"")</f>
        <v/>
      </c>
      <c r="AL197" t="str">
        <f>IFERROR(V197&amp;"*"&amp;ROUND(X197*(W197/$AP197)/VLOOKUP(V197,商品!$A$4:$D$67,4,FALSE),0),"")</f>
        <v/>
      </c>
      <c r="AN197">
        <f t="shared" si="21"/>
        <v>0</v>
      </c>
      <c r="AO197">
        <f t="shared" si="22"/>
        <v>0</v>
      </c>
      <c r="AP197">
        <f t="shared" si="23"/>
        <v>0</v>
      </c>
    </row>
    <row r="198" customHeight="1" spans="1:42">
      <c r="A198" s="5" t="s">
        <v>325</v>
      </c>
      <c r="C198" s="5">
        <v>3</v>
      </c>
      <c r="D198" s="1" t="s">
        <v>222</v>
      </c>
      <c r="E198" s="1" t="s">
        <v>224</v>
      </c>
      <c r="L198" s="1">
        <f>IFERROR(VLOOKUP($D198&amp;$C198,生产方式定位!$A$2:$E$38,2,FALSE)+VLOOKUP($E198&amp;$C198,生产方式定位!$F$3:$J$38,2,FALSE),0)</f>
        <v>3400</v>
      </c>
      <c r="S198" s="1">
        <f>IFERROR(VLOOKUP($D198&amp;$C198,生产方式定位!$A$2:$E$38,3,FALSE)+VLOOKUP($E198&amp;$C198,生产方式定位!$F$3:$J$38,3,FALSE),0)</f>
        <v>1000</v>
      </c>
      <c r="X198" s="1">
        <f>IFERROR(VLOOKUP($D198&amp;$C198,生产方式定位!$A$2:$E$38,5,FALSE)+VLOOKUP($E198&amp;$C198,生产方式定位!$F$3:$J$38,5,FALSE),"错误")</f>
        <v>2488</v>
      </c>
      <c r="Y198" s="27" t="str">
        <f t="shared" si="24"/>
        <v/>
      </c>
      <c r="Z198" s="37" t="str">
        <f t="shared" si="25"/>
        <v/>
      </c>
      <c r="AA198" s="37" t="str">
        <f t="shared" si="26"/>
        <v/>
      </c>
      <c r="AB198" s="28">
        <f t="shared" si="27"/>
        <v>1.37</v>
      </c>
      <c r="AC198" s="37"/>
      <c r="AD198" s="38">
        <f t="shared" si="28"/>
        <v>3</v>
      </c>
      <c r="AE198" t="str">
        <f>IFERROR(F198&amp;"*"&amp;ROUND(L198*(G198/$AN198)/VLOOKUP(F198,商品!$A$4:$D$67,4,FALSE),0),"")</f>
        <v/>
      </c>
      <c r="AF198" t="str">
        <f>IFERROR(H198&amp;"*"&amp;ROUND(L198*(I198/$AN198)/VLOOKUP(H198,商品!$A$4:$D$67,4,FALSE),0),"")</f>
        <v/>
      </c>
      <c r="AG198" t="str">
        <f>IFERROR(J198&amp;"*"&amp;ROUND(L198*(K198/$AN198)/VLOOKUP(J198,商品!$A$4:$D$67,4,FALSE),0),"")</f>
        <v/>
      </c>
      <c r="AH198" t="str">
        <f>IFERROR(M198&amp;"*"&amp;ROUND(S198*(N198/$AO198)/VLOOKUP(M198,职业!$A$3:$E$16,4,FALSE),0),"")</f>
        <v/>
      </c>
      <c r="AI198" t="str">
        <f>IFERROR(O198&amp;"*"&amp;ROUND(S198*(P198/$AO198)/VLOOKUP(O198,职业!$A$3:$E$16,4,FALSE),0),"")</f>
        <v/>
      </c>
      <c r="AK198" t="str">
        <f>IFERROR(T198&amp;"*"&amp;ROUND(X198*(U198/$AP198)/VLOOKUP(T198,商品!$A$4:$D$67,4,FALSE),0),"")</f>
        <v/>
      </c>
      <c r="AL198" t="str">
        <f>IFERROR(V198&amp;"*"&amp;ROUND(X198*(W198/$AP198)/VLOOKUP(V198,商品!$A$4:$D$67,4,FALSE),0),"")</f>
        <v/>
      </c>
      <c r="AN198">
        <f t="shared" ref="AN198:AN261" si="29">G198+I198+K198</f>
        <v>0</v>
      </c>
      <c r="AO198">
        <f t="shared" ref="AO198:AO261" si="30">N198+P198+R198</f>
        <v>0</v>
      </c>
      <c r="AP198">
        <f t="shared" ref="AP198:AP261" si="31">U198+W198</f>
        <v>0</v>
      </c>
    </row>
    <row r="199" customHeight="1" spans="1:42">
      <c r="A199" s="5" t="s">
        <v>325</v>
      </c>
      <c r="C199" s="5">
        <v>4</v>
      </c>
      <c r="D199" s="1" t="s">
        <v>222</v>
      </c>
      <c r="E199" s="1" t="s">
        <v>224</v>
      </c>
      <c r="L199" s="1">
        <f>IFERROR(VLOOKUP($D199&amp;$C199,生产方式定位!$A$2:$E$38,2,FALSE)+VLOOKUP($E199&amp;$C199,生产方式定位!$F$3:$J$38,2,FALSE),0)</f>
        <v>4600</v>
      </c>
      <c r="S199" s="1">
        <f>IFERROR(VLOOKUP($D199&amp;$C199,生产方式定位!$A$2:$E$38,3,FALSE)+VLOOKUP($E199&amp;$C199,生产方式定位!$F$3:$J$38,3,FALSE),0)</f>
        <v>1250</v>
      </c>
      <c r="X199" s="1">
        <f>IFERROR(VLOOKUP($D199&amp;$C199,生产方式定位!$A$2:$E$38,5,FALSE)+VLOOKUP($E199&amp;$C199,生产方式定位!$F$3:$J$38,5,FALSE),"错误")</f>
        <v>3573</v>
      </c>
      <c r="Y199" s="27" t="str">
        <f t="shared" si="24"/>
        <v/>
      </c>
      <c r="Z199" s="37" t="str">
        <f t="shared" si="25"/>
        <v/>
      </c>
      <c r="AA199" s="37" t="str">
        <f t="shared" si="26"/>
        <v/>
      </c>
      <c r="AB199" s="28">
        <f t="shared" si="27"/>
        <v>1.29</v>
      </c>
      <c r="AC199" s="37"/>
      <c r="AD199" s="38">
        <f t="shared" si="28"/>
        <v>4</v>
      </c>
      <c r="AE199" t="str">
        <f>IFERROR(F199&amp;"*"&amp;ROUND(L199*(G199/$AN199)/VLOOKUP(F199,商品!$A$4:$D$67,4,FALSE),0),"")</f>
        <v/>
      </c>
      <c r="AF199" t="str">
        <f>IFERROR(H199&amp;"*"&amp;ROUND(L199*(I199/$AN199)/VLOOKUP(H199,商品!$A$4:$D$67,4,FALSE),0),"")</f>
        <v/>
      </c>
      <c r="AG199" t="str">
        <f>IFERROR(J199&amp;"*"&amp;ROUND(L199*(K199/$AN199)/VLOOKUP(J199,商品!$A$4:$D$67,4,FALSE),0),"")</f>
        <v/>
      </c>
      <c r="AH199" t="str">
        <f>IFERROR(M199&amp;"*"&amp;ROUND(S199*(N199/$AO199)/VLOOKUP(M199,职业!$A$3:$E$16,4,FALSE),0),"")</f>
        <v/>
      </c>
      <c r="AI199" t="str">
        <f>IFERROR(O199&amp;"*"&amp;ROUND(S199*(P199/$AO199)/VLOOKUP(O199,职业!$A$3:$E$16,4,FALSE),0),"")</f>
        <v/>
      </c>
      <c r="AK199" t="str">
        <f>IFERROR(T199&amp;"*"&amp;ROUND(X199*(U199/$AP199)/VLOOKUP(T199,商品!$A$4:$D$67,4,FALSE),0),"")</f>
        <v/>
      </c>
      <c r="AL199" t="str">
        <f>IFERROR(V199&amp;"*"&amp;ROUND(X199*(W199/$AP199)/VLOOKUP(V199,商品!$A$4:$D$67,4,FALSE),0),"")</f>
        <v/>
      </c>
      <c r="AN199">
        <f t="shared" si="29"/>
        <v>0</v>
      </c>
      <c r="AO199">
        <f t="shared" si="30"/>
        <v>0</v>
      </c>
      <c r="AP199">
        <f t="shared" si="31"/>
        <v>0</v>
      </c>
    </row>
    <row r="200" customHeight="1" spans="1:42">
      <c r="A200" s="5" t="s">
        <v>325</v>
      </c>
      <c r="C200" s="5">
        <v>5</v>
      </c>
      <c r="D200" s="1" t="s">
        <v>222</v>
      </c>
      <c r="E200" s="1" t="s">
        <v>224</v>
      </c>
      <c r="L200" s="1">
        <f>IFERROR(VLOOKUP($D200&amp;$C200,生产方式定位!$A$2:$E$38,2,FALSE)+VLOOKUP($E200&amp;$C200,生产方式定位!$F$3:$J$38,2,FALSE),0)</f>
        <v>5800</v>
      </c>
      <c r="S200" s="1">
        <f>IFERROR(VLOOKUP($D200&amp;$C200,生产方式定位!$A$2:$E$38,3,FALSE)+VLOOKUP($E200&amp;$C200,生产方式定位!$F$3:$J$38,3,FALSE),0)</f>
        <v>1500</v>
      </c>
      <c r="X200" s="1">
        <f>IFERROR(VLOOKUP($D200&amp;$C200,生产方式定位!$A$2:$E$38,5,FALSE)+VLOOKUP($E200&amp;$C200,生产方式定位!$F$3:$J$38,5,FALSE),"错误")</f>
        <v>4850</v>
      </c>
      <c r="Y200" s="27" t="str">
        <f t="shared" si="24"/>
        <v/>
      </c>
      <c r="Z200" s="37" t="str">
        <f t="shared" si="25"/>
        <v/>
      </c>
      <c r="AA200" s="37" t="str">
        <f t="shared" si="26"/>
        <v/>
      </c>
      <c r="AB200" s="28">
        <f t="shared" si="27"/>
        <v>1.2</v>
      </c>
      <c r="AC200" s="37"/>
      <c r="AD200" s="38">
        <f t="shared" si="28"/>
        <v>5</v>
      </c>
      <c r="AE200" t="str">
        <f>IFERROR(F200&amp;"*"&amp;ROUND(L200*(G200/$AN200)/VLOOKUP(F200,商品!$A$4:$D$67,4,FALSE),0),"")</f>
        <v/>
      </c>
      <c r="AF200" t="str">
        <f>IFERROR(H200&amp;"*"&amp;ROUND(L200*(I200/$AN200)/VLOOKUP(H200,商品!$A$4:$D$67,4,FALSE),0),"")</f>
        <v/>
      </c>
      <c r="AG200" t="str">
        <f>IFERROR(J200&amp;"*"&amp;ROUND(L200*(K200/$AN200)/VLOOKUP(J200,商品!$A$4:$D$67,4,FALSE),0),"")</f>
        <v/>
      </c>
      <c r="AH200" t="str">
        <f>IFERROR(M200&amp;"*"&amp;ROUND(S200*(N200/$AO200)/VLOOKUP(M200,职业!$A$3:$E$16,4,FALSE),0),"")</f>
        <v/>
      </c>
      <c r="AI200" t="str">
        <f>IFERROR(O200&amp;"*"&amp;ROUND(S200*(P200/$AO200)/VLOOKUP(O200,职业!$A$3:$E$16,4,FALSE),0),"")</f>
        <v/>
      </c>
      <c r="AK200" t="str">
        <f>IFERROR(T200&amp;"*"&amp;ROUND(X200*(U200/$AP200)/VLOOKUP(T200,商品!$A$4:$D$67,4,FALSE),0),"")</f>
        <v/>
      </c>
      <c r="AL200" t="str">
        <f>IFERROR(V200&amp;"*"&amp;ROUND(X200*(W200/$AP200)/VLOOKUP(V200,商品!$A$4:$D$67,4,FALSE),0),"")</f>
        <v/>
      </c>
      <c r="AN200">
        <f t="shared" si="29"/>
        <v>0</v>
      </c>
      <c r="AO200">
        <f t="shared" si="30"/>
        <v>0</v>
      </c>
      <c r="AP200">
        <f t="shared" si="31"/>
        <v>0</v>
      </c>
    </row>
    <row r="201" customHeight="1" spans="1:42">
      <c r="A201" s="18" t="s">
        <v>326</v>
      </c>
      <c r="C201" s="18">
        <v>1</v>
      </c>
      <c r="D201" s="1" t="s">
        <v>222</v>
      </c>
      <c r="E201" s="1" t="s">
        <v>226</v>
      </c>
      <c r="L201" s="1">
        <f>IFERROR(VLOOKUP($D201&amp;$C201,生产方式定位!$A$2:$E$38,2,FALSE)+VLOOKUP($E201&amp;$C201,生产方式定位!$F$3:$J$38,2,FALSE),0)</f>
        <v>0</v>
      </c>
      <c r="S201" s="1">
        <f>IFERROR(VLOOKUP($D201&amp;$C201,生产方式定位!$A$2:$E$38,3,FALSE)+VLOOKUP($E201&amp;$C201,生产方式定位!$F$3:$J$38,3,FALSE),0)</f>
        <v>500</v>
      </c>
      <c r="X201" s="1">
        <f>IFERROR(VLOOKUP($D201&amp;$C201,生产方式定位!$A$2:$E$38,5,FALSE)+VLOOKUP($E201&amp;$C201,生产方式定位!$F$3:$J$38,5,FALSE),"错误")</f>
        <v>250</v>
      </c>
      <c r="Y201" s="27" t="str">
        <f t="shared" si="24"/>
        <v/>
      </c>
      <c r="Z201" s="37" t="str">
        <f t="shared" si="25"/>
        <v/>
      </c>
      <c r="AA201" s="37" t="str">
        <f t="shared" si="26"/>
        <v/>
      </c>
      <c r="AB201" s="28">
        <f t="shared" si="27"/>
        <v>0</v>
      </c>
      <c r="AC201" s="37"/>
      <c r="AD201" s="38">
        <f t="shared" si="28"/>
        <v>1</v>
      </c>
      <c r="AE201" t="str">
        <f>IFERROR(F201&amp;"*"&amp;ROUND(L201*(G201/$AN201)/VLOOKUP(F201,商品!$A$4:$D$67,4,FALSE),0),"")</f>
        <v/>
      </c>
      <c r="AF201" t="str">
        <f>IFERROR(H201&amp;"*"&amp;ROUND(L201*(I201/$AN201)/VLOOKUP(H201,商品!$A$4:$D$67,4,FALSE),0),"")</f>
        <v/>
      </c>
      <c r="AG201" t="str">
        <f>IFERROR(J201&amp;"*"&amp;ROUND(L201*(K201/$AN201)/VLOOKUP(J201,商品!$A$4:$D$67,4,FALSE),0),"")</f>
        <v/>
      </c>
      <c r="AH201" t="str">
        <f>IFERROR(M201&amp;"*"&amp;ROUND(S201*(N201/$AO201)/VLOOKUP(M201,职业!$A$3:$E$16,4,FALSE),0),"")</f>
        <v/>
      </c>
      <c r="AI201" t="str">
        <f>IFERROR(O201&amp;"*"&amp;ROUND(S201*(P201/$AO201)/VLOOKUP(O201,职业!$A$3:$E$16,4,FALSE),0),"")</f>
        <v/>
      </c>
      <c r="AK201" t="str">
        <f>IFERROR(T201&amp;"*"&amp;ROUND(X201*(U201/$AP201)/VLOOKUP(T201,商品!$A$4:$D$67,4,FALSE),0),"")</f>
        <v/>
      </c>
      <c r="AL201" t="str">
        <f>IFERROR(V201&amp;"*"&amp;ROUND(X201*(W201/$AP201)/VLOOKUP(V201,商品!$A$4:$D$67,4,FALSE),0),"")</f>
        <v/>
      </c>
      <c r="AN201">
        <f t="shared" si="29"/>
        <v>0</v>
      </c>
      <c r="AO201">
        <f t="shared" si="30"/>
        <v>0</v>
      </c>
      <c r="AP201">
        <f t="shared" si="31"/>
        <v>0</v>
      </c>
    </row>
    <row r="202" customHeight="1" spans="1:42">
      <c r="A202" s="18" t="s">
        <v>326</v>
      </c>
      <c r="C202" s="18">
        <v>2</v>
      </c>
      <c r="D202" s="1" t="s">
        <v>222</v>
      </c>
      <c r="E202" s="1" t="s">
        <v>226</v>
      </c>
      <c r="L202" s="1">
        <f>IFERROR(VLOOKUP($D202&amp;$C202,生产方式定位!$A$2:$E$38,2,FALSE)+VLOOKUP($E202&amp;$C202,生产方式定位!$F$3:$J$38,2,FALSE),0)</f>
        <v>3200</v>
      </c>
      <c r="S202" s="1">
        <f>IFERROR(VLOOKUP($D202&amp;$C202,生产方式定位!$A$2:$E$38,3,FALSE)+VLOOKUP($E202&amp;$C202,生产方式定位!$F$3:$J$38,3,FALSE),0)</f>
        <v>350</v>
      </c>
      <c r="X202" s="1">
        <f>IFERROR(VLOOKUP($D202&amp;$C202,生产方式定位!$A$2:$E$38,5,FALSE)+VLOOKUP($E202&amp;$C202,生产方式定位!$F$3:$J$38,5,FALSE),"错误")</f>
        <v>1865</v>
      </c>
      <c r="Y202" s="27" t="str">
        <f t="shared" si="24"/>
        <v/>
      </c>
      <c r="Z202" s="37" t="str">
        <f t="shared" si="25"/>
        <v/>
      </c>
      <c r="AA202" s="37" t="str">
        <f t="shared" si="26"/>
        <v/>
      </c>
      <c r="AB202" s="28">
        <f t="shared" si="27"/>
        <v>1.72</v>
      </c>
      <c r="AC202" s="37"/>
      <c r="AD202" s="38">
        <f t="shared" si="28"/>
        <v>2</v>
      </c>
      <c r="AE202" t="str">
        <f>IFERROR(F202&amp;"*"&amp;ROUND(L202*(G202/$AN202)/VLOOKUP(F202,商品!$A$4:$D$67,4,FALSE),0),"")</f>
        <v/>
      </c>
      <c r="AF202" t="str">
        <f>IFERROR(H202&amp;"*"&amp;ROUND(L202*(I202/$AN202)/VLOOKUP(H202,商品!$A$4:$D$67,4,FALSE),0),"")</f>
        <v/>
      </c>
      <c r="AG202" t="str">
        <f>IFERROR(J202&amp;"*"&amp;ROUND(L202*(K202/$AN202)/VLOOKUP(J202,商品!$A$4:$D$67,4,FALSE),0),"")</f>
        <v/>
      </c>
      <c r="AH202" t="str">
        <f>IFERROR(M202&amp;"*"&amp;ROUND(S202*(N202/$AO202)/VLOOKUP(M202,职业!$A$3:$E$16,4,FALSE),0),"")</f>
        <v/>
      </c>
      <c r="AI202" t="str">
        <f>IFERROR(O202&amp;"*"&amp;ROUND(S202*(P202/$AO202)/VLOOKUP(O202,职业!$A$3:$E$16,4,FALSE),0),"")</f>
        <v/>
      </c>
      <c r="AK202" t="str">
        <f>IFERROR(T202&amp;"*"&amp;ROUND(X202*(U202/$AP202)/VLOOKUP(T202,商品!$A$4:$D$67,4,FALSE),0),"")</f>
        <v/>
      </c>
      <c r="AL202" t="str">
        <f>IFERROR(V202&amp;"*"&amp;ROUND(X202*(W202/$AP202)/VLOOKUP(V202,商品!$A$4:$D$67,4,FALSE),0),"")</f>
        <v/>
      </c>
      <c r="AN202">
        <f t="shared" si="29"/>
        <v>0</v>
      </c>
      <c r="AO202">
        <f t="shared" si="30"/>
        <v>0</v>
      </c>
      <c r="AP202">
        <f t="shared" si="31"/>
        <v>0</v>
      </c>
    </row>
    <row r="203" customHeight="1" spans="1:42">
      <c r="A203" s="18" t="s">
        <v>326</v>
      </c>
      <c r="C203" s="18">
        <v>3</v>
      </c>
      <c r="D203" s="1" t="s">
        <v>222</v>
      </c>
      <c r="E203" s="1" t="s">
        <v>226</v>
      </c>
      <c r="L203" s="1">
        <f>IFERROR(VLOOKUP($D203&amp;$C203,生产方式定位!$A$2:$E$38,2,FALSE)+VLOOKUP($E203&amp;$C203,生产方式定位!$F$3:$J$38,2,FALSE),0)</f>
        <v>4400</v>
      </c>
      <c r="S203" s="1">
        <f>IFERROR(VLOOKUP($D203&amp;$C203,生产方式定位!$A$2:$E$38,3,FALSE)+VLOOKUP($E203&amp;$C203,生产方式定位!$F$3:$J$38,3,FALSE),0)</f>
        <v>200</v>
      </c>
      <c r="X203" s="1">
        <f>IFERROR(VLOOKUP($D203&amp;$C203,生产方式定位!$A$2:$E$38,5,FALSE)+VLOOKUP($E203&amp;$C203,生产方式定位!$F$3:$J$38,5,FALSE),"错误")</f>
        <v>2560</v>
      </c>
      <c r="Y203" s="27" t="str">
        <f t="shared" si="24"/>
        <v/>
      </c>
      <c r="Z203" s="37" t="str">
        <f t="shared" si="25"/>
        <v/>
      </c>
      <c r="AA203" s="37" t="str">
        <f t="shared" si="26"/>
        <v/>
      </c>
      <c r="AB203" s="28">
        <f t="shared" si="27"/>
        <v>1.72</v>
      </c>
      <c r="AC203" s="37"/>
      <c r="AD203" s="38">
        <f t="shared" si="28"/>
        <v>3</v>
      </c>
      <c r="AE203" t="str">
        <f>IFERROR(F203&amp;"*"&amp;ROUND(L203*(G203/$AN203)/VLOOKUP(F203,商品!$A$4:$D$67,4,FALSE),0),"")</f>
        <v/>
      </c>
      <c r="AF203" t="str">
        <f>IFERROR(H203&amp;"*"&amp;ROUND(L203*(I203/$AN203)/VLOOKUP(H203,商品!$A$4:$D$67,4,FALSE),0),"")</f>
        <v/>
      </c>
      <c r="AG203" t="str">
        <f>IFERROR(J203&amp;"*"&amp;ROUND(L203*(K203/$AN203)/VLOOKUP(J203,商品!$A$4:$D$67,4,FALSE),0),"")</f>
        <v/>
      </c>
      <c r="AH203" t="str">
        <f>IFERROR(M203&amp;"*"&amp;ROUND(S203*(N203/$AO203)/VLOOKUP(M203,职业!$A$3:$E$16,4,FALSE),0),"")</f>
        <v/>
      </c>
      <c r="AI203" t="str">
        <f>IFERROR(O203&amp;"*"&amp;ROUND(S203*(P203/$AO203)/VLOOKUP(O203,职业!$A$3:$E$16,4,FALSE),0),"")</f>
        <v/>
      </c>
      <c r="AK203" t="str">
        <f>IFERROR(T203&amp;"*"&amp;ROUND(X203*(U203/$AP203)/VLOOKUP(T203,商品!$A$4:$D$67,4,FALSE),0),"")</f>
        <v/>
      </c>
      <c r="AL203" t="str">
        <f>IFERROR(V203&amp;"*"&amp;ROUND(X203*(W203/$AP203)/VLOOKUP(V203,商品!$A$4:$D$67,4,FALSE),0),"")</f>
        <v/>
      </c>
      <c r="AN203">
        <f t="shared" si="29"/>
        <v>0</v>
      </c>
      <c r="AO203">
        <f t="shared" si="30"/>
        <v>0</v>
      </c>
      <c r="AP203">
        <f t="shared" si="31"/>
        <v>0</v>
      </c>
    </row>
    <row r="204" customHeight="1" spans="1:42">
      <c r="A204" s="18" t="s">
        <v>326</v>
      </c>
      <c r="C204" s="18">
        <v>4</v>
      </c>
      <c r="D204" s="1" t="s">
        <v>222</v>
      </c>
      <c r="E204" s="1" t="s">
        <v>226</v>
      </c>
      <c r="L204" s="1">
        <f>IFERROR(VLOOKUP($D204&amp;$C204,生产方式定位!$A$2:$E$38,2,FALSE)+VLOOKUP($E204&amp;$C204,生产方式定位!$F$3:$J$38,2,FALSE),0)</f>
        <v>5600</v>
      </c>
      <c r="S204" s="1">
        <f>IFERROR(VLOOKUP($D204&amp;$C204,生产方式定位!$A$2:$E$38,3,FALSE)+VLOOKUP($E204&amp;$C204,生产方式定位!$F$3:$J$38,3,FALSE),0)</f>
        <v>50</v>
      </c>
      <c r="X204" s="1">
        <f>IFERROR(VLOOKUP($D204&amp;$C204,生产方式定位!$A$2:$E$38,5,FALSE)+VLOOKUP($E204&amp;$C204,生产方式定位!$F$3:$J$38,5,FALSE),"错误")</f>
        <v>3335</v>
      </c>
      <c r="Y204" s="27" t="str">
        <f t="shared" si="24"/>
        <v/>
      </c>
      <c r="Z204" s="37" t="str">
        <f t="shared" si="25"/>
        <v/>
      </c>
      <c r="AA204" s="37" t="str">
        <f t="shared" si="26"/>
        <v/>
      </c>
      <c r="AB204" s="28">
        <f t="shared" si="27"/>
        <v>1.68</v>
      </c>
      <c r="AC204" s="37"/>
      <c r="AD204" s="38">
        <f t="shared" si="28"/>
        <v>4</v>
      </c>
      <c r="AE204" t="str">
        <f>IFERROR(F204&amp;"*"&amp;ROUND(L204*(G204/$AN204)/VLOOKUP(F204,商品!$A$4:$D$67,4,FALSE),0),"")</f>
        <v/>
      </c>
      <c r="AF204" t="str">
        <f>IFERROR(H204&amp;"*"&amp;ROUND(L204*(I204/$AN204)/VLOOKUP(H204,商品!$A$4:$D$67,4,FALSE),0),"")</f>
        <v/>
      </c>
      <c r="AG204" t="str">
        <f>IFERROR(J204&amp;"*"&amp;ROUND(L204*(K204/$AN204)/VLOOKUP(J204,商品!$A$4:$D$67,4,FALSE),0),"")</f>
        <v/>
      </c>
      <c r="AH204" t="str">
        <f>IFERROR(M204&amp;"*"&amp;ROUND(S204*(N204/$AO204)/VLOOKUP(M204,职业!$A$3:$E$16,4,FALSE),0),"")</f>
        <v/>
      </c>
      <c r="AI204" t="str">
        <f>IFERROR(O204&amp;"*"&amp;ROUND(S204*(P204/$AO204)/VLOOKUP(O204,职业!$A$3:$E$16,4,FALSE),0),"")</f>
        <v/>
      </c>
      <c r="AK204" t="str">
        <f>IFERROR(T204&amp;"*"&amp;ROUND(X204*(U204/$AP204)/VLOOKUP(T204,商品!$A$4:$D$67,4,FALSE),0),"")</f>
        <v/>
      </c>
      <c r="AL204" t="str">
        <f>IFERROR(V204&amp;"*"&amp;ROUND(X204*(W204/$AP204)/VLOOKUP(V204,商品!$A$4:$D$67,4,FALSE),0),"")</f>
        <v/>
      </c>
      <c r="AN204">
        <f t="shared" si="29"/>
        <v>0</v>
      </c>
      <c r="AO204">
        <f t="shared" si="30"/>
        <v>0</v>
      </c>
      <c r="AP204">
        <f t="shared" si="31"/>
        <v>0</v>
      </c>
    </row>
    <row r="205" customHeight="1" spans="1:42">
      <c r="A205" s="18" t="s">
        <v>326</v>
      </c>
      <c r="C205" s="18">
        <v>5</v>
      </c>
      <c r="D205" s="1" t="s">
        <v>222</v>
      </c>
      <c r="E205" s="1" t="s">
        <v>226</v>
      </c>
      <c r="L205" s="1">
        <f>IFERROR(VLOOKUP($D205&amp;$C205,生产方式定位!$A$2:$E$38,2,FALSE)+VLOOKUP($E205&amp;$C205,生产方式定位!$F$3:$J$38,2,FALSE),0)</f>
        <v>6800</v>
      </c>
      <c r="S205" s="1">
        <f>IFERROR(VLOOKUP($D205&amp;$C205,生产方式定位!$A$2:$E$38,3,FALSE)+VLOOKUP($E205&amp;$C205,生产方式定位!$F$3:$J$38,3,FALSE),0)</f>
        <v>-100</v>
      </c>
      <c r="X205" s="1">
        <f>IFERROR(VLOOKUP($D205&amp;$C205,生产方式定位!$A$2:$E$38,5,FALSE)+VLOOKUP($E205&amp;$C205,生产方式定位!$F$3:$J$38,5,FALSE),"错误")</f>
        <v>4190</v>
      </c>
      <c r="Y205" s="27" t="str">
        <f t="shared" si="24"/>
        <v/>
      </c>
      <c r="Z205" s="37" t="str">
        <f t="shared" si="25"/>
        <v/>
      </c>
      <c r="AA205" s="37" t="str">
        <f t="shared" si="26"/>
        <v/>
      </c>
      <c r="AB205" s="28">
        <f t="shared" si="27"/>
        <v>1.62</v>
      </c>
      <c r="AC205" s="37"/>
      <c r="AD205" s="38">
        <f t="shared" si="28"/>
        <v>5</v>
      </c>
      <c r="AE205" t="str">
        <f>IFERROR(F205&amp;"*"&amp;ROUND(L205*(G205/$AN205)/VLOOKUP(F205,商品!$A$4:$D$67,4,FALSE),0),"")</f>
        <v/>
      </c>
      <c r="AF205" t="str">
        <f>IFERROR(H205&amp;"*"&amp;ROUND(L205*(I205/$AN205)/VLOOKUP(H205,商品!$A$4:$D$67,4,FALSE),0),"")</f>
        <v/>
      </c>
      <c r="AG205" t="str">
        <f>IFERROR(J205&amp;"*"&amp;ROUND(L205*(K205/$AN205)/VLOOKUP(J205,商品!$A$4:$D$67,4,FALSE),0),"")</f>
        <v/>
      </c>
      <c r="AH205" t="str">
        <f>IFERROR(M205&amp;"*"&amp;ROUND(S205*(N205/$AO205)/VLOOKUP(M205,职业!$A$3:$E$16,4,FALSE),0),"")</f>
        <v/>
      </c>
      <c r="AI205" t="str">
        <f>IFERROR(O205&amp;"*"&amp;ROUND(S205*(P205/$AO205)/VLOOKUP(O205,职业!$A$3:$E$16,4,FALSE),0),"")</f>
        <v/>
      </c>
      <c r="AK205" t="str">
        <f>IFERROR(T205&amp;"*"&amp;ROUND(X205*(U205/$AP205)/VLOOKUP(T205,商品!$A$4:$D$67,4,FALSE),0),"")</f>
        <v/>
      </c>
      <c r="AL205" t="str">
        <f>IFERROR(V205&amp;"*"&amp;ROUND(X205*(W205/$AP205)/VLOOKUP(V205,商品!$A$4:$D$67,4,FALSE),0),"")</f>
        <v/>
      </c>
      <c r="AN205">
        <f t="shared" si="29"/>
        <v>0</v>
      </c>
      <c r="AO205">
        <f t="shared" si="30"/>
        <v>0</v>
      </c>
      <c r="AP205">
        <f t="shared" si="31"/>
        <v>0</v>
      </c>
    </row>
    <row r="206" customHeight="1" spans="1:42">
      <c r="A206" s="5" t="s">
        <v>326</v>
      </c>
      <c r="C206" s="5">
        <v>1</v>
      </c>
      <c r="D206" s="1" t="s">
        <v>222</v>
      </c>
      <c r="E206" s="1" t="s">
        <v>226</v>
      </c>
      <c r="L206" s="1">
        <f>IFERROR(VLOOKUP($D206&amp;$C206,生产方式定位!$A$2:$E$38,2,FALSE)+VLOOKUP($E206&amp;$C206,生产方式定位!$F$3:$J$38,2,FALSE),0)</f>
        <v>0</v>
      </c>
      <c r="S206" s="1">
        <f>IFERROR(VLOOKUP($D206&amp;$C206,生产方式定位!$A$2:$E$38,3,FALSE)+VLOOKUP($E206&amp;$C206,生产方式定位!$F$3:$J$38,3,FALSE),0)</f>
        <v>500</v>
      </c>
      <c r="X206" s="1">
        <f>IFERROR(VLOOKUP($D206&amp;$C206,生产方式定位!$A$2:$E$38,5,FALSE)+VLOOKUP($E206&amp;$C206,生产方式定位!$F$3:$J$38,5,FALSE),"错误")</f>
        <v>250</v>
      </c>
      <c r="Y206" s="27" t="str">
        <f t="shared" si="24"/>
        <v/>
      </c>
      <c r="Z206" s="37" t="str">
        <f t="shared" si="25"/>
        <v/>
      </c>
      <c r="AA206" s="37" t="str">
        <f t="shared" si="26"/>
        <v/>
      </c>
      <c r="AB206" s="28">
        <f t="shared" si="27"/>
        <v>0</v>
      </c>
      <c r="AC206" s="37"/>
      <c r="AD206" s="38">
        <f t="shared" si="28"/>
        <v>1</v>
      </c>
      <c r="AE206" t="str">
        <f>IFERROR(F206&amp;"*"&amp;ROUND(L206*(G206/$AN206)/VLOOKUP(F206,商品!$A$4:$D$67,4,FALSE),0),"")</f>
        <v/>
      </c>
      <c r="AF206" t="str">
        <f>IFERROR(H206&amp;"*"&amp;ROUND(L206*(I206/$AN206)/VLOOKUP(H206,商品!$A$4:$D$67,4,FALSE),0),"")</f>
        <v/>
      </c>
      <c r="AG206" t="str">
        <f>IFERROR(J206&amp;"*"&amp;ROUND(L206*(K206/$AN206)/VLOOKUP(J206,商品!$A$4:$D$67,4,FALSE),0),"")</f>
        <v/>
      </c>
      <c r="AH206" t="str">
        <f>IFERROR(M206&amp;"*"&amp;ROUND(S206*(N206/$AO206)/VLOOKUP(M206,职业!$A$3:$E$16,4,FALSE),0),"")</f>
        <v/>
      </c>
      <c r="AI206" t="str">
        <f>IFERROR(O206&amp;"*"&amp;ROUND(S206*(P206/$AO206)/VLOOKUP(O206,职业!$A$3:$E$16,4,FALSE),0),"")</f>
        <v/>
      </c>
      <c r="AK206" t="str">
        <f>IFERROR(T206&amp;"*"&amp;ROUND(X206*(U206/$AP206)/VLOOKUP(T206,商品!$A$4:$D$67,4,FALSE),0),"")</f>
        <v/>
      </c>
      <c r="AL206" t="str">
        <f>IFERROR(V206&amp;"*"&amp;ROUND(X206*(W206/$AP206)/VLOOKUP(V206,商品!$A$4:$D$67,4,FALSE),0),"")</f>
        <v/>
      </c>
      <c r="AN206">
        <f t="shared" si="29"/>
        <v>0</v>
      </c>
      <c r="AO206">
        <f t="shared" si="30"/>
        <v>0</v>
      </c>
      <c r="AP206">
        <f t="shared" si="31"/>
        <v>0</v>
      </c>
    </row>
    <row r="207" customHeight="1" spans="1:42">
      <c r="A207" s="5" t="s">
        <v>326</v>
      </c>
      <c r="C207" s="5">
        <v>2</v>
      </c>
      <c r="D207" s="1" t="s">
        <v>222</v>
      </c>
      <c r="E207" s="1" t="s">
        <v>226</v>
      </c>
      <c r="L207" s="1">
        <f>IFERROR(VLOOKUP($D207&amp;$C207,生产方式定位!$A$2:$E$38,2,FALSE)+VLOOKUP($E207&amp;$C207,生产方式定位!$F$3:$J$38,2,FALSE),0)</f>
        <v>3200</v>
      </c>
      <c r="S207" s="1">
        <f>IFERROR(VLOOKUP($D207&amp;$C207,生产方式定位!$A$2:$E$38,3,FALSE)+VLOOKUP($E207&amp;$C207,生产方式定位!$F$3:$J$38,3,FALSE),0)</f>
        <v>350</v>
      </c>
      <c r="X207" s="1">
        <f>IFERROR(VLOOKUP($D207&amp;$C207,生产方式定位!$A$2:$E$38,5,FALSE)+VLOOKUP($E207&amp;$C207,生产方式定位!$F$3:$J$38,5,FALSE),"错误")</f>
        <v>1865</v>
      </c>
      <c r="Y207" s="27" t="str">
        <f t="shared" si="24"/>
        <v/>
      </c>
      <c r="Z207" s="37" t="str">
        <f t="shared" si="25"/>
        <v/>
      </c>
      <c r="AA207" s="37" t="str">
        <f t="shared" si="26"/>
        <v/>
      </c>
      <c r="AB207" s="28">
        <f t="shared" si="27"/>
        <v>1.72</v>
      </c>
      <c r="AC207" s="37"/>
      <c r="AD207" s="38">
        <f t="shared" si="28"/>
        <v>2</v>
      </c>
      <c r="AE207" t="str">
        <f>IFERROR(F207&amp;"*"&amp;ROUND(L207*(G207/$AN207)/VLOOKUP(F207,商品!$A$4:$D$67,4,FALSE),0),"")</f>
        <v/>
      </c>
      <c r="AF207" t="str">
        <f>IFERROR(H207&amp;"*"&amp;ROUND(L207*(I207/$AN207)/VLOOKUP(H207,商品!$A$4:$D$67,4,FALSE),0),"")</f>
        <v/>
      </c>
      <c r="AG207" t="str">
        <f>IFERROR(J207&amp;"*"&amp;ROUND(L207*(K207/$AN207)/VLOOKUP(J207,商品!$A$4:$D$67,4,FALSE),0),"")</f>
        <v/>
      </c>
      <c r="AH207" t="str">
        <f>IFERROR(M207&amp;"*"&amp;ROUND(S207*(N207/$AO207)/VLOOKUP(M207,职业!$A$3:$E$16,4,FALSE),0),"")</f>
        <v/>
      </c>
      <c r="AI207" t="str">
        <f>IFERROR(O207&amp;"*"&amp;ROUND(S207*(P207/$AO207)/VLOOKUP(O207,职业!$A$3:$E$16,4,FALSE),0),"")</f>
        <v/>
      </c>
      <c r="AK207" t="str">
        <f>IFERROR(T207&amp;"*"&amp;ROUND(X207*(U207/$AP207)/VLOOKUP(T207,商品!$A$4:$D$67,4,FALSE),0),"")</f>
        <v/>
      </c>
      <c r="AL207" t="str">
        <f>IFERROR(V207&amp;"*"&amp;ROUND(X207*(W207/$AP207)/VLOOKUP(V207,商品!$A$4:$D$67,4,FALSE),0),"")</f>
        <v/>
      </c>
      <c r="AN207">
        <f t="shared" si="29"/>
        <v>0</v>
      </c>
      <c r="AO207">
        <f t="shared" si="30"/>
        <v>0</v>
      </c>
      <c r="AP207">
        <f t="shared" si="31"/>
        <v>0</v>
      </c>
    </row>
    <row r="208" customHeight="1" spans="1:42">
      <c r="A208" s="5" t="s">
        <v>326</v>
      </c>
      <c r="C208" s="5">
        <v>3</v>
      </c>
      <c r="D208" s="1" t="s">
        <v>222</v>
      </c>
      <c r="E208" s="1" t="s">
        <v>226</v>
      </c>
      <c r="L208" s="1">
        <f>IFERROR(VLOOKUP($D208&amp;$C208,生产方式定位!$A$2:$E$38,2,FALSE)+VLOOKUP($E208&amp;$C208,生产方式定位!$F$3:$J$38,2,FALSE),0)</f>
        <v>4400</v>
      </c>
      <c r="S208" s="1">
        <f>IFERROR(VLOOKUP($D208&amp;$C208,生产方式定位!$A$2:$E$38,3,FALSE)+VLOOKUP($E208&amp;$C208,生产方式定位!$F$3:$J$38,3,FALSE),0)</f>
        <v>200</v>
      </c>
      <c r="X208" s="1">
        <f>IFERROR(VLOOKUP($D208&amp;$C208,生产方式定位!$A$2:$E$38,5,FALSE)+VLOOKUP($E208&amp;$C208,生产方式定位!$F$3:$J$38,5,FALSE),"错误")</f>
        <v>2560</v>
      </c>
      <c r="Y208" s="27" t="str">
        <f t="shared" si="24"/>
        <v/>
      </c>
      <c r="Z208" s="37" t="str">
        <f t="shared" si="25"/>
        <v/>
      </c>
      <c r="AA208" s="37" t="str">
        <f t="shared" si="26"/>
        <v/>
      </c>
      <c r="AB208" s="28">
        <f t="shared" si="27"/>
        <v>1.72</v>
      </c>
      <c r="AC208" s="37"/>
      <c r="AD208" s="38">
        <f t="shared" si="28"/>
        <v>3</v>
      </c>
      <c r="AE208" t="str">
        <f>IFERROR(F208&amp;"*"&amp;ROUND(L208*(G208/$AN208)/VLOOKUP(F208,商品!$A$4:$D$67,4,FALSE),0),"")</f>
        <v/>
      </c>
      <c r="AF208" t="str">
        <f>IFERROR(H208&amp;"*"&amp;ROUND(L208*(I208/$AN208)/VLOOKUP(H208,商品!$A$4:$D$67,4,FALSE),0),"")</f>
        <v/>
      </c>
      <c r="AG208" t="str">
        <f>IFERROR(J208&amp;"*"&amp;ROUND(L208*(K208/$AN208)/VLOOKUP(J208,商品!$A$4:$D$67,4,FALSE),0),"")</f>
        <v/>
      </c>
      <c r="AH208" t="str">
        <f>IFERROR(M208&amp;"*"&amp;ROUND(S208*(N208/$AO208)/VLOOKUP(M208,职业!$A$3:$E$16,4,FALSE),0),"")</f>
        <v/>
      </c>
      <c r="AI208" t="str">
        <f>IFERROR(O208&amp;"*"&amp;ROUND(S208*(P208/$AO208)/VLOOKUP(O208,职业!$A$3:$E$16,4,FALSE),0),"")</f>
        <v/>
      </c>
      <c r="AK208" t="str">
        <f>IFERROR(T208&amp;"*"&amp;ROUND(X208*(U208/$AP208)/VLOOKUP(T208,商品!$A$4:$D$67,4,FALSE),0),"")</f>
        <v/>
      </c>
      <c r="AL208" t="str">
        <f>IFERROR(V208&amp;"*"&amp;ROUND(X208*(W208/$AP208)/VLOOKUP(V208,商品!$A$4:$D$67,4,FALSE),0),"")</f>
        <v/>
      </c>
      <c r="AN208">
        <f t="shared" si="29"/>
        <v>0</v>
      </c>
      <c r="AO208">
        <f t="shared" si="30"/>
        <v>0</v>
      </c>
      <c r="AP208">
        <f t="shared" si="31"/>
        <v>0</v>
      </c>
    </row>
    <row r="209" customHeight="1" spans="1:42">
      <c r="A209" s="5" t="s">
        <v>326</v>
      </c>
      <c r="C209" s="5">
        <v>4</v>
      </c>
      <c r="D209" s="1" t="s">
        <v>222</v>
      </c>
      <c r="E209" s="1" t="s">
        <v>226</v>
      </c>
      <c r="L209" s="1">
        <f>IFERROR(VLOOKUP($D209&amp;$C209,生产方式定位!$A$2:$E$38,2,FALSE)+VLOOKUP($E209&amp;$C209,生产方式定位!$F$3:$J$38,2,FALSE),0)</f>
        <v>5600</v>
      </c>
      <c r="S209" s="1">
        <f>IFERROR(VLOOKUP($D209&amp;$C209,生产方式定位!$A$2:$E$38,3,FALSE)+VLOOKUP($E209&amp;$C209,生产方式定位!$F$3:$J$38,3,FALSE),0)</f>
        <v>50</v>
      </c>
      <c r="X209" s="1">
        <f>IFERROR(VLOOKUP($D209&amp;$C209,生产方式定位!$A$2:$E$38,5,FALSE)+VLOOKUP($E209&amp;$C209,生产方式定位!$F$3:$J$38,5,FALSE),"错误")</f>
        <v>3335</v>
      </c>
      <c r="Y209" s="27" t="str">
        <f t="shared" si="24"/>
        <v/>
      </c>
      <c r="Z209" s="37" t="str">
        <f t="shared" si="25"/>
        <v/>
      </c>
      <c r="AA209" s="37" t="str">
        <f t="shared" si="26"/>
        <v/>
      </c>
      <c r="AB209" s="28">
        <f t="shared" si="27"/>
        <v>1.68</v>
      </c>
      <c r="AC209" s="37"/>
      <c r="AD209" s="38">
        <f t="shared" si="28"/>
        <v>4</v>
      </c>
      <c r="AE209" t="str">
        <f>IFERROR(F209&amp;"*"&amp;ROUND(L209*(G209/$AN209)/VLOOKUP(F209,商品!$A$4:$D$67,4,FALSE),0),"")</f>
        <v/>
      </c>
      <c r="AF209" t="str">
        <f>IFERROR(H209&amp;"*"&amp;ROUND(L209*(I209/$AN209)/VLOOKUP(H209,商品!$A$4:$D$67,4,FALSE),0),"")</f>
        <v/>
      </c>
      <c r="AG209" t="str">
        <f>IFERROR(J209&amp;"*"&amp;ROUND(L209*(K209/$AN209)/VLOOKUP(J209,商品!$A$4:$D$67,4,FALSE),0),"")</f>
        <v/>
      </c>
      <c r="AH209" t="str">
        <f>IFERROR(M209&amp;"*"&amp;ROUND(S209*(N209/$AO209)/VLOOKUP(M209,职业!$A$3:$E$16,4,FALSE),0),"")</f>
        <v/>
      </c>
      <c r="AI209" t="str">
        <f>IFERROR(O209&amp;"*"&amp;ROUND(S209*(P209/$AO209)/VLOOKUP(O209,职业!$A$3:$E$16,4,FALSE),0),"")</f>
        <v/>
      </c>
      <c r="AK209" t="str">
        <f>IFERROR(T209&amp;"*"&amp;ROUND(X209*(U209/$AP209)/VLOOKUP(T209,商品!$A$4:$D$67,4,FALSE),0),"")</f>
        <v/>
      </c>
      <c r="AL209" t="str">
        <f>IFERROR(V209&amp;"*"&amp;ROUND(X209*(W209/$AP209)/VLOOKUP(V209,商品!$A$4:$D$67,4,FALSE),0),"")</f>
        <v/>
      </c>
      <c r="AN209">
        <f t="shared" si="29"/>
        <v>0</v>
      </c>
      <c r="AO209">
        <f t="shared" si="30"/>
        <v>0</v>
      </c>
      <c r="AP209">
        <f t="shared" si="31"/>
        <v>0</v>
      </c>
    </row>
    <row r="210" customHeight="1" spans="1:42">
      <c r="A210" s="5" t="s">
        <v>326</v>
      </c>
      <c r="C210" s="5">
        <v>5</v>
      </c>
      <c r="D210" s="1" t="s">
        <v>222</v>
      </c>
      <c r="E210" s="1" t="s">
        <v>226</v>
      </c>
      <c r="L210" s="1">
        <f>IFERROR(VLOOKUP($D210&amp;$C210,生产方式定位!$A$2:$E$38,2,FALSE)+VLOOKUP($E210&amp;$C210,生产方式定位!$F$3:$J$38,2,FALSE),0)</f>
        <v>6800</v>
      </c>
      <c r="S210" s="1">
        <f>IFERROR(VLOOKUP($D210&amp;$C210,生产方式定位!$A$2:$E$38,3,FALSE)+VLOOKUP($E210&amp;$C210,生产方式定位!$F$3:$J$38,3,FALSE),0)</f>
        <v>-100</v>
      </c>
      <c r="X210" s="1">
        <f>IFERROR(VLOOKUP($D210&amp;$C210,生产方式定位!$A$2:$E$38,5,FALSE)+VLOOKUP($E210&amp;$C210,生产方式定位!$F$3:$J$38,5,FALSE),"错误")</f>
        <v>4190</v>
      </c>
      <c r="Y210" s="27" t="str">
        <f t="shared" si="24"/>
        <v/>
      </c>
      <c r="Z210" s="37" t="str">
        <f t="shared" si="25"/>
        <v/>
      </c>
      <c r="AA210" s="37" t="str">
        <f t="shared" si="26"/>
        <v/>
      </c>
      <c r="AB210" s="28">
        <f t="shared" si="27"/>
        <v>1.62</v>
      </c>
      <c r="AC210" s="37"/>
      <c r="AD210" s="38">
        <f t="shared" si="28"/>
        <v>5</v>
      </c>
      <c r="AE210" t="str">
        <f>IFERROR(F210&amp;"*"&amp;ROUND(L210*(G210/$AN210)/VLOOKUP(F210,商品!$A$4:$D$67,4,FALSE),0),"")</f>
        <v/>
      </c>
      <c r="AF210" t="str">
        <f>IFERROR(H210&amp;"*"&amp;ROUND(L210*(I210/$AN210)/VLOOKUP(H210,商品!$A$4:$D$67,4,FALSE),0),"")</f>
        <v/>
      </c>
      <c r="AG210" t="str">
        <f>IFERROR(J210&amp;"*"&amp;ROUND(L210*(K210/$AN210)/VLOOKUP(J210,商品!$A$4:$D$67,4,FALSE),0),"")</f>
        <v/>
      </c>
      <c r="AH210" t="str">
        <f>IFERROR(M210&amp;"*"&amp;ROUND(S210*(N210/$AO210)/VLOOKUP(M210,职业!$A$3:$E$16,4,FALSE),0),"")</f>
        <v/>
      </c>
      <c r="AI210" t="str">
        <f>IFERROR(O210&amp;"*"&amp;ROUND(S210*(P210/$AO210)/VLOOKUP(O210,职业!$A$3:$E$16,4,FALSE),0),"")</f>
        <v/>
      </c>
      <c r="AK210" t="str">
        <f>IFERROR(T210&amp;"*"&amp;ROUND(X210*(U210/$AP210)/VLOOKUP(T210,商品!$A$4:$D$67,4,FALSE),0),"")</f>
        <v/>
      </c>
      <c r="AL210" t="str">
        <f>IFERROR(V210&amp;"*"&amp;ROUND(X210*(W210/$AP210)/VLOOKUP(V210,商品!$A$4:$D$67,4,FALSE),0),"")</f>
        <v/>
      </c>
      <c r="AN210">
        <f t="shared" si="29"/>
        <v>0</v>
      </c>
      <c r="AO210">
        <f t="shared" si="30"/>
        <v>0</v>
      </c>
      <c r="AP210">
        <f t="shared" si="31"/>
        <v>0</v>
      </c>
    </row>
    <row r="211" customHeight="1" spans="1:42">
      <c r="A211" s="18" t="s">
        <v>327</v>
      </c>
      <c r="C211" s="18">
        <v>1</v>
      </c>
      <c r="D211" s="1" t="s">
        <v>293</v>
      </c>
      <c r="E211" s="1" t="s">
        <v>227</v>
      </c>
      <c r="L211" s="1">
        <f>IFERROR(VLOOKUP($D211&amp;$C211,生产方式定位!$A$2:$E$38,2,FALSE)+VLOOKUP($E211&amp;$C211,生产方式定位!$F$3:$J$38,2,FALSE),0)</f>
        <v>0</v>
      </c>
      <c r="S211" s="1">
        <f>IFERROR(VLOOKUP($D211&amp;$C211,生产方式定位!$A$2:$E$38,3,FALSE)+VLOOKUP($E211&amp;$C211,生产方式定位!$F$3:$J$38,3,FALSE),0)</f>
        <v>0</v>
      </c>
      <c r="X211" s="1">
        <f>IFERROR(VLOOKUP($D211&amp;$C211,生产方式定位!$A$2:$E$38,5,FALSE)+VLOOKUP($E211&amp;$C211,生产方式定位!$F$3:$J$38,5,FALSE),"错误")</f>
        <v>0</v>
      </c>
      <c r="Y211" s="27" t="str">
        <f t="shared" si="24"/>
        <v/>
      </c>
      <c r="Z211" s="37" t="str">
        <f t="shared" si="25"/>
        <v/>
      </c>
      <c r="AA211" s="37" t="str">
        <f t="shared" si="26"/>
        <v/>
      </c>
      <c r="AB211" s="28" t="str">
        <f t="shared" si="27"/>
        <v/>
      </c>
      <c r="AC211" s="37"/>
      <c r="AD211" s="38">
        <f t="shared" si="28"/>
        <v>1</v>
      </c>
      <c r="AE211" t="str">
        <f>IFERROR(F211&amp;"*"&amp;ROUND(L211*(G211/$AN211)/VLOOKUP(F211,商品!$A$4:$D$67,4,FALSE),0),"")</f>
        <v/>
      </c>
      <c r="AF211" t="str">
        <f>IFERROR(H211&amp;"*"&amp;ROUND(L211*(I211/$AN211)/VLOOKUP(H211,商品!$A$4:$D$67,4,FALSE),0),"")</f>
        <v/>
      </c>
      <c r="AG211" t="str">
        <f>IFERROR(J211&amp;"*"&amp;ROUND(L211*(K211/$AN211)/VLOOKUP(J211,商品!$A$4:$D$67,4,FALSE),0),"")</f>
        <v/>
      </c>
      <c r="AH211" t="str">
        <f>IFERROR(M211&amp;"*"&amp;ROUND(S211*(N211/$AO211)/VLOOKUP(M211,职业!$A$3:$E$16,4,FALSE),0),"")</f>
        <v/>
      </c>
      <c r="AI211" t="str">
        <f>IFERROR(O211&amp;"*"&amp;ROUND(S211*(P211/$AO211)/VLOOKUP(O211,职业!$A$3:$E$16,4,FALSE),0),"")</f>
        <v/>
      </c>
      <c r="AK211" t="str">
        <f>IFERROR(T211&amp;"*"&amp;ROUND(X211*(U211/$AP211)/VLOOKUP(T211,商品!$A$4:$D$67,4,FALSE),0),"")</f>
        <v/>
      </c>
      <c r="AL211" t="str">
        <f>IFERROR(V211&amp;"*"&amp;ROUND(X211*(W211/$AP211)/VLOOKUP(V211,商品!$A$4:$D$67,4,FALSE),0),"")</f>
        <v/>
      </c>
      <c r="AN211">
        <f t="shared" si="29"/>
        <v>0</v>
      </c>
      <c r="AO211">
        <f t="shared" si="30"/>
        <v>0</v>
      </c>
      <c r="AP211">
        <f t="shared" si="31"/>
        <v>0</v>
      </c>
    </row>
    <row r="212" customHeight="1" spans="1:42">
      <c r="A212" s="18" t="s">
        <v>327</v>
      </c>
      <c r="C212" s="18">
        <v>2</v>
      </c>
      <c r="D212" s="1" t="s">
        <v>293</v>
      </c>
      <c r="E212" s="1" t="s">
        <v>227</v>
      </c>
      <c r="L212" s="1">
        <f>IFERROR(VLOOKUP($D212&amp;$C212,生产方式定位!$A$2:$E$38,2,FALSE)+VLOOKUP($E212&amp;$C212,生产方式定位!$F$3:$J$38,2,FALSE),0)</f>
        <v>0</v>
      </c>
      <c r="S212" s="1">
        <f>IFERROR(VLOOKUP($D212&amp;$C212,生产方式定位!$A$2:$E$38,3,FALSE)+VLOOKUP($E212&amp;$C212,生产方式定位!$F$3:$J$38,3,FALSE),0)</f>
        <v>0</v>
      </c>
      <c r="X212" s="1">
        <f>IFERROR(VLOOKUP($D212&amp;$C212,生产方式定位!$A$2:$E$38,5,FALSE)+VLOOKUP($E212&amp;$C212,生产方式定位!$F$3:$J$38,5,FALSE),"错误")</f>
        <v>0</v>
      </c>
      <c r="Y212" s="27" t="str">
        <f t="shared" si="24"/>
        <v/>
      </c>
      <c r="Z212" s="37" t="str">
        <f t="shared" si="25"/>
        <v/>
      </c>
      <c r="AA212" s="37" t="str">
        <f t="shared" si="26"/>
        <v/>
      </c>
      <c r="AB212" s="28" t="str">
        <f t="shared" si="27"/>
        <v/>
      </c>
      <c r="AC212" s="37"/>
      <c r="AD212" s="38">
        <f t="shared" si="28"/>
        <v>2</v>
      </c>
      <c r="AE212" t="str">
        <f>IFERROR(F212&amp;"*"&amp;ROUND(L212*(G212/$AN212)/VLOOKUP(F212,商品!$A$4:$D$67,4,FALSE),0),"")</f>
        <v/>
      </c>
      <c r="AF212" t="str">
        <f>IFERROR(H212&amp;"*"&amp;ROUND(L212*(I212/$AN212)/VLOOKUP(H212,商品!$A$4:$D$67,4,FALSE),0),"")</f>
        <v/>
      </c>
      <c r="AG212" t="str">
        <f>IFERROR(J212&amp;"*"&amp;ROUND(L212*(K212/$AN212)/VLOOKUP(J212,商品!$A$4:$D$67,4,FALSE),0),"")</f>
        <v/>
      </c>
      <c r="AH212" t="str">
        <f>IFERROR(M212&amp;"*"&amp;ROUND(S212*(N212/$AO212)/VLOOKUP(M212,职业!$A$3:$E$16,4,FALSE),0),"")</f>
        <v/>
      </c>
      <c r="AI212" t="str">
        <f>IFERROR(O212&amp;"*"&amp;ROUND(S212*(P212/$AO212)/VLOOKUP(O212,职业!$A$3:$E$16,4,FALSE),0),"")</f>
        <v/>
      </c>
      <c r="AK212" t="str">
        <f>IFERROR(T212&amp;"*"&amp;ROUND(X212*(U212/$AP212)/VLOOKUP(T212,商品!$A$4:$D$67,4,FALSE),0),"")</f>
        <v/>
      </c>
      <c r="AL212" t="str">
        <f>IFERROR(V212&amp;"*"&amp;ROUND(X212*(W212/$AP212)/VLOOKUP(V212,商品!$A$4:$D$67,4,FALSE),0),"")</f>
        <v/>
      </c>
      <c r="AN212">
        <f t="shared" si="29"/>
        <v>0</v>
      </c>
      <c r="AO212">
        <f t="shared" si="30"/>
        <v>0</v>
      </c>
      <c r="AP212">
        <f t="shared" si="31"/>
        <v>0</v>
      </c>
    </row>
    <row r="213" customHeight="1" spans="1:42">
      <c r="A213" s="18" t="s">
        <v>327</v>
      </c>
      <c r="C213" s="18">
        <v>3</v>
      </c>
      <c r="D213" s="1" t="s">
        <v>293</v>
      </c>
      <c r="E213" s="1" t="s">
        <v>227</v>
      </c>
      <c r="L213" s="1">
        <f>IFERROR(VLOOKUP($D213&amp;$C213,生产方式定位!$A$2:$E$38,2,FALSE)+VLOOKUP($E213&amp;$C213,生产方式定位!$F$3:$J$38,2,FALSE),0)</f>
        <v>0</v>
      </c>
      <c r="S213" s="1">
        <f>IFERROR(VLOOKUP($D213&amp;$C213,生产方式定位!$A$2:$E$38,3,FALSE)+VLOOKUP($E213&amp;$C213,生产方式定位!$F$3:$J$38,3,FALSE),0)</f>
        <v>0</v>
      </c>
      <c r="X213" s="1">
        <f>IFERROR(VLOOKUP($D213&amp;$C213,生产方式定位!$A$2:$E$38,5,FALSE)+VLOOKUP($E213&amp;$C213,生产方式定位!$F$3:$J$38,5,FALSE),"错误")</f>
        <v>0</v>
      </c>
      <c r="Y213" s="27" t="str">
        <f t="shared" si="24"/>
        <v/>
      </c>
      <c r="Z213" s="37" t="str">
        <f t="shared" si="25"/>
        <v/>
      </c>
      <c r="AA213" s="37" t="str">
        <f t="shared" si="26"/>
        <v/>
      </c>
      <c r="AB213" s="28" t="str">
        <f t="shared" si="27"/>
        <v/>
      </c>
      <c r="AC213" s="37"/>
      <c r="AD213" s="38">
        <f t="shared" si="28"/>
        <v>3</v>
      </c>
      <c r="AE213" t="str">
        <f>IFERROR(F213&amp;"*"&amp;ROUND(L213*(G213/$AN213)/VLOOKUP(F213,商品!$A$4:$D$67,4,FALSE),0),"")</f>
        <v/>
      </c>
      <c r="AF213" t="str">
        <f>IFERROR(H213&amp;"*"&amp;ROUND(L213*(I213/$AN213)/VLOOKUP(H213,商品!$A$4:$D$67,4,FALSE),0),"")</f>
        <v/>
      </c>
      <c r="AG213" t="str">
        <f>IFERROR(J213&amp;"*"&amp;ROUND(L213*(K213/$AN213)/VLOOKUP(J213,商品!$A$4:$D$67,4,FALSE),0),"")</f>
        <v/>
      </c>
      <c r="AH213" t="str">
        <f>IFERROR(M213&amp;"*"&amp;ROUND(S213*(N213/$AO213)/VLOOKUP(M213,职业!$A$3:$E$16,4,FALSE),0),"")</f>
        <v/>
      </c>
      <c r="AI213" t="str">
        <f>IFERROR(O213&amp;"*"&amp;ROUND(S213*(P213/$AO213)/VLOOKUP(O213,职业!$A$3:$E$16,4,FALSE),0),"")</f>
        <v/>
      </c>
      <c r="AK213" t="str">
        <f>IFERROR(T213&amp;"*"&amp;ROUND(X213*(U213/$AP213)/VLOOKUP(T213,商品!$A$4:$D$67,4,FALSE),0),"")</f>
        <v/>
      </c>
      <c r="AL213" t="str">
        <f>IFERROR(V213&amp;"*"&amp;ROUND(X213*(W213/$AP213)/VLOOKUP(V213,商品!$A$4:$D$67,4,FALSE),0),"")</f>
        <v/>
      </c>
      <c r="AN213">
        <f t="shared" si="29"/>
        <v>0</v>
      </c>
      <c r="AO213">
        <f t="shared" si="30"/>
        <v>0</v>
      </c>
      <c r="AP213">
        <f t="shared" si="31"/>
        <v>0</v>
      </c>
    </row>
    <row r="214" customHeight="1" spans="1:42">
      <c r="A214" s="18" t="s">
        <v>327</v>
      </c>
      <c r="C214" s="18">
        <v>4</v>
      </c>
      <c r="D214" s="1" t="s">
        <v>293</v>
      </c>
      <c r="E214" s="1" t="s">
        <v>227</v>
      </c>
      <c r="L214" s="1">
        <f>IFERROR(VLOOKUP($D214&amp;$C214,生产方式定位!$A$2:$E$38,2,FALSE)+VLOOKUP($E214&amp;$C214,生产方式定位!$F$3:$J$38,2,FALSE),0)</f>
        <v>0</v>
      </c>
      <c r="S214" s="1">
        <f>IFERROR(VLOOKUP($D214&amp;$C214,生产方式定位!$A$2:$E$38,3,FALSE)+VLOOKUP($E214&amp;$C214,生产方式定位!$F$3:$J$38,3,FALSE),0)</f>
        <v>0</v>
      </c>
      <c r="X214" s="1">
        <f>IFERROR(VLOOKUP($D214&amp;$C214,生产方式定位!$A$2:$E$38,5,FALSE)+VLOOKUP($E214&amp;$C214,生产方式定位!$F$3:$J$38,5,FALSE),"错误")</f>
        <v>0</v>
      </c>
      <c r="Y214" s="27" t="str">
        <f t="shared" si="24"/>
        <v/>
      </c>
      <c r="Z214" s="37" t="str">
        <f t="shared" si="25"/>
        <v/>
      </c>
      <c r="AA214" s="37" t="str">
        <f t="shared" si="26"/>
        <v/>
      </c>
      <c r="AB214" s="28" t="str">
        <f t="shared" si="27"/>
        <v/>
      </c>
      <c r="AC214" s="37"/>
      <c r="AD214" s="38">
        <f t="shared" si="28"/>
        <v>4</v>
      </c>
      <c r="AE214" t="str">
        <f>IFERROR(F214&amp;"*"&amp;ROUND(L214*(G214/$AN214)/VLOOKUP(F214,商品!$A$4:$D$67,4,FALSE),0),"")</f>
        <v/>
      </c>
      <c r="AF214" t="str">
        <f>IFERROR(H214&amp;"*"&amp;ROUND(L214*(I214/$AN214)/VLOOKUP(H214,商品!$A$4:$D$67,4,FALSE),0),"")</f>
        <v/>
      </c>
      <c r="AG214" t="str">
        <f>IFERROR(J214&amp;"*"&amp;ROUND(L214*(K214/$AN214)/VLOOKUP(J214,商品!$A$4:$D$67,4,FALSE),0),"")</f>
        <v/>
      </c>
      <c r="AH214" t="str">
        <f>IFERROR(M214&amp;"*"&amp;ROUND(S214*(N214/$AO214)/VLOOKUP(M214,职业!$A$3:$E$16,4,FALSE),0),"")</f>
        <v/>
      </c>
      <c r="AI214" t="str">
        <f>IFERROR(O214&amp;"*"&amp;ROUND(S214*(P214/$AO214)/VLOOKUP(O214,职业!$A$3:$E$16,4,FALSE),0),"")</f>
        <v/>
      </c>
      <c r="AK214" t="str">
        <f>IFERROR(T214&amp;"*"&amp;ROUND(X214*(U214/$AP214)/VLOOKUP(T214,商品!$A$4:$D$67,4,FALSE),0),"")</f>
        <v/>
      </c>
      <c r="AL214" t="str">
        <f>IFERROR(V214&amp;"*"&amp;ROUND(X214*(W214/$AP214)/VLOOKUP(V214,商品!$A$4:$D$67,4,FALSE),0),"")</f>
        <v/>
      </c>
      <c r="AN214">
        <f t="shared" si="29"/>
        <v>0</v>
      </c>
      <c r="AO214">
        <f t="shared" si="30"/>
        <v>0</v>
      </c>
      <c r="AP214">
        <f t="shared" si="31"/>
        <v>0</v>
      </c>
    </row>
    <row r="215" customHeight="1" spans="1:42">
      <c r="A215" s="18" t="s">
        <v>327</v>
      </c>
      <c r="C215" s="18">
        <v>5</v>
      </c>
      <c r="D215" s="1" t="s">
        <v>293</v>
      </c>
      <c r="E215" s="1" t="s">
        <v>227</v>
      </c>
      <c r="L215" s="1">
        <f>IFERROR(VLOOKUP($D215&amp;$C215,生产方式定位!$A$2:$E$38,2,FALSE)+VLOOKUP($E215&amp;$C215,生产方式定位!$F$3:$J$38,2,FALSE),0)</f>
        <v>0</v>
      </c>
      <c r="S215" s="1">
        <f>IFERROR(VLOOKUP($D215&amp;$C215,生产方式定位!$A$2:$E$38,3,FALSE)+VLOOKUP($E215&amp;$C215,生产方式定位!$F$3:$J$38,3,FALSE),0)</f>
        <v>0</v>
      </c>
      <c r="X215" s="1">
        <f>IFERROR(VLOOKUP($D215&amp;$C215,生产方式定位!$A$2:$E$38,5,FALSE)+VLOOKUP($E215&amp;$C215,生产方式定位!$F$3:$J$38,5,FALSE),"错误")</f>
        <v>0</v>
      </c>
      <c r="Y215" s="27" t="str">
        <f t="shared" si="24"/>
        <v/>
      </c>
      <c r="Z215" s="37" t="str">
        <f t="shared" si="25"/>
        <v/>
      </c>
      <c r="AA215" s="37" t="str">
        <f t="shared" si="26"/>
        <v/>
      </c>
      <c r="AB215" s="28" t="str">
        <f t="shared" si="27"/>
        <v/>
      </c>
      <c r="AC215" s="37"/>
      <c r="AD215" s="38">
        <f t="shared" si="28"/>
        <v>5</v>
      </c>
      <c r="AE215" t="str">
        <f>IFERROR(F215&amp;"*"&amp;ROUND(L215*(G215/$AN215)/VLOOKUP(F215,商品!$A$4:$D$67,4,FALSE),0),"")</f>
        <v/>
      </c>
      <c r="AF215" t="str">
        <f>IFERROR(H215&amp;"*"&amp;ROUND(L215*(I215/$AN215)/VLOOKUP(H215,商品!$A$4:$D$67,4,FALSE),0),"")</f>
        <v/>
      </c>
      <c r="AG215" t="str">
        <f>IFERROR(J215&amp;"*"&amp;ROUND(L215*(K215/$AN215)/VLOOKUP(J215,商品!$A$4:$D$67,4,FALSE),0),"")</f>
        <v/>
      </c>
      <c r="AH215" t="str">
        <f>IFERROR(M215&amp;"*"&amp;ROUND(S215*(N215/$AO215)/VLOOKUP(M215,职业!$A$3:$E$16,4,FALSE),0),"")</f>
        <v/>
      </c>
      <c r="AI215" t="str">
        <f>IFERROR(O215&amp;"*"&amp;ROUND(S215*(P215/$AO215)/VLOOKUP(O215,职业!$A$3:$E$16,4,FALSE),0),"")</f>
        <v/>
      </c>
      <c r="AK215" t="str">
        <f>IFERROR(T215&amp;"*"&amp;ROUND(X215*(U215/$AP215)/VLOOKUP(T215,商品!$A$4:$D$67,4,FALSE),0),"")</f>
        <v/>
      </c>
      <c r="AL215" t="str">
        <f>IFERROR(V215&amp;"*"&amp;ROUND(X215*(W215/$AP215)/VLOOKUP(V215,商品!$A$4:$D$67,4,FALSE),0),"")</f>
        <v/>
      </c>
      <c r="AN215">
        <f t="shared" si="29"/>
        <v>0</v>
      </c>
      <c r="AO215">
        <f t="shared" si="30"/>
        <v>0</v>
      </c>
      <c r="AP215">
        <f t="shared" si="31"/>
        <v>0</v>
      </c>
    </row>
    <row r="216" customHeight="1" spans="1:42">
      <c r="A216" s="18" t="s">
        <v>327</v>
      </c>
      <c r="C216" s="18">
        <v>6</v>
      </c>
      <c r="D216" s="1" t="s">
        <v>293</v>
      </c>
      <c r="E216" s="1" t="s">
        <v>227</v>
      </c>
      <c r="L216" s="1">
        <f>IFERROR(VLOOKUP($D216&amp;$C216,生产方式定位!$A$2:$E$38,2,FALSE)+VLOOKUP($E216&amp;$C216,生产方式定位!$F$3:$J$38,2,FALSE),0)</f>
        <v>0</v>
      </c>
      <c r="S216" s="1">
        <f>IFERROR(VLOOKUP($D216&amp;$C216,生产方式定位!$A$2:$E$38,3,FALSE)+VLOOKUP($E216&amp;$C216,生产方式定位!$F$3:$J$38,3,FALSE),0)</f>
        <v>0</v>
      </c>
      <c r="X216" s="1">
        <f>IFERROR(VLOOKUP($D216&amp;$C216,生产方式定位!$A$2:$E$38,5,FALSE)+VLOOKUP($E216&amp;$C216,生产方式定位!$F$3:$J$38,5,FALSE),"错误")</f>
        <v>0</v>
      </c>
      <c r="Y216" s="27" t="str">
        <f t="shared" si="24"/>
        <v/>
      </c>
      <c r="Z216" s="37" t="str">
        <f t="shared" si="25"/>
        <v/>
      </c>
      <c r="AA216" s="37" t="str">
        <f t="shared" si="26"/>
        <v/>
      </c>
      <c r="AB216" s="28" t="str">
        <f t="shared" si="27"/>
        <v/>
      </c>
      <c r="AC216" s="37"/>
      <c r="AD216" s="38">
        <f t="shared" si="28"/>
        <v>6</v>
      </c>
      <c r="AE216" t="str">
        <f>IFERROR(F216&amp;"*"&amp;ROUND(L216*(G216/$AN216)/VLOOKUP(F216,商品!$A$4:$D$67,4,FALSE),0),"")</f>
        <v/>
      </c>
      <c r="AF216" t="str">
        <f>IFERROR(H216&amp;"*"&amp;ROUND(L216*(I216/$AN216)/VLOOKUP(H216,商品!$A$4:$D$67,4,FALSE),0),"")</f>
        <v/>
      </c>
      <c r="AG216" t="str">
        <f>IFERROR(J216&amp;"*"&amp;ROUND(L216*(K216/$AN216)/VLOOKUP(J216,商品!$A$4:$D$67,4,FALSE),0),"")</f>
        <v/>
      </c>
      <c r="AH216" t="str">
        <f>IFERROR(M216&amp;"*"&amp;ROUND(S216*(N216/$AO216)/VLOOKUP(M216,职业!$A$3:$E$16,4,FALSE),0),"")</f>
        <v/>
      </c>
      <c r="AI216" t="str">
        <f>IFERROR(O216&amp;"*"&amp;ROUND(S216*(P216/$AO216)/VLOOKUP(O216,职业!$A$3:$E$16,4,FALSE),0),"")</f>
        <v/>
      </c>
      <c r="AK216" t="str">
        <f>IFERROR(T216&amp;"*"&amp;ROUND(X216*(U216/$AP216)/VLOOKUP(T216,商品!$A$4:$D$67,4,FALSE),0),"")</f>
        <v/>
      </c>
      <c r="AL216" t="str">
        <f>IFERROR(V216&amp;"*"&amp;ROUND(X216*(W216/$AP216)/VLOOKUP(V216,商品!$A$4:$D$67,4,FALSE),0),"")</f>
        <v/>
      </c>
      <c r="AN216">
        <f t="shared" si="29"/>
        <v>0</v>
      </c>
      <c r="AO216">
        <f t="shared" si="30"/>
        <v>0</v>
      </c>
      <c r="AP216">
        <f t="shared" si="31"/>
        <v>0</v>
      </c>
    </row>
    <row r="217" customHeight="1" spans="1:42">
      <c r="A217" s="18" t="s">
        <v>327</v>
      </c>
      <c r="C217" s="18">
        <v>7</v>
      </c>
      <c r="D217" s="1" t="s">
        <v>293</v>
      </c>
      <c r="E217" s="1" t="s">
        <v>227</v>
      </c>
      <c r="L217" s="1">
        <f>IFERROR(VLOOKUP($D217&amp;$C217,生产方式定位!$A$2:$E$38,2,FALSE)+VLOOKUP($E217&amp;$C217,生产方式定位!$F$3:$J$38,2,FALSE),0)</f>
        <v>0</v>
      </c>
      <c r="S217" s="1">
        <f>IFERROR(VLOOKUP($D217&amp;$C217,生产方式定位!$A$2:$E$38,3,FALSE)+VLOOKUP($E217&amp;$C217,生产方式定位!$F$3:$J$38,3,FALSE),0)</f>
        <v>0</v>
      </c>
      <c r="X217" s="1">
        <f>IFERROR(VLOOKUP($D217&amp;$C217,生产方式定位!$A$2:$E$38,5,FALSE)+VLOOKUP($E217&amp;$C217,生产方式定位!$F$3:$J$38,5,FALSE),"错误")</f>
        <v>0</v>
      </c>
      <c r="Y217" s="27" t="str">
        <f t="shared" si="24"/>
        <v/>
      </c>
      <c r="Z217" s="37" t="str">
        <f t="shared" si="25"/>
        <v/>
      </c>
      <c r="AA217" s="37" t="str">
        <f t="shared" si="26"/>
        <v/>
      </c>
      <c r="AB217" s="28" t="str">
        <f t="shared" si="27"/>
        <v/>
      </c>
      <c r="AC217" s="37"/>
      <c r="AD217" s="38">
        <f t="shared" si="28"/>
        <v>7</v>
      </c>
      <c r="AE217" t="str">
        <f>IFERROR(F217&amp;"*"&amp;ROUND(L217*(G217/$AN217)/VLOOKUP(F217,商品!$A$4:$D$67,4,FALSE),0),"")</f>
        <v/>
      </c>
      <c r="AF217" t="str">
        <f>IFERROR(H217&amp;"*"&amp;ROUND(L217*(I217/$AN217)/VLOOKUP(H217,商品!$A$4:$D$67,4,FALSE),0),"")</f>
        <v/>
      </c>
      <c r="AG217" t="str">
        <f>IFERROR(J217&amp;"*"&amp;ROUND(L217*(K217/$AN217)/VLOOKUP(J217,商品!$A$4:$D$67,4,FALSE),0),"")</f>
        <v/>
      </c>
      <c r="AH217" t="str">
        <f>IFERROR(M217&amp;"*"&amp;ROUND(S217*(N217/$AO217)/VLOOKUP(M217,职业!$A$3:$E$16,4,FALSE),0),"")</f>
        <v/>
      </c>
      <c r="AI217" t="str">
        <f>IFERROR(O217&amp;"*"&amp;ROUND(S217*(P217/$AO217)/VLOOKUP(O217,职业!$A$3:$E$16,4,FALSE),0),"")</f>
        <v/>
      </c>
      <c r="AK217" t="str">
        <f>IFERROR(T217&amp;"*"&amp;ROUND(X217*(U217/$AP217)/VLOOKUP(T217,商品!$A$4:$D$67,4,FALSE),0),"")</f>
        <v/>
      </c>
      <c r="AL217" t="str">
        <f>IFERROR(V217&amp;"*"&amp;ROUND(X217*(W217/$AP217)/VLOOKUP(V217,商品!$A$4:$D$67,4,FALSE),0),"")</f>
        <v/>
      </c>
      <c r="AN217">
        <f t="shared" si="29"/>
        <v>0</v>
      </c>
      <c r="AO217">
        <f t="shared" si="30"/>
        <v>0</v>
      </c>
      <c r="AP217">
        <f t="shared" si="31"/>
        <v>0</v>
      </c>
    </row>
    <row r="218" customHeight="1" spans="1:42">
      <c r="A218" s="18" t="s">
        <v>327</v>
      </c>
      <c r="C218" s="18">
        <v>8</v>
      </c>
      <c r="D218" s="1" t="s">
        <v>293</v>
      </c>
      <c r="E218" s="1" t="s">
        <v>227</v>
      </c>
      <c r="L218" s="1">
        <f>IFERROR(VLOOKUP($D218&amp;$C218,生产方式定位!$A$2:$E$38,2,FALSE)+VLOOKUP($E218&amp;$C218,生产方式定位!$F$3:$J$38,2,FALSE),0)</f>
        <v>0</v>
      </c>
      <c r="S218" s="1">
        <f>IFERROR(VLOOKUP($D218&amp;$C218,生产方式定位!$A$2:$E$38,3,FALSE)+VLOOKUP($E218&amp;$C218,生产方式定位!$F$3:$J$38,3,FALSE),0)</f>
        <v>0</v>
      </c>
      <c r="X218" s="1">
        <f>IFERROR(VLOOKUP($D218&amp;$C218,生产方式定位!$A$2:$E$38,5,FALSE)+VLOOKUP($E218&amp;$C218,生产方式定位!$F$3:$J$38,5,FALSE),"错误")</f>
        <v>0</v>
      </c>
      <c r="Y218" s="27" t="str">
        <f t="shared" si="24"/>
        <v/>
      </c>
      <c r="Z218" s="37" t="str">
        <f t="shared" si="25"/>
        <v/>
      </c>
      <c r="AA218" s="37" t="str">
        <f t="shared" si="26"/>
        <v/>
      </c>
      <c r="AB218" s="28" t="str">
        <f t="shared" si="27"/>
        <v/>
      </c>
      <c r="AC218" s="37"/>
      <c r="AD218" s="38">
        <f t="shared" si="28"/>
        <v>8</v>
      </c>
      <c r="AE218" t="str">
        <f>IFERROR(F218&amp;"*"&amp;ROUND(L218*(G218/$AN218)/VLOOKUP(F218,商品!$A$4:$D$67,4,FALSE),0),"")</f>
        <v/>
      </c>
      <c r="AF218" t="str">
        <f>IFERROR(H218&amp;"*"&amp;ROUND(L218*(I218/$AN218)/VLOOKUP(H218,商品!$A$4:$D$67,4,FALSE),0),"")</f>
        <v/>
      </c>
      <c r="AG218" t="str">
        <f>IFERROR(J218&amp;"*"&amp;ROUND(L218*(K218/$AN218)/VLOOKUP(J218,商品!$A$4:$D$67,4,FALSE),0),"")</f>
        <v/>
      </c>
      <c r="AH218" t="str">
        <f>IFERROR(M218&amp;"*"&amp;ROUND(S218*(N218/$AO218)/VLOOKUP(M218,职业!$A$3:$E$16,4,FALSE),0),"")</f>
        <v/>
      </c>
      <c r="AI218" t="str">
        <f>IFERROR(O218&amp;"*"&amp;ROUND(S218*(P218/$AO218)/VLOOKUP(O218,职业!$A$3:$E$16,4,FALSE),0),"")</f>
        <v/>
      </c>
      <c r="AK218" t="str">
        <f>IFERROR(T218&amp;"*"&amp;ROUND(X218*(U218/$AP218)/VLOOKUP(T218,商品!$A$4:$D$67,4,FALSE),0),"")</f>
        <v/>
      </c>
      <c r="AL218" t="str">
        <f>IFERROR(V218&amp;"*"&amp;ROUND(X218*(W218/$AP218)/VLOOKUP(V218,商品!$A$4:$D$67,4,FALSE),0),"")</f>
        <v/>
      </c>
      <c r="AN218">
        <f t="shared" si="29"/>
        <v>0</v>
      </c>
      <c r="AO218">
        <f t="shared" si="30"/>
        <v>0</v>
      </c>
      <c r="AP218">
        <f t="shared" si="31"/>
        <v>0</v>
      </c>
    </row>
    <row r="219" customHeight="1" spans="1:42">
      <c r="A219" s="5" t="s">
        <v>329</v>
      </c>
      <c r="C219" s="5">
        <v>1</v>
      </c>
      <c r="D219" s="1" t="s">
        <v>222</v>
      </c>
      <c r="E219" s="1" t="s">
        <v>224</v>
      </c>
      <c r="L219" s="1">
        <f>IFERROR(VLOOKUP($D219&amp;$C219,生产方式定位!$A$2:$E$38,2,FALSE)+VLOOKUP($E219&amp;$C219,生产方式定位!$F$3:$J$38,2,FALSE),0)</f>
        <v>0</v>
      </c>
      <c r="S219" s="1">
        <f>IFERROR(VLOOKUP($D219&amp;$C219,生产方式定位!$A$2:$E$38,3,FALSE)+VLOOKUP($E219&amp;$C219,生产方式定位!$F$3:$J$38,3,FALSE),0)</f>
        <v>500</v>
      </c>
      <c r="X219" s="1">
        <f>IFERROR(VLOOKUP($D219&amp;$C219,生产方式定位!$A$2:$E$38,5,FALSE)+VLOOKUP($E219&amp;$C219,生产方式定位!$F$3:$J$38,5,FALSE),"错误")</f>
        <v>250</v>
      </c>
      <c r="Y219" s="27" t="str">
        <f t="shared" si="24"/>
        <v/>
      </c>
      <c r="Z219" s="37" t="str">
        <f t="shared" si="25"/>
        <v/>
      </c>
      <c r="AA219" s="37" t="str">
        <f t="shared" si="26"/>
        <v/>
      </c>
      <c r="AB219" s="28">
        <f t="shared" si="27"/>
        <v>0</v>
      </c>
      <c r="AC219" s="37"/>
      <c r="AD219" s="38">
        <f t="shared" si="28"/>
        <v>1</v>
      </c>
      <c r="AE219" t="str">
        <f>IFERROR(F219&amp;"*"&amp;ROUND(L219*(G219/$AN219)/VLOOKUP(F219,商品!$A$4:$D$67,4,FALSE),0),"")</f>
        <v/>
      </c>
      <c r="AF219" t="str">
        <f>IFERROR(H219&amp;"*"&amp;ROUND(L219*(I219/$AN219)/VLOOKUP(H219,商品!$A$4:$D$67,4,FALSE),0),"")</f>
        <v/>
      </c>
      <c r="AG219" t="str">
        <f>IFERROR(J219&amp;"*"&amp;ROUND(L219*(K219/$AN219)/VLOOKUP(J219,商品!$A$4:$D$67,4,FALSE),0),"")</f>
        <v/>
      </c>
      <c r="AH219" t="str">
        <f>IFERROR(M219&amp;"*"&amp;ROUND(S219*(N219/$AO219)/VLOOKUP(M219,职业!$A$3:$E$16,4,FALSE),0),"")</f>
        <v/>
      </c>
      <c r="AI219" t="str">
        <f>IFERROR(O219&amp;"*"&amp;ROUND(S219*(P219/$AO219)/VLOOKUP(O219,职业!$A$3:$E$16,4,FALSE),0),"")</f>
        <v/>
      </c>
      <c r="AK219" t="str">
        <f>IFERROR(T219&amp;"*"&amp;ROUND(X219*(U219/$AP219)/VLOOKUP(T219,商品!$A$4:$D$67,4,FALSE),0),"")</f>
        <v/>
      </c>
      <c r="AL219" t="str">
        <f>IFERROR(V219&amp;"*"&amp;ROUND(X219*(W219/$AP219)/VLOOKUP(V219,商品!$A$4:$D$67,4,FALSE),0),"")</f>
        <v/>
      </c>
      <c r="AN219">
        <f t="shared" si="29"/>
        <v>0</v>
      </c>
      <c r="AO219">
        <f t="shared" si="30"/>
        <v>0</v>
      </c>
      <c r="AP219">
        <f t="shared" si="31"/>
        <v>0</v>
      </c>
    </row>
    <row r="220" customHeight="1" spans="1:42">
      <c r="A220" s="5" t="s">
        <v>329</v>
      </c>
      <c r="C220" s="5">
        <v>2</v>
      </c>
      <c r="D220" s="1" t="s">
        <v>222</v>
      </c>
      <c r="E220" s="1" t="s">
        <v>224</v>
      </c>
      <c r="L220" s="1">
        <f>IFERROR(VLOOKUP($D220&amp;$C220,生产方式定位!$A$2:$E$38,2,FALSE)+VLOOKUP($E220&amp;$C220,生产方式定位!$F$3:$J$38,2,FALSE),0)</f>
        <v>2200</v>
      </c>
      <c r="S220" s="1">
        <f>IFERROR(VLOOKUP($D220&amp;$C220,生产方式定位!$A$2:$E$38,3,FALSE)+VLOOKUP($E220&amp;$C220,生产方式定位!$F$3:$J$38,3,FALSE),0)</f>
        <v>750</v>
      </c>
      <c r="X220" s="1">
        <f>IFERROR(VLOOKUP($D220&amp;$C220,生产方式定位!$A$2:$E$38,5,FALSE)+VLOOKUP($E220&amp;$C220,生产方式定位!$F$3:$J$38,5,FALSE),"错误")</f>
        <v>1547</v>
      </c>
      <c r="Y220" s="27" t="str">
        <f t="shared" si="24"/>
        <v/>
      </c>
      <c r="Z220" s="37" t="str">
        <f t="shared" si="25"/>
        <v/>
      </c>
      <c r="AA220" s="37" t="str">
        <f t="shared" si="26"/>
        <v/>
      </c>
      <c r="AB220" s="28">
        <f t="shared" si="27"/>
        <v>1.42</v>
      </c>
      <c r="AC220" s="37"/>
      <c r="AD220" s="38">
        <f t="shared" si="28"/>
        <v>2</v>
      </c>
      <c r="AE220" t="str">
        <f>IFERROR(F220&amp;"*"&amp;ROUND(L220*(G220/$AN220)/VLOOKUP(F220,商品!$A$4:$D$67,4,FALSE),0),"")</f>
        <v/>
      </c>
      <c r="AF220" t="str">
        <f>IFERROR(H220&amp;"*"&amp;ROUND(L220*(I220/$AN220)/VLOOKUP(H220,商品!$A$4:$D$67,4,FALSE),0),"")</f>
        <v/>
      </c>
      <c r="AG220" t="str">
        <f>IFERROR(J220&amp;"*"&amp;ROUND(L220*(K220/$AN220)/VLOOKUP(J220,商品!$A$4:$D$67,4,FALSE),0),"")</f>
        <v/>
      </c>
      <c r="AH220" t="str">
        <f>IFERROR(M220&amp;"*"&amp;ROUND(S220*(N220/$AO220)/VLOOKUP(M220,职业!$A$3:$E$16,4,FALSE),0),"")</f>
        <v/>
      </c>
      <c r="AI220" t="str">
        <f>IFERROR(O220&amp;"*"&amp;ROUND(S220*(P220/$AO220)/VLOOKUP(O220,职业!$A$3:$E$16,4,FALSE),0),"")</f>
        <v/>
      </c>
      <c r="AK220" t="str">
        <f>IFERROR(T220&amp;"*"&amp;ROUND(X220*(U220/$AP220)/VLOOKUP(T220,商品!$A$4:$D$67,4,FALSE),0),"")</f>
        <v/>
      </c>
      <c r="AL220" t="str">
        <f>IFERROR(V220&amp;"*"&amp;ROUND(X220*(W220/$AP220)/VLOOKUP(V220,商品!$A$4:$D$67,4,FALSE),0),"")</f>
        <v/>
      </c>
      <c r="AN220">
        <f t="shared" si="29"/>
        <v>0</v>
      </c>
      <c r="AO220">
        <f t="shared" si="30"/>
        <v>0</v>
      </c>
      <c r="AP220">
        <f t="shared" si="31"/>
        <v>0</v>
      </c>
    </row>
    <row r="221" customHeight="1" spans="1:42">
      <c r="A221" s="5" t="s">
        <v>329</v>
      </c>
      <c r="C221" s="5">
        <v>3</v>
      </c>
      <c r="D221" s="1" t="s">
        <v>222</v>
      </c>
      <c r="E221" s="1" t="s">
        <v>224</v>
      </c>
      <c r="L221" s="1">
        <f>IFERROR(VLOOKUP($D221&amp;$C221,生产方式定位!$A$2:$E$38,2,FALSE)+VLOOKUP($E221&amp;$C221,生产方式定位!$F$3:$J$38,2,FALSE),0)</f>
        <v>3400</v>
      </c>
      <c r="S221" s="1">
        <f>IFERROR(VLOOKUP($D221&amp;$C221,生产方式定位!$A$2:$E$38,3,FALSE)+VLOOKUP($E221&amp;$C221,生产方式定位!$F$3:$J$38,3,FALSE),0)</f>
        <v>1000</v>
      </c>
      <c r="X221" s="1">
        <f>IFERROR(VLOOKUP($D221&amp;$C221,生产方式定位!$A$2:$E$38,5,FALSE)+VLOOKUP($E221&amp;$C221,生产方式定位!$F$3:$J$38,5,FALSE),"错误")</f>
        <v>2488</v>
      </c>
      <c r="Y221" s="27" t="str">
        <f t="shared" si="24"/>
        <v/>
      </c>
      <c r="Z221" s="37" t="str">
        <f t="shared" si="25"/>
        <v/>
      </c>
      <c r="AA221" s="37" t="str">
        <f t="shared" si="26"/>
        <v/>
      </c>
      <c r="AB221" s="28">
        <f t="shared" si="27"/>
        <v>1.37</v>
      </c>
      <c r="AC221" s="37"/>
      <c r="AD221" s="38">
        <f t="shared" si="28"/>
        <v>3</v>
      </c>
      <c r="AE221" t="str">
        <f>IFERROR(F221&amp;"*"&amp;ROUND(L221*(G221/$AN221)/VLOOKUP(F221,商品!$A$4:$D$67,4,FALSE),0),"")</f>
        <v/>
      </c>
      <c r="AF221" t="str">
        <f>IFERROR(H221&amp;"*"&amp;ROUND(L221*(I221/$AN221)/VLOOKUP(H221,商品!$A$4:$D$67,4,FALSE),0),"")</f>
        <v/>
      </c>
      <c r="AG221" t="str">
        <f>IFERROR(J221&amp;"*"&amp;ROUND(L221*(K221/$AN221)/VLOOKUP(J221,商品!$A$4:$D$67,4,FALSE),0),"")</f>
        <v/>
      </c>
      <c r="AH221" t="str">
        <f>IFERROR(M221&amp;"*"&amp;ROUND(S221*(N221/$AO221)/VLOOKUP(M221,职业!$A$3:$E$16,4,FALSE),0),"")</f>
        <v/>
      </c>
      <c r="AI221" t="str">
        <f>IFERROR(O221&amp;"*"&amp;ROUND(S221*(P221/$AO221)/VLOOKUP(O221,职业!$A$3:$E$16,4,FALSE),0),"")</f>
        <v/>
      </c>
      <c r="AK221" t="str">
        <f>IFERROR(T221&amp;"*"&amp;ROUND(X221*(U221/$AP221)/VLOOKUP(T221,商品!$A$4:$D$67,4,FALSE),0),"")</f>
        <v/>
      </c>
      <c r="AL221" t="str">
        <f>IFERROR(V221&amp;"*"&amp;ROUND(X221*(W221/$AP221)/VLOOKUP(V221,商品!$A$4:$D$67,4,FALSE),0),"")</f>
        <v/>
      </c>
      <c r="AN221">
        <f t="shared" si="29"/>
        <v>0</v>
      </c>
      <c r="AO221">
        <f t="shared" si="30"/>
        <v>0</v>
      </c>
      <c r="AP221">
        <f t="shared" si="31"/>
        <v>0</v>
      </c>
    </row>
    <row r="222" customHeight="1" spans="1:42">
      <c r="A222" s="5" t="s">
        <v>329</v>
      </c>
      <c r="C222" s="5">
        <v>4</v>
      </c>
      <c r="D222" s="1" t="s">
        <v>222</v>
      </c>
      <c r="E222" s="1" t="s">
        <v>224</v>
      </c>
      <c r="L222" s="1">
        <f>IFERROR(VLOOKUP($D222&amp;$C222,生产方式定位!$A$2:$E$38,2,FALSE)+VLOOKUP($E222&amp;$C222,生产方式定位!$F$3:$J$38,2,FALSE),0)</f>
        <v>4600</v>
      </c>
      <c r="S222" s="1">
        <f>IFERROR(VLOOKUP($D222&amp;$C222,生产方式定位!$A$2:$E$38,3,FALSE)+VLOOKUP($E222&amp;$C222,生产方式定位!$F$3:$J$38,3,FALSE),0)</f>
        <v>1250</v>
      </c>
      <c r="X222" s="1">
        <f>IFERROR(VLOOKUP($D222&amp;$C222,生产方式定位!$A$2:$E$38,5,FALSE)+VLOOKUP($E222&amp;$C222,生产方式定位!$F$3:$J$38,5,FALSE),"错误")</f>
        <v>3573</v>
      </c>
      <c r="Y222" s="27" t="str">
        <f t="shared" si="24"/>
        <v/>
      </c>
      <c r="Z222" s="37" t="str">
        <f t="shared" si="25"/>
        <v/>
      </c>
      <c r="AA222" s="37" t="str">
        <f t="shared" si="26"/>
        <v/>
      </c>
      <c r="AB222" s="28">
        <f t="shared" si="27"/>
        <v>1.29</v>
      </c>
      <c r="AC222" s="37"/>
      <c r="AD222" s="38">
        <f t="shared" si="28"/>
        <v>4</v>
      </c>
      <c r="AE222" t="str">
        <f>IFERROR(F222&amp;"*"&amp;ROUND(L222*(G222/$AN222)/VLOOKUP(F222,商品!$A$4:$D$67,4,FALSE),0),"")</f>
        <v/>
      </c>
      <c r="AF222" t="str">
        <f>IFERROR(H222&amp;"*"&amp;ROUND(L222*(I222/$AN222)/VLOOKUP(H222,商品!$A$4:$D$67,4,FALSE),0),"")</f>
        <v/>
      </c>
      <c r="AG222" t="str">
        <f>IFERROR(J222&amp;"*"&amp;ROUND(L222*(K222/$AN222)/VLOOKUP(J222,商品!$A$4:$D$67,4,FALSE),0),"")</f>
        <v/>
      </c>
      <c r="AH222" t="str">
        <f>IFERROR(M222&amp;"*"&amp;ROUND(S222*(N222/$AO222)/VLOOKUP(M222,职业!$A$3:$E$16,4,FALSE),0),"")</f>
        <v/>
      </c>
      <c r="AI222" t="str">
        <f>IFERROR(O222&amp;"*"&amp;ROUND(S222*(P222/$AO222)/VLOOKUP(O222,职业!$A$3:$E$16,4,FALSE),0),"")</f>
        <v/>
      </c>
      <c r="AK222" t="str">
        <f>IFERROR(T222&amp;"*"&amp;ROUND(X222*(U222/$AP222)/VLOOKUP(T222,商品!$A$4:$D$67,4,FALSE),0),"")</f>
        <v/>
      </c>
      <c r="AL222" t="str">
        <f>IFERROR(V222&amp;"*"&amp;ROUND(X222*(W222/$AP222)/VLOOKUP(V222,商品!$A$4:$D$67,4,FALSE),0),"")</f>
        <v/>
      </c>
      <c r="AN222">
        <f t="shared" si="29"/>
        <v>0</v>
      </c>
      <c r="AO222">
        <f t="shared" si="30"/>
        <v>0</v>
      </c>
      <c r="AP222">
        <f t="shared" si="31"/>
        <v>0</v>
      </c>
    </row>
    <row r="223" customHeight="1" spans="1:42">
      <c r="A223" s="5" t="s">
        <v>329</v>
      </c>
      <c r="C223" s="5">
        <v>5</v>
      </c>
      <c r="D223" s="1" t="s">
        <v>222</v>
      </c>
      <c r="E223" s="1" t="s">
        <v>224</v>
      </c>
      <c r="L223" s="1">
        <f>IFERROR(VLOOKUP($D223&amp;$C223,生产方式定位!$A$2:$E$38,2,FALSE)+VLOOKUP($E223&amp;$C223,生产方式定位!$F$3:$J$38,2,FALSE),0)</f>
        <v>5800</v>
      </c>
      <c r="S223" s="1">
        <f>IFERROR(VLOOKUP($D223&amp;$C223,生产方式定位!$A$2:$E$38,3,FALSE)+VLOOKUP($E223&amp;$C223,生产方式定位!$F$3:$J$38,3,FALSE),0)</f>
        <v>1500</v>
      </c>
      <c r="X223" s="1">
        <f>IFERROR(VLOOKUP($D223&amp;$C223,生产方式定位!$A$2:$E$38,5,FALSE)+VLOOKUP($E223&amp;$C223,生产方式定位!$F$3:$J$38,5,FALSE),"错误")</f>
        <v>4850</v>
      </c>
      <c r="Y223" s="27" t="str">
        <f t="shared" si="24"/>
        <v/>
      </c>
      <c r="Z223" s="37" t="str">
        <f t="shared" si="25"/>
        <v/>
      </c>
      <c r="AA223" s="37" t="str">
        <f t="shared" si="26"/>
        <v/>
      </c>
      <c r="AB223" s="28">
        <f t="shared" si="27"/>
        <v>1.2</v>
      </c>
      <c r="AC223" s="37"/>
      <c r="AD223" s="38">
        <f t="shared" si="28"/>
        <v>5</v>
      </c>
      <c r="AE223" t="str">
        <f>IFERROR(F223&amp;"*"&amp;ROUND(L223*(G223/$AN223)/VLOOKUP(F223,商品!$A$4:$D$67,4,FALSE),0),"")</f>
        <v/>
      </c>
      <c r="AF223" t="str">
        <f>IFERROR(H223&amp;"*"&amp;ROUND(L223*(I223/$AN223)/VLOOKUP(H223,商品!$A$4:$D$67,4,FALSE),0),"")</f>
        <v/>
      </c>
      <c r="AG223" t="str">
        <f>IFERROR(J223&amp;"*"&amp;ROUND(L223*(K223/$AN223)/VLOOKUP(J223,商品!$A$4:$D$67,4,FALSE),0),"")</f>
        <v/>
      </c>
      <c r="AH223" t="str">
        <f>IFERROR(M223&amp;"*"&amp;ROUND(S223*(N223/$AO223)/VLOOKUP(M223,职业!$A$3:$E$16,4,FALSE),0),"")</f>
        <v/>
      </c>
      <c r="AI223" t="str">
        <f>IFERROR(O223&amp;"*"&amp;ROUND(S223*(P223/$AO223)/VLOOKUP(O223,职业!$A$3:$E$16,4,FALSE),0),"")</f>
        <v/>
      </c>
      <c r="AK223" t="str">
        <f>IFERROR(T223&amp;"*"&amp;ROUND(X223*(U223/$AP223)/VLOOKUP(T223,商品!$A$4:$D$67,4,FALSE),0),"")</f>
        <v/>
      </c>
      <c r="AL223" t="str">
        <f>IFERROR(V223&amp;"*"&amp;ROUND(X223*(W223/$AP223)/VLOOKUP(V223,商品!$A$4:$D$67,4,FALSE),0),"")</f>
        <v/>
      </c>
      <c r="AN223">
        <f t="shared" si="29"/>
        <v>0</v>
      </c>
      <c r="AO223">
        <f t="shared" si="30"/>
        <v>0</v>
      </c>
      <c r="AP223">
        <f t="shared" si="31"/>
        <v>0</v>
      </c>
    </row>
    <row r="224" customHeight="1" spans="1:42">
      <c r="A224" s="18" t="s">
        <v>330</v>
      </c>
      <c r="C224" s="18">
        <v>1</v>
      </c>
      <c r="D224" s="1" t="s">
        <v>222</v>
      </c>
      <c r="E224" s="1" t="s">
        <v>226</v>
      </c>
      <c r="L224" s="1">
        <f>IFERROR(VLOOKUP($D224&amp;$C224,生产方式定位!$A$2:$E$38,2,FALSE)+VLOOKUP($E224&amp;$C224,生产方式定位!$F$3:$J$38,2,FALSE),0)</f>
        <v>0</v>
      </c>
      <c r="S224" s="1">
        <f>IFERROR(VLOOKUP($D224&amp;$C224,生产方式定位!$A$2:$E$38,3,FALSE)+VLOOKUP($E224&amp;$C224,生产方式定位!$F$3:$J$38,3,FALSE),0)</f>
        <v>500</v>
      </c>
      <c r="X224" s="1">
        <f>IFERROR(VLOOKUP($D224&amp;$C224,生产方式定位!$A$2:$E$38,5,FALSE)+VLOOKUP($E224&amp;$C224,生产方式定位!$F$3:$J$38,5,FALSE),"错误")</f>
        <v>250</v>
      </c>
      <c r="Y224" s="27" t="str">
        <f t="shared" si="24"/>
        <v/>
      </c>
      <c r="Z224" s="37" t="str">
        <f t="shared" si="25"/>
        <v/>
      </c>
      <c r="AA224" s="37" t="str">
        <f t="shared" si="26"/>
        <v/>
      </c>
      <c r="AB224" s="28">
        <f t="shared" si="27"/>
        <v>0</v>
      </c>
      <c r="AC224" s="37"/>
      <c r="AD224" s="38">
        <f t="shared" si="28"/>
        <v>1</v>
      </c>
      <c r="AE224" t="str">
        <f>IFERROR(F224&amp;"*"&amp;ROUND(L224*(G224/$AN224)/VLOOKUP(F224,商品!$A$4:$D$67,4,FALSE),0),"")</f>
        <v/>
      </c>
      <c r="AF224" t="str">
        <f>IFERROR(H224&amp;"*"&amp;ROUND(L224*(I224/$AN224)/VLOOKUP(H224,商品!$A$4:$D$67,4,FALSE),0),"")</f>
        <v/>
      </c>
      <c r="AG224" t="str">
        <f>IFERROR(J224&amp;"*"&amp;ROUND(L224*(K224/$AN224)/VLOOKUP(J224,商品!$A$4:$D$67,4,FALSE),0),"")</f>
        <v/>
      </c>
      <c r="AH224" t="str">
        <f>IFERROR(M224&amp;"*"&amp;ROUND(S224*(N224/$AO224)/VLOOKUP(M224,职业!$A$3:$E$16,4,FALSE),0),"")</f>
        <v/>
      </c>
      <c r="AI224" t="str">
        <f>IFERROR(O224&amp;"*"&amp;ROUND(S224*(P224/$AO224)/VLOOKUP(O224,职业!$A$3:$E$16,4,FALSE),0),"")</f>
        <v/>
      </c>
      <c r="AK224" t="str">
        <f>IFERROR(T224&amp;"*"&amp;ROUND(X224*(U224/$AP224)/VLOOKUP(T224,商品!$A$4:$D$67,4,FALSE),0),"")</f>
        <v/>
      </c>
      <c r="AL224" t="str">
        <f>IFERROR(V224&amp;"*"&amp;ROUND(X224*(W224/$AP224)/VLOOKUP(V224,商品!$A$4:$D$67,4,FALSE),0),"")</f>
        <v/>
      </c>
      <c r="AN224">
        <f t="shared" si="29"/>
        <v>0</v>
      </c>
      <c r="AO224">
        <f t="shared" si="30"/>
        <v>0</v>
      </c>
      <c r="AP224">
        <f t="shared" si="31"/>
        <v>0</v>
      </c>
    </row>
    <row r="225" customHeight="1" spans="1:42">
      <c r="A225" s="18" t="s">
        <v>330</v>
      </c>
      <c r="C225" s="18">
        <v>2</v>
      </c>
      <c r="D225" s="1" t="s">
        <v>222</v>
      </c>
      <c r="E225" s="1" t="s">
        <v>226</v>
      </c>
      <c r="L225" s="1">
        <f>IFERROR(VLOOKUP($D225&amp;$C225,生产方式定位!$A$2:$E$38,2,FALSE)+VLOOKUP($E225&amp;$C225,生产方式定位!$F$3:$J$38,2,FALSE),0)</f>
        <v>3200</v>
      </c>
      <c r="S225" s="1">
        <f>IFERROR(VLOOKUP($D225&amp;$C225,生产方式定位!$A$2:$E$38,3,FALSE)+VLOOKUP($E225&amp;$C225,生产方式定位!$F$3:$J$38,3,FALSE),0)</f>
        <v>350</v>
      </c>
      <c r="X225" s="1">
        <f>IFERROR(VLOOKUP($D225&amp;$C225,生产方式定位!$A$2:$E$38,5,FALSE)+VLOOKUP($E225&amp;$C225,生产方式定位!$F$3:$J$38,5,FALSE),"错误")</f>
        <v>1865</v>
      </c>
      <c r="Y225" s="27" t="str">
        <f t="shared" si="24"/>
        <v/>
      </c>
      <c r="Z225" s="37" t="str">
        <f t="shared" si="25"/>
        <v/>
      </c>
      <c r="AA225" s="37" t="str">
        <f t="shared" si="26"/>
        <v/>
      </c>
      <c r="AB225" s="28">
        <f t="shared" si="27"/>
        <v>1.72</v>
      </c>
      <c r="AC225" s="37"/>
      <c r="AD225" s="38">
        <f t="shared" si="28"/>
        <v>2</v>
      </c>
      <c r="AE225" t="str">
        <f>IFERROR(F225&amp;"*"&amp;ROUND(L225*(G225/$AN225)/VLOOKUP(F225,商品!$A$4:$D$67,4,FALSE),0),"")</f>
        <v/>
      </c>
      <c r="AF225" t="str">
        <f>IFERROR(H225&amp;"*"&amp;ROUND(L225*(I225/$AN225)/VLOOKUP(H225,商品!$A$4:$D$67,4,FALSE),0),"")</f>
        <v/>
      </c>
      <c r="AG225" t="str">
        <f>IFERROR(J225&amp;"*"&amp;ROUND(L225*(K225/$AN225)/VLOOKUP(J225,商品!$A$4:$D$67,4,FALSE),0),"")</f>
        <v/>
      </c>
      <c r="AH225" t="str">
        <f>IFERROR(M225&amp;"*"&amp;ROUND(S225*(N225/$AO225)/VLOOKUP(M225,职业!$A$3:$E$16,4,FALSE),0),"")</f>
        <v/>
      </c>
      <c r="AI225" t="str">
        <f>IFERROR(O225&amp;"*"&amp;ROUND(S225*(P225/$AO225)/VLOOKUP(O225,职业!$A$3:$E$16,4,FALSE),0),"")</f>
        <v/>
      </c>
      <c r="AK225" t="str">
        <f>IFERROR(T225&amp;"*"&amp;ROUND(X225*(U225/$AP225)/VLOOKUP(T225,商品!$A$4:$D$67,4,FALSE),0),"")</f>
        <v/>
      </c>
      <c r="AL225" t="str">
        <f>IFERROR(V225&amp;"*"&amp;ROUND(X225*(W225/$AP225)/VLOOKUP(V225,商品!$A$4:$D$67,4,FALSE),0),"")</f>
        <v/>
      </c>
      <c r="AN225">
        <f t="shared" si="29"/>
        <v>0</v>
      </c>
      <c r="AO225">
        <f t="shared" si="30"/>
        <v>0</v>
      </c>
      <c r="AP225">
        <f t="shared" si="31"/>
        <v>0</v>
      </c>
    </row>
    <row r="226" customHeight="1" spans="1:42">
      <c r="A226" s="18" t="s">
        <v>330</v>
      </c>
      <c r="C226" s="18">
        <v>3</v>
      </c>
      <c r="D226" s="1" t="s">
        <v>222</v>
      </c>
      <c r="E226" s="1" t="s">
        <v>226</v>
      </c>
      <c r="L226" s="1">
        <f>IFERROR(VLOOKUP($D226&amp;$C226,生产方式定位!$A$2:$E$38,2,FALSE)+VLOOKUP($E226&amp;$C226,生产方式定位!$F$3:$J$38,2,FALSE),0)</f>
        <v>4400</v>
      </c>
      <c r="S226" s="1">
        <f>IFERROR(VLOOKUP($D226&amp;$C226,生产方式定位!$A$2:$E$38,3,FALSE)+VLOOKUP($E226&amp;$C226,生产方式定位!$F$3:$J$38,3,FALSE),0)</f>
        <v>200</v>
      </c>
      <c r="X226" s="1">
        <f>IFERROR(VLOOKUP($D226&amp;$C226,生产方式定位!$A$2:$E$38,5,FALSE)+VLOOKUP($E226&amp;$C226,生产方式定位!$F$3:$J$38,5,FALSE),"错误")</f>
        <v>2560</v>
      </c>
      <c r="Y226" s="27" t="str">
        <f t="shared" si="24"/>
        <v/>
      </c>
      <c r="Z226" s="37" t="str">
        <f t="shared" si="25"/>
        <v/>
      </c>
      <c r="AA226" s="37" t="str">
        <f t="shared" si="26"/>
        <v/>
      </c>
      <c r="AB226" s="28">
        <f t="shared" si="27"/>
        <v>1.72</v>
      </c>
      <c r="AC226" s="37"/>
      <c r="AD226" s="38">
        <f t="shared" si="28"/>
        <v>3</v>
      </c>
      <c r="AE226" t="str">
        <f>IFERROR(F226&amp;"*"&amp;ROUND(L226*(G226/$AN226)/VLOOKUP(F226,商品!$A$4:$D$67,4,FALSE),0),"")</f>
        <v/>
      </c>
      <c r="AF226" t="str">
        <f>IFERROR(H226&amp;"*"&amp;ROUND(L226*(I226/$AN226)/VLOOKUP(H226,商品!$A$4:$D$67,4,FALSE),0),"")</f>
        <v/>
      </c>
      <c r="AG226" t="str">
        <f>IFERROR(J226&amp;"*"&amp;ROUND(L226*(K226/$AN226)/VLOOKUP(J226,商品!$A$4:$D$67,4,FALSE),0),"")</f>
        <v/>
      </c>
      <c r="AH226" t="str">
        <f>IFERROR(M226&amp;"*"&amp;ROUND(S226*(N226/$AO226)/VLOOKUP(M226,职业!$A$3:$E$16,4,FALSE),0),"")</f>
        <v/>
      </c>
      <c r="AI226" t="str">
        <f>IFERROR(O226&amp;"*"&amp;ROUND(S226*(P226/$AO226)/VLOOKUP(O226,职业!$A$3:$E$16,4,FALSE),0),"")</f>
        <v/>
      </c>
      <c r="AK226" t="str">
        <f>IFERROR(T226&amp;"*"&amp;ROUND(X226*(U226/$AP226)/VLOOKUP(T226,商品!$A$4:$D$67,4,FALSE),0),"")</f>
        <v/>
      </c>
      <c r="AL226" t="str">
        <f>IFERROR(V226&amp;"*"&amp;ROUND(X226*(W226/$AP226)/VLOOKUP(V226,商品!$A$4:$D$67,4,FALSE),0),"")</f>
        <v/>
      </c>
      <c r="AN226">
        <f t="shared" si="29"/>
        <v>0</v>
      </c>
      <c r="AO226">
        <f t="shared" si="30"/>
        <v>0</v>
      </c>
      <c r="AP226">
        <f t="shared" si="31"/>
        <v>0</v>
      </c>
    </row>
    <row r="227" customHeight="1" spans="1:42">
      <c r="A227" s="18" t="s">
        <v>330</v>
      </c>
      <c r="C227" s="18">
        <v>4</v>
      </c>
      <c r="D227" s="1" t="s">
        <v>222</v>
      </c>
      <c r="E227" s="1" t="s">
        <v>226</v>
      </c>
      <c r="L227" s="1">
        <f>IFERROR(VLOOKUP($D227&amp;$C227,生产方式定位!$A$2:$E$38,2,FALSE)+VLOOKUP($E227&amp;$C227,生产方式定位!$F$3:$J$38,2,FALSE),0)</f>
        <v>5600</v>
      </c>
      <c r="S227" s="1">
        <f>IFERROR(VLOOKUP($D227&amp;$C227,生产方式定位!$A$2:$E$38,3,FALSE)+VLOOKUP($E227&amp;$C227,生产方式定位!$F$3:$J$38,3,FALSE),0)</f>
        <v>50</v>
      </c>
      <c r="X227" s="1">
        <f>IFERROR(VLOOKUP($D227&amp;$C227,生产方式定位!$A$2:$E$38,5,FALSE)+VLOOKUP($E227&amp;$C227,生产方式定位!$F$3:$J$38,5,FALSE),"错误")</f>
        <v>3335</v>
      </c>
      <c r="Y227" s="27" t="str">
        <f t="shared" si="24"/>
        <v/>
      </c>
      <c r="Z227" s="37" t="str">
        <f t="shared" si="25"/>
        <v/>
      </c>
      <c r="AA227" s="37" t="str">
        <f t="shared" si="26"/>
        <v/>
      </c>
      <c r="AB227" s="28">
        <f t="shared" si="27"/>
        <v>1.68</v>
      </c>
      <c r="AC227" s="37"/>
      <c r="AD227" s="38">
        <f t="shared" si="28"/>
        <v>4</v>
      </c>
      <c r="AE227" t="str">
        <f>IFERROR(F227&amp;"*"&amp;ROUND(L227*(G227/$AN227)/VLOOKUP(F227,商品!$A$4:$D$67,4,FALSE),0),"")</f>
        <v/>
      </c>
      <c r="AF227" t="str">
        <f>IFERROR(H227&amp;"*"&amp;ROUND(L227*(I227/$AN227)/VLOOKUP(H227,商品!$A$4:$D$67,4,FALSE),0),"")</f>
        <v/>
      </c>
      <c r="AG227" t="str">
        <f>IFERROR(J227&amp;"*"&amp;ROUND(L227*(K227/$AN227)/VLOOKUP(J227,商品!$A$4:$D$67,4,FALSE),0),"")</f>
        <v/>
      </c>
      <c r="AH227" t="str">
        <f>IFERROR(M227&amp;"*"&amp;ROUND(S227*(N227/$AO227)/VLOOKUP(M227,职业!$A$3:$E$16,4,FALSE),0),"")</f>
        <v/>
      </c>
      <c r="AI227" t="str">
        <f>IFERROR(O227&amp;"*"&amp;ROUND(S227*(P227/$AO227)/VLOOKUP(O227,职业!$A$3:$E$16,4,FALSE),0),"")</f>
        <v/>
      </c>
      <c r="AK227" t="str">
        <f>IFERROR(T227&amp;"*"&amp;ROUND(X227*(U227/$AP227)/VLOOKUP(T227,商品!$A$4:$D$67,4,FALSE),0),"")</f>
        <v/>
      </c>
      <c r="AL227" t="str">
        <f>IFERROR(V227&amp;"*"&amp;ROUND(X227*(W227/$AP227)/VLOOKUP(V227,商品!$A$4:$D$67,4,FALSE),0),"")</f>
        <v/>
      </c>
      <c r="AN227">
        <f t="shared" si="29"/>
        <v>0</v>
      </c>
      <c r="AO227">
        <f t="shared" si="30"/>
        <v>0</v>
      </c>
      <c r="AP227">
        <f t="shared" si="31"/>
        <v>0</v>
      </c>
    </row>
    <row r="228" customHeight="1" spans="1:42">
      <c r="A228" s="18" t="s">
        <v>330</v>
      </c>
      <c r="C228" s="18">
        <v>5</v>
      </c>
      <c r="D228" s="1" t="s">
        <v>222</v>
      </c>
      <c r="E228" s="1" t="s">
        <v>226</v>
      </c>
      <c r="L228" s="1">
        <f>IFERROR(VLOOKUP($D228&amp;$C228,生产方式定位!$A$2:$E$38,2,FALSE)+VLOOKUP($E228&amp;$C228,生产方式定位!$F$3:$J$38,2,FALSE),0)</f>
        <v>6800</v>
      </c>
      <c r="S228" s="1">
        <f>IFERROR(VLOOKUP($D228&amp;$C228,生产方式定位!$A$2:$E$38,3,FALSE)+VLOOKUP($E228&amp;$C228,生产方式定位!$F$3:$J$38,3,FALSE),0)</f>
        <v>-100</v>
      </c>
      <c r="X228" s="1">
        <f>IFERROR(VLOOKUP($D228&amp;$C228,生产方式定位!$A$2:$E$38,5,FALSE)+VLOOKUP($E228&amp;$C228,生产方式定位!$F$3:$J$38,5,FALSE),"错误")</f>
        <v>4190</v>
      </c>
      <c r="Y228" s="27" t="str">
        <f t="shared" si="24"/>
        <v/>
      </c>
      <c r="Z228" s="37" t="str">
        <f t="shared" si="25"/>
        <v/>
      </c>
      <c r="AA228" s="37" t="str">
        <f t="shared" si="26"/>
        <v/>
      </c>
      <c r="AB228" s="28">
        <f t="shared" si="27"/>
        <v>1.62</v>
      </c>
      <c r="AC228" s="37"/>
      <c r="AD228" s="38">
        <f t="shared" si="28"/>
        <v>5</v>
      </c>
      <c r="AE228" t="str">
        <f>IFERROR(F228&amp;"*"&amp;ROUND(L228*(G228/$AN228)/VLOOKUP(F228,商品!$A$4:$D$67,4,FALSE),0),"")</f>
        <v/>
      </c>
      <c r="AF228" t="str">
        <f>IFERROR(H228&amp;"*"&amp;ROUND(L228*(I228/$AN228)/VLOOKUP(H228,商品!$A$4:$D$67,4,FALSE),0),"")</f>
        <v/>
      </c>
      <c r="AG228" t="str">
        <f>IFERROR(J228&amp;"*"&amp;ROUND(L228*(K228/$AN228)/VLOOKUP(J228,商品!$A$4:$D$67,4,FALSE),0),"")</f>
        <v/>
      </c>
      <c r="AH228" t="str">
        <f>IFERROR(M228&amp;"*"&amp;ROUND(S228*(N228/$AO228)/VLOOKUP(M228,职业!$A$3:$E$16,4,FALSE),0),"")</f>
        <v/>
      </c>
      <c r="AI228" t="str">
        <f>IFERROR(O228&amp;"*"&amp;ROUND(S228*(P228/$AO228)/VLOOKUP(O228,职业!$A$3:$E$16,4,FALSE),0),"")</f>
        <v/>
      </c>
      <c r="AK228" t="str">
        <f>IFERROR(T228&amp;"*"&amp;ROUND(X228*(U228/$AP228)/VLOOKUP(T228,商品!$A$4:$D$67,4,FALSE),0),"")</f>
        <v/>
      </c>
      <c r="AL228" t="str">
        <f>IFERROR(V228&amp;"*"&amp;ROUND(X228*(W228/$AP228)/VLOOKUP(V228,商品!$A$4:$D$67,4,FALSE),0),"")</f>
        <v/>
      </c>
      <c r="AN228">
        <f t="shared" si="29"/>
        <v>0</v>
      </c>
      <c r="AO228">
        <f t="shared" si="30"/>
        <v>0</v>
      </c>
      <c r="AP228">
        <f t="shared" si="31"/>
        <v>0</v>
      </c>
    </row>
    <row r="229" customHeight="1" spans="1:42">
      <c r="A229" s="5" t="s">
        <v>330</v>
      </c>
      <c r="C229" s="5">
        <v>1</v>
      </c>
      <c r="D229" s="1" t="s">
        <v>222</v>
      </c>
      <c r="E229" s="1" t="s">
        <v>226</v>
      </c>
      <c r="L229" s="1">
        <f>IFERROR(VLOOKUP($D229&amp;$C229,生产方式定位!$A$2:$E$38,2,FALSE)+VLOOKUP($E229&amp;$C229,生产方式定位!$F$3:$J$38,2,FALSE),0)</f>
        <v>0</v>
      </c>
      <c r="S229" s="1">
        <f>IFERROR(VLOOKUP($D229&amp;$C229,生产方式定位!$A$2:$E$38,3,FALSE)+VLOOKUP($E229&amp;$C229,生产方式定位!$F$3:$J$38,3,FALSE),0)</f>
        <v>500</v>
      </c>
      <c r="X229" s="1">
        <f>IFERROR(VLOOKUP($D229&amp;$C229,生产方式定位!$A$2:$E$38,5,FALSE)+VLOOKUP($E229&amp;$C229,生产方式定位!$F$3:$J$38,5,FALSE),"错误")</f>
        <v>250</v>
      </c>
      <c r="Y229" s="27" t="str">
        <f t="shared" si="24"/>
        <v/>
      </c>
      <c r="Z229" s="37" t="str">
        <f t="shared" si="25"/>
        <v/>
      </c>
      <c r="AA229" s="37" t="str">
        <f t="shared" si="26"/>
        <v/>
      </c>
      <c r="AB229" s="28">
        <f t="shared" si="27"/>
        <v>0</v>
      </c>
      <c r="AC229" s="37"/>
      <c r="AD229" s="38">
        <f t="shared" si="28"/>
        <v>1</v>
      </c>
      <c r="AE229" t="str">
        <f>IFERROR(F229&amp;"*"&amp;ROUND(L229*(G229/$AN229)/VLOOKUP(F229,商品!$A$4:$D$67,4,FALSE),0),"")</f>
        <v/>
      </c>
      <c r="AF229" t="str">
        <f>IFERROR(H229&amp;"*"&amp;ROUND(L229*(I229/$AN229)/VLOOKUP(H229,商品!$A$4:$D$67,4,FALSE),0),"")</f>
        <v/>
      </c>
      <c r="AG229" t="str">
        <f>IFERROR(J229&amp;"*"&amp;ROUND(L229*(K229/$AN229)/VLOOKUP(J229,商品!$A$4:$D$67,4,FALSE),0),"")</f>
        <v/>
      </c>
      <c r="AH229" t="str">
        <f>IFERROR(M229&amp;"*"&amp;ROUND(S229*(N229/$AO229)/VLOOKUP(M229,职业!$A$3:$E$16,4,FALSE),0),"")</f>
        <v/>
      </c>
      <c r="AI229" t="str">
        <f>IFERROR(O229&amp;"*"&amp;ROUND(S229*(P229/$AO229)/VLOOKUP(O229,职业!$A$3:$E$16,4,FALSE),0),"")</f>
        <v/>
      </c>
      <c r="AK229" t="str">
        <f>IFERROR(T229&amp;"*"&amp;ROUND(X229*(U229/$AP229)/VLOOKUP(T229,商品!$A$4:$D$67,4,FALSE),0),"")</f>
        <v/>
      </c>
      <c r="AL229" t="str">
        <f>IFERROR(V229&amp;"*"&amp;ROUND(X229*(W229/$AP229)/VLOOKUP(V229,商品!$A$4:$D$67,4,FALSE),0),"")</f>
        <v/>
      </c>
      <c r="AN229">
        <f t="shared" si="29"/>
        <v>0</v>
      </c>
      <c r="AO229">
        <f t="shared" si="30"/>
        <v>0</v>
      </c>
      <c r="AP229">
        <f t="shared" si="31"/>
        <v>0</v>
      </c>
    </row>
    <row r="230" customHeight="1" spans="1:42">
      <c r="A230" s="5" t="s">
        <v>330</v>
      </c>
      <c r="C230" s="5">
        <v>2</v>
      </c>
      <c r="D230" s="1" t="s">
        <v>222</v>
      </c>
      <c r="E230" s="1" t="s">
        <v>226</v>
      </c>
      <c r="L230" s="1">
        <f>IFERROR(VLOOKUP($D230&amp;$C230,生产方式定位!$A$2:$E$38,2,FALSE)+VLOOKUP($E230&amp;$C230,生产方式定位!$F$3:$J$38,2,FALSE),0)</f>
        <v>3200</v>
      </c>
      <c r="S230" s="1">
        <f>IFERROR(VLOOKUP($D230&amp;$C230,生产方式定位!$A$2:$E$38,3,FALSE)+VLOOKUP($E230&amp;$C230,生产方式定位!$F$3:$J$38,3,FALSE),0)</f>
        <v>350</v>
      </c>
      <c r="X230" s="1">
        <f>IFERROR(VLOOKUP($D230&amp;$C230,生产方式定位!$A$2:$E$38,5,FALSE)+VLOOKUP($E230&amp;$C230,生产方式定位!$F$3:$J$38,5,FALSE),"错误")</f>
        <v>1865</v>
      </c>
      <c r="Y230" s="27" t="str">
        <f t="shared" si="24"/>
        <v/>
      </c>
      <c r="Z230" s="37" t="str">
        <f t="shared" si="25"/>
        <v/>
      </c>
      <c r="AA230" s="37" t="str">
        <f t="shared" si="26"/>
        <v/>
      </c>
      <c r="AB230" s="28">
        <f t="shared" si="27"/>
        <v>1.72</v>
      </c>
      <c r="AC230" s="37"/>
      <c r="AD230" s="38">
        <f t="shared" si="28"/>
        <v>2</v>
      </c>
      <c r="AE230" t="str">
        <f>IFERROR(F230&amp;"*"&amp;ROUND(L230*(G230/$AN230)/VLOOKUP(F230,商品!$A$4:$D$67,4,FALSE),0),"")</f>
        <v/>
      </c>
      <c r="AF230" t="str">
        <f>IFERROR(H230&amp;"*"&amp;ROUND(L230*(I230/$AN230)/VLOOKUP(H230,商品!$A$4:$D$67,4,FALSE),0),"")</f>
        <v/>
      </c>
      <c r="AG230" t="str">
        <f>IFERROR(J230&amp;"*"&amp;ROUND(L230*(K230/$AN230)/VLOOKUP(J230,商品!$A$4:$D$67,4,FALSE),0),"")</f>
        <v/>
      </c>
      <c r="AH230" t="str">
        <f>IFERROR(M230&amp;"*"&amp;ROUND(S230*(N230/$AO230)/VLOOKUP(M230,职业!$A$3:$E$16,4,FALSE),0),"")</f>
        <v/>
      </c>
      <c r="AI230" t="str">
        <f>IFERROR(O230&amp;"*"&amp;ROUND(S230*(P230/$AO230)/VLOOKUP(O230,职业!$A$3:$E$16,4,FALSE),0),"")</f>
        <v/>
      </c>
      <c r="AK230" t="str">
        <f>IFERROR(T230&amp;"*"&amp;ROUND(X230*(U230/$AP230)/VLOOKUP(T230,商品!$A$4:$D$67,4,FALSE),0),"")</f>
        <v/>
      </c>
      <c r="AL230" t="str">
        <f>IFERROR(V230&amp;"*"&amp;ROUND(X230*(W230/$AP230)/VLOOKUP(V230,商品!$A$4:$D$67,4,FALSE),0),"")</f>
        <v/>
      </c>
      <c r="AN230">
        <f t="shared" si="29"/>
        <v>0</v>
      </c>
      <c r="AO230">
        <f t="shared" si="30"/>
        <v>0</v>
      </c>
      <c r="AP230">
        <f t="shared" si="31"/>
        <v>0</v>
      </c>
    </row>
    <row r="231" customHeight="1" spans="1:42">
      <c r="A231" s="5" t="s">
        <v>330</v>
      </c>
      <c r="C231" s="5">
        <v>3</v>
      </c>
      <c r="D231" s="1" t="s">
        <v>222</v>
      </c>
      <c r="E231" s="1" t="s">
        <v>226</v>
      </c>
      <c r="L231" s="1">
        <f>IFERROR(VLOOKUP($D231&amp;$C231,生产方式定位!$A$2:$E$38,2,FALSE)+VLOOKUP($E231&amp;$C231,生产方式定位!$F$3:$J$38,2,FALSE),0)</f>
        <v>4400</v>
      </c>
      <c r="S231" s="1">
        <f>IFERROR(VLOOKUP($D231&amp;$C231,生产方式定位!$A$2:$E$38,3,FALSE)+VLOOKUP($E231&amp;$C231,生产方式定位!$F$3:$J$38,3,FALSE),0)</f>
        <v>200</v>
      </c>
      <c r="X231" s="1">
        <f>IFERROR(VLOOKUP($D231&amp;$C231,生产方式定位!$A$2:$E$38,5,FALSE)+VLOOKUP($E231&amp;$C231,生产方式定位!$F$3:$J$38,5,FALSE),"错误")</f>
        <v>2560</v>
      </c>
      <c r="Y231" s="27" t="str">
        <f t="shared" si="24"/>
        <v/>
      </c>
      <c r="Z231" s="37" t="str">
        <f t="shared" si="25"/>
        <v/>
      </c>
      <c r="AA231" s="37" t="str">
        <f t="shared" si="26"/>
        <v/>
      </c>
      <c r="AB231" s="28">
        <f t="shared" si="27"/>
        <v>1.72</v>
      </c>
      <c r="AC231" s="37"/>
      <c r="AD231" s="38">
        <f t="shared" si="28"/>
        <v>3</v>
      </c>
      <c r="AE231" t="str">
        <f>IFERROR(F231&amp;"*"&amp;ROUND(L231*(G231/$AN231)/VLOOKUP(F231,商品!$A$4:$D$67,4,FALSE),0),"")</f>
        <v/>
      </c>
      <c r="AF231" t="str">
        <f>IFERROR(H231&amp;"*"&amp;ROUND(L231*(I231/$AN231)/VLOOKUP(H231,商品!$A$4:$D$67,4,FALSE),0),"")</f>
        <v/>
      </c>
      <c r="AG231" t="str">
        <f>IFERROR(J231&amp;"*"&amp;ROUND(L231*(K231/$AN231)/VLOOKUP(J231,商品!$A$4:$D$67,4,FALSE),0),"")</f>
        <v/>
      </c>
      <c r="AH231" t="str">
        <f>IFERROR(M231&amp;"*"&amp;ROUND(S231*(N231/$AO231)/VLOOKUP(M231,职业!$A$3:$E$16,4,FALSE),0),"")</f>
        <v/>
      </c>
      <c r="AI231" t="str">
        <f>IFERROR(O231&amp;"*"&amp;ROUND(S231*(P231/$AO231)/VLOOKUP(O231,职业!$A$3:$E$16,4,FALSE),0),"")</f>
        <v/>
      </c>
      <c r="AK231" t="str">
        <f>IFERROR(T231&amp;"*"&amp;ROUND(X231*(U231/$AP231)/VLOOKUP(T231,商品!$A$4:$D$67,4,FALSE),0),"")</f>
        <v/>
      </c>
      <c r="AL231" t="str">
        <f>IFERROR(V231&amp;"*"&amp;ROUND(X231*(W231/$AP231)/VLOOKUP(V231,商品!$A$4:$D$67,4,FALSE),0),"")</f>
        <v/>
      </c>
      <c r="AN231">
        <f t="shared" si="29"/>
        <v>0</v>
      </c>
      <c r="AO231">
        <f t="shared" si="30"/>
        <v>0</v>
      </c>
      <c r="AP231">
        <f t="shared" si="31"/>
        <v>0</v>
      </c>
    </row>
    <row r="232" customHeight="1" spans="1:42">
      <c r="A232" s="5" t="s">
        <v>330</v>
      </c>
      <c r="C232" s="5">
        <v>4</v>
      </c>
      <c r="D232" s="1" t="s">
        <v>222</v>
      </c>
      <c r="E232" s="1" t="s">
        <v>226</v>
      </c>
      <c r="L232" s="1">
        <f>IFERROR(VLOOKUP($D232&amp;$C232,生产方式定位!$A$2:$E$38,2,FALSE)+VLOOKUP($E232&amp;$C232,生产方式定位!$F$3:$J$38,2,FALSE),0)</f>
        <v>5600</v>
      </c>
      <c r="S232" s="1">
        <f>IFERROR(VLOOKUP($D232&amp;$C232,生产方式定位!$A$2:$E$38,3,FALSE)+VLOOKUP($E232&amp;$C232,生产方式定位!$F$3:$J$38,3,FALSE),0)</f>
        <v>50</v>
      </c>
      <c r="X232" s="1">
        <f>IFERROR(VLOOKUP($D232&amp;$C232,生产方式定位!$A$2:$E$38,5,FALSE)+VLOOKUP($E232&amp;$C232,生产方式定位!$F$3:$J$38,5,FALSE),"错误")</f>
        <v>3335</v>
      </c>
      <c r="Y232" s="27" t="str">
        <f t="shared" si="24"/>
        <v/>
      </c>
      <c r="Z232" s="37" t="str">
        <f t="shared" si="25"/>
        <v/>
      </c>
      <c r="AA232" s="37" t="str">
        <f t="shared" si="26"/>
        <v/>
      </c>
      <c r="AB232" s="28">
        <f t="shared" si="27"/>
        <v>1.68</v>
      </c>
      <c r="AC232" s="37"/>
      <c r="AD232" s="38">
        <f t="shared" si="28"/>
        <v>4</v>
      </c>
      <c r="AE232" t="str">
        <f>IFERROR(F232&amp;"*"&amp;ROUND(L232*(G232/$AN232)/VLOOKUP(F232,商品!$A$4:$D$67,4,FALSE),0),"")</f>
        <v/>
      </c>
      <c r="AF232" t="str">
        <f>IFERROR(H232&amp;"*"&amp;ROUND(L232*(I232/$AN232)/VLOOKUP(H232,商品!$A$4:$D$67,4,FALSE),0),"")</f>
        <v/>
      </c>
      <c r="AG232" t="str">
        <f>IFERROR(J232&amp;"*"&amp;ROUND(L232*(K232/$AN232)/VLOOKUP(J232,商品!$A$4:$D$67,4,FALSE),0),"")</f>
        <v/>
      </c>
      <c r="AH232" t="str">
        <f>IFERROR(M232&amp;"*"&amp;ROUND(S232*(N232/$AO232)/VLOOKUP(M232,职业!$A$3:$E$16,4,FALSE),0),"")</f>
        <v/>
      </c>
      <c r="AI232" t="str">
        <f>IFERROR(O232&amp;"*"&amp;ROUND(S232*(P232/$AO232)/VLOOKUP(O232,职业!$A$3:$E$16,4,FALSE),0),"")</f>
        <v/>
      </c>
      <c r="AK232" t="str">
        <f>IFERROR(T232&amp;"*"&amp;ROUND(X232*(U232/$AP232)/VLOOKUP(T232,商品!$A$4:$D$67,4,FALSE),0),"")</f>
        <v/>
      </c>
      <c r="AL232" t="str">
        <f>IFERROR(V232&amp;"*"&amp;ROUND(X232*(W232/$AP232)/VLOOKUP(V232,商品!$A$4:$D$67,4,FALSE),0),"")</f>
        <v/>
      </c>
      <c r="AN232">
        <f t="shared" si="29"/>
        <v>0</v>
      </c>
      <c r="AO232">
        <f t="shared" si="30"/>
        <v>0</v>
      </c>
      <c r="AP232">
        <f t="shared" si="31"/>
        <v>0</v>
      </c>
    </row>
    <row r="233" customHeight="1" spans="1:42">
      <c r="A233" s="5" t="s">
        <v>330</v>
      </c>
      <c r="C233" s="5">
        <v>5</v>
      </c>
      <c r="D233" s="1" t="s">
        <v>222</v>
      </c>
      <c r="E233" s="1" t="s">
        <v>226</v>
      </c>
      <c r="L233" s="1">
        <f>IFERROR(VLOOKUP($D233&amp;$C233,生产方式定位!$A$2:$E$38,2,FALSE)+VLOOKUP($E233&amp;$C233,生产方式定位!$F$3:$J$38,2,FALSE),0)</f>
        <v>6800</v>
      </c>
      <c r="S233" s="1">
        <f>IFERROR(VLOOKUP($D233&amp;$C233,生产方式定位!$A$2:$E$38,3,FALSE)+VLOOKUP($E233&amp;$C233,生产方式定位!$F$3:$J$38,3,FALSE),0)</f>
        <v>-100</v>
      </c>
      <c r="X233" s="1">
        <f>IFERROR(VLOOKUP($D233&amp;$C233,生产方式定位!$A$2:$E$38,5,FALSE)+VLOOKUP($E233&amp;$C233,生产方式定位!$F$3:$J$38,5,FALSE),"错误")</f>
        <v>4190</v>
      </c>
      <c r="Y233" s="27" t="str">
        <f t="shared" si="24"/>
        <v/>
      </c>
      <c r="Z233" s="37" t="str">
        <f t="shared" si="25"/>
        <v/>
      </c>
      <c r="AA233" s="37" t="str">
        <f t="shared" si="26"/>
        <v/>
      </c>
      <c r="AB233" s="28">
        <f t="shared" si="27"/>
        <v>1.62</v>
      </c>
      <c r="AC233" s="37"/>
      <c r="AD233" s="38">
        <f t="shared" si="28"/>
        <v>5</v>
      </c>
      <c r="AE233" t="str">
        <f>IFERROR(F233&amp;"*"&amp;ROUND(L233*(G233/$AN233)/VLOOKUP(F233,商品!$A$4:$D$67,4,FALSE),0),"")</f>
        <v/>
      </c>
      <c r="AF233" t="str">
        <f>IFERROR(H233&amp;"*"&amp;ROUND(L233*(I233/$AN233)/VLOOKUP(H233,商品!$A$4:$D$67,4,FALSE),0),"")</f>
        <v/>
      </c>
      <c r="AG233" t="str">
        <f>IFERROR(J233&amp;"*"&amp;ROUND(L233*(K233/$AN233)/VLOOKUP(J233,商品!$A$4:$D$67,4,FALSE),0),"")</f>
        <v/>
      </c>
      <c r="AH233" t="str">
        <f>IFERROR(M233&amp;"*"&amp;ROUND(S233*(N233/$AO233)/VLOOKUP(M233,职业!$A$3:$E$16,4,FALSE),0),"")</f>
        <v/>
      </c>
      <c r="AI233" t="str">
        <f>IFERROR(O233&amp;"*"&amp;ROUND(S233*(P233/$AO233)/VLOOKUP(O233,职业!$A$3:$E$16,4,FALSE),0),"")</f>
        <v/>
      </c>
      <c r="AK233" t="str">
        <f>IFERROR(T233&amp;"*"&amp;ROUND(X233*(U233/$AP233)/VLOOKUP(T233,商品!$A$4:$D$67,4,FALSE),0),"")</f>
        <v/>
      </c>
      <c r="AL233" t="str">
        <f>IFERROR(V233&amp;"*"&amp;ROUND(X233*(W233/$AP233)/VLOOKUP(V233,商品!$A$4:$D$67,4,FALSE),0),"")</f>
        <v/>
      </c>
      <c r="AN233">
        <f t="shared" si="29"/>
        <v>0</v>
      </c>
      <c r="AO233">
        <f t="shared" si="30"/>
        <v>0</v>
      </c>
      <c r="AP233">
        <f t="shared" si="31"/>
        <v>0</v>
      </c>
    </row>
    <row r="234" customHeight="1" spans="1:42">
      <c r="A234" s="18" t="s">
        <v>331</v>
      </c>
      <c r="C234" s="18">
        <v>1</v>
      </c>
      <c r="D234" s="1" t="s">
        <v>293</v>
      </c>
      <c r="E234" s="1" t="s">
        <v>227</v>
      </c>
      <c r="L234" s="1">
        <f>IFERROR(VLOOKUP($D234&amp;$C234,生产方式定位!$A$2:$E$38,2,FALSE)+VLOOKUP($E234&amp;$C234,生产方式定位!$F$3:$J$38,2,FALSE),0)</f>
        <v>0</v>
      </c>
      <c r="S234" s="1">
        <f>IFERROR(VLOOKUP($D234&amp;$C234,生产方式定位!$A$2:$E$38,3,FALSE)+VLOOKUP($E234&amp;$C234,生产方式定位!$F$3:$J$38,3,FALSE),0)</f>
        <v>0</v>
      </c>
      <c r="X234" s="1">
        <f>IFERROR(VLOOKUP($D234&amp;$C234,生产方式定位!$A$2:$E$38,5,FALSE)+VLOOKUP($E234&amp;$C234,生产方式定位!$F$3:$J$38,5,FALSE),"错误")</f>
        <v>0</v>
      </c>
      <c r="Y234" s="27" t="str">
        <f t="shared" si="24"/>
        <v/>
      </c>
      <c r="Z234" s="37" t="str">
        <f t="shared" si="25"/>
        <v/>
      </c>
      <c r="AA234" s="37" t="str">
        <f t="shared" si="26"/>
        <v/>
      </c>
      <c r="AB234" s="28" t="str">
        <f t="shared" si="27"/>
        <v/>
      </c>
      <c r="AC234" s="37"/>
      <c r="AD234" s="38">
        <f t="shared" si="28"/>
        <v>1</v>
      </c>
      <c r="AE234" t="str">
        <f>IFERROR(F234&amp;"*"&amp;ROUND(L234*(G234/$AN234)/VLOOKUP(F234,商品!$A$4:$D$67,4,FALSE),0),"")</f>
        <v/>
      </c>
      <c r="AF234" t="str">
        <f>IFERROR(H234&amp;"*"&amp;ROUND(L234*(I234/$AN234)/VLOOKUP(H234,商品!$A$4:$D$67,4,FALSE),0),"")</f>
        <v/>
      </c>
      <c r="AG234" t="str">
        <f>IFERROR(J234&amp;"*"&amp;ROUND(L234*(K234/$AN234)/VLOOKUP(J234,商品!$A$4:$D$67,4,FALSE),0),"")</f>
        <v/>
      </c>
      <c r="AH234" t="str">
        <f>IFERROR(M234&amp;"*"&amp;ROUND(S234*(N234/$AO234)/VLOOKUP(M234,职业!$A$3:$E$16,4,FALSE),0),"")</f>
        <v/>
      </c>
      <c r="AI234" t="str">
        <f>IFERROR(O234&amp;"*"&amp;ROUND(S234*(P234/$AO234)/VLOOKUP(O234,职业!$A$3:$E$16,4,FALSE),0),"")</f>
        <v/>
      </c>
      <c r="AK234" t="str">
        <f>IFERROR(T234&amp;"*"&amp;ROUND(X234*(U234/$AP234)/VLOOKUP(T234,商品!$A$4:$D$67,4,FALSE),0),"")</f>
        <v/>
      </c>
      <c r="AL234" t="str">
        <f>IFERROR(V234&amp;"*"&amp;ROUND(X234*(W234/$AP234)/VLOOKUP(V234,商品!$A$4:$D$67,4,FALSE),0),"")</f>
        <v/>
      </c>
      <c r="AN234">
        <f t="shared" si="29"/>
        <v>0</v>
      </c>
      <c r="AO234">
        <f t="shared" si="30"/>
        <v>0</v>
      </c>
      <c r="AP234">
        <f t="shared" si="31"/>
        <v>0</v>
      </c>
    </row>
    <row r="235" customHeight="1" spans="1:42">
      <c r="A235" s="18" t="s">
        <v>331</v>
      </c>
      <c r="C235" s="18">
        <v>2</v>
      </c>
      <c r="D235" s="1" t="s">
        <v>293</v>
      </c>
      <c r="E235" s="1" t="s">
        <v>227</v>
      </c>
      <c r="L235" s="1">
        <f>IFERROR(VLOOKUP($D235&amp;$C235,生产方式定位!$A$2:$E$38,2,FALSE)+VLOOKUP($E235&amp;$C235,生产方式定位!$F$3:$J$38,2,FALSE),0)</f>
        <v>0</v>
      </c>
      <c r="S235" s="1">
        <f>IFERROR(VLOOKUP($D235&amp;$C235,生产方式定位!$A$2:$E$38,3,FALSE)+VLOOKUP($E235&amp;$C235,生产方式定位!$F$3:$J$38,3,FALSE),0)</f>
        <v>0</v>
      </c>
      <c r="X235" s="1">
        <f>IFERROR(VLOOKUP($D235&amp;$C235,生产方式定位!$A$2:$E$38,5,FALSE)+VLOOKUP($E235&amp;$C235,生产方式定位!$F$3:$J$38,5,FALSE),"错误")</f>
        <v>0</v>
      </c>
      <c r="Y235" s="27" t="str">
        <f t="shared" si="24"/>
        <v/>
      </c>
      <c r="Z235" s="37" t="str">
        <f t="shared" si="25"/>
        <v/>
      </c>
      <c r="AA235" s="37" t="str">
        <f t="shared" si="26"/>
        <v/>
      </c>
      <c r="AB235" s="28" t="str">
        <f t="shared" si="27"/>
        <v/>
      </c>
      <c r="AC235" s="37"/>
      <c r="AD235" s="38">
        <f t="shared" si="28"/>
        <v>2</v>
      </c>
      <c r="AE235" t="str">
        <f>IFERROR(F235&amp;"*"&amp;ROUND(L235*(G235/$AN235)/VLOOKUP(F235,商品!$A$4:$D$67,4,FALSE),0),"")</f>
        <v/>
      </c>
      <c r="AF235" t="str">
        <f>IFERROR(H235&amp;"*"&amp;ROUND(L235*(I235/$AN235)/VLOOKUP(H235,商品!$A$4:$D$67,4,FALSE),0),"")</f>
        <v/>
      </c>
      <c r="AG235" t="str">
        <f>IFERROR(J235&amp;"*"&amp;ROUND(L235*(K235/$AN235)/VLOOKUP(J235,商品!$A$4:$D$67,4,FALSE),0),"")</f>
        <v/>
      </c>
      <c r="AH235" t="str">
        <f>IFERROR(M235&amp;"*"&amp;ROUND(S235*(N235/$AO235)/VLOOKUP(M235,职业!$A$3:$E$16,4,FALSE),0),"")</f>
        <v/>
      </c>
      <c r="AI235" t="str">
        <f>IFERROR(O235&amp;"*"&amp;ROUND(S235*(P235/$AO235)/VLOOKUP(O235,职业!$A$3:$E$16,4,FALSE),0),"")</f>
        <v/>
      </c>
      <c r="AK235" t="str">
        <f>IFERROR(T235&amp;"*"&amp;ROUND(X235*(U235/$AP235)/VLOOKUP(T235,商品!$A$4:$D$67,4,FALSE),0),"")</f>
        <v/>
      </c>
      <c r="AL235" t="str">
        <f>IFERROR(V235&amp;"*"&amp;ROUND(X235*(W235/$AP235)/VLOOKUP(V235,商品!$A$4:$D$67,4,FALSE),0),"")</f>
        <v/>
      </c>
      <c r="AN235">
        <f t="shared" si="29"/>
        <v>0</v>
      </c>
      <c r="AO235">
        <f t="shared" si="30"/>
        <v>0</v>
      </c>
      <c r="AP235">
        <f t="shared" si="31"/>
        <v>0</v>
      </c>
    </row>
    <row r="236" customHeight="1" spans="1:42">
      <c r="A236" s="18" t="s">
        <v>331</v>
      </c>
      <c r="C236" s="18">
        <v>3</v>
      </c>
      <c r="D236" s="1" t="s">
        <v>293</v>
      </c>
      <c r="E236" s="1" t="s">
        <v>227</v>
      </c>
      <c r="L236" s="1">
        <f>IFERROR(VLOOKUP($D236&amp;$C236,生产方式定位!$A$2:$E$38,2,FALSE)+VLOOKUP($E236&amp;$C236,生产方式定位!$F$3:$J$38,2,FALSE),0)</f>
        <v>0</v>
      </c>
      <c r="S236" s="1">
        <f>IFERROR(VLOOKUP($D236&amp;$C236,生产方式定位!$A$2:$E$38,3,FALSE)+VLOOKUP($E236&amp;$C236,生产方式定位!$F$3:$J$38,3,FALSE),0)</f>
        <v>0</v>
      </c>
      <c r="X236" s="1">
        <f>IFERROR(VLOOKUP($D236&amp;$C236,生产方式定位!$A$2:$E$38,5,FALSE)+VLOOKUP($E236&amp;$C236,生产方式定位!$F$3:$J$38,5,FALSE),"错误")</f>
        <v>0</v>
      </c>
      <c r="Y236" s="27" t="str">
        <f t="shared" si="24"/>
        <v/>
      </c>
      <c r="Z236" s="37" t="str">
        <f t="shared" si="25"/>
        <v/>
      </c>
      <c r="AA236" s="37" t="str">
        <f t="shared" si="26"/>
        <v/>
      </c>
      <c r="AB236" s="28" t="str">
        <f t="shared" si="27"/>
        <v/>
      </c>
      <c r="AC236" s="37"/>
      <c r="AD236" s="38">
        <f t="shared" si="28"/>
        <v>3</v>
      </c>
      <c r="AE236" t="str">
        <f>IFERROR(F236&amp;"*"&amp;ROUND(L236*(G236/$AN236)/VLOOKUP(F236,商品!$A$4:$D$67,4,FALSE),0),"")</f>
        <v/>
      </c>
      <c r="AF236" t="str">
        <f>IFERROR(H236&amp;"*"&amp;ROUND(L236*(I236/$AN236)/VLOOKUP(H236,商品!$A$4:$D$67,4,FALSE),0),"")</f>
        <v/>
      </c>
      <c r="AG236" t="str">
        <f>IFERROR(J236&amp;"*"&amp;ROUND(L236*(K236/$AN236)/VLOOKUP(J236,商品!$A$4:$D$67,4,FALSE),0),"")</f>
        <v/>
      </c>
      <c r="AH236" t="str">
        <f>IFERROR(M236&amp;"*"&amp;ROUND(S236*(N236/$AO236)/VLOOKUP(M236,职业!$A$3:$E$16,4,FALSE),0),"")</f>
        <v/>
      </c>
      <c r="AI236" t="str">
        <f>IFERROR(O236&amp;"*"&amp;ROUND(S236*(P236/$AO236)/VLOOKUP(O236,职业!$A$3:$E$16,4,FALSE),0),"")</f>
        <v/>
      </c>
      <c r="AK236" t="str">
        <f>IFERROR(T236&amp;"*"&amp;ROUND(X236*(U236/$AP236)/VLOOKUP(T236,商品!$A$4:$D$67,4,FALSE),0),"")</f>
        <v/>
      </c>
      <c r="AL236" t="str">
        <f>IFERROR(V236&amp;"*"&amp;ROUND(X236*(W236/$AP236)/VLOOKUP(V236,商品!$A$4:$D$67,4,FALSE),0),"")</f>
        <v/>
      </c>
      <c r="AN236">
        <f t="shared" si="29"/>
        <v>0</v>
      </c>
      <c r="AO236">
        <f t="shared" si="30"/>
        <v>0</v>
      </c>
      <c r="AP236">
        <f t="shared" si="31"/>
        <v>0</v>
      </c>
    </row>
    <row r="237" customHeight="1" spans="1:42">
      <c r="A237" s="18" t="s">
        <v>331</v>
      </c>
      <c r="C237" s="18">
        <v>4</v>
      </c>
      <c r="D237" s="1" t="s">
        <v>293</v>
      </c>
      <c r="E237" s="1" t="s">
        <v>227</v>
      </c>
      <c r="L237" s="1">
        <f>IFERROR(VLOOKUP($D237&amp;$C237,生产方式定位!$A$2:$E$38,2,FALSE)+VLOOKUP($E237&amp;$C237,生产方式定位!$F$3:$J$38,2,FALSE),0)</f>
        <v>0</v>
      </c>
      <c r="S237" s="1">
        <f>IFERROR(VLOOKUP($D237&amp;$C237,生产方式定位!$A$2:$E$38,3,FALSE)+VLOOKUP($E237&amp;$C237,生产方式定位!$F$3:$J$38,3,FALSE),0)</f>
        <v>0</v>
      </c>
      <c r="X237" s="1">
        <f>IFERROR(VLOOKUP($D237&amp;$C237,生产方式定位!$A$2:$E$38,5,FALSE)+VLOOKUP($E237&amp;$C237,生产方式定位!$F$3:$J$38,5,FALSE),"错误")</f>
        <v>0</v>
      </c>
      <c r="Y237" s="27" t="str">
        <f t="shared" si="24"/>
        <v/>
      </c>
      <c r="Z237" s="37" t="str">
        <f t="shared" si="25"/>
        <v/>
      </c>
      <c r="AA237" s="37" t="str">
        <f t="shared" si="26"/>
        <v/>
      </c>
      <c r="AB237" s="28" t="str">
        <f t="shared" si="27"/>
        <v/>
      </c>
      <c r="AC237" s="37"/>
      <c r="AD237" s="38">
        <f t="shared" si="28"/>
        <v>4</v>
      </c>
      <c r="AE237" t="str">
        <f>IFERROR(F237&amp;"*"&amp;ROUND(L237*(G237/$AN237)/VLOOKUP(F237,商品!$A$4:$D$67,4,FALSE),0),"")</f>
        <v/>
      </c>
      <c r="AF237" t="str">
        <f>IFERROR(H237&amp;"*"&amp;ROUND(L237*(I237/$AN237)/VLOOKUP(H237,商品!$A$4:$D$67,4,FALSE),0),"")</f>
        <v/>
      </c>
      <c r="AG237" t="str">
        <f>IFERROR(J237&amp;"*"&amp;ROUND(L237*(K237/$AN237)/VLOOKUP(J237,商品!$A$4:$D$67,4,FALSE),0),"")</f>
        <v/>
      </c>
      <c r="AH237" t="str">
        <f>IFERROR(M237&amp;"*"&amp;ROUND(S237*(N237/$AO237)/VLOOKUP(M237,职业!$A$3:$E$16,4,FALSE),0),"")</f>
        <v/>
      </c>
      <c r="AI237" t="str">
        <f>IFERROR(O237&amp;"*"&amp;ROUND(S237*(P237/$AO237)/VLOOKUP(O237,职业!$A$3:$E$16,4,FALSE),0),"")</f>
        <v/>
      </c>
      <c r="AK237" t="str">
        <f>IFERROR(T237&amp;"*"&amp;ROUND(X237*(U237/$AP237)/VLOOKUP(T237,商品!$A$4:$D$67,4,FALSE),0),"")</f>
        <v/>
      </c>
      <c r="AL237" t="str">
        <f>IFERROR(V237&amp;"*"&amp;ROUND(X237*(W237/$AP237)/VLOOKUP(V237,商品!$A$4:$D$67,4,FALSE),0),"")</f>
        <v/>
      </c>
      <c r="AN237">
        <f t="shared" si="29"/>
        <v>0</v>
      </c>
      <c r="AO237">
        <f t="shared" si="30"/>
        <v>0</v>
      </c>
      <c r="AP237">
        <f t="shared" si="31"/>
        <v>0</v>
      </c>
    </row>
    <row r="238" customHeight="1" spans="1:42">
      <c r="A238" s="18" t="s">
        <v>331</v>
      </c>
      <c r="C238" s="18">
        <v>5</v>
      </c>
      <c r="D238" s="1" t="s">
        <v>293</v>
      </c>
      <c r="E238" s="1" t="s">
        <v>227</v>
      </c>
      <c r="L238" s="1">
        <f>IFERROR(VLOOKUP($D238&amp;$C238,生产方式定位!$A$2:$E$38,2,FALSE)+VLOOKUP($E238&amp;$C238,生产方式定位!$F$3:$J$38,2,FALSE),0)</f>
        <v>0</v>
      </c>
      <c r="S238" s="1">
        <f>IFERROR(VLOOKUP($D238&amp;$C238,生产方式定位!$A$2:$E$38,3,FALSE)+VLOOKUP($E238&amp;$C238,生产方式定位!$F$3:$J$38,3,FALSE),0)</f>
        <v>0</v>
      </c>
      <c r="X238" s="1">
        <f>IFERROR(VLOOKUP($D238&amp;$C238,生产方式定位!$A$2:$E$38,5,FALSE)+VLOOKUP($E238&amp;$C238,生产方式定位!$F$3:$J$38,5,FALSE),"错误")</f>
        <v>0</v>
      </c>
      <c r="Y238" s="27" t="str">
        <f t="shared" si="24"/>
        <v/>
      </c>
      <c r="Z238" s="37" t="str">
        <f t="shared" si="25"/>
        <v/>
      </c>
      <c r="AA238" s="37" t="str">
        <f t="shared" si="26"/>
        <v/>
      </c>
      <c r="AB238" s="28" t="str">
        <f t="shared" si="27"/>
        <v/>
      </c>
      <c r="AC238" s="37"/>
      <c r="AD238" s="38">
        <f t="shared" si="28"/>
        <v>5</v>
      </c>
      <c r="AE238" t="str">
        <f>IFERROR(F238&amp;"*"&amp;ROUND(L238*(G238/$AN238)/VLOOKUP(F238,商品!$A$4:$D$67,4,FALSE),0),"")</f>
        <v/>
      </c>
      <c r="AF238" t="str">
        <f>IFERROR(H238&amp;"*"&amp;ROUND(L238*(I238/$AN238)/VLOOKUP(H238,商品!$A$4:$D$67,4,FALSE),0),"")</f>
        <v/>
      </c>
      <c r="AG238" t="str">
        <f>IFERROR(J238&amp;"*"&amp;ROUND(L238*(K238/$AN238)/VLOOKUP(J238,商品!$A$4:$D$67,4,FALSE),0),"")</f>
        <v/>
      </c>
      <c r="AH238" t="str">
        <f>IFERROR(M238&amp;"*"&amp;ROUND(S238*(N238/$AO238)/VLOOKUP(M238,职业!$A$3:$E$16,4,FALSE),0),"")</f>
        <v/>
      </c>
      <c r="AI238" t="str">
        <f>IFERROR(O238&amp;"*"&amp;ROUND(S238*(P238/$AO238)/VLOOKUP(O238,职业!$A$3:$E$16,4,FALSE),0),"")</f>
        <v/>
      </c>
      <c r="AK238" t="str">
        <f>IFERROR(T238&amp;"*"&amp;ROUND(X238*(U238/$AP238)/VLOOKUP(T238,商品!$A$4:$D$67,4,FALSE),0),"")</f>
        <v/>
      </c>
      <c r="AL238" t="str">
        <f>IFERROR(V238&amp;"*"&amp;ROUND(X238*(W238/$AP238)/VLOOKUP(V238,商品!$A$4:$D$67,4,FALSE),0),"")</f>
        <v/>
      </c>
      <c r="AN238">
        <f t="shared" si="29"/>
        <v>0</v>
      </c>
      <c r="AO238">
        <f t="shared" si="30"/>
        <v>0</v>
      </c>
      <c r="AP238">
        <f t="shared" si="31"/>
        <v>0</v>
      </c>
    </row>
    <row r="239" customHeight="1" spans="1:42">
      <c r="A239" s="18" t="s">
        <v>331</v>
      </c>
      <c r="C239" s="18">
        <v>6</v>
      </c>
      <c r="D239" s="1" t="s">
        <v>293</v>
      </c>
      <c r="E239" s="1" t="s">
        <v>227</v>
      </c>
      <c r="L239" s="1">
        <f>IFERROR(VLOOKUP($D239&amp;$C239,生产方式定位!$A$2:$E$38,2,FALSE)+VLOOKUP($E239&amp;$C239,生产方式定位!$F$3:$J$38,2,FALSE),0)</f>
        <v>0</v>
      </c>
      <c r="S239" s="1">
        <f>IFERROR(VLOOKUP($D239&amp;$C239,生产方式定位!$A$2:$E$38,3,FALSE)+VLOOKUP($E239&amp;$C239,生产方式定位!$F$3:$J$38,3,FALSE),0)</f>
        <v>0</v>
      </c>
      <c r="X239" s="1">
        <f>IFERROR(VLOOKUP($D239&amp;$C239,生产方式定位!$A$2:$E$38,5,FALSE)+VLOOKUP($E239&amp;$C239,生产方式定位!$F$3:$J$38,5,FALSE),"错误")</f>
        <v>0</v>
      </c>
      <c r="Y239" s="27" t="str">
        <f t="shared" si="24"/>
        <v/>
      </c>
      <c r="Z239" s="37" t="str">
        <f t="shared" si="25"/>
        <v/>
      </c>
      <c r="AA239" s="37" t="str">
        <f t="shared" si="26"/>
        <v/>
      </c>
      <c r="AB239" s="28" t="str">
        <f t="shared" si="27"/>
        <v/>
      </c>
      <c r="AC239" s="37"/>
      <c r="AD239" s="38">
        <f t="shared" si="28"/>
        <v>6</v>
      </c>
      <c r="AE239" t="str">
        <f>IFERROR(F239&amp;"*"&amp;ROUND(L239*(G239/$AN239)/VLOOKUP(F239,商品!$A$4:$D$67,4,FALSE),0),"")</f>
        <v/>
      </c>
      <c r="AF239" t="str">
        <f>IFERROR(H239&amp;"*"&amp;ROUND(L239*(I239/$AN239)/VLOOKUP(H239,商品!$A$4:$D$67,4,FALSE),0),"")</f>
        <v/>
      </c>
      <c r="AG239" t="str">
        <f>IFERROR(J239&amp;"*"&amp;ROUND(L239*(K239/$AN239)/VLOOKUP(J239,商品!$A$4:$D$67,4,FALSE),0),"")</f>
        <v/>
      </c>
      <c r="AH239" t="str">
        <f>IFERROR(M239&amp;"*"&amp;ROUND(S239*(N239/$AO239)/VLOOKUP(M239,职业!$A$3:$E$16,4,FALSE),0),"")</f>
        <v/>
      </c>
      <c r="AI239" t="str">
        <f>IFERROR(O239&amp;"*"&amp;ROUND(S239*(P239/$AO239)/VLOOKUP(O239,职业!$A$3:$E$16,4,FALSE),0),"")</f>
        <v/>
      </c>
      <c r="AK239" t="str">
        <f>IFERROR(T239&amp;"*"&amp;ROUND(X239*(U239/$AP239)/VLOOKUP(T239,商品!$A$4:$D$67,4,FALSE),0),"")</f>
        <v/>
      </c>
      <c r="AL239" t="str">
        <f>IFERROR(V239&amp;"*"&amp;ROUND(X239*(W239/$AP239)/VLOOKUP(V239,商品!$A$4:$D$67,4,FALSE),0),"")</f>
        <v/>
      </c>
      <c r="AN239">
        <f t="shared" si="29"/>
        <v>0</v>
      </c>
      <c r="AO239">
        <f t="shared" si="30"/>
        <v>0</v>
      </c>
      <c r="AP239">
        <f t="shared" si="31"/>
        <v>0</v>
      </c>
    </row>
    <row r="240" customHeight="1" spans="1:42">
      <c r="A240" s="18" t="s">
        <v>331</v>
      </c>
      <c r="C240" s="18">
        <v>7</v>
      </c>
      <c r="D240" s="1" t="s">
        <v>293</v>
      </c>
      <c r="E240" s="1" t="s">
        <v>227</v>
      </c>
      <c r="L240" s="1">
        <f>IFERROR(VLOOKUP($D240&amp;$C240,生产方式定位!$A$2:$E$38,2,FALSE)+VLOOKUP($E240&amp;$C240,生产方式定位!$F$3:$J$38,2,FALSE),0)</f>
        <v>0</v>
      </c>
      <c r="S240" s="1">
        <f>IFERROR(VLOOKUP($D240&amp;$C240,生产方式定位!$A$2:$E$38,3,FALSE)+VLOOKUP($E240&amp;$C240,生产方式定位!$F$3:$J$38,3,FALSE),0)</f>
        <v>0</v>
      </c>
      <c r="X240" s="1">
        <f>IFERROR(VLOOKUP($D240&amp;$C240,生产方式定位!$A$2:$E$38,5,FALSE)+VLOOKUP($E240&amp;$C240,生产方式定位!$F$3:$J$38,5,FALSE),"错误")</f>
        <v>0</v>
      </c>
      <c r="Y240" s="27" t="str">
        <f t="shared" si="24"/>
        <v/>
      </c>
      <c r="Z240" s="37" t="str">
        <f t="shared" si="25"/>
        <v/>
      </c>
      <c r="AA240" s="37" t="str">
        <f t="shared" si="26"/>
        <v/>
      </c>
      <c r="AB240" s="28" t="str">
        <f t="shared" si="27"/>
        <v/>
      </c>
      <c r="AC240" s="37"/>
      <c r="AD240" s="38">
        <f t="shared" si="28"/>
        <v>7</v>
      </c>
      <c r="AE240" t="str">
        <f>IFERROR(F240&amp;"*"&amp;ROUND(L240*(G240/$AN240)/VLOOKUP(F240,商品!$A$4:$D$67,4,FALSE),0),"")</f>
        <v/>
      </c>
      <c r="AF240" t="str">
        <f>IFERROR(H240&amp;"*"&amp;ROUND(L240*(I240/$AN240)/VLOOKUP(H240,商品!$A$4:$D$67,4,FALSE),0),"")</f>
        <v/>
      </c>
      <c r="AG240" t="str">
        <f>IFERROR(J240&amp;"*"&amp;ROUND(L240*(K240/$AN240)/VLOOKUP(J240,商品!$A$4:$D$67,4,FALSE),0),"")</f>
        <v/>
      </c>
      <c r="AH240" t="str">
        <f>IFERROR(M240&amp;"*"&amp;ROUND(S240*(N240/$AO240)/VLOOKUP(M240,职业!$A$3:$E$16,4,FALSE),0),"")</f>
        <v/>
      </c>
      <c r="AI240" t="str">
        <f>IFERROR(O240&amp;"*"&amp;ROUND(S240*(P240/$AO240)/VLOOKUP(O240,职业!$A$3:$E$16,4,FALSE),0),"")</f>
        <v/>
      </c>
      <c r="AK240" t="str">
        <f>IFERROR(T240&amp;"*"&amp;ROUND(X240*(U240/$AP240)/VLOOKUP(T240,商品!$A$4:$D$67,4,FALSE),0),"")</f>
        <v/>
      </c>
      <c r="AL240" t="str">
        <f>IFERROR(V240&amp;"*"&amp;ROUND(X240*(W240/$AP240)/VLOOKUP(V240,商品!$A$4:$D$67,4,FALSE),0),"")</f>
        <v/>
      </c>
      <c r="AN240">
        <f t="shared" si="29"/>
        <v>0</v>
      </c>
      <c r="AO240">
        <f t="shared" si="30"/>
        <v>0</v>
      </c>
      <c r="AP240">
        <f t="shared" si="31"/>
        <v>0</v>
      </c>
    </row>
    <row r="241" customHeight="1" spans="1:42">
      <c r="A241" s="18" t="s">
        <v>331</v>
      </c>
      <c r="C241" s="18">
        <v>8</v>
      </c>
      <c r="D241" s="1" t="s">
        <v>293</v>
      </c>
      <c r="E241" s="1" t="s">
        <v>227</v>
      </c>
      <c r="L241" s="1">
        <f>IFERROR(VLOOKUP($D241&amp;$C241,生产方式定位!$A$2:$E$38,2,FALSE)+VLOOKUP($E241&amp;$C241,生产方式定位!$F$3:$J$38,2,FALSE),0)</f>
        <v>0</v>
      </c>
      <c r="S241" s="1">
        <f>IFERROR(VLOOKUP($D241&amp;$C241,生产方式定位!$A$2:$E$38,3,FALSE)+VLOOKUP($E241&amp;$C241,生产方式定位!$F$3:$J$38,3,FALSE),0)</f>
        <v>0</v>
      </c>
      <c r="X241" s="1">
        <f>IFERROR(VLOOKUP($D241&amp;$C241,生产方式定位!$A$2:$E$38,5,FALSE)+VLOOKUP($E241&amp;$C241,生产方式定位!$F$3:$J$38,5,FALSE),"错误")</f>
        <v>0</v>
      </c>
      <c r="Y241" s="27" t="str">
        <f t="shared" si="24"/>
        <v/>
      </c>
      <c r="Z241" s="37" t="str">
        <f t="shared" si="25"/>
        <v/>
      </c>
      <c r="AA241" s="37" t="str">
        <f t="shared" si="26"/>
        <v/>
      </c>
      <c r="AB241" s="28" t="str">
        <f t="shared" si="27"/>
        <v/>
      </c>
      <c r="AC241" s="37"/>
      <c r="AD241" s="38">
        <f t="shared" si="28"/>
        <v>8</v>
      </c>
      <c r="AE241" t="str">
        <f>IFERROR(F241&amp;"*"&amp;ROUND(L241*(G241/$AN241)/VLOOKUP(F241,商品!$A$4:$D$67,4,FALSE),0),"")</f>
        <v/>
      </c>
      <c r="AF241" t="str">
        <f>IFERROR(H241&amp;"*"&amp;ROUND(L241*(I241/$AN241)/VLOOKUP(H241,商品!$A$4:$D$67,4,FALSE),0),"")</f>
        <v/>
      </c>
      <c r="AG241" t="str">
        <f>IFERROR(J241&amp;"*"&amp;ROUND(L241*(K241/$AN241)/VLOOKUP(J241,商品!$A$4:$D$67,4,FALSE),0),"")</f>
        <v/>
      </c>
      <c r="AH241" t="str">
        <f>IFERROR(M241&amp;"*"&amp;ROUND(S241*(N241/$AO241)/VLOOKUP(M241,职业!$A$3:$E$16,4,FALSE),0),"")</f>
        <v/>
      </c>
      <c r="AI241" t="str">
        <f>IFERROR(O241&amp;"*"&amp;ROUND(S241*(P241/$AO241)/VLOOKUP(O241,职业!$A$3:$E$16,4,FALSE),0),"")</f>
        <v/>
      </c>
      <c r="AK241" t="str">
        <f>IFERROR(T241&amp;"*"&amp;ROUND(X241*(U241/$AP241)/VLOOKUP(T241,商品!$A$4:$D$67,4,FALSE),0),"")</f>
        <v/>
      </c>
      <c r="AL241" t="str">
        <f>IFERROR(V241&amp;"*"&amp;ROUND(X241*(W241/$AP241)/VLOOKUP(V241,商品!$A$4:$D$67,4,FALSE),0),"")</f>
        <v/>
      </c>
      <c r="AN241">
        <f t="shared" si="29"/>
        <v>0</v>
      </c>
      <c r="AO241">
        <f t="shared" si="30"/>
        <v>0</v>
      </c>
      <c r="AP241">
        <f t="shared" si="31"/>
        <v>0</v>
      </c>
    </row>
    <row r="242" customHeight="1" spans="1:42">
      <c r="A242" s="5" t="s">
        <v>333</v>
      </c>
      <c r="C242" s="5">
        <v>1</v>
      </c>
      <c r="D242" s="1" t="s">
        <v>222</v>
      </c>
      <c r="E242" s="1" t="s">
        <v>224</v>
      </c>
      <c r="L242" s="1">
        <f>IFERROR(VLOOKUP($D242&amp;$C242,生产方式定位!$A$2:$E$38,2,FALSE)+VLOOKUP($E242&amp;$C242,生产方式定位!$F$3:$J$38,2,FALSE),0)</f>
        <v>0</v>
      </c>
      <c r="S242" s="1">
        <f>IFERROR(VLOOKUP($D242&amp;$C242,生产方式定位!$A$2:$E$38,3,FALSE)+VLOOKUP($E242&amp;$C242,生产方式定位!$F$3:$J$38,3,FALSE),0)</f>
        <v>500</v>
      </c>
      <c r="X242" s="1">
        <f>IFERROR(VLOOKUP($D242&amp;$C242,生产方式定位!$A$2:$E$38,5,FALSE)+VLOOKUP($E242&amp;$C242,生产方式定位!$F$3:$J$38,5,FALSE),"错误")</f>
        <v>250</v>
      </c>
      <c r="Y242" s="27" t="str">
        <f t="shared" si="24"/>
        <v/>
      </c>
      <c r="Z242" s="37" t="str">
        <f t="shared" si="25"/>
        <v/>
      </c>
      <c r="AA242" s="37" t="str">
        <f t="shared" si="26"/>
        <v/>
      </c>
      <c r="AB242" s="28">
        <f t="shared" si="27"/>
        <v>0</v>
      </c>
      <c r="AC242" s="37"/>
      <c r="AD242" s="38">
        <f t="shared" si="28"/>
        <v>1</v>
      </c>
      <c r="AE242" t="str">
        <f>IFERROR(F242&amp;"*"&amp;ROUND(L242*(G242/$AN242)/VLOOKUP(F242,商品!$A$4:$D$67,4,FALSE),0),"")</f>
        <v/>
      </c>
      <c r="AF242" t="str">
        <f>IFERROR(H242&amp;"*"&amp;ROUND(L242*(I242/$AN242)/VLOOKUP(H242,商品!$A$4:$D$67,4,FALSE),0),"")</f>
        <v/>
      </c>
      <c r="AG242" t="str">
        <f>IFERROR(J242&amp;"*"&amp;ROUND(L242*(K242/$AN242)/VLOOKUP(J242,商品!$A$4:$D$67,4,FALSE),0),"")</f>
        <v/>
      </c>
      <c r="AH242" t="str">
        <f>IFERROR(M242&amp;"*"&amp;ROUND(S242*(N242/$AO242)/VLOOKUP(M242,职业!$A$3:$E$16,4,FALSE),0),"")</f>
        <v/>
      </c>
      <c r="AI242" t="str">
        <f>IFERROR(O242&amp;"*"&amp;ROUND(S242*(P242/$AO242)/VLOOKUP(O242,职业!$A$3:$E$16,4,FALSE),0),"")</f>
        <v/>
      </c>
      <c r="AK242" t="str">
        <f>IFERROR(T242&amp;"*"&amp;ROUND(X242*(U242/$AP242)/VLOOKUP(T242,商品!$A$4:$D$67,4,FALSE),0),"")</f>
        <v/>
      </c>
      <c r="AL242" t="str">
        <f>IFERROR(V242&amp;"*"&amp;ROUND(X242*(W242/$AP242)/VLOOKUP(V242,商品!$A$4:$D$67,4,FALSE),0),"")</f>
        <v/>
      </c>
      <c r="AN242">
        <f t="shared" si="29"/>
        <v>0</v>
      </c>
      <c r="AO242">
        <f t="shared" si="30"/>
        <v>0</v>
      </c>
      <c r="AP242">
        <f t="shared" si="31"/>
        <v>0</v>
      </c>
    </row>
    <row r="243" customHeight="1" spans="1:42">
      <c r="A243" s="5" t="s">
        <v>333</v>
      </c>
      <c r="C243" s="5">
        <v>2</v>
      </c>
      <c r="D243" s="1" t="s">
        <v>222</v>
      </c>
      <c r="E243" s="1" t="s">
        <v>224</v>
      </c>
      <c r="L243" s="1">
        <f>IFERROR(VLOOKUP($D243&amp;$C243,生产方式定位!$A$2:$E$38,2,FALSE)+VLOOKUP($E243&amp;$C243,生产方式定位!$F$3:$J$38,2,FALSE),0)</f>
        <v>2200</v>
      </c>
      <c r="S243" s="1">
        <f>IFERROR(VLOOKUP($D243&amp;$C243,生产方式定位!$A$2:$E$38,3,FALSE)+VLOOKUP($E243&amp;$C243,生产方式定位!$F$3:$J$38,3,FALSE),0)</f>
        <v>750</v>
      </c>
      <c r="X243" s="1">
        <f>IFERROR(VLOOKUP($D243&amp;$C243,生产方式定位!$A$2:$E$38,5,FALSE)+VLOOKUP($E243&amp;$C243,生产方式定位!$F$3:$J$38,5,FALSE),"错误")</f>
        <v>1547</v>
      </c>
      <c r="Y243" s="27" t="str">
        <f t="shared" si="24"/>
        <v/>
      </c>
      <c r="Z243" s="37" t="str">
        <f t="shared" si="25"/>
        <v/>
      </c>
      <c r="AA243" s="37" t="str">
        <f t="shared" si="26"/>
        <v/>
      </c>
      <c r="AB243" s="28">
        <f t="shared" si="27"/>
        <v>1.42</v>
      </c>
      <c r="AC243" s="37"/>
      <c r="AD243" s="38">
        <f t="shared" si="28"/>
        <v>2</v>
      </c>
      <c r="AE243" t="str">
        <f>IFERROR(F243&amp;"*"&amp;ROUND(L243*(G243/$AN243)/VLOOKUP(F243,商品!$A$4:$D$67,4,FALSE),0),"")</f>
        <v/>
      </c>
      <c r="AF243" t="str">
        <f>IFERROR(H243&amp;"*"&amp;ROUND(L243*(I243/$AN243)/VLOOKUP(H243,商品!$A$4:$D$67,4,FALSE),0),"")</f>
        <v/>
      </c>
      <c r="AG243" t="str">
        <f>IFERROR(J243&amp;"*"&amp;ROUND(L243*(K243/$AN243)/VLOOKUP(J243,商品!$A$4:$D$67,4,FALSE),0),"")</f>
        <v/>
      </c>
      <c r="AH243" t="str">
        <f>IFERROR(M243&amp;"*"&amp;ROUND(S243*(N243/$AO243)/VLOOKUP(M243,职业!$A$3:$E$16,4,FALSE),0),"")</f>
        <v/>
      </c>
      <c r="AI243" t="str">
        <f>IFERROR(O243&amp;"*"&amp;ROUND(S243*(P243/$AO243)/VLOOKUP(O243,职业!$A$3:$E$16,4,FALSE),0),"")</f>
        <v/>
      </c>
      <c r="AK243" t="str">
        <f>IFERROR(T243&amp;"*"&amp;ROUND(X243*(U243/$AP243)/VLOOKUP(T243,商品!$A$4:$D$67,4,FALSE),0),"")</f>
        <v/>
      </c>
      <c r="AL243" t="str">
        <f>IFERROR(V243&amp;"*"&amp;ROUND(X243*(W243/$AP243)/VLOOKUP(V243,商品!$A$4:$D$67,4,FALSE),0),"")</f>
        <v/>
      </c>
      <c r="AN243">
        <f t="shared" si="29"/>
        <v>0</v>
      </c>
      <c r="AO243">
        <f t="shared" si="30"/>
        <v>0</v>
      </c>
      <c r="AP243">
        <f t="shared" si="31"/>
        <v>0</v>
      </c>
    </row>
    <row r="244" customHeight="1" spans="1:42">
      <c r="A244" s="5" t="s">
        <v>333</v>
      </c>
      <c r="C244" s="5">
        <v>3</v>
      </c>
      <c r="D244" s="1" t="s">
        <v>222</v>
      </c>
      <c r="E244" s="1" t="s">
        <v>224</v>
      </c>
      <c r="L244" s="1">
        <f>IFERROR(VLOOKUP($D244&amp;$C244,生产方式定位!$A$2:$E$38,2,FALSE)+VLOOKUP($E244&amp;$C244,生产方式定位!$F$3:$J$38,2,FALSE),0)</f>
        <v>3400</v>
      </c>
      <c r="S244" s="1">
        <f>IFERROR(VLOOKUP($D244&amp;$C244,生产方式定位!$A$2:$E$38,3,FALSE)+VLOOKUP($E244&amp;$C244,生产方式定位!$F$3:$J$38,3,FALSE),0)</f>
        <v>1000</v>
      </c>
      <c r="X244" s="1">
        <f>IFERROR(VLOOKUP($D244&amp;$C244,生产方式定位!$A$2:$E$38,5,FALSE)+VLOOKUP($E244&amp;$C244,生产方式定位!$F$3:$J$38,5,FALSE),"错误")</f>
        <v>2488</v>
      </c>
      <c r="Y244" s="27" t="str">
        <f t="shared" si="24"/>
        <v/>
      </c>
      <c r="Z244" s="37" t="str">
        <f t="shared" si="25"/>
        <v/>
      </c>
      <c r="AA244" s="37" t="str">
        <f t="shared" si="26"/>
        <v/>
      </c>
      <c r="AB244" s="28">
        <f t="shared" si="27"/>
        <v>1.37</v>
      </c>
      <c r="AC244" s="37"/>
      <c r="AD244" s="38">
        <f t="shared" si="28"/>
        <v>3</v>
      </c>
      <c r="AE244" t="str">
        <f>IFERROR(F244&amp;"*"&amp;ROUND(L244*(G244/$AN244)/VLOOKUP(F244,商品!$A$4:$D$67,4,FALSE),0),"")</f>
        <v/>
      </c>
      <c r="AF244" t="str">
        <f>IFERROR(H244&amp;"*"&amp;ROUND(L244*(I244/$AN244)/VLOOKUP(H244,商品!$A$4:$D$67,4,FALSE),0),"")</f>
        <v/>
      </c>
      <c r="AG244" t="str">
        <f>IFERROR(J244&amp;"*"&amp;ROUND(L244*(K244/$AN244)/VLOOKUP(J244,商品!$A$4:$D$67,4,FALSE),0),"")</f>
        <v/>
      </c>
      <c r="AH244" t="str">
        <f>IFERROR(M244&amp;"*"&amp;ROUND(S244*(N244/$AO244)/VLOOKUP(M244,职业!$A$3:$E$16,4,FALSE),0),"")</f>
        <v/>
      </c>
      <c r="AI244" t="str">
        <f>IFERROR(O244&amp;"*"&amp;ROUND(S244*(P244/$AO244)/VLOOKUP(O244,职业!$A$3:$E$16,4,FALSE),0),"")</f>
        <v/>
      </c>
      <c r="AK244" t="str">
        <f>IFERROR(T244&amp;"*"&amp;ROUND(X244*(U244/$AP244)/VLOOKUP(T244,商品!$A$4:$D$67,4,FALSE),0),"")</f>
        <v/>
      </c>
      <c r="AL244" t="str">
        <f>IFERROR(V244&amp;"*"&amp;ROUND(X244*(W244/$AP244)/VLOOKUP(V244,商品!$A$4:$D$67,4,FALSE),0),"")</f>
        <v/>
      </c>
      <c r="AN244">
        <f t="shared" si="29"/>
        <v>0</v>
      </c>
      <c r="AO244">
        <f t="shared" si="30"/>
        <v>0</v>
      </c>
      <c r="AP244">
        <f t="shared" si="31"/>
        <v>0</v>
      </c>
    </row>
    <row r="245" customHeight="1" spans="1:42">
      <c r="A245" s="5" t="s">
        <v>333</v>
      </c>
      <c r="C245" s="5">
        <v>4</v>
      </c>
      <c r="D245" s="1" t="s">
        <v>222</v>
      </c>
      <c r="E245" s="1" t="s">
        <v>224</v>
      </c>
      <c r="L245" s="1">
        <f>IFERROR(VLOOKUP($D245&amp;$C245,生产方式定位!$A$2:$E$38,2,FALSE)+VLOOKUP($E245&amp;$C245,生产方式定位!$F$3:$J$38,2,FALSE),0)</f>
        <v>4600</v>
      </c>
      <c r="S245" s="1">
        <f>IFERROR(VLOOKUP($D245&amp;$C245,生产方式定位!$A$2:$E$38,3,FALSE)+VLOOKUP($E245&amp;$C245,生产方式定位!$F$3:$J$38,3,FALSE),0)</f>
        <v>1250</v>
      </c>
      <c r="X245" s="1">
        <f>IFERROR(VLOOKUP($D245&amp;$C245,生产方式定位!$A$2:$E$38,5,FALSE)+VLOOKUP($E245&amp;$C245,生产方式定位!$F$3:$J$38,5,FALSE),"错误")</f>
        <v>3573</v>
      </c>
      <c r="Y245" s="27" t="str">
        <f t="shared" si="24"/>
        <v/>
      </c>
      <c r="Z245" s="37" t="str">
        <f t="shared" si="25"/>
        <v/>
      </c>
      <c r="AA245" s="37" t="str">
        <f t="shared" si="26"/>
        <v/>
      </c>
      <c r="AB245" s="28">
        <f t="shared" si="27"/>
        <v>1.29</v>
      </c>
      <c r="AC245" s="37"/>
      <c r="AD245" s="38">
        <f t="shared" si="28"/>
        <v>4</v>
      </c>
      <c r="AE245" t="str">
        <f>IFERROR(F245&amp;"*"&amp;ROUND(L245*(G245/$AN245)/VLOOKUP(F245,商品!$A$4:$D$67,4,FALSE),0),"")</f>
        <v/>
      </c>
      <c r="AF245" t="str">
        <f>IFERROR(H245&amp;"*"&amp;ROUND(L245*(I245/$AN245)/VLOOKUP(H245,商品!$A$4:$D$67,4,FALSE),0),"")</f>
        <v/>
      </c>
      <c r="AG245" t="str">
        <f>IFERROR(J245&amp;"*"&amp;ROUND(L245*(K245/$AN245)/VLOOKUP(J245,商品!$A$4:$D$67,4,FALSE),0),"")</f>
        <v/>
      </c>
      <c r="AH245" t="str">
        <f>IFERROR(M245&amp;"*"&amp;ROUND(S245*(N245/$AO245)/VLOOKUP(M245,职业!$A$3:$E$16,4,FALSE),0),"")</f>
        <v/>
      </c>
      <c r="AI245" t="str">
        <f>IFERROR(O245&amp;"*"&amp;ROUND(S245*(P245/$AO245)/VLOOKUP(O245,职业!$A$3:$E$16,4,FALSE),0),"")</f>
        <v/>
      </c>
      <c r="AK245" t="str">
        <f>IFERROR(T245&amp;"*"&amp;ROUND(X245*(U245/$AP245)/VLOOKUP(T245,商品!$A$4:$D$67,4,FALSE),0),"")</f>
        <v/>
      </c>
      <c r="AL245" t="str">
        <f>IFERROR(V245&amp;"*"&amp;ROUND(X245*(W245/$AP245)/VLOOKUP(V245,商品!$A$4:$D$67,4,FALSE),0),"")</f>
        <v/>
      </c>
      <c r="AN245">
        <f t="shared" si="29"/>
        <v>0</v>
      </c>
      <c r="AO245">
        <f t="shared" si="30"/>
        <v>0</v>
      </c>
      <c r="AP245">
        <f t="shared" si="31"/>
        <v>0</v>
      </c>
    </row>
    <row r="246" customHeight="1" spans="1:42">
      <c r="A246" s="5" t="s">
        <v>333</v>
      </c>
      <c r="C246" s="5">
        <v>5</v>
      </c>
      <c r="D246" s="1" t="s">
        <v>222</v>
      </c>
      <c r="E246" s="1" t="s">
        <v>224</v>
      </c>
      <c r="L246" s="1">
        <f>IFERROR(VLOOKUP($D246&amp;$C246,生产方式定位!$A$2:$E$38,2,FALSE)+VLOOKUP($E246&amp;$C246,生产方式定位!$F$3:$J$38,2,FALSE),0)</f>
        <v>5800</v>
      </c>
      <c r="S246" s="1">
        <f>IFERROR(VLOOKUP($D246&amp;$C246,生产方式定位!$A$2:$E$38,3,FALSE)+VLOOKUP($E246&amp;$C246,生产方式定位!$F$3:$J$38,3,FALSE),0)</f>
        <v>1500</v>
      </c>
      <c r="X246" s="1">
        <f>IFERROR(VLOOKUP($D246&amp;$C246,生产方式定位!$A$2:$E$38,5,FALSE)+VLOOKUP($E246&amp;$C246,生产方式定位!$F$3:$J$38,5,FALSE),"错误")</f>
        <v>4850</v>
      </c>
      <c r="Y246" s="27" t="str">
        <f t="shared" si="24"/>
        <v/>
      </c>
      <c r="Z246" s="37" t="str">
        <f t="shared" si="25"/>
        <v/>
      </c>
      <c r="AA246" s="37" t="str">
        <f t="shared" si="26"/>
        <v/>
      </c>
      <c r="AB246" s="28">
        <f t="shared" si="27"/>
        <v>1.2</v>
      </c>
      <c r="AC246" s="37"/>
      <c r="AD246" s="38">
        <f t="shared" si="28"/>
        <v>5</v>
      </c>
      <c r="AE246" t="str">
        <f>IFERROR(F246&amp;"*"&amp;ROUND(L246*(G246/$AN246)/VLOOKUP(F246,商品!$A$4:$D$67,4,FALSE),0),"")</f>
        <v/>
      </c>
      <c r="AF246" t="str">
        <f>IFERROR(H246&amp;"*"&amp;ROUND(L246*(I246/$AN246)/VLOOKUP(H246,商品!$A$4:$D$67,4,FALSE),0),"")</f>
        <v/>
      </c>
      <c r="AG246" t="str">
        <f>IFERROR(J246&amp;"*"&amp;ROUND(L246*(K246/$AN246)/VLOOKUP(J246,商品!$A$4:$D$67,4,FALSE),0),"")</f>
        <v/>
      </c>
      <c r="AH246" t="str">
        <f>IFERROR(M246&amp;"*"&amp;ROUND(S246*(N246/$AO246)/VLOOKUP(M246,职业!$A$3:$E$16,4,FALSE),0),"")</f>
        <v/>
      </c>
      <c r="AI246" t="str">
        <f>IFERROR(O246&amp;"*"&amp;ROUND(S246*(P246/$AO246)/VLOOKUP(O246,职业!$A$3:$E$16,4,FALSE),0),"")</f>
        <v/>
      </c>
      <c r="AK246" t="str">
        <f>IFERROR(T246&amp;"*"&amp;ROUND(X246*(U246/$AP246)/VLOOKUP(T246,商品!$A$4:$D$67,4,FALSE),0),"")</f>
        <v/>
      </c>
      <c r="AL246" t="str">
        <f>IFERROR(V246&amp;"*"&amp;ROUND(X246*(W246/$AP246)/VLOOKUP(V246,商品!$A$4:$D$67,4,FALSE),0),"")</f>
        <v/>
      </c>
      <c r="AN246">
        <f t="shared" si="29"/>
        <v>0</v>
      </c>
      <c r="AO246">
        <f t="shared" si="30"/>
        <v>0</v>
      </c>
      <c r="AP246">
        <f t="shared" si="31"/>
        <v>0</v>
      </c>
    </row>
    <row r="247" customHeight="1" spans="1:42">
      <c r="A247" s="18" t="s">
        <v>334</v>
      </c>
      <c r="C247" s="18">
        <v>1</v>
      </c>
      <c r="D247" s="1" t="s">
        <v>222</v>
      </c>
      <c r="E247" s="1" t="s">
        <v>225</v>
      </c>
      <c r="L247" s="1">
        <f>IFERROR(VLOOKUP($D247&amp;$C247,生产方式定位!$A$2:$E$38,2,FALSE)+VLOOKUP($E247&amp;$C247,生产方式定位!$F$3:$J$38,2,FALSE),0)</f>
        <v>0</v>
      </c>
      <c r="S247" s="1">
        <f>IFERROR(VLOOKUP($D247&amp;$C247,生产方式定位!$A$2:$E$38,3,FALSE)+VLOOKUP($E247&amp;$C247,生产方式定位!$F$3:$J$38,3,FALSE),0)</f>
        <v>500</v>
      </c>
      <c r="X247" s="1">
        <f>IFERROR(VLOOKUP($D247&amp;$C247,生产方式定位!$A$2:$E$38,5,FALSE)+VLOOKUP($E247&amp;$C247,生产方式定位!$F$3:$J$38,5,FALSE),"错误")</f>
        <v>250</v>
      </c>
      <c r="Y247" s="27" t="str">
        <f t="shared" si="24"/>
        <v/>
      </c>
      <c r="Z247" s="37" t="str">
        <f t="shared" si="25"/>
        <v/>
      </c>
      <c r="AA247" s="37" t="str">
        <f t="shared" si="26"/>
        <v/>
      </c>
      <c r="AB247" s="28">
        <f t="shared" si="27"/>
        <v>0</v>
      </c>
      <c r="AC247" s="37"/>
      <c r="AD247" s="38">
        <f t="shared" si="28"/>
        <v>1</v>
      </c>
      <c r="AE247" t="str">
        <f>IFERROR(F247&amp;"*"&amp;ROUND(L247*(G247/$AN247)/VLOOKUP(F247,商品!$A$4:$D$67,4,FALSE),0),"")</f>
        <v/>
      </c>
      <c r="AF247" t="str">
        <f>IFERROR(H247&amp;"*"&amp;ROUND(L247*(I247/$AN247)/VLOOKUP(H247,商品!$A$4:$D$67,4,FALSE),0),"")</f>
        <v/>
      </c>
      <c r="AG247" t="str">
        <f>IFERROR(J247&amp;"*"&amp;ROUND(L247*(K247/$AN247)/VLOOKUP(J247,商品!$A$4:$D$67,4,FALSE),0),"")</f>
        <v/>
      </c>
      <c r="AH247" t="str">
        <f>IFERROR(M247&amp;"*"&amp;ROUND(S247*(N247/$AO247)/VLOOKUP(M247,职业!$A$3:$E$16,4,FALSE),0),"")</f>
        <v/>
      </c>
      <c r="AI247" t="str">
        <f>IFERROR(O247&amp;"*"&amp;ROUND(S247*(P247/$AO247)/VLOOKUP(O247,职业!$A$3:$E$16,4,FALSE),0),"")</f>
        <v/>
      </c>
      <c r="AK247" t="str">
        <f>IFERROR(T247&amp;"*"&amp;ROUND(X247*(U247/$AP247)/VLOOKUP(T247,商品!$A$4:$D$67,4,FALSE),0),"")</f>
        <v/>
      </c>
      <c r="AL247" t="str">
        <f>IFERROR(V247&amp;"*"&amp;ROUND(X247*(W247/$AP247)/VLOOKUP(V247,商品!$A$4:$D$67,4,FALSE),0),"")</f>
        <v/>
      </c>
      <c r="AN247">
        <f t="shared" si="29"/>
        <v>0</v>
      </c>
      <c r="AO247">
        <f t="shared" si="30"/>
        <v>0</v>
      </c>
      <c r="AP247">
        <f t="shared" si="31"/>
        <v>0</v>
      </c>
    </row>
    <row r="248" customHeight="1" spans="1:42">
      <c r="A248" s="18" t="s">
        <v>334</v>
      </c>
      <c r="C248" s="18">
        <v>2</v>
      </c>
      <c r="D248" s="1" t="s">
        <v>222</v>
      </c>
      <c r="E248" s="1" t="s">
        <v>225</v>
      </c>
      <c r="L248" s="1">
        <f>IFERROR(VLOOKUP($D248&amp;$C248,生产方式定位!$A$2:$E$38,2,FALSE)+VLOOKUP($E248&amp;$C248,生产方式定位!$F$3:$J$38,2,FALSE),0)</f>
        <v>2200</v>
      </c>
      <c r="S248" s="1">
        <f>IFERROR(VLOOKUP($D248&amp;$C248,生产方式定位!$A$2:$E$38,3,FALSE)+VLOOKUP($E248&amp;$C248,生产方式定位!$F$3:$J$38,3,FALSE),0)</f>
        <v>2550</v>
      </c>
      <c r="X248" s="1">
        <f>IFERROR(VLOOKUP($D248&amp;$C248,生产方式定位!$A$2:$E$38,5,FALSE)+VLOOKUP($E248&amp;$C248,生产方式定位!$F$3:$J$38,5,FALSE),"错误")</f>
        <v>2420</v>
      </c>
      <c r="Y248" s="27" t="str">
        <f t="shared" si="24"/>
        <v/>
      </c>
      <c r="Z248" s="37" t="str">
        <f t="shared" si="25"/>
        <v/>
      </c>
      <c r="AA248" s="37" t="str">
        <f t="shared" si="26"/>
        <v/>
      </c>
      <c r="AB248" s="28">
        <f t="shared" si="27"/>
        <v>0.91</v>
      </c>
      <c r="AC248" s="37"/>
      <c r="AD248" s="38">
        <f t="shared" si="28"/>
        <v>2</v>
      </c>
      <c r="AE248" t="str">
        <f>IFERROR(F248&amp;"*"&amp;ROUND(L248*(G248/$AN248)/VLOOKUP(F248,商品!$A$4:$D$67,4,FALSE),0),"")</f>
        <v/>
      </c>
      <c r="AF248" t="str">
        <f>IFERROR(H248&amp;"*"&amp;ROUND(L248*(I248/$AN248)/VLOOKUP(H248,商品!$A$4:$D$67,4,FALSE),0),"")</f>
        <v/>
      </c>
      <c r="AG248" t="str">
        <f>IFERROR(J248&amp;"*"&amp;ROUND(L248*(K248/$AN248)/VLOOKUP(J248,商品!$A$4:$D$67,4,FALSE),0),"")</f>
        <v/>
      </c>
      <c r="AH248" t="str">
        <f>IFERROR(M248&amp;"*"&amp;ROUND(S248*(N248/$AO248)/VLOOKUP(M248,职业!$A$3:$E$16,4,FALSE),0),"")</f>
        <v/>
      </c>
      <c r="AI248" t="str">
        <f>IFERROR(O248&amp;"*"&amp;ROUND(S248*(P248/$AO248)/VLOOKUP(O248,职业!$A$3:$E$16,4,FALSE),0),"")</f>
        <v/>
      </c>
      <c r="AK248" t="str">
        <f>IFERROR(T248&amp;"*"&amp;ROUND(X248*(U248/$AP248)/VLOOKUP(T248,商品!$A$4:$D$67,4,FALSE),0),"")</f>
        <v/>
      </c>
      <c r="AL248" t="str">
        <f>IFERROR(V248&amp;"*"&amp;ROUND(X248*(W248/$AP248)/VLOOKUP(V248,商品!$A$4:$D$67,4,FALSE),0),"")</f>
        <v/>
      </c>
      <c r="AN248">
        <f t="shared" si="29"/>
        <v>0</v>
      </c>
      <c r="AO248">
        <f t="shared" si="30"/>
        <v>0</v>
      </c>
      <c r="AP248">
        <f t="shared" si="31"/>
        <v>0</v>
      </c>
    </row>
    <row r="249" customHeight="1" spans="1:42">
      <c r="A249" s="18" t="s">
        <v>334</v>
      </c>
      <c r="C249" s="18">
        <v>3</v>
      </c>
      <c r="D249" s="1" t="s">
        <v>222</v>
      </c>
      <c r="E249" s="1" t="s">
        <v>225</v>
      </c>
      <c r="L249" s="1">
        <f>IFERROR(VLOOKUP($D249&amp;$C249,生产方式定位!$A$2:$E$38,2,FALSE)+VLOOKUP($E249&amp;$C249,生产方式定位!$F$3:$J$38,2,FALSE),0)</f>
        <v>3400</v>
      </c>
      <c r="S249" s="1">
        <f>IFERROR(VLOOKUP($D249&amp;$C249,生产方式定位!$A$2:$E$38,3,FALSE)+VLOOKUP($E249&amp;$C249,生产方式定位!$F$3:$J$38,3,FALSE),0)</f>
        <v>3600</v>
      </c>
      <c r="X249" s="1">
        <f>IFERROR(VLOOKUP($D249&amp;$C249,生产方式定位!$A$2:$E$38,5,FALSE)+VLOOKUP($E249&amp;$C249,生产方式定位!$F$3:$J$38,5,FALSE),"错误")</f>
        <v>3650</v>
      </c>
      <c r="Y249" s="27" t="str">
        <f t="shared" si="24"/>
        <v/>
      </c>
      <c r="Z249" s="37" t="str">
        <f t="shared" si="25"/>
        <v/>
      </c>
      <c r="AA249" s="37" t="str">
        <f t="shared" si="26"/>
        <v/>
      </c>
      <c r="AB249" s="28">
        <f t="shared" si="27"/>
        <v>0.93</v>
      </c>
      <c r="AC249" s="37"/>
      <c r="AD249" s="38">
        <f t="shared" si="28"/>
        <v>3</v>
      </c>
      <c r="AE249" t="str">
        <f>IFERROR(F249&amp;"*"&amp;ROUND(L249*(G249/$AN249)/VLOOKUP(F249,商品!$A$4:$D$67,4,FALSE),0),"")</f>
        <v/>
      </c>
      <c r="AF249" t="str">
        <f>IFERROR(H249&amp;"*"&amp;ROUND(L249*(I249/$AN249)/VLOOKUP(H249,商品!$A$4:$D$67,4,FALSE),0),"")</f>
        <v/>
      </c>
      <c r="AG249" t="str">
        <f>IFERROR(J249&amp;"*"&amp;ROUND(L249*(K249/$AN249)/VLOOKUP(J249,商品!$A$4:$D$67,4,FALSE),0),"")</f>
        <v/>
      </c>
      <c r="AH249" t="str">
        <f>IFERROR(M249&amp;"*"&amp;ROUND(S249*(N249/$AO249)/VLOOKUP(M249,职业!$A$3:$E$16,4,FALSE),0),"")</f>
        <v/>
      </c>
      <c r="AI249" t="str">
        <f>IFERROR(O249&amp;"*"&amp;ROUND(S249*(P249/$AO249)/VLOOKUP(O249,职业!$A$3:$E$16,4,FALSE),0),"")</f>
        <v/>
      </c>
      <c r="AK249" t="str">
        <f>IFERROR(T249&amp;"*"&amp;ROUND(X249*(U249/$AP249)/VLOOKUP(T249,商品!$A$4:$D$67,4,FALSE),0),"")</f>
        <v/>
      </c>
      <c r="AL249" t="str">
        <f>IFERROR(V249&amp;"*"&amp;ROUND(X249*(W249/$AP249)/VLOOKUP(V249,商品!$A$4:$D$67,4,FALSE),0),"")</f>
        <v/>
      </c>
      <c r="AN249">
        <f t="shared" si="29"/>
        <v>0</v>
      </c>
      <c r="AO249">
        <f t="shared" si="30"/>
        <v>0</v>
      </c>
      <c r="AP249">
        <f t="shared" si="31"/>
        <v>0</v>
      </c>
    </row>
    <row r="250" customHeight="1" spans="1:42">
      <c r="A250" s="18" t="s">
        <v>334</v>
      </c>
      <c r="C250" s="18">
        <v>4</v>
      </c>
      <c r="D250" s="1" t="s">
        <v>222</v>
      </c>
      <c r="E250" s="1" t="s">
        <v>225</v>
      </c>
      <c r="L250" s="1">
        <f>IFERROR(VLOOKUP($D250&amp;$C250,生产方式定位!$A$2:$E$38,2,FALSE)+VLOOKUP($E250&amp;$C250,生产方式定位!$F$3:$J$38,2,FALSE),0)</f>
        <v>4600</v>
      </c>
      <c r="S250" s="1">
        <f>IFERROR(VLOOKUP($D250&amp;$C250,生产方式定位!$A$2:$E$38,3,FALSE)+VLOOKUP($E250&amp;$C250,生产方式定位!$F$3:$J$38,3,FALSE),0)</f>
        <v>4650</v>
      </c>
      <c r="X250" s="1">
        <f>IFERROR(VLOOKUP($D250&amp;$C250,生产方式定位!$A$2:$E$38,5,FALSE)+VLOOKUP($E250&amp;$C250,生产方式定位!$F$3:$J$38,5,FALSE),"错误")</f>
        <v>4940</v>
      </c>
      <c r="Y250" s="27" t="str">
        <f t="shared" si="24"/>
        <v/>
      </c>
      <c r="Z250" s="37" t="str">
        <f t="shared" si="25"/>
        <v/>
      </c>
      <c r="AA250" s="37" t="str">
        <f t="shared" si="26"/>
        <v/>
      </c>
      <c r="AB250" s="28">
        <f t="shared" si="27"/>
        <v>0.93</v>
      </c>
      <c r="AC250" s="37"/>
      <c r="AD250" s="38">
        <f t="shared" si="28"/>
        <v>4</v>
      </c>
      <c r="AE250" t="str">
        <f>IFERROR(F250&amp;"*"&amp;ROUND(L250*(G250/$AN250)/VLOOKUP(F250,商品!$A$4:$D$67,4,FALSE),0),"")</f>
        <v/>
      </c>
      <c r="AF250" t="str">
        <f>IFERROR(H250&amp;"*"&amp;ROUND(L250*(I250/$AN250)/VLOOKUP(H250,商品!$A$4:$D$67,4,FALSE),0),"")</f>
        <v/>
      </c>
      <c r="AG250" t="str">
        <f>IFERROR(J250&amp;"*"&amp;ROUND(L250*(K250/$AN250)/VLOOKUP(J250,商品!$A$4:$D$67,4,FALSE),0),"")</f>
        <v/>
      </c>
      <c r="AH250" t="str">
        <f>IFERROR(M250&amp;"*"&amp;ROUND(S250*(N250/$AO250)/VLOOKUP(M250,职业!$A$3:$E$16,4,FALSE),0),"")</f>
        <v/>
      </c>
      <c r="AI250" t="str">
        <f>IFERROR(O250&amp;"*"&amp;ROUND(S250*(P250/$AO250)/VLOOKUP(O250,职业!$A$3:$E$16,4,FALSE),0),"")</f>
        <v/>
      </c>
      <c r="AK250" t="str">
        <f>IFERROR(T250&amp;"*"&amp;ROUND(X250*(U250/$AP250)/VLOOKUP(T250,商品!$A$4:$D$67,4,FALSE),0),"")</f>
        <v/>
      </c>
      <c r="AL250" t="str">
        <f>IFERROR(V250&amp;"*"&amp;ROUND(X250*(W250/$AP250)/VLOOKUP(V250,商品!$A$4:$D$67,4,FALSE),0),"")</f>
        <v/>
      </c>
      <c r="AN250">
        <f t="shared" si="29"/>
        <v>0</v>
      </c>
      <c r="AO250">
        <f t="shared" si="30"/>
        <v>0</v>
      </c>
      <c r="AP250">
        <f t="shared" si="31"/>
        <v>0</v>
      </c>
    </row>
    <row r="251" customHeight="1" spans="1:42">
      <c r="A251" s="18" t="s">
        <v>334</v>
      </c>
      <c r="C251" s="18">
        <v>5</v>
      </c>
      <c r="D251" s="1" t="s">
        <v>222</v>
      </c>
      <c r="E251" s="1" t="s">
        <v>225</v>
      </c>
      <c r="L251" s="1">
        <f>IFERROR(VLOOKUP($D251&amp;$C251,生产方式定位!$A$2:$E$38,2,FALSE)+VLOOKUP($E251&amp;$C251,生产方式定位!$F$3:$J$38,2,FALSE),0)</f>
        <v>5800</v>
      </c>
      <c r="S251" s="1">
        <f>IFERROR(VLOOKUP($D251&amp;$C251,生产方式定位!$A$2:$E$38,3,FALSE)+VLOOKUP($E251&amp;$C251,生产方式定位!$F$3:$J$38,3,FALSE),0)</f>
        <v>5700</v>
      </c>
      <c r="X251" s="1">
        <f>IFERROR(VLOOKUP($D251&amp;$C251,生产方式定位!$A$2:$E$38,5,FALSE)+VLOOKUP($E251&amp;$C251,生产方式定位!$F$3:$J$38,5,FALSE),"错误")</f>
        <v>6313</v>
      </c>
      <c r="Y251" s="27" t="str">
        <f t="shared" si="24"/>
        <v/>
      </c>
      <c r="Z251" s="37" t="str">
        <f t="shared" si="25"/>
        <v/>
      </c>
      <c r="AA251" s="37" t="str">
        <f t="shared" si="26"/>
        <v/>
      </c>
      <c r="AB251" s="28">
        <f t="shared" si="27"/>
        <v>0.92</v>
      </c>
      <c r="AC251" s="37"/>
      <c r="AD251" s="38">
        <f t="shared" si="28"/>
        <v>5</v>
      </c>
      <c r="AE251" t="str">
        <f>IFERROR(F251&amp;"*"&amp;ROUND(L251*(G251/$AN251)/VLOOKUP(F251,商品!$A$4:$D$67,4,FALSE),0),"")</f>
        <v/>
      </c>
      <c r="AF251" t="str">
        <f>IFERROR(H251&amp;"*"&amp;ROUND(L251*(I251/$AN251)/VLOOKUP(H251,商品!$A$4:$D$67,4,FALSE),0),"")</f>
        <v/>
      </c>
      <c r="AG251" t="str">
        <f>IFERROR(J251&amp;"*"&amp;ROUND(L251*(K251/$AN251)/VLOOKUP(J251,商品!$A$4:$D$67,4,FALSE),0),"")</f>
        <v/>
      </c>
      <c r="AH251" t="str">
        <f>IFERROR(M251&amp;"*"&amp;ROUND(S251*(N251/$AO251)/VLOOKUP(M251,职业!$A$3:$E$16,4,FALSE),0),"")</f>
        <v/>
      </c>
      <c r="AI251" t="str">
        <f>IFERROR(O251&amp;"*"&amp;ROUND(S251*(P251/$AO251)/VLOOKUP(O251,职业!$A$3:$E$16,4,FALSE),0),"")</f>
        <v/>
      </c>
      <c r="AK251" t="str">
        <f>IFERROR(T251&amp;"*"&amp;ROUND(X251*(U251/$AP251)/VLOOKUP(T251,商品!$A$4:$D$67,4,FALSE),0),"")</f>
        <v/>
      </c>
      <c r="AL251" t="str">
        <f>IFERROR(V251&amp;"*"&amp;ROUND(X251*(W251/$AP251)/VLOOKUP(V251,商品!$A$4:$D$67,4,FALSE),0),"")</f>
        <v/>
      </c>
      <c r="AN251">
        <f t="shared" si="29"/>
        <v>0</v>
      </c>
      <c r="AO251">
        <f t="shared" si="30"/>
        <v>0</v>
      </c>
      <c r="AP251">
        <f t="shared" si="31"/>
        <v>0</v>
      </c>
    </row>
    <row r="252" customHeight="1" spans="1:42">
      <c r="A252" s="5" t="s">
        <v>335</v>
      </c>
      <c r="C252" s="5">
        <v>1</v>
      </c>
      <c r="D252" s="1" t="s">
        <v>222</v>
      </c>
      <c r="E252" s="1" t="s">
        <v>226</v>
      </c>
      <c r="L252" s="1">
        <f>IFERROR(VLOOKUP($D252&amp;$C252,生产方式定位!$A$2:$E$38,2,FALSE)+VLOOKUP($E252&amp;$C252,生产方式定位!$F$3:$J$38,2,FALSE),0)</f>
        <v>0</v>
      </c>
      <c r="S252" s="1">
        <f>IFERROR(VLOOKUP($D252&amp;$C252,生产方式定位!$A$2:$E$38,3,FALSE)+VLOOKUP($E252&amp;$C252,生产方式定位!$F$3:$J$38,3,FALSE),0)</f>
        <v>500</v>
      </c>
      <c r="X252" s="1">
        <f>IFERROR(VLOOKUP($D252&amp;$C252,生产方式定位!$A$2:$E$38,5,FALSE)+VLOOKUP($E252&amp;$C252,生产方式定位!$F$3:$J$38,5,FALSE),"错误")</f>
        <v>250</v>
      </c>
      <c r="Y252" s="27" t="str">
        <f t="shared" si="24"/>
        <v/>
      </c>
      <c r="Z252" s="37" t="str">
        <f t="shared" si="25"/>
        <v/>
      </c>
      <c r="AA252" s="37" t="str">
        <f t="shared" si="26"/>
        <v/>
      </c>
      <c r="AB252" s="28">
        <f t="shared" si="27"/>
        <v>0</v>
      </c>
      <c r="AC252" s="37"/>
      <c r="AD252" s="38">
        <f t="shared" si="28"/>
        <v>1</v>
      </c>
      <c r="AE252" t="str">
        <f>IFERROR(F252&amp;"*"&amp;ROUND(L252*(G252/$AN252)/VLOOKUP(F252,商品!$A$4:$D$67,4,FALSE),0),"")</f>
        <v/>
      </c>
      <c r="AF252" t="str">
        <f>IFERROR(H252&amp;"*"&amp;ROUND(L252*(I252/$AN252)/VLOOKUP(H252,商品!$A$4:$D$67,4,FALSE),0),"")</f>
        <v/>
      </c>
      <c r="AG252" t="str">
        <f>IFERROR(J252&amp;"*"&amp;ROUND(L252*(K252/$AN252)/VLOOKUP(J252,商品!$A$4:$D$67,4,FALSE),0),"")</f>
        <v/>
      </c>
      <c r="AH252" t="str">
        <f>IFERROR(M252&amp;"*"&amp;ROUND(S252*(N252/$AO252)/VLOOKUP(M252,职业!$A$3:$E$16,4,FALSE),0),"")</f>
        <v/>
      </c>
      <c r="AI252" t="str">
        <f>IFERROR(O252&amp;"*"&amp;ROUND(S252*(P252/$AO252)/VLOOKUP(O252,职业!$A$3:$E$16,4,FALSE),0),"")</f>
        <v/>
      </c>
      <c r="AK252" t="str">
        <f>IFERROR(T252&amp;"*"&amp;ROUND(X252*(U252/$AP252)/VLOOKUP(T252,商品!$A$4:$D$67,4,FALSE),0),"")</f>
        <v/>
      </c>
      <c r="AL252" t="str">
        <f>IFERROR(V252&amp;"*"&amp;ROUND(X252*(W252/$AP252)/VLOOKUP(V252,商品!$A$4:$D$67,4,FALSE),0),"")</f>
        <v/>
      </c>
      <c r="AN252">
        <f t="shared" si="29"/>
        <v>0</v>
      </c>
      <c r="AO252">
        <f t="shared" si="30"/>
        <v>0</v>
      </c>
      <c r="AP252">
        <f t="shared" si="31"/>
        <v>0</v>
      </c>
    </row>
    <row r="253" customHeight="1" spans="1:42">
      <c r="A253" s="5" t="s">
        <v>335</v>
      </c>
      <c r="C253" s="5">
        <v>2</v>
      </c>
      <c r="D253" s="1" t="s">
        <v>222</v>
      </c>
      <c r="E253" s="1" t="s">
        <v>226</v>
      </c>
      <c r="L253" s="1">
        <f>IFERROR(VLOOKUP($D253&amp;$C253,生产方式定位!$A$2:$E$38,2,FALSE)+VLOOKUP($E253&amp;$C253,生产方式定位!$F$3:$J$38,2,FALSE),0)</f>
        <v>3200</v>
      </c>
      <c r="S253" s="1">
        <f>IFERROR(VLOOKUP($D253&amp;$C253,生产方式定位!$A$2:$E$38,3,FALSE)+VLOOKUP($E253&amp;$C253,生产方式定位!$F$3:$J$38,3,FALSE),0)</f>
        <v>350</v>
      </c>
      <c r="X253" s="1">
        <f>IFERROR(VLOOKUP($D253&amp;$C253,生产方式定位!$A$2:$E$38,5,FALSE)+VLOOKUP($E253&amp;$C253,生产方式定位!$F$3:$J$38,5,FALSE),"错误")</f>
        <v>1865</v>
      </c>
      <c r="Y253" s="27" t="str">
        <f t="shared" si="24"/>
        <v/>
      </c>
      <c r="Z253" s="37" t="str">
        <f t="shared" si="25"/>
        <v/>
      </c>
      <c r="AA253" s="37" t="str">
        <f t="shared" si="26"/>
        <v/>
      </c>
      <c r="AB253" s="28">
        <f t="shared" si="27"/>
        <v>1.72</v>
      </c>
      <c r="AC253" s="37"/>
      <c r="AD253" s="38">
        <f t="shared" si="28"/>
        <v>2</v>
      </c>
      <c r="AE253" t="str">
        <f>IFERROR(F253&amp;"*"&amp;ROUND(L253*(G253/$AN253)/VLOOKUP(F253,商品!$A$4:$D$67,4,FALSE),0),"")</f>
        <v/>
      </c>
      <c r="AF253" t="str">
        <f>IFERROR(H253&amp;"*"&amp;ROUND(L253*(I253/$AN253)/VLOOKUP(H253,商品!$A$4:$D$67,4,FALSE),0),"")</f>
        <v/>
      </c>
      <c r="AG253" t="str">
        <f>IFERROR(J253&amp;"*"&amp;ROUND(L253*(K253/$AN253)/VLOOKUP(J253,商品!$A$4:$D$67,4,FALSE),0),"")</f>
        <v/>
      </c>
      <c r="AH253" t="str">
        <f>IFERROR(M253&amp;"*"&amp;ROUND(S253*(N253/$AO253)/VLOOKUP(M253,职业!$A$3:$E$16,4,FALSE),0),"")</f>
        <v/>
      </c>
      <c r="AI253" t="str">
        <f>IFERROR(O253&amp;"*"&amp;ROUND(S253*(P253/$AO253)/VLOOKUP(O253,职业!$A$3:$E$16,4,FALSE),0),"")</f>
        <v/>
      </c>
      <c r="AK253" t="str">
        <f>IFERROR(T253&amp;"*"&amp;ROUND(X253*(U253/$AP253)/VLOOKUP(T253,商品!$A$4:$D$67,4,FALSE),0),"")</f>
        <v/>
      </c>
      <c r="AL253" t="str">
        <f>IFERROR(V253&amp;"*"&amp;ROUND(X253*(W253/$AP253)/VLOOKUP(V253,商品!$A$4:$D$67,4,FALSE),0),"")</f>
        <v/>
      </c>
      <c r="AN253">
        <f t="shared" si="29"/>
        <v>0</v>
      </c>
      <c r="AO253">
        <f t="shared" si="30"/>
        <v>0</v>
      </c>
      <c r="AP253">
        <f t="shared" si="31"/>
        <v>0</v>
      </c>
    </row>
    <row r="254" customHeight="1" spans="1:42">
      <c r="A254" s="5" t="s">
        <v>335</v>
      </c>
      <c r="C254" s="5">
        <v>3</v>
      </c>
      <c r="D254" s="1" t="s">
        <v>222</v>
      </c>
      <c r="E254" s="1" t="s">
        <v>226</v>
      </c>
      <c r="L254" s="1">
        <f>IFERROR(VLOOKUP($D254&amp;$C254,生产方式定位!$A$2:$E$38,2,FALSE)+VLOOKUP($E254&amp;$C254,生产方式定位!$F$3:$J$38,2,FALSE),0)</f>
        <v>4400</v>
      </c>
      <c r="S254" s="1">
        <f>IFERROR(VLOOKUP($D254&amp;$C254,生产方式定位!$A$2:$E$38,3,FALSE)+VLOOKUP($E254&amp;$C254,生产方式定位!$F$3:$J$38,3,FALSE),0)</f>
        <v>200</v>
      </c>
      <c r="X254" s="1">
        <f>IFERROR(VLOOKUP($D254&amp;$C254,生产方式定位!$A$2:$E$38,5,FALSE)+VLOOKUP($E254&amp;$C254,生产方式定位!$F$3:$J$38,5,FALSE),"错误")</f>
        <v>2560</v>
      </c>
      <c r="Y254" s="27" t="str">
        <f t="shared" si="24"/>
        <v/>
      </c>
      <c r="Z254" s="37" t="str">
        <f t="shared" si="25"/>
        <v/>
      </c>
      <c r="AA254" s="37" t="str">
        <f t="shared" si="26"/>
        <v/>
      </c>
      <c r="AB254" s="28">
        <f t="shared" si="27"/>
        <v>1.72</v>
      </c>
      <c r="AC254" s="37"/>
      <c r="AD254" s="38">
        <f t="shared" si="28"/>
        <v>3</v>
      </c>
      <c r="AE254" t="str">
        <f>IFERROR(F254&amp;"*"&amp;ROUND(L254*(G254/$AN254)/VLOOKUP(F254,商品!$A$4:$D$67,4,FALSE),0),"")</f>
        <v/>
      </c>
      <c r="AF254" t="str">
        <f>IFERROR(H254&amp;"*"&amp;ROUND(L254*(I254/$AN254)/VLOOKUP(H254,商品!$A$4:$D$67,4,FALSE),0),"")</f>
        <v/>
      </c>
      <c r="AG254" t="str">
        <f>IFERROR(J254&amp;"*"&amp;ROUND(L254*(K254/$AN254)/VLOOKUP(J254,商品!$A$4:$D$67,4,FALSE),0),"")</f>
        <v/>
      </c>
      <c r="AH254" t="str">
        <f>IFERROR(M254&amp;"*"&amp;ROUND(S254*(N254/$AO254)/VLOOKUP(M254,职业!$A$3:$E$16,4,FALSE),0),"")</f>
        <v/>
      </c>
      <c r="AI254" t="str">
        <f>IFERROR(O254&amp;"*"&amp;ROUND(S254*(P254/$AO254)/VLOOKUP(O254,职业!$A$3:$E$16,4,FALSE),0),"")</f>
        <v/>
      </c>
      <c r="AK254" t="str">
        <f>IFERROR(T254&amp;"*"&amp;ROUND(X254*(U254/$AP254)/VLOOKUP(T254,商品!$A$4:$D$67,4,FALSE),0),"")</f>
        <v/>
      </c>
      <c r="AL254" t="str">
        <f>IFERROR(V254&amp;"*"&amp;ROUND(X254*(W254/$AP254)/VLOOKUP(V254,商品!$A$4:$D$67,4,FALSE),0),"")</f>
        <v/>
      </c>
      <c r="AN254">
        <f t="shared" si="29"/>
        <v>0</v>
      </c>
      <c r="AO254">
        <f t="shared" si="30"/>
        <v>0</v>
      </c>
      <c r="AP254">
        <f t="shared" si="31"/>
        <v>0</v>
      </c>
    </row>
    <row r="255" customHeight="1" spans="1:42">
      <c r="A255" s="5" t="s">
        <v>335</v>
      </c>
      <c r="C255" s="5">
        <v>4</v>
      </c>
      <c r="D255" s="1" t="s">
        <v>222</v>
      </c>
      <c r="E255" s="1" t="s">
        <v>226</v>
      </c>
      <c r="L255" s="1">
        <f>IFERROR(VLOOKUP($D255&amp;$C255,生产方式定位!$A$2:$E$38,2,FALSE)+VLOOKUP($E255&amp;$C255,生产方式定位!$F$3:$J$38,2,FALSE),0)</f>
        <v>5600</v>
      </c>
      <c r="S255" s="1">
        <f>IFERROR(VLOOKUP($D255&amp;$C255,生产方式定位!$A$2:$E$38,3,FALSE)+VLOOKUP($E255&amp;$C255,生产方式定位!$F$3:$J$38,3,FALSE),0)</f>
        <v>50</v>
      </c>
      <c r="X255" s="1">
        <f>IFERROR(VLOOKUP($D255&amp;$C255,生产方式定位!$A$2:$E$38,5,FALSE)+VLOOKUP($E255&amp;$C255,生产方式定位!$F$3:$J$38,5,FALSE),"错误")</f>
        <v>3335</v>
      </c>
      <c r="Y255" s="27" t="str">
        <f t="shared" si="24"/>
        <v/>
      </c>
      <c r="Z255" s="37" t="str">
        <f t="shared" si="25"/>
        <v/>
      </c>
      <c r="AA255" s="37" t="str">
        <f t="shared" si="26"/>
        <v/>
      </c>
      <c r="AB255" s="28">
        <f t="shared" si="27"/>
        <v>1.68</v>
      </c>
      <c r="AC255" s="37"/>
      <c r="AD255" s="38">
        <f t="shared" si="28"/>
        <v>4</v>
      </c>
      <c r="AE255" t="str">
        <f>IFERROR(F255&amp;"*"&amp;ROUND(L255*(G255/$AN255)/VLOOKUP(F255,商品!$A$4:$D$67,4,FALSE),0),"")</f>
        <v/>
      </c>
      <c r="AF255" t="str">
        <f>IFERROR(H255&amp;"*"&amp;ROUND(L255*(I255/$AN255)/VLOOKUP(H255,商品!$A$4:$D$67,4,FALSE),0),"")</f>
        <v/>
      </c>
      <c r="AG255" t="str">
        <f>IFERROR(J255&amp;"*"&amp;ROUND(L255*(K255/$AN255)/VLOOKUP(J255,商品!$A$4:$D$67,4,FALSE),0),"")</f>
        <v/>
      </c>
      <c r="AH255" t="str">
        <f>IFERROR(M255&amp;"*"&amp;ROUND(S255*(N255/$AO255)/VLOOKUP(M255,职业!$A$3:$E$16,4,FALSE),0),"")</f>
        <v/>
      </c>
      <c r="AI255" t="str">
        <f>IFERROR(O255&amp;"*"&amp;ROUND(S255*(P255/$AO255)/VLOOKUP(O255,职业!$A$3:$E$16,4,FALSE),0),"")</f>
        <v/>
      </c>
      <c r="AK255" t="str">
        <f>IFERROR(T255&amp;"*"&amp;ROUND(X255*(U255/$AP255)/VLOOKUP(T255,商品!$A$4:$D$67,4,FALSE),0),"")</f>
        <v/>
      </c>
      <c r="AL255" t="str">
        <f>IFERROR(V255&amp;"*"&amp;ROUND(X255*(W255/$AP255)/VLOOKUP(V255,商品!$A$4:$D$67,4,FALSE),0),"")</f>
        <v/>
      </c>
      <c r="AN255">
        <f t="shared" si="29"/>
        <v>0</v>
      </c>
      <c r="AO255">
        <f t="shared" si="30"/>
        <v>0</v>
      </c>
      <c r="AP255">
        <f t="shared" si="31"/>
        <v>0</v>
      </c>
    </row>
    <row r="256" customHeight="1" spans="1:42">
      <c r="A256" s="5" t="s">
        <v>335</v>
      </c>
      <c r="C256" s="5">
        <v>5</v>
      </c>
      <c r="D256" s="1" t="s">
        <v>222</v>
      </c>
      <c r="E256" s="1" t="s">
        <v>226</v>
      </c>
      <c r="L256" s="1">
        <f>IFERROR(VLOOKUP($D256&amp;$C256,生产方式定位!$A$2:$E$38,2,FALSE)+VLOOKUP($E256&amp;$C256,生产方式定位!$F$3:$J$38,2,FALSE),0)</f>
        <v>6800</v>
      </c>
      <c r="S256" s="1">
        <f>IFERROR(VLOOKUP($D256&amp;$C256,生产方式定位!$A$2:$E$38,3,FALSE)+VLOOKUP($E256&amp;$C256,生产方式定位!$F$3:$J$38,3,FALSE),0)</f>
        <v>-100</v>
      </c>
      <c r="X256" s="1">
        <f>IFERROR(VLOOKUP($D256&amp;$C256,生产方式定位!$A$2:$E$38,5,FALSE)+VLOOKUP($E256&amp;$C256,生产方式定位!$F$3:$J$38,5,FALSE),"错误")</f>
        <v>4190</v>
      </c>
      <c r="Y256" s="27" t="str">
        <f t="shared" si="24"/>
        <v/>
      </c>
      <c r="Z256" s="37" t="str">
        <f t="shared" si="25"/>
        <v/>
      </c>
      <c r="AA256" s="37" t="str">
        <f t="shared" si="26"/>
        <v/>
      </c>
      <c r="AB256" s="28">
        <f t="shared" si="27"/>
        <v>1.62</v>
      </c>
      <c r="AC256" s="37"/>
      <c r="AD256" s="38">
        <f t="shared" si="28"/>
        <v>5</v>
      </c>
      <c r="AE256" t="str">
        <f>IFERROR(F256&amp;"*"&amp;ROUND(L256*(G256/$AN256)/VLOOKUP(F256,商品!$A$4:$D$67,4,FALSE),0),"")</f>
        <v/>
      </c>
      <c r="AF256" t="str">
        <f>IFERROR(H256&amp;"*"&amp;ROUND(L256*(I256/$AN256)/VLOOKUP(H256,商品!$A$4:$D$67,4,FALSE),0),"")</f>
        <v/>
      </c>
      <c r="AG256" t="str">
        <f>IFERROR(J256&amp;"*"&amp;ROUND(L256*(K256/$AN256)/VLOOKUP(J256,商品!$A$4:$D$67,4,FALSE),0),"")</f>
        <v/>
      </c>
      <c r="AH256" t="str">
        <f>IFERROR(M256&amp;"*"&amp;ROUND(S256*(N256/$AO256)/VLOOKUP(M256,职业!$A$3:$E$16,4,FALSE),0),"")</f>
        <v/>
      </c>
      <c r="AI256" t="str">
        <f>IFERROR(O256&amp;"*"&amp;ROUND(S256*(P256/$AO256)/VLOOKUP(O256,职业!$A$3:$E$16,4,FALSE),0),"")</f>
        <v/>
      </c>
      <c r="AK256" t="str">
        <f>IFERROR(T256&amp;"*"&amp;ROUND(X256*(U256/$AP256)/VLOOKUP(T256,商品!$A$4:$D$67,4,FALSE),0),"")</f>
        <v/>
      </c>
      <c r="AL256" t="str">
        <f>IFERROR(V256&amp;"*"&amp;ROUND(X256*(W256/$AP256)/VLOOKUP(V256,商品!$A$4:$D$67,4,FALSE),0),"")</f>
        <v/>
      </c>
      <c r="AN256">
        <f t="shared" si="29"/>
        <v>0</v>
      </c>
      <c r="AO256">
        <f t="shared" si="30"/>
        <v>0</v>
      </c>
      <c r="AP256">
        <f t="shared" si="31"/>
        <v>0</v>
      </c>
    </row>
    <row r="257" customHeight="1" spans="1:42">
      <c r="A257" s="18" t="s">
        <v>335</v>
      </c>
      <c r="C257" s="18">
        <v>1</v>
      </c>
      <c r="D257" s="1" t="s">
        <v>222</v>
      </c>
      <c r="E257" s="1" t="s">
        <v>226</v>
      </c>
      <c r="L257" s="1">
        <f>IFERROR(VLOOKUP($D257&amp;$C257,生产方式定位!$A$2:$E$38,2,FALSE)+VLOOKUP($E257&amp;$C257,生产方式定位!$F$3:$J$38,2,FALSE),0)</f>
        <v>0</v>
      </c>
      <c r="S257" s="1">
        <f>IFERROR(VLOOKUP($D257&amp;$C257,生产方式定位!$A$2:$E$38,3,FALSE)+VLOOKUP($E257&amp;$C257,生产方式定位!$F$3:$J$38,3,FALSE),0)</f>
        <v>500</v>
      </c>
      <c r="X257" s="1">
        <f>IFERROR(VLOOKUP($D257&amp;$C257,生产方式定位!$A$2:$E$38,5,FALSE)+VLOOKUP($E257&amp;$C257,生产方式定位!$F$3:$J$38,5,FALSE),"错误")</f>
        <v>250</v>
      </c>
      <c r="Y257" s="27" t="str">
        <f t="shared" si="24"/>
        <v/>
      </c>
      <c r="Z257" s="37" t="str">
        <f t="shared" si="25"/>
        <v/>
      </c>
      <c r="AA257" s="37" t="str">
        <f t="shared" si="26"/>
        <v/>
      </c>
      <c r="AB257" s="28">
        <f t="shared" si="27"/>
        <v>0</v>
      </c>
      <c r="AC257" s="37"/>
      <c r="AD257" s="38">
        <f t="shared" si="28"/>
        <v>1</v>
      </c>
      <c r="AE257" t="str">
        <f>IFERROR(F257&amp;"*"&amp;ROUND(L257*(G257/$AN257)/VLOOKUP(F257,商品!$A$4:$D$67,4,FALSE),0),"")</f>
        <v/>
      </c>
      <c r="AF257" t="str">
        <f>IFERROR(H257&amp;"*"&amp;ROUND(L257*(I257/$AN257)/VLOOKUP(H257,商品!$A$4:$D$67,4,FALSE),0),"")</f>
        <v/>
      </c>
      <c r="AG257" t="str">
        <f>IFERROR(J257&amp;"*"&amp;ROUND(L257*(K257/$AN257)/VLOOKUP(J257,商品!$A$4:$D$67,4,FALSE),0),"")</f>
        <v/>
      </c>
      <c r="AH257" t="str">
        <f>IFERROR(M257&amp;"*"&amp;ROUND(S257*(N257/$AO257)/VLOOKUP(M257,职业!$A$3:$E$16,4,FALSE),0),"")</f>
        <v/>
      </c>
      <c r="AI257" t="str">
        <f>IFERROR(O257&amp;"*"&amp;ROUND(S257*(P257/$AO257)/VLOOKUP(O257,职业!$A$3:$E$16,4,FALSE),0),"")</f>
        <v/>
      </c>
      <c r="AK257" t="str">
        <f>IFERROR(T257&amp;"*"&amp;ROUND(X257*(U257/$AP257)/VLOOKUP(T257,商品!$A$4:$D$67,4,FALSE),0),"")</f>
        <v/>
      </c>
      <c r="AL257" t="str">
        <f>IFERROR(V257&amp;"*"&amp;ROUND(X257*(W257/$AP257)/VLOOKUP(V257,商品!$A$4:$D$67,4,FALSE),0),"")</f>
        <v/>
      </c>
      <c r="AN257">
        <f t="shared" si="29"/>
        <v>0</v>
      </c>
      <c r="AO257">
        <f t="shared" si="30"/>
        <v>0</v>
      </c>
      <c r="AP257">
        <f t="shared" si="31"/>
        <v>0</v>
      </c>
    </row>
    <row r="258" customHeight="1" spans="1:42">
      <c r="A258" s="18" t="s">
        <v>335</v>
      </c>
      <c r="C258" s="18">
        <v>2</v>
      </c>
      <c r="D258" s="1" t="s">
        <v>222</v>
      </c>
      <c r="E258" s="1" t="s">
        <v>226</v>
      </c>
      <c r="L258" s="1">
        <f>IFERROR(VLOOKUP($D258&amp;$C258,生产方式定位!$A$2:$E$38,2,FALSE)+VLOOKUP($E258&amp;$C258,生产方式定位!$F$3:$J$38,2,FALSE),0)</f>
        <v>3200</v>
      </c>
      <c r="S258" s="1">
        <f>IFERROR(VLOOKUP($D258&amp;$C258,生产方式定位!$A$2:$E$38,3,FALSE)+VLOOKUP($E258&amp;$C258,生产方式定位!$F$3:$J$38,3,FALSE),0)</f>
        <v>350</v>
      </c>
      <c r="X258" s="1">
        <f>IFERROR(VLOOKUP($D258&amp;$C258,生产方式定位!$A$2:$E$38,5,FALSE)+VLOOKUP($E258&amp;$C258,生产方式定位!$F$3:$J$38,5,FALSE),"错误")</f>
        <v>1865</v>
      </c>
      <c r="Y258" s="27" t="str">
        <f t="shared" si="24"/>
        <v/>
      </c>
      <c r="Z258" s="37" t="str">
        <f t="shared" si="25"/>
        <v/>
      </c>
      <c r="AA258" s="37" t="str">
        <f t="shared" si="26"/>
        <v/>
      </c>
      <c r="AB258" s="28">
        <f t="shared" si="27"/>
        <v>1.72</v>
      </c>
      <c r="AC258" s="37"/>
      <c r="AD258" s="38">
        <f t="shared" si="28"/>
        <v>2</v>
      </c>
      <c r="AE258" t="str">
        <f>IFERROR(F258&amp;"*"&amp;ROUND(L258*(G258/$AN258)/VLOOKUP(F258,商品!$A$4:$D$67,4,FALSE),0),"")</f>
        <v/>
      </c>
      <c r="AF258" t="str">
        <f>IFERROR(H258&amp;"*"&amp;ROUND(L258*(I258/$AN258)/VLOOKUP(H258,商品!$A$4:$D$67,4,FALSE),0),"")</f>
        <v/>
      </c>
      <c r="AG258" t="str">
        <f>IFERROR(J258&amp;"*"&amp;ROUND(L258*(K258/$AN258)/VLOOKUP(J258,商品!$A$4:$D$67,4,FALSE),0),"")</f>
        <v/>
      </c>
      <c r="AH258" t="str">
        <f>IFERROR(M258&amp;"*"&amp;ROUND(S258*(N258/$AO258)/VLOOKUP(M258,职业!$A$3:$E$16,4,FALSE),0),"")</f>
        <v/>
      </c>
      <c r="AI258" t="str">
        <f>IFERROR(O258&amp;"*"&amp;ROUND(S258*(P258/$AO258)/VLOOKUP(O258,职业!$A$3:$E$16,4,FALSE),0),"")</f>
        <v/>
      </c>
      <c r="AK258" t="str">
        <f>IFERROR(T258&amp;"*"&amp;ROUND(X258*(U258/$AP258)/VLOOKUP(T258,商品!$A$4:$D$67,4,FALSE),0),"")</f>
        <v/>
      </c>
      <c r="AL258" t="str">
        <f>IFERROR(V258&amp;"*"&amp;ROUND(X258*(W258/$AP258)/VLOOKUP(V258,商品!$A$4:$D$67,4,FALSE),0),"")</f>
        <v/>
      </c>
      <c r="AN258">
        <f t="shared" si="29"/>
        <v>0</v>
      </c>
      <c r="AO258">
        <f t="shared" si="30"/>
        <v>0</v>
      </c>
      <c r="AP258">
        <f t="shared" si="31"/>
        <v>0</v>
      </c>
    </row>
    <row r="259" customHeight="1" spans="1:42">
      <c r="A259" s="18" t="s">
        <v>335</v>
      </c>
      <c r="C259" s="18">
        <v>3</v>
      </c>
      <c r="D259" s="1" t="s">
        <v>222</v>
      </c>
      <c r="E259" s="1" t="s">
        <v>226</v>
      </c>
      <c r="L259" s="1">
        <f>IFERROR(VLOOKUP($D259&amp;$C259,生产方式定位!$A$2:$E$38,2,FALSE)+VLOOKUP($E259&amp;$C259,生产方式定位!$F$3:$J$38,2,FALSE),0)</f>
        <v>4400</v>
      </c>
      <c r="S259" s="1">
        <f>IFERROR(VLOOKUP($D259&amp;$C259,生产方式定位!$A$2:$E$38,3,FALSE)+VLOOKUP($E259&amp;$C259,生产方式定位!$F$3:$J$38,3,FALSE),0)</f>
        <v>200</v>
      </c>
      <c r="X259" s="1">
        <f>IFERROR(VLOOKUP($D259&amp;$C259,生产方式定位!$A$2:$E$38,5,FALSE)+VLOOKUP($E259&amp;$C259,生产方式定位!$F$3:$J$38,5,FALSE),"错误")</f>
        <v>2560</v>
      </c>
      <c r="Y259" s="27" t="str">
        <f t="shared" si="24"/>
        <v/>
      </c>
      <c r="Z259" s="37" t="str">
        <f t="shared" si="25"/>
        <v/>
      </c>
      <c r="AA259" s="37" t="str">
        <f t="shared" si="26"/>
        <v/>
      </c>
      <c r="AB259" s="28">
        <f t="shared" si="27"/>
        <v>1.72</v>
      </c>
      <c r="AC259" s="37"/>
      <c r="AD259" s="38">
        <f t="shared" si="28"/>
        <v>3</v>
      </c>
      <c r="AE259" t="str">
        <f>IFERROR(F259&amp;"*"&amp;ROUND(L259*(G259/$AN259)/VLOOKUP(F259,商品!$A$4:$D$67,4,FALSE),0),"")</f>
        <v/>
      </c>
      <c r="AF259" t="str">
        <f>IFERROR(H259&amp;"*"&amp;ROUND(L259*(I259/$AN259)/VLOOKUP(H259,商品!$A$4:$D$67,4,FALSE),0),"")</f>
        <v/>
      </c>
      <c r="AG259" t="str">
        <f>IFERROR(J259&amp;"*"&amp;ROUND(L259*(K259/$AN259)/VLOOKUP(J259,商品!$A$4:$D$67,4,FALSE),0),"")</f>
        <v/>
      </c>
      <c r="AH259" t="str">
        <f>IFERROR(M259&amp;"*"&amp;ROUND(S259*(N259/$AO259)/VLOOKUP(M259,职业!$A$3:$E$16,4,FALSE),0),"")</f>
        <v/>
      </c>
      <c r="AI259" t="str">
        <f>IFERROR(O259&amp;"*"&amp;ROUND(S259*(P259/$AO259)/VLOOKUP(O259,职业!$A$3:$E$16,4,FALSE),0),"")</f>
        <v/>
      </c>
      <c r="AK259" t="str">
        <f>IFERROR(T259&amp;"*"&amp;ROUND(X259*(U259/$AP259)/VLOOKUP(T259,商品!$A$4:$D$67,4,FALSE),0),"")</f>
        <v/>
      </c>
      <c r="AL259" t="str">
        <f>IFERROR(V259&amp;"*"&amp;ROUND(X259*(W259/$AP259)/VLOOKUP(V259,商品!$A$4:$D$67,4,FALSE),0),"")</f>
        <v/>
      </c>
      <c r="AN259">
        <f t="shared" si="29"/>
        <v>0</v>
      </c>
      <c r="AO259">
        <f t="shared" si="30"/>
        <v>0</v>
      </c>
      <c r="AP259">
        <f t="shared" si="31"/>
        <v>0</v>
      </c>
    </row>
    <row r="260" customHeight="1" spans="1:42">
      <c r="A260" s="18" t="s">
        <v>335</v>
      </c>
      <c r="C260" s="18">
        <v>4</v>
      </c>
      <c r="D260" s="1" t="s">
        <v>222</v>
      </c>
      <c r="E260" s="1" t="s">
        <v>226</v>
      </c>
      <c r="L260" s="1">
        <f>IFERROR(VLOOKUP($D260&amp;$C260,生产方式定位!$A$2:$E$38,2,FALSE)+VLOOKUP($E260&amp;$C260,生产方式定位!$F$3:$J$38,2,FALSE),0)</f>
        <v>5600</v>
      </c>
      <c r="S260" s="1">
        <f>IFERROR(VLOOKUP($D260&amp;$C260,生产方式定位!$A$2:$E$38,3,FALSE)+VLOOKUP($E260&amp;$C260,生产方式定位!$F$3:$J$38,3,FALSE),0)</f>
        <v>50</v>
      </c>
      <c r="X260" s="1">
        <f>IFERROR(VLOOKUP($D260&amp;$C260,生产方式定位!$A$2:$E$38,5,FALSE)+VLOOKUP($E260&amp;$C260,生产方式定位!$F$3:$J$38,5,FALSE),"错误")</f>
        <v>3335</v>
      </c>
      <c r="Y260" s="27" t="str">
        <f t="shared" si="24"/>
        <v/>
      </c>
      <c r="Z260" s="37" t="str">
        <f t="shared" si="25"/>
        <v/>
      </c>
      <c r="AA260" s="37" t="str">
        <f t="shared" si="26"/>
        <v/>
      </c>
      <c r="AB260" s="28">
        <f t="shared" si="27"/>
        <v>1.68</v>
      </c>
      <c r="AC260" s="37"/>
      <c r="AD260" s="38">
        <f t="shared" si="28"/>
        <v>4</v>
      </c>
      <c r="AE260" t="str">
        <f>IFERROR(F260&amp;"*"&amp;ROUND(L260*(G260/$AN260)/VLOOKUP(F260,商品!$A$4:$D$67,4,FALSE),0),"")</f>
        <v/>
      </c>
      <c r="AF260" t="str">
        <f>IFERROR(H260&amp;"*"&amp;ROUND(L260*(I260/$AN260)/VLOOKUP(H260,商品!$A$4:$D$67,4,FALSE),0),"")</f>
        <v/>
      </c>
      <c r="AG260" t="str">
        <f>IFERROR(J260&amp;"*"&amp;ROUND(L260*(K260/$AN260)/VLOOKUP(J260,商品!$A$4:$D$67,4,FALSE),0),"")</f>
        <v/>
      </c>
      <c r="AH260" t="str">
        <f>IFERROR(M260&amp;"*"&amp;ROUND(S260*(N260/$AO260)/VLOOKUP(M260,职业!$A$3:$E$16,4,FALSE),0),"")</f>
        <v/>
      </c>
      <c r="AI260" t="str">
        <f>IFERROR(O260&amp;"*"&amp;ROUND(S260*(P260/$AO260)/VLOOKUP(O260,职业!$A$3:$E$16,4,FALSE),0),"")</f>
        <v/>
      </c>
      <c r="AK260" t="str">
        <f>IFERROR(T260&amp;"*"&amp;ROUND(X260*(U260/$AP260)/VLOOKUP(T260,商品!$A$4:$D$67,4,FALSE),0),"")</f>
        <v/>
      </c>
      <c r="AL260" t="str">
        <f>IFERROR(V260&amp;"*"&amp;ROUND(X260*(W260/$AP260)/VLOOKUP(V260,商品!$A$4:$D$67,4,FALSE),0),"")</f>
        <v/>
      </c>
      <c r="AN260">
        <f t="shared" si="29"/>
        <v>0</v>
      </c>
      <c r="AO260">
        <f t="shared" si="30"/>
        <v>0</v>
      </c>
      <c r="AP260">
        <f t="shared" si="31"/>
        <v>0</v>
      </c>
    </row>
    <row r="261" customHeight="1" spans="1:42">
      <c r="A261" s="18" t="s">
        <v>335</v>
      </c>
      <c r="C261" s="18">
        <v>5</v>
      </c>
      <c r="D261" s="1" t="s">
        <v>222</v>
      </c>
      <c r="E261" s="1" t="s">
        <v>226</v>
      </c>
      <c r="L261" s="1">
        <f>IFERROR(VLOOKUP($D261&amp;$C261,生产方式定位!$A$2:$E$38,2,FALSE)+VLOOKUP($E261&amp;$C261,生产方式定位!$F$3:$J$38,2,FALSE),0)</f>
        <v>6800</v>
      </c>
      <c r="S261" s="1">
        <f>IFERROR(VLOOKUP($D261&amp;$C261,生产方式定位!$A$2:$E$38,3,FALSE)+VLOOKUP($E261&amp;$C261,生产方式定位!$F$3:$J$38,3,FALSE),0)</f>
        <v>-100</v>
      </c>
      <c r="X261" s="1">
        <f>IFERROR(VLOOKUP($D261&amp;$C261,生产方式定位!$A$2:$E$38,5,FALSE)+VLOOKUP($E261&amp;$C261,生产方式定位!$F$3:$J$38,5,FALSE),"错误")</f>
        <v>4190</v>
      </c>
      <c r="Y261" s="27" t="str">
        <f t="shared" ref="Y261:Y324" si="32">IF(AE261="","",AE261)&amp;IF(AF261="","",","&amp;AF261)&amp;IF(AG261="","",","&amp;AG261)</f>
        <v/>
      </c>
      <c r="Z261" s="37" t="str">
        <f t="shared" ref="Z261:Z324" si="33">IF(AH261="","",AH261)&amp;IF(AI261="","",","&amp;AI261)</f>
        <v/>
      </c>
      <c r="AA261" s="37" t="str">
        <f t="shared" ref="AA261:AA324" si="34">IF(AK261="","",AK261)&amp;IF(AL261="","",","&amp;AL261)</f>
        <v/>
      </c>
      <c r="AB261" s="28">
        <f t="shared" ref="AB261:AB324" si="35">IFERROR(ROUND(L261/X261,2),"")</f>
        <v>1.62</v>
      </c>
      <c r="AC261" s="37"/>
      <c r="AD261" s="38">
        <f t="shared" ref="AD261:AD324" si="36">C261</f>
        <v>5</v>
      </c>
      <c r="AE261" t="str">
        <f>IFERROR(F261&amp;"*"&amp;ROUND(L261*(G261/$AN261)/VLOOKUP(F261,商品!$A$4:$D$67,4,FALSE),0),"")</f>
        <v/>
      </c>
      <c r="AF261" t="str">
        <f>IFERROR(H261&amp;"*"&amp;ROUND(L261*(I261/$AN261)/VLOOKUP(H261,商品!$A$4:$D$67,4,FALSE),0),"")</f>
        <v/>
      </c>
      <c r="AG261" t="str">
        <f>IFERROR(J261&amp;"*"&amp;ROUND(L261*(K261/$AN261)/VLOOKUP(J261,商品!$A$4:$D$67,4,FALSE),0),"")</f>
        <v/>
      </c>
      <c r="AH261" t="str">
        <f>IFERROR(M261&amp;"*"&amp;ROUND(S261*(N261/$AO261)/VLOOKUP(M261,职业!$A$3:$E$16,4,FALSE),0),"")</f>
        <v/>
      </c>
      <c r="AI261" t="str">
        <f>IFERROR(O261&amp;"*"&amp;ROUND(S261*(P261/$AO261)/VLOOKUP(O261,职业!$A$3:$E$16,4,FALSE),0),"")</f>
        <v/>
      </c>
      <c r="AK261" t="str">
        <f>IFERROR(T261&amp;"*"&amp;ROUND(X261*(U261/$AP261)/VLOOKUP(T261,商品!$A$4:$D$67,4,FALSE),0),"")</f>
        <v/>
      </c>
      <c r="AL261" t="str">
        <f>IFERROR(V261&amp;"*"&amp;ROUND(X261*(W261/$AP261)/VLOOKUP(V261,商品!$A$4:$D$67,4,FALSE),0),"")</f>
        <v/>
      </c>
      <c r="AN261">
        <f t="shared" si="29"/>
        <v>0</v>
      </c>
      <c r="AO261">
        <f t="shared" si="30"/>
        <v>0</v>
      </c>
      <c r="AP261">
        <f t="shared" si="31"/>
        <v>0</v>
      </c>
    </row>
    <row r="262" customHeight="1" spans="1:42">
      <c r="A262" s="5" t="s">
        <v>336</v>
      </c>
      <c r="C262" s="5">
        <v>1</v>
      </c>
      <c r="D262" s="1" t="s">
        <v>293</v>
      </c>
      <c r="E262" s="1" t="s">
        <v>227</v>
      </c>
      <c r="L262" s="1">
        <f>IFERROR(VLOOKUP($D262&amp;$C262,生产方式定位!$A$2:$E$38,2,FALSE)+VLOOKUP($E262&amp;$C262,生产方式定位!$F$3:$J$38,2,FALSE),0)</f>
        <v>0</v>
      </c>
      <c r="S262" s="1">
        <f>IFERROR(VLOOKUP($D262&amp;$C262,生产方式定位!$A$2:$E$38,3,FALSE)+VLOOKUP($E262&amp;$C262,生产方式定位!$F$3:$J$38,3,FALSE),0)</f>
        <v>0</v>
      </c>
      <c r="X262" s="1">
        <f>IFERROR(VLOOKUP($D262&amp;$C262,生产方式定位!$A$2:$E$38,5,FALSE)+VLOOKUP($E262&amp;$C262,生产方式定位!$F$3:$J$38,5,FALSE),"错误")</f>
        <v>0</v>
      </c>
      <c r="Y262" s="27" t="str">
        <f t="shared" si="32"/>
        <v/>
      </c>
      <c r="Z262" s="37" t="str">
        <f t="shared" si="33"/>
        <v/>
      </c>
      <c r="AA262" s="37" t="str">
        <f t="shared" si="34"/>
        <v/>
      </c>
      <c r="AB262" s="28" t="str">
        <f t="shared" si="35"/>
        <v/>
      </c>
      <c r="AC262" s="37"/>
      <c r="AD262" s="38">
        <f t="shared" si="36"/>
        <v>1</v>
      </c>
      <c r="AE262" t="str">
        <f>IFERROR(F262&amp;"*"&amp;ROUND(L262*(G262/$AN262)/VLOOKUP(F262,商品!$A$4:$D$67,4,FALSE),0),"")</f>
        <v/>
      </c>
      <c r="AF262" t="str">
        <f>IFERROR(H262&amp;"*"&amp;ROUND(L262*(I262/$AN262)/VLOOKUP(H262,商品!$A$4:$D$67,4,FALSE),0),"")</f>
        <v/>
      </c>
      <c r="AG262" t="str">
        <f>IFERROR(J262&amp;"*"&amp;ROUND(L262*(K262/$AN262)/VLOOKUP(J262,商品!$A$4:$D$67,4,FALSE),0),"")</f>
        <v/>
      </c>
      <c r="AH262" t="str">
        <f>IFERROR(M262&amp;"*"&amp;ROUND(S262*(N262/$AO262)/VLOOKUP(M262,职业!$A$3:$E$16,4,FALSE),0),"")</f>
        <v/>
      </c>
      <c r="AI262" t="str">
        <f>IFERROR(O262&amp;"*"&amp;ROUND(S262*(P262/$AO262)/VLOOKUP(O262,职业!$A$3:$E$16,4,FALSE),0),"")</f>
        <v/>
      </c>
      <c r="AK262" t="str">
        <f>IFERROR(T262&amp;"*"&amp;ROUND(X262*(U262/$AP262)/VLOOKUP(T262,商品!$A$4:$D$67,4,FALSE),0),"")</f>
        <v/>
      </c>
      <c r="AL262" t="str">
        <f>IFERROR(V262&amp;"*"&amp;ROUND(X262*(W262/$AP262)/VLOOKUP(V262,商品!$A$4:$D$67,4,FALSE),0),"")</f>
        <v/>
      </c>
      <c r="AN262">
        <f t="shared" ref="AN262:AN325" si="37">G262+I262+K262</f>
        <v>0</v>
      </c>
      <c r="AO262">
        <f t="shared" ref="AO262:AO325" si="38">N262+P262+R262</f>
        <v>0</v>
      </c>
      <c r="AP262">
        <f t="shared" ref="AP262:AP325" si="39">U262+W262</f>
        <v>0</v>
      </c>
    </row>
    <row r="263" customHeight="1" spans="1:42">
      <c r="A263" s="5" t="s">
        <v>336</v>
      </c>
      <c r="C263" s="5">
        <v>2</v>
      </c>
      <c r="D263" s="1" t="s">
        <v>293</v>
      </c>
      <c r="E263" s="1" t="s">
        <v>227</v>
      </c>
      <c r="L263" s="1">
        <f>IFERROR(VLOOKUP($D263&amp;$C263,生产方式定位!$A$2:$E$38,2,FALSE)+VLOOKUP($E263&amp;$C263,生产方式定位!$F$3:$J$38,2,FALSE),0)</f>
        <v>0</v>
      </c>
      <c r="S263" s="1">
        <f>IFERROR(VLOOKUP($D263&amp;$C263,生产方式定位!$A$2:$E$38,3,FALSE)+VLOOKUP($E263&amp;$C263,生产方式定位!$F$3:$J$38,3,FALSE),0)</f>
        <v>0</v>
      </c>
      <c r="X263" s="1">
        <f>IFERROR(VLOOKUP($D263&amp;$C263,生产方式定位!$A$2:$E$38,5,FALSE)+VLOOKUP($E263&amp;$C263,生产方式定位!$F$3:$J$38,5,FALSE),"错误")</f>
        <v>0</v>
      </c>
      <c r="Y263" s="27" t="str">
        <f t="shared" si="32"/>
        <v/>
      </c>
      <c r="Z263" s="37" t="str">
        <f t="shared" si="33"/>
        <v/>
      </c>
      <c r="AA263" s="37" t="str">
        <f t="shared" si="34"/>
        <v/>
      </c>
      <c r="AB263" s="28" t="str">
        <f t="shared" si="35"/>
        <v/>
      </c>
      <c r="AC263" s="37"/>
      <c r="AD263" s="38">
        <f t="shared" si="36"/>
        <v>2</v>
      </c>
      <c r="AE263" t="str">
        <f>IFERROR(F263&amp;"*"&amp;ROUND(L263*(G263/$AN263)/VLOOKUP(F263,商品!$A$4:$D$67,4,FALSE),0),"")</f>
        <v/>
      </c>
      <c r="AF263" t="str">
        <f>IFERROR(H263&amp;"*"&amp;ROUND(L263*(I263/$AN263)/VLOOKUP(H263,商品!$A$4:$D$67,4,FALSE),0),"")</f>
        <v/>
      </c>
      <c r="AG263" t="str">
        <f>IFERROR(J263&amp;"*"&amp;ROUND(L263*(K263/$AN263)/VLOOKUP(J263,商品!$A$4:$D$67,4,FALSE),0),"")</f>
        <v/>
      </c>
      <c r="AH263" t="str">
        <f>IFERROR(M263&amp;"*"&amp;ROUND(S263*(N263/$AO263)/VLOOKUP(M263,职业!$A$3:$E$16,4,FALSE),0),"")</f>
        <v/>
      </c>
      <c r="AI263" t="str">
        <f>IFERROR(O263&amp;"*"&amp;ROUND(S263*(P263/$AO263)/VLOOKUP(O263,职业!$A$3:$E$16,4,FALSE),0),"")</f>
        <v/>
      </c>
      <c r="AK263" t="str">
        <f>IFERROR(T263&amp;"*"&amp;ROUND(X263*(U263/$AP263)/VLOOKUP(T263,商品!$A$4:$D$67,4,FALSE),0),"")</f>
        <v/>
      </c>
      <c r="AL263" t="str">
        <f>IFERROR(V263&amp;"*"&amp;ROUND(X263*(W263/$AP263)/VLOOKUP(V263,商品!$A$4:$D$67,4,FALSE),0),"")</f>
        <v/>
      </c>
      <c r="AN263">
        <f t="shared" si="37"/>
        <v>0</v>
      </c>
      <c r="AO263">
        <f t="shared" si="38"/>
        <v>0</v>
      </c>
      <c r="AP263">
        <f t="shared" si="39"/>
        <v>0</v>
      </c>
    </row>
    <row r="264" customHeight="1" spans="1:42">
      <c r="A264" s="5" t="s">
        <v>336</v>
      </c>
      <c r="C264" s="5">
        <v>3</v>
      </c>
      <c r="D264" s="1" t="s">
        <v>293</v>
      </c>
      <c r="E264" s="1" t="s">
        <v>227</v>
      </c>
      <c r="L264" s="1">
        <f>IFERROR(VLOOKUP($D264&amp;$C264,生产方式定位!$A$2:$E$38,2,FALSE)+VLOOKUP($E264&amp;$C264,生产方式定位!$F$3:$J$38,2,FALSE),0)</f>
        <v>0</v>
      </c>
      <c r="S264" s="1">
        <f>IFERROR(VLOOKUP($D264&amp;$C264,生产方式定位!$A$2:$E$38,3,FALSE)+VLOOKUP($E264&amp;$C264,生产方式定位!$F$3:$J$38,3,FALSE),0)</f>
        <v>0</v>
      </c>
      <c r="X264" s="1">
        <f>IFERROR(VLOOKUP($D264&amp;$C264,生产方式定位!$A$2:$E$38,5,FALSE)+VLOOKUP($E264&amp;$C264,生产方式定位!$F$3:$J$38,5,FALSE),"错误")</f>
        <v>0</v>
      </c>
      <c r="Y264" s="27" t="str">
        <f t="shared" si="32"/>
        <v/>
      </c>
      <c r="Z264" s="37" t="str">
        <f t="shared" si="33"/>
        <v/>
      </c>
      <c r="AA264" s="37" t="str">
        <f t="shared" si="34"/>
        <v/>
      </c>
      <c r="AB264" s="28" t="str">
        <f t="shared" si="35"/>
        <v/>
      </c>
      <c r="AC264" s="37"/>
      <c r="AD264" s="38">
        <f t="shared" si="36"/>
        <v>3</v>
      </c>
      <c r="AE264" t="str">
        <f>IFERROR(F264&amp;"*"&amp;ROUND(L264*(G264/$AN264)/VLOOKUP(F264,商品!$A$4:$D$67,4,FALSE),0),"")</f>
        <v/>
      </c>
      <c r="AF264" t="str">
        <f>IFERROR(H264&amp;"*"&amp;ROUND(L264*(I264/$AN264)/VLOOKUP(H264,商品!$A$4:$D$67,4,FALSE),0),"")</f>
        <v/>
      </c>
      <c r="AG264" t="str">
        <f>IFERROR(J264&amp;"*"&amp;ROUND(L264*(K264/$AN264)/VLOOKUP(J264,商品!$A$4:$D$67,4,FALSE),0),"")</f>
        <v/>
      </c>
      <c r="AH264" t="str">
        <f>IFERROR(M264&amp;"*"&amp;ROUND(S264*(N264/$AO264)/VLOOKUP(M264,职业!$A$3:$E$16,4,FALSE),0),"")</f>
        <v/>
      </c>
      <c r="AI264" t="str">
        <f>IFERROR(O264&amp;"*"&amp;ROUND(S264*(P264/$AO264)/VLOOKUP(O264,职业!$A$3:$E$16,4,FALSE),0),"")</f>
        <v/>
      </c>
      <c r="AK264" t="str">
        <f>IFERROR(T264&amp;"*"&amp;ROUND(X264*(U264/$AP264)/VLOOKUP(T264,商品!$A$4:$D$67,4,FALSE),0),"")</f>
        <v/>
      </c>
      <c r="AL264" t="str">
        <f>IFERROR(V264&amp;"*"&amp;ROUND(X264*(W264/$AP264)/VLOOKUP(V264,商品!$A$4:$D$67,4,FALSE),0),"")</f>
        <v/>
      </c>
      <c r="AN264">
        <f t="shared" si="37"/>
        <v>0</v>
      </c>
      <c r="AO264">
        <f t="shared" si="38"/>
        <v>0</v>
      </c>
      <c r="AP264">
        <f t="shared" si="39"/>
        <v>0</v>
      </c>
    </row>
    <row r="265" customHeight="1" spans="1:42">
      <c r="A265" s="5" t="s">
        <v>336</v>
      </c>
      <c r="C265" s="5">
        <v>4</v>
      </c>
      <c r="D265" s="1" t="s">
        <v>293</v>
      </c>
      <c r="E265" s="1" t="s">
        <v>227</v>
      </c>
      <c r="L265" s="1">
        <f>IFERROR(VLOOKUP($D265&amp;$C265,生产方式定位!$A$2:$E$38,2,FALSE)+VLOOKUP($E265&amp;$C265,生产方式定位!$F$3:$J$38,2,FALSE),0)</f>
        <v>0</v>
      </c>
      <c r="S265" s="1">
        <f>IFERROR(VLOOKUP($D265&amp;$C265,生产方式定位!$A$2:$E$38,3,FALSE)+VLOOKUP($E265&amp;$C265,生产方式定位!$F$3:$J$38,3,FALSE),0)</f>
        <v>0</v>
      </c>
      <c r="X265" s="1">
        <f>IFERROR(VLOOKUP($D265&amp;$C265,生产方式定位!$A$2:$E$38,5,FALSE)+VLOOKUP($E265&amp;$C265,生产方式定位!$F$3:$J$38,5,FALSE),"错误")</f>
        <v>0</v>
      </c>
      <c r="Y265" s="27" t="str">
        <f t="shared" si="32"/>
        <v/>
      </c>
      <c r="Z265" s="37" t="str">
        <f t="shared" si="33"/>
        <v/>
      </c>
      <c r="AA265" s="37" t="str">
        <f t="shared" si="34"/>
        <v/>
      </c>
      <c r="AB265" s="28" t="str">
        <f t="shared" si="35"/>
        <v/>
      </c>
      <c r="AC265" s="37"/>
      <c r="AD265" s="38">
        <f t="shared" si="36"/>
        <v>4</v>
      </c>
      <c r="AE265" t="str">
        <f>IFERROR(F265&amp;"*"&amp;ROUND(L265*(G265/$AN265)/VLOOKUP(F265,商品!$A$4:$D$67,4,FALSE),0),"")</f>
        <v/>
      </c>
      <c r="AF265" t="str">
        <f>IFERROR(H265&amp;"*"&amp;ROUND(L265*(I265/$AN265)/VLOOKUP(H265,商品!$A$4:$D$67,4,FALSE),0),"")</f>
        <v/>
      </c>
      <c r="AG265" t="str">
        <f>IFERROR(J265&amp;"*"&amp;ROUND(L265*(K265/$AN265)/VLOOKUP(J265,商品!$A$4:$D$67,4,FALSE),0),"")</f>
        <v/>
      </c>
      <c r="AH265" t="str">
        <f>IFERROR(M265&amp;"*"&amp;ROUND(S265*(N265/$AO265)/VLOOKUP(M265,职业!$A$3:$E$16,4,FALSE),0),"")</f>
        <v/>
      </c>
      <c r="AI265" t="str">
        <f>IFERROR(O265&amp;"*"&amp;ROUND(S265*(P265/$AO265)/VLOOKUP(O265,职业!$A$3:$E$16,4,FALSE),0),"")</f>
        <v/>
      </c>
      <c r="AK265" t="str">
        <f>IFERROR(T265&amp;"*"&amp;ROUND(X265*(U265/$AP265)/VLOOKUP(T265,商品!$A$4:$D$67,4,FALSE),0),"")</f>
        <v/>
      </c>
      <c r="AL265" t="str">
        <f>IFERROR(V265&amp;"*"&amp;ROUND(X265*(W265/$AP265)/VLOOKUP(V265,商品!$A$4:$D$67,4,FALSE),0),"")</f>
        <v/>
      </c>
      <c r="AN265">
        <f t="shared" si="37"/>
        <v>0</v>
      </c>
      <c r="AO265">
        <f t="shared" si="38"/>
        <v>0</v>
      </c>
      <c r="AP265">
        <f t="shared" si="39"/>
        <v>0</v>
      </c>
    </row>
    <row r="266" customHeight="1" spans="1:42">
      <c r="A266" s="5" t="s">
        <v>336</v>
      </c>
      <c r="C266" s="5">
        <v>5</v>
      </c>
      <c r="D266" s="1" t="s">
        <v>293</v>
      </c>
      <c r="E266" s="1" t="s">
        <v>227</v>
      </c>
      <c r="L266" s="1">
        <f>IFERROR(VLOOKUP($D266&amp;$C266,生产方式定位!$A$2:$E$38,2,FALSE)+VLOOKUP($E266&amp;$C266,生产方式定位!$F$3:$J$38,2,FALSE),0)</f>
        <v>0</v>
      </c>
      <c r="S266" s="1">
        <f>IFERROR(VLOOKUP($D266&amp;$C266,生产方式定位!$A$2:$E$38,3,FALSE)+VLOOKUP($E266&amp;$C266,生产方式定位!$F$3:$J$38,3,FALSE),0)</f>
        <v>0</v>
      </c>
      <c r="X266" s="1">
        <f>IFERROR(VLOOKUP($D266&amp;$C266,生产方式定位!$A$2:$E$38,5,FALSE)+VLOOKUP($E266&amp;$C266,生产方式定位!$F$3:$J$38,5,FALSE),"错误")</f>
        <v>0</v>
      </c>
      <c r="Y266" s="27" t="str">
        <f t="shared" si="32"/>
        <v/>
      </c>
      <c r="Z266" s="37" t="str">
        <f t="shared" si="33"/>
        <v/>
      </c>
      <c r="AA266" s="37" t="str">
        <f t="shared" si="34"/>
        <v/>
      </c>
      <c r="AB266" s="28" t="str">
        <f t="shared" si="35"/>
        <v/>
      </c>
      <c r="AC266" s="37"/>
      <c r="AD266" s="38">
        <f t="shared" si="36"/>
        <v>5</v>
      </c>
      <c r="AE266" t="str">
        <f>IFERROR(F266&amp;"*"&amp;ROUND(L266*(G266/$AN266)/VLOOKUP(F266,商品!$A$4:$D$67,4,FALSE),0),"")</f>
        <v/>
      </c>
      <c r="AF266" t="str">
        <f>IFERROR(H266&amp;"*"&amp;ROUND(L266*(I266/$AN266)/VLOOKUP(H266,商品!$A$4:$D$67,4,FALSE),0),"")</f>
        <v/>
      </c>
      <c r="AG266" t="str">
        <f>IFERROR(J266&amp;"*"&amp;ROUND(L266*(K266/$AN266)/VLOOKUP(J266,商品!$A$4:$D$67,4,FALSE),0),"")</f>
        <v/>
      </c>
      <c r="AH266" t="str">
        <f>IFERROR(M266&amp;"*"&amp;ROUND(S266*(N266/$AO266)/VLOOKUP(M266,职业!$A$3:$E$16,4,FALSE),0),"")</f>
        <v/>
      </c>
      <c r="AI266" t="str">
        <f>IFERROR(O266&amp;"*"&amp;ROUND(S266*(P266/$AO266)/VLOOKUP(O266,职业!$A$3:$E$16,4,FALSE),0),"")</f>
        <v/>
      </c>
      <c r="AK266" t="str">
        <f>IFERROR(T266&amp;"*"&amp;ROUND(X266*(U266/$AP266)/VLOOKUP(T266,商品!$A$4:$D$67,4,FALSE),0),"")</f>
        <v/>
      </c>
      <c r="AL266" t="str">
        <f>IFERROR(V266&amp;"*"&amp;ROUND(X266*(W266/$AP266)/VLOOKUP(V266,商品!$A$4:$D$67,4,FALSE),0),"")</f>
        <v/>
      </c>
      <c r="AN266">
        <f t="shared" si="37"/>
        <v>0</v>
      </c>
      <c r="AO266">
        <f t="shared" si="38"/>
        <v>0</v>
      </c>
      <c r="AP266">
        <f t="shared" si="39"/>
        <v>0</v>
      </c>
    </row>
    <row r="267" customHeight="1" spans="1:42">
      <c r="A267" s="5" t="s">
        <v>336</v>
      </c>
      <c r="C267" s="5">
        <v>6</v>
      </c>
      <c r="D267" s="1" t="s">
        <v>293</v>
      </c>
      <c r="E267" s="1" t="s">
        <v>227</v>
      </c>
      <c r="L267" s="1">
        <f>IFERROR(VLOOKUP($D267&amp;$C267,生产方式定位!$A$2:$E$38,2,FALSE)+VLOOKUP($E267&amp;$C267,生产方式定位!$F$3:$J$38,2,FALSE),0)</f>
        <v>0</v>
      </c>
      <c r="S267" s="1">
        <f>IFERROR(VLOOKUP($D267&amp;$C267,生产方式定位!$A$2:$E$38,3,FALSE)+VLOOKUP($E267&amp;$C267,生产方式定位!$F$3:$J$38,3,FALSE),0)</f>
        <v>0</v>
      </c>
      <c r="X267" s="1">
        <f>IFERROR(VLOOKUP($D267&amp;$C267,生产方式定位!$A$2:$E$38,5,FALSE)+VLOOKUP($E267&amp;$C267,生产方式定位!$F$3:$J$38,5,FALSE),"错误")</f>
        <v>0</v>
      </c>
      <c r="Y267" s="27" t="str">
        <f t="shared" si="32"/>
        <v/>
      </c>
      <c r="Z267" s="37" t="str">
        <f t="shared" si="33"/>
        <v/>
      </c>
      <c r="AA267" s="37" t="str">
        <f t="shared" si="34"/>
        <v/>
      </c>
      <c r="AB267" s="28" t="str">
        <f t="shared" si="35"/>
        <v/>
      </c>
      <c r="AC267" s="37"/>
      <c r="AD267" s="38">
        <f t="shared" si="36"/>
        <v>6</v>
      </c>
      <c r="AE267" t="str">
        <f>IFERROR(F267&amp;"*"&amp;ROUND(L267*(G267/$AN267)/VLOOKUP(F267,商品!$A$4:$D$67,4,FALSE),0),"")</f>
        <v/>
      </c>
      <c r="AF267" t="str">
        <f>IFERROR(H267&amp;"*"&amp;ROUND(L267*(I267/$AN267)/VLOOKUP(H267,商品!$A$4:$D$67,4,FALSE),0),"")</f>
        <v/>
      </c>
      <c r="AG267" t="str">
        <f>IFERROR(J267&amp;"*"&amp;ROUND(L267*(K267/$AN267)/VLOOKUP(J267,商品!$A$4:$D$67,4,FALSE),0),"")</f>
        <v/>
      </c>
      <c r="AH267" t="str">
        <f>IFERROR(M267&amp;"*"&amp;ROUND(S267*(N267/$AO267)/VLOOKUP(M267,职业!$A$3:$E$16,4,FALSE),0),"")</f>
        <v/>
      </c>
      <c r="AI267" t="str">
        <f>IFERROR(O267&amp;"*"&amp;ROUND(S267*(P267/$AO267)/VLOOKUP(O267,职业!$A$3:$E$16,4,FALSE),0),"")</f>
        <v/>
      </c>
      <c r="AK267" t="str">
        <f>IFERROR(T267&amp;"*"&amp;ROUND(X267*(U267/$AP267)/VLOOKUP(T267,商品!$A$4:$D$67,4,FALSE),0),"")</f>
        <v/>
      </c>
      <c r="AL267" t="str">
        <f>IFERROR(V267&amp;"*"&amp;ROUND(X267*(W267/$AP267)/VLOOKUP(V267,商品!$A$4:$D$67,4,FALSE),0),"")</f>
        <v/>
      </c>
      <c r="AN267">
        <f t="shared" si="37"/>
        <v>0</v>
      </c>
      <c r="AO267">
        <f t="shared" si="38"/>
        <v>0</v>
      </c>
      <c r="AP267">
        <f t="shared" si="39"/>
        <v>0</v>
      </c>
    </row>
    <row r="268" customHeight="1" spans="1:42">
      <c r="A268" s="5" t="s">
        <v>336</v>
      </c>
      <c r="C268" s="5">
        <v>7</v>
      </c>
      <c r="D268" s="1" t="s">
        <v>293</v>
      </c>
      <c r="E268" s="1" t="s">
        <v>227</v>
      </c>
      <c r="L268" s="1">
        <f>IFERROR(VLOOKUP($D268&amp;$C268,生产方式定位!$A$2:$E$38,2,FALSE)+VLOOKUP($E268&amp;$C268,生产方式定位!$F$3:$J$38,2,FALSE),0)</f>
        <v>0</v>
      </c>
      <c r="S268" s="1">
        <f>IFERROR(VLOOKUP($D268&amp;$C268,生产方式定位!$A$2:$E$38,3,FALSE)+VLOOKUP($E268&amp;$C268,生产方式定位!$F$3:$J$38,3,FALSE),0)</f>
        <v>0</v>
      </c>
      <c r="X268" s="1">
        <f>IFERROR(VLOOKUP($D268&amp;$C268,生产方式定位!$A$2:$E$38,5,FALSE)+VLOOKUP($E268&amp;$C268,生产方式定位!$F$3:$J$38,5,FALSE),"错误")</f>
        <v>0</v>
      </c>
      <c r="Y268" s="27" t="str">
        <f t="shared" si="32"/>
        <v/>
      </c>
      <c r="Z268" s="37" t="str">
        <f t="shared" si="33"/>
        <v/>
      </c>
      <c r="AA268" s="37" t="str">
        <f t="shared" si="34"/>
        <v/>
      </c>
      <c r="AB268" s="28" t="str">
        <f t="shared" si="35"/>
        <v/>
      </c>
      <c r="AC268" s="37"/>
      <c r="AD268" s="38">
        <f t="shared" si="36"/>
        <v>7</v>
      </c>
      <c r="AE268" t="str">
        <f>IFERROR(F268&amp;"*"&amp;ROUND(L268*(G268/$AN268)/VLOOKUP(F268,商品!$A$4:$D$67,4,FALSE),0),"")</f>
        <v/>
      </c>
      <c r="AF268" t="str">
        <f>IFERROR(H268&amp;"*"&amp;ROUND(L268*(I268/$AN268)/VLOOKUP(H268,商品!$A$4:$D$67,4,FALSE),0),"")</f>
        <v/>
      </c>
      <c r="AG268" t="str">
        <f>IFERROR(J268&amp;"*"&amp;ROUND(L268*(K268/$AN268)/VLOOKUP(J268,商品!$A$4:$D$67,4,FALSE),0),"")</f>
        <v/>
      </c>
      <c r="AH268" t="str">
        <f>IFERROR(M268&amp;"*"&amp;ROUND(S268*(N268/$AO268)/VLOOKUP(M268,职业!$A$3:$E$16,4,FALSE),0),"")</f>
        <v/>
      </c>
      <c r="AI268" t="str">
        <f>IFERROR(O268&amp;"*"&amp;ROUND(S268*(P268/$AO268)/VLOOKUP(O268,职业!$A$3:$E$16,4,FALSE),0),"")</f>
        <v/>
      </c>
      <c r="AK268" t="str">
        <f>IFERROR(T268&amp;"*"&amp;ROUND(X268*(U268/$AP268)/VLOOKUP(T268,商品!$A$4:$D$67,4,FALSE),0),"")</f>
        <v/>
      </c>
      <c r="AL268" t="str">
        <f>IFERROR(V268&amp;"*"&amp;ROUND(X268*(W268/$AP268)/VLOOKUP(V268,商品!$A$4:$D$67,4,FALSE),0),"")</f>
        <v/>
      </c>
      <c r="AN268">
        <f t="shared" si="37"/>
        <v>0</v>
      </c>
      <c r="AO268">
        <f t="shared" si="38"/>
        <v>0</v>
      </c>
      <c r="AP268">
        <f t="shared" si="39"/>
        <v>0</v>
      </c>
    </row>
    <row r="269" customHeight="1" spans="1:42">
      <c r="A269" s="5" t="s">
        <v>336</v>
      </c>
      <c r="C269" s="5">
        <v>8</v>
      </c>
      <c r="D269" s="1" t="s">
        <v>293</v>
      </c>
      <c r="E269" s="1" t="s">
        <v>227</v>
      </c>
      <c r="L269" s="1">
        <f>IFERROR(VLOOKUP($D269&amp;$C269,生产方式定位!$A$2:$E$38,2,FALSE)+VLOOKUP($E269&amp;$C269,生产方式定位!$F$3:$J$38,2,FALSE),0)</f>
        <v>0</v>
      </c>
      <c r="S269" s="1">
        <f>IFERROR(VLOOKUP($D269&amp;$C269,生产方式定位!$A$2:$E$38,3,FALSE)+VLOOKUP($E269&amp;$C269,生产方式定位!$F$3:$J$38,3,FALSE),0)</f>
        <v>0</v>
      </c>
      <c r="X269" s="1">
        <f>IFERROR(VLOOKUP($D269&amp;$C269,生产方式定位!$A$2:$E$38,5,FALSE)+VLOOKUP($E269&amp;$C269,生产方式定位!$F$3:$J$38,5,FALSE),"错误")</f>
        <v>0</v>
      </c>
      <c r="Y269" s="27" t="str">
        <f t="shared" si="32"/>
        <v/>
      </c>
      <c r="Z269" s="37" t="str">
        <f t="shared" si="33"/>
        <v/>
      </c>
      <c r="AA269" s="37" t="str">
        <f t="shared" si="34"/>
        <v/>
      </c>
      <c r="AB269" s="28" t="str">
        <f t="shared" si="35"/>
        <v/>
      </c>
      <c r="AC269" s="37"/>
      <c r="AD269" s="38">
        <f t="shared" si="36"/>
        <v>8</v>
      </c>
      <c r="AE269" t="str">
        <f>IFERROR(F269&amp;"*"&amp;ROUND(L269*(G269/$AN269)/VLOOKUP(F269,商品!$A$4:$D$67,4,FALSE),0),"")</f>
        <v/>
      </c>
      <c r="AF269" t="str">
        <f>IFERROR(H269&amp;"*"&amp;ROUND(L269*(I269/$AN269)/VLOOKUP(H269,商品!$A$4:$D$67,4,FALSE),0),"")</f>
        <v/>
      </c>
      <c r="AG269" t="str">
        <f>IFERROR(J269&amp;"*"&amp;ROUND(L269*(K269/$AN269)/VLOOKUP(J269,商品!$A$4:$D$67,4,FALSE),0),"")</f>
        <v/>
      </c>
      <c r="AH269" t="str">
        <f>IFERROR(M269&amp;"*"&amp;ROUND(S269*(N269/$AO269)/VLOOKUP(M269,职业!$A$3:$E$16,4,FALSE),0),"")</f>
        <v/>
      </c>
      <c r="AI269" t="str">
        <f>IFERROR(O269&amp;"*"&amp;ROUND(S269*(P269/$AO269)/VLOOKUP(O269,职业!$A$3:$E$16,4,FALSE),0),"")</f>
        <v/>
      </c>
      <c r="AK269" t="str">
        <f>IFERROR(T269&amp;"*"&amp;ROUND(X269*(U269/$AP269)/VLOOKUP(T269,商品!$A$4:$D$67,4,FALSE),0),"")</f>
        <v/>
      </c>
      <c r="AL269" t="str">
        <f>IFERROR(V269&amp;"*"&amp;ROUND(X269*(W269/$AP269)/VLOOKUP(V269,商品!$A$4:$D$67,4,FALSE),0),"")</f>
        <v/>
      </c>
      <c r="AN269">
        <f t="shared" si="37"/>
        <v>0</v>
      </c>
      <c r="AO269">
        <f t="shared" si="38"/>
        <v>0</v>
      </c>
      <c r="AP269">
        <f t="shared" si="39"/>
        <v>0</v>
      </c>
    </row>
    <row r="270" customHeight="1" spans="1:42">
      <c r="A270" s="18" t="s">
        <v>338</v>
      </c>
      <c r="C270" s="18">
        <v>1</v>
      </c>
      <c r="D270" s="1" t="s">
        <v>222</v>
      </c>
      <c r="E270" s="1" t="s">
        <v>224</v>
      </c>
      <c r="L270" s="1">
        <f>IFERROR(VLOOKUP($D270&amp;$C270,生产方式定位!$A$2:$E$38,2,FALSE)+VLOOKUP($E270&amp;$C270,生产方式定位!$F$3:$J$38,2,FALSE),0)</f>
        <v>0</v>
      </c>
      <c r="S270" s="1">
        <f>IFERROR(VLOOKUP($D270&amp;$C270,生产方式定位!$A$2:$E$38,3,FALSE)+VLOOKUP($E270&amp;$C270,生产方式定位!$F$3:$J$38,3,FALSE),0)</f>
        <v>500</v>
      </c>
      <c r="X270" s="1">
        <f>IFERROR(VLOOKUP($D270&amp;$C270,生产方式定位!$A$2:$E$38,5,FALSE)+VLOOKUP($E270&amp;$C270,生产方式定位!$F$3:$J$38,5,FALSE),"错误")</f>
        <v>250</v>
      </c>
      <c r="Y270" s="27" t="str">
        <f t="shared" si="32"/>
        <v/>
      </c>
      <c r="Z270" s="37" t="str">
        <f t="shared" si="33"/>
        <v/>
      </c>
      <c r="AA270" s="37" t="str">
        <f t="shared" si="34"/>
        <v/>
      </c>
      <c r="AB270" s="28">
        <f t="shared" si="35"/>
        <v>0</v>
      </c>
      <c r="AC270" s="37"/>
      <c r="AD270" s="38">
        <f t="shared" si="36"/>
        <v>1</v>
      </c>
      <c r="AE270" t="str">
        <f>IFERROR(F270&amp;"*"&amp;ROUND(L270*(G270/$AN270)/VLOOKUP(F270,商品!$A$4:$D$67,4,FALSE),0),"")</f>
        <v/>
      </c>
      <c r="AF270" t="str">
        <f>IFERROR(H270&amp;"*"&amp;ROUND(L270*(I270/$AN270)/VLOOKUP(H270,商品!$A$4:$D$67,4,FALSE),0),"")</f>
        <v/>
      </c>
      <c r="AG270" t="str">
        <f>IFERROR(J270&amp;"*"&amp;ROUND(L270*(K270/$AN270)/VLOOKUP(J270,商品!$A$4:$D$67,4,FALSE),0),"")</f>
        <v/>
      </c>
      <c r="AH270" t="str">
        <f>IFERROR(M270&amp;"*"&amp;ROUND(S270*(N270/$AO270)/VLOOKUP(M270,职业!$A$3:$E$16,4,FALSE),0),"")</f>
        <v/>
      </c>
      <c r="AI270" t="str">
        <f>IFERROR(O270&amp;"*"&amp;ROUND(S270*(P270/$AO270)/VLOOKUP(O270,职业!$A$3:$E$16,4,FALSE),0),"")</f>
        <v/>
      </c>
      <c r="AK270" t="str">
        <f>IFERROR(T270&amp;"*"&amp;ROUND(X270*(U270/$AP270)/VLOOKUP(T270,商品!$A$4:$D$67,4,FALSE),0),"")</f>
        <v/>
      </c>
      <c r="AL270" t="str">
        <f>IFERROR(V270&amp;"*"&amp;ROUND(X270*(W270/$AP270)/VLOOKUP(V270,商品!$A$4:$D$67,4,FALSE),0),"")</f>
        <v/>
      </c>
      <c r="AN270">
        <f t="shared" si="37"/>
        <v>0</v>
      </c>
      <c r="AO270">
        <f t="shared" si="38"/>
        <v>0</v>
      </c>
      <c r="AP270">
        <f t="shared" si="39"/>
        <v>0</v>
      </c>
    </row>
    <row r="271" customHeight="1" spans="1:42">
      <c r="A271" s="18" t="s">
        <v>338</v>
      </c>
      <c r="C271" s="18">
        <v>2</v>
      </c>
      <c r="D271" s="1" t="s">
        <v>222</v>
      </c>
      <c r="E271" s="1" t="s">
        <v>224</v>
      </c>
      <c r="L271" s="1">
        <f>IFERROR(VLOOKUP($D271&amp;$C271,生产方式定位!$A$2:$E$38,2,FALSE)+VLOOKUP($E271&amp;$C271,生产方式定位!$F$3:$J$38,2,FALSE),0)</f>
        <v>2200</v>
      </c>
      <c r="S271" s="1">
        <f>IFERROR(VLOOKUP($D271&amp;$C271,生产方式定位!$A$2:$E$38,3,FALSE)+VLOOKUP($E271&amp;$C271,生产方式定位!$F$3:$J$38,3,FALSE),0)</f>
        <v>750</v>
      </c>
      <c r="X271" s="1">
        <f>IFERROR(VLOOKUP($D271&amp;$C271,生产方式定位!$A$2:$E$38,5,FALSE)+VLOOKUP($E271&amp;$C271,生产方式定位!$F$3:$J$38,5,FALSE),"错误")</f>
        <v>1547</v>
      </c>
      <c r="Y271" s="27" t="str">
        <f t="shared" si="32"/>
        <v/>
      </c>
      <c r="Z271" s="37" t="str">
        <f t="shared" si="33"/>
        <v/>
      </c>
      <c r="AA271" s="37" t="str">
        <f t="shared" si="34"/>
        <v/>
      </c>
      <c r="AB271" s="28">
        <f t="shared" si="35"/>
        <v>1.42</v>
      </c>
      <c r="AC271" s="37"/>
      <c r="AD271" s="38">
        <f t="shared" si="36"/>
        <v>2</v>
      </c>
      <c r="AE271" t="str">
        <f>IFERROR(F271&amp;"*"&amp;ROUND(L271*(G271/$AN271)/VLOOKUP(F271,商品!$A$4:$D$67,4,FALSE),0),"")</f>
        <v/>
      </c>
      <c r="AF271" t="str">
        <f>IFERROR(H271&amp;"*"&amp;ROUND(L271*(I271/$AN271)/VLOOKUP(H271,商品!$A$4:$D$67,4,FALSE),0),"")</f>
        <v/>
      </c>
      <c r="AG271" t="str">
        <f>IFERROR(J271&amp;"*"&amp;ROUND(L271*(K271/$AN271)/VLOOKUP(J271,商品!$A$4:$D$67,4,FALSE),0),"")</f>
        <v/>
      </c>
      <c r="AH271" t="str">
        <f>IFERROR(M271&amp;"*"&amp;ROUND(S271*(N271/$AO271)/VLOOKUP(M271,职业!$A$3:$E$16,4,FALSE),0),"")</f>
        <v/>
      </c>
      <c r="AI271" t="str">
        <f>IFERROR(O271&amp;"*"&amp;ROUND(S271*(P271/$AO271)/VLOOKUP(O271,职业!$A$3:$E$16,4,FALSE),0),"")</f>
        <v/>
      </c>
      <c r="AK271" t="str">
        <f>IFERROR(T271&amp;"*"&amp;ROUND(X271*(U271/$AP271)/VLOOKUP(T271,商品!$A$4:$D$67,4,FALSE),0),"")</f>
        <v/>
      </c>
      <c r="AL271" t="str">
        <f>IFERROR(V271&amp;"*"&amp;ROUND(X271*(W271/$AP271)/VLOOKUP(V271,商品!$A$4:$D$67,4,FALSE),0),"")</f>
        <v/>
      </c>
      <c r="AN271">
        <f t="shared" si="37"/>
        <v>0</v>
      </c>
      <c r="AO271">
        <f t="shared" si="38"/>
        <v>0</v>
      </c>
      <c r="AP271">
        <f t="shared" si="39"/>
        <v>0</v>
      </c>
    </row>
    <row r="272" customHeight="1" spans="1:42">
      <c r="A272" s="18" t="s">
        <v>338</v>
      </c>
      <c r="C272" s="18">
        <v>3</v>
      </c>
      <c r="D272" s="1" t="s">
        <v>222</v>
      </c>
      <c r="E272" s="1" t="s">
        <v>224</v>
      </c>
      <c r="L272" s="1">
        <f>IFERROR(VLOOKUP($D272&amp;$C272,生产方式定位!$A$2:$E$38,2,FALSE)+VLOOKUP($E272&amp;$C272,生产方式定位!$F$3:$J$38,2,FALSE),0)</f>
        <v>3400</v>
      </c>
      <c r="S272" s="1">
        <f>IFERROR(VLOOKUP($D272&amp;$C272,生产方式定位!$A$2:$E$38,3,FALSE)+VLOOKUP($E272&amp;$C272,生产方式定位!$F$3:$J$38,3,FALSE),0)</f>
        <v>1000</v>
      </c>
      <c r="X272" s="1">
        <f>IFERROR(VLOOKUP($D272&amp;$C272,生产方式定位!$A$2:$E$38,5,FALSE)+VLOOKUP($E272&amp;$C272,生产方式定位!$F$3:$J$38,5,FALSE),"错误")</f>
        <v>2488</v>
      </c>
      <c r="Y272" s="27" t="str">
        <f t="shared" si="32"/>
        <v/>
      </c>
      <c r="Z272" s="37" t="str">
        <f t="shared" si="33"/>
        <v/>
      </c>
      <c r="AA272" s="37" t="str">
        <f t="shared" si="34"/>
        <v/>
      </c>
      <c r="AB272" s="28">
        <f t="shared" si="35"/>
        <v>1.37</v>
      </c>
      <c r="AC272" s="37"/>
      <c r="AD272" s="38">
        <f t="shared" si="36"/>
        <v>3</v>
      </c>
      <c r="AE272" t="str">
        <f>IFERROR(F272&amp;"*"&amp;ROUND(L272*(G272/$AN272)/VLOOKUP(F272,商品!$A$4:$D$67,4,FALSE),0),"")</f>
        <v/>
      </c>
      <c r="AF272" t="str">
        <f>IFERROR(H272&amp;"*"&amp;ROUND(L272*(I272/$AN272)/VLOOKUP(H272,商品!$A$4:$D$67,4,FALSE),0),"")</f>
        <v/>
      </c>
      <c r="AG272" t="str">
        <f>IFERROR(J272&amp;"*"&amp;ROUND(L272*(K272/$AN272)/VLOOKUP(J272,商品!$A$4:$D$67,4,FALSE),0),"")</f>
        <v/>
      </c>
      <c r="AH272" t="str">
        <f>IFERROR(M272&amp;"*"&amp;ROUND(S272*(N272/$AO272)/VLOOKUP(M272,职业!$A$3:$E$16,4,FALSE),0),"")</f>
        <v/>
      </c>
      <c r="AI272" t="str">
        <f>IFERROR(O272&amp;"*"&amp;ROUND(S272*(P272/$AO272)/VLOOKUP(O272,职业!$A$3:$E$16,4,FALSE),0),"")</f>
        <v/>
      </c>
      <c r="AK272" t="str">
        <f>IFERROR(T272&amp;"*"&amp;ROUND(X272*(U272/$AP272)/VLOOKUP(T272,商品!$A$4:$D$67,4,FALSE),0),"")</f>
        <v/>
      </c>
      <c r="AL272" t="str">
        <f>IFERROR(V272&amp;"*"&amp;ROUND(X272*(W272/$AP272)/VLOOKUP(V272,商品!$A$4:$D$67,4,FALSE),0),"")</f>
        <v/>
      </c>
      <c r="AN272">
        <f t="shared" si="37"/>
        <v>0</v>
      </c>
      <c r="AO272">
        <f t="shared" si="38"/>
        <v>0</v>
      </c>
      <c r="AP272">
        <f t="shared" si="39"/>
        <v>0</v>
      </c>
    </row>
    <row r="273" customHeight="1" spans="1:42">
      <c r="A273" s="18" t="s">
        <v>338</v>
      </c>
      <c r="C273" s="18">
        <v>4</v>
      </c>
      <c r="D273" s="1" t="s">
        <v>222</v>
      </c>
      <c r="E273" s="1" t="s">
        <v>224</v>
      </c>
      <c r="L273" s="1">
        <f>IFERROR(VLOOKUP($D273&amp;$C273,生产方式定位!$A$2:$E$38,2,FALSE)+VLOOKUP($E273&amp;$C273,生产方式定位!$F$3:$J$38,2,FALSE),0)</f>
        <v>4600</v>
      </c>
      <c r="S273" s="1">
        <f>IFERROR(VLOOKUP($D273&amp;$C273,生产方式定位!$A$2:$E$38,3,FALSE)+VLOOKUP($E273&amp;$C273,生产方式定位!$F$3:$J$38,3,FALSE),0)</f>
        <v>1250</v>
      </c>
      <c r="X273" s="1">
        <f>IFERROR(VLOOKUP($D273&amp;$C273,生产方式定位!$A$2:$E$38,5,FALSE)+VLOOKUP($E273&amp;$C273,生产方式定位!$F$3:$J$38,5,FALSE),"错误")</f>
        <v>3573</v>
      </c>
      <c r="Y273" s="27" t="str">
        <f t="shared" si="32"/>
        <v/>
      </c>
      <c r="Z273" s="37" t="str">
        <f t="shared" si="33"/>
        <v/>
      </c>
      <c r="AA273" s="37" t="str">
        <f t="shared" si="34"/>
        <v/>
      </c>
      <c r="AB273" s="28">
        <f t="shared" si="35"/>
        <v>1.29</v>
      </c>
      <c r="AC273" s="37"/>
      <c r="AD273" s="38">
        <f t="shared" si="36"/>
        <v>4</v>
      </c>
      <c r="AE273" t="str">
        <f>IFERROR(F273&amp;"*"&amp;ROUND(L273*(G273/$AN273)/VLOOKUP(F273,商品!$A$4:$D$67,4,FALSE),0),"")</f>
        <v/>
      </c>
      <c r="AF273" t="str">
        <f>IFERROR(H273&amp;"*"&amp;ROUND(L273*(I273/$AN273)/VLOOKUP(H273,商品!$A$4:$D$67,4,FALSE),0),"")</f>
        <v/>
      </c>
      <c r="AG273" t="str">
        <f>IFERROR(J273&amp;"*"&amp;ROUND(L273*(K273/$AN273)/VLOOKUP(J273,商品!$A$4:$D$67,4,FALSE),0),"")</f>
        <v/>
      </c>
      <c r="AH273" t="str">
        <f>IFERROR(M273&amp;"*"&amp;ROUND(S273*(N273/$AO273)/VLOOKUP(M273,职业!$A$3:$E$16,4,FALSE),0),"")</f>
        <v/>
      </c>
      <c r="AI273" t="str">
        <f>IFERROR(O273&amp;"*"&amp;ROUND(S273*(P273/$AO273)/VLOOKUP(O273,职业!$A$3:$E$16,4,FALSE),0),"")</f>
        <v/>
      </c>
      <c r="AK273" t="str">
        <f>IFERROR(T273&amp;"*"&amp;ROUND(X273*(U273/$AP273)/VLOOKUP(T273,商品!$A$4:$D$67,4,FALSE),0),"")</f>
        <v/>
      </c>
      <c r="AL273" t="str">
        <f>IFERROR(V273&amp;"*"&amp;ROUND(X273*(W273/$AP273)/VLOOKUP(V273,商品!$A$4:$D$67,4,FALSE),0),"")</f>
        <v/>
      </c>
      <c r="AN273">
        <f t="shared" si="37"/>
        <v>0</v>
      </c>
      <c r="AO273">
        <f t="shared" si="38"/>
        <v>0</v>
      </c>
      <c r="AP273">
        <f t="shared" si="39"/>
        <v>0</v>
      </c>
    </row>
    <row r="274" customHeight="1" spans="1:42">
      <c r="A274" s="18" t="s">
        <v>338</v>
      </c>
      <c r="C274" s="18">
        <v>5</v>
      </c>
      <c r="D274" s="1" t="s">
        <v>222</v>
      </c>
      <c r="E274" s="1" t="s">
        <v>224</v>
      </c>
      <c r="L274" s="1">
        <f>IFERROR(VLOOKUP($D274&amp;$C274,生产方式定位!$A$2:$E$38,2,FALSE)+VLOOKUP($E274&amp;$C274,生产方式定位!$F$3:$J$38,2,FALSE),0)</f>
        <v>5800</v>
      </c>
      <c r="S274" s="1">
        <f>IFERROR(VLOOKUP($D274&amp;$C274,生产方式定位!$A$2:$E$38,3,FALSE)+VLOOKUP($E274&amp;$C274,生产方式定位!$F$3:$J$38,3,FALSE),0)</f>
        <v>1500</v>
      </c>
      <c r="X274" s="1">
        <f>IFERROR(VLOOKUP($D274&amp;$C274,生产方式定位!$A$2:$E$38,5,FALSE)+VLOOKUP($E274&amp;$C274,生产方式定位!$F$3:$J$38,5,FALSE),"错误")</f>
        <v>4850</v>
      </c>
      <c r="Y274" s="27" t="str">
        <f t="shared" si="32"/>
        <v/>
      </c>
      <c r="Z274" s="37" t="str">
        <f t="shared" si="33"/>
        <v/>
      </c>
      <c r="AA274" s="37" t="str">
        <f t="shared" si="34"/>
        <v/>
      </c>
      <c r="AB274" s="28">
        <f t="shared" si="35"/>
        <v>1.2</v>
      </c>
      <c r="AC274" s="37"/>
      <c r="AD274" s="38">
        <f t="shared" si="36"/>
        <v>5</v>
      </c>
      <c r="AE274" t="str">
        <f>IFERROR(F274&amp;"*"&amp;ROUND(L274*(G274/$AN274)/VLOOKUP(F274,商品!$A$4:$D$67,4,FALSE),0),"")</f>
        <v/>
      </c>
      <c r="AF274" t="str">
        <f>IFERROR(H274&amp;"*"&amp;ROUND(L274*(I274/$AN274)/VLOOKUP(H274,商品!$A$4:$D$67,4,FALSE),0),"")</f>
        <v/>
      </c>
      <c r="AG274" t="str">
        <f>IFERROR(J274&amp;"*"&amp;ROUND(L274*(K274/$AN274)/VLOOKUP(J274,商品!$A$4:$D$67,4,FALSE),0),"")</f>
        <v/>
      </c>
      <c r="AH274" t="str">
        <f>IFERROR(M274&amp;"*"&amp;ROUND(S274*(N274/$AO274)/VLOOKUP(M274,职业!$A$3:$E$16,4,FALSE),0),"")</f>
        <v/>
      </c>
      <c r="AI274" t="str">
        <f>IFERROR(O274&amp;"*"&amp;ROUND(S274*(P274/$AO274)/VLOOKUP(O274,职业!$A$3:$E$16,4,FALSE),0),"")</f>
        <v/>
      </c>
      <c r="AK274" t="str">
        <f>IFERROR(T274&amp;"*"&amp;ROUND(X274*(U274/$AP274)/VLOOKUP(T274,商品!$A$4:$D$67,4,FALSE),0),"")</f>
        <v/>
      </c>
      <c r="AL274" t="str">
        <f>IFERROR(V274&amp;"*"&amp;ROUND(X274*(W274/$AP274)/VLOOKUP(V274,商品!$A$4:$D$67,4,FALSE),0),"")</f>
        <v/>
      </c>
      <c r="AN274">
        <f t="shared" si="37"/>
        <v>0</v>
      </c>
      <c r="AO274">
        <f t="shared" si="38"/>
        <v>0</v>
      </c>
      <c r="AP274">
        <f t="shared" si="39"/>
        <v>0</v>
      </c>
    </row>
    <row r="275" customHeight="1" spans="1:42">
      <c r="A275" s="5" t="s">
        <v>339</v>
      </c>
      <c r="C275" s="5">
        <v>1</v>
      </c>
      <c r="D275" s="1" t="s">
        <v>222</v>
      </c>
      <c r="E275" s="1" t="s">
        <v>225</v>
      </c>
      <c r="L275" s="1">
        <f>IFERROR(VLOOKUP($D275&amp;$C275,生产方式定位!$A$2:$E$38,2,FALSE)+VLOOKUP($E275&amp;$C275,生产方式定位!$F$3:$J$38,2,FALSE),0)</f>
        <v>0</v>
      </c>
      <c r="S275" s="1">
        <f>IFERROR(VLOOKUP($D275&amp;$C275,生产方式定位!$A$2:$E$38,3,FALSE)+VLOOKUP($E275&amp;$C275,生产方式定位!$F$3:$J$38,3,FALSE),0)</f>
        <v>500</v>
      </c>
      <c r="X275" s="1">
        <f>IFERROR(VLOOKUP($D275&amp;$C275,生产方式定位!$A$2:$E$38,5,FALSE)+VLOOKUP($E275&amp;$C275,生产方式定位!$F$3:$J$38,5,FALSE),"错误")</f>
        <v>250</v>
      </c>
      <c r="Y275" s="27" t="str">
        <f t="shared" si="32"/>
        <v/>
      </c>
      <c r="Z275" s="37" t="str">
        <f t="shared" si="33"/>
        <v/>
      </c>
      <c r="AA275" s="37" t="str">
        <f t="shared" si="34"/>
        <v/>
      </c>
      <c r="AB275" s="28">
        <f t="shared" si="35"/>
        <v>0</v>
      </c>
      <c r="AC275" s="37"/>
      <c r="AD275" s="38">
        <f t="shared" si="36"/>
        <v>1</v>
      </c>
      <c r="AE275" t="str">
        <f>IFERROR(F275&amp;"*"&amp;ROUND(L275*(G275/$AN275)/VLOOKUP(F275,商品!$A$4:$D$67,4,FALSE),0),"")</f>
        <v/>
      </c>
      <c r="AF275" t="str">
        <f>IFERROR(H275&amp;"*"&amp;ROUND(L275*(I275/$AN275)/VLOOKUP(H275,商品!$A$4:$D$67,4,FALSE),0),"")</f>
        <v/>
      </c>
      <c r="AG275" t="str">
        <f>IFERROR(J275&amp;"*"&amp;ROUND(L275*(K275/$AN275)/VLOOKUP(J275,商品!$A$4:$D$67,4,FALSE),0),"")</f>
        <v/>
      </c>
      <c r="AH275" t="str">
        <f>IFERROR(M275&amp;"*"&amp;ROUND(S275*(N275/$AO275)/VLOOKUP(M275,职业!$A$3:$E$16,4,FALSE),0),"")</f>
        <v/>
      </c>
      <c r="AI275" t="str">
        <f>IFERROR(O275&amp;"*"&amp;ROUND(S275*(P275/$AO275)/VLOOKUP(O275,职业!$A$3:$E$16,4,FALSE),0),"")</f>
        <v/>
      </c>
      <c r="AK275" t="str">
        <f>IFERROR(T275&amp;"*"&amp;ROUND(X275*(U275/$AP275)/VLOOKUP(T275,商品!$A$4:$D$67,4,FALSE),0),"")</f>
        <v/>
      </c>
      <c r="AL275" t="str">
        <f>IFERROR(V275&amp;"*"&amp;ROUND(X275*(W275/$AP275)/VLOOKUP(V275,商品!$A$4:$D$67,4,FALSE),0),"")</f>
        <v/>
      </c>
      <c r="AN275">
        <f t="shared" si="37"/>
        <v>0</v>
      </c>
      <c r="AO275">
        <f t="shared" si="38"/>
        <v>0</v>
      </c>
      <c r="AP275">
        <f t="shared" si="39"/>
        <v>0</v>
      </c>
    </row>
    <row r="276" customHeight="1" spans="1:42">
      <c r="A276" s="5" t="s">
        <v>339</v>
      </c>
      <c r="C276" s="5">
        <v>2</v>
      </c>
      <c r="D276" s="1" t="s">
        <v>222</v>
      </c>
      <c r="E276" s="1" t="s">
        <v>225</v>
      </c>
      <c r="L276" s="1">
        <f>IFERROR(VLOOKUP($D276&amp;$C276,生产方式定位!$A$2:$E$38,2,FALSE)+VLOOKUP($E276&amp;$C276,生产方式定位!$F$3:$J$38,2,FALSE),0)</f>
        <v>2200</v>
      </c>
      <c r="S276" s="1">
        <f>IFERROR(VLOOKUP($D276&amp;$C276,生产方式定位!$A$2:$E$38,3,FALSE)+VLOOKUP($E276&amp;$C276,生产方式定位!$F$3:$J$38,3,FALSE),0)</f>
        <v>2550</v>
      </c>
      <c r="X276" s="1">
        <f>IFERROR(VLOOKUP($D276&amp;$C276,生产方式定位!$A$2:$E$38,5,FALSE)+VLOOKUP($E276&amp;$C276,生产方式定位!$F$3:$J$38,5,FALSE),"错误")</f>
        <v>2420</v>
      </c>
      <c r="Y276" s="27" t="str">
        <f t="shared" si="32"/>
        <v/>
      </c>
      <c r="Z276" s="37" t="str">
        <f t="shared" si="33"/>
        <v/>
      </c>
      <c r="AA276" s="37" t="str">
        <f t="shared" si="34"/>
        <v/>
      </c>
      <c r="AB276" s="28">
        <f t="shared" si="35"/>
        <v>0.91</v>
      </c>
      <c r="AC276" s="37"/>
      <c r="AD276" s="38">
        <f t="shared" si="36"/>
        <v>2</v>
      </c>
      <c r="AE276" t="str">
        <f>IFERROR(F276&amp;"*"&amp;ROUND(L276*(G276/$AN276)/VLOOKUP(F276,商品!$A$4:$D$67,4,FALSE),0),"")</f>
        <v/>
      </c>
      <c r="AF276" t="str">
        <f>IFERROR(H276&amp;"*"&amp;ROUND(L276*(I276/$AN276)/VLOOKUP(H276,商品!$A$4:$D$67,4,FALSE),0),"")</f>
        <v/>
      </c>
      <c r="AG276" t="str">
        <f>IFERROR(J276&amp;"*"&amp;ROUND(L276*(K276/$AN276)/VLOOKUP(J276,商品!$A$4:$D$67,4,FALSE),0),"")</f>
        <v/>
      </c>
      <c r="AH276" t="str">
        <f>IFERROR(M276&amp;"*"&amp;ROUND(S276*(N276/$AO276)/VLOOKUP(M276,职业!$A$3:$E$16,4,FALSE),0),"")</f>
        <v/>
      </c>
      <c r="AI276" t="str">
        <f>IFERROR(O276&amp;"*"&amp;ROUND(S276*(P276/$AO276)/VLOOKUP(O276,职业!$A$3:$E$16,4,FALSE),0),"")</f>
        <v/>
      </c>
      <c r="AK276" t="str">
        <f>IFERROR(T276&amp;"*"&amp;ROUND(X276*(U276/$AP276)/VLOOKUP(T276,商品!$A$4:$D$67,4,FALSE),0),"")</f>
        <v/>
      </c>
      <c r="AL276" t="str">
        <f>IFERROR(V276&amp;"*"&amp;ROUND(X276*(W276/$AP276)/VLOOKUP(V276,商品!$A$4:$D$67,4,FALSE),0),"")</f>
        <v/>
      </c>
      <c r="AN276">
        <f t="shared" si="37"/>
        <v>0</v>
      </c>
      <c r="AO276">
        <f t="shared" si="38"/>
        <v>0</v>
      </c>
      <c r="AP276">
        <f t="shared" si="39"/>
        <v>0</v>
      </c>
    </row>
    <row r="277" customHeight="1" spans="1:42">
      <c r="A277" s="5" t="s">
        <v>339</v>
      </c>
      <c r="C277" s="5">
        <v>3</v>
      </c>
      <c r="D277" s="1" t="s">
        <v>222</v>
      </c>
      <c r="E277" s="1" t="s">
        <v>225</v>
      </c>
      <c r="L277" s="1">
        <f>IFERROR(VLOOKUP($D277&amp;$C277,生产方式定位!$A$2:$E$38,2,FALSE)+VLOOKUP($E277&amp;$C277,生产方式定位!$F$3:$J$38,2,FALSE),0)</f>
        <v>3400</v>
      </c>
      <c r="S277" s="1">
        <f>IFERROR(VLOOKUP($D277&amp;$C277,生产方式定位!$A$2:$E$38,3,FALSE)+VLOOKUP($E277&amp;$C277,生产方式定位!$F$3:$J$38,3,FALSE),0)</f>
        <v>3600</v>
      </c>
      <c r="X277" s="1">
        <f>IFERROR(VLOOKUP($D277&amp;$C277,生产方式定位!$A$2:$E$38,5,FALSE)+VLOOKUP($E277&amp;$C277,生产方式定位!$F$3:$J$38,5,FALSE),"错误")</f>
        <v>3650</v>
      </c>
      <c r="Y277" s="27" t="str">
        <f t="shared" si="32"/>
        <v/>
      </c>
      <c r="Z277" s="37" t="str">
        <f t="shared" si="33"/>
        <v/>
      </c>
      <c r="AA277" s="37" t="str">
        <f t="shared" si="34"/>
        <v/>
      </c>
      <c r="AB277" s="28">
        <f t="shared" si="35"/>
        <v>0.93</v>
      </c>
      <c r="AC277" s="37"/>
      <c r="AD277" s="38">
        <f t="shared" si="36"/>
        <v>3</v>
      </c>
      <c r="AE277" t="str">
        <f>IFERROR(F277&amp;"*"&amp;ROUND(L277*(G277/$AN277)/VLOOKUP(F277,商品!$A$4:$D$67,4,FALSE),0),"")</f>
        <v/>
      </c>
      <c r="AF277" t="str">
        <f>IFERROR(H277&amp;"*"&amp;ROUND(L277*(I277/$AN277)/VLOOKUP(H277,商品!$A$4:$D$67,4,FALSE),0),"")</f>
        <v/>
      </c>
      <c r="AG277" t="str">
        <f>IFERROR(J277&amp;"*"&amp;ROUND(L277*(K277/$AN277)/VLOOKUP(J277,商品!$A$4:$D$67,4,FALSE),0),"")</f>
        <v/>
      </c>
      <c r="AH277" t="str">
        <f>IFERROR(M277&amp;"*"&amp;ROUND(S277*(N277/$AO277)/VLOOKUP(M277,职业!$A$3:$E$16,4,FALSE),0),"")</f>
        <v/>
      </c>
      <c r="AI277" t="str">
        <f>IFERROR(O277&amp;"*"&amp;ROUND(S277*(P277/$AO277)/VLOOKUP(O277,职业!$A$3:$E$16,4,FALSE),0),"")</f>
        <v/>
      </c>
      <c r="AK277" t="str">
        <f>IFERROR(T277&amp;"*"&amp;ROUND(X277*(U277/$AP277)/VLOOKUP(T277,商品!$A$4:$D$67,4,FALSE),0),"")</f>
        <v/>
      </c>
      <c r="AL277" t="str">
        <f>IFERROR(V277&amp;"*"&amp;ROUND(X277*(W277/$AP277)/VLOOKUP(V277,商品!$A$4:$D$67,4,FALSE),0),"")</f>
        <v/>
      </c>
      <c r="AN277">
        <f t="shared" si="37"/>
        <v>0</v>
      </c>
      <c r="AO277">
        <f t="shared" si="38"/>
        <v>0</v>
      </c>
      <c r="AP277">
        <f t="shared" si="39"/>
        <v>0</v>
      </c>
    </row>
    <row r="278" customHeight="1" spans="1:42">
      <c r="A278" s="5" t="s">
        <v>339</v>
      </c>
      <c r="C278" s="5">
        <v>4</v>
      </c>
      <c r="D278" s="1" t="s">
        <v>222</v>
      </c>
      <c r="E278" s="1" t="s">
        <v>225</v>
      </c>
      <c r="L278" s="1">
        <f>IFERROR(VLOOKUP($D278&amp;$C278,生产方式定位!$A$2:$E$38,2,FALSE)+VLOOKUP($E278&amp;$C278,生产方式定位!$F$3:$J$38,2,FALSE),0)</f>
        <v>4600</v>
      </c>
      <c r="S278" s="1">
        <f>IFERROR(VLOOKUP($D278&amp;$C278,生产方式定位!$A$2:$E$38,3,FALSE)+VLOOKUP($E278&amp;$C278,生产方式定位!$F$3:$J$38,3,FALSE),0)</f>
        <v>4650</v>
      </c>
      <c r="X278" s="1">
        <f>IFERROR(VLOOKUP($D278&amp;$C278,生产方式定位!$A$2:$E$38,5,FALSE)+VLOOKUP($E278&amp;$C278,生产方式定位!$F$3:$J$38,5,FALSE),"错误")</f>
        <v>4940</v>
      </c>
      <c r="Y278" s="27" t="str">
        <f t="shared" si="32"/>
        <v/>
      </c>
      <c r="Z278" s="37" t="str">
        <f t="shared" si="33"/>
        <v/>
      </c>
      <c r="AA278" s="37" t="str">
        <f t="shared" si="34"/>
        <v/>
      </c>
      <c r="AB278" s="28">
        <f t="shared" si="35"/>
        <v>0.93</v>
      </c>
      <c r="AC278" s="37"/>
      <c r="AD278" s="38">
        <f t="shared" si="36"/>
        <v>4</v>
      </c>
      <c r="AE278" t="str">
        <f>IFERROR(F278&amp;"*"&amp;ROUND(L278*(G278/$AN278)/VLOOKUP(F278,商品!$A$4:$D$67,4,FALSE),0),"")</f>
        <v/>
      </c>
      <c r="AF278" t="str">
        <f>IFERROR(H278&amp;"*"&amp;ROUND(L278*(I278/$AN278)/VLOOKUP(H278,商品!$A$4:$D$67,4,FALSE),0),"")</f>
        <v/>
      </c>
      <c r="AG278" t="str">
        <f>IFERROR(J278&amp;"*"&amp;ROUND(L278*(K278/$AN278)/VLOOKUP(J278,商品!$A$4:$D$67,4,FALSE),0),"")</f>
        <v/>
      </c>
      <c r="AH278" t="str">
        <f>IFERROR(M278&amp;"*"&amp;ROUND(S278*(N278/$AO278)/VLOOKUP(M278,职业!$A$3:$E$16,4,FALSE),0),"")</f>
        <v/>
      </c>
      <c r="AI278" t="str">
        <f>IFERROR(O278&amp;"*"&amp;ROUND(S278*(P278/$AO278)/VLOOKUP(O278,职业!$A$3:$E$16,4,FALSE),0),"")</f>
        <v/>
      </c>
      <c r="AK278" t="str">
        <f>IFERROR(T278&amp;"*"&amp;ROUND(X278*(U278/$AP278)/VLOOKUP(T278,商品!$A$4:$D$67,4,FALSE),0),"")</f>
        <v/>
      </c>
      <c r="AL278" t="str">
        <f>IFERROR(V278&amp;"*"&amp;ROUND(X278*(W278/$AP278)/VLOOKUP(V278,商品!$A$4:$D$67,4,FALSE),0),"")</f>
        <v/>
      </c>
      <c r="AN278">
        <f t="shared" si="37"/>
        <v>0</v>
      </c>
      <c r="AO278">
        <f t="shared" si="38"/>
        <v>0</v>
      </c>
      <c r="AP278">
        <f t="shared" si="39"/>
        <v>0</v>
      </c>
    </row>
    <row r="279" customHeight="1" spans="1:42">
      <c r="A279" s="5" t="s">
        <v>339</v>
      </c>
      <c r="C279" s="5">
        <v>5</v>
      </c>
      <c r="D279" s="1" t="s">
        <v>222</v>
      </c>
      <c r="E279" s="1" t="s">
        <v>225</v>
      </c>
      <c r="L279" s="1">
        <f>IFERROR(VLOOKUP($D279&amp;$C279,生产方式定位!$A$2:$E$38,2,FALSE)+VLOOKUP($E279&amp;$C279,生产方式定位!$F$3:$J$38,2,FALSE),0)</f>
        <v>5800</v>
      </c>
      <c r="S279" s="1">
        <f>IFERROR(VLOOKUP($D279&amp;$C279,生产方式定位!$A$2:$E$38,3,FALSE)+VLOOKUP($E279&amp;$C279,生产方式定位!$F$3:$J$38,3,FALSE),0)</f>
        <v>5700</v>
      </c>
      <c r="X279" s="1">
        <f>IFERROR(VLOOKUP($D279&amp;$C279,生产方式定位!$A$2:$E$38,5,FALSE)+VLOOKUP($E279&amp;$C279,生产方式定位!$F$3:$J$38,5,FALSE),"错误")</f>
        <v>6313</v>
      </c>
      <c r="Y279" s="27" t="str">
        <f t="shared" si="32"/>
        <v/>
      </c>
      <c r="Z279" s="37" t="str">
        <f t="shared" si="33"/>
        <v/>
      </c>
      <c r="AA279" s="37" t="str">
        <f t="shared" si="34"/>
        <v/>
      </c>
      <c r="AB279" s="28">
        <f t="shared" si="35"/>
        <v>0.92</v>
      </c>
      <c r="AC279" s="37"/>
      <c r="AD279" s="38">
        <f t="shared" si="36"/>
        <v>5</v>
      </c>
      <c r="AE279" t="str">
        <f>IFERROR(F279&amp;"*"&amp;ROUND(L279*(G279/$AN279)/VLOOKUP(F279,商品!$A$4:$D$67,4,FALSE),0),"")</f>
        <v/>
      </c>
      <c r="AF279" t="str">
        <f>IFERROR(H279&amp;"*"&amp;ROUND(L279*(I279/$AN279)/VLOOKUP(H279,商品!$A$4:$D$67,4,FALSE),0),"")</f>
        <v/>
      </c>
      <c r="AG279" t="str">
        <f>IFERROR(J279&amp;"*"&amp;ROUND(L279*(K279/$AN279)/VLOOKUP(J279,商品!$A$4:$D$67,4,FALSE),0),"")</f>
        <v/>
      </c>
      <c r="AH279" t="str">
        <f>IFERROR(M279&amp;"*"&amp;ROUND(S279*(N279/$AO279)/VLOOKUP(M279,职业!$A$3:$E$16,4,FALSE),0),"")</f>
        <v/>
      </c>
      <c r="AI279" t="str">
        <f>IFERROR(O279&amp;"*"&amp;ROUND(S279*(P279/$AO279)/VLOOKUP(O279,职业!$A$3:$E$16,4,FALSE),0),"")</f>
        <v/>
      </c>
      <c r="AK279" t="str">
        <f>IFERROR(T279&amp;"*"&amp;ROUND(X279*(U279/$AP279)/VLOOKUP(T279,商品!$A$4:$D$67,4,FALSE),0),"")</f>
        <v/>
      </c>
      <c r="AL279" t="str">
        <f>IFERROR(V279&amp;"*"&amp;ROUND(X279*(W279/$AP279)/VLOOKUP(V279,商品!$A$4:$D$67,4,FALSE),0),"")</f>
        <v/>
      </c>
      <c r="AN279">
        <f t="shared" si="37"/>
        <v>0</v>
      </c>
      <c r="AO279">
        <f t="shared" si="38"/>
        <v>0</v>
      </c>
      <c r="AP279">
        <f t="shared" si="39"/>
        <v>0</v>
      </c>
    </row>
    <row r="280" customHeight="1" spans="1:42">
      <c r="A280" s="18" t="s">
        <v>340</v>
      </c>
      <c r="C280" s="18">
        <v>1</v>
      </c>
      <c r="D280" s="1" t="s">
        <v>222</v>
      </c>
      <c r="E280" s="1" t="s">
        <v>226</v>
      </c>
      <c r="L280" s="1">
        <f>IFERROR(VLOOKUP($D280&amp;$C280,生产方式定位!$A$2:$E$38,2,FALSE)+VLOOKUP($E280&amp;$C280,生产方式定位!$F$3:$J$38,2,FALSE),0)</f>
        <v>0</v>
      </c>
      <c r="S280" s="1">
        <f>IFERROR(VLOOKUP($D280&amp;$C280,生产方式定位!$A$2:$E$38,3,FALSE)+VLOOKUP($E280&amp;$C280,生产方式定位!$F$3:$J$38,3,FALSE),0)</f>
        <v>500</v>
      </c>
      <c r="X280" s="1">
        <f>IFERROR(VLOOKUP($D280&amp;$C280,生产方式定位!$A$2:$E$38,5,FALSE)+VLOOKUP($E280&amp;$C280,生产方式定位!$F$3:$J$38,5,FALSE),"错误")</f>
        <v>250</v>
      </c>
      <c r="Y280" s="27" t="str">
        <f t="shared" si="32"/>
        <v/>
      </c>
      <c r="Z280" s="37" t="str">
        <f t="shared" si="33"/>
        <v/>
      </c>
      <c r="AA280" s="37" t="str">
        <f t="shared" si="34"/>
        <v/>
      </c>
      <c r="AB280" s="28">
        <f t="shared" si="35"/>
        <v>0</v>
      </c>
      <c r="AC280" s="37"/>
      <c r="AD280" s="38">
        <f t="shared" si="36"/>
        <v>1</v>
      </c>
      <c r="AE280" t="str">
        <f>IFERROR(F280&amp;"*"&amp;ROUND(L280*(G280/$AN280)/VLOOKUP(F280,商品!$A$4:$D$67,4,FALSE),0),"")</f>
        <v/>
      </c>
      <c r="AF280" t="str">
        <f>IFERROR(H280&amp;"*"&amp;ROUND(L280*(I280/$AN280)/VLOOKUP(H280,商品!$A$4:$D$67,4,FALSE),0),"")</f>
        <v/>
      </c>
      <c r="AG280" t="str">
        <f>IFERROR(J280&amp;"*"&amp;ROUND(L280*(K280/$AN280)/VLOOKUP(J280,商品!$A$4:$D$67,4,FALSE),0),"")</f>
        <v/>
      </c>
      <c r="AH280" t="str">
        <f>IFERROR(M280&amp;"*"&amp;ROUND(S280*(N280/$AO280)/VLOOKUP(M280,职业!$A$3:$E$16,4,FALSE),0),"")</f>
        <v/>
      </c>
      <c r="AI280" t="str">
        <f>IFERROR(O280&amp;"*"&amp;ROUND(S280*(P280/$AO280)/VLOOKUP(O280,职业!$A$3:$E$16,4,FALSE),0),"")</f>
        <v/>
      </c>
      <c r="AK280" t="str">
        <f>IFERROR(T280&amp;"*"&amp;ROUND(X280*(U280/$AP280)/VLOOKUP(T280,商品!$A$4:$D$67,4,FALSE),0),"")</f>
        <v/>
      </c>
      <c r="AL280" t="str">
        <f>IFERROR(V280&amp;"*"&amp;ROUND(X280*(W280/$AP280)/VLOOKUP(V280,商品!$A$4:$D$67,4,FALSE),0),"")</f>
        <v/>
      </c>
      <c r="AN280">
        <f t="shared" si="37"/>
        <v>0</v>
      </c>
      <c r="AO280">
        <f t="shared" si="38"/>
        <v>0</v>
      </c>
      <c r="AP280">
        <f t="shared" si="39"/>
        <v>0</v>
      </c>
    </row>
    <row r="281" customHeight="1" spans="1:42">
      <c r="A281" s="18" t="s">
        <v>340</v>
      </c>
      <c r="C281" s="18">
        <v>2</v>
      </c>
      <c r="D281" s="1" t="s">
        <v>222</v>
      </c>
      <c r="E281" s="1" t="s">
        <v>226</v>
      </c>
      <c r="L281" s="1">
        <f>IFERROR(VLOOKUP($D281&amp;$C281,生产方式定位!$A$2:$E$38,2,FALSE)+VLOOKUP($E281&amp;$C281,生产方式定位!$F$3:$J$38,2,FALSE),0)</f>
        <v>3200</v>
      </c>
      <c r="S281" s="1">
        <f>IFERROR(VLOOKUP($D281&amp;$C281,生产方式定位!$A$2:$E$38,3,FALSE)+VLOOKUP($E281&amp;$C281,生产方式定位!$F$3:$J$38,3,FALSE),0)</f>
        <v>350</v>
      </c>
      <c r="X281" s="1">
        <f>IFERROR(VLOOKUP($D281&amp;$C281,生产方式定位!$A$2:$E$38,5,FALSE)+VLOOKUP($E281&amp;$C281,生产方式定位!$F$3:$J$38,5,FALSE),"错误")</f>
        <v>1865</v>
      </c>
      <c r="Y281" s="27" t="str">
        <f t="shared" si="32"/>
        <v/>
      </c>
      <c r="Z281" s="37" t="str">
        <f t="shared" si="33"/>
        <v/>
      </c>
      <c r="AA281" s="37" t="str">
        <f t="shared" si="34"/>
        <v/>
      </c>
      <c r="AB281" s="28">
        <f t="shared" si="35"/>
        <v>1.72</v>
      </c>
      <c r="AC281" s="37"/>
      <c r="AD281" s="38">
        <f t="shared" si="36"/>
        <v>2</v>
      </c>
      <c r="AE281" t="str">
        <f>IFERROR(F281&amp;"*"&amp;ROUND(L281*(G281/$AN281)/VLOOKUP(F281,商品!$A$4:$D$67,4,FALSE),0),"")</f>
        <v/>
      </c>
      <c r="AF281" t="str">
        <f>IFERROR(H281&amp;"*"&amp;ROUND(L281*(I281/$AN281)/VLOOKUP(H281,商品!$A$4:$D$67,4,FALSE),0),"")</f>
        <v/>
      </c>
      <c r="AG281" t="str">
        <f>IFERROR(J281&amp;"*"&amp;ROUND(L281*(K281/$AN281)/VLOOKUP(J281,商品!$A$4:$D$67,4,FALSE),0),"")</f>
        <v/>
      </c>
      <c r="AH281" t="str">
        <f>IFERROR(M281&amp;"*"&amp;ROUND(S281*(N281/$AO281)/VLOOKUP(M281,职业!$A$3:$E$16,4,FALSE),0),"")</f>
        <v/>
      </c>
      <c r="AI281" t="str">
        <f>IFERROR(O281&amp;"*"&amp;ROUND(S281*(P281/$AO281)/VLOOKUP(O281,职业!$A$3:$E$16,4,FALSE),0),"")</f>
        <v/>
      </c>
      <c r="AK281" t="str">
        <f>IFERROR(T281&amp;"*"&amp;ROUND(X281*(U281/$AP281)/VLOOKUP(T281,商品!$A$4:$D$67,4,FALSE),0),"")</f>
        <v/>
      </c>
      <c r="AL281" t="str">
        <f>IFERROR(V281&amp;"*"&amp;ROUND(X281*(W281/$AP281)/VLOOKUP(V281,商品!$A$4:$D$67,4,FALSE),0),"")</f>
        <v/>
      </c>
      <c r="AN281">
        <f t="shared" si="37"/>
        <v>0</v>
      </c>
      <c r="AO281">
        <f t="shared" si="38"/>
        <v>0</v>
      </c>
      <c r="AP281">
        <f t="shared" si="39"/>
        <v>0</v>
      </c>
    </row>
    <row r="282" customHeight="1" spans="1:42">
      <c r="A282" s="18" t="s">
        <v>340</v>
      </c>
      <c r="C282" s="18">
        <v>3</v>
      </c>
      <c r="D282" s="1" t="s">
        <v>222</v>
      </c>
      <c r="E282" s="1" t="s">
        <v>226</v>
      </c>
      <c r="L282" s="1">
        <f>IFERROR(VLOOKUP($D282&amp;$C282,生产方式定位!$A$2:$E$38,2,FALSE)+VLOOKUP($E282&amp;$C282,生产方式定位!$F$3:$J$38,2,FALSE),0)</f>
        <v>4400</v>
      </c>
      <c r="S282" s="1">
        <f>IFERROR(VLOOKUP($D282&amp;$C282,生产方式定位!$A$2:$E$38,3,FALSE)+VLOOKUP($E282&amp;$C282,生产方式定位!$F$3:$J$38,3,FALSE),0)</f>
        <v>200</v>
      </c>
      <c r="X282" s="1">
        <f>IFERROR(VLOOKUP($D282&amp;$C282,生产方式定位!$A$2:$E$38,5,FALSE)+VLOOKUP($E282&amp;$C282,生产方式定位!$F$3:$J$38,5,FALSE),"错误")</f>
        <v>2560</v>
      </c>
      <c r="Y282" s="27" t="str">
        <f t="shared" si="32"/>
        <v/>
      </c>
      <c r="Z282" s="37" t="str">
        <f t="shared" si="33"/>
        <v/>
      </c>
      <c r="AA282" s="37" t="str">
        <f t="shared" si="34"/>
        <v/>
      </c>
      <c r="AB282" s="28">
        <f t="shared" si="35"/>
        <v>1.72</v>
      </c>
      <c r="AC282" s="37"/>
      <c r="AD282" s="38">
        <f t="shared" si="36"/>
        <v>3</v>
      </c>
      <c r="AE282" t="str">
        <f>IFERROR(F282&amp;"*"&amp;ROUND(L282*(G282/$AN282)/VLOOKUP(F282,商品!$A$4:$D$67,4,FALSE),0),"")</f>
        <v/>
      </c>
      <c r="AF282" t="str">
        <f>IFERROR(H282&amp;"*"&amp;ROUND(L282*(I282/$AN282)/VLOOKUP(H282,商品!$A$4:$D$67,4,FALSE),0),"")</f>
        <v/>
      </c>
      <c r="AG282" t="str">
        <f>IFERROR(J282&amp;"*"&amp;ROUND(L282*(K282/$AN282)/VLOOKUP(J282,商品!$A$4:$D$67,4,FALSE),0),"")</f>
        <v/>
      </c>
      <c r="AH282" t="str">
        <f>IFERROR(M282&amp;"*"&amp;ROUND(S282*(N282/$AO282)/VLOOKUP(M282,职业!$A$3:$E$16,4,FALSE),0),"")</f>
        <v/>
      </c>
      <c r="AI282" t="str">
        <f>IFERROR(O282&amp;"*"&amp;ROUND(S282*(P282/$AO282)/VLOOKUP(O282,职业!$A$3:$E$16,4,FALSE),0),"")</f>
        <v/>
      </c>
      <c r="AK282" t="str">
        <f>IFERROR(T282&amp;"*"&amp;ROUND(X282*(U282/$AP282)/VLOOKUP(T282,商品!$A$4:$D$67,4,FALSE),0),"")</f>
        <v/>
      </c>
      <c r="AL282" t="str">
        <f>IFERROR(V282&amp;"*"&amp;ROUND(X282*(W282/$AP282)/VLOOKUP(V282,商品!$A$4:$D$67,4,FALSE),0),"")</f>
        <v/>
      </c>
      <c r="AN282">
        <f t="shared" si="37"/>
        <v>0</v>
      </c>
      <c r="AO282">
        <f t="shared" si="38"/>
        <v>0</v>
      </c>
      <c r="AP282">
        <f t="shared" si="39"/>
        <v>0</v>
      </c>
    </row>
    <row r="283" customHeight="1" spans="1:42">
      <c r="A283" s="18" t="s">
        <v>340</v>
      </c>
      <c r="C283" s="18">
        <v>4</v>
      </c>
      <c r="D283" s="1" t="s">
        <v>222</v>
      </c>
      <c r="E283" s="1" t="s">
        <v>226</v>
      </c>
      <c r="L283" s="1">
        <f>IFERROR(VLOOKUP($D283&amp;$C283,生产方式定位!$A$2:$E$38,2,FALSE)+VLOOKUP($E283&amp;$C283,生产方式定位!$F$3:$J$38,2,FALSE),0)</f>
        <v>5600</v>
      </c>
      <c r="S283" s="1">
        <f>IFERROR(VLOOKUP($D283&amp;$C283,生产方式定位!$A$2:$E$38,3,FALSE)+VLOOKUP($E283&amp;$C283,生产方式定位!$F$3:$J$38,3,FALSE),0)</f>
        <v>50</v>
      </c>
      <c r="X283" s="1">
        <f>IFERROR(VLOOKUP($D283&amp;$C283,生产方式定位!$A$2:$E$38,5,FALSE)+VLOOKUP($E283&amp;$C283,生产方式定位!$F$3:$J$38,5,FALSE),"错误")</f>
        <v>3335</v>
      </c>
      <c r="Y283" s="27" t="str">
        <f t="shared" si="32"/>
        <v/>
      </c>
      <c r="Z283" s="37" t="str">
        <f t="shared" si="33"/>
        <v/>
      </c>
      <c r="AA283" s="37" t="str">
        <f t="shared" si="34"/>
        <v/>
      </c>
      <c r="AB283" s="28">
        <f t="shared" si="35"/>
        <v>1.68</v>
      </c>
      <c r="AC283" s="37"/>
      <c r="AD283" s="38">
        <f t="shared" si="36"/>
        <v>4</v>
      </c>
      <c r="AE283" t="str">
        <f>IFERROR(F283&amp;"*"&amp;ROUND(L283*(G283/$AN283)/VLOOKUP(F283,商品!$A$4:$D$67,4,FALSE),0),"")</f>
        <v/>
      </c>
      <c r="AF283" t="str">
        <f>IFERROR(H283&amp;"*"&amp;ROUND(L283*(I283/$AN283)/VLOOKUP(H283,商品!$A$4:$D$67,4,FALSE),0),"")</f>
        <v/>
      </c>
      <c r="AG283" t="str">
        <f>IFERROR(J283&amp;"*"&amp;ROUND(L283*(K283/$AN283)/VLOOKUP(J283,商品!$A$4:$D$67,4,FALSE),0),"")</f>
        <v/>
      </c>
      <c r="AH283" t="str">
        <f>IFERROR(M283&amp;"*"&amp;ROUND(S283*(N283/$AO283)/VLOOKUP(M283,职业!$A$3:$E$16,4,FALSE),0),"")</f>
        <v/>
      </c>
      <c r="AI283" t="str">
        <f>IFERROR(O283&amp;"*"&amp;ROUND(S283*(P283/$AO283)/VLOOKUP(O283,职业!$A$3:$E$16,4,FALSE),0),"")</f>
        <v/>
      </c>
      <c r="AK283" t="str">
        <f>IFERROR(T283&amp;"*"&amp;ROUND(X283*(U283/$AP283)/VLOOKUP(T283,商品!$A$4:$D$67,4,FALSE),0),"")</f>
        <v/>
      </c>
      <c r="AL283" t="str">
        <f>IFERROR(V283&amp;"*"&amp;ROUND(X283*(W283/$AP283)/VLOOKUP(V283,商品!$A$4:$D$67,4,FALSE),0),"")</f>
        <v/>
      </c>
      <c r="AN283">
        <f t="shared" si="37"/>
        <v>0</v>
      </c>
      <c r="AO283">
        <f t="shared" si="38"/>
        <v>0</v>
      </c>
      <c r="AP283">
        <f t="shared" si="39"/>
        <v>0</v>
      </c>
    </row>
    <row r="284" customHeight="1" spans="1:42">
      <c r="A284" s="18" t="s">
        <v>340</v>
      </c>
      <c r="C284" s="18">
        <v>5</v>
      </c>
      <c r="D284" s="1" t="s">
        <v>222</v>
      </c>
      <c r="E284" s="1" t="s">
        <v>226</v>
      </c>
      <c r="L284" s="1">
        <f>IFERROR(VLOOKUP($D284&amp;$C284,生产方式定位!$A$2:$E$38,2,FALSE)+VLOOKUP($E284&amp;$C284,生产方式定位!$F$3:$J$38,2,FALSE),0)</f>
        <v>6800</v>
      </c>
      <c r="S284" s="1">
        <f>IFERROR(VLOOKUP($D284&amp;$C284,生产方式定位!$A$2:$E$38,3,FALSE)+VLOOKUP($E284&amp;$C284,生产方式定位!$F$3:$J$38,3,FALSE),0)</f>
        <v>-100</v>
      </c>
      <c r="X284" s="1">
        <f>IFERROR(VLOOKUP($D284&amp;$C284,生产方式定位!$A$2:$E$38,5,FALSE)+VLOOKUP($E284&amp;$C284,生产方式定位!$F$3:$J$38,5,FALSE),"错误")</f>
        <v>4190</v>
      </c>
      <c r="Y284" s="27" t="str">
        <f t="shared" si="32"/>
        <v/>
      </c>
      <c r="Z284" s="37" t="str">
        <f t="shared" si="33"/>
        <v/>
      </c>
      <c r="AA284" s="37" t="str">
        <f t="shared" si="34"/>
        <v/>
      </c>
      <c r="AB284" s="28">
        <f t="shared" si="35"/>
        <v>1.62</v>
      </c>
      <c r="AC284" s="37"/>
      <c r="AD284" s="38">
        <f t="shared" si="36"/>
        <v>5</v>
      </c>
      <c r="AE284" t="str">
        <f>IFERROR(F284&amp;"*"&amp;ROUND(L284*(G284/$AN284)/VLOOKUP(F284,商品!$A$4:$D$67,4,FALSE),0),"")</f>
        <v/>
      </c>
      <c r="AF284" t="str">
        <f>IFERROR(H284&amp;"*"&amp;ROUND(L284*(I284/$AN284)/VLOOKUP(H284,商品!$A$4:$D$67,4,FALSE),0),"")</f>
        <v/>
      </c>
      <c r="AG284" t="str">
        <f>IFERROR(J284&amp;"*"&amp;ROUND(L284*(K284/$AN284)/VLOOKUP(J284,商品!$A$4:$D$67,4,FALSE),0),"")</f>
        <v/>
      </c>
      <c r="AH284" t="str">
        <f>IFERROR(M284&amp;"*"&amp;ROUND(S284*(N284/$AO284)/VLOOKUP(M284,职业!$A$3:$E$16,4,FALSE),0),"")</f>
        <v/>
      </c>
      <c r="AI284" t="str">
        <f>IFERROR(O284&amp;"*"&amp;ROUND(S284*(P284/$AO284)/VLOOKUP(O284,职业!$A$3:$E$16,4,FALSE),0),"")</f>
        <v/>
      </c>
      <c r="AK284" t="str">
        <f>IFERROR(T284&amp;"*"&amp;ROUND(X284*(U284/$AP284)/VLOOKUP(T284,商品!$A$4:$D$67,4,FALSE),0),"")</f>
        <v/>
      </c>
      <c r="AL284" t="str">
        <f>IFERROR(V284&amp;"*"&amp;ROUND(X284*(W284/$AP284)/VLOOKUP(V284,商品!$A$4:$D$67,4,FALSE),0),"")</f>
        <v/>
      </c>
      <c r="AN284">
        <f t="shared" si="37"/>
        <v>0</v>
      </c>
      <c r="AO284">
        <f t="shared" si="38"/>
        <v>0</v>
      </c>
      <c r="AP284">
        <f t="shared" si="39"/>
        <v>0</v>
      </c>
    </row>
    <row r="285" customHeight="1" spans="1:42">
      <c r="A285" s="5" t="s">
        <v>340</v>
      </c>
      <c r="C285" s="5">
        <v>1</v>
      </c>
      <c r="D285" s="1" t="s">
        <v>222</v>
      </c>
      <c r="E285" s="1" t="s">
        <v>226</v>
      </c>
      <c r="L285" s="1">
        <f>IFERROR(VLOOKUP($D285&amp;$C285,生产方式定位!$A$2:$E$38,2,FALSE)+VLOOKUP($E285&amp;$C285,生产方式定位!$F$3:$J$38,2,FALSE),0)</f>
        <v>0</v>
      </c>
      <c r="S285" s="1">
        <f>IFERROR(VLOOKUP($D285&amp;$C285,生产方式定位!$A$2:$E$38,3,FALSE)+VLOOKUP($E285&amp;$C285,生产方式定位!$F$3:$J$38,3,FALSE),0)</f>
        <v>500</v>
      </c>
      <c r="X285" s="1">
        <f>IFERROR(VLOOKUP($D285&amp;$C285,生产方式定位!$A$2:$E$38,5,FALSE)+VLOOKUP($E285&amp;$C285,生产方式定位!$F$3:$J$38,5,FALSE),"错误")</f>
        <v>250</v>
      </c>
      <c r="Y285" s="27" t="str">
        <f t="shared" si="32"/>
        <v/>
      </c>
      <c r="Z285" s="37" t="str">
        <f t="shared" si="33"/>
        <v/>
      </c>
      <c r="AA285" s="37" t="str">
        <f t="shared" si="34"/>
        <v/>
      </c>
      <c r="AB285" s="28">
        <f t="shared" si="35"/>
        <v>0</v>
      </c>
      <c r="AC285" s="37"/>
      <c r="AD285" s="38">
        <f t="shared" si="36"/>
        <v>1</v>
      </c>
      <c r="AE285" t="str">
        <f>IFERROR(F285&amp;"*"&amp;ROUND(L285*(G285/$AN285)/VLOOKUP(F285,商品!$A$4:$D$67,4,FALSE),0),"")</f>
        <v/>
      </c>
      <c r="AF285" t="str">
        <f>IFERROR(H285&amp;"*"&amp;ROUND(L285*(I285/$AN285)/VLOOKUP(H285,商品!$A$4:$D$67,4,FALSE),0),"")</f>
        <v/>
      </c>
      <c r="AG285" t="str">
        <f>IFERROR(J285&amp;"*"&amp;ROUND(L285*(K285/$AN285)/VLOOKUP(J285,商品!$A$4:$D$67,4,FALSE),0),"")</f>
        <v/>
      </c>
      <c r="AH285" t="str">
        <f>IFERROR(M285&amp;"*"&amp;ROUND(S285*(N285/$AO285)/VLOOKUP(M285,职业!$A$3:$E$16,4,FALSE),0),"")</f>
        <v/>
      </c>
      <c r="AI285" t="str">
        <f>IFERROR(O285&amp;"*"&amp;ROUND(S285*(P285/$AO285)/VLOOKUP(O285,职业!$A$3:$E$16,4,FALSE),0),"")</f>
        <v/>
      </c>
      <c r="AK285" t="str">
        <f>IFERROR(T285&amp;"*"&amp;ROUND(X285*(U285/$AP285)/VLOOKUP(T285,商品!$A$4:$D$67,4,FALSE),0),"")</f>
        <v/>
      </c>
      <c r="AL285" t="str">
        <f>IFERROR(V285&amp;"*"&amp;ROUND(X285*(W285/$AP285)/VLOOKUP(V285,商品!$A$4:$D$67,4,FALSE),0),"")</f>
        <v/>
      </c>
      <c r="AN285">
        <f t="shared" si="37"/>
        <v>0</v>
      </c>
      <c r="AO285">
        <f t="shared" si="38"/>
        <v>0</v>
      </c>
      <c r="AP285">
        <f t="shared" si="39"/>
        <v>0</v>
      </c>
    </row>
    <row r="286" customHeight="1" spans="1:42">
      <c r="A286" s="5" t="s">
        <v>340</v>
      </c>
      <c r="C286" s="5">
        <v>2</v>
      </c>
      <c r="D286" s="1" t="s">
        <v>222</v>
      </c>
      <c r="E286" s="1" t="s">
        <v>226</v>
      </c>
      <c r="L286" s="1">
        <f>IFERROR(VLOOKUP($D286&amp;$C286,生产方式定位!$A$2:$E$38,2,FALSE)+VLOOKUP($E286&amp;$C286,生产方式定位!$F$3:$J$38,2,FALSE),0)</f>
        <v>3200</v>
      </c>
      <c r="S286" s="1">
        <f>IFERROR(VLOOKUP($D286&amp;$C286,生产方式定位!$A$2:$E$38,3,FALSE)+VLOOKUP($E286&amp;$C286,生产方式定位!$F$3:$J$38,3,FALSE),0)</f>
        <v>350</v>
      </c>
      <c r="X286" s="1">
        <f>IFERROR(VLOOKUP($D286&amp;$C286,生产方式定位!$A$2:$E$38,5,FALSE)+VLOOKUP($E286&amp;$C286,生产方式定位!$F$3:$J$38,5,FALSE),"错误")</f>
        <v>1865</v>
      </c>
      <c r="Y286" s="27" t="str">
        <f t="shared" si="32"/>
        <v/>
      </c>
      <c r="Z286" s="37" t="str">
        <f t="shared" si="33"/>
        <v/>
      </c>
      <c r="AA286" s="37" t="str">
        <f t="shared" si="34"/>
        <v/>
      </c>
      <c r="AB286" s="28">
        <f t="shared" si="35"/>
        <v>1.72</v>
      </c>
      <c r="AC286" s="37"/>
      <c r="AD286" s="38">
        <f t="shared" si="36"/>
        <v>2</v>
      </c>
      <c r="AE286" t="str">
        <f>IFERROR(F286&amp;"*"&amp;ROUND(L286*(G286/$AN286)/VLOOKUP(F286,商品!$A$4:$D$67,4,FALSE),0),"")</f>
        <v/>
      </c>
      <c r="AF286" t="str">
        <f>IFERROR(H286&amp;"*"&amp;ROUND(L286*(I286/$AN286)/VLOOKUP(H286,商品!$A$4:$D$67,4,FALSE),0),"")</f>
        <v/>
      </c>
      <c r="AG286" t="str">
        <f>IFERROR(J286&amp;"*"&amp;ROUND(L286*(K286/$AN286)/VLOOKUP(J286,商品!$A$4:$D$67,4,FALSE),0),"")</f>
        <v/>
      </c>
      <c r="AH286" t="str">
        <f>IFERROR(M286&amp;"*"&amp;ROUND(S286*(N286/$AO286)/VLOOKUP(M286,职业!$A$3:$E$16,4,FALSE),0),"")</f>
        <v/>
      </c>
      <c r="AI286" t="str">
        <f>IFERROR(O286&amp;"*"&amp;ROUND(S286*(P286/$AO286)/VLOOKUP(O286,职业!$A$3:$E$16,4,FALSE),0),"")</f>
        <v/>
      </c>
      <c r="AK286" t="str">
        <f>IFERROR(T286&amp;"*"&amp;ROUND(X286*(U286/$AP286)/VLOOKUP(T286,商品!$A$4:$D$67,4,FALSE),0),"")</f>
        <v/>
      </c>
      <c r="AL286" t="str">
        <f>IFERROR(V286&amp;"*"&amp;ROUND(X286*(W286/$AP286)/VLOOKUP(V286,商品!$A$4:$D$67,4,FALSE),0),"")</f>
        <v/>
      </c>
      <c r="AN286">
        <f t="shared" si="37"/>
        <v>0</v>
      </c>
      <c r="AO286">
        <f t="shared" si="38"/>
        <v>0</v>
      </c>
      <c r="AP286">
        <f t="shared" si="39"/>
        <v>0</v>
      </c>
    </row>
    <row r="287" customHeight="1" spans="1:42">
      <c r="A287" s="5" t="s">
        <v>340</v>
      </c>
      <c r="C287" s="5">
        <v>3</v>
      </c>
      <c r="D287" s="1" t="s">
        <v>222</v>
      </c>
      <c r="E287" s="1" t="s">
        <v>226</v>
      </c>
      <c r="L287" s="1">
        <f>IFERROR(VLOOKUP($D287&amp;$C287,生产方式定位!$A$2:$E$38,2,FALSE)+VLOOKUP($E287&amp;$C287,生产方式定位!$F$3:$J$38,2,FALSE),0)</f>
        <v>4400</v>
      </c>
      <c r="S287" s="1">
        <f>IFERROR(VLOOKUP($D287&amp;$C287,生产方式定位!$A$2:$E$38,3,FALSE)+VLOOKUP($E287&amp;$C287,生产方式定位!$F$3:$J$38,3,FALSE),0)</f>
        <v>200</v>
      </c>
      <c r="X287" s="1">
        <f>IFERROR(VLOOKUP($D287&amp;$C287,生产方式定位!$A$2:$E$38,5,FALSE)+VLOOKUP($E287&amp;$C287,生产方式定位!$F$3:$J$38,5,FALSE),"错误")</f>
        <v>2560</v>
      </c>
      <c r="Y287" s="27" t="str">
        <f t="shared" si="32"/>
        <v/>
      </c>
      <c r="Z287" s="37" t="str">
        <f t="shared" si="33"/>
        <v/>
      </c>
      <c r="AA287" s="37" t="str">
        <f t="shared" si="34"/>
        <v/>
      </c>
      <c r="AB287" s="28">
        <f t="shared" si="35"/>
        <v>1.72</v>
      </c>
      <c r="AC287" s="37"/>
      <c r="AD287" s="38">
        <f t="shared" si="36"/>
        <v>3</v>
      </c>
      <c r="AE287" t="str">
        <f>IFERROR(F287&amp;"*"&amp;ROUND(L287*(G287/$AN287)/VLOOKUP(F287,商品!$A$4:$D$67,4,FALSE),0),"")</f>
        <v/>
      </c>
      <c r="AF287" t="str">
        <f>IFERROR(H287&amp;"*"&amp;ROUND(L287*(I287/$AN287)/VLOOKUP(H287,商品!$A$4:$D$67,4,FALSE),0),"")</f>
        <v/>
      </c>
      <c r="AG287" t="str">
        <f>IFERROR(J287&amp;"*"&amp;ROUND(L287*(K287/$AN287)/VLOOKUP(J287,商品!$A$4:$D$67,4,FALSE),0),"")</f>
        <v/>
      </c>
      <c r="AH287" t="str">
        <f>IFERROR(M287&amp;"*"&amp;ROUND(S287*(N287/$AO287)/VLOOKUP(M287,职业!$A$3:$E$16,4,FALSE),0),"")</f>
        <v/>
      </c>
      <c r="AI287" t="str">
        <f>IFERROR(O287&amp;"*"&amp;ROUND(S287*(P287/$AO287)/VLOOKUP(O287,职业!$A$3:$E$16,4,FALSE),0),"")</f>
        <v/>
      </c>
      <c r="AK287" t="str">
        <f>IFERROR(T287&amp;"*"&amp;ROUND(X287*(U287/$AP287)/VLOOKUP(T287,商品!$A$4:$D$67,4,FALSE),0),"")</f>
        <v/>
      </c>
      <c r="AL287" t="str">
        <f>IFERROR(V287&amp;"*"&amp;ROUND(X287*(W287/$AP287)/VLOOKUP(V287,商品!$A$4:$D$67,4,FALSE),0),"")</f>
        <v/>
      </c>
      <c r="AN287">
        <f t="shared" si="37"/>
        <v>0</v>
      </c>
      <c r="AO287">
        <f t="shared" si="38"/>
        <v>0</v>
      </c>
      <c r="AP287">
        <f t="shared" si="39"/>
        <v>0</v>
      </c>
    </row>
    <row r="288" customHeight="1" spans="1:42">
      <c r="A288" s="5" t="s">
        <v>340</v>
      </c>
      <c r="C288" s="5">
        <v>4</v>
      </c>
      <c r="D288" s="1" t="s">
        <v>222</v>
      </c>
      <c r="E288" s="1" t="s">
        <v>226</v>
      </c>
      <c r="L288" s="1">
        <f>IFERROR(VLOOKUP($D288&amp;$C288,生产方式定位!$A$2:$E$38,2,FALSE)+VLOOKUP($E288&amp;$C288,生产方式定位!$F$3:$J$38,2,FALSE),0)</f>
        <v>5600</v>
      </c>
      <c r="S288" s="1">
        <f>IFERROR(VLOOKUP($D288&amp;$C288,生产方式定位!$A$2:$E$38,3,FALSE)+VLOOKUP($E288&amp;$C288,生产方式定位!$F$3:$J$38,3,FALSE),0)</f>
        <v>50</v>
      </c>
      <c r="X288" s="1">
        <f>IFERROR(VLOOKUP($D288&amp;$C288,生产方式定位!$A$2:$E$38,5,FALSE)+VLOOKUP($E288&amp;$C288,生产方式定位!$F$3:$J$38,5,FALSE),"错误")</f>
        <v>3335</v>
      </c>
      <c r="Y288" s="27" t="str">
        <f t="shared" si="32"/>
        <v/>
      </c>
      <c r="Z288" s="37" t="str">
        <f t="shared" si="33"/>
        <v/>
      </c>
      <c r="AA288" s="37" t="str">
        <f t="shared" si="34"/>
        <v/>
      </c>
      <c r="AB288" s="28">
        <f t="shared" si="35"/>
        <v>1.68</v>
      </c>
      <c r="AC288" s="37"/>
      <c r="AD288" s="38">
        <f t="shared" si="36"/>
        <v>4</v>
      </c>
      <c r="AE288" t="str">
        <f>IFERROR(F288&amp;"*"&amp;ROUND(L288*(G288/$AN288)/VLOOKUP(F288,商品!$A$4:$D$67,4,FALSE),0),"")</f>
        <v/>
      </c>
      <c r="AF288" t="str">
        <f>IFERROR(H288&amp;"*"&amp;ROUND(L288*(I288/$AN288)/VLOOKUP(H288,商品!$A$4:$D$67,4,FALSE),0),"")</f>
        <v/>
      </c>
      <c r="AG288" t="str">
        <f>IFERROR(J288&amp;"*"&amp;ROUND(L288*(K288/$AN288)/VLOOKUP(J288,商品!$A$4:$D$67,4,FALSE),0),"")</f>
        <v/>
      </c>
      <c r="AH288" t="str">
        <f>IFERROR(M288&amp;"*"&amp;ROUND(S288*(N288/$AO288)/VLOOKUP(M288,职业!$A$3:$E$16,4,FALSE),0),"")</f>
        <v/>
      </c>
      <c r="AI288" t="str">
        <f>IFERROR(O288&amp;"*"&amp;ROUND(S288*(P288/$AO288)/VLOOKUP(O288,职业!$A$3:$E$16,4,FALSE),0),"")</f>
        <v/>
      </c>
      <c r="AK288" t="str">
        <f>IFERROR(T288&amp;"*"&amp;ROUND(X288*(U288/$AP288)/VLOOKUP(T288,商品!$A$4:$D$67,4,FALSE),0),"")</f>
        <v/>
      </c>
      <c r="AL288" t="str">
        <f>IFERROR(V288&amp;"*"&amp;ROUND(X288*(W288/$AP288)/VLOOKUP(V288,商品!$A$4:$D$67,4,FALSE),0),"")</f>
        <v/>
      </c>
      <c r="AN288">
        <f t="shared" si="37"/>
        <v>0</v>
      </c>
      <c r="AO288">
        <f t="shared" si="38"/>
        <v>0</v>
      </c>
      <c r="AP288">
        <f t="shared" si="39"/>
        <v>0</v>
      </c>
    </row>
    <row r="289" customHeight="1" spans="1:42">
      <c r="A289" s="5" t="s">
        <v>340</v>
      </c>
      <c r="C289" s="5">
        <v>5</v>
      </c>
      <c r="D289" s="1" t="s">
        <v>222</v>
      </c>
      <c r="E289" s="1" t="s">
        <v>226</v>
      </c>
      <c r="L289" s="1">
        <f>IFERROR(VLOOKUP($D289&amp;$C289,生产方式定位!$A$2:$E$38,2,FALSE)+VLOOKUP($E289&amp;$C289,生产方式定位!$F$3:$J$38,2,FALSE),0)</f>
        <v>6800</v>
      </c>
      <c r="S289" s="1">
        <f>IFERROR(VLOOKUP($D289&amp;$C289,生产方式定位!$A$2:$E$38,3,FALSE)+VLOOKUP($E289&amp;$C289,生产方式定位!$F$3:$J$38,3,FALSE),0)</f>
        <v>-100</v>
      </c>
      <c r="X289" s="1">
        <f>IFERROR(VLOOKUP($D289&amp;$C289,生产方式定位!$A$2:$E$38,5,FALSE)+VLOOKUP($E289&amp;$C289,生产方式定位!$F$3:$J$38,5,FALSE),"错误")</f>
        <v>4190</v>
      </c>
      <c r="Y289" s="27" t="str">
        <f t="shared" si="32"/>
        <v/>
      </c>
      <c r="Z289" s="37" t="str">
        <f t="shared" si="33"/>
        <v/>
      </c>
      <c r="AA289" s="37" t="str">
        <f t="shared" si="34"/>
        <v/>
      </c>
      <c r="AB289" s="28">
        <f t="shared" si="35"/>
        <v>1.62</v>
      </c>
      <c r="AC289" s="37"/>
      <c r="AD289" s="38">
        <f t="shared" si="36"/>
        <v>5</v>
      </c>
      <c r="AE289" t="str">
        <f>IFERROR(F289&amp;"*"&amp;ROUND(L289*(G289/$AN289)/VLOOKUP(F289,商品!$A$4:$D$67,4,FALSE),0),"")</f>
        <v/>
      </c>
      <c r="AF289" t="str">
        <f>IFERROR(H289&amp;"*"&amp;ROUND(L289*(I289/$AN289)/VLOOKUP(H289,商品!$A$4:$D$67,4,FALSE),0),"")</f>
        <v/>
      </c>
      <c r="AG289" t="str">
        <f>IFERROR(J289&amp;"*"&amp;ROUND(L289*(K289/$AN289)/VLOOKUP(J289,商品!$A$4:$D$67,4,FALSE),0),"")</f>
        <v/>
      </c>
      <c r="AH289" t="str">
        <f>IFERROR(M289&amp;"*"&amp;ROUND(S289*(N289/$AO289)/VLOOKUP(M289,职业!$A$3:$E$16,4,FALSE),0),"")</f>
        <v/>
      </c>
      <c r="AI289" t="str">
        <f>IFERROR(O289&amp;"*"&amp;ROUND(S289*(P289/$AO289)/VLOOKUP(O289,职业!$A$3:$E$16,4,FALSE),0),"")</f>
        <v/>
      </c>
      <c r="AK289" t="str">
        <f>IFERROR(T289&amp;"*"&amp;ROUND(X289*(U289/$AP289)/VLOOKUP(T289,商品!$A$4:$D$67,4,FALSE),0),"")</f>
        <v/>
      </c>
      <c r="AL289" t="str">
        <f>IFERROR(V289&amp;"*"&amp;ROUND(X289*(W289/$AP289)/VLOOKUP(V289,商品!$A$4:$D$67,4,FALSE),0),"")</f>
        <v/>
      </c>
      <c r="AN289">
        <f t="shared" si="37"/>
        <v>0</v>
      </c>
      <c r="AO289">
        <f t="shared" si="38"/>
        <v>0</v>
      </c>
      <c r="AP289">
        <f t="shared" si="39"/>
        <v>0</v>
      </c>
    </row>
    <row r="290" customHeight="1" spans="1:42">
      <c r="A290" s="18" t="s">
        <v>341</v>
      </c>
      <c r="C290" s="18">
        <v>1</v>
      </c>
      <c r="D290" s="1" t="s">
        <v>293</v>
      </c>
      <c r="E290" s="1" t="s">
        <v>227</v>
      </c>
      <c r="L290" s="1">
        <f>IFERROR(VLOOKUP($D290&amp;$C290,生产方式定位!$A$2:$E$38,2,FALSE)+VLOOKUP($E290&amp;$C290,生产方式定位!$F$3:$J$38,2,FALSE),0)</f>
        <v>0</v>
      </c>
      <c r="S290" s="1">
        <f>IFERROR(VLOOKUP($D290&amp;$C290,生产方式定位!$A$2:$E$38,3,FALSE)+VLOOKUP($E290&amp;$C290,生产方式定位!$F$3:$J$38,3,FALSE),0)</f>
        <v>0</v>
      </c>
      <c r="X290" s="1">
        <f>IFERROR(VLOOKUP($D290&amp;$C290,生产方式定位!$A$2:$E$38,5,FALSE)+VLOOKUP($E290&amp;$C290,生产方式定位!$F$3:$J$38,5,FALSE),"错误")</f>
        <v>0</v>
      </c>
      <c r="Y290" s="27" t="str">
        <f t="shared" si="32"/>
        <v/>
      </c>
      <c r="Z290" s="37" t="str">
        <f t="shared" si="33"/>
        <v/>
      </c>
      <c r="AA290" s="37" t="str">
        <f t="shared" si="34"/>
        <v/>
      </c>
      <c r="AB290" s="28" t="str">
        <f t="shared" si="35"/>
        <v/>
      </c>
      <c r="AC290" s="37"/>
      <c r="AD290" s="38">
        <f t="shared" si="36"/>
        <v>1</v>
      </c>
      <c r="AE290" t="str">
        <f>IFERROR(F290&amp;"*"&amp;ROUND(L290*(G290/$AN290)/VLOOKUP(F290,商品!$A$4:$D$67,4,FALSE),0),"")</f>
        <v/>
      </c>
      <c r="AF290" t="str">
        <f>IFERROR(H290&amp;"*"&amp;ROUND(L290*(I290/$AN290)/VLOOKUP(H290,商品!$A$4:$D$67,4,FALSE),0),"")</f>
        <v/>
      </c>
      <c r="AG290" t="str">
        <f>IFERROR(J290&amp;"*"&amp;ROUND(L290*(K290/$AN290)/VLOOKUP(J290,商品!$A$4:$D$67,4,FALSE),0),"")</f>
        <v/>
      </c>
      <c r="AH290" t="str">
        <f>IFERROR(M290&amp;"*"&amp;ROUND(S290*(N290/$AO290)/VLOOKUP(M290,职业!$A$3:$E$16,4,FALSE),0),"")</f>
        <v/>
      </c>
      <c r="AI290" t="str">
        <f>IFERROR(O290&amp;"*"&amp;ROUND(S290*(P290/$AO290)/VLOOKUP(O290,职业!$A$3:$E$16,4,FALSE),0),"")</f>
        <v/>
      </c>
      <c r="AK290" t="str">
        <f>IFERROR(T290&amp;"*"&amp;ROUND(X290*(U290/$AP290)/VLOOKUP(T290,商品!$A$4:$D$67,4,FALSE),0),"")</f>
        <v/>
      </c>
      <c r="AL290" t="str">
        <f>IFERROR(V290&amp;"*"&amp;ROUND(X290*(W290/$AP290)/VLOOKUP(V290,商品!$A$4:$D$67,4,FALSE),0),"")</f>
        <v/>
      </c>
      <c r="AN290">
        <f t="shared" si="37"/>
        <v>0</v>
      </c>
      <c r="AO290">
        <f t="shared" si="38"/>
        <v>0</v>
      </c>
      <c r="AP290">
        <f t="shared" si="39"/>
        <v>0</v>
      </c>
    </row>
    <row r="291" customHeight="1" spans="1:42">
      <c r="A291" s="18" t="s">
        <v>341</v>
      </c>
      <c r="C291" s="18">
        <v>2</v>
      </c>
      <c r="D291" s="1" t="s">
        <v>293</v>
      </c>
      <c r="E291" s="1" t="s">
        <v>227</v>
      </c>
      <c r="L291" s="1">
        <f>IFERROR(VLOOKUP($D291&amp;$C291,生产方式定位!$A$2:$E$38,2,FALSE)+VLOOKUP($E291&amp;$C291,生产方式定位!$F$3:$J$38,2,FALSE),0)</f>
        <v>0</v>
      </c>
      <c r="S291" s="1">
        <f>IFERROR(VLOOKUP($D291&amp;$C291,生产方式定位!$A$2:$E$38,3,FALSE)+VLOOKUP($E291&amp;$C291,生产方式定位!$F$3:$J$38,3,FALSE),0)</f>
        <v>0</v>
      </c>
      <c r="X291" s="1">
        <f>IFERROR(VLOOKUP($D291&amp;$C291,生产方式定位!$A$2:$E$38,5,FALSE)+VLOOKUP($E291&amp;$C291,生产方式定位!$F$3:$J$38,5,FALSE),"错误")</f>
        <v>0</v>
      </c>
      <c r="Y291" s="27" t="str">
        <f t="shared" si="32"/>
        <v/>
      </c>
      <c r="Z291" s="37" t="str">
        <f t="shared" si="33"/>
        <v/>
      </c>
      <c r="AA291" s="37" t="str">
        <f t="shared" si="34"/>
        <v/>
      </c>
      <c r="AB291" s="28" t="str">
        <f t="shared" si="35"/>
        <v/>
      </c>
      <c r="AC291" s="37"/>
      <c r="AD291" s="38">
        <f t="shared" si="36"/>
        <v>2</v>
      </c>
      <c r="AE291" t="str">
        <f>IFERROR(F291&amp;"*"&amp;ROUND(L291*(G291/$AN291)/VLOOKUP(F291,商品!$A$4:$D$67,4,FALSE),0),"")</f>
        <v/>
      </c>
      <c r="AF291" t="str">
        <f>IFERROR(H291&amp;"*"&amp;ROUND(L291*(I291/$AN291)/VLOOKUP(H291,商品!$A$4:$D$67,4,FALSE),0),"")</f>
        <v/>
      </c>
      <c r="AG291" t="str">
        <f>IFERROR(J291&amp;"*"&amp;ROUND(L291*(K291/$AN291)/VLOOKUP(J291,商品!$A$4:$D$67,4,FALSE),0),"")</f>
        <v/>
      </c>
      <c r="AH291" t="str">
        <f>IFERROR(M291&amp;"*"&amp;ROUND(S291*(N291/$AO291)/VLOOKUP(M291,职业!$A$3:$E$16,4,FALSE),0),"")</f>
        <v/>
      </c>
      <c r="AI291" t="str">
        <f>IFERROR(O291&amp;"*"&amp;ROUND(S291*(P291/$AO291)/VLOOKUP(O291,职业!$A$3:$E$16,4,FALSE),0),"")</f>
        <v/>
      </c>
      <c r="AK291" t="str">
        <f>IFERROR(T291&amp;"*"&amp;ROUND(X291*(U291/$AP291)/VLOOKUP(T291,商品!$A$4:$D$67,4,FALSE),0),"")</f>
        <v/>
      </c>
      <c r="AL291" t="str">
        <f>IFERROR(V291&amp;"*"&amp;ROUND(X291*(W291/$AP291)/VLOOKUP(V291,商品!$A$4:$D$67,4,FALSE),0),"")</f>
        <v/>
      </c>
      <c r="AN291">
        <f t="shared" si="37"/>
        <v>0</v>
      </c>
      <c r="AO291">
        <f t="shared" si="38"/>
        <v>0</v>
      </c>
      <c r="AP291">
        <f t="shared" si="39"/>
        <v>0</v>
      </c>
    </row>
    <row r="292" customHeight="1" spans="1:42">
      <c r="A292" s="18" t="s">
        <v>341</v>
      </c>
      <c r="C292" s="18">
        <v>3</v>
      </c>
      <c r="D292" s="1" t="s">
        <v>293</v>
      </c>
      <c r="E292" s="1" t="s">
        <v>227</v>
      </c>
      <c r="L292" s="1">
        <f>IFERROR(VLOOKUP($D292&amp;$C292,生产方式定位!$A$2:$E$38,2,FALSE)+VLOOKUP($E292&amp;$C292,生产方式定位!$F$3:$J$38,2,FALSE),0)</f>
        <v>0</v>
      </c>
      <c r="S292" s="1">
        <f>IFERROR(VLOOKUP($D292&amp;$C292,生产方式定位!$A$2:$E$38,3,FALSE)+VLOOKUP($E292&amp;$C292,生产方式定位!$F$3:$J$38,3,FALSE),0)</f>
        <v>0</v>
      </c>
      <c r="X292" s="1">
        <f>IFERROR(VLOOKUP($D292&amp;$C292,生产方式定位!$A$2:$E$38,5,FALSE)+VLOOKUP($E292&amp;$C292,生产方式定位!$F$3:$J$38,5,FALSE),"错误")</f>
        <v>0</v>
      </c>
      <c r="Y292" s="27" t="str">
        <f t="shared" si="32"/>
        <v/>
      </c>
      <c r="Z292" s="37" t="str">
        <f t="shared" si="33"/>
        <v/>
      </c>
      <c r="AA292" s="37" t="str">
        <f t="shared" si="34"/>
        <v/>
      </c>
      <c r="AB292" s="28" t="str">
        <f t="shared" si="35"/>
        <v/>
      </c>
      <c r="AC292" s="37"/>
      <c r="AD292" s="38">
        <f t="shared" si="36"/>
        <v>3</v>
      </c>
      <c r="AE292" t="str">
        <f>IFERROR(F292&amp;"*"&amp;ROUND(L292*(G292/$AN292)/VLOOKUP(F292,商品!$A$4:$D$67,4,FALSE),0),"")</f>
        <v/>
      </c>
      <c r="AF292" t="str">
        <f>IFERROR(H292&amp;"*"&amp;ROUND(L292*(I292/$AN292)/VLOOKUP(H292,商品!$A$4:$D$67,4,FALSE),0),"")</f>
        <v/>
      </c>
      <c r="AG292" t="str">
        <f>IFERROR(J292&amp;"*"&amp;ROUND(L292*(K292/$AN292)/VLOOKUP(J292,商品!$A$4:$D$67,4,FALSE),0),"")</f>
        <v/>
      </c>
      <c r="AH292" t="str">
        <f>IFERROR(M292&amp;"*"&amp;ROUND(S292*(N292/$AO292)/VLOOKUP(M292,职业!$A$3:$E$16,4,FALSE),0),"")</f>
        <v/>
      </c>
      <c r="AI292" t="str">
        <f>IFERROR(O292&amp;"*"&amp;ROUND(S292*(P292/$AO292)/VLOOKUP(O292,职业!$A$3:$E$16,4,FALSE),0),"")</f>
        <v/>
      </c>
      <c r="AK292" t="str">
        <f>IFERROR(T292&amp;"*"&amp;ROUND(X292*(U292/$AP292)/VLOOKUP(T292,商品!$A$4:$D$67,4,FALSE),0),"")</f>
        <v/>
      </c>
      <c r="AL292" t="str">
        <f>IFERROR(V292&amp;"*"&amp;ROUND(X292*(W292/$AP292)/VLOOKUP(V292,商品!$A$4:$D$67,4,FALSE),0),"")</f>
        <v/>
      </c>
      <c r="AN292">
        <f t="shared" si="37"/>
        <v>0</v>
      </c>
      <c r="AO292">
        <f t="shared" si="38"/>
        <v>0</v>
      </c>
      <c r="AP292">
        <f t="shared" si="39"/>
        <v>0</v>
      </c>
    </row>
    <row r="293" customHeight="1" spans="1:42">
      <c r="A293" s="18" t="s">
        <v>341</v>
      </c>
      <c r="C293" s="18">
        <v>4</v>
      </c>
      <c r="D293" s="1" t="s">
        <v>293</v>
      </c>
      <c r="E293" s="1" t="s">
        <v>227</v>
      </c>
      <c r="L293" s="1">
        <f>IFERROR(VLOOKUP($D293&amp;$C293,生产方式定位!$A$2:$E$38,2,FALSE)+VLOOKUP($E293&amp;$C293,生产方式定位!$F$3:$J$38,2,FALSE),0)</f>
        <v>0</v>
      </c>
      <c r="S293" s="1">
        <f>IFERROR(VLOOKUP($D293&amp;$C293,生产方式定位!$A$2:$E$38,3,FALSE)+VLOOKUP($E293&amp;$C293,生产方式定位!$F$3:$J$38,3,FALSE),0)</f>
        <v>0</v>
      </c>
      <c r="X293" s="1">
        <f>IFERROR(VLOOKUP($D293&amp;$C293,生产方式定位!$A$2:$E$38,5,FALSE)+VLOOKUP($E293&amp;$C293,生产方式定位!$F$3:$J$38,5,FALSE),"错误")</f>
        <v>0</v>
      </c>
      <c r="Y293" s="27" t="str">
        <f t="shared" si="32"/>
        <v/>
      </c>
      <c r="Z293" s="37" t="str">
        <f t="shared" si="33"/>
        <v/>
      </c>
      <c r="AA293" s="37" t="str">
        <f t="shared" si="34"/>
        <v/>
      </c>
      <c r="AB293" s="28" t="str">
        <f t="shared" si="35"/>
        <v/>
      </c>
      <c r="AC293" s="37"/>
      <c r="AD293" s="38">
        <f t="shared" si="36"/>
        <v>4</v>
      </c>
      <c r="AE293" t="str">
        <f>IFERROR(F293&amp;"*"&amp;ROUND(L293*(G293/$AN293)/VLOOKUP(F293,商品!$A$4:$D$67,4,FALSE),0),"")</f>
        <v/>
      </c>
      <c r="AF293" t="str">
        <f>IFERROR(H293&amp;"*"&amp;ROUND(L293*(I293/$AN293)/VLOOKUP(H293,商品!$A$4:$D$67,4,FALSE),0),"")</f>
        <v/>
      </c>
      <c r="AG293" t="str">
        <f>IFERROR(J293&amp;"*"&amp;ROUND(L293*(K293/$AN293)/VLOOKUP(J293,商品!$A$4:$D$67,4,FALSE),0),"")</f>
        <v/>
      </c>
      <c r="AH293" t="str">
        <f>IFERROR(M293&amp;"*"&amp;ROUND(S293*(N293/$AO293)/VLOOKUP(M293,职业!$A$3:$E$16,4,FALSE),0),"")</f>
        <v/>
      </c>
      <c r="AI293" t="str">
        <f>IFERROR(O293&amp;"*"&amp;ROUND(S293*(P293/$AO293)/VLOOKUP(O293,职业!$A$3:$E$16,4,FALSE),0),"")</f>
        <v/>
      </c>
      <c r="AK293" t="str">
        <f>IFERROR(T293&amp;"*"&amp;ROUND(X293*(U293/$AP293)/VLOOKUP(T293,商品!$A$4:$D$67,4,FALSE),0),"")</f>
        <v/>
      </c>
      <c r="AL293" t="str">
        <f>IFERROR(V293&amp;"*"&amp;ROUND(X293*(W293/$AP293)/VLOOKUP(V293,商品!$A$4:$D$67,4,FALSE),0),"")</f>
        <v/>
      </c>
      <c r="AN293">
        <f t="shared" si="37"/>
        <v>0</v>
      </c>
      <c r="AO293">
        <f t="shared" si="38"/>
        <v>0</v>
      </c>
      <c r="AP293">
        <f t="shared" si="39"/>
        <v>0</v>
      </c>
    </row>
    <row r="294" customHeight="1" spans="1:42">
      <c r="A294" s="18" t="s">
        <v>341</v>
      </c>
      <c r="C294" s="18">
        <v>5</v>
      </c>
      <c r="D294" s="1" t="s">
        <v>293</v>
      </c>
      <c r="E294" s="1" t="s">
        <v>227</v>
      </c>
      <c r="L294" s="1">
        <f>IFERROR(VLOOKUP($D294&amp;$C294,生产方式定位!$A$2:$E$38,2,FALSE)+VLOOKUP($E294&amp;$C294,生产方式定位!$F$3:$J$38,2,FALSE),0)</f>
        <v>0</v>
      </c>
      <c r="S294" s="1">
        <f>IFERROR(VLOOKUP($D294&amp;$C294,生产方式定位!$A$2:$E$38,3,FALSE)+VLOOKUP($E294&amp;$C294,生产方式定位!$F$3:$J$38,3,FALSE),0)</f>
        <v>0</v>
      </c>
      <c r="X294" s="1">
        <f>IFERROR(VLOOKUP($D294&amp;$C294,生产方式定位!$A$2:$E$38,5,FALSE)+VLOOKUP($E294&amp;$C294,生产方式定位!$F$3:$J$38,5,FALSE),"错误")</f>
        <v>0</v>
      </c>
      <c r="Y294" s="27" t="str">
        <f t="shared" si="32"/>
        <v/>
      </c>
      <c r="Z294" s="37" t="str">
        <f t="shared" si="33"/>
        <v/>
      </c>
      <c r="AA294" s="37" t="str">
        <f t="shared" si="34"/>
        <v/>
      </c>
      <c r="AB294" s="28" t="str">
        <f t="shared" si="35"/>
        <v/>
      </c>
      <c r="AC294" s="37"/>
      <c r="AD294" s="38">
        <f t="shared" si="36"/>
        <v>5</v>
      </c>
      <c r="AE294" t="str">
        <f>IFERROR(F294&amp;"*"&amp;ROUND(L294*(G294/$AN294)/VLOOKUP(F294,商品!$A$4:$D$67,4,FALSE),0),"")</f>
        <v/>
      </c>
      <c r="AF294" t="str">
        <f>IFERROR(H294&amp;"*"&amp;ROUND(L294*(I294/$AN294)/VLOOKUP(H294,商品!$A$4:$D$67,4,FALSE),0),"")</f>
        <v/>
      </c>
      <c r="AG294" t="str">
        <f>IFERROR(J294&amp;"*"&amp;ROUND(L294*(K294/$AN294)/VLOOKUP(J294,商品!$A$4:$D$67,4,FALSE),0),"")</f>
        <v/>
      </c>
      <c r="AH294" t="str">
        <f>IFERROR(M294&amp;"*"&amp;ROUND(S294*(N294/$AO294)/VLOOKUP(M294,职业!$A$3:$E$16,4,FALSE),0),"")</f>
        <v/>
      </c>
      <c r="AI294" t="str">
        <f>IFERROR(O294&amp;"*"&amp;ROUND(S294*(P294/$AO294)/VLOOKUP(O294,职业!$A$3:$E$16,4,FALSE),0),"")</f>
        <v/>
      </c>
      <c r="AK294" t="str">
        <f>IFERROR(T294&amp;"*"&amp;ROUND(X294*(U294/$AP294)/VLOOKUP(T294,商品!$A$4:$D$67,4,FALSE),0),"")</f>
        <v/>
      </c>
      <c r="AL294" t="str">
        <f>IFERROR(V294&amp;"*"&amp;ROUND(X294*(W294/$AP294)/VLOOKUP(V294,商品!$A$4:$D$67,4,FALSE),0),"")</f>
        <v/>
      </c>
      <c r="AN294">
        <f t="shared" si="37"/>
        <v>0</v>
      </c>
      <c r="AO294">
        <f t="shared" si="38"/>
        <v>0</v>
      </c>
      <c r="AP294">
        <f t="shared" si="39"/>
        <v>0</v>
      </c>
    </row>
    <row r="295" customHeight="1" spans="1:42">
      <c r="A295" s="18" t="s">
        <v>341</v>
      </c>
      <c r="C295" s="18">
        <v>6</v>
      </c>
      <c r="D295" s="1" t="s">
        <v>293</v>
      </c>
      <c r="E295" s="1" t="s">
        <v>227</v>
      </c>
      <c r="L295" s="1">
        <f>IFERROR(VLOOKUP($D295&amp;$C295,生产方式定位!$A$2:$E$38,2,FALSE)+VLOOKUP($E295&amp;$C295,生产方式定位!$F$3:$J$38,2,FALSE),0)</f>
        <v>0</v>
      </c>
      <c r="S295" s="1">
        <f>IFERROR(VLOOKUP($D295&amp;$C295,生产方式定位!$A$2:$E$38,3,FALSE)+VLOOKUP($E295&amp;$C295,生产方式定位!$F$3:$J$38,3,FALSE),0)</f>
        <v>0</v>
      </c>
      <c r="X295" s="1">
        <f>IFERROR(VLOOKUP($D295&amp;$C295,生产方式定位!$A$2:$E$38,5,FALSE)+VLOOKUP($E295&amp;$C295,生产方式定位!$F$3:$J$38,5,FALSE),"错误")</f>
        <v>0</v>
      </c>
      <c r="Y295" s="27" t="str">
        <f t="shared" si="32"/>
        <v/>
      </c>
      <c r="Z295" s="37" t="str">
        <f t="shared" si="33"/>
        <v/>
      </c>
      <c r="AA295" s="37" t="str">
        <f t="shared" si="34"/>
        <v/>
      </c>
      <c r="AB295" s="28" t="str">
        <f t="shared" si="35"/>
        <v/>
      </c>
      <c r="AC295" s="37"/>
      <c r="AD295" s="38">
        <f t="shared" si="36"/>
        <v>6</v>
      </c>
      <c r="AE295" t="str">
        <f>IFERROR(F295&amp;"*"&amp;ROUND(L295*(G295/$AN295)/VLOOKUP(F295,商品!$A$4:$D$67,4,FALSE),0),"")</f>
        <v/>
      </c>
      <c r="AF295" t="str">
        <f>IFERROR(H295&amp;"*"&amp;ROUND(L295*(I295/$AN295)/VLOOKUP(H295,商品!$A$4:$D$67,4,FALSE),0),"")</f>
        <v/>
      </c>
      <c r="AG295" t="str">
        <f>IFERROR(J295&amp;"*"&amp;ROUND(L295*(K295/$AN295)/VLOOKUP(J295,商品!$A$4:$D$67,4,FALSE),0),"")</f>
        <v/>
      </c>
      <c r="AH295" t="str">
        <f>IFERROR(M295&amp;"*"&amp;ROUND(S295*(N295/$AO295)/VLOOKUP(M295,职业!$A$3:$E$16,4,FALSE),0),"")</f>
        <v/>
      </c>
      <c r="AI295" t="str">
        <f>IFERROR(O295&amp;"*"&amp;ROUND(S295*(P295/$AO295)/VLOOKUP(O295,职业!$A$3:$E$16,4,FALSE),0),"")</f>
        <v/>
      </c>
      <c r="AK295" t="str">
        <f>IFERROR(T295&amp;"*"&amp;ROUND(X295*(U295/$AP295)/VLOOKUP(T295,商品!$A$4:$D$67,4,FALSE),0),"")</f>
        <v/>
      </c>
      <c r="AL295" t="str">
        <f>IFERROR(V295&amp;"*"&amp;ROUND(X295*(W295/$AP295)/VLOOKUP(V295,商品!$A$4:$D$67,4,FALSE),0),"")</f>
        <v/>
      </c>
      <c r="AN295">
        <f t="shared" si="37"/>
        <v>0</v>
      </c>
      <c r="AO295">
        <f t="shared" si="38"/>
        <v>0</v>
      </c>
      <c r="AP295">
        <f t="shared" si="39"/>
        <v>0</v>
      </c>
    </row>
    <row r="296" customHeight="1" spans="1:42">
      <c r="A296" s="18" t="s">
        <v>341</v>
      </c>
      <c r="C296" s="18">
        <v>7</v>
      </c>
      <c r="D296" s="1" t="s">
        <v>293</v>
      </c>
      <c r="E296" s="1" t="s">
        <v>227</v>
      </c>
      <c r="L296" s="1">
        <f>IFERROR(VLOOKUP($D296&amp;$C296,生产方式定位!$A$2:$E$38,2,FALSE)+VLOOKUP($E296&amp;$C296,生产方式定位!$F$3:$J$38,2,FALSE),0)</f>
        <v>0</v>
      </c>
      <c r="S296" s="1">
        <f>IFERROR(VLOOKUP($D296&amp;$C296,生产方式定位!$A$2:$E$38,3,FALSE)+VLOOKUP($E296&amp;$C296,生产方式定位!$F$3:$J$38,3,FALSE),0)</f>
        <v>0</v>
      </c>
      <c r="X296" s="1">
        <f>IFERROR(VLOOKUP($D296&amp;$C296,生产方式定位!$A$2:$E$38,5,FALSE)+VLOOKUP($E296&amp;$C296,生产方式定位!$F$3:$J$38,5,FALSE),"错误")</f>
        <v>0</v>
      </c>
      <c r="Y296" s="27" t="str">
        <f t="shared" si="32"/>
        <v/>
      </c>
      <c r="Z296" s="37" t="str">
        <f t="shared" si="33"/>
        <v/>
      </c>
      <c r="AA296" s="37" t="str">
        <f t="shared" si="34"/>
        <v/>
      </c>
      <c r="AB296" s="28" t="str">
        <f t="shared" si="35"/>
        <v/>
      </c>
      <c r="AC296" s="37"/>
      <c r="AD296" s="38">
        <f t="shared" si="36"/>
        <v>7</v>
      </c>
      <c r="AE296" t="str">
        <f>IFERROR(F296&amp;"*"&amp;ROUND(L296*(G296/$AN296)/VLOOKUP(F296,商品!$A$4:$D$67,4,FALSE),0),"")</f>
        <v/>
      </c>
      <c r="AF296" t="str">
        <f>IFERROR(H296&amp;"*"&amp;ROUND(L296*(I296/$AN296)/VLOOKUP(H296,商品!$A$4:$D$67,4,FALSE),0),"")</f>
        <v/>
      </c>
      <c r="AG296" t="str">
        <f>IFERROR(J296&amp;"*"&amp;ROUND(L296*(K296/$AN296)/VLOOKUP(J296,商品!$A$4:$D$67,4,FALSE),0),"")</f>
        <v/>
      </c>
      <c r="AH296" t="str">
        <f>IFERROR(M296&amp;"*"&amp;ROUND(S296*(N296/$AO296)/VLOOKUP(M296,职业!$A$3:$E$16,4,FALSE),0),"")</f>
        <v/>
      </c>
      <c r="AI296" t="str">
        <f>IFERROR(O296&amp;"*"&amp;ROUND(S296*(P296/$AO296)/VLOOKUP(O296,职业!$A$3:$E$16,4,FALSE),0),"")</f>
        <v/>
      </c>
      <c r="AK296" t="str">
        <f>IFERROR(T296&amp;"*"&amp;ROUND(X296*(U296/$AP296)/VLOOKUP(T296,商品!$A$4:$D$67,4,FALSE),0),"")</f>
        <v/>
      </c>
      <c r="AL296" t="str">
        <f>IFERROR(V296&amp;"*"&amp;ROUND(X296*(W296/$AP296)/VLOOKUP(V296,商品!$A$4:$D$67,4,FALSE),0),"")</f>
        <v/>
      </c>
      <c r="AN296">
        <f t="shared" si="37"/>
        <v>0</v>
      </c>
      <c r="AO296">
        <f t="shared" si="38"/>
        <v>0</v>
      </c>
      <c r="AP296">
        <f t="shared" si="39"/>
        <v>0</v>
      </c>
    </row>
    <row r="297" customHeight="1" spans="1:42">
      <c r="A297" s="18" t="s">
        <v>341</v>
      </c>
      <c r="C297" s="18">
        <v>8</v>
      </c>
      <c r="D297" s="1" t="s">
        <v>293</v>
      </c>
      <c r="E297" s="1" t="s">
        <v>227</v>
      </c>
      <c r="L297" s="1">
        <f>IFERROR(VLOOKUP($D297&amp;$C297,生产方式定位!$A$2:$E$38,2,FALSE)+VLOOKUP($E297&amp;$C297,生产方式定位!$F$3:$J$38,2,FALSE),0)</f>
        <v>0</v>
      </c>
      <c r="S297" s="1">
        <f>IFERROR(VLOOKUP($D297&amp;$C297,生产方式定位!$A$2:$E$38,3,FALSE)+VLOOKUP($E297&amp;$C297,生产方式定位!$F$3:$J$38,3,FALSE),0)</f>
        <v>0</v>
      </c>
      <c r="X297" s="1">
        <f>IFERROR(VLOOKUP($D297&amp;$C297,生产方式定位!$A$2:$E$38,5,FALSE)+VLOOKUP($E297&amp;$C297,生产方式定位!$F$3:$J$38,5,FALSE),"错误")</f>
        <v>0</v>
      </c>
      <c r="Y297" s="27" t="str">
        <f t="shared" si="32"/>
        <v/>
      </c>
      <c r="Z297" s="37" t="str">
        <f t="shared" si="33"/>
        <v/>
      </c>
      <c r="AA297" s="37" t="str">
        <f t="shared" si="34"/>
        <v/>
      </c>
      <c r="AB297" s="28" t="str">
        <f t="shared" si="35"/>
        <v/>
      </c>
      <c r="AC297" s="37"/>
      <c r="AD297" s="38">
        <f t="shared" si="36"/>
        <v>8</v>
      </c>
      <c r="AE297" t="str">
        <f>IFERROR(F297&amp;"*"&amp;ROUND(L297*(G297/$AN297)/VLOOKUP(F297,商品!$A$4:$D$67,4,FALSE),0),"")</f>
        <v/>
      </c>
      <c r="AF297" t="str">
        <f>IFERROR(H297&amp;"*"&amp;ROUND(L297*(I297/$AN297)/VLOOKUP(H297,商品!$A$4:$D$67,4,FALSE),0),"")</f>
        <v/>
      </c>
      <c r="AG297" t="str">
        <f>IFERROR(J297&amp;"*"&amp;ROUND(L297*(K297/$AN297)/VLOOKUP(J297,商品!$A$4:$D$67,4,FALSE),0),"")</f>
        <v/>
      </c>
      <c r="AH297" t="str">
        <f>IFERROR(M297&amp;"*"&amp;ROUND(S297*(N297/$AO297)/VLOOKUP(M297,职业!$A$3:$E$16,4,FALSE),0),"")</f>
        <v/>
      </c>
      <c r="AI297" t="str">
        <f>IFERROR(O297&amp;"*"&amp;ROUND(S297*(P297/$AO297)/VLOOKUP(O297,职业!$A$3:$E$16,4,FALSE),0),"")</f>
        <v/>
      </c>
      <c r="AK297" t="str">
        <f>IFERROR(T297&amp;"*"&amp;ROUND(X297*(U297/$AP297)/VLOOKUP(T297,商品!$A$4:$D$67,4,FALSE),0),"")</f>
        <v/>
      </c>
      <c r="AL297" t="str">
        <f>IFERROR(V297&amp;"*"&amp;ROUND(X297*(W297/$AP297)/VLOOKUP(V297,商品!$A$4:$D$67,4,FALSE),0),"")</f>
        <v/>
      </c>
      <c r="AN297">
        <f t="shared" si="37"/>
        <v>0</v>
      </c>
      <c r="AO297">
        <f t="shared" si="38"/>
        <v>0</v>
      </c>
      <c r="AP297">
        <f t="shared" si="39"/>
        <v>0</v>
      </c>
    </row>
    <row r="298" customHeight="1" spans="1:42">
      <c r="A298" s="5" t="s">
        <v>343</v>
      </c>
      <c r="C298" s="5">
        <v>1</v>
      </c>
      <c r="D298" s="1" t="s">
        <v>240</v>
      </c>
      <c r="E298" s="1" t="s">
        <v>224</v>
      </c>
      <c r="L298" s="1">
        <f>IFERROR(VLOOKUP($D298&amp;$C298,生产方式定位!$A$2:$E$38,2,FALSE)+VLOOKUP($E298&amp;$C298,生产方式定位!$F$3:$J$38,2,FALSE),0)</f>
        <v>0</v>
      </c>
      <c r="S298" s="1">
        <f>IFERROR(VLOOKUP($D298&amp;$C298,生产方式定位!$A$2:$E$38,3,FALSE)+VLOOKUP($E298&amp;$C298,生产方式定位!$F$3:$J$38,3,FALSE),0)</f>
        <v>8000</v>
      </c>
      <c r="X298" s="1">
        <f>IFERROR(VLOOKUP($D298&amp;$C298,生产方式定位!$A$2:$E$38,5,FALSE)+VLOOKUP($E298&amp;$C298,生产方式定位!$F$3:$J$38,5,FALSE),"错误")</f>
        <v>4000</v>
      </c>
      <c r="Y298" s="27" t="str">
        <f t="shared" si="32"/>
        <v/>
      </c>
      <c r="Z298" s="37" t="str">
        <f t="shared" si="33"/>
        <v/>
      </c>
      <c r="AA298" s="37" t="str">
        <f t="shared" si="34"/>
        <v/>
      </c>
      <c r="AB298" s="28">
        <f t="shared" si="35"/>
        <v>0</v>
      </c>
      <c r="AC298" s="37"/>
      <c r="AD298" s="38">
        <f t="shared" si="36"/>
        <v>1</v>
      </c>
      <c r="AE298" t="str">
        <f>IFERROR(F298&amp;"*"&amp;ROUND(L298*(G298/$AN298)/VLOOKUP(F298,商品!$A$4:$D$67,4,FALSE),0),"")</f>
        <v/>
      </c>
      <c r="AF298" t="str">
        <f>IFERROR(H298&amp;"*"&amp;ROUND(L298*(I298/$AN298)/VLOOKUP(H298,商品!$A$4:$D$67,4,FALSE),0),"")</f>
        <v/>
      </c>
      <c r="AG298" t="str">
        <f>IFERROR(J298&amp;"*"&amp;ROUND(L298*(K298/$AN298)/VLOOKUP(J298,商品!$A$4:$D$67,4,FALSE),0),"")</f>
        <v/>
      </c>
      <c r="AH298" t="str">
        <f>IFERROR(M298&amp;"*"&amp;ROUND(S298*(N298/$AO298)/VLOOKUP(M298,职业!$A$3:$E$16,4,FALSE),0),"")</f>
        <v/>
      </c>
      <c r="AI298" t="str">
        <f>IFERROR(O298&amp;"*"&amp;ROUND(S298*(P298/$AO298)/VLOOKUP(O298,职业!$A$3:$E$16,4,FALSE),0),"")</f>
        <v/>
      </c>
      <c r="AK298" t="str">
        <f>IFERROR(T298&amp;"*"&amp;ROUND(X298*(U298/$AP298)/VLOOKUP(T298,商品!$A$4:$D$67,4,FALSE),0),"")</f>
        <v/>
      </c>
      <c r="AL298" t="str">
        <f>IFERROR(V298&amp;"*"&amp;ROUND(X298*(W298/$AP298)/VLOOKUP(V298,商品!$A$4:$D$67,4,FALSE),0),"")</f>
        <v/>
      </c>
      <c r="AN298">
        <f t="shared" si="37"/>
        <v>0</v>
      </c>
      <c r="AO298">
        <f t="shared" si="38"/>
        <v>0</v>
      </c>
      <c r="AP298">
        <f t="shared" si="39"/>
        <v>0</v>
      </c>
    </row>
    <row r="299" customHeight="1" spans="1:42">
      <c r="A299" s="5" t="s">
        <v>343</v>
      </c>
      <c r="C299" s="5">
        <v>2</v>
      </c>
      <c r="D299" s="1" t="s">
        <v>240</v>
      </c>
      <c r="E299" s="1" t="s">
        <v>224</v>
      </c>
      <c r="L299" s="1">
        <f>IFERROR(VLOOKUP($D299&amp;$C299,生产方式定位!$A$2:$E$38,2,FALSE)+VLOOKUP($E299&amp;$C299,生产方式定位!$F$3:$J$38,2,FALSE),0)</f>
        <v>11000</v>
      </c>
      <c r="S299" s="1">
        <f>IFERROR(VLOOKUP($D299&amp;$C299,生产方式定位!$A$2:$E$38,3,FALSE)+VLOOKUP($E299&amp;$C299,生产方式定位!$F$3:$J$38,3,FALSE),0)</f>
        <v>8700</v>
      </c>
      <c r="X299" s="1">
        <f>IFERROR(VLOOKUP($D299&amp;$C299,生产方式定位!$A$2:$E$38,5,FALSE)+VLOOKUP($E299&amp;$C299,生产方式定位!$F$3:$J$38,5,FALSE),"错误")</f>
        <v>9922</v>
      </c>
      <c r="Y299" s="27" t="str">
        <f t="shared" si="32"/>
        <v/>
      </c>
      <c r="Z299" s="37" t="str">
        <f t="shared" si="33"/>
        <v/>
      </c>
      <c r="AA299" s="37" t="str">
        <f t="shared" si="34"/>
        <v/>
      </c>
      <c r="AB299" s="28">
        <f t="shared" si="35"/>
        <v>1.11</v>
      </c>
      <c r="AC299" s="37"/>
      <c r="AD299" s="38">
        <f t="shared" si="36"/>
        <v>2</v>
      </c>
      <c r="AE299" t="str">
        <f>IFERROR(F299&amp;"*"&amp;ROUND(L299*(G299/$AN299)/VLOOKUP(F299,商品!$A$4:$D$67,4,FALSE),0),"")</f>
        <v/>
      </c>
      <c r="AF299" t="str">
        <f>IFERROR(H299&amp;"*"&amp;ROUND(L299*(I299/$AN299)/VLOOKUP(H299,商品!$A$4:$D$67,4,FALSE),0),"")</f>
        <v/>
      </c>
      <c r="AG299" t="str">
        <f>IFERROR(J299&amp;"*"&amp;ROUND(L299*(K299/$AN299)/VLOOKUP(J299,商品!$A$4:$D$67,4,FALSE),0),"")</f>
        <v/>
      </c>
      <c r="AH299" t="str">
        <f>IFERROR(M299&amp;"*"&amp;ROUND(S299*(N299/$AO299)/VLOOKUP(M299,职业!$A$3:$E$16,4,FALSE),0),"")</f>
        <v/>
      </c>
      <c r="AI299" t="str">
        <f>IFERROR(O299&amp;"*"&amp;ROUND(S299*(P299/$AO299)/VLOOKUP(O299,职业!$A$3:$E$16,4,FALSE),0),"")</f>
        <v/>
      </c>
      <c r="AK299" t="str">
        <f>IFERROR(T299&amp;"*"&amp;ROUND(X299*(U299/$AP299)/VLOOKUP(T299,商品!$A$4:$D$67,4,FALSE),0),"")</f>
        <v/>
      </c>
      <c r="AL299" t="str">
        <f>IFERROR(V299&amp;"*"&amp;ROUND(X299*(W299/$AP299)/VLOOKUP(V299,商品!$A$4:$D$67,4,FALSE),0),"")</f>
        <v/>
      </c>
      <c r="AN299">
        <f t="shared" si="37"/>
        <v>0</v>
      </c>
      <c r="AO299">
        <f t="shared" si="38"/>
        <v>0</v>
      </c>
      <c r="AP299">
        <f t="shared" si="39"/>
        <v>0</v>
      </c>
    </row>
    <row r="300" customHeight="1" spans="1:42">
      <c r="A300" s="5" t="s">
        <v>343</v>
      </c>
      <c r="C300" s="5">
        <v>3</v>
      </c>
      <c r="D300" s="1" t="s">
        <v>240</v>
      </c>
      <c r="E300" s="1" t="s">
        <v>224</v>
      </c>
      <c r="L300" s="1">
        <f>IFERROR(VLOOKUP($D300&amp;$C300,生产方式定位!$A$2:$E$38,2,FALSE)+VLOOKUP($E300&amp;$C300,生产方式定位!$F$3:$J$38,2,FALSE),0)</f>
        <v>11000</v>
      </c>
      <c r="S300" s="1">
        <f>IFERROR(VLOOKUP($D300&amp;$C300,生产方式定位!$A$2:$E$38,3,FALSE)+VLOOKUP($E300&amp;$C300,生产方式定位!$F$3:$J$38,3,FALSE),0)</f>
        <v>9400</v>
      </c>
      <c r="X300" s="1">
        <f>IFERROR(VLOOKUP($D300&amp;$C300,生产方式定位!$A$2:$E$38,5,FALSE)+VLOOKUP($E300&amp;$C300,生产方式定位!$F$3:$J$38,5,FALSE),"错误")</f>
        <v>10488</v>
      </c>
      <c r="Y300" s="27" t="str">
        <f t="shared" si="32"/>
        <v/>
      </c>
      <c r="Z300" s="37" t="str">
        <f t="shared" si="33"/>
        <v/>
      </c>
      <c r="AA300" s="37" t="str">
        <f t="shared" si="34"/>
        <v/>
      </c>
      <c r="AB300" s="28">
        <f t="shared" si="35"/>
        <v>1.05</v>
      </c>
      <c r="AC300" s="37"/>
      <c r="AD300" s="38">
        <f t="shared" si="36"/>
        <v>3</v>
      </c>
      <c r="AE300" t="str">
        <f>IFERROR(F300&amp;"*"&amp;ROUND(L300*(G300/$AN300)/VLOOKUP(F300,商品!$A$4:$D$67,4,FALSE),0),"")</f>
        <v/>
      </c>
      <c r="AF300" t="str">
        <f>IFERROR(H300&amp;"*"&amp;ROUND(L300*(I300/$AN300)/VLOOKUP(H300,商品!$A$4:$D$67,4,FALSE),0),"")</f>
        <v/>
      </c>
      <c r="AG300" t="str">
        <f>IFERROR(J300&amp;"*"&amp;ROUND(L300*(K300/$AN300)/VLOOKUP(J300,商品!$A$4:$D$67,4,FALSE),0),"")</f>
        <v/>
      </c>
      <c r="AH300" t="str">
        <f>IFERROR(M300&amp;"*"&amp;ROUND(S300*(N300/$AO300)/VLOOKUP(M300,职业!$A$3:$E$16,4,FALSE),0),"")</f>
        <v/>
      </c>
      <c r="AI300" t="str">
        <f>IFERROR(O300&amp;"*"&amp;ROUND(S300*(P300/$AO300)/VLOOKUP(O300,职业!$A$3:$E$16,4,FALSE),0),"")</f>
        <v/>
      </c>
      <c r="AK300" t="str">
        <f>IFERROR(T300&amp;"*"&amp;ROUND(X300*(U300/$AP300)/VLOOKUP(T300,商品!$A$4:$D$67,4,FALSE),0),"")</f>
        <v/>
      </c>
      <c r="AL300" t="str">
        <f>IFERROR(V300&amp;"*"&amp;ROUND(X300*(W300/$AP300)/VLOOKUP(V300,商品!$A$4:$D$67,4,FALSE),0),"")</f>
        <v/>
      </c>
      <c r="AN300">
        <f t="shared" si="37"/>
        <v>0</v>
      </c>
      <c r="AO300">
        <f t="shared" si="38"/>
        <v>0</v>
      </c>
      <c r="AP300">
        <f t="shared" si="39"/>
        <v>0</v>
      </c>
    </row>
    <row r="301" customHeight="1" spans="1:42">
      <c r="A301" s="5" t="s">
        <v>343</v>
      </c>
      <c r="C301" s="5">
        <v>4</v>
      </c>
      <c r="D301" s="1" t="s">
        <v>240</v>
      </c>
      <c r="E301" s="1" t="s">
        <v>224</v>
      </c>
      <c r="L301" s="1">
        <f>IFERROR(VLOOKUP($D301&amp;$C301,生产方式定位!$A$2:$E$38,2,FALSE)+VLOOKUP($E301&amp;$C301,生产方式定位!$F$3:$J$38,2,FALSE),0)</f>
        <v>11000</v>
      </c>
      <c r="S301" s="1">
        <f>IFERROR(VLOOKUP($D301&amp;$C301,生产方式定位!$A$2:$E$38,3,FALSE)+VLOOKUP($E301&amp;$C301,生产方式定位!$F$3:$J$38,3,FALSE),0)</f>
        <v>10100</v>
      </c>
      <c r="X301" s="1">
        <f>IFERROR(VLOOKUP($D301&amp;$C301,生产方式定位!$A$2:$E$38,5,FALSE)+VLOOKUP($E301&amp;$C301,生产方式定位!$F$3:$J$38,5,FALSE),"错误")</f>
        <v>11198</v>
      </c>
      <c r="Y301" s="27" t="str">
        <f t="shared" si="32"/>
        <v/>
      </c>
      <c r="Z301" s="37" t="str">
        <f t="shared" si="33"/>
        <v/>
      </c>
      <c r="AA301" s="37" t="str">
        <f t="shared" si="34"/>
        <v/>
      </c>
      <c r="AB301" s="28">
        <f t="shared" si="35"/>
        <v>0.98</v>
      </c>
      <c r="AC301" s="37"/>
      <c r="AD301" s="38">
        <f t="shared" si="36"/>
        <v>4</v>
      </c>
      <c r="AE301" t="str">
        <f>IFERROR(F301&amp;"*"&amp;ROUND(L301*(G301/$AN301)/VLOOKUP(F301,商品!$A$4:$D$67,4,FALSE),0),"")</f>
        <v/>
      </c>
      <c r="AF301" t="str">
        <f>IFERROR(H301&amp;"*"&amp;ROUND(L301*(I301/$AN301)/VLOOKUP(H301,商品!$A$4:$D$67,4,FALSE),0),"")</f>
        <v/>
      </c>
      <c r="AG301" t="str">
        <f>IFERROR(J301&amp;"*"&amp;ROUND(L301*(K301/$AN301)/VLOOKUP(J301,商品!$A$4:$D$67,4,FALSE),0),"")</f>
        <v/>
      </c>
      <c r="AH301" t="str">
        <f>IFERROR(M301&amp;"*"&amp;ROUND(S301*(N301/$AO301)/VLOOKUP(M301,职业!$A$3:$E$16,4,FALSE),0),"")</f>
        <v/>
      </c>
      <c r="AI301" t="str">
        <f>IFERROR(O301&amp;"*"&amp;ROUND(S301*(P301/$AO301)/VLOOKUP(O301,职业!$A$3:$E$16,4,FALSE),0),"")</f>
        <v/>
      </c>
      <c r="AK301" t="str">
        <f>IFERROR(T301&amp;"*"&amp;ROUND(X301*(U301/$AP301)/VLOOKUP(T301,商品!$A$4:$D$67,4,FALSE),0),"")</f>
        <v/>
      </c>
      <c r="AL301" t="str">
        <f>IFERROR(V301&amp;"*"&amp;ROUND(X301*(W301/$AP301)/VLOOKUP(V301,商品!$A$4:$D$67,4,FALSE),0),"")</f>
        <v/>
      </c>
      <c r="AN301">
        <f t="shared" si="37"/>
        <v>0</v>
      </c>
      <c r="AO301">
        <f t="shared" si="38"/>
        <v>0</v>
      </c>
      <c r="AP301">
        <f t="shared" si="39"/>
        <v>0</v>
      </c>
    </row>
    <row r="302" customHeight="1" spans="1:42">
      <c r="A302" s="5" t="s">
        <v>343</v>
      </c>
      <c r="C302" s="5">
        <v>5</v>
      </c>
      <c r="D302" s="1" t="s">
        <v>240</v>
      </c>
      <c r="E302" s="1" t="s">
        <v>224</v>
      </c>
      <c r="L302" s="1">
        <f>IFERROR(VLOOKUP($D302&amp;$C302,生产方式定位!$A$2:$E$38,2,FALSE)+VLOOKUP($E302&amp;$C302,生产方式定位!$F$3:$J$38,2,FALSE),0)</f>
        <v>11000</v>
      </c>
      <c r="S302" s="1">
        <f>IFERROR(VLOOKUP($D302&amp;$C302,生产方式定位!$A$2:$E$38,3,FALSE)+VLOOKUP($E302&amp;$C302,生产方式定位!$F$3:$J$38,3,FALSE),0)</f>
        <v>10800</v>
      </c>
      <c r="X302" s="1">
        <f>IFERROR(VLOOKUP($D302&amp;$C302,生产方式定位!$A$2:$E$38,5,FALSE)+VLOOKUP($E302&amp;$C302,生产方式定位!$F$3:$J$38,5,FALSE),"错误")</f>
        <v>12100</v>
      </c>
      <c r="Y302" s="27" t="str">
        <f t="shared" si="32"/>
        <v/>
      </c>
      <c r="Z302" s="37" t="str">
        <f t="shared" si="33"/>
        <v/>
      </c>
      <c r="AA302" s="37" t="str">
        <f t="shared" si="34"/>
        <v/>
      </c>
      <c r="AB302" s="28">
        <f t="shared" si="35"/>
        <v>0.91</v>
      </c>
      <c r="AC302" s="37"/>
      <c r="AD302" s="38">
        <f t="shared" si="36"/>
        <v>5</v>
      </c>
      <c r="AE302" t="str">
        <f>IFERROR(F302&amp;"*"&amp;ROUND(L302*(G302/$AN302)/VLOOKUP(F302,商品!$A$4:$D$67,4,FALSE),0),"")</f>
        <v/>
      </c>
      <c r="AF302" t="str">
        <f>IFERROR(H302&amp;"*"&amp;ROUND(L302*(I302/$AN302)/VLOOKUP(H302,商品!$A$4:$D$67,4,FALSE),0),"")</f>
        <v/>
      </c>
      <c r="AG302" t="str">
        <f>IFERROR(J302&amp;"*"&amp;ROUND(L302*(K302/$AN302)/VLOOKUP(J302,商品!$A$4:$D$67,4,FALSE),0),"")</f>
        <v/>
      </c>
      <c r="AH302" t="str">
        <f>IFERROR(M302&amp;"*"&amp;ROUND(S302*(N302/$AO302)/VLOOKUP(M302,职业!$A$3:$E$16,4,FALSE),0),"")</f>
        <v/>
      </c>
      <c r="AI302" t="str">
        <f>IFERROR(O302&amp;"*"&amp;ROUND(S302*(P302/$AO302)/VLOOKUP(O302,职业!$A$3:$E$16,4,FALSE),0),"")</f>
        <v/>
      </c>
      <c r="AK302" t="str">
        <f>IFERROR(T302&amp;"*"&amp;ROUND(X302*(U302/$AP302)/VLOOKUP(T302,商品!$A$4:$D$67,4,FALSE),0),"")</f>
        <v/>
      </c>
      <c r="AL302" t="str">
        <f>IFERROR(V302&amp;"*"&amp;ROUND(X302*(W302/$AP302)/VLOOKUP(V302,商品!$A$4:$D$67,4,FALSE),0),"")</f>
        <v/>
      </c>
      <c r="AN302">
        <f t="shared" si="37"/>
        <v>0</v>
      </c>
      <c r="AO302">
        <f t="shared" si="38"/>
        <v>0</v>
      </c>
      <c r="AP302">
        <f t="shared" si="39"/>
        <v>0</v>
      </c>
    </row>
    <row r="303" customHeight="1" spans="1:42">
      <c r="A303" s="18" t="s">
        <v>344</v>
      </c>
      <c r="C303" s="18">
        <v>1</v>
      </c>
      <c r="D303" s="1" t="s">
        <v>240</v>
      </c>
      <c r="E303" s="1" t="s">
        <v>226</v>
      </c>
      <c r="L303" s="1">
        <f>IFERROR(VLOOKUP($D303&amp;$C303,生产方式定位!$A$2:$E$38,2,FALSE)+VLOOKUP($E303&amp;$C303,生产方式定位!$F$3:$J$38,2,FALSE),0)</f>
        <v>0</v>
      </c>
      <c r="S303" s="1">
        <f>IFERROR(VLOOKUP($D303&amp;$C303,生产方式定位!$A$2:$E$38,3,FALSE)+VLOOKUP($E303&amp;$C303,生产方式定位!$F$3:$J$38,3,FALSE),0)</f>
        <v>8000</v>
      </c>
      <c r="X303" s="1">
        <f>IFERROR(VLOOKUP($D303&amp;$C303,生产方式定位!$A$2:$E$38,5,FALSE)+VLOOKUP($E303&amp;$C303,生产方式定位!$F$3:$J$38,5,FALSE),"错误")</f>
        <v>4000</v>
      </c>
      <c r="Y303" s="27" t="str">
        <f t="shared" si="32"/>
        <v/>
      </c>
      <c r="Z303" s="37" t="str">
        <f t="shared" si="33"/>
        <v/>
      </c>
      <c r="AA303" s="37" t="str">
        <f t="shared" si="34"/>
        <v/>
      </c>
      <c r="AB303" s="28">
        <f t="shared" si="35"/>
        <v>0</v>
      </c>
      <c r="AC303" s="37"/>
      <c r="AD303" s="38">
        <f t="shared" si="36"/>
        <v>1</v>
      </c>
      <c r="AE303" t="str">
        <f>IFERROR(F303&amp;"*"&amp;ROUND(L303*(G303/$AN303)/VLOOKUP(F303,商品!$A$4:$D$67,4,FALSE),0),"")</f>
        <v/>
      </c>
      <c r="AF303" t="str">
        <f>IFERROR(H303&amp;"*"&amp;ROUND(L303*(I303/$AN303)/VLOOKUP(H303,商品!$A$4:$D$67,4,FALSE),0),"")</f>
        <v/>
      </c>
      <c r="AG303" t="str">
        <f>IFERROR(J303&amp;"*"&amp;ROUND(L303*(K303/$AN303)/VLOOKUP(J303,商品!$A$4:$D$67,4,FALSE),0),"")</f>
        <v/>
      </c>
      <c r="AH303" t="str">
        <f>IFERROR(M303&amp;"*"&amp;ROUND(S303*(N303/$AO303)/VLOOKUP(M303,职业!$A$3:$E$16,4,FALSE),0),"")</f>
        <v/>
      </c>
      <c r="AI303" t="str">
        <f>IFERROR(O303&amp;"*"&amp;ROUND(S303*(P303/$AO303)/VLOOKUP(O303,职业!$A$3:$E$16,4,FALSE),0),"")</f>
        <v/>
      </c>
      <c r="AK303" t="str">
        <f>IFERROR(T303&amp;"*"&amp;ROUND(X303*(U303/$AP303)/VLOOKUP(T303,商品!$A$4:$D$67,4,FALSE),0),"")</f>
        <v/>
      </c>
      <c r="AL303" t="str">
        <f>IFERROR(V303&amp;"*"&amp;ROUND(X303*(W303/$AP303)/VLOOKUP(V303,商品!$A$4:$D$67,4,FALSE),0),"")</f>
        <v/>
      </c>
      <c r="AN303">
        <f t="shared" si="37"/>
        <v>0</v>
      </c>
      <c r="AO303">
        <f t="shared" si="38"/>
        <v>0</v>
      </c>
      <c r="AP303">
        <f t="shared" si="39"/>
        <v>0</v>
      </c>
    </row>
    <row r="304" customHeight="1" spans="1:42">
      <c r="A304" s="18" t="s">
        <v>344</v>
      </c>
      <c r="C304" s="18">
        <v>2</v>
      </c>
      <c r="D304" s="1" t="s">
        <v>240</v>
      </c>
      <c r="E304" s="1" t="s">
        <v>226</v>
      </c>
      <c r="L304" s="1">
        <f>IFERROR(VLOOKUP($D304&amp;$C304,生产方式定位!$A$2:$E$38,2,FALSE)+VLOOKUP($E304&amp;$C304,生产方式定位!$F$3:$J$38,2,FALSE),0)</f>
        <v>12000</v>
      </c>
      <c r="S304" s="1">
        <f>IFERROR(VLOOKUP($D304&amp;$C304,生产方式定位!$A$2:$E$38,3,FALSE)+VLOOKUP($E304&amp;$C304,生产方式定位!$F$3:$J$38,3,FALSE),0)</f>
        <v>8300</v>
      </c>
      <c r="X304" s="1">
        <f>IFERROR(VLOOKUP($D304&amp;$C304,生产方式定位!$A$2:$E$38,5,FALSE)+VLOOKUP($E304&amp;$C304,生产方式定位!$F$3:$J$38,5,FALSE),"错误")</f>
        <v>10240</v>
      </c>
      <c r="Y304" s="27" t="str">
        <f t="shared" si="32"/>
        <v/>
      </c>
      <c r="Z304" s="37" t="str">
        <f t="shared" si="33"/>
        <v/>
      </c>
      <c r="AA304" s="37" t="str">
        <f t="shared" si="34"/>
        <v/>
      </c>
      <c r="AB304" s="28">
        <f t="shared" si="35"/>
        <v>1.17</v>
      </c>
      <c r="AC304" s="37"/>
      <c r="AD304" s="38">
        <f t="shared" si="36"/>
        <v>2</v>
      </c>
      <c r="AE304" t="str">
        <f>IFERROR(F304&amp;"*"&amp;ROUND(L304*(G304/$AN304)/VLOOKUP(F304,商品!$A$4:$D$67,4,FALSE),0),"")</f>
        <v/>
      </c>
      <c r="AF304" t="str">
        <f>IFERROR(H304&amp;"*"&amp;ROUND(L304*(I304/$AN304)/VLOOKUP(H304,商品!$A$4:$D$67,4,FALSE),0),"")</f>
        <v/>
      </c>
      <c r="AG304" t="str">
        <f>IFERROR(J304&amp;"*"&amp;ROUND(L304*(K304/$AN304)/VLOOKUP(J304,商品!$A$4:$D$67,4,FALSE),0),"")</f>
        <v/>
      </c>
      <c r="AH304" t="str">
        <f>IFERROR(M304&amp;"*"&amp;ROUND(S304*(N304/$AO304)/VLOOKUP(M304,职业!$A$3:$E$16,4,FALSE),0),"")</f>
        <v/>
      </c>
      <c r="AI304" t="str">
        <f>IFERROR(O304&amp;"*"&amp;ROUND(S304*(P304/$AO304)/VLOOKUP(O304,职业!$A$3:$E$16,4,FALSE),0),"")</f>
        <v/>
      </c>
      <c r="AK304" t="str">
        <f>IFERROR(T304&amp;"*"&amp;ROUND(X304*(U304/$AP304)/VLOOKUP(T304,商品!$A$4:$D$67,4,FALSE),0),"")</f>
        <v/>
      </c>
      <c r="AL304" t="str">
        <f>IFERROR(V304&amp;"*"&amp;ROUND(X304*(W304/$AP304)/VLOOKUP(V304,商品!$A$4:$D$67,4,FALSE),0),"")</f>
        <v/>
      </c>
      <c r="AN304">
        <f t="shared" si="37"/>
        <v>0</v>
      </c>
      <c r="AO304">
        <f t="shared" si="38"/>
        <v>0</v>
      </c>
      <c r="AP304">
        <f t="shared" si="39"/>
        <v>0</v>
      </c>
    </row>
    <row r="305" customHeight="1" spans="1:42">
      <c r="A305" s="18" t="s">
        <v>344</v>
      </c>
      <c r="C305" s="18">
        <v>3</v>
      </c>
      <c r="D305" s="1" t="s">
        <v>240</v>
      </c>
      <c r="E305" s="1" t="s">
        <v>226</v>
      </c>
      <c r="L305" s="1">
        <f>IFERROR(VLOOKUP($D305&amp;$C305,生产方式定位!$A$2:$E$38,2,FALSE)+VLOOKUP($E305&amp;$C305,生产方式定位!$F$3:$J$38,2,FALSE),0)</f>
        <v>12000</v>
      </c>
      <c r="S305" s="1">
        <f>IFERROR(VLOOKUP($D305&amp;$C305,生产方式定位!$A$2:$E$38,3,FALSE)+VLOOKUP($E305&amp;$C305,生产方式定位!$F$3:$J$38,3,FALSE),0)</f>
        <v>8600</v>
      </c>
      <c r="X305" s="1">
        <f>IFERROR(VLOOKUP($D305&amp;$C305,生产方式定位!$A$2:$E$38,5,FALSE)+VLOOKUP($E305&amp;$C305,生产方式定位!$F$3:$J$38,5,FALSE),"错误")</f>
        <v>10560</v>
      </c>
      <c r="Y305" s="27" t="str">
        <f t="shared" si="32"/>
        <v/>
      </c>
      <c r="Z305" s="37" t="str">
        <f t="shared" si="33"/>
        <v/>
      </c>
      <c r="AA305" s="37" t="str">
        <f t="shared" si="34"/>
        <v/>
      </c>
      <c r="AB305" s="28">
        <f t="shared" si="35"/>
        <v>1.14</v>
      </c>
      <c r="AC305" s="37"/>
      <c r="AD305" s="38">
        <f t="shared" si="36"/>
        <v>3</v>
      </c>
      <c r="AE305" t="str">
        <f>IFERROR(F305&amp;"*"&amp;ROUND(L305*(G305/$AN305)/VLOOKUP(F305,商品!$A$4:$D$67,4,FALSE),0),"")</f>
        <v/>
      </c>
      <c r="AF305" t="str">
        <f>IFERROR(H305&amp;"*"&amp;ROUND(L305*(I305/$AN305)/VLOOKUP(H305,商品!$A$4:$D$67,4,FALSE),0),"")</f>
        <v/>
      </c>
      <c r="AG305" t="str">
        <f>IFERROR(J305&amp;"*"&amp;ROUND(L305*(K305/$AN305)/VLOOKUP(J305,商品!$A$4:$D$67,4,FALSE),0),"")</f>
        <v/>
      </c>
      <c r="AH305" t="str">
        <f>IFERROR(M305&amp;"*"&amp;ROUND(S305*(N305/$AO305)/VLOOKUP(M305,职业!$A$3:$E$16,4,FALSE),0),"")</f>
        <v/>
      </c>
      <c r="AI305" t="str">
        <f>IFERROR(O305&amp;"*"&amp;ROUND(S305*(P305/$AO305)/VLOOKUP(O305,职业!$A$3:$E$16,4,FALSE),0),"")</f>
        <v/>
      </c>
      <c r="AK305" t="str">
        <f>IFERROR(T305&amp;"*"&amp;ROUND(X305*(U305/$AP305)/VLOOKUP(T305,商品!$A$4:$D$67,4,FALSE),0),"")</f>
        <v/>
      </c>
      <c r="AL305" t="str">
        <f>IFERROR(V305&amp;"*"&amp;ROUND(X305*(W305/$AP305)/VLOOKUP(V305,商品!$A$4:$D$67,4,FALSE),0),"")</f>
        <v/>
      </c>
      <c r="AN305">
        <f t="shared" si="37"/>
        <v>0</v>
      </c>
      <c r="AO305">
        <f t="shared" si="38"/>
        <v>0</v>
      </c>
      <c r="AP305">
        <f t="shared" si="39"/>
        <v>0</v>
      </c>
    </row>
    <row r="306" customHeight="1" spans="1:42">
      <c r="A306" s="18" t="s">
        <v>344</v>
      </c>
      <c r="C306" s="18">
        <v>4</v>
      </c>
      <c r="D306" s="1" t="s">
        <v>240</v>
      </c>
      <c r="E306" s="1" t="s">
        <v>226</v>
      </c>
      <c r="L306" s="1">
        <f>IFERROR(VLOOKUP($D306&amp;$C306,生产方式定位!$A$2:$E$38,2,FALSE)+VLOOKUP($E306&amp;$C306,生产方式定位!$F$3:$J$38,2,FALSE),0)</f>
        <v>12000</v>
      </c>
      <c r="S306" s="1">
        <f>IFERROR(VLOOKUP($D306&amp;$C306,生产方式定位!$A$2:$E$38,3,FALSE)+VLOOKUP($E306&amp;$C306,生产方式定位!$F$3:$J$38,3,FALSE),0)</f>
        <v>8900</v>
      </c>
      <c r="X306" s="1">
        <f>IFERROR(VLOOKUP($D306&amp;$C306,生产方式定位!$A$2:$E$38,5,FALSE)+VLOOKUP($E306&amp;$C306,生产方式定位!$F$3:$J$38,5,FALSE),"错误")</f>
        <v>10960</v>
      </c>
      <c r="Y306" s="27" t="str">
        <f t="shared" si="32"/>
        <v/>
      </c>
      <c r="Z306" s="37" t="str">
        <f t="shared" si="33"/>
        <v/>
      </c>
      <c r="AA306" s="37" t="str">
        <f t="shared" si="34"/>
        <v/>
      </c>
      <c r="AB306" s="28">
        <f t="shared" si="35"/>
        <v>1.09</v>
      </c>
      <c r="AC306" s="37"/>
      <c r="AD306" s="38">
        <f t="shared" si="36"/>
        <v>4</v>
      </c>
      <c r="AE306" t="str">
        <f>IFERROR(F306&amp;"*"&amp;ROUND(L306*(G306/$AN306)/VLOOKUP(F306,商品!$A$4:$D$67,4,FALSE),0),"")</f>
        <v/>
      </c>
      <c r="AF306" t="str">
        <f>IFERROR(H306&amp;"*"&amp;ROUND(L306*(I306/$AN306)/VLOOKUP(H306,商品!$A$4:$D$67,4,FALSE),0),"")</f>
        <v/>
      </c>
      <c r="AG306" t="str">
        <f>IFERROR(J306&amp;"*"&amp;ROUND(L306*(K306/$AN306)/VLOOKUP(J306,商品!$A$4:$D$67,4,FALSE),0),"")</f>
        <v/>
      </c>
      <c r="AH306" t="str">
        <f>IFERROR(M306&amp;"*"&amp;ROUND(S306*(N306/$AO306)/VLOOKUP(M306,职业!$A$3:$E$16,4,FALSE),0),"")</f>
        <v/>
      </c>
      <c r="AI306" t="str">
        <f>IFERROR(O306&amp;"*"&amp;ROUND(S306*(P306/$AO306)/VLOOKUP(O306,职业!$A$3:$E$16,4,FALSE),0),"")</f>
        <v/>
      </c>
      <c r="AK306" t="str">
        <f>IFERROR(T306&amp;"*"&amp;ROUND(X306*(U306/$AP306)/VLOOKUP(T306,商品!$A$4:$D$67,4,FALSE),0),"")</f>
        <v/>
      </c>
      <c r="AL306" t="str">
        <f>IFERROR(V306&amp;"*"&amp;ROUND(X306*(W306/$AP306)/VLOOKUP(V306,商品!$A$4:$D$67,4,FALSE),0),"")</f>
        <v/>
      </c>
      <c r="AN306">
        <f t="shared" si="37"/>
        <v>0</v>
      </c>
      <c r="AO306">
        <f t="shared" si="38"/>
        <v>0</v>
      </c>
      <c r="AP306">
        <f t="shared" si="39"/>
        <v>0</v>
      </c>
    </row>
    <row r="307" customHeight="1" spans="1:42">
      <c r="A307" s="18" t="s">
        <v>344</v>
      </c>
      <c r="C307" s="18">
        <v>5</v>
      </c>
      <c r="D307" s="1" t="s">
        <v>240</v>
      </c>
      <c r="E307" s="1" t="s">
        <v>226</v>
      </c>
      <c r="L307" s="1">
        <f>IFERROR(VLOOKUP($D307&amp;$C307,生产方式定位!$A$2:$E$38,2,FALSE)+VLOOKUP($E307&amp;$C307,生产方式定位!$F$3:$J$38,2,FALSE),0)</f>
        <v>12000</v>
      </c>
      <c r="S307" s="1">
        <f>IFERROR(VLOOKUP($D307&amp;$C307,生产方式定位!$A$2:$E$38,3,FALSE)+VLOOKUP($E307&amp;$C307,生产方式定位!$F$3:$J$38,3,FALSE),0)</f>
        <v>9200</v>
      </c>
      <c r="X307" s="1">
        <f>IFERROR(VLOOKUP($D307&amp;$C307,生产方式定位!$A$2:$E$38,5,FALSE)+VLOOKUP($E307&amp;$C307,生产方式定位!$F$3:$J$38,5,FALSE),"错误")</f>
        <v>11440</v>
      </c>
      <c r="Y307" s="27" t="str">
        <f t="shared" si="32"/>
        <v/>
      </c>
      <c r="Z307" s="37" t="str">
        <f t="shared" si="33"/>
        <v/>
      </c>
      <c r="AA307" s="37" t="str">
        <f t="shared" si="34"/>
        <v/>
      </c>
      <c r="AB307" s="28">
        <f t="shared" si="35"/>
        <v>1.05</v>
      </c>
      <c r="AC307" s="37"/>
      <c r="AD307" s="38">
        <f t="shared" si="36"/>
        <v>5</v>
      </c>
      <c r="AE307" t="str">
        <f>IFERROR(F307&amp;"*"&amp;ROUND(L307*(G307/$AN307)/VLOOKUP(F307,商品!$A$4:$D$67,4,FALSE),0),"")</f>
        <v/>
      </c>
      <c r="AF307" t="str">
        <f>IFERROR(H307&amp;"*"&amp;ROUND(L307*(I307/$AN307)/VLOOKUP(H307,商品!$A$4:$D$67,4,FALSE),0),"")</f>
        <v/>
      </c>
      <c r="AG307" t="str">
        <f>IFERROR(J307&amp;"*"&amp;ROUND(L307*(K307/$AN307)/VLOOKUP(J307,商品!$A$4:$D$67,4,FALSE),0),"")</f>
        <v/>
      </c>
      <c r="AH307" t="str">
        <f>IFERROR(M307&amp;"*"&amp;ROUND(S307*(N307/$AO307)/VLOOKUP(M307,职业!$A$3:$E$16,4,FALSE),0),"")</f>
        <v/>
      </c>
      <c r="AI307" t="str">
        <f>IFERROR(O307&amp;"*"&amp;ROUND(S307*(P307/$AO307)/VLOOKUP(O307,职业!$A$3:$E$16,4,FALSE),0),"")</f>
        <v/>
      </c>
      <c r="AK307" t="str">
        <f>IFERROR(T307&amp;"*"&amp;ROUND(X307*(U307/$AP307)/VLOOKUP(T307,商品!$A$4:$D$67,4,FALSE),0),"")</f>
        <v/>
      </c>
      <c r="AL307" t="str">
        <f>IFERROR(V307&amp;"*"&amp;ROUND(X307*(W307/$AP307)/VLOOKUP(V307,商品!$A$4:$D$67,4,FALSE),0),"")</f>
        <v/>
      </c>
      <c r="AN307">
        <f t="shared" si="37"/>
        <v>0</v>
      </c>
      <c r="AO307">
        <f t="shared" si="38"/>
        <v>0</v>
      </c>
      <c r="AP307">
        <f t="shared" si="39"/>
        <v>0</v>
      </c>
    </row>
    <row r="308" customHeight="1" spans="1:42">
      <c r="A308" s="5" t="s">
        <v>344</v>
      </c>
      <c r="C308" s="5">
        <v>1</v>
      </c>
      <c r="D308" s="1" t="s">
        <v>240</v>
      </c>
      <c r="E308" s="1" t="s">
        <v>226</v>
      </c>
      <c r="L308" s="1">
        <f>IFERROR(VLOOKUP($D308&amp;$C308,生产方式定位!$A$2:$E$38,2,FALSE)+VLOOKUP($E308&amp;$C308,生产方式定位!$F$3:$J$38,2,FALSE),0)</f>
        <v>0</v>
      </c>
      <c r="S308" s="1">
        <f>IFERROR(VLOOKUP($D308&amp;$C308,生产方式定位!$A$2:$E$38,3,FALSE)+VLOOKUP($E308&amp;$C308,生产方式定位!$F$3:$J$38,3,FALSE),0)</f>
        <v>8000</v>
      </c>
      <c r="X308" s="1">
        <f>IFERROR(VLOOKUP($D308&amp;$C308,生产方式定位!$A$2:$E$38,5,FALSE)+VLOOKUP($E308&amp;$C308,生产方式定位!$F$3:$J$38,5,FALSE),"错误")</f>
        <v>4000</v>
      </c>
      <c r="Y308" s="27" t="str">
        <f t="shared" si="32"/>
        <v/>
      </c>
      <c r="Z308" s="37" t="str">
        <f t="shared" si="33"/>
        <v/>
      </c>
      <c r="AA308" s="37" t="str">
        <f t="shared" si="34"/>
        <v/>
      </c>
      <c r="AB308" s="28">
        <f t="shared" si="35"/>
        <v>0</v>
      </c>
      <c r="AC308" s="37"/>
      <c r="AD308" s="38">
        <f t="shared" si="36"/>
        <v>1</v>
      </c>
      <c r="AE308" t="str">
        <f>IFERROR(F308&amp;"*"&amp;ROUND(L308*(G308/$AN308)/VLOOKUP(F308,商品!$A$4:$D$67,4,FALSE),0),"")</f>
        <v/>
      </c>
      <c r="AF308" t="str">
        <f>IFERROR(H308&amp;"*"&amp;ROUND(L308*(I308/$AN308)/VLOOKUP(H308,商品!$A$4:$D$67,4,FALSE),0),"")</f>
        <v/>
      </c>
      <c r="AG308" t="str">
        <f>IFERROR(J308&amp;"*"&amp;ROUND(L308*(K308/$AN308)/VLOOKUP(J308,商品!$A$4:$D$67,4,FALSE),0),"")</f>
        <v/>
      </c>
      <c r="AH308" t="str">
        <f>IFERROR(M308&amp;"*"&amp;ROUND(S308*(N308/$AO308)/VLOOKUP(M308,职业!$A$3:$E$16,4,FALSE),0),"")</f>
        <v/>
      </c>
      <c r="AI308" t="str">
        <f>IFERROR(O308&amp;"*"&amp;ROUND(S308*(P308/$AO308)/VLOOKUP(O308,职业!$A$3:$E$16,4,FALSE),0),"")</f>
        <v/>
      </c>
      <c r="AK308" t="str">
        <f>IFERROR(T308&amp;"*"&amp;ROUND(X308*(U308/$AP308)/VLOOKUP(T308,商品!$A$4:$D$67,4,FALSE),0),"")</f>
        <v/>
      </c>
      <c r="AL308" t="str">
        <f>IFERROR(V308&amp;"*"&amp;ROUND(X308*(W308/$AP308)/VLOOKUP(V308,商品!$A$4:$D$67,4,FALSE),0),"")</f>
        <v/>
      </c>
      <c r="AN308">
        <f t="shared" si="37"/>
        <v>0</v>
      </c>
      <c r="AO308">
        <f t="shared" si="38"/>
        <v>0</v>
      </c>
      <c r="AP308">
        <f t="shared" si="39"/>
        <v>0</v>
      </c>
    </row>
    <row r="309" customHeight="1" spans="1:42">
      <c r="A309" s="5" t="s">
        <v>344</v>
      </c>
      <c r="C309" s="5">
        <v>2</v>
      </c>
      <c r="D309" s="1" t="s">
        <v>240</v>
      </c>
      <c r="E309" s="1" t="s">
        <v>226</v>
      </c>
      <c r="L309" s="1">
        <f>IFERROR(VLOOKUP($D309&amp;$C309,生产方式定位!$A$2:$E$38,2,FALSE)+VLOOKUP($E309&amp;$C309,生产方式定位!$F$3:$J$38,2,FALSE),0)</f>
        <v>12000</v>
      </c>
      <c r="S309" s="1">
        <f>IFERROR(VLOOKUP($D309&amp;$C309,生产方式定位!$A$2:$E$38,3,FALSE)+VLOOKUP($E309&amp;$C309,生产方式定位!$F$3:$J$38,3,FALSE),0)</f>
        <v>8300</v>
      </c>
      <c r="X309" s="1">
        <f>IFERROR(VLOOKUP($D309&amp;$C309,生产方式定位!$A$2:$E$38,5,FALSE)+VLOOKUP($E309&amp;$C309,生产方式定位!$F$3:$J$38,5,FALSE),"错误")</f>
        <v>10240</v>
      </c>
      <c r="Y309" s="27" t="str">
        <f t="shared" si="32"/>
        <v/>
      </c>
      <c r="Z309" s="37" t="str">
        <f t="shared" si="33"/>
        <v/>
      </c>
      <c r="AA309" s="37" t="str">
        <f t="shared" si="34"/>
        <v/>
      </c>
      <c r="AB309" s="28">
        <f t="shared" si="35"/>
        <v>1.17</v>
      </c>
      <c r="AC309" s="37"/>
      <c r="AD309" s="38">
        <f t="shared" si="36"/>
        <v>2</v>
      </c>
      <c r="AE309" t="str">
        <f>IFERROR(F309&amp;"*"&amp;ROUND(L309*(G309/$AN309)/VLOOKUP(F309,商品!$A$4:$D$67,4,FALSE),0),"")</f>
        <v/>
      </c>
      <c r="AF309" t="str">
        <f>IFERROR(H309&amp;"*"&amp;ROUND(L309*(I309/$AN309)/VLOOKUP(H309,商品!$A$4:$D$67,4,FALSE),0),"")</f>
        <v/>
      </c>
      <c r="AG309" t="str">
        <f>IFERROR(J309&amp;"*"&amp;ROUND(L309*(K309/$AN309)/VLOOKUP(J309,商品!$A$4:$D$67,4,FALSE),0),"")</f>
        <v/>
      </c>
      <c r="AH309" t="str">
        <f>IFERROR(M309&amp;"*"&amp;ROUND(S309*(N309/$AO309)/VLOOKUP(M309,职业!$A$3:$E$16,4,FALSE),0),"")</f>
        <v/>
      </c>
      <c r="AI309" t="str">
        <f>IFERROR(O309&amp;"*"&amp;ROUND(S309*(P309/$AO309)/VLOOKUP(O309,职业!$A$3:$E$16,4,FALSE),0),"")</f>
        <v/>
      </c>
      <c r="AK309" t="str">
        <f>IFERROR(T309&amp;"*"&amp;ROUND(X309*(U309/$AP309)/VLOOKUP(T309,商品!$A$4:$D$67,4,FALSE),0),"")</f>
        <v/>
      </c>
      <c r="AL309" t="str">
        <f>IFERROR(V309&amp;"*"&amp;ROUND(X309*(W309/$AP309)/VLOOKUP(V309,商品!$A$4:$D$67,4,FALSE),0),"")</f>
        <v/>
      </c>
      <c r="AN309">
        <f t="shared" si="37"/>
        <v>0</v>
      </c>
      <c r="AO309">
        <f t="shared" si="38"/>
        <v>0</v>
      </c>
      <c r="AP309">
        <f t="shared" si="39"/>
        <v>0</v>
      </c>
    </row>
    <row r="310" customHeight="1" spans="1:42">
      <c r="A310" s="5" t="s">
        <v>344</v>
      </c>
      <c r="C310" s="5">
        <v>3</v>
      </c>
      <c r="D310" s="1" t="s">
        <v>240</v>
      </c>
      <c r="E310" s="1" t="s">
        <v>226</v>
      </c>
      <c r="L310" s="1">
        <f>IFERROR(VLOOKUP($D310&amp;$C310,生产方式定位!$A$2:$E$38,2,FALSE)+VLOOKUP($E310&amp;$C310,生产方式定位!$F$3:$J$38,2,FALSE),0)</f>
        <v>12000</v>
      </c>
      <c r="S310" s="1">
        <f>IFERROR(VLOOKUP($D310&amp;$C310,生产方式定位!$A$2:$E$38,3,FALSE)+VLOOKUP($E310&amp;$C310,生产方式定位!$F$3:$J$38,3,FALSE),0)</f>
        <v>8600</v>
      </c>
      <c r="X310" s="1">
        <f>IFERROR(VLOOKUP($D310&amp;$C310,生产方式定位!$A$2:$E$38,5,FALSE)+VLOOKUP($E310&amp;$C310,生产方式定位!$F$3:$J$38,5,FALSE),"错误")</f>
        <v>10560</v>
      </c>
      <c r="Y310" s="27" t="str">
        <f t="shared" si="32"/>
        <v/>
      </c>
      <c r="Z310" s="37" t="str">
        <f t="shared" si="33"/>
        <v/>
      </c>
      <c r="AA310" s="37" t="str">
        <f t="shared" si="34"/>
        <v/>
      </c>
      <c r="AB310" s="28">
        <f t="shared" si="35"/>
        <v>1.14</v>
      </c>
      <c r="AC310" s="37"/>
      <c r="AD310" s="38">
        <f t="shared" si="36"/>
        <v>3</v>
      </c>
      <c r="AE310" t="str">
        <f>IFERROR(F310&amp;"*"&amp;ROUND(L310*(G310/$AN310)/VLOOKUP(F310,商品!$A$4:$D$67,4,FALSE),0),"")</f>
        <v/>
      </c>
      <c r="AF310" t="str">
        <f>IFERROR(H310&amp;"*"&amp;ROUND(L310*(I310/$AN310)/VLOOKUP(H310,商品!$A$4:$D$67,4,FALSE),0),"")</f>
        <v/>
      </c>
      <c r="AG310" t="str">
        <f>IFERROR(J310&amp;"*"&amp;ROUND(L310*(K310/$AN310)/VLOOKUP(J310,商品!$A$4:$D$67,4,FALSE),0),"")</f>
        <v/>
      </c>
      <c r="AH310" t="str">
        <f>IFERROR(M310&amp;"*"&amp;ROUND(S310*(N310/$AO310)/VLOOKUP(M310,职业!$A$3:$E$16,4,FALSE),0),"")</f>
        <v/>
      </c>
      <c r="AI310" t="str">
        <f>IFERROR(O310&amp;"*"&amp;ROUND(S310*(P310/$AO310)/VLOOKUP(O310,职业!$A$3:$E$16,4,FALSE),0),"")</f>
        <v/>
      </c>
      <c r="AK310" t="str">
        <f>IFERROR(T310&amp;"*"&amp;ROUND(X310*(U310/$AP310)/VLOOKUP(T310,商品!$A$4:$D$67,4,FALSE),0),"")</f>
        <v/>
      </c>
      <c r="AL310" t="str">
        <f>IFERROR(V310&amp;"*"&amp;ROUND(X310*(W310/$AP310)/VLOOKUP(V310,商品!$A$4:$D$67,4,FALSE),0),"")</f>
        <v/>
      </c>
      <c r="AN310">
        <f t="shared" si="37"/>
        <v>0</v>
      </c>
      <c r="AO310">
        <f t="shared" si="38"/>
        <v>0</v>
      </c>
      <c r="AP310">
        <f t="shared" si="39"/>
        <v>0</v>
      </c>
    </row>
    <row r="311" customHeight="1" spans="1:42">
      <c r="A311" s="5" t="s">
        <v>344</v>
      </c>
      <c r="C311" s="5">
        <v>4</v>
      </c>
      <c r="D311" s="1" t="s">
        <v>240</v>
      </c>
      <c r="E311" s="1" t="s">
        <v>226</v>
      </c>
      <c r="L311" s="1">
        <f>IFERROR(VLOOKUP($D311&amp;$C311,生产方式定位!$A$2:$E$38,2,FALSE)+VLOOKUP($E311&amp;$C311,生产方式定位!$F$3:$J$38,2,FALSE),0)</f>
        <v>12000</v>
      </c>
      <c r="S311" s="1">
        <f>IFERROR(VLOOKUP($D311&amp;$C311,生产方式定位!$A$2:$E$38,3,FALSE)+VLOOKUP($E311&amp;$C311,生产方式定位!$F$3:$J$38,3,FALSE),0)</f>
        <v>8900</v>
      </c>
      <c r="X311" s="1">
        <f>IFERROR(VLOOKUP($D311&amp;$C311,生产方式定位!$A$2:$E$38,5,FALSE)+VLOOKUP($E311&amp;$C311,生产方式定位!$F$3:$J$38,5,FALSE),"错误")</f>
        <v>10960</v>
      </c>
      <c r="Y311" s="27" t="str">
        <f t="shared" si="32"/>
        <v/>
      </c>
      <c r="Z311" s="37" t="str">
        <f t="shared" si="33"/>
        <v/>
      </c>
      <c r="AA311" s="37" t="str">
        <f t="shared" si="34"/>
        <v/>
      </c>
      <c r="AB311" s="28">
        <f t="shared" si="35"/>
        <v>1.09</v>
      </c>
      <c r="AC311" s="37"/>
      <c r="AD311" s="38">
        <f t="shared" si="36"/>
        <v>4</v>
      </c>
      <c r="AE311" t="str">
        <f>IFERROR(F311&amp;"*"&amp;ROUND(L311*(G311/$AN311)/VLOOKUP(F311,商品!$A$4:$D$67,4,FALSE),0),"")</f>
        <v/>
      </c>
      <c r="AF311" t="str">
        <f>IFERROR(H311&amp;"*"&amp;ROUND(L311*(I311/$AN311)/VLOOKUP(H311,商品!$A$4:$D$67,4,FALSE),0),"")</f>
        <v/>
      </c>
      <c r="AG311" t="str">
        <f>IFERROR(J311&amp;"*"&amp;ROUND(L311*(K311/$AN311)/VLOOKUP(J311,商品!$A$4:$D$67,4,FALSE),0),"")</f>
        <v/>
      </c>
      <c r="AH311" t="str">
        <f>IFERROR(M311&amp;"*"&amp;ROUND(S311*(N311/$AO311)/VLOOKUP(M311,职业!$A$3:$E$16,4,FALSE),0),"")</f>
        <v/>
      </c>
      <c r="AI311" t="str">
        <f>IFERROR(O311&amp;"*"&amp;ROUND(S311*(P311/$AO311)/VLOOKUP(O311,职业!$A$3:$E$16,4,FALSE),0),"")</f>
        <v/>
      </c>
      <c r="AK311" t="str">
        <f>IFERROR(T311&amp;"*"&amp;ROUND(X311*(U311/$AP311)/VLOOKUP(T311,商品!$A$4:$D$67,4,FALSE),0),"")</f>
        <v/>
      </c>
      <c r="AL311" t="str">
        <f>IFERROR(V311&amp;"*"&amp;ROUND(X311*(W311/$AP311)/VLOOKUP(V311,商品!$A$4:$D$67,4,FALSE),0),"")</f>
        <v/>
      </c>
      <c r="AN311">
        <f t="shared" si="37"/>
        <v>0</v>
      </c>
      <c r="AO311">
        <f t="shared" si="38"/>
        <v>0</v>
      </c>
      <c r="AP311">
        <f t="shared" si="39"/>
        <v>0</v>
      </c>
    </row>
    <row r="312" customHeight="1" spans="1:42">
      <c r="A312" s="5" t="s">
        <v>344</v>
      </c>
      <c r="C312" s="5">
        <v>5</v>
      </c>
      <c r="D312" s="1" t="s">
        <v>240</v>
      </c>
      <c r="E312" s="1" t="s">
        <v>226</v>
      </c>
      <c r="L312" s="1">
        <f>IFERROR(VLOOKUP($D312&amp;$C312,生产方式定位!$A$2:$E$38,2,FALSE)+VLOOKUP($E312&amp;$C312,生产方式定位!$F$3:$J$38,2,FALSE),0)</f>
        <v>12000</v>
      </c>
      <c r="S312" s="1">
        <f>IFERROR(VLOOKUP($D312&amp;$C312,生产方式定位!$A$2:$E$38,3,FALSE)+VLOOKUP($E312&amp;$C312,生产方式定位!$F$3:$J$38,3,FALSE),0)</f>
        <v>9200</v>
      </c>
      <c r="X312" s="1">
        <f>IFERROR(VLOOKUP($D312&amp;$C312,生产方式定位!$A$2:$E$38,5,FALSE)+VLOOKUP($E312&amp;$C312,生产方式定位!$F$3:$J$38,5,FALSE),"错误")</f>
        <v>11440</v>
      </c>
      <c r="Y312" s="27" t="str">
        <f t="shared" si="32"/>
        <v/>
      </c>
      <c r="Z312" s="37" t="str">
        <f t="shared" si="33"/>
        <v/>
      </c>
      <c r="AA312" s="37" t="str">
        <f t="shared" si="34"/>
        <v/>
      </c>
      <c r="AB312" s="28">
        <f t="shared" si="35"/>
        <v>1.05</v>
      </c>
      <c r="AC312" s="37"/>
      <c r="AD312" s="38">
        <f t="shared" si="36"/>
        <v>5</v>
      </c>
      <c r="AE312" t="str">
        <f>IFERROR(F312&amp;"*"&amp;ROUND(L312*(G312/$AN312)/VLOOKUP(F312,商品!$A$4:$D$67,4,FALSE),0),"")</f>
        <v/>
      </c>
      <c r="AF312" t="str">
        <f>IFERROR(H312&amp;"*"&amp;ROUND(L312*(I312/$AN312)/VLOOKUP(H312,商品!$A$4:$D$67,4,FALSE),0),"")</f>
        <v/>
      </c>
      <c r="AG312" t="str">
        <f>IFERROR(J312&amp;"*"&amp;ROUND(L312*(K312/$AN312)/VLOOKUP(J312,商品!$A$4:$D$67,4,FALSE),0),"")</f>
        <v/>
      </c>
      <c r="AH312" t="str">
        <f>IFERROR(M312&amp;"*"&amp;ROUND(S312*(N312/$AO312)/VLOOKUP(M312,职业!$A$3:$E$16,4,FALSE),0),"")</f>
        <v/>
      </c>
      <c r="AI312" t="str">
        <f>IFERROR(O312&amp;"*"&amp;ROUND(S312*(P312/$AO312)/VLOOKUP(O312,职业!$A$3:$E$16,4,FALSE),0),"")</f>
        <v/>
      </c>
      <c r="AK312" t="str">
        <f>IFERROR(T312&amp;"*"&amp;ROUND(X312*(U312/$AP312)/VLOOKUP(T312,商品!$A$4:$D$67,4,FALSE),0),"")</f>
        <v/>
      </c>
      <c r="AL312" t="str">
        <f>IFERROR(V312&amp;"*"&amp;ROUND(X312*(W312/$AP312)/VLOOKUP(V312,商品!$A$4:$D$67,4,FALSE),0),"")</f>
        <v/>
      </c>
      <c r="AN312">
        <f t="shared" si="37"/>
        <v>0</v>
      </c>
      <c r="AO312">
        <f t="shared" si="38"/>
        <v>0</v>
      </c>
      <c r="AP312">
        <f t="shared" si="39"/>
        <v>0</v>
      </c>
    </row>
    <row r="313" customHeight="1" spans="1:42">
      <c r="A313" s="18" t="s">
        <v>345</v>
      </c>
      <c r="C313" s="18">
        <v>1</v>
      </c>
      <c r="D313" s="1" t="s">
        <v>293</v>
      </c>
      <c r="E313" s="1" t="s">
        <v>227</v>
      </c>
      <c r="L313" s="1">
        <f>IFERROR(VLOOKUP($D313&amp;$C313,生产方式定位!$A$2:$E$38,2,FALSE)+VLOOKUP($E313&amp;$C313,生产方式定位!$F$3:$J$38,2,FALSE),0)</f>
        <v>0</v>
      </c>
      <c r="S313" s="1">
        <f>IFERROR(VLOOKUP($D313&amp;$C313,生产方式定位!$A$2:$E$38,3,FALSE)+VLOOKUP($E313&amp;$C313,生产方式定位!$F$3:$J$38,3,FALSE),0)</f>
        <v>0</v>
      </c>
      <c r="X313" s="1">
        <f>IFERROR(VLOOKUP($D313&amp;$C313,生产方式定位!$A$2:$E$38,5,FALSE)+VLOOKUP($E313&amp;$C313,生产方式定位!$F$3:$J$38,5,FALSE),"错误")</f>
        <v>0</v>
      </c>
      <c r="Y313" s="27" t="str">
        <f t="shared" si="32"/>
        <v/>
      </c>
      <c r="Z313" s="37" t="str">
        <f t="shared" si="33"/>
        <v/>
      </c>
      <c r="AA313" s="37" t="str">
        <f t="shared" si="34"/>
        <v/>
      </c>
      <c r="AB313" s="28" t="str">
        <f t="shared" si="35"/>
        <v/>
      </c>
      <c r="AC313" s="37"/>
      <c r="AD313" s="38">
        <f t="shared" si="36"/>
        <v>1</v>
      </c>
      <c r="AE313" t="str">
        <f>IFERROR(F313&amp;"*"&amp;ROUND(L313*(G313/$AN313)/VLOOKUP(F313,商品!$A$4:$D$67,4,FALSE),0),"")</f>
        <v/>
      </c>
      <c r="AF313" t="str">
        <f>IFERROR(H313&amp;"*"&amp;ROUND(L313*(I313/$AN313)/VLOOKUP(H313,商品!$A$4:$D$67,4,FALSE),0),"")</f>
        <v/>
      </c>
      <c r="AG313" t="str">
        <f>IFERROR(J313&amp;"*"&amp;ROUND(L313*(K313/$AN313)/VLOOKUP(J313,商品!$A$4:$D$67,4,FALSE),0),"")</f>
        <v/>
      </c>
      <c r="AH313" t="str">
        <f>IFERROR(M313&amp;"*"&amp;ROUND(S313*(N313/$AO313)/VLOOKUP(M313,职业!$A$3:$E$16,4,FALSE),0),"")</f>
        <v/>
      </c>
      <c r="AI313" t="str">
        <f>IFERROR(O313&amp;"*"&amp;ROUND(S313*(P313/$AO313)/VLOOKUP(O313,职业!$A$3:$E$16,4,FALSE),0),"")</f>
        <v/>
      </c>
      <c r="AK313" t="str">
        <f>IFERROR(T313&amp;"*"&amp;ROUND(X313*(U313/$AP313)/VLOOKUP(T313,商品!$A$4:$D$67,4,FALSE),0),"")</f>
        <v/>
      </c>
      <c r="AL313" t="str">
        <f>IFERROR(V313&amp;"*"&amp;ROUND(X313*(W313/$AP313)/VLOOKUP(V313,商品!$A$4:$D$67,4,FALSE),0),"")</f>
        <v/>
      </c>
      <c r="AN313">
        <f t="shared" si="37"/>
        <v>0</v>
      </c>
      <c r="AO313">
        <f t="shared" si="38"/>
        <v>0</v>
      </c>
      <c r="AP313">
        <f t="shared" si="39"/>
        <v>0</v>
      </c>
    </row>
    <row r="314" customHeight="1" spans="1:42">
      <c r="A314" s="18" t="s">
        <v>345</v>
      </c>
      <c r="C314" s="18">
        <v>2</v>
      </c>
      <c r="D314" s="1" t="s">
        <v>293</v>
      </c>
      <c r="E314" s="1" t="s">
        <v>227</v>
      </c>
      <c r="L314" s="1">
        <f>IFERROR(VLOOKUP($D314&amp;$C314,生产方式定位!$A$2:$E$38,2,FALSE)+VLOOKUP($E314&amp;$C314,生产方式定位!$F$3:$J$38,2,FALSE),0)</f>
        <v>0</v>
      </c>
      <c r="S314" s="1">
        <f>IFERROR(VLOOKUP($D314&amp;$C314,生产方式定位!$A$2:$E$38,3,FALSE)+VLOOKUP($E314&amp;$C314,生产方式定位!$F$3:$J$38,3,FALSE),0)</f>
        <v>0</v>
      </c>
      <c r="X314" s="1">
        <f>IFERROR(VLOOKUP($D314&amp;$C314,生产方式定位!$A$2:$E$38,5,FALSE)+VLOOKUP($E314&amp;$C314,生产方式定位!$F$3:$J$38,5,FALSE),"错误")</f>
        <v>0</v>
      </c>
      <c r="Y314" s="27" t="str">
        <f t="shared" si="32"/>
        <v/>
      </c>
      <c r="Z314" s="37" t="str">
        <f t="shared" si="33"/>
        <v/>
      </c>
      <c r="AA314" s="37" t="str">
        <f t="shared" si="34"/>
        <v/>
      </c>
      <c r="AB314" s="28" t="str">
        <f t="shared" si="35"/>
        <v/>
      </c>
      <c r="AC314" s="37"/>
      <c r="AD314" s="38">
        <f t="shared" si="36"/>
        <v>2</v>
      </c>
      <c r="AE314" t="str">
        <f>IFERROR(F314&amp;"*"&amp;ROUND(L314*(G314/$AN314)/VLOOKUP(F314,商品!$A$4:$D$67,4,FALSE),0),"")</f>
        <v/>
      </c>
      <c r="AF314" t="str">
        <f>IFERROR(H314&amp;"*"&amp;ROUND(L314*(I314/$AN314)/VLOOKUP(H314,商品!$A$4:$D$67,4,FALSE),0),"")</f>
        <v/>
      </c>
      <c r="AG314" t="str">
        <f>IFERROR(J314&amp;"*"&amp;ROUND(L314*(K314/$AN314)/VLOOKUP(J314,商品!$A$4:$D$67,4,FALSE),0),"")</f>
        <v/>
      </c>
      <c r="AH314" t="str">
        <f>IFERROR(M314&amp;"*"&amp;ROUND(S314*(N314/$AO314)/VLOOKUP(M314,职业!$A$3:$E$16,4,FALSE),0),"")</f>
        <v/>
      </c>
      <c r="AI314" t="str">
        <f>IFERROR(O314&amp;"*"&amp;ROUND(S314*(P314/$AO314)/VLOOKUP(O314,职业!$A$3:$E$16,4,FALSE),0),"")</f>
        <v/>
      </c>
      <c r="AK314" t="str">
        <f>IFERROR(T314&amp;"*"&amp;ROUND(X314*(U314/$AP314)/VLOOKUP(T314,商品!$A$4:$D$67,4,FALSE),0),"")</f>
        <v/>
      </c>
      <c r="AL314" t="str">
        <f>IFERROR(V314&amp;"*"&amp;ROUND(X314*(W314/$AP314)/VLOOKUP(V314,商品!$A$4:$D$67,4,FALSE),0),"")</f>
        <v/>
      </c>
      <c r="AN314">
        <f t="shared" si="37"/>
        <v>0</v>
      </c>
      <c r="AO314">
        <f t="shared" si="38"/>
        <v>0</v>
      </c>
      <c r="AP314">
        <f t="shared" si="39"/>
        <v>0</v>
      </c>
    </row>
    <row r="315" customHeight="1" spans="1:42">
      <c r="A315" s="18" t="s">
        <v>345</v>
      </c>
      <c r="C315" s="18">
        <v>3</v>
      </c>
      <c r="D315" s="1" t="s">
        <v>293</v>
      </c>
      <c r="E315" s="1" t="s">
        <v>227</v>
      </c>
      <c r="L315" s="1">
        <f>IFERROR(VLOOKUP($D315&amp;$C315,生产方式定位!$A$2:$E$38,2,FALSE)+VLOOKUP($E315&amp;$C315,生产方式定位!$F$3:$J$38,2,FALSE),0)</f>
        <v>0</v>
      </c>
      <c r="S315" s="1">
        <f>IFERROR(VLOOKUP($D315&amp;$C315,生产方式定位!$A$2:$E$38,3,FALSE)+VLOOKUP($E315&amp;$C315,生产方式定位!$F$3:$J$38,3,FALSE),0)</f>
        <v>0</v>
      </c>
      <c r="X315" s="1">
        <f>IFERROR(VLOOKUP($D315&amp;$C315,生产方式定位!$A$2:$E$38,5,FALSE)+VLOOKUP($E315&amp;$C315,生产方式定位!$F$3:$J$38,5,FALSE),"错误")</f>
        <v>0</v>
      </c>
      <c r="Y315" s="27" t="str">
        <f t="shared" si="32"/>
        <v/>
      </c>
      <c r="Z315" s="37" t="str">
        <f t="shared" si="33"/>
        <v/>
      </c>
      <c r="AA315" s="37" t="str">
        <f t="shared" si="34"/>
        <v/>
      </c>
      <c r="AB315" s="28" t="str">
        <f t="shared" si="35"/>
        <v/>
      </c>
      <c r="AC315" s="37"/>
      <c r="AD315" s="38">
        <f t="shared" si="36"/>
        <v>3</v>
      </c>
      <c r="AE315" t="str">
        <f>IFERROR(F315&amp;"*"&amp;ROUND(L315*(G315/$AN315)/VLOOKUP(F315,商品!$A$4:$D$67,4,FALSE),0),"")</f>
        <v/>
      </c>
      <c r="AF315" t="str">
        <f>IFERROR(H315&amp;"*"&amp;ROUND(L315*(I315/$AN315)/VLOOKUP(H315,商品!$A$4:$D$67,4,FALSE),0),"")</f>
        <v/>
      </c>
      <c r="AG315" t="str">
        <f>IFERROR(J315&amp;"*"&amp;ROUND(L315*(K315/$AN315)/VLOOKUP(J315,商品!$A$4:$D$67,4,FALSE),0),"")</f>
        <v/>
      </c>
      <c r="AH315" t="str">
        <f>IFERROR(M315&amp;"*"&amp;ROUND(S315*(N315/$AO315)/VLOOKUP(M315,职业!$A$3:$E$16,4,FALSE),0),"")</f>
        <v/>
      </c>
      <c r="AI315" t="str">
        <f>IFERROR(O315&amp;"*"&amp;ROUND(S315*(P315/$AO315)/VLOOKUP(O315,职业!$A$3:$E$16,4,FALSE),0),"")</f>
        <v/>
      </c>
      <c r="AK315" t="str">
        <f>IFERROR(T315&amp;"*"&amp;ROUND(X315*(U315/$AP315)/VLOOKUP(T315,商品!$A$4:$D$67,4,FALSE),0),"")</f>
        <v/>
      </c>
      <c r="AL315" t="str">
        <f>IFERROR(V315&amp;"*"&amp;ROUND(X315*(W315/$AP315)/VLOOKUP(V315,商品!$A$4:$D$67,4,FALSE),0),"")</f>
        <v/>
      </c>
      <c r="AN315">
        <f t="shared" si="37"/>
        <v>0</v>
      </c>
      <c r="AO315">
        <f t="shared" si="38"/>
        <v>0</v>
      </c>
      <c r="AP315">
        <f t="shared" si="39"/>
        <v>0</v>
      </c>
    </row>
    <row r="316" customHeight="1" spans="1:42">
      <c r="A316" s="18" t="s">
        <v>345</v>
      </c>
      <c r="C316" s="18">
        <v>4</v>
      </c>
      <c r="D316" s="1" t="s">
        <v>293</v>
      </c>
      <c r="E316" s="1" t="s">
        <v>227</v>
      </c>
      <c r="L316" s="1">
        <f>IFERROR(VLOOKUP($D316&amp;$C316,生产方式定位!$A$2:$E$38,2,FALSE)+VLOOKUP($E316&amp;$C316,生产方式定位!$F$3:$J$38,2,FALSE),0)</f>
        <v>0</v>
      </c>
      <c r="S316" s="1">
        <f>IFERROR(VLOOKUP($D316&amp;$C316,生产方式定位!$A$2:$E$38,3,FALSE)+VLOOKUP($E316&amp;$C316,生产方式定位!$F$3:$J$38,3,FALSE),0)</f>
        <v>0</v>
      </c>
      <c r="X316" s="1">
        <f>IFERROR(VLOOKUP($D316&amp;$C316,生产方式定位!$A$2:$E$38,5,FALSE)+VLOOKUP($E316&amp;$C316,生产方式定位!$F$3:$J$38,5,FALSE),"错误")</f>
        <v>0</v>
      </c>
      <c r="Y316" s="27" t="str">
        <f t="shared" si="32"/>
        <v/>
      </c>
      <c r="Z316" s="37" t="str">
        <f t="shared" si="33"/>
        <v/>
      </c>
      <c r="AA316" s="37" t="str">
        <f t="shared" si="34"/>
        <v/>
      </c>
      <c r="AB316" s="28" t="str">
        <f t="shared" si="35"/>
        <v/>
      </c>
      <c r="AC316" s="37"/>
      <c r="AD316" s="38">
        <f t="shared" si="36"/>
        <v>4</v>
      </c>
      <c r="AE316" t="str">
        <f>IFERROR(F316&amp;"*"&amp;ROUND(L316*(G316/$AN316)/VLOOKUP(F316,商品!$A$4:$D$67,4,FALSE),0),"")</f>
        <v/>
      </c>
      <c r="AF316" t="str">
        <f>IFERROR(H316&amp;"*"&amp;ROUND(L316*(I316/$AN316)/VLOOKUP(H316,商品!$A$4:$D$67,4,FALSE),0),"")</f>
        <v/>
      </c>
      <c r="AG316" t="str">
        <f>IFERROR(J316&amp;"*"&amp;ROUND(L316*(K316/$AN316)/VLOOKUP(J316,商品!$A$4:$D$67,4,FALSE),0),"")</f>
        <v/>
      </c>
      <c r="AH316" t="str">
        <f>IFERROR(M316&amp;"*"&amp;ROUND(S316*(N316/$AO316)/VLOOKUP(M316,职业!$A$3:$E$16,4,FALSE),0),"")</f>
        <v/>
      </c>
      <c r="AI316" t="str">
        <f>IFERROR(O316&amp;"*"&amp;ROUND(S316*(P316/$AO316)/VLOOKUP(O316,职业!$A$3:$E$16,4,FALSE),0),"")</f>
        <v/>
      </c>
      <c r="AK316" t="str">
        <f>IFERROR(T316&amp;"*"&amp;ROUND(X316*(U316/$AP316)/VLOOKUP(T316,商品!$A$4:$D$67,4,FALSE),0),"")</f>
        <v/>
      </c>
      <c r="AL316" t="str">
        <f>IFERROR(V316&amp;"*"&amp;ROUND(X316*(W316/$AP316)/VLOOKUP(V316,商品!$A$4:$D$67,4,FALSE),0),"")</f>
        <v/>
      </c>
      <c r="AN316">
        <f t="shared" si="37"/>
        <v>0</v>
      </c>
      <c r="AO316">
        <f t="shared" si="38"/>
        <v>0</v>
      </c>
      <c r="AP316">
        <f t="shared" si="39"/>
        <v>0</v>
      </c>
    </row>
    <row r="317" customHeight="1" spans="1:42">
      <c r="A317" s="18" t="s">
        <v>345</v>
      </c>
      <c r="C317" s="18">
        <v>5</v>
      </c>
      <c r="D317" s="1" t="s">
        <v>293</v>
      </c>
      <c r="E317" s="1" t="s">
        <v>227</v>
      </c>
      <c r="L317" s="1">
        <f>IFERROR(VLOOKUP($D317&amp;$C317,生产方式定位!$A$2:$E$38,2,FALSE)+VLOOKUP($E317&amp;$C317,生产方式定位!$F$3:$J$38,2,FALSE),0)</f>
        <v>0</v>
      </c>
      <c r="S317" s="1">
        <f>IFERROR(VLOOKUP($D317&amp;$C317,生产方式定位!$A$2:$E$38,3,FALSE)+VLOOKUP($E317&amp;$C317,生产方式定位!$F$3:$J$38,3,FALSE),0)</f>
        <v>0</v>
      </c>
      <c r="X317" s="1">
        <f>IFERROR(VLOOKUP($D317&amp;$C317,生产方式定位!$A$2:$E$38,5,FALSE)+VLOOKUP($E317&amp;$C317,生产方式定位!$F$3:$J$38,5,FALSE),"错误")</f>
        <v>0</v>
      </c>
      <c r="Y317" s="27" t="str">
        <f t="shared" si="32"/>
        <v/>
      </c>
      <c r="Z317" s="37" t="str">
        <f t="shared" si="33"/>
        <v/>
      </c>
      <c r="AA317" s="37" t="str">
        <f t="shared" si="34"/>
        <v/>
      </c>
      <c r="AB317" s="28" t="str">
        <f t="shared" si="35"/>
        <v/>
      </c>
      <c r="AC317" s="37"/>
      <c r="AD317" s="38">
        <f t="shared" si="36"/>
        <v>5</v>
      </c>
      <c r="AE317" t="str">
        <f>IFERROR(F317&amp;"*"&amp;ROUND(L317*(G317/$AN317)/VLOOKUP(F317,商品!$A$4:$D$67,4,FALSE),0),"")</f>
        <v/>
      </c>
      <c r="AF317" t="str">
        <f>IFERROR(H317&amp;"*"&amp;ROUND(L317*(I317/$AN317)/VLOOKUP(H317,商品!$A$4:$D$67,4,FALSE),0),"")</f>
        <v/>
      </c>
      <c r="AG317" t="str">
        <f>IFERROR(J317&amp;"*"&amp;ROUND(L317*(K317/$AN317)/VLOOKUP(J317,商品!$A$4:$D$67,4,FALSE),0),"")</f>
        <v/>
      </c>
      <c r="AH317" t="str">
        <f>IFERROR(M317&amp;"*"&amp;ROUND(S317*(N317/$AO317)/VLOOKUP(M317,职业!$A$3:$E$16,4,FALSE),0),"")</f>
        <v/>
      </c>
      <c r="AI317" t="str">
        <f>IFERROR(O317&amp;"*"&amp;ROUND(S317*(P317/$AO317)/VLOOKUP(O317,职业!$A$3:$E$16,4,FALSE),0),"")</f>
        <v/>
      </c>
      <c r="AK317" t="str">
        <f>IFERROR(T317&amp;"*"&amp;ROUND(X317*(U317/$AP317)/VLOOKUP(T317,商品!$A$4:$D$67,4,FALSE),0),"")</f>
        <v/>
      </c>
      <c r="AL317" t="str">
        <f>IFERROR(V317&amp;"*"&amp;ROUND(X317*(W317/$AP317)/VLOOKUP(V317,商品!$A$4:$D$67,4,FALSE),0),"")</f>
        <v/>
      </c>
      <c r="AN317">
        <f t="shared" si="37"/>
        <v>0</v>
      </c>
      <c r="AO317">
        <f t="shared" si="38"/>
        <v>0</v>
      </c>
      <c r="AP317">
        <f t="shared" si="39"/>
        <v>0</v>
      </c>
    </row>
    <row r="318" customHeight="1" spans="1:42">
      <c r="A318" s="18" t="s">
        <v>345</v>
      </c>
      <c r="C318" s="18">
        <v>6</v>
      </c>
      <c r="D318" s="1" t="s">
        <v>293</v>
      </c>
      <c r="E318" s="1" t="s">
        <v>227</v>
      </c>
      <c r="L318" s="1">
        <f>IFERROR(VLOOKUP($D318&amp;$C318,生产方式定位!$A$2:$E$38,2,FALSE)+VLOOKUP($E318&amp;$C318,生产方式定位!$F$3:$J$38,2,FALSE),0)</f>
        <v>0</v>
      </c>
      <c r="S318" s="1">
        <f>IFERROR(VLOOKUP($D318&amp;$C318,生产方式定位!$A$2:$E$38,3,FALSE)+VLOOKUP($E318&amp;$C318,生产方式定位!$F$3:$J$38,3,FALSE),0)</f>
        <v>0</v>
      </c>
      <c r="X318" s="1">
        <f>IFERROR(VLOOKUP($D318&amp;$C318,生产方式定位!$A$2:$E$38,5,FALSE)+VLOOKUP($E318&amp;$C318,生产方式定位!$F$3:$J$38,5,FALSE),"错误")</f>
        <v>0</v>
      </c>
      <c r="Y318" s="27" t="str">
        <f t="shared" si="32"/>
        <v/>
      </c>
      <c r="Z318" s="37" t="str">
        <f t="shared" si="33"/>
        <v/>
      </c>
      <c r="AA318" s="37" t="str">
        <f t="shared" si="34"/>
        <v/>
      </c>
      <c r="AB318" s="28" t="str">
        <f t="shared" si="35"/>
        <v/>
      </c>
      <c r="AC318" s="37"/>
      <c r="AD318" s="38">
        <f t="shared" si="36"/>
        <v>6</v>
      </c>
      <c r="AE318" t="str">
        <f>IFERROR(F318&amp;"*"&amp;ROUND(L318*(G318/$AN318)/VLOOKUP(F318,商品!$A$4:$D$67,4,FALSE),0),"")</f>
        <v/>
      </c>
      <c r="AF318" t="str">
        <f>IFERROR(H318&amp;"*"&amp;ROUND(L318*(I318/$AN318)/VLOOKUP(H318,商品!$A$4:$D$67,4,FALSE),0),"")</f>
        <v/>
      </c>
      <c r="AG318" t="str">
        <f>IFERROR(J318&amp;"*"&amp;ROUND(L318*(K318/$AN318)/VLOOKUP(J318,商品!$A$4:$D$67,4,FALSE),0),"")</f>
        <v/>
      </c>
      <c r="AH318" t="str">
        <f>IFERROR(M318&amp;"*"&amp;ROUND(S318*(N318/$AO318)/VLOOKUP(M318,职业!$A$3:$E$16,4,FALSE),0),"")</f>
        <v/>
      </c>
      <c r="AI318" t="str">
        <f>IFERROR(O318&amp;"*"&amp;ROUND(S318*(P318/$AO318)/VLOOKUP(O318,职业!$A$3:$E$16,4,FALSE),0),"")</f>
        <v/>
      </c>
      <c r="AK318" t="str">
        <f>IFERROR(T318&amp;"*"&amp;ROUND(X318*(U318/$AP318)/VLOOKUP(T318,商品!$A$4:$D$67,4,FALSE),0),"")</f>
        <v/>
      </c>
      <c r="AL318" t="str">
        <f>IFERROR(V318&amp;"*"&amp;ROUND(X318*(W318/$AP318)/VLOOKUP(V318,商品!$A$4:$D$67,4,FALSE),0),"")</f>
        <v/>
      </c>
      <c r="AN318">
        <f t="shared" si="37"/>
        <v>0</v>
      </c>
      <c r="AO318">
        <f t="shared" si="38"/>
        <v>0</v>
      </c>
      <c r="AP318">
        <f t="shared" si="39"/>
        <v>0</v>
      </c>
    </row>
    <row r="319" customHeight="1" spans="1:42">
      <c r="A319" s="18" t="s">
        <v>345</v>
      </c>
      <c r="C319" s="18">
        <v>7</v>
      </c>
      <c r="D319" s="1" t="s">
        <v>293</v>
      </c>
      <c r="E319" s="1" t="s">
        <v>227</v>
      </c>
      <c r="L319" s="1">
        <f>IFERROR(VLOOKUP($D319&amp;$C319,生产方式定位!$A$2:$E$38,2,FALSE)+VLOOKUP($E319&amp;$C319,生产方式定位!$F$3:$J$38,2,FALSE),0)</f>
        <v>0</v>
      </c>
      <c r="S319" s="1">
        <f>IFERROR(VLOOKUP($D319&amp;$C319,生产方式定位!$A$2:$E$38,3,FALSE)+VLOOKUP($E319&amp;$C319,生产方式定位!$F$3:$J$38,3,FALSE),0)</f>
        <v>0</v>
      </c>
      <c r="X319" s="1">
        <f>IFERROR(VLOOKUP($D319&amp;$C319,生产方式定位!$A$2:$E$38,5,FALSE)+VLOOKUP($E319&amp;$C319,生产方式定位!$F$3:$J$38,5,FALSE),"错误")</f>
        <v>0</v>
      </c>
      <c r="Y319" s="27" t="str">
        <f t="shared" si="32"/>
        <v/>
      </c>
      <c r="Z319" s="37" t="str">
        <f t="shared" si="33"/>
        <v/>
      </c>
      <c r="AA319" s="37" t="str">
        <f t="shared" si="34"/>
        <v/>
      </c>
      <c r="AB319" s="28" t="str">
        <f t="shared" si="35"/>
        <v/>
      </c>
      <c r="AC319" s="37"/>
      <c r="AD319" s="38">
        <f t="shared" si="36"/>
        <v>7</v>
      </c>
      <c r="AE319" t="str">
        <f>IFERROR(F319&amp;"*"&amp;ROUND(L319*(G319/$AN319)/VLOOKUP(F319,商品!$A$4:$D$67,4,FALSE),0),"")</f>
        <v/>
      </c>
      <c r="AF319" t="str">
        <f>IFERROR(H319&amp;"*"&amp;ROUND(L319*(I319/$AN319)/VLOOKUP(H319,商品!$A$4:$D$67,4,FALSE),0),"")</f>
        <v/>
      </c>
      <c r="AG319" t="str">
        <f>IFERROR(J319&amp;"*"&amp;ROUND(L319*(K319/$AN319)/VLOOKUP(J319,商品!$A$4:$D$67,4,FALSE),0),"")</f>
        <v/>
      </c>
      <c r="AH319" t="str">
        <f>IFERROR(M319&amp;"*"&amp;ROUND(S319*(N319/$AO319)/VLOOKUP(M319,职业!$A$3:$E$16,4,FALSE),0),"")</f>
        <v/>
      </c>
      <c r="AI319" t="str">
        <f>IFERROR(O319&amp;"*"&amp;ROUND(S319*(P319/$AO319)/VLOOKUP(O319,职业!$A$3:$E$16,4,FALSE),0),"")</f>
        <v/>
      </c>
      <c r="AK319" t="str">
        <f>IFERROR(T319&amp;"*"&amp;ROUND(X319*(U319/$AP319)/VLOOKUP(T319,商品!$A$4:$D$67,4,FALSE),0),"")</f>
        <v/>
      </c>
      <c r="AL319" t="str">
        <f>IFERROR(V319&amp;"*"&amp;ROUND(X319*(W319/$AP319)/VLOOKUP(V319,商品!$A$4:$D$67,4,FALSE),0),"")</f>
        <v/>
      </c>
      <c r="AN319">
        <f t="shared" si="37"/>
        <v>0</v>
      </c>
      <c r="AO319">
        <f t="shared" si="38"/>
        <v>0</v>
      </c>
      <c r="AP319">
        <f t="shared" si="39"/>
        <v>0</v>
      </c>
    </row>
    <row r="320" customHeight="1" spans="1:42">
      <c r="A320" s="18" t="s">
        <v>345</v>
      </c>
      <c r="C320" s="18">
        <v>8</v>
      </c>
      <c r="D320" s="1" t="s">
        <v>293</v>
      </c>
      <c r="E320" s="1" t="s">
        <v>227</v>
      </c>
      <c r="L320" s="1">
        <f>IFERROR(VLOOKUP($D320&amp;$C320,生产方式定位!$A$2:$E$38,2,FALSE)+VLOOKUP($E320&amp;$C320,生产方式定位!$F$3:$J$38,2,FALSE),0)</f>
        <v>0</v>
      </c>
      <c r="S320" s="1">
        <f>IFERROR(VLOOKUP($D320&amp;$C320,生产方式定位!$A$2:$E$38,3,FALSE)+VLOOKUP($E320&amp;$C320,生产方式定位!$F$3:$J$38,3,FALSE),0)</f>
        <v>0</v>
      </c>
      <c r="X320" s="1">
        <f>IFERROR(VLOOKUP($D320&amp;$C320,生产方式定位!$A$2:$E$38,5,FALSE)+VLOOKUP($E320&amp;$C320,生产方式定位!$F$3:$J$38,5,FALSE),"错误")</f>
        <v>0</v>
      </c>
      <c r="Y320" s="27" t="str">
        <f t="shared" si="32"/>
        <v/>
      </c>
      <c r="Z320" s="37" t="str">
        <f t="shared" si="33"/>
        <v/>
      </c>
      <c r="AA320" s="37" t="str">
        <f t="shared" si="34"/>
        <v/>
      </c>
      <c r="AB320" s="28" t="str">
        <f t="shared" si="35"/>
        <v/>
      </c>
      <c r="AC320" s="37"/>
      <c r="AD320" s="38">
        <f t="shared" si="36"/>
        <v>8</v>
      </c>
      <c r="AE320" t="str">
        <f>IFERROR(F320&amp;"*"&amp;ROUND(L320*(G320/$AN320)/VLOOKUP(F320,商品!$A$4:$D$67,4,FALSE),0),"")</f>
        <v/>
      </c>
      <c r="AF320" t="str">
        <f>IFERROR(H320&amp;"*"&amp;ROUND(L320*(I320/$AN320)/VLOOKUP(H320,商品!$A$4:$D$67,4,FALSE),0),"")</f>
        <v/>
      </c>
      <c r="AG320" t="str">
        <f>IFERROR(J320&amp;"*"&amp;ROUND(L320*(K320/$AN320)/VLOOKUP(J320,商品!$A$4:$D$67,4,FALSE),0),"")</f>
        <v/>
      </c>
      <c r="AH320" t="str">
        <f>IFERROR(M320&amp;"*"&amp;ROUND(S320*(N320/$AO320)/VLOOKUP(M320,职业!$A$3:$E$16,4,FALSE),0),"")</f>
        <v/>
      </c>
      <c r="AI320" t="str">
        <f>IFERROR(O320&amp;"*"&amp;ROUND(S320*(P320/$AO320)/VLOOKUP(O320,职业!$A$3:$E$16,4,FALSE),0),"")</f>
        <v/>
      </c>
      <c r="AK320" t="str">
        <f>IFERROR(T320&amp;"*"&amp;ROUND(X320*(U320/$AP320)/VLOOKUP(T320,商品!$A$4:$D$67,4,FALSE),0),"")</f>
        <v/>
      </c>
      <c r="AL320" t="str">
        <f>IFERROR(V320&amp;"*"&amp;ROUND(X320*(W320/$AP320)/VLOOKUP(V320,商品!$A$4:$D$67,4,FALSE),0),"")</f>
        <v/>
      </c>
      <c r="AN320">
        <f t="shared" si="37"/>
        <v>0</v>
      </c>
      <c r="AO320">
        <f t="shared" si="38"/>
        <v>0</v>
      </c>
      <c r="AP320">
        <f t="shared" si="39"/>
        <v>0</v>
      </c>
    </row>
    <row r="321" customHeight="1" spans="1:42">
      <c r="A321" s="5" t="s">
        <v>347</v>
      </c>
      <c r="C321" s="5">
        <v>1</v>
      </c>
      <c r="D321" s="1" t="s">
        <v>240</v>
      </c>
      <c r="E321" s="1" t="s">
        <v>224</v>
      </c>
      <c r="L321" s="1">
        <f>IFERROR(VLOOKUP($D321&amp;$C321,生产方式定位!$A$2:$E$38,2,FALSE)+VLOOKUP($E321&amp;$C321,生产方式定位!$F$3:$J$38,2,FALSE),0)</f>
        <v>0</v>
      </c>
      <c r="S321" s="1">
        <f>IFERROR(VLOOKUP($D321&amp;$C321,生产方式定位!$A$2:$E$38,3,FALSE)+VLOOKUP($E321&amp;$C321,生产方式定位!$F$3:$J$38,3,FALSE),0)</f>
        <v>8000</v>
      </c>
      <c r="X321" s="1">
        <f>IFERROR(VLOOKUP($D321&amp;$C321,生产方式定位!$A$2:$E$38,5,FALSE)+VLOOKUP($E321&amp;$C321,生产方式定位!$F$3:$J$38,5,FALSE),"错误")</f>
        <v>4000</v>
      </c>
      <c r="Y321" s="27" t="str">
        <f t="shared" si="32"/>
        <v/>
      </c>
      <c r="Z321" s="37" t="str">
        <f t="shared" si="33"/>
        <v/>
      </c>
      <c r="AA321" s="37" t="str">
        <f t="shared" si="34"/>
        <v/>
      </c>
      <c r="AB321" s="28">
        <f t="shared" si="35"/>
        <v>0</v>
      </c>
      <c r="AC321" s="37"/>
      <c r="AD321" s="38">
        <f t="shared" si="36"/>
        <v>1</v>
      </c>
      <c r="AE321" t="str">
        <f>IFERROR(F321&amp;"*"&amp;ROUND(L321*(G321/$AN321)/VLOOKUP(F321,商品!$A$4:$D$67,4,FALSE),0),"")</f>
        <v/>
      </c>
      <c r="AF321" t="str">
        <f>IFERROR(H321&amp;"*"&amp;ROUND(L321*(I321/$AN321)/VLOOKUP(H321,商品!$A$4:$D$67,4,FALSE),0),"")</f>
        <v/>
      </c>
      <c r="AG321" t="str">
        <f>IFERROR(J321&amp;"*"&amp;ROUND(L321*(K321/$AN321)/VLOOKUP(J321,商品!$A$4:$D$67,4,FALSE),0),"")</f>
        <v/>
      </c>
      <c r="AH321" t="str">
        <f>IFERROR(M321&amp;"*"&amp;ROUND(S321*(N321/$AO321)/VLOOKUP(M321,职业!$A$3:$E$16,4,FALSE),0),"")</f>
        <v/>
      </c>
      <c r="AI321" t="str">
        <f>IFERROR(O321&amp;"*"&amp;ROUND(S321*(P321/$AO321)/VLOOKUP(O321,职业!$A$3:$E$16,4,FALSE),0),"")</f>
        <v/>
      </c>
      <c r="AK321" t="str">
        <f>IFERROR(T321&amp;"*"&amp;ROUND(X321*(U321/$AP321)/VLOOKUP(T321,商品!$A$4:$D$67,4,FALSE),0),"")</f>
        <v/>
      </c>
      <c r="AL321" t="str">
        <f>IFERROR(V321&amp;"*"&amp;ROUND(X321*(W321/$AP321)/VLOOKUP(V321,商品!$A$4:$D$67,4,FALSE),0),"")</f>
        <v/>
      </c>
      <c r="AN321">
        <f t="shared" si="37"/>
        <v>0</v>
      </c>
      <c r="AO321">
        <f t="shared" si="38"/>
        <v>0</v>
      </c>
      <c r="AP321">
        <f t="shared" si="39"/>
        <v>0</v>
      </c>
    </row>
    <row r="322" customHeight="1" spans="1:42">
      <c r="A322" s="5" t="s">
        <v>347</v>
      </c>
      <c r="C322" s="5">
        <v>2</v>
      </c>
      <c r="D322" s="1" t="s">
        <v>240</v>
      </c>
      <c r="E322" s="1" t="s">
        <v>224</v>
      </c>
      <c r="L322" s="1">
        <f>IFERROR(VLOOKUP($D322&amp;$C322,生产方式定位!$A$2:$E$38,2,FALSE)+VLOOKUP($E322&amp;$C322,生产方式定位!$F$3:$J$38,2,FALSE),0)</f>
        <v>11000</v>
      </c>
      <c r="S322" s="1">
        <f>IFERROR(VLOOKUP($D322&amp;$C322,生产方式定位!$A$2:$E$38,3,FALSE)+VLOOKUP($E322&amp;$C322,生产方式定位!$F$3:$J$38,3,FALSE),0)</f>
        <v>8700</v>
      </c>
      <c r="X322" s="1">
        <f>IFERROR(VLOOKUP($D322&amp;$C322,生产方式定位!$A$2:$E$38,5,FALSE)+VLOOKUP($E322&amp;$C322,生产方式定位!$F$3:$J$38,5,FALSE),"错误")</f>
        <v>9922</v>
      </c>
      <c r="Y322" s="27" t="str">
        <f t="shared" si="32"/>
        <v/>
      </c>
      <c r="Z322" s="37" t="str">
        <f t="shared" si="33"/>
        <v/>
      </c>
      <c r="AA322" s="37" t="str">
        <f t="shared" si="34"/>
        <v/>
      </c>
      <c r="AB322" s="28">
        <f t="shared" si="35"/>
        <v>1.11</v>
      </c>
      <c r="AC322" s="37"/>
      <c r="AD322" s="38">
        <f t="shared" si="36"/>
        <v>2</v>
      </c>
      <c r="AE322" t="str">
        <f>IFERROR(F322&amp;"*"&amp;ROUND(L322*(G322/$AN322)/VLOOKUP(F322,商品!$A$4:$D$67,4,FALSE),0),"")</f>
        <v/>
      </c>
      <c r="AF322" t="str">
        <f>IFERROR(H322&amp;"*"&amp;ROUND(L322*(I322/$AN322)/VLOOKUP(H322,商品!$A$4:$D$67,4,FALSE),0),"")</f>
        <v/>
      </c>
      <c r="AG322" t="str">
        <f>IFERROR(J322&amp;"*"&amp;ROUND(L322*(K322/$AN322)/VLOOKUP(J322,商品!$A$4:$D$67,4,FALSE),0),"")</f>
        <v/>
      </c>
      <c r="AH322" t="str">
        <f>IFERROR(M322&amp;"*"&amp;ROUND(S322*(N322/$AO322)/VLOOKUP(M322,职业!$A$3:$E$16,4,FALSE),0),"")</f>
        <v/>
      </c>
      <c r="AI322" t="str">
        <f>IFERROR(O322&amp;"*"&amp;ROUND(S322*(P322/$AO322)/VLOOKUP(O322,职业!$A$3:$E$16,4,FALSE),0),"")</f>
        <v/>
      </c>
      <c r="AK322" t="str">
        <f>IFERROR(T322&amp;"*"&amp;ROUND(X322*(U322/$AP322)/VLOOKUP(T322,商品!$A$4:$D$67,4,FALSE),0),"")</f>
        <v/>
      </c>
      <c r="AL322" t="str">
        <f>IFERROR(V322&amp;"*"&amp;ROUND(X322*(W322/$AP322)/VLOOKUP(V322,商品!$A$4:$D$67,4,FALSE),0),"")</f>
        <v/>
      </c>
      <c r="AN322">
        <f t="shared" si="37"/>
        <v>0</v>
      </c>
      <c r="AO322">
        <f t="shared" si="38"/>
        <v>0</v>
      </c>
      <c r="AP322">
        <f t="shared" si="39"/>
        <v>0</v>
      </c>
    </row>
    <row r="323" customHeight="1" spans="1:42">
      <c r="A323" s="5" t="s">
        <v>347</v>
      </c>
      <c r="C323" s="5">
        <v>3</v>
      </c>
      <c r="D323" s="1" t="s">
        <v>240</v>
      </c>
      <c r="E323" s="1" t="s">
        <v>224</v>
      </c>
      <c r="L323" s="1">
        <f>IFERROR(VLOOKUP($D323&amp;$C323,生产方式定位!$A$2:$E$38,2,FALSE)+VLOOKUP($E323&amp;$C323,生产方式定位!$F$3:$J$38,2,FALSE),0)</f>
        <v>11000</v>
      </c>
      <c r="S323" s="1">
        <f>IFERROR(VLOOKUP($D323&amp;$C323,生产方式定位!$A$2:$E$38,3,FALSE)+VLOOKUP($E323&amp;$C323,生产方式定位!$F$3:$J$38,3,FALSE),0)</f>
        <v>9400</v>
      </c>
      <c r="X323" s="1">
        <f>IFERROR(VLOOKUP($D323&amp;$C323,生产方式定位!$A$2:$E$38,5,FALSE)+VLOOKUP($E323&amp;$C323,生产方式定位!$F$3:$J$38,5,FALSE),"错误")</f>
        <v>10488</v>
      </c>
      <c r="Y323" s="27" t="str">
        <f t="shared" si="32"/>
        <v/>
      </c>
      <c r="Z323" s="37" t="str">
        <f t="shared" si="33"/>
        <v/>
      </c>
      <c r="AA323" s="37" t="str">
        <f t="shared" si="34"/>
        <v/>
      </c>
      <c r="AB323" s="28">
        <f t="shared" si="35"/>
        <v>1.05</v>
      </c>
      <c r="AC323" s="37"/>
      <c r="AD323" s="38">
        <f t="shared" si="36"/>
        <v>3</v>
      </c>
      <c r="AE323" t="str">
        <f>IFERROR(F323&amp;"*"&amp;ROUND(L323*(G323/$AN323)/VLOOKUP(F323,商品!$A$4:$D$67,4,FALSE),0),"")</f>
        <v/>
      </c>
      <c r="AF323" t="str">
        <f>IFERROR(H323&amp;"*"&amp;ROUND(L323*(I323/$AN323)/VLOOKUP(H323,商品!$A$4:$D$67,4,FALSE),0),"")</f>
        <v/>
      </c>
      <c r="AG323" t="str">
        <f>IFERROR(J323&amp;"*"&amp;ROUND(L323*(K323/$AN323)/VLOOKUP(J323,商品!$A$4:$D$67,4,FALSE),0),"")</f>
        <v/>
      </c>
      <c r="AH323" t="str">
        <f>IFERROR(M323&amp;"*"&amp;ROUND(S323*(N323/$AO323)/VLOOKUP(M323,职业!$A$3:$E$16,4,FALSE),0),"")</f>
        <v/>
      </c>
      <c r="AI323" t="str">
        <f>IFERROR(O323&amp;"*"&amp;ROUND(S323*(P323/$AO323)/VLOOKUP(O323,职业!$A$3:$E$16,4,FALSE),0),"")</f>
        <v/>
      </c>
      <c r="AK323" t="str">
        <f>IFERROR(T323&amp;"*"&amp;ROUND(X323*(U323/$AP323)/VLOOKUP(T323,商品!$A$4:$D$67,4,FALSE),0),"")</f>
        <v/>
      </c>
      <c r="AL323" t="str">
        <f>IFERROR(V323&amp;"*"&amp;ROUND(X323*(W323/$AP323)/VLOOKUP(V323,商品!$A$4:$D$67,4,FALSE),0),"")</f>
        <v/>
      </c>
      <c r="AN323">
        <f t="shared" si="37"/>
        <v>0</v>
      </c>
      <c r="AO323">
        <f t="shared" si="38"/>
        <v>0</v>
      </c>
      <c r="AP323">
        <f t="shared" si="39"/>
        <v>0</v>
      </c>
    </row>
    <row r="324" customHeight="1" spans="1:42">
      <c r="A324" s="5" t="s">
        <v>347</v>
      </c>
      <c r="C324" s="5">
        <v>4</v>
      </c>
      <c r="D324" s="1" t="s">
        <v>240</v>
      </c>
      <c r="E324" s="1" t="s">
        <v>224</v>
      </c>
      <c r="L324" s="1">
        <f>IFERROR(VLOOKUP($D324&amp;$C324,生产方式定位!$A$2:$E$38,2,FALSE)+VLOOKUP($E324&amp;$C324,生产方式定位!$F$3:$J$38,2,FALSE),0)</f>
        <v>11000</v>
      </c>
      <c r="S324" s="1">
        <f>IFERROR(VLOOKUP($D324&amp;$C324,生产方式定位!$A$2:$E$38,3,FALSE)+VLOOKUP($E324&amp;$C324,生产方式定位!$F$3:$J$38,3,FALSE),0)</f>
        <v>10100</v>
      </c>
      <c r="X324" s="1">
        <f>IFERROR(VLOOKUP($D324&amp;$C324,生产方式定位!$A$2:$E$38,5,FALSE)+VLOOKUP($E324&amp;$C324,生产方式定位!$F$3:$J$38,5,FALSE),"错误")</f>
        <v>11198</v>
      </c>
      <c r="Y324" s="27" t="str">
        <f t="shared" si="32"/>
        <v/>
      </c>
      <c r="Z324" s="37" t="str">
        <f t="shared" si="33"/>
        <v/>
      </c>
      <c r="AA324" s="37" t="str">
        <f t="shared" si="34"/>
        <v/>
      </c>
      <c r="AB324" s="28">
        <f t="shared" si="35"/>
        <v>0.98</v>
      </c>
      <c r="AC324" s="37"/>
      <c r="AD324" s="38">
        <f t="shared" si="36"/>
        <v>4</v>
      </c>
      <c r="AE324" t="str">
        <f>IFERROR(F324&amp;"*"&amp;ROUND(L324*(G324/$AN324)/VLOOKUP(F324,商品!$A$4:$D$67,4,FALSE),0),"")</f>
        <v/>
      </c>
      <c r="AF324" t="str">
        <f>IFERROR(H324&amp;"*"&amp;ROUND(L324*(I324/$AN324)/VLOOKUP(H324,商品!$A$4:$D$67,4,FALSE),0),"")</f>
        <v/>
      </c>
      <c r="AG324" t="str">
        <f>IFERROR(J324&amp;"*"&amp;ROUND(L324*(K324/$AN324)/VLOOKUP(J324,商品!$A$4:$D$67,4,FALSE),0),"")</f>
        <v/>
      </c>
      <c r="AH324" t="str">
        <f>IFERROR(M324&amp;"*"&amp;ROUND(S324*(N324/$AO324)/VLOOKUP(M324,职业!$A$3:$E$16,4,FALSE),0),"")</f>
        <v/>
      </c>
      <c r="AI324" t="str">
        <f>IFERROR(O324&amp;"*"&amp;ROUND(S324*(P324/$AO324)/VLOOKUP(O324,职业!$A$3:$E$16,4,FALSE),0),"")</f>
        <v/>
      </c>
      <c r="AK324" t="str">
        <f>IFERROR(T324&amp;"*"&amp;ROUND(X324*(U324/$AP324)/VLOOKUP(T324,商品!$A$4:$D$67,4,FALSE),0),"")</f>
        <v/>
      </c>
      <c r="AL324" t="str">
        <f>IFERROR(V324&amp;"*"&amp;ROUND(X324*(W324/$AP324)/VLOOKUP(V324,商品!$A$4:$D$67,4,FALSE),0),"")</f>
        <v/>
      </c>
      <c r="AN324">
        <f t="shared" si="37"/>
        <v>0</v>
      </c>
      <c r="AO324">
        <f t="shared" si="38"/>
        <v>0</v>
      </c>
      <c r="AP324">
        <f t="shared" si="39"/>
        <v>0</v>
      </c>
    </row>
    <row r="325" customHeight="1" spans="1:42">
      <c r="A325" s="5" t="s">
        <v>347</v>
      </c>
      <c r="C325" s="5">
        <v>5</v>
      </c>
      <c r="D325" s="1" t="s">
        <v>240</v>
      </c>
      <c r="E325" s="1" t="s">
        <v>224</v>
      </c>
      <c r="L325" s="1">
        <f>IFERROR(VLOOKUP($D325&amp;$C325,生产方式定位!$A$2:$E$38,2,FALSE)+VLOOKUP($E325&amp;$C325,生产方式定位!$F$3:$J$38,2,FALSE),0)</f>
        <v>11000</v>
      </c>
      <c r="S325" s="1">
        <f>IFERROR(VLOOKUP($D325&amp;$C325,生产方式定位!$A$2:$E$38,3,FALSE)+VLOOKUP($E325&amp;$C325,生产方式定位!$F$3:$J$38,3,FALSE),0)</f>
        <v>10800</v>
      </c>
      <c r="X325" s="1">
        <f>IFERROR(VLOOKUP($D325&amp;$C325,生产方式定位!$A$2:$E$38,5,FALSE)+VLOOKUP($E325&amp;$C325,生产方式定位!$F$3:$J$38,5,FALSE),"错误")</f>
        <v>12100</v>
      </c>
      <c r="Y325" s="27" t="str">
        <f t="shared" ref="Y325:Y388" si="40">IF(AE325="","",AE325)&amp;IF(AF325="","",","&amp;AF325)&amp;IF(AG325="","",","&amp;AG325)</f>
        <v/>
      </c>
      <c r="Z325" s="37" t="str">
        <f t="shared" ref="Z325:Z388" si="41">IF(AH325="","",AH325)&amp;IF(AI325="","",","&amp;AI325)</f>
        <v/>
      </c>
      <c r="AA325" s="37" t="str">
        <f t="shared" ref="AA325:AA388" si="42">IF(AK325="","",AK325)&amp;IF(AL325="","",","&amp;AL325)</f>
        <v/>
      </c>
      <c r="AB325" s="28">
        <f t="shared" ref="AB325:AB388" si="43">IFERROR(ROUND(L325/X325,2),"")</f>
        <v>0.91</v>
      </c>
      <c r="AC325" s="37"/>
      <c r="AD325" s="38">
        <f t="shared" ref="AD325:AD388" si="44">C325</f>
        <v>5</v>
      </c>
      <c r="AE325" t="str">
        <f>IFERROR(F325&amp;"*"&amp;ROUND(L325*(G325/$AN325)/VLOOKUP(F325,商品!$A$4:$D$67,4,FALSE),0),"")</f>
        <v/>
      </c>
      <c r="AF325" t="str">
        <f>IFERROR(H325&amp;"*"&amp;ROUND(L325*(I325/$AN325)/VLOOKUP(H325,商品!$A$4:$D$67,4,FALSE),0),"")</f>
        <v/>
      </c>
      <c r="AG325" t="str">
        <f>IFERROR(J325&amp;"*"&amp;ROUND(L325*(K325/$AN325)/VLOOKUP(J325,商品!$A$4:$D$67,4,FALSE),0),"")</f>
        <v/>
      </c>
      <c r="AH325" t="str">
        <f>IFERROR(M325&amp;"*"&amp;ROUND(S325*(N325/$AO325)/VLOOKUP(M325,职业!$A$3:$E$16,4,FALSE),0),"")</f>
        <v/>
      </c>
      <c r="AI325" t="str">
        <f>IFERROR(O325&amp;"*"&amp;ROUND(S325*(P325/$AO325)/VLOOKUP(O325,职业!$A$3:$E$16,4,FALSE),0),"")</f>
        <v/>
      </c>
      <c r="AK325" t="str">
        <f>IFERROR(T325&amp;"*"&amp;ROUND(X325*(U325/$AP325)/VLOOKUP(T325,商品!$A$4:$D$67,4,FALSE),0),"")</f>
        <v/>
      </c>
      <c r="AL325" t="str">
        <f>IFERROR(V325&amp;"*"&amp;ROUND(X325*(W325/$AP325)/VLOOKUP(V325,商品!$A$4:$D$67,4,FALSE),0),"")</f>
        <v/>
      </c>
      <c r="AN325">
        <f t="shared" si="37"/>
        <v>0</v>
      </c>
      <c r="AO325">
        <f t="shared" si="38"/>
        <v>0</v>
      </c>
      <c r="AP325">
        <f t="shared" si="39"/>
        <v>0</v>
      </c>
    </row>
    <row r="326" customHeight="1" spans="1:42">
      <c r="A326" s="18" t="s">
        <v>348</v>
      </c>
      <c r="C326" s="18">
        <v>1</v>
      </c>
      <c r="D326" s="1" t="s">
        <v>240</v>
      </c>
      <c r="E326" s="1" t="s">
        <v>226</v>
      </c>
      <c r="L326" s="1">
        <f>IFERROR(VLOOKUP($D326&amp;$C326,生产方式定位!$A$2:$E$38,2,FALSE)+VLOOKUP($E326&amp;$C326,生产方式定位!$F$3:$J$38,2,FALSE),0)</f>
        <v>0</v>
      </c>
      <c r="S326" s="1">
        <f>IFERROR(VLOOKUP($D326&amp;$C326,生产方式定位!$A$2:$E$38,3,FALSE)+VLOOKUP($E326&amp;$C326,生产方式定位!$F$3:$J$38,3,FALSE),0)</f>
        <v>8000</v>
      </c>
      <c r="X326" s="1">
        <f>IFERROR(VLOOKUP($D326&amp;$C326,生产方式定位!$A$2:$E$38,5,FALSE)+VLOOKUP($E326&amp;$C326,生产方式定位!$F$3:$J$38,5,FALSE),"错误")</f>
        <v>4000</v>
      </c>
      <c r="Y326" s="27" t="str">
        <f t="shared" si="40"/>
        <v/>
      </c>
      <c r="Z326" s="37" t="str">
        <f t="shared" si="41"/>
        <v/>
      </c>
      <c r="AA326" s="37" t="str">
        <f t="shared" si="42"/>
        <v/>
      </c>
      <c r="AB326" s="28">
        <f t="shared" si="43"/>
        <v>0</v>
      </c>
      <c r="AC326" s="37"/>
      <c r="AD326" s="38">
        <f t="shared" si="44"/>
        <v>1</v>
      </c>
      <c r="AE326" t="str">
        <f>IFERROR(F326&amp;"*"&amp;ROUND(L326*(G326/$AN326)/VLOOKUP(F326,商品!$A$4:$D$67,4,FALSE),0),"")</f>
        <v/>
      </c>
      <c r="AF326" t="str">
        <f>IFERROR(H326&amp;"*"&amp;ROUND(L326*(I326/$AN326)/VLOOKUP(H326,商品!$A$4:$D$67,4,FALSE),0),"")</f>
        <v/>
      </c>
      <c r="AG326" t="str">
        <f>IFERROR(J326&amp;"*"&amp;ROUND(L326*(K326/$AN326)/VLOOKUP(J326,商品!$A$4:$D$67,4,FALSE),0),"")</f>
        <v/>
      </c>
      <c r="AH326" t="str">
        <f>IFERROR(M326&amp;"*"&amp;ROUND(S326*(N326/$AO326)/VLOOKUP(M326,职业!$A$3:$E$16,4,FALSE),0),"")</f>
        <v/>
      </c>
      <c r="AI326" t="str">
        <f>IFERROR(O326&amp;"*"&amp;ROUND(S326*(P326/$AO326)/VLOOKUP(O326,职业!$A$3:$E$16,4,FALSE),0),"")</f>
        <v/>
      </c>
      <c r="AK326" t="str">
        <f>IFERROR(T326&amp;"*"&amp;ROUND(X326*(U326/$AP326)/VLOOKUP(T326,商品!$A$4:$D$67,4,FALSE),0),"")</f>
        <v/>
      </c>
      <c r="AL326" t="str">
        <f>IFERROR(V326&amp;"*"&amp;ROUND(X326*(W326/$AP326)/VLOOKUP(V326,商品!$A$4:$D$67,4,FALSE),0),"")</f>
        <v/>
      </c>
      <c r="AN326">
        <f t="shared" ref="AN326:AN389" si="45">G326+I326+K326</f>
        <v>0</v>
      </c>
      <c r="AO326">
        <f t="shared" ref="AO326:AO389" si="46">N326+P326+R326</f>
        <v>0</v>
      </c>
      <c r="AP326">
        <f t="shared" ref="AP326:AP389" si="47">U326+W326</f>
        <v>0</v>
      </c>
    </row>
    <row r="327" customHeight="1" spans="1:42">
      <c r="A327" s="18" t="s">
        <v>348</v>
      </c>
      <c r="C327" s="18">
        <v>2</v>
      </c>
      <c r="D327" s="1" t="s">
        <v>240</v>
      </c>
      <c r="E327" s="1" t="s">
        <v>226</v>
      </c>
      <c r="L327" s="1">
        <f>IFERROR(VLOOKUP($D327&amp;$C327,生产方式定位!$A$2:$E$38,2,FALSE)+VLOOKUP($E327&amp;$C327,生产方式定位!$F$3:$J$38,2,FALSE),0)</f>
        <v>12000</v>
      </c>
      <c r="S327" s="1">
        <f>IFERROR(VLOOKUP($D327&amp;$C327,生产方式定位!$A$2:$E$38,3,FALSE)+VLOOKUP($E327&amp;$C327,生产方式定位!$F$3:$J$38,3,FALSE),0)</f>
        <v>8300</v>
      </c>
      <c r="X327" s="1">
        <f>IFERROR(VLOOKUP($D327&amp;$C327,生产方式定位!$A$2:$E$38,5,FALSE)+VLOOKUP($E327&amp;$C327,生产方式定位!$F$3:$J$38,5,FALSE),"错误")</f>
        <v>10240</v>
      </c>
      <c r="Y327" s="27" t="str">
        <f t="shared" si="40"/>
        <v/>
      </c>
      <c r="Z327" s="37" t="str">
        <f t="shared" si="41"/>
        <v/>
      </c>
      <c r="AA327" s="37" t="str">
        <f t="shared" si="42"/>
        <v/>
      </c>
      <c r="AB327" s="28">
        <f t="shared" si="43"/>
        <v>1.17</v>
      </c>
      <c r="AC327" s="37"/>
      <c r="AD327" s="38">
        <f t="shared" si="44"/>
        <v>2</v>
      </c>
      <c r="AE327" t="str">
        <f>IFERROR(F327&amp;"*"&amp;ROUND(L327*(G327/$AN327)/VLOOKUP(F327,商品!$A$4:$D$67,4,FALSE),0),"")</f>
        <v/>
      </c>
      <c r="AF327" t="str">
        <f>IFERROR(H327&amp;"*"&amp;ROUND(L327*(I327/$AN327)/VLOOKUP(H327,商品!$A$4:$D$67,4,FALSE),0),"")</f>
        <v/>
      </c>
      <c r="AG327" t="str">
        <f>IFERROR(J327&amp;"*"&amp;ROUND(L327*(K327/$AN327)/VLOOKUP(J327,商品!$A$4:$D$67,4,FALSE),0),"")</f>
        <v/>
      </c>
      <c r="AH327" t="str">
        <f>IFERROR(M327&amp;"*"&amp;ROUND(S327*(N327/$AO327)/VLOOKUP(M327,职业!$A$3:$E$16,4,FALSE),0),"")</f>
        <v/>
      </c>
      <c r="AI327" t="str">
        <f>IFERROR(O327&amp;"*"&amp;ROUND(S327*(P327/$AO327)/VLOOKUP(O327,职业!$A$3:$E$16,4,FALSE),0),"")</f>
        <v/>
      </c>
      <c r="AK327" t="str">
        <f>IFERROR(T327&amp;"*"&amp;ROUND(X327*(U327/$AP327)/VLOOKUP(T327,商品!$A$4:$D$67,4,FALSE),0),"")</f>
        <v/>
      </c>
      <c r="AL327" t="str">
        <f>IFERROR(V327&amp;"*"&amp;ROUND(X327*(W327/$AP327)/VLOOKUP(V327,商品!$A$4:$D$67,4,FALSE),0),"")</f>
        <v/>
      </c>
      <c r="AN327">
        <f t="shared" si="45"/>
        <v>0</v>
      </c>
      <c r="AO327">
        <f t="shared" si="46"/>
        <v>0</v>
      </c>
      <c r="AP327">
        <f t="shared" si="47"/>
        <v>0</v>
      </c>
    </row>
    <row r="328" customHeight="1" spans="1:42">
      <c r="A328" s="18" t="s">
        <v>348</v>
      </c>
      <c r="C328" s="18">
        <v>3</v>
      </c>
      <c r="D328" s="1" t="s">
        <v>240</v>
      </c>
      <c r="E328" s="1" t="s">
        <v>226</v>
      </c>
      <c r="L328" s="1">
        <f>IFERROR(VLOOKUP($D328&amp;$C328,生产方式定位!$A$2:$E$38,2,FALSE)+VLOOKUP($E328&amp;$C328,生产方式定位!$F$3:$J$38,2,FALSE),0)</f>
        <v>12000</v>
      </c>
      <c r="S328" s="1">
        <f>IFERROR(VLOOKUP($D328&amp;$C328,生产方式定位!$A$2:$E$38,3,FALSE)+VLOOKUP($E328&amp;$C328,生产方式定位!$F$3:$J$38,3,FALSE),0)</f>
        <v>8600</v>
      </c>
      <c r="X328" s="1">
        <f>IFERROR(VLOOKUP($D328&amp;$C328,生产方式定位!$A$2:$E$38,5,FALSE)+VLOOKUP($E328&amp;$C328,生产方式定位!$F$3:$J$38,5,FALSE),"错误")</f>
        <v>10560</v>
      </c>
      <c r="Y328" s="27" t="str">
        <f t="shared" si="40"/>
        <v/>
      </c>
      <c r="Z328" s="37" t="str">
        <f t="shared" si="41"/>
        <v/>
      </c>
      <c r="AA328" s="37" t="str">
        <f t="shared" si="42"/>
        <v/>
      </c>
      <c r="AB328" s="28">
        <f t="shared" si="43"/>
        <v>1.14</v>
      </c>
      <c r="AC328" s="37"/>
      <c r="AD328" s="38">
        <f t="shared" si="44"/>
        <v>3</v>
      </c>
      <c r="AE328" t="str">
        <f>IFERROR(F328&amp;"*"&amp;ROUND(L328*(G328/$AN328)/VLOOKUP(F328,商品!$A$4:$D$67,4,FALSE),0),"")</f>
        <v/>
      </c>
      <c r="AF328" t="str">
        <f>IFERROR(H328&amp;"*"&amp;ROUND(L328*(I328/$AN328)/VLOOKUP(H328,商品!$A$4:$D$67,4,FALSE),0),"")</f>
        <v/>
      </c>
      <c r="AG328" t="str">
        <f>IFERROR(J328&amp;"*"&amp;ROUND(L328*(K328/$AN328)/VLOOKUP(J328,商品!$A$4:$D$67,4,FALSE),0),"")</f>
        <v/>
      </c>
      <c r="AH328" t="str">
        <f>IFERROR(M328&amp;"*"&amp;ROUND(S328*(N328/$AO328)/VLOOKUP(M328,职业!$A$3:$E$16,4,FALSE),0),"")</f>
        <v/>
      </c>
      <c r="AI328" t="str">
        <f>IFERROR(O328&amp;"*"&amp;ROUND(S328*(P328/$AO328)/VLOOKUP(O328,职业!$A$3:$E$16,4,FALSE),0),"")</f>
        <v/>
      </c>
      <c r="AK328" t="str">
        <f>IFERROR(T328&amp;"*"&amp;ROUND(X328*(U328/$AP328)/VLOOKUP(T328,商品!$A$4:$D$67,4,FALSE),0),"")</f>
        <v/>
      </c>
      <c r="AL328" t="str">
        <f>IFERROR(V328&amp;"*"&amp;ROUND(X328*(W328/$AP328)/VLOOKUP(V328,商品!$A$4:$D$67,4,FALSE),0),"")</f>
        <v/>
      </c>
      <c r="AN328">
        <f t="shared" si="45"/>
        <v>0</v>
      </c>
      <c r="AO328">
        <f t="shared" si="46"/>
        <v>0</v>
      </c>
      <c r="AP328">
        <f t="shared" si="47"/>
        <v>0</v>
      </c>
    </row>
    <row r="329" customHeight="1" spans="1:42">
      <c r="A329" s="18" t="s">
        <v>348</v>
      </c>
      <c r="C329" s="18">
        <v>4</v>
      </c>
      <c r="D329" s="1" t="s">
        <v>240</v>
      </c>
      <c r="E329" s="1" t="s">
        <v>226</v>
      </c>
      <c r="L329" s="1">
        <f>IFERROR(VLOOKUP($D329&amp;$C329,生产方式定位!$A$2:$E$38,2,FALSE)+VLOOKUP($E329&amp;$C329,生产方式定位!$F$3:$J$38,2,FALSE),0)</f>
        <v>12000</v>
      </c>
      <c r="S329" s="1">
        <f>IFERROR(VLOOKUP($D329&amp;$C329,生产方式定位!$A$2:$E$38,3,FALSE)+VLOOKUP($E329&amp;$C329,生产方式定位!$F$3:$J$38,3,FALSE),0)</f>
        <v>8900</v>
      </c>
      <c r="X329" s="1">
        <f>IFERROR(VLOOKUP($D329&amp;$C329,生产方式定位!$A$2:$E$38,5,FALSE)+VLOOKUP($E329&amp;$C329,生产方式定位!$F$3:$J$38,5,FALSE),"错误")</f>
        <v>10960</v>
      </c>
      <c r="Y329" s="27" t="str">
        <f t="shared" si="40"/>
        <v/>
      </c>
      <c r="Z329" s="37" t="str">
        <f t="shared" si="41"/>
        <v/>
      </c>
      <c r="AA329" s="37" t="str">
        <f t="shared" si="42"/>
        <v/>
      </c>
      <c r="AB329" s="28">
        <f t="shared" si="43"/>
        <v>1.09</v>
      </c>
      <c r="AC329" s="37"/>
      <c r="AD329" s="38">
        <f t="shared" si="44"/>
        <v>4</v>
      </c>
      <c r="AE329" t="str">
        <f>IFERROR(F329&amp;"*"&amp;ROUND(L329*(G329/$AN329)/VLOOKUP(F329,商品!$A$4:$D$67,4,FALSE),0),"")</f>
        <v/>
      </c>
      <c r="AF329" t="str">
        <f>IFERROR(H329&amp;"*"&amp;ROUND(L329*(I329/$AN329)/VLOOKUP(H329,商品!$A$4:$D$67,4,FALSE),0),"")</f>
        <v/>
      </c>
      <c r="AG329" t="str">
        <f>IFERROR(J329&amp;"*"&amp;ROUND(L329*(K329/$AN329)/VLOOKUP(J329,商品!$A$4:$D$67,4,FALSE),0),"")</f>
        <v/>
      </c>
      <c r="AH329" t="str">
        <f>IFERROR(M329&amp;"*"&amp;ROUND(S329*(N329/$AO329)/VLOOKUP(M329,职业!$A$3:$E$16,4,FALSE),0),"")</f>
        <v/>
      </c>
      <c r="AI329" t="str">
        <f>IFERROR(O329&amp;"*"&amp;ROUND(S329*(P329/$AO329)/VLOOKUP(O329,职业!$A$3:$E$16,4,FALSE),0),"")</f>
        <v/>
      </c>
      <c r="AK329" t="str">
        <f>IFERROR(T329&amp;"*"&amp;ROUND(X329*(U329/$AP329)/VLOOKUP(T329,商品!$A$4:$D$67,4,FALSE),0),"")</f>
        <v/>
      </c>
      <c r="AL329" t="str">
        <f>IFERROR(V329&amp;"*"&amp;ROUND(X329*(W329/$AP329)/VLOOKUP(V329,商品!$A$4:$D$67,4,FALSE),0),"")</f>
        <v/>
      </c>
      <c r="AN329">
        <f t="shared" si="45"/>
        <v>0</v>
      </c>
      <c r="AO329">
        <f t="shared" si="46"/>
        <v>0</v>
      </c>
      <c r="AP329">
        <f t="shared" si="47"/>
        <v>0</v>
      </c>
    </row>
    <row r="330" customHeight="1" spans="1:42">
      <c r="A330" s="18" t="s">
        <v>348</v>
      </c>
      <c r="C330" s="18">
        <v>5</v>
      </c>
      <c r="D330" s="1" t="s">
        <v>240</v>
      </c>
      <c r="E330" s="1" t="s">
        <v>226</v>
      </c>
      <c r="L330" s="1">
        <f>IFERROR(VLOOKUP($D330&amp;$C330,生产方式定位!$A$2:$E$38,2,FALSE)+VLOOKUP($E330&amp;$C330,生产方式定位!$F$3:$J$38,2,FALSE),0)</f>
        <v>12000</v>
      </c>
      <c r="S330" s="1">
        <f>IFERROR(VLOOKUP($D330&amp;$C330,生产方式定位!$A$2:$E$38,3,FALSE)+VLOOKUP($E330&amp;$C330,生产方式定位!$F$3:$J$38,3,FALSE),0)</f>
        <v>9200</v>
      </c>
      <c r="X330" s="1">
        <f>IFERROR(VLOOKUP($D330&amp;$C330,生产方式定位!$A$2:$E$38,5,FALSE)+VLOOKUP($E330&amp;$C330,生产方式定位!$F$3:$J$38,5,FALSE),"错误")</f>
        <v>11440</v>
      </c>
      <c r="Y330" s="27" t="str">
        <f t="shared" si="40"/>
        <v/>
      </c>
      <c r="Z330" s="37" t="str">
        <f t="shared" si="41"/>
        <v/>
      </c>
      <c r="AA330" s="37" t="str">
        <f t="shared" si="42"/>
        <v/>
      </c>
      <c r="AB330" s="28">
        <f t="shared" si="43"/>
        <v>1.05</v>
      </c>
      <c r="AC330" s="37"/>
      <c r="AD330" s="38">
        <f t="shared" si="44"/>
        <v>5</v>
      </c>
      <c r="AE330" t="str">
        <f>IFERROR(F330&amp;"*"&amp;ROUND(L330*(G330/$AN330)/VLOOKUP(F330,商品!$A$4:$D$67,4,FALSE),0),"")</f>
        <v/>
      </c>
      <c r="AF330" t="str">
        <f>IFERROR(H330&amp;"*"&amp;ROUND(L330*(I330/$AN330)/VLOOKUP(H330,商品!$A$4:$D$67,4,FALSE),0),"")</f>
        <v/>
      </c>
      <c r="AG330" t="str">
        <f>IFERROR(J330&amp;"*"&amp;ROUND(L330*(K330/$AN330)/VLOOKUP(J330,商品!$A$4:$D$67,4,FALSE),0),"")</f>
        <v/>
      </c>
      <c r="AH330" t="str">
        <f>IFERROR(M330&amp;"*"&amp;ROUND(S330*(N330/$AO330)/VLOOKUP(M330,职业!$A$3:$E$16,4,FALSE),0),"")</f>
        <v/>
      </c>
      <c r="AI330" t="str">
        <f>IFERROR(O330&amp;"*"&amp;ROUND(S330*(P330/$AO330)/VLOOKUP(O330,职业!$A$3:$E$16,4,FALSE),0),"")</f>
        <v/>
      </c>
      <c r="AK330" t="str">
        <f>IFERROR(T330&amp;"*"&amp;ROUND(X330*(U330/$AP330)/VLOOKUP(T330,商品!$A$4:$D$67,4,FALSE),0),"")</f>
        <v/>
      </c>
      <c r="AL330" t="str">
        <f>IFERROR(V330&amp;"*"&amp;ROUND(X330*(W330/$AP330)/VLOOKUP(V330,商品!$A$4:$D$67,4,FALSE),0),"")</f>
        <v/>
      </c>
      <c r="AN330">
        <f t="shared" si="45"/>
        <v>0</v>
      </c>
      <c r="AO330">
        <f t="shared" si="46"/>
        <v>0</v>
      </c>
      <c r="AP330">
        <f t="shared" si="47"/>
        <v>0</v>
      </c>
    </row>
    <row r="331" customHeight="1" spans="1:42">
      <c r="A331" s="5" t="s">
        <v>348</v>
      </c>
      <c r="C331" s="5">
        <v>1</v>
      </c>
      <c r="D331" s="1" t="s">
        <v>240</v>
      </c>
      <c r="E331" s="1" t="s">
        <v>226</v>
      </c>
      <c r="L331" s="1">
        <f>IFERROR(VLOOKUP($D331&amp;$C331,生产方式定位!$A$2:$E$38,2,FALSE)+VLOOKUP($E331&amp;$C331,生产方式定位!$F$3:$J$38,2,FALSE),0)</f>
        <v>0</v>
      </c>
      <c r="S331" s="1">
        <f>IFERROR(VLOOKUP($D331&amp;$C331,生产方式定位!$A$2:$E$38,3,FALSE)+VLOOKUP($E331&amp;$C331,生产方式定位!$F$3:$J$38,3,FALSE),0)</f>
        <v>8000</v>
      </c>
      <c r="X331" s="1">
        <f>IFERROR(VLOOKUP($D331&amp;$C331,生产方式定位!$A$2:$E$38,5,FALSE)+VLOOKUP($E331&amp;$C331,生产方式定位!$F$3:$J$38,5,FALSE),"错误")</f>
        <v>4000</v>
      </c>
      <c r="Y331" s="27" t="str">
        <f t="shared" si="40"/>
        <v/>
      </c>
      <c r="Z331" s="37" t="str">
        <f t="shared" si="41"/>
        <v/>
      </c>
      <c r="AA331" s="37" t="str">
        <f t="shared" si="42"/>
        <v/>
      </c>
      <c r="AB331" s="28">
        <f t="shared" si="43"/>
        <v>0</v>
      </c>
      <c r="AC331" s="37"/>
      <c r="AD331" s="38">
        <f t="shared" si="44"/>
        <v>1</v>
      </c>
      <c r="AE331" t="str">
        <f>IFERROR(F331&amp;"*"&amp;ROUND(L331*(G331/$AN331)/VLOOKUP(F331,商品!$A$4:$D$67,4,FALSE),0),"")</f>
        <v/>
      </c>
      <c r="AF331" t="str">
        <f>IFERROR(H331&amp;"*"&amp;ROUND(L331*(I331/$AN331)/VLOOKUP(H331,商品!$A$4:$D$67,4,FALSE),0),"")</f>
        <v/>
      </c>
      <c r="AG331" t="str">
        <f>IFERROR(J331&amp;"*"&amp;ROUND(L331*(K331/$AN331)/VLOOKUP(J331,商品!$A$4:$D$67,4,FALSE),0),"")</f>
        <v/>
      </c>
      <c r="AH331" t="str">
        <f>IFERROR(M331&amp;"*"&amp;ROUND(S331*(N331/$AO331)/VLOOKUP(M331,职业!$A$3:$E$16,4,FALSE),0),"")</f>
        <v/>
      </c>
      <c r="AI331" t="str">
        <f>IFERROR(O331&amp;"*"&amp;ROUND(S331*(P331/$AO331)/VLOOKUP(O331,职业!$A$3:$E$16,4,FALSE),0),"")</f>
        <v/>
      </c>
      <c r="AK331" t="str">
        <f>IFERROR(T331&amp;"*"&amp;ROUND(X331*(U331/$AP331)/VLOOKUP(T331,商品!$A$4:$D$67,4,FALSE),0),"")</f>
        <v/>
      </c>
      <c r="AL331" t="str">
        <f>IFERROR(V331&amp;"*"&amp;ROUND(X331*(W331/$AP331)/VLOOKUP(V331,商品!$A$4:$D$67,4,FALSE),0),"")</f>
        <v/>
      </c>
      <c r="AN331">
        <f t="shared" si="45"/>
        <v>0</v>
      </c>
      <c r="AO331">
        <f t="shared" si="46"/>
        <v>0</v>
      </c>
      <c r="AP331">
        <f t="shared" si="47"/>
        <v>0</v>
      </c>
    </row>
    <row r="332" customHeight="1" spans="1:42">
      <c r="A332" s="5" t="s">
        <v>348</v>
      </c>
      <c r="C332" s="5">
        <v>2</v>
      </c>
      <c r="D332" s="1" t="s">
        <v>240</v>
      </c>
      <c r="E332" s="1" t="s">
        <v>226</v>
      </c>
      <c r="L332" s="1">
        <f>IFERROR(VLOOKUP($D332&amp;$C332,生产方式定位!$A$2:$E$38,2,FALSE)+VLOOKUP($E332&amp;$C332,生产方式定位!$F$3:$J$38,2,FALSE),0)</f>
        <v>12000</v>
      </c>
      <c r="S332" s="1">
        <f>IFERROR(VLOOKUP($D332&amp;$C332,生产方式定位!$A$2:$E$38,3,FALSE)+VLOOKUP($E332&amp;$C332,生产方式定位!$F$3:$J$38,3,FALSE),0)</f>
        <v>8300</v>
      </c>
      <c r="X332" s="1">
        <f>IFERROR(VLOOKUP($D332&amp;$C332,生产方式定位!$A$2:$E$38,5,FALSE)+VLOOKUP($E332&amp;$C332,生产方式定位!$F$3:$J$38,5,FALSE),"错误")</f>
        <v>10240</v>
      </c>
      <c r="Y332" s="27" t="str">
        <f t="shared" si="40"/>
        <v/>
      </c>
      <c r="Z332" s="37" t="str">
        <f t="shared" si="41"/>
        <v/>
      </c>
      <c r="AA332" s="37" t="str">
        <f t="shared" si="42"/>
        <v/>
      </c>
      <c r="AB332" s="28">
        <f t="shared" si="43"/>
        <v>1.17</v>
      </c>
      <c r="AC332" s="37"/>
      <c r="AD332" s="38">
        <f t="shared" si="44"/>
        <v>2</v>
      </c>
      <c r="AE332" t="str">
        <f>IFERROR(F332&amp;"*"&amp;ROUND(L332*(G332/$AN332)/VLOOKUP(F332,商品!$A$4:$D$67,4,FALSE),0),"")</f>
        <v/>
      </c>
      <c r="AF332" t="str">
        <f>IFERROR(H332&amp;"*"&amp;ROUND(L332*(I332/$AN332)/VLOOKUP(H332,商品!$A$4:$D$67,4,FALSE),0),"")</f>
        <v/>
      </c>
      <c r="AG332" t="str">
        <f>IFERROR(J332&amp;"*"&amp;ROUND(L332*(K332/$AN332)/VLOOKUP(J332,商品!$A$4:$D$67,4,FALSE),0),"")</f>
        <v/>
      </c>
      <c r="AH332" t="str">
        <f>IFERROR(M332&amp;"*"&amp;ROUND(S332*(N332/$AO332)/VLOOKUP(M332,职业!$A$3:$E$16,4,FALSE),0),"")</f>
        <v/>
      </c>
      <c r="AI332" t="str">
        <f>IFERROR(O332&amp;"*"&amp;ROUND(S332*(P332/$AO332)/VLOOKUP(O332,职业!$A$3:$E$16,4,FALSE),0),"")</f>
        <v/>
      </c>
      <c r="AK332" t="str">
        <f>IFERROR(T332&amp;"*"&amp;ROUND(X332*(U332/$AP332)/VLOOKUP(T332,商品!$A$4:$D$67,4,FALSE),0),"")</f>
        <v/>
      </c>
      <c r="AL332" t="str">
        <f>IFERROR(V332&amp;"*"&amp;ROUND(X332*(W332/$AP332)/VLOOKUP(V332,商品!$A$4:$D$67,4,FALSE),0),"")</f>
        <v/>
      </c>
      <c r="AN332">
        <f t="shared" si="45"/>
        <v>0</v>
      </c>
      <c r="AO332">
        <f t="shared" si="46"/>
        <v>0</v>
      </c>
      <c r="AP332">
        <f t="shared" si="47"/>
        <v>0</v>
      </c>
    </row>
    <row r="333" customHeight="1" spans="1:42">
      <c r="A333" s="5" t="s">
        <v>348</v>
      </c>
      <c r="C333" s="5">
        <v>3</v>
      </c>
      <c r="D333" s="1" t="s">
        <v>240</v>
      </c>
      <c r="E333" s="1" t="s">
        <v>226</v>
      </c>
      <c r="L333" s="1">
        <f>IFERROR(VLOOKUP($D333&amp;$C333,生产方式定位!$A$2:$E$38,2,FALSE)+VLOOKUP($E333&amp;$C333,生产方式定位!$F$3:$J$38,2,FALSE),0)</f>
        <v>12000</v>
      </c>
      <c r="S333" s="1">
        <f>IFERROR(VLOOKUP($D333&amp;$C333,生产方式定位!$A$2:$E$38,3,FALSE)+VLOOKUP($E333&amp;$C333,生产方式定位!$F$3:$J$38,3,FALSE),0)</f>
        <v>8600</v>
      </c>
      <c r="X333" s="1">
        <f>IFERROR(VLOOKUP($D333&amp;$C333,生产方式定位!$A$2:$E$38,5,FALSE)+VLOOKUP($E333&amp;$C333,生产方式定位!$F$3:$J$38,5,FALSE),"错误")</f>
        <v>10560</v>
      </c>
      <c r="Y333" s="27" t="str">
        <f t="shared" si="40"/>
        <v/>
      </c>
      <c r="Z333" s="37" t="str">
        <f t="shared" si="41"/>
        <v/>
      </c>
      <c r="AA333" s="37" t="str">
        <f t="shared" si="42"/>
        <v/>
      </c>
      <c r="AB333" s="28">
        <f t="shared" si="43"/>
        <v>1.14</v>
      </c>
      <c r="AC333" s="37"/>
      <c r="AD333" s="38">
        <f t="shared" si="44"/>
        <v>3</v>
      </c>
      <c r="AE333" t="str">
        <f>IFERROR(F333&amp;"*"&amp;ROUND(L333*(G333/$AN333)/VLOOKUP(F333,商品!$A$4:$D$67,4,FALSE),0),"")</f>
        <v/>
      </c>
      <c r="AF333" t="str">
        <f>IFERROR(H333&amp;"*"&amp;ROUND(L333*(I333/$AN333)/VLOOKUP(H333,商品!$A$4:$D$67,4,FALSE),0),"")</f>
        <v/>
      </c>
      <c r="AG333" t="str">
        <f>IFERROR(J333&amp;"*"&amp;ROUND(L333*(K333/$AN333)/VLOOKUP(J333,商品!$A$4:$D$67,4,FALSE),0),"")</f>
        <v/>
      </c>
      <c r="AH333" t="str">
        <f>IFERROR(M333&amp;"*"&amp;ROUND(S333*(N333/$AO333)/VLOOKUP(M333,职业!$A$3:$E$16,4,FALSE),0),"")</f>
        <v/>
      </c>
      <c r="AI333" t="str">
        <f>IFERROR(O333&amp;"*"&amp;ROUND(S333*(P333/$AO333)/VLOOKUP(O333,职业!$A$3:$E$16,4,FALSE),0),"")</f>
        <v/>
      </c>
      <c r="AK333" t="str">
        <f>IFERROR(T333&amp;"*"&amp;ROUND(X333*(U333/$AP333)/VLOOKUP(T333,商品!$A$4:$D$67,4,FALSE),0),"")</f>
        <v/>
      </c>
      <c r="AL333" t="str">
        <f>IFERROR(V333&amp;"*"&amp;ROUND(X333*(W333/$AP333)/VLOOKUP(V333,商品!$A$4:$D$67,4,FALSE),0),"")</f>
        <v/>
      </c>
      <c r="AN333">
        <f t="shared" si="45"/>
        <v>0</v>
      </c>
      <c r="AO333">
        <f t="shared" si="46"/>
        <v>0</v>
      </c>
      <c r="AP333">
        <f t="shared" si="47"/>
        <v>0</v>
      </c>
    </row>
    <row r="334" customHeight="1" spans="1:42">
      <c r="A334" s="5" t="s">
        <v>348</v>
      </c>
      <c r="C334" s="5">
        <v>4</v>
      </c>
      <c r="D334" s="1" t="s">
        <v>240</v>
      </c>
      <c r="E334" s="1" t="s">
        <v>226</v>
      </c>
      <c r="L334" s="1">
        <f>IFERROR(VLOOKUP($D334&amp;$C334,生产方式定位!$A$2:$E$38,2,FALSE)+VLOOKUP($E334&amp;$C334,生产方式定位!$F$3:$J$38,2,FALSE),0)</f>
        <v>12000</v>
      </c>
      <c r="S334" s="1">
        <f>IFERROR(VLOOKUP($D334&amp;$C334,生产方式定位!$A$2:$E$38,3,FALSE)+VLOOKUP($E334&amp;$C334,生产方式定位!$F$3:$J$38,3,FALSE),0)</f>
        <v>8900</v>
      </c>
      <c r="X334" s="1">
        <f>IFERROR(VLOOKUP($D334&amp;$C334,生产方式定位!$A$2:$E$38,5,FALSE)+VLOOKUP($E334&amp;$C334,生产方式定位!$F$3:$J$38,5,FALSE),"错误")</f>
        <v>10960</v>
      </c>
      <c r="Y334" s="27" t="str">
        <f t="shared" si="40"/>
        <v/>
      </c>
      <c r="Z334" s="37" t="str">
        <f t="shared" si="41"/>
        <v/>
      </c>
      <c r="AA334" s="37" t="str">
        <f t="shared" si="42"/>
        <v/>
      </c>
      <c r="AB334" s="28">
        <f t="shared" si="43"/>
        <v>1.09</v>
      </c>
      <c r="AC334" s="37"/>
      <c r="AD334" s="38">
        <f t="shared" si="44"/>
        <v>4</v>
      </c>
      <c r="AE334" t="str">
        <f>IFERROR(F334&amp;"*"&amp;ROUND(L334*(G334/$AN334)/VLOOKUP(F334,商品!$A$4:$D$67,4,FALSE),0),"")</f>
        <v/>
      </c>
      <c r="AF334" t="str">
        <f>IFERROR(H334&amp;"*"&amp;ROUND(L334*(I334/$AN334)/VLOOKUP(H334,商品!$A$4:$D$67,4,FALSE),0),"")</f>
        <v/>
      </c>
      <c r="AG334" t="str">
        <f>IFERROR(J334&amp;"*"&amp;ROUND(L334*(K334/$AN334)/VLOOKUP(J334,商品!$A$4:$D$67,4,FALSE),0),"")</f>
        <v/>
      </c>
      <c r="AH334" t="str">
        <f>IFERROR(M334&amp;"*"&amp;ROUND(S334*(N334/$AO334)/VLOOKUP(M334,职业!$A$3:$E$16,4,FALSE),0),"")</f>
        <v/>
      </c>
      <c r="AI334" t="str">
        <f>IFERROR(O334&amp;"*"&amp;ROUND(S334*(P334/$AO334)/VLOOKUP(O334,职业!$A$3:$E$16,4,FALSE),0),"")</f>
        <v/>
      </c>
      <c r="AK334" t="str">
        <f>IFERROR(T334&amp;"*"&amp;ROUND(X334*(U334/$AP334)/VLOOKUP(T334,商品!$A$4:$D$67,4,FALSE),0),"")</f>
        <v/>
      </c>
      <c r="AL334" t="str">
        <f>IFERROR(V334&amp;"*"&amp;ROUND(X334*(W334/$AP334)/VLOOKUP(V334,商品!$A$4:$D$67,4,FALSE),0),"")</f>
        <v/>
      </c>
      <c r="AN334">
        <f t="shared" si="45"/>
        <v>0</v>
      </c>
      <c r="AO334">
        <f t="shared" si="46"/>
        <v>0</v>
      </c>
      <c r="AP334">
        <f t="shared" si="47"/>
        <v>0</v>
      </c>
    </row>
    <row r="335" customHeight="1" spans="1:42">
      <c r="A335" s="5" t="s">
        <v>348</v>
      </c>
      <c r="C335" s="5">
        <v>5</v>
      </c>
      <c r="D335" s="1" t="s">
        <v>240</v>
      </c>
      <c r="E335" s="1" t="s">
        <v>226</v>
      </c>
      <c r="L335" s="1">
        <f>IFERROR(VLOOKUP($D335&amp;$C335,生产方式定位!$A$2:$E$38,2,FALSE)+VLOOKUP($E335&amp;$C335,生产方式定位!$F$3:$J$38,2,FALSE),0)</f>
        <v>12000</v>
      </c>
      <c r="S335" s="1">
        <f>IFERROR(VLOOKUP($D335&amp;$C335,生产方式定位!$A$2:$E$38,3,FALSE)+VLOOKUP($E335&amp;$C335,生产方式定位!$F$3:$J$38,3,FALSE),0)</f>
        <v>9200</v>
      </c>
      <c r="X335" s="1">
        <f>IFERROR(VLOOKUP($D335&amp;$C335,生产方式定位!$A$2:$E$38,5,FALSE)+VLOOKUP($E335&amp;$C335,生产方式定位!$F$3:$J$38,5,FALSE),"错误")</f>
        <v>11440</v>
      </c>
      <c r="Y335" s="27" t="str">
        <f t="shared" si="40"/>
        <v/>
      </c>
      <c r="Z335" s="37" t="str">
        <f t="shared" si="41"/>
        <v/>
      </c>
      <c r="AA335" s="37" t="str">
        <f t="shared" si="42"/>
        <v/>
      </c>
      <c r="AB335" s="28">
        <f t="shared" si="43"/>
        <v>1.05</v>
      </c>
      <c r="AC335" s="37"/>
      <c r="AD335" s="38">
        <f t="shared" si="44"/>
        <v>5</v>
      </c>
      <c r="AE335" t="str">
        <f>IFERROR(F335&amp;"*"&amp;ROUND(L335*(G335/$AN335)/VLOOKUP(F335,商品!$A$4:$D$67,4,FALSE),0),"")</f>
        <v/>
      </c>
      <c r="AF335" t="str">
        <f>IFERROR(H335&amp;"*"&amp;ROUND(L335*(I335/$AN335)/VLOOKUP(H335,商品!$A$4:$D$67,4,FALSE),0),"")</f>
        <v/>
      </c>
      <c r="AG335" t="str">
        <f>IFERROR(J335&amp;"*"&amp;ROUND(L335*(K335/$AN335)/VLOOKUP(J335,商品!$A$4:$D$67,4,FALSE),0),"")</f>
        <v/>
      </c>
      <c r="AH335" t="str">
        <f>IFERROR(M335&amp;"*"&amp;ROUND(S335*(N335/$AO335)/VLOOKUP(M335,职业!$A$3:$E$16,4,FALSE),0),"")</f>
        <v/>
      </c>
      <c r="AI335" t="str">
        <f>IFERROR(O335&amp;"*"&amp;ROUND(S335*(P335/$AO335)/VLOOKUP(O335,职业!$A$3:$E$16,4,FALSE),0),"")</f>
        <v/>
      </c>
      <c r="AK335" t="str">
        <f>IFERROR(T335&amp;"*"&amp;ROUND(X335*(U335/$AP335)/VLOOKUP(T335,商品!$A$4:$D$67,4,FALSE),0),"")</f>
        <v/>
      </c>
      <c r="AL335" t="str">
        <f>IFERROR(V335&amp;"*"&amp;ROUND(X335*(W335/$AP335)/VLOOKUP(V335,商品!$A$4:$D$67,4,FALSE),0),"")</f>
        <v/>
      </c>
      <c r="AN335">
        <f t="shared" si="45"/>
        <v>0</v>
      </c>
      <c r="AO335">
        <f t="shared" si="46"/>
        <v>0</v>
      </c>
      <c r="AP335">
        <f t="shared" si="47"/>
        <v>0</v>
      </c>
    </row>
    <row r="336" customHeight="1" spans="1:42">
      <c r="A336" s="18" t="s">
        <v>349</v>
      </c>
      <c r="C336" s="18">
        <v>1</v>
      </c>
      <c r="D336" s="1" t="s">
        <v>293</v>
      </c>
      <c r="E336" s="1" t="s">
        <v>227</v>
      </c>
      <c r="L336" s="1">
        <f>IFERROR(VLOOKUP($D336&amp;$C336,生产方式定位!$A$2:$E$38,2,FALSE)+VLOOKUP($E336&amp;$C336,生产方式定位!$F$3:$J$38,2,FALSE),0)</f>
        <v>0</v>
      </c>
      <c r="S336" s="1">
        <f>IFERROR(VLOOKUP($D336&amp;$C336,生产方式定位!$A$2:$E$38,3,FALSE)+VLOOKUP($E336&amp;$C336,生产方式定位!$F$3:$J$38,3,FALSE),0)</f>
        <v>0</v>
      </c>
      <c r="X336" s="1">
        <f>IFERROR(VLOOKUP($D336&amp;$C336,生产方式定位!$A$2:$E$38,5,FALSE)+VLOOKUP($E336&amp;$C336,生产方式定位!$F$3:$J$38,5,FALSE),"错误")</f>
        <v>0</v>
      </c>
      <c r="Y336" s="27" t="str">
        <f t="shared" si="40"/>
        <v/>
      </c>
      <c r="Z336" s="37" t="str">
        <f t="shared" si="41"/>
        <v/>
      </c>
      <c r="AA336" s="37" t="str">
        <f t="shared" si="42"/>
        <v/>
      </c>
      <c r="AB336" s="28" t="str">
        <f t="shared" si="43"/>
        <v/>
      </c>
      <c r="AC336" s="37"/>
      <c r="AD336" s="38">
        <f t="shared" si="44"/>
        <v>1</v>
      </c>
      <c r="AE336" t="str">
        <f>IFERROR(F336&amp;"*"&amp;ROUND(L336*(G336/$AN336)/VLOOKUP(F336,商品!$A$4:$D$67,4,FALSE),0),"")</f>
        <v/>
      </c>
      <c r="AF336" t="str">
        <f>IFERROR(H336&amp;"*"&amp;ROUND(L336*(I336/$AN336)/VLOOKUP(H336,商品!$A$4:$D$67,4,FALSE),0),"")</f>
        <v/>
      </c>
      <c r="AG336" t="str">
        <f>IFERROR(J336&amp;"*"&amp;ROUND(L336*(K336/$AN336)/VLOOKUP(J336,商品!$A$4:$D$67,4,FALSE),0),"")</f>
        <v/>
      </c>
      <c r="AH336" t="str">
        <f>IFERROR(M336&amp;"*"&amp;ROUND(S336*(N336/$AO336)/VLOOKUP(M336,职业!$A$3:$E$16,4,FALSE),0),"")</f>
        <v/>
      </c>
      <c r="AI336" t="str">
        <f>IFERROR(O336&amp;"*"&amp;ROUND(S336*(P336/$AO336)/VLOOKUP(O336,职业!$A$3:$E$16,4,FALSE),0),"")</f>
        <v/>
      </c>
      <c r="AK336" t="str">
        <f>IFERROR(T336&amp;"*"&amp;ROUND(X336*(U336/$AP336)/VLOOKUP(T336,商品!$A$4:$D$67,4,FALSE),0),"")</f>
        <v/>
      </c>
      <c r="AL336" t="str">
        <f>IFERROR(V336&amp;"*"&amp;ROUND(X336*(W336/$AP336)/VLOOKUP(V336,商品!$A$4:$D$67,4,FALSE),0),"")</f>
        <v/>
      </c>
      <c r="AN336">
        <f t="shared" si="45"/>
        <v>0</v>
      </c>
      <c r="AO336">
        <f t="shared" si="46"/>
        <v>0</v>
      </c>
      <c r="AP336">
        <f t="shared" si="47"/>
        <v>0</v>
      </c>
    </row>
    <row r="337" customHeight="1" spans="1:42">
      <c r="A337" s="18" t="s">
        <v>349</v>
      </c>
      <c r="C337" s="18">
        <v>2</v>
      </c>
      <c r="D337" s="1" t="s">
        <v>293</v>
      </c>
      <c r="E337" s="1" t="s">
        <v>227</v>
      </c>
      <c r="L337" s="1">
        <f>IFERROR(VLOOKUP($D337&amp;$C337,生产方式定位!$A$2:$E$38,2,FALSE)+VLOOKUP($E337&amp;$C337,生产方式定位!$F$3:$J$38,2,FALSE),0)</f>
        <v>0</v>
      </c>
      <c r="S337" s="1">
        <f>IFERROR(VLOOKUP($D337&amp;$C337,生产方式定位!$A$2:$E$38,3,FALSE)+VLOOKUP($E337&amp;$C337,生产方式定位!$F$3:$J$38,3,FALSE),0)</f>
        <v>0</v>
      </c>
      <c r="X337" s="1">
        <f>IFERROR(VLOOKUP($D337&amp;$C337,生产方式定位!$A$2:$E$38,5,FALSE)+VLOOKUP($E337&amp;$C337,生产方式定位!$F$3:$J$38,5,FALSE),"错误")</f>
        <v>0</v>
      </c>
      <c r="Y337" s="27" t="str">
        <f t="shared" si="40"/>
        <v/>
      </c>
      <c r="Z337" s="37" t="str">
        <f t="shared" si="41"/>
        <v/>
      </c>
      <c r="AA337" s="37" t="str">
        <f t="shared" si="42"/>
        <v/>
      </c>
      <c r="AB337" s="28" t="str">
        <f t="shared" si="43"/>
        <v/>
      </c>
      <c r="AC337" s="37"/>
      <c r="AD337" s="38">
        <f t="shared" si="44"/>
        <v>2</v>
      </c>
      <c r="AE337" t="str">
        <f>IFERROR(F337&amp;"*"&amp;ROUND(L337*(G337/$AN337)/VLOOKUP(F337,商品!$A$4:$D$67,4,FALSE),0),"")</f>
        <v/>
      </c>
      <c r="AF337" t="str">
        <f>IFERROR(H337&amp;"*"&amp;ROUND(L337*(I337/$AN337)/VLOOKUP(H337,商品!$A$4:$D$67,4,FALSE),0),"")</f>
        <v/>
      </c>
      <c r="AG337" t="str">
        <f>IFERROR(J337&amp;"*"&amp;ROUND(L337*(K337/$AN337)/VLOOKUP(J337,商品!$A$4:$D$67,4,FALSE),0),"")</f>
        <v/>
      </c>
      <c r="AH337" t="str">
        <f>IFERROR(M337&amp;"*"&amp;ROUND(S337*(N337/$AO337)/VLOOKUP(M337,职业!$A$3:$E$16,4,FALSE),0),"")</f>
        <v/>
      </c>
      <c r="AI337" t="str">
        <f>IFERROR(O337&amp;"*"&amp;ROUND(S337*(P337/$AO337)/VLOOKUP(O337,职业!$A$3:$E$16,4,FALSE),0),"")</f>
        <v/>
      </c>
      <c r="AK337" t="str">
        <f>IFERROR(T337&amp;"*"&amp;ROUND(X337*(U337/$AP337)/VLOOKUP(T337,商品!$A$4:$D$67,4,FALSE),0),"")</f>
        <v/>
      </c>
      <c r="AL337" t="str">
        <f>IFERROR(V337&amp;"*"&amp;ROUND(X337*(W337/$AP337)/VLOOKUP(V337,商品!$A$4:$D$67,4,FALSE),0),"")</f>
        <v/>
      </c>
      <c r="AN337">
        <f t="shared" si="45"/>
        <v>0</v>
      </c>
      <c r="AO337">
        <f t="shared" si="46"/>
        <v>0</v>
      </c>
      <c r="AP337">
        <f t="shared" si="47"/>
        <v>0</v>
      </c>
    </row>
    <row r="338" customHeight="1" spans="1:42">
      <c r="A338" s="18" t="s">
        <v>349</v>
      </c>
      <c r="C338" s="18">
        <v>3</v>
      </c>
      <c r="D338" s="1" t="s">
        <v>293</v>
      </c>
      <c r="E338" s="1" t="s">
        <v>227</v>
      </c>
      <c r="L338" s="1">
        <f>IFERROR(VLOOKUP($D338&amp;$C338,生产方式定位!$A$2:$E$38,2,FALSE)+VLOOKUP($E338&amp;$C338,生产方式定位!$F$3:$J$38,2,FALSE),0)</f>
        <v>0</v>
      </c>
      <c r="S338" s="1">
        <f>IFERROR(VLOOKUP($D338&amp;$C338,生产方式定位!$A$2:$E$38,3,FALSE)+VLOOKUP($E338&amp;$C338,生产方式定位!$F$3:$J$38,3,FALSE),0)</f>
        <v>0</v>
      </c>
      <c r="X338" s="1">
        <f>IFERROR(VLOOKUP($D338&amp;$C338,生产方式定位!$A$2:$E$38,5,FALSE)+VLOOKUP($E338&amp;$C338,生产方式定位!$F$3:$J$38,5,FALSE),"错误")</f>
        <v>0</v>
      </c>
      <c r="Y338" s="27" t="str">
        <f t="shared" si="40"/>
        <v/>
      </c>
      <c r="Z338" s="37" t="str">
        <f t="shared" si="41"/>
        <v/>
      </c>
      <c r="AA338" s="37" t="str">
        <f t="shared" si="42"/>
        <v/>
      </c>
      <c r="AB338" s="28" t="str">
        <f t="shared" si="43"/>
        <v/>
      </c>
      <c r="AC338" s="37"/>
      <c r="AD338" s="38">
        <f t="shared" si="44"/>
        <v>3</v>
      </c>
      <c r="AE338" t="str">
        <f>IFERROR(F338&amp;"*"&amp;ROUND(L338*(G338/$AN338)/VLOOKUP(F338,商品!$A$4:$D$67,4,FALSE),0),"")</f>
        <v/>
      </c>
      <c r="AF338" t="str">
        <f>IFERROR(H338&amp;"*"&amp;ROUND(L338*(I338/$AN338)/VLOOKUP(H338,商品!$A$4:$D$67,4,FALSE),0),"")</f>
        <v/>
      </c>
      <c r="AG338" t="str">
        <f>IFERROR(J338&amp;"*"&amp;ROUND(L338*(K338/$AN338)/VLOOKUP(J338,商品!$A$4:$D$67,4,FALSE),0),"")</f>
        <v/>
      </c>
      <c r="AH338" t="str">
        <f>IFERROR(M338&amp;"*"&amp;ROUND(S338*(N338/$AO338)/VLOOKUP(M338,职业!$A$3:$E$16,4,FALSE),0),"")</f>
        <v/>
      </c>
      <c r="AI338" t="str">
        <f>IFERROR(O338&amp;"*"&amp;ROUND(S338*(P338/$AO338)/VLOOKUP(O338,职业!$A$3:$E$16,4,FALSE),0),"")</f>
        <v/>
      </c>
      <c r="AK338" t="str">
        <f>IFERROR(T338&amp;"*"&amp;ROUND(X338*(U338/$AP338)/VLOOKUP(T338,商品!$A$4:$D$67,4,FALSE),0),"")</f>
        <v/>
      </c>
      <c r="AL338" t="str">
        <f>IFERROR(V338&amp;"*"&amp;ROUND(X338*(W338/$AP338)/VLOOKUP(V338,商品!$A$4:$D$67,4,FALSE),0),"")</f>
        <v/>
      </c>
      <c r="AN338">
        <f t="shared" si="45"/>
        <v>0</v>
      </c>
      <c r="AO338">
        <f t="shared" si="46"/>
        <v>0</v>
      </c>
      <c r="AP338">
        <f t="shared" si="47"/>
        <v>0</v>
      </c>
    </row>
    <row r="339" customHeight="1" spans="1:42">
      <c r="A339" s="18" t="s">
        <v>349</v>
      </c>
      <c r="C339" s="18">
        <v>4</v>
      </c>
      <c r="D339" s="1" t="s">
        <v>293</v>
      </c>
      <c r="E339" s="1" t="s">
        <v>227</v>
      </c>
      <c r="L339" s="1">
        <f>IFERROR(VLOOKUP($D339&amp;$C339,生产方式定位!$A$2:$E$38,2,FALSE)+VLOOKUP($E339&amp;$C339,生产方式定位!$F$3:$J$38,2,FALSE),0)</f>
        <v>0</v>
      </c>
      <c r="S339" s="1">
        <f>IFERROR(VLOOKUP($D339&amp;$C339,生产方式定位!$A$2:$E$38,3,FALSE)+VLOOKUP($E339&amp;$C339,生产方式定位!$F$3:$J$38,3,FALSE),0)</f>
        <v>0</v>
      </c>
      <c r="X339" s="1">
        <f>IFERROR(VLOOKUP($D339&amp;$C339,生产方式定位!$A$2:$E$38,5,FALSE)+VLOOKUP($E339&amp;$C339,生产方式定位!$F$3:$J$38,5,FALSE),"错误")</f>
        <v>0</v>
      </c>
      <c r="Y339" s="27" t="str">
        <f t="shared" si="40"/>
        <v/>
      </c>
      <c r="Z339" s="37" t="str">
        <f t="shared" si="41"/>
        <v/>
      </c>
      <c r="AA339" s="37" t="str">
        <f t="shared" si="42"/>
        <v/>
      </c>
      <c r="AB339" s="28" t="str">
        <f t="shared" si="43"/>
        <v/>
      </c>
      <c r="AC339" s="37"/>
      <c r="AD339" s="38">
        <f t="shared" si="44"/>
        <v>4</v>
      </c>
      <c r="AE339" t="str">
        <f>IFERROR(F339&amp;"*"&amp;ROUND(L339*(G339/$AN339)/VLOOKUP(F339,商品!$A$4:$D$67,4,FALSE),0),"")</f>
        <v/>
      </c>
      <c r="AF339" t="str">
        <f>IFERROR(H339&amp;"*"&amp;ROUND(L339*(I339/$AN339)/VLOOKUP(H339,商品!$A$4:$D$67,4,FALSE),0),"")</f>
        <v/>
      </c>
      <c r="AG339" t="str">
        <f>IFERROR(J339&amp;"*"&amp;ROUND(L339*(K339/$AN339)/VLOOKUP(J339,商品!$A$4:$D$67,4,FALSE),0),"")</f>
        <v/>
      </c>
      <c r="AH339" t="str">
        <f>IFERROR(M339&amp;"*"&amp;ROUND(S339*(N339/$AO339)/VLOOKUP(M339,职业!$A$3:$E$16,4,FALSE),0),"")</f>
        <v/>
      </c>
      <c r="AI339" t="str">
        <f>IFERROR(O339&amp;"*"&amp;ROUND(S339*(P339/$AO339)/VLOOKUP(O339,职业!$A$3:$E$16,4,FALSE),0),"")</f>
        <v/>
      </c>
      <c r="AK339" t="str">
        <f>IFERROR(T339&amp;"*"&amp;ROUND(X339*(U339/$AP339)/VLOOKUP(T339,商品!$A$4:$D$67,4,FALSE),0),"")</f>
        <v/>
      </c>
      <c r="AL339" t="str">
        <f>IFERROR(V339&amp;"*"&amp;ROUND(X339*(W339/$AP339)/VLOOKUP(V339,商品!$A$4:$D$67,4,FALSE),0),"")</f>
        <v/>
      </c>
      <c r="AN339">
        <f t="shared" si="45"/>
        <v>0</v>
      </c>
      <c r="AO339">
        <f t="shared" si="46"/>
        <v>0</v>
      </c>
      <c r="AP339">
        <f t="shared" si="47"/>
        <v>0</v>
      </c>
    </row>
    <row r="340" customHeight="1" spans="1:42">
      <c r="A340" s="18" t="s">
        <v>349</v>
      </c>
      <c r="C340" s="18">
        <v>5</v>
      </c>
      <c r="D340" s="1" t="s">
        <v>293</v>
      </c>
      <c r="E340" s="1" t="s">
        <v>227</v>
      </c>
      <c r="L340" s="1">
        <f>IFERROR(VLOOKUP($D340&amp;$C340,生产方式定位!$A$2:$E$38,2,FALSE)+VLOOKUP($E340&amp;$C340,生产方式定位!$F$3:$J$38,2,FALSE),0)</f>
        <v>0</v>
      </c>
      <c r="S340" s="1">
        <f>IFERROR(VLOOKUP($D340&amp;$C340,生产方式定位!$A$2:$E$38,3,FALSE)+VLOOKUP($E340&amp;$C340,生产方式定位!$F$3:$J$38,3,FALSE),0)</f>
        <v>0</v>
      </c>
      <c r="X340" s="1">
        <f>IFERROR(VLOOKUP($D340&amp;$C340,生产方式定位!$A$2:$E$38,5,FALSE)+VLOOKUP($E340&amp;$C340,生产方式定位!$F$3:$J$38,5,FALSE),"错误")</f>
        <v>0</v>
      </c>
      <c r="Y340" s="27" t="str">
        <f t="shared" si="40"/>
        <v/>
      </c>
      <c r="Z340" s="37" t="str">
        <f t="shared" si="41"/>
        <v/>
      </c>
      <c r="AA340" s="37" t="str">
        <f t="shared" si="42"/>
        <v/>
      </c>
      <c r="AB340" s="28" t="str">
        <f t="shared" si="43"/>
        <v/>
      </c>
      <c r="AC340" s="37"/>
      <c r="AD340" s="38">
        <f t="shared" si="44"/>
        <v>5</v>
      </c>
      <c r="AE340" t="str">
        <f>IFERROR(F340&amp;"*"&amp;ROUND(L340*(G340/$AN340)/VLOOKUP(F340,商品!$A$4:$D$67,4,FALSE),0),"")</f>
        <v/>
      </c>
      <c r="AF340" t="str">
        <f>IFERROR(H340&amp;"*"&amp;ROUND(L340*(I340/$AN340)/VLOOKUP(H340,商品!$A$4:$D$67,4,FALSE),0),"")</f>
        <v/>
      </c>
      <c r="AG340" t="str">
        <f>IFERROR(J340&amp;"*"&amp;ROUND(L340*(K340/$AN340)/VLOOKUP(J340,商品!$A$4:$D$67,4,FALSE),0),"")</f>
        <v/>
      </c>
      <c r="AH340" t="str">
        <f>IFERROR(M340&amp;"*"&amp;ROUND(S340*(N340/$AO340)/VLOOKUP(M340,职业!$A$3:$E$16,4,FALSE),0),"")</f>
        <v/>
      </c>
      <c r="AI340" t="str">
        <f>IFERROR(O340&amp;"*"&amp;ROUND(S340*(P340/$AO340)/VLOOKUP(O340,职业!$A$3:$E$16,4,FALSE),0),"")</f>
        <v/>
      </c>
      <c r="AK340" t="str">
        <f>IFERROR(T340&amp;"*"&amp;ROUND(X340*(U340/$AP340)/VLOOKUP(T340,商品!$A$4:$D$67,4,FALSE),0),"")</f>
        <v/>
      </c>
      <c r="AL340" t="str">
        <f>IFERROR(V340&amp;"*"&amp;ROUND(X340*(W340/$AP340)/VLOOKUP(V340,商品!$A$4:$D$67,4,FALSE),0),"")</f>
        <v/>
      </c>
      <c r="AN340">
        <f t="shared" si="45"/>
        <v>0</v>
      </c>
      <c r="AO340">
        <f t="shared" si="46"/>
        <v>0</v>
      </c>
      <c r="AP340">
        <f t="shared" si="47"/>
        <v>0</v>
      </c>
    </row>
    <row r="341" customHeight="1" spans="1:42">
      <c r="A341" s="18" t="s">
        <v>349</v>
      </c>
      <c r="C341" s="18">
        <v>6</v>
      </c>
      <c r="D341" s="1" t="s">
        <v>293</v>
      </c>
      <c r="E341" s="1" t="s">
        <v>227</v>
      </c>
      <c r="L341" s="1">
        <f>IFERROR(VLOOKUP($D341&amp;$C341,生产方式定位!$A$2:$E$38,2,FALSE)+VLOOKUP($E341&amp;$C341,生产方式定位!$F$3:$J$38,2,FALSE),0)</f>
        <v>0</v>
      </c>
      <c r="S341" s="1">
        <f>IFERROR(VLOOKUP($D341&amp;$C341,生产方式定位!$A$2:$E$38,3,FALSE)+VLOOKUP($E341&amp;$C341,生产方式定位!$F$3:$J$38,3,FALSE),0)</f>
        <v>0</v>
      </c>
      <c r="X341" s="1">
        <f>IFERROR(VLOOKUP($D341&amp;$C341,生产方式定位!$A$2:$E$38,5,FALSE)+VLOOKUP($E341&amp;$C341,生产方式定位!$F$3:$J$38,5,FALSE),"错误")</f>
        <v>0</v>
      </c>
      <c r="Y341" s="27" t="str">
        <f t="shared" si="40"/>
        <v/>
      </c>
      <c r="Z341" s="37" t="str">
        <f t="shared" si="41"/>
        <v/>
      </c>
      <c r="AA341" s="37" t="str">
        <f t="shared" si="42"/>
        <v/>
      </c>
      <c r="AB341" s="28" t="str">
        <f t="shared" si="43"/>
        <v/>
      </c>
      <c r="AC341" s="37"/>
      <c r="AD341" s="38">
        <f t="shared" si="44"/>
        <v>6</v>
      </c>
      <c r="AE341" t="str">
        <f>IFERROR(F341&amp;"*"&amp;ROUND(L341*(G341/$AN341)/VLOOKUP(F341,商品!$A$4:$D$67,4,FALSE),0),"")</f>
        <v/>
      </c>
      <c r="AF341" t="str">
        <f>IFERROR(H341&amp;"*"&amp;ROUND(L341*(I341/$AN341)/VLOOKUP(H341,商品!$A$4:$D$67,4,FALSE),0),"")</f>
        <v/>
      </c>
      <c r="AG341" t="str">
        <f>IFERROR(J341&amp;"*"&amp;ROUND(L341*(K341/$AN341)/VLOOKUP(J341,商品!$A$4:$D$67,4,FALSE),0),"")</f>
        <v/>
      </c>
      <c r="AH341" t="str">
        <f>IFERROR(M341&amp;"*"&amp;ROUND(S341*(N341/$AO341)/VLOOKUP(M341,职业!$A$3:$E$16,4,FALSE),0),"")</f>
        <v/>
      </c>
      <c r="AI341" t="str">
        <f>IFERROR(O341&amp;"*"&amp;ROUND(S341*(P341/$AO341)/VLOOKUP(O341,职业!$A$3:$E$16,4,FALSE),0),"")</f>
        <v/>
      </c>
      <c r="AK341" t="str">
        <f>IFERROR(T341&amp;"*"&amp;ROUND(X341*(U341/$AP341)/VLOOKUP(T341,商品!$A$4:$D$67,4,FALSE),0),"")</f>
        <v/>
      </c>
      <c r="AL341" t="str">
        <f>IFERROR(V341&amp;"*"&amp;ROUND(X341*(W341/$AP341)/VLOOKUP(V341,商品!$A$4:$D$67,4,FALSE),0),"")</f>
        <v/>
      </c>
      <c r="AN341">
        <f t="shared" si="45"/>
        <v>0</v>
      </c>
      <c r="AO341">
        <f t="shared" si="46"/>
        <v>0</v>
      </c>
      <c r="AP341">
        <f t="shared" si="47"/>
        <v>0</v>
      </c>
    </row>
    <row r="342" customHeight="1" spans="1:42">
      <c r="A342" s="18" t="s">
        <v>349</v>
      </c>
      <c r="C342" s="18">
        <v>7</v>
      </c>
      <c r="D342" s="1" t="s">
        <v>293</v>
      </c>
      <c r="E342" s="1" t="s">
        <v>227</v>
      </c>
      <c r="L342" s="1">
        <f>IFERROR(VLOOKUP($D342&amp;$C342,生产方式定位!$A$2:$E$38,2,FALSE)+VLOOKUP($E342&amp;$C342,生产方式定位!$F$3:$J$38,2,FALSE),0)</f>
        <v>0</v>
      </c>
      <c r="S342" s="1">
        <f>IFERROR(VLOOKUP($D342&amp;$C342,生产方式定位!$A$2:$E$38,3,FALSE)+VLOOKUP($E342&amp;$C342,生产方式定位!$F$3:$J$38,3,FALSE),0)</f>
        <v>0</v>
      </c>
      <c r="X342" s="1">
        <f>IFERROR(VLOOKUP($D342&amp;$C342,生产方式定位!$A$2:$E$38,5,FALSE)+VLOOKUP($E342&amp;$C342,生产方式定位!$F$3:$J$38,5,FALSE),"错误")</f>
        <v>0</v>
      </c>
      <c r="Y342" s="27" t="str">
        <f t="shared" si="40"/>
        <v/>
      </c>
      <c r="Z342" s="37" t="str">
        <f t="shared" si="41"/>
        <v/>
      </c>
      <c r="AA342" s="37" t="str">
        <f t="shared" si="42"/>
        <v/>
      </c>
      <c r="AB342" s="28" t="str">
        <f t="shared" si="43"/>
        <v/>
      </c>
      <c r="AC342" s="37"/>
      <c r="AD342" s="38">
        <f t="shared" si="44"/>
        <v>7</v>
      </c>
      <c r="AE342" t="str">
        <f>IFERROR(F342&amp;"*"&amp;ROUND(L342*(G342/$AN342)/VLOOKUP(F342,商品!$A$4:$D$67,4,FALSE),0),"")</f>
        <v/>
      </c>
      <c r="AF342" t="str">
        <f>IFERROR(H342&amp;"*"&amp;ROUND(L342*(I342/$AN342)/VLOOKUP(H342,商品!$A$4:$D$67,4,FALSE),0),"")</f>
        <v/>
      </c>
      <c r="AG342" t="str">
        <f>IFERROR(J342&amp;"*"&amp;ROUND(L342*(K342/$AN342)/VLOOKUP(J342,商品!$A$4:$D$67,4,FALSE),0),"")</f>
        <v/>
      </c>
      <c r="AH342" t="str">
        <f>IFERROR(M342&amp;"*"&amp;ROUND(S342*(N342/$AO342)/VLOOKUP(M342,职业!$A$3:$E$16,4,FALSE),0),"")</f>
        <v/>
      </c>
      <c r="AI342" t="str">
        <f>IFERROR(O342&amp;"*"&amp;ROUND(S342*(P342/$AO342)/VLOOKUP(O342,职业!$A$3:$E$16,4,FALSE),0),"")</f>
        <v/>
      </c>
      <c r="AK342" t="str">
        <f>IFERROR(T342&amp;"*"&amp;ROUND(X342*(U342/$AP342)/VLOOKUP(T342,商品!$A$4:$D$67,4,FALSE),0),"")</f>
        <v/>
      </c>
      <c r="AL342" t="str">
        <f>IFERROR(V342&amp;"*"&amp;ROUND(X342*(W342/$AP342)/VLOOKUP(V342,商品!$A$4:$D$67,4,FALSE),0),"")</f>
        <v/>
      </c>
      <c r="AN342">
        <f t="shared" si="45"/>
        <v>0</v>
      </c>
      <c r="AO342">
        <f t="shared" si="46"/>
        <v>0</v>
      </c>
      <c r="AP342">
        <f t="shared" si="47"/>
        <v>0</v>
      </c>
    </row>
    <row r="343" customHeight="1" spans="1:42">
      <c r="A343" s="18" t="s">
        <v>349</v>
      </c>
      <c r="C343" s="18">
        <v>8</v>
      </c>
      <c r="D343" s="1" t="s">
        <v>293</v>
      </c>
      <c r="E343" s="1" t="s">
        <v>227</v>
      </c>
      <c r="L343" s="1">
        <f>IFERROR(VLOOKUP($D343&amp;$C343,生产方式定位!$A$2:$E$38,2,FALSE)+VLOOKUP($E343&amp;$C343,生产方式定位!$F$3:$J$38,2,FALSE),0)</f>
        <v>0</v>
      </c>
      <c r="S343" s="1">
        <f>IFERROR(VLOOKUP($D343&amp;$C343,生产方式定位!$A$2:$E$38,3,FALSE)+VLOOKUP($E343&amp;$C343,生产方式定位!$F$3:$J$38,3,FALSE),0)</f>
        <v>0</v>
      </c>
      <c r="X343" s="1">
        <f>IFERROR(VLOOKUP($D343&amp;$C343,生产方式定位!$A$2:$E$38,5,FALSE)+VLOOKUP($E343&amp;$C343,生产方式定位!$F$3:$J$38,5,FALSE),"错误")</f>
        <v>0</v>
      </c>
      <c r="Y343" s="27" t="str">
        <f t="shared" si="40"/>
        <v/>
      </c>
      <c r="Z343" s="37" t="str">
        <f t="shared" si="41"/>
        <v/>
      </c>
      <c r="AA343" s="37" t="str">
        <f t="shared" si="42"/>
        <v/>
      </c>
      <c r="AB343" s="28" t="str">
        <f t="shared" si="43"/>
        <v/>
      </c>
      <c r="AC343" s="37"/>
      <c r="AD343" s="38">
        <f t="shared" si="44"/>
        <v>8</v>
      </c>
      <c r="AE343" t="str">
        <f>IFERROR(F343&amp;"*"&amp;ROUND(L343*(G343/$AN343)/VLOOKUP(F343,商品!$A$4:$D$67,4,FALSE),0),"")</f>
        <v/>
      </c>
      <c r="AF343" t="str">
        <f>IFERROR(H343&amp;"*"&amp;ROUND(L343*(I343/$AN343)/VLOOKUP(H343,商品!$A$4:$D$67,4,FALSE),0),"")</f>
        <v/>
      </c>
      <c r="AG343" t="str">
        <f>IFERROR(J343&amp;"*"&amp;ROUND(L343*(K343/$AN343)/VLOOKUP(J343,商品!$A$4:$D$67,4,FALSE),0),"")</f>
        <v/>
      </c>
      <c r="AH343" t="str">
        <f>IFERROR(M343&amp;"*"&amp;ROUND(S343*(N343/$AO343)/VLOOKUP(M343,职业!$A$3:$E$16,4,FALSE),0),"")</f>
        <v/>
      </c>
      <c r="AI343" t="str">
        <f>IFERROR(O343&amp;"*"&amp;ROUND(S343*(P343/$AO343)/VLOOKUP(O343,职业!$A$3:$E$16,4,FALSE),0),"")</f>
        <v/>
      </c>
      <c r="AK343" t="str">
        <f>IFERROR(T343&amp;"*"&amp;ROUND(X343*(U343/$AP343)/VLOOKUP(T343,商品!$A$4:$D$67,4,FALSE),0),"")</f>
        <v/>
      </c>
      <c r="AL343" t="str">
        <f>IFERROR(V343&amp;"*"&amp;ROUND(X343*(W343/$AP343)/VLOOKUP(V343,商品!$A$4:$D$67,4,FALSE),0),"")</f>
        <v/>
      </c>
      <c r="AN343">
        <f t="shared" si="45"/>
        <v>0</v>
      </c>
      <c r="AO343">
        <f t="shared" si="46"/>
        <v>0</v>
      </c>
      <c r="AP343">
        <f t="shared" si="47"/>
        <v>0</v>
      </c>
    </row>
    <row r="344" customHeight="1" spans="1:42">
      <c r="A344" s="5" t="s">
        <v>351</v>
      </c>
      <c r="C344" s="5">
        <v>1</v>
      </c>
      <c r="D344" s="1" t="s">
        <v>240</v>
      </c>
      <c r="E344" s="1" t="s">
        <v>224</v>
      </c>
      <c r="L344" s="1">
        <f>IFERROR(VLOOKUP($D344&amp;$C344,生产方式定位!$A$2:$E$38,2,FALSE)+VLOOKUP($E344&amp;$C344,生产方式定位!$F$3:$J$38,2,FALSE),0)</f>
        <v>0</v>
      </c>
      <c r="S344" s="1">
        <f>IFERROR(VLOOKUP($D344&amp;$C344,生产方式定位!$A$2:$E$38,3,FALSE)+VLOOKUP($E344&amp;$C344,生产方式定位!$F$3:$J$38,3,FALSE),0)</f>
        <v>8000</v>
      </c>
      <c r="X344" s="1">
        <f>IFERROR(VLOOKUP($D344&amp;$C344,生产方式定位!$A$2:$E$38,5,FALSE)+VLOOKUP($E344&amp;$C344,生产方式定位!$F$3:$J$38,5,FALSE),"错误")</f>
        <v>4000</v>
      </c>
      <c r="Y344" s="27" t="str">
        <f t="shared" si="40"/>
        <v/>
      </c>
      <c r="Z344" s="37" t="str">
        <f t="shared" si="41"/>
        <v/>
      </c>
      <c r="AA344" s="37" t="str">
        <f t="shared" si="42"/>
        <v/>
      </c>
      <c r="AB344" s="28">
        <f t="shared" si="43"/>
        <v>0</v>
      </c>
      <c r="AC344" s="37"/>
      <c r="AD344" s="38">
        <f t="shared" si="44"/>
        <v>1</v>
      </c>
      <c r="AE344" t="str">
        <f>IFERROR(F344&amp;"*"&amp;ROUND(L344*(G344/$AN344)/VLOOKUP(F344,商品!$A$4:$D$67,4,FALSE),0),"")</f>
        <v/>
      </c>
      <c r="AF344" t="str">
        <f>IFERROR(H344&amp;"*"&amp;ROUND(L344*(I344/$AN344)/VLOOKUP(H344,商品!$A$4:$D$67,4,FALSE),0),"")</f>
        <v/>
      </c>
      <c r="AG344" t="str">
        <f>IFERROR(J344&amp;"*"&amp;ROUND(L344*(K344/$AN344)/VLOOKUP(J344,商品!$A$4:$D$67,4,FALSE),0),"")</f>
        <v/>
      </c>
      <c r="AH344" t="str">
        <f>IFERROR(M344&amp;"*"&amp;ROUND(S344*(N344/$AO344)/VLOOKUP(M344,职业!$A$3:$E$16,4,FALSE),0),"")</f>
        <v/>
      </c>
      <c r="AI344" t="str">
        <f>IFERROR(O344&amp;"*"&amp;ROUND(S344*(P344/$AO344)/VLOOKUP(O344,职业!$A$3:$E$16,4,FALSE),0),"")</f>
        <v/>
      </c>
      <c r="AK344" t="str">
        <f>IFERROR(T344&amp;"*"&amp;ROUND(X344*(U344/$AP344)/VLOOKUP(T344,商品!$A$4:$D$67,4,FALSE),0),"")</f>
        <v/>
      </c>
      <c r="AL344" t="str">
        <f>IFERROR(V344&amp;"*"&amp;ROUND(X344*(W344/$AP344)/VLOOKUP(V344,商品!$A$4:$D$67,4,FALSE),0),"")</f>
        <v/>
      </c>
      <c r="AN344">
        <f t="shared" si="45"/>
        <v>0</v>
      </c>
      <c r="AO344">
        <f t="shared" si="46"/>
        <v>0</v>
      </c>
      <c r="AP344">
        <f t="shared" si="47"/>
        <v>0</v>
      </c>
    </row>
    <row r="345" customHeight="1" spans="1:42">
      <c r="A345" s="5" t="s">
        <v>351</v>
      </c>
      <c r="C345" s="5">
        <v>2</v>
      </c>
      <c r="D345" s="1" t="s">
        <v>240</v>
      </c>
      <c r="E345" s="1" t="s">
        <v>224</v>
      </c>
      <c r="L345" s="1">
        <f>IFERROR(VLOOKUP($D345&amp;$C345,生产方式定位!$A$2:$E$38,2,FALSE)+VLOOKUP($E345&amp;$C345,生产方式定位!$F$3:$J$38,2,FALSE),0)</f>
        <v>11000</v>
      </c>
      <c r="S345" s="1">
        <f>IFERROR(VLOOKUP($D345&amp;$C345,生产方式定位!$A$2:$E$38,3,FALSE)+VLOOKUP($E345&amp;$C345,生产方式定位!$F$3:$J$38,3,FALSE),0)</f>
        <v>8700</v>
      </c>
      <c r="X345" s="1">
        <f>IFERROR(VLOOKUP($D345&amp;$C345,生产方式定位!$A$2:$E$38,5,FALSE)+VLOOKUP($E345&amp;$C345,生产方式定位!$F$3:$J$38,5,FALSE),"错误")</f>
        <v>9922</v>
      </c>
      <c r="Y345" s="27" t="str">
        <f t="shared" si="40"/>
        <v/>
      </c>
      <c r="Z345" s="37" t="str">
        <f t="shared" si="41"/>
        <v/>
      </c>
      <c r="AA345" s="37" t="str">
        <f t="shared" si="42"/>
        <v/>
      </c>
      <c r="AB345" s="28">
        <f t="shared" si="43"/>
        <v>1.11</v>
      </c>
      <c r="AC345" s="37"/>
      <c r="AD345" s="38">
        <f t="shared" si="44"/>
        <v>2</v>
      </c>
      <c r="AE345" t="str">
        <f>IFERROR(F345&amp;"*"&amp;ROUND(L345*(G345/$AN345)/VLOOKUP(F345,商品!$A$4:$D$67,4,FALSE),0),"")</f>
        <v/>
      </c>
      <c r="AF345" t="str">
        <f>IFERROR(H345&amp;"*"&amp;ROUND(L345*(I345/$AN345)/VLOOKUP(H345,商品!$A$4:$D$67,4,FALSE),0),"")</f>
        <v/>
      </c>
      <c r="AG345" t="str">
        <f>IFERROR(J345&amp;"*"&amp;ROUND(L345*(K345/$AN345)/VLOOKUP(J345,商品!$A$4:$D$67,4,FALSE),0),"")</f>
        <v/>
      </c>
      <c r="AH345" t="str">
        <f>IFERROR(M345&amp;"*"&amp;ROUND(S345*(N345/$AO345)/VLOOKUP(M345,职业!$A$3:$E$16,4,FALSE),0),"")</f>
        <v/>
      </c>
      <c r="AI345" t="str">
        <f>IFERROR(O345&amp;"*"&amp;ROUND(S345*(P345/$AO345)/VLOOKUP(O345,职业!$A$3:$E$16,4,FALSE),0),"")</f>
        <v/>
      </c>
      <c r="AK345" t="str">
        <f>IFERROR(T345&amp;"*"&amp;ROUND(X345*(U345/$AP345)/VLOOKUP(T345,商品!$A$4:$D$67,4,FALSE),0),"")</f>
        <v/>
      </c>
      <c r="AL345" t="str">
        <f>IFERROR(V345&amp;"*"&amp;ROUND(X345*(W345/$AP345)/VLOOKUP(V345,商品!$A$4:$D$67,4,FALSE),0),"")</f>
        <v/>
      </c>
      <c r="AN345">
        <f t="shared" si="45"/>
        <v>0</v>
      </c>
      <c r="AO345">
        <f t="shared" si="46"/>
        <v>0</v>
      </c>
      <c r="AP345">
        <f t="shared" si="47"/>
        <v>0</v>
      </c>
    </row>
    <row r="346" customHeight="1" spans="1:42">
      <c r="A346" s="5" t="s">
        <v>351</v>
      </c>
      <c r="C346" s="5">
        <v>3</v>
      </c>
      <c r="D346" s="1" t="s">
        <v>240</v>
      </c>
      <c r="E346" s="1" t="s">
        <v>224</v>
      </c>
      <c r="L346" s="1">
        <f>IFERROR(VLOOKUP($D346&amp;$C346,生产方式定位!$A$2:$E$38,2,FALSE)+VLOOKUP($E346&amp;$C346,生产方式定位!$F$3:$J$38,2,FALSE),0)</f>
        <v>11000</v>
      </c>
      <c r="S346" s="1">
        <f>IFERROR(VLOOKUP($D346&amp;$C346,生产方式定位!$A$2:$E$38,3,FALSE)+VLOOKUP($E346&amp;$C346,生产方式定位!$F$3:$J$38,3,FALSE),0)</f>
        <v>9400</v>
      </c>
      <c r="X346" s="1">
        <f>IFERROR(VLOOKUP($D346&amp;$C346,生产方式定位!$A$2:$E$38,5,FALSE)+VLOOKUP($E346&amp;$C346,生产方式定位!$F$3:$J$38,5,FALSE),"错误")</f>
        <v>10488</v>
      </c>
      <c r="Y346" s="27" t="str">
        <f t="shared" si="40"/>
        <v/>
      </c>
      <c r="Z346" s="37" t="str">
        <f t="shared" si="41"/>
        <v/>
      </c>
      <c r="AA346" s="37" t="str">
        <f t="shared" si="42"/>
        <v/>
      </c>
      <c r="AB346" s="28">
        <f t="shared" si="43"/>
        <v>1.05</v>
      </c>
      <c r="AC346" s="37"/>
      <c r="AD346" s="38">
        <f t="shared" si="44"/>
        <v>3</v>
      </c>
      <c r="AE346" t="str">
        <f>IFERROR(F346&amp;"*"&amp;ROUND(L346*(G346/$AN346)/VLOOKUP(F346,商品!$A$4:$D$67,4,FALSE),0),"")</f>
        <v/>
      </c>
      <c r="AF346" t="str">
        <f>IFERROR(H346&amp;"*"&amp;ROUND(L346*(I346/$AN346)/VLOOKUP(H346,商品!$A$4:$D$67,4,FALSE),0),"")</f>
        <v/>
      </c>
      <c r="AG346" t="str">
        <f>IFERROR(J346&amp;"*"&amp;ROUND(L346*(K346/$AN346)/VLOOKUP(J346,商品!$A$4:$D$67,4,FALSE),0),"")</f>
        <v/>
      </c>
      <c r="AH346" t="str">
        <f>IFERROR(M346&amp;"*"&amp;ROUND(S346*(N346/$AO346)/VLOOKUP(M346,职业!$A$3:$E$16,4,FALSE),0),"")</f>
        <v/>
      </c>
      <c r="AI346" t="str">
        <f>IFERROR(O346&amp;"*"&amp;ROUND(S346*(P346/$AO346)/VLOOKUP(O346,职业!$A$3:$E$16,4,FALSE),0),"")</f>
        <v/>
      </c>
      <c r="AK346" t="str">
        <f>IFERROR(T346&amp;"*"&amp;ROUND(X346*(U346/$AP346)/VLOOKUP(T346,商品!$A$4:$D$67,4,FALSE),0),"")</f>
        <v/>
      </c>
      <c r="AL346" t="str">
        <f>IFERROR(V346&amp;"*"&amp;ROUND(X346*(W346/$AP346)/VLOOKUP(V346,商品!$A$4:$D$67,4,FALSE),0),"")</f>
        <v/>
      </c>
      <c r="AN346">
        <f t="shared" si="45"/>
        <v>0</v>
      </c>
      <c r="AO346">
        <f t="shared" si="46"/>
        <v>0</v>
      </c>
      <c r="AP346">
        <f t="shared" si="47"/>
        <v>0</v>
      </c>
    </row>
    <row r="347" customHeight="1" spans="1:42">
      <c r="A347" s="5" t="s">
        <v>351</v>
      </c>
      <c r="C347" s="5">
        <v>4</v>
      </c>
      <c r="D347" s="1" t="s">
        <v>240</v>
      </c>
      <c r="E347" s="1" t="s">
        <v>224</v>
      </c>
      <c r="L347" s="1">
        <f>IFERROR(VLOOKUP($D347&amp;$C347,生产方式定位!$A$2:$E$38,2,FALSE)+VLOOKUP($E347&amp;$C347,生产方式定位!$F$3:$J$38,2,FALSE),0)</f>
        <v>11000</v>
      </c>
      <c r="S347" s="1">
        <f>IFERROR(VLOOKUP($D347&amp;$C347,生产方式定位!$A$2:$E$38,3,FALSE)+VLOOKUP($E347&amp;$C347,生产方式定位!$F$3:$J$38,3,FALSE),0)</f>
        <v>10100</v>
      </c>
      <c r="X347" s="1">
        <f>IFERROR(VLOOKUP($D347&amp;$C347,生产方式定位!$A$2:$E$38,5,FALSE)+VLOOKUP($E347&amp;$C347,生产方式定位!$F$3:$J$38,5,FALSE),"错误")</f>
        <v>11198</v>
      </c>
      <c r="Y347" s="27" t="str">
        <f t="shared" si="40"/>
        <v/>
      </c>
      <c r="Z347" s="37" t="str">
        <f t="shared" si="41"/>
        <v/>
      </c>
      <c r="AA347" s="37" t="str">
        <f t="shared" si="42"/>
        <v/>
      </c>
      <c r="AB347" s="28">
        <f t="shared" si="43"/>
        <v>0.98</v>
      </c>
      <c r="AC347" s="37"/>
      <c r="AD347" s="38">
        <f t="shared" si="44"/>
        <v>4</v>
      </c>
      <c r="AE347" t="str">
        <f>IFERROR(F347&amp;"*"&amp;ROUND(L347*(G347/$AN347)/VLOOKUP(F347,商品!$A$4:$D$67,4,FALSE),0),"")</f>
        <v/>
      </c>
      <c r="AF347" t="str">
        <f>IFERROR(H347&amp;"*"&amp;ROUND(L347*(I347/$AN347)/VLOOKUP(H347,商品!$A$4:$D$67,4,FALSE),0),"")</f>
        <v/>
      </c>
      <c r="AG347" t="str">
        <f>IFERROR(J347&amp;"*"&amp;ROUND(L347*(K347/$AN347)/VLOOKUP(J347,商品!$A$4:$D$67,4,FALSE),0),"")</f>
        <v/>
      </c>
      <c r="AH347" t="str">
        <f>IFERROR(M347&amp;"*"&amp;ROUND(S347*(N347/$AO347)/VLOOKUP(M347,职业!$A$3:$E$16,4,FALSE),0),"")</f>
        <v/>
      </c>
      <c r="AI347" t="str">
        <f>IFERROR(O347&amp;"*"&amp;ROUND(S347*(P347/$AO347)/VLOOKUP(O347,职业!$A$3:$E$16,4,FALSE),0),"")</f>
        <v/>
      </c>
      <c r="AK347" t="str">
        <f>IFERROR(T347&amp;"*"&amp;ROUND(X347*(U347/$AP347)/VLOOKUP(T347,商品!$A$4:$D$67,4,FALSE),0),"")</f>
        <v/>
      </c>
      <c r="AL347" t="str">
        <f>IFERROR(V347&amp;"*"&amp;ROUND(X347*(W347/$AP347)/VLOOKUP(V347,商品!$A$4:$D$67,4,FALSE),0),"")</f>
        <v/>
      </c>
      <c r="AN347">
        <f t="shared" si="45"/>
        <v>0</v>
      </c>
      <c r="AO347">
        <f t="shared" si="46"/>
        <v>0</v>
      </c>
      <c r="AP347">
        <f t="shared" si="47"/>
        <v>0</v>
      </c>
    </row>
    <row r="348" customHeight="1" spans="1:42">
      <c r="A348" s="5" t="s">
        <v>351</v>
      </c>
      <c r="C348" s="5">
        <v>5</v>
      </c>
      <c r="D348" s="1" t="s">
        <v>240</v>
      </c>
      <c r="E348" s="1" t="s">
        <v>224</v>
      </c>
      <c r="L348" s="1">
        <f>IFERROR(VLOOKUP($D348&amp;$C348,生产方式定位!$A$2:$E$38,2,FALSE)+VLOOKUP($E348&amp;$C348,生产方式定位!$F$3:$J$38,2,FALSE),0)</f>
        <v>11000</v>
      </c>
      <c r="S348" s="1">
        <f>IFERROR(VLOOKUP($D348&amp;$C348,生产方式定位!$A$2:$E$38,3,FALSE)+VLOOKUP($E348&amp;$C348,生产方式定位!$F$3:$J$38,3,FALSE),0)</f>
        <v>10800</v>
      </c>
      <c r="X348" s="1">
        <f>IFERROR(VLOOKUP($D348&amp;$C348,生产方式定位!$A$2:$E$38,5,FALSE)+VLOOKUP($E348&amp;$C348,生产方式定位!$F$3:$J$38,5,FALSE),"错误")</f>
        <v>12100</v>
      </c>
      <c r="Y348" s="27" t="str">
        <f t="shared" si="40"/>
        <v/>
      </c>
      <c r="Z348" s="37" t="str">
        <f t="shared" si="41"/>
        <v/>
      </c>
      <c r="AA348" s="37" t="str">
        <f t="shared" si="42"/>
        <v/>
      </c>
      <c r="AB348" s="28">
        <f t="shared" si="43"/>
        <v>0.91</v>
      </c>
      <c r="AC348" s="37"/>
      <c r="AD348" s="38">
        <f t="shared" si="44"/>
        <v>5</v>
      </c>
      <c r="AE348" t="str">
        <f>IFERROR(F348&amp;"*"&amp;ROUND(L348*(G348/$AN348)/VLOOKUP(F348,商品!$A$4:$D$67,4,FALSE),0),"")</f>
        <v/>
      </c>
      <c r="AF348" t="str">
        <f>IFERROR(H348&amp;"*"&amp;ROUND(L348*(I348/$AN348)/VLOOKUP(H348,商品!$A$4:$D$67,4,FALSE),0),"")</f>
        <v/>
      </c>
      <c r="AG348" t="str">
        <f>IFERROR(J348&amp;"*"&amp;ROUND(L348*(K348/$AN348)/VLOOKUP(J348,商品!$A$4:$D$67,4,FALSE),0),"")</f>
        <v/>
      </c>
      <c r="AH348" t="str">
        <f>IFERROR(M348&amp;"*"&amp;ROUND(S348*(N348/$AO348)/VLOOKUP(M348,职业!$A$3:$E$16,4,FALSE),0),"")</f>
        <v/>
      </c>
      <c r="AI348" t="str">
        <f>IFERROR(O348&amp;"*"&amp;ROUND(S348*(P348/$AO348)/VLOOKUP(O348,职业!$A$3:$E$16,4,FALSE),0),"")</f>
        <v/>
      </c>
      <c r="AK348" t="str">
        <f>IFERROR(T348&amp;"*"&amp;ROUND(X348*(U348/$AP348)/VLOOKUP(T348,商品!$A$4:$D$67,4,FALSE),0),"")</f>
        <v/>
      </c>
      <c r="AL348" t="str">
        <f>IFERROR(V348&amp;"*"&amp;ROUND(X348*(W348/$AP348)/VLOOKUP(V348,商品!$A$4:$D$67,4,FALSE),0),"")</f>
        <v/>
      </c>
      <c r="AN348">
        <f t="shared" si="45"/>
        <v>0</v>
      </c>
      <c r="AO348">
        <f t="shared" si="46"/>
        <v>0</v>
      </c>
      <c r="AP348">
        <f t="shared" si="47"/>
        <v>0</v>
      </c>
    </row>
    <row r="349" customHeight="1" spans="1:42">
      <c r="A349" s="18" t="s">
        <v>352</v>
      </c>
      <c r="C349" s="18">
        <v>1</v>
      </c>
      <c r="D349" s="1" t="s">
        <v>240</v>
      </c>
      <c r="E349" s="1" t="s">
        <v>226</v>
      </c>
      <c r="L349" s="1">
        <f>IFERROR(VLOOKUP($D349&amp;$C349,生产方式定位!$A$2:$E$38,2,FALSE)+VLOOKUP($E349&amp;$C349,生产方式定位!$F$3:$J$38,2,FALSE),0)</f>
        <v>0</v>
      </c>
      <c r="S349" s="1">
        <f>IFERROR(VLOOKUP($D349&amp;$C349,生产方式定位!$A$2:$E$38,3,FALSE)+VLOOKUP($E349&amp;$C349,生产方式定位!$F$3:$J$38,3,FALSE),0)</f>
        <v>8000</v>
      </c>
      <c r="X349" s="1">
        <f>IFERROR(VLOOKUP($D349&amp;$C349,生产方式定位!$A$2:$E$38,5,FALSE)+VLOOKUP($E349&amp;$C349,生产方式定位!$F$3:$J$38,5,FALSE),"错误")</f>
        <v>4000</v>
      </c>
      <c r="Y349" s="27" t="str">
        <f t="shared" si="40"/>
        <v/>
      </c>
      <c r="Z349" s="37" t="str">
        <f t="shared" si="41"/>
        <v/>
      </c>
      <c r="AA349" s="37" t="str">
        <f t="shared" si="42"/>
        <v/>
      </c>
      <c r="AB349" s="28">
        <f t="shared" si="43"/>
        <v>0</v>
      </c>
      <c r="AC349" s="37"/>
      <c r="AD349" s="38">
        <f t="shared" si="44"/>
        <v>1</v>
      </c>
      <c r="AE349" t="str">
        <f>IFERROR(F349&amp;"*"&amp;ROUND(L349*(G349/$AN349)/VLOOKUP(F349,商品!$A$4:$D$67,4,FALSE),0),"")</f>
        <v/>
      </c>
      <c r="AF349" t="str">
        <f>IFERROR(H349&amp;"*"&amp;ROUND(L349*(I349/$AN349)/VLOOKUP(H349,商品!$A$4:$D$67,4,FALSE),0),"")</f>
        <v/>
      </c>
      <c r="AG349" t="str">
        <f>IFERROR(J349&amp;"*"&amp;ROUND(L349*(K349/$AN349)/VLOOKUP(J349,商品!$A$4:$D$67,4,FALSE),0),"")</f>
        <v/>
      </c>
      <c r="AH349" t="str">
        <f>IFERROR(M349&amp;"*"&amp;ROUND(S349*(N349/$AO349)/VLOOKUP(M349,职业!$A$3:$E$16,4,FALSE),0),"")</f>
        <v/>
      </c>
      <c r="AI349" t="str">
        <f>IFERROR(O349&amp;"*"&amp;ROUND(S349*(P349/$AO349)/VLOOKUP(O349,职业!$A$3:$E$16,4,FALSE),0),"")</f>
        <v/>
      </c>
      <c r="AK349" t="str">
        <f>IFERROR(T349&amp;"*"&amp;ROUND(X349*(U349/$AP349)/VLOOKUP(T349,商品!$A$4:$D$67,4,FALSE),0),"")</f>
        <v/>
      </c>
      <c r="AL349" t="str">
        <f>IFERROR(V349&amp;"*"&amp;ROUND(X349*(W349/$AP349)/VLOOKUP(V349,商品!$A$4:$D$67,4,FALSE),0),"")</f>
        <v/>
      </c>
      <c r="AN349">
        <f t="shared" si="45"/>
        <v>0</v>
      </c>
      <c r="AO349">
        <f t="shared" si="46"/>
        <v>0</v>
      </c>
      <c r="AP349">
        <f t="shared" si="47"/>
        <v>0</v>
      </c>
    </row>
    <row r="350" customHeight="1" spans="1:42">
      <c r="A350" s="18" t="s">
        <v>352</v>
      </c>
      <c r="C350" s="18">
        <v>2</v>
      </c>
      <c r="D350" s="1" t="s">
        <v>240</v>
      </c>
      <c r="E350" s="1" t="s">
        <v>226</v>
      </c>
      <c r="L350" s="1">
        <f>IFERROR(VLOOKUP($D350&amp;$C350,生产方式定位!$A$2:$E$38,2,FALSE)+VLOOKUP($E350&amp;$C350,生产方式定位!$F$3:$J$38,2,FALSE),0)</f>
        <v>12000</v>
      </c>
      <c r="S350" s="1">
        <f>IFERROR(VLOOKUP($D350&amp;$C350,生产方式定位!$A$2:$E$38,3,FALSE)+VLOOKUP($E350&amp;$C350,生产方式定位!$F$3:$J$38,3,FALSE),0)</f>
        <v>8300</v>
      </c>
      <c r="X350" s="1">
        <f>IFERROR(VLOOKUP($D350&amp;$C350,生产方式定位!$A$2:$E$38,5,FALSE)+VLOOKUP($E350&amp;$C350,生产方式定位!$F$3:$J$38,5,FALSE),"错误")</f>
        <v>10240</v>
      </c>
      <c r="Y350" s="27" t="str">
        <f t="shared" si="40"/>
        <v/>
      </c>
      <c r="Z350" s="37" t="str">
        <f t="shared" si="41"/>
        <v/>
      </c>
      <c r="AA350" s="37" t="str">
        <f t="shared" si="42"/>
        <v/>
      </c>
      <c r="AB350" s="28">
        <f t="shared" si="43"/>
        <v>1.17</v>
      </c>
      <c r="AC350" s="37"/>
      <c r="AD350" s="38">
        <f t="shared" si="44"/>
        <v>2</v>
      </c>
      <c r="AE350" t="str">
        <f>IFERROR(F350&amp;"*"&amp;ROUND(L350*(G350/$AN350)/VLOOKUP(F350,商品!$A$4:$D$67,4,FALSE),0),"")</f>
        <v/>
      </c>
      <c r="AF350" t="str">
        <f>IFERROR(H350&amp;"*"&amp;ROUND(L350*(I350/$AN350)/VLOOKUP(H350,商品!$A$4:$D$67,4,FALSE),0),"")</f>
        <v/>
      </c>
      <c r="AG350" t="str">
        <f>IFERROR(J350&amp;"*"&amp;ROUND(L350*(K350/$AN350)/VLOOKUP(J350,商品!$A$4:$D$67,4,FALSE),0),"")</f>
        <v/>
      </c>
      <c r="AH350" t="str">
        <f>IFERROR(M350&amp;"*"&amp;ROUND(S350*(N350/$AO350)/VLOOKUP(M350,职业!$A$3:$E$16,4,FALSE),0),"")</f>
        <v/>
      </c>
      <c r="AI350" t="str">
        <f>IFERROR(O350&amp;"*"&amp;ROUND(S350*(P350/$AO350)/VLOOKUP(O350,职业!$A$3:$E$16,4,FALSE),0),"")</f>
        <v/>
      </c>
      <c r="AK350" t="str">
        <f>IFERROR(T350&amp;"*"&amp;ROUND(X350*(U350/$AP350)/VLOOKUP(T350,商品!$A$4:$D$67,4,FALSE),0),"")</f>
        <v/>
      </c>
      <c r="AL350" t="str">
        <f>IFERROR(V350&amp;"*"&amp;ROUND(X350*(W350/$AP350)/VLOOKUP(V350,商品!$A$4:$D$67,4,FALSE),0),"")</f>
        <v/>
      </c>
      <c r="AN350">
        <f t="shared" si="45"/>
        <v>0</v>
      </c>
      <c r="AO350">
        <f t="shared" si="46"/>
        <v>0</v>
      </c>
      <c r="AP350">
        <f t="shared" si="47"/>
        <v>0</v>
      </c>
    </row>
    <row r="351" customHeight="1" spans="1:42">
      <c r="A351" s="18" t="s">
        <v>352</v>
      </c>
      <c r="C351" s="18">
        <v>3</v>
      </c>
      <c r="D351" s="1" t="s">
        <v>240</v>
      </c>
      <c r="E351" s="1" t="s">
        <v>226</v>
      </c>
      <c r="L351" s="1">
        <f>IFERROR(VLOOKUP($D351&amp;$C351,生产方式定位!$A$2:$E$38,2,FALSE)+VLOOKUP($E351&amp;$C351,生产方式定位!$F$3:$J$38,2,FALSE),0)</f>
        <v>12000</v>
      </c>
      <c r="S351" s="1">
        <f>IFERROR(VLOOKUP($D351&amp;$C351,生产方式定位!$A$2:$E$38,3,FALSE)+VLOOKUP($E351&amp;$C351,生产方式定位!$F$3:$J$38,3,FALSE),0)</f>
        <v>8600</v>
      </c>
      <c r="X351" s="1">
        <f>IFERROR(VLOOKUP($D351&amp;$C351,生产方式定位!$A$2:$E$38,5,FALSE)+VLOOKUP($E351&amp;$C351,生产方式定位!$F$3:$J$38,5,FALSE),"错误")</f>
        <v>10560</v>
      </c>
      <c r="Y351" s="27" t="str">
        <f t="shared" si="40"/>
        <v/>
      </c>
      <c r="Z351" s="37" t="str">
        <f t="shared" si="41"/>
        <v/>
      </c>
      <c r="AA351" s="37" t="str">
        <f t="shared" si="42"/>
        <v/>
      </c>
      <c r="AB351" s="28">
        <f t="shared" si="43"/>
        <v>1.14</v>
      </c>
      <c r="AC351" s="37"/>
      <c r="AD351" s="38">
        <f t="shared" si="44"/>
        <v>3</v>
      </c>
      <c r="AE351" t="str">
        <f>IFERROR(F351&amp;"*"&amp;ROUND(L351*(G351/$AN351)/VLOOKUP(F351,商品!$A$4:$D$67,4,FALSE),0),"")</f>
        <v/>
      </c>
      <c r="AF351" t="str">
        <f>IFERROR(H351&amp;"*"&amp;ROUND(L351*(I351/$AN351)/VLOOKUP(H351,商品!$A$4:$D$67,4,FALSE),0),"")</f>
        <v/>
      </c>
      <c r="AG351" t="str">
        <f>IFERROR(J351&amp;"*"&amp;ROUND(L351*(K351/$AN351)/VLOOKUP(J351,商品!$A$4:$D$67,4,FALSE),0),"")</f>
        <v/>
      </c>
      <c r="AH351" t="str">
        <f>IFERROR(M351&amp;"*"&amp;ROUND(S351*(N351/$AO351)/VLOOKUP(M351,职业!$A$3:$E$16,4,FALSE),0),"")</f>
        <v/>
      </c>
      <c r="AI351" t="str">
        <f>IFERROR(O351&amp;"*"&amp;ROUND(S351*(P351/$AO351)/VLOOKUP(O351,职业!$A$3:$E$16,4,FALSE),0),"")</f>
        <v/>
      </c>
      <c r="AK351" t="str">
        <f>IFERROR(T351&amp;"*"&amp;ROUND(X351*(U351/$AP351)/VLOOKUP(T351,商品!$A$4:$D$67,4,FALSE),0),"")</f>
        <v/>
      </c>
      <c r="AL351" t="str">
        <f>IFERROR(V351&amp;"*"&amp;ROUND(X351*(W351/$AP351)/VLOOKUP(V351,商品!$A$4:$D$67,4,FALSE),0),"")</f>
        <v/>
      </c>
      <c r="AN351">
        <f t="shared" si="45"/>
        <v>0</v>
      </c>
      <c r="AO351">
        <f t="shared" si="46"/>
        <v>0</v>
      </c>
      <c r="AP351">
        <f t="shared" si="47"/>
        <v>0</v>
      </c>
    </row>
    <row r="352" customHeight="1" spans="1:42">
      <c r="A352" s="18" t="s">
        <v>352</v>
      </c>
      <c r="C352" s="18">
        <v>4</v>
      </c>
      <c r="D352" s="1" t="s">
        <v>240</v>
      </c>
      <c r="E352" s="1" t="s">
        <v>226</v>
      </c>
      <c r="L352" s="1">
        <f>IFERROR(VLOOKUP($D352&amp;$C352,生产方式定位!$A$2:$E$38,2,FALSE)+VLOOKUP($E352&amp;$C352,生产方式定位!$F$3:$J$38,2,FALSE),0)</f>
        <v>12000</v>
      </c>
      <c r="S352" s="1">
        <f>IFERROR(VLOOKUP($D352&amp;$C352,生产方式定位!$A$2:$E$38,3,FALSE)+VLOOKUP($E352&amp;$C352,生产方式定位!$F$3:$J$38,3,FALSE),0)</f>
        <v>8900</v>
      </c>
      <c r="X352" s="1">
        <f>IFERROR(VLOOKUP($D352&amp;$C352,生产方式定位!$A$2:$E$38,5,FALSE)+VLOOKUP($E352&amp;$C352,生产方式定位!$F$3:$J$38,5,FALSE),"错误")</f>
        <v>10960</v>
      </c>
      <c r="Y352" s="27" t="str">
        <f t="shared" si="40"/>
        <v/>
      </c>
      <c r="Z352" s="37" t="str">
        <f t="shared" si="41"/>
        <v/>
      </c>
      <c r="AA352" s="37" t="str">
        <f t="shared" si="42"/>
        <v/>
      </c>
      <c r="AB352" s="28">
        <f t="shared" si="43"/>
        <v>1.09</v>
      </c>
      <c r="AC352" s="37"/>
      <c r="AD352" s="38">
        <f t="shared" si="44"/>
        <v>4</v>
      </c>
      <c r="AE352" t="str">
        <f>IFERROR(F352&amp;"*"&amp;ROUND(L352*(G352/$AN352)/VLOOKUP(F352,商品!$A$4:$D$67,4,FALSE),0),"")</f>
        <v/>
      </c>
      <c r="AF352" t="str">
        <f>IFERROR(H352&amp;"*"&amp;ROUND(L352*(I352/$AN352)/VLOOKUP(H352,商品!$A$4:$D$67,4,FALSE),0),"")</f>
        <v/>
      </c>
      <c r="AG352" t="str">
        <f>IFERROR(J352&amp;"*"&amp;ROUND(L352*(K352/$AN352)/VLOOKUP(J352,商品!$A$4:$D$67,4,FALSE),0),"")</f>
        <v/>
      </c>
      <c r="AH352" t="str">
        <f>IFERROR(M352&amp;"*"&amp;ROUND(S352*(N352/$AO352)/VLOOKUP(M352,职业!$A$3:$E$16,4,FALSE),0),"")</f>
        <v/>
      </c>
      <c r="AI352" t="str">
        <f>IFERROR(O352&amp;"*"&amp;ROUND(S352*(P352/$AO352)/VLOOKUP(O352,职业!$A$3:$E$16,4,FALSE),0),"")</f>
        <v/>
      </c>
      <c r="AK352" t="str">
        <f>IFERROR(T352&amp;"*"&amp;ROUND(X352*(U352/$AP352)/VLOOKUP(T352,商品!$A$4:$D$67,4,FALSE),0),"")</f>
        <v/>
      </c>
      <c r="AL352" t="str">
        <f>IFERROR(V352&amp;"*"&amp;ROUND(X352*(W352/$AP352)/VLOOKUP(V352,商品!$A$4:$D$67,4,FALSE),0),"")</f>
        <v/>
      </c>
      <c r="AN352">
        <f t="shared" si="45"/>
        <v>0</v>
      </c>
      <c r="AO352">
        <f t="shared" si="46"/>
        <v>0</v>
      </c>
      <c r="AP352">
        <f t="shared" si="47"/>
        <v>0</v>
      </c>
    </row>
    <row r="353" customHeight="1" spans="1:42">
      <c r="A353" s="18" t="s">
        <v>352</v>
      </c>
      <c r="C353" s="18">
        <v>5</v>
      </c>
      <c r="D353" s="1" t="s">
        <v>240</v>
      </c>
      <c r="E353" s="1" t="s">
        <v>226</v>
      </c>
      <c r="L353" s="1">
        <f>IFERROR(VLOOKUP($D353&amp;$C353,生产方式定位!$A$2:$E$38,2,FALSE)+VLOOKUP($E353&amp;$C353,生产方式定位!$F$3:$J$38,2,FALSE),0)</f>
        <v>12000</v>
      </c>
      <c r="S353" s="1">
        <f>IFERROR(VLOOKUP($D353&amp;$C353,生产方式定位!$A$2:$E$38,3,FALSE)+VLOOKUP($E353&amp;$C353,生产方式定位!$F$3:$J$38,3,FALSE),0)</f>
        <v>9200</v>
      </c>
      <c r="X353" s="1">
        <f>IFERROR(VLOOKUP($D353&amp;$C353,生产方式定位!$A$2:$E$38,5,FALSE)+VLOOKUP($E353&amp;$C353,生产方式定位!$F$3:$J$38,5,FALSE),"错误")</f>
        <v>11440</v>
      </c>
      <c r="Y353" s="27" t="str">
        <f t="shared" si="40"/>
        <v/>
      </c>
      <c r="Z353" s="37" t="str">
        <f t="shared" si="41"/>
        <v/>
      </c>
      <c r="AA353" s="37" t="str">
        <f t="shared" si="42"/>
        <v/>
      </c>
      <c r="AB353" s="28">
        <f t="shared" si="43"/>
        <v>1.05</v>
      </c>
      <c r="AC353" s="37"/>
      <c r="AD353" s="38">
        <f t="shared" si="44"/>
        <v>5</v>
      </c>
      <c r="AE353" t="str">
        <f>IFERROR(F353&amp;"*"&amp;ROUND(L353*(G353/$AN353)/VLOOKUP(F353,商品!$A$4:$D$67,4,FALSE),0),"")</f>
        <v/>
      </c>
      <c r="AF353" t="str">
        <f>IFERROR(H353&amp;"*"&amp;ROUND(L353*(I353/$AN353)/VLOOKUP(H353,商品!$A$4:$D$67,4,FALSE),0),"")</f>
        <v/>
      </c>
      <c r="AG353" t="str">
        <f>IFERROR(J353&amp;"*"&amp;ROUND(L353*(K353/$AN353)/VLOOKUP(J353,商品!$A$4:$D$67,4,FALSE),0),"")</f>
        <v/>
      </c>
      <c r="AH353" t="str">
        <f>IFERROR(M353&amp;"*"&amp;ROUND(S353*(N353/$AO353)/VLOOKUP(M353,职业!$A$3:$E$16,4,FALSE),0),"")</f>
        <v/>
      </c>
      <c r="AI353" t="str">
        <f>IFERROR(O353&amp;"*"&amp;ROUND(S353*(P353/$AO353)/VLOOKUP(O353,职业!$A$3:$E$16,4,FALSE),0),"")</f>
        <v/>
      </c>
      <c r="AK353" t="str">
        <f>IFERROR(T353&amp;"*"&amp;ROUND(X353*(U353/$AP353)/VLOOKUP(T353,商品!$A$4:$D$67,4,FALSE),0),"")</f>
        <v/>
      </c>
      <c r="AL353" t="str">
        <f>IFERROR(V353&amp;"*"&amp;ROUND(X353*(W353/$AP353)/VLOOKUP(V353,商品!$A$4:$D$67,4,FALSE),0),"")</f>
        <v/>
      </c>
      <c r="AN353">
        <f t="shared" si="45"/>
        <v>0</v>
      </c>
      <c r="AO353">
        <f t="shared" si="46"/>
        <v>0</v>
      </c>
      <c r="AP353">
        <f t="shared" si="47"/>
        <v>0</v>
      </c>
    </row>
    <row r="354" customHeight="1" spans="1:42">
      <c r="A354" s="5" t="s">
        <v>352</v>
      </c>
      <c r="C354" s="5">
        <v>1</v>
      </c>
      <c r="D354" s="1" t="s">
        <v>240</v>
      </c>
      <c r="E354" s="1" t="s">
        <v>226</v>
      </c>
      <c r="L354" s="1">
        <f>IFERROR(VLOOKUP($D354&amp;$C354,生产方式定位!$A$2:$E$38,2,FALSE)+VLOOKUP($E354&amp;$C354,生产方式定位!$F$3:$J$38,2,FALSE),0)</f>
        <v>0</v>
      </c>
      <c r="S354" s="1">
        <f>IFERROR(VLOOKUP($D354&amp;$C354,生产方式定位!$A$2:$E$38,3,FALSE)+VLOOKUP($E354&amp;$C354,生产方式定位!$F$3:$J$38,3,FALSE),0)</f>
        <v>8000</v>
      </c>
      <c r="X354" s="1">
        <f>IFERROR(VLOOKUP($D354&amp;$C354,生产方式定位!$A$2:$E$38,5,FALSE)+VLOOKUP($E354&amp;$C354,生产方式定位!$F$3:$J$38,5,FALSE),"错误")</f>
        <v>4000</v>
      </c>
      <c r="Y354" s="27" t="str">
        <f t="shared" si="40"/>
        <v/>
      </c>
      <c r="Z354" s="37" t="str">
        <f t="shared" si="41"/>
        <v/>
      </c>
      <c r="AA354" s="37" t="str">
        <f t="shared" si="42"/>
        <v/>
      </c>
      <c r="AB354" s="28">
        <f t="shared" si="43"/>
        <v>0</v>
      </c>
      <c r="AC354" s="37"/>
      <c r="AD354" s="38">
        <f t="shared" si="44"/>
        <v>1</v>
      </c>
      <c r="AE354" t="str">
        <f>IFERROR(F354&amp;"*"&amp;ROUND(L354*(G354/$AN354)/VLOOKUP(F354,商品!$A$4:$D$67,4,FALSE),0),"")</f>
        <v/>
      </c>
      <c r="AF354" t="str">
        <f>IFERROR(H354&amp;"*"&amp;ROUND(L354*(I354/$AN354)/VLOOKUP(H354,商品!$A$4:$D$67,4,FALSE),0),"")</f>
        <v/>
      </c>
      <c r="AG354" t="str">
        <f>IFERROR(J354&amp;"*"&amp;ROUND(L354*(K354/$AN354)/VLOOKUP(J354,商品!$A$4:$D$67,4,FALSE),0),"")</f>
        <v/>
      </c>
      <c r="AH354" t="str">
        <f>IFERROR(M354&amp;"*"&amp;ROUND(S354*(N354/$AO354)/VLOOKUP(M354,职业!$A$3:$E$16,4,FALSE),0),"")</f>
        <v/>
      </c>
      <c r="AI354" t="str">
        <f>IFERROR(O354&amp;"*"&amp;ROUND(S354*(P354/$AO354)/VLOOKUP(O354,职业!$A$3:$E$16,4,FALSE),0),"")</f>
        <v/>
      </c>
      <c r="AK354" t="str">
        <f>IFERROR(T354&amp;"*"&amp;ROUND(X354*(U354/$AP354)/VLOOKUP(T354,商品!$A$4:$D$67,4,FALSE),0),"")</f>
        <v/>
      </c>
      <c r="AL354" t="str">
        <f>IFERROR(V354&amp;"*"&amp;ROUND(X354*(W354/$AP354)/VLOOKUP(V354,商品!$A$4:$D$67,4,FALSE),0),"")</f>
        <v/>
      </c>
      <c r="AN354">
        <f t="shared" si="45"/>
        <v>0</v>
      </c>
      <c r="AO354">
        <f t="shared" si="46"/>
        <v>0</v>
      </c>
      <c r="AP354">
        <f t="shared" si="47"/>
        <v>0</v>
      </c>
    </row>
    <row r="355" customHeight="1" spans="1:42">
      <c r="A355" s="5" t="s">
        <v>352</v>
      </c>
      <c r="C355" s="5">
        <v>2</v>
      </c>
      <c r="D355" s="1" t="s">
        <v>240</v>
      </c>
      <c r="E355" s="1" t="s">
        <v>226</v>
      </c>
      <c r="L355" s="1">
        <f>IFERROR(VLOOKUP($D355&amp;$C355,生产方式定位!$A$2:$E$38,2,FALSE)+VLOOKUP($E355&amp;$C355,生产方式定位!$F$3:$J$38,2,FALSE),0)</f>
        <v>12000</v>
      </c>
      <c r="S355" s="1">
        <f>IFERROR(VLOOKUP($D355&amp;$C355,生产方式定位!$A$2:$E$38,3,FALSE)+VLOOKUP($E355&amp;$C355,生产方式定位!$F$3:$J$38,3,FALSE),0)</f>
        <v>8300</v>
      </c>
      <c r="X355" s="1">
        <f>IFERROR(VLOOKUP($D355&amp;$C355,生产方式定位!$A$2:$E$38,5,FALSE)+VLOOKUP($E355&amp;$C355,生产方式定位!$F$3:$J$38,5,FALSE),"错误")</f>
        <v>10240</v>
      </c>
      <c r="Y355" s="27" t="str">
        <f t="shared" si="40"/>
        <v/>
      </c>
      <c r="Z355" s="37" t="str">
        <f t="shared" si="41"/>
        <v/>
      </c>
      <c r="AA355" s="37" t="str">
        <f t="shared" si="42"/>
        <v/>
      </c>
      <c r="AB355" s="28">
        <f t="shared" si="43"/>
        <v>1.17</v>
      </c>
      <c r="AC355" s="37"/>
      <c r="AD355" s="38">
        <f t="shared" si="44"/>
        <v>2</v>
      </c>
      <c r="AE355" t="str">
        <f>IFERROR(F355&amp;"*"&amp;ROUND(L355*(G355/$AN355)/VLOOKUP(F355,商品!$A$4:$D$67,4,FALSE),0),"")</f>
        <v/>
      </c>
      <c r="AF355" t="str">
        <f>IFERROR(H355&amp;"*"&amp;ROUND(L355*(I355/$AN355)/VLOOKUP(H355,商品!$A$4:$D$67,4,FALSE),0),"")</f>
        <v/>
      </c>
      <c r="AG355" t="str">
        <f>IFERROR(J355&amp;"*"&amp;ROUND(L355*(K355/$AN355)/VLOOKUP(J355,商品!$A$4:$D$67,4,FALSE),0),"")</f>
        <v/>
      </c>
      <c r="AH355" t="str">
        <f>IFERROR(M355&amp;"*"&amp;ROUND(S355*(N355/$AO355)/VLOOKUP(M355,职业!$A$3:$E$16,4,FALSE),0),"")</f>
        <v/>
      </c>
      <c r="AI355" t="str">
        <f>IFERROR(O355&amp;"*"&amp;ROUND(S355*(P355/$AO355)/VLOOKUP(O355,职业!$A$3:$E$16,4,FALSE),0),"")</f>
        <v/>
      </c>
      <c r="AK355" t="str">
        <f>IFERROR(T355&amp;"*"&amp;ROUND(X355*(U355/$AP355)/VLOOKUP(T355,商品!$A$4:$D$67,4,FALSE),0),"")</f>
        <v/>
      </c>
      <c r="AL355" t="str">
        <f>IFERROR(V355&amp;"*"&amp;ROUND(X355*(W355/$AP355)/VLOOKUP(V355,商品!$A$4:$D$67,4,FALSE),0),"")</f>
        <v/>
      </c>
      <c r="AN355">
        <f t="shared" si="45"/>
        <v>0</v>
      </c>
      <c r="AO355">
        <f t="shared" si="46"/>
        <v>0</v>
      </c>
      <c r="AP355">
        <f t="shared" si="47"/>
        <v>0</v>
      </c>
    </row>
    <row r="356" customHeight="1" spans="1:42">
      <c r="A356" s="5" t="s">
        <v>352</v>
      </c>
      <c r="C356" s="5">
        <v>3</v>
      </c>
      <c r="D356" s="1" t="s">
        <v>240</v>
      </c>
      <c r="E356" s="1" t="s">
        <v>226</v>
      </c>
      <c r="L356" s="1">
        <f>IFERROR(VLOOKUP($D356&amp;$C356,生产方式定位!$A$2:$E$38,2,FALSE)+VLOOKUP($E356&amp;$C356,生产方式定位!$F$3:$J$38,2,FALSE),0)</f>
        <v>12000</v>
      </c>
      <c r="S356" s="1">
        <f>IFERROR(VLOOKUP($D356&amp;$C356,生产方式定位!$A$2:$E$38,3,FALSE)+VLOOKUP($E356&amp;$C356,生产方式定位!$F$3:$J$38,3,FALSE),0)</f>
        <v>8600</v>
      </c>
      <c r="X356" s="1">
        <f>IFERROR(VLOOKUP($D356&amp;$C356,生产方式定位!$A$2:$E$38,5,FALSE)+VLOOKUP($E356&amp;$C356,生产方式定位!$F$3:$J$38,5,FALSE),"错误")</f>
        <v>10560</v>
      </c>
      <c r="Y356" s="27" t="str">
        <f t="shared" si="40"/>
        <v/>
      </c>
      <c r="Z356" s="37" t="str">
        <f t="shared" si="41"/>
        <v/>
      </c>
      <c r="AA356" s="37" t="str">
        <f t="shared" si="42"/>
        <v/>
      </c>
      <c r="AB356" s="28">
        <f t="shared" si="43"/>
        <v>1.14</v>
      </c>
      <c r="AC356" s="37"/>
      <c r="AD356" s="38">
        <f t="shared" si="44"/>
        <v>3</v>
      </c>
      <c r="AE356" t="str">
        <f>IFERROR(F356&amp;"*"&amp;ROUND(L356*(G356/$AN356)/VLOOKUP(F356,商品!$A$4:$D$67,4,FALSE),0),"")</f>
        <v/>
      </c>
      <c r="AF356" t="str">
        <f>IFERROR(H356&amp;"*"&amp;ROUND(L356*(I356/$AN356)/VLOOKUP(H356,商品!$A$4:$D$67,4,FALSE),0),"")</f>
        <v/>
      </c>
      <c r="AG356" t="str">
        <f>IFERROR(J356&amp;"*"&amp;ROUND(L356*(K356/$AN356)/VLOOKUP(J356,商品!$A$4:$D$67,4,FALSE),0),"")</f>
        <v/>
      </c>
      <c r="AH356" t="str">
        <f>IFERROR(M356&amp;"*"&amp;ROUND(S356*(N356/$AO356)/VLOOKUP(M356,职业!$A$3:$E$16,4,FALSE),0),"")</f>
        <v/>
      </c>
      <c r="AI356" t="str">
        <f>IFERROR(O356&amp;"*"&amp;ROUND(S356*(P356/$AO356)/VLOOKUP(O356,职业!$A$3:$E$16,4,FALSE),0),"")</f>
        <v/>
      </c>
      <c r="AK356" t="str">
        <f>IFERROR(T356&amp;"*"&amp;ROUND(X356*(U356/$AP356)/VLOOKUP(T356,商品!$A$4:$D$67,4,FALSE),0),"")</f>
        <v/>
      </c>
      <c r="AL356" t="str">
        <f>IFERROR(V356&amp;"*"&amp;ROUND(X356*(W356/$AP356)/VLOOKUP(V356,商品!$A$4:$D$67,4,FALSE),0),"")</f>
        <v/>
      </c>
      <c r="AN356">
        <f t="shared" si="45"/>
        <v>0</v>
      </c>
      <c r="AO356">
        <f t="shared" si="46"/>
        <v>0</v>
      </c>
      <c r="AP356">
        <f t="shared" si="47"/>
        <v>0</v>
      </c>
    </row>
    <row r="357" customHeight="1" spans="1:42">
      <c r="A357" s="5" t="s">
        <v>352</v>
      </c>
      <c r="C357" s="5">
        <v>4</v>
      </c>
      <c r="D357" s="1" t="s">
        <v>240</v>
      </c>
      <c r="E357" s="1" t="s">
        <v>226</v>
      </c>
      <c r="L357" s="1">
        <f>IFERROR(VLOOKUP($D357&amp;$C357,生产方式定位!$A$2:$E$38,2,FALSE)+VLOOKUP($E357&amp;$C357,生产方式定位!$F$3:$J$38,2,FALSE),0)</f>
        <v>12000</v>
      </c>
      <c r="S357" s="1">
        <f>IFERROR(VLOOKUP($D357&amp;$C357,生产方式定位!$A$2:$E$38,3,FALSE)+VLOOKUP($E357&amp;$C357,生产方式定位!$F$3:$J$38,3,FALSE),0)</f>
        <v>8900</v>
      </c>
      <c r="X357" s="1">
        <f>IFERROR(VLOOKUP($D357&amp;$C357,生产方式定位!$A$2:$E$38,5,FALSE)+VLOOKUP($E357&amp;$C357,生产方式定位!$F$3:$J$38,5,FALSE),"错误")</f>
        <v>10960</v>
      </c>
      <c r="Y357" s="27" t="str">
        <f t="shared" si="40"/>
        <v/>
      </c>
      <c r="Z357" s="37" t="str">
        <f t="shared" si="41"/>
        <v/>
      </c>
      <c r="AA357" s="37" t="str">
        <f t="shared" si="42"/>
        <v/>
      </c>
      <c r="AB357" s="28">
        <f t="shared" si="43"/>
        <v>1.09</v>
      </c>
      <c r="AC357" s="37"/>
      <c r="AD357" s="38">
        <f t="shared" si="44"/>
        <v>4</v>
      </c>
      <c r="AE357" t="str">
        <f>IFERROR(F357&amp;"*"&amp;ROUND(L357*(G357/$AN357)/VLOOKUP(F357,商品!$A$4:$D$67,4,FALSE),0),"")</f>
        <v/>
      </c>
      <c r="AF357" t="str">
        <f>IFERROR(H357&amp;"*"&amp;ROUND(L357*(I357/$AN357)/VLOOKUP(H357,商品!$A$4:$D$67,4,FALSE),0),"")</f>
        <v/>
      </c>
      <c r="AG357" t="str">
        <f>IFERROR(J357&amp;"*"&amp;ROUND(L357*(K357/$AN357)/VLOOKUP(J357,商品!$A$4:$D$67,4,FALSE),0),"")</f>
        <v/>
      </c>
      <c r="AH357" t="str">
        <f>IFERROR(M357&amp;"*"&amp;ROUND(S357*(N357/$AO357)/VLOOKUP(M357,职业!$A$3:$E$16,4,FALSE),0),"")</f>
        <v/>
      </c>
      <c r="AI357" t="str">
        <f>IFERROR(O357&amp;"*"&amp;ROUND(S357*(P357/$AO357)/VLOOKUP(O357,职业!$A$3:$E$16,4,FALSE),0),"")</f>
        <v/>
      </c>
      <c r="AK357" t="str">
        <f>IFERROR(T357&amp;"*"&amp;ROUND(X357*(U357/$AP357)/VLOOKUP(T357,商品!$A$4:$D$67,4,FALSE),0),"")</f>
        <v/>
      </c>
      <c r="AL357" t="str">
        <f>IFERROR(V357&amp;"*"&amp;ROUND(X357*(W357/$AP357)/VLOOKUP(V357,商品!$A$4:$D$67,4,FALSE),0),"")</f>
        <v/>
      </c>
      <c r="AN357">
        <f t="shared" si="45"/>
        <v>0</v>
      </c>
      <c r="AO357">
        <f t="shared" si="46"/>
        <v>0</v>
      </c>
      <c r="AP357">
        <f t="shared" si="47"/>
        <v>0</v>
      </c>
    </row>
    <row r="358" customHeight="1" spans="1:42">
      <c r="A358" s="5" t="s">
        <v>352</v>
      </c>
      <c r="C358" s="5">
        <v>5</v>
      </c>
      <c r="D358" s="1" t="s">
        <v>240</v>
      </c>
      <c r="E358" s="1" t="s">
        <v>226</v>
      </c>
      <c r="L358" s="1">
        <f>IFERROR(VLOOKUP($D358&amp;$C358,生产方式定位!$A$2:$E$38,2,FALSE)+VLOOKUP($E358&amp;$C358,生产方式定位!$F$3:$J$38,2,FALSE),0)</f>
        <v>12000</v>
      </c>
      <c r="S358" s="1">
        <f>IFERROR(VLOOKUP($D358&amp;$C358,生产方式定位!$A$2:$E$38,3,FALSE)+VLOOKUP($E358&amp;$C358,生产方式定位!$F$3:$J$38,3,FALSE),0)</f>
        <v>9200</v>
      </c>
      <c r="X358" s="1">
        <f>IFERROR(VLOOKUP($D358&amp;$C358,生产方式定位!$A$2:$E$38,5,FALSE)+VLOOKUP($E358&amp;$C358,生产方式定位!$F$3:$J$38,5,FALSE),"错误")</f>
        <v>11440</v>
      </c>
      <c r="Y358" s="27" t="str">
        <f t="shared" si="40"/>
        <v/>
      </c>
      <c r="Z358" s="37" t="str">
        <f t="shared" si="41"/>
        <v/>
      </c>
      <c r="AA358" s="37" t="str">
        <f t="shared" si="42"/>
        <v/>
      </c>
      <c r="AB358" s="28">
        <f t="shared" si="43"/>
        <v>1.05</v>
      </c>
      <c r="AC358" s="37"/>
      <c r="AD358" s="38">
        <f t="shared" si="44"/>
        <v>5</v>
      </c>
      <c r="AE358" t="str">
        <f>IFERROR(F358&amp;"*"&amp;ROUND(L358*(G358/$AN358)/VLOOKUP(F358,商品!$A$4:$D$67,4,FALSE),0),"")</f>
        <v/>
      </c>
      <c r="AF358" t="str">
        <f>IFERROR(H358&amp;"*"&amp;ROUND(L358*(I358/$AN358)/VLOOKUP(H358,商品!$A$4:$D$67,4,FALSE),0),"")</f>
        <v/>
      </c>
      <c r="AG358" t="str">
        <f>IFERROR(J358&amp;"*"&amp;ROUND(L358*(K358/$AN358)/VLOOKUP(J358,商品!$A$4:$D$67,4,FALSE),0),"")</f>
        <v/>
      </c>
      <c r="AH358" t="str">
        <f>IFERROR(M358&amp;"*"&amp;ROUND(S358*(N358/$AO358)/VLOOKUP(M358,职业!$A$3:$E$16,4,FALSE),0),"")</f>
        <v/>
      </c>
      <c r="AI358" t="str">
        <f>IFERROR(O358&amp;"*"&amp;ROUND(S358*(P358/$AO358)/VLOOKUP(O358,职业!$A$3:$E$16,4,FALSE),0),"")</f>
        <v/>
      </c>
      <c r="AK358" t="str">
        <f>IFERROR(T358&amp;"*"&amp;ROUND(X358*(U358/$AP358)/VLOOKUP(T358,商品!$A$4:$D$67,4,FALSE),0),"")</f>
        <v/>
      </c>
      <c r="AL358" t="str">
        <f>IFERROR(V358&amp;"*"&amp;ROUND(X358*(W358/$AP358)/VLOOKUP(V358,商品!$A$4:$D$67,4,FALSE),0),"")</f>
        <v/>
      </c>
      <c r="AN358">
        <f t="shared" si="45"/>
        <v>0</v>
      </c>
      <c r="AO358">
        <f t="shared" si="46"/>
        <v>0</v>
      </c>
      <c r="AP358">
        <f t="shared" si="47"/>
        <v>0</v>
      </c>
    </row>
    <row r="359" customHeight="1" spans="1:42">
      <c r="A359" s="18" t="s">
        <v>353</v>
      </c>
      <c r="C359" s="18">
        <v>1</v>
      </c>
      <c r="D359" s="1" t="s">
        <v>293</v>
      </c>
      <c r="E359" s="1" t="s">
        <v>227</v>
      </c>
      <c r="L359" s="1">
        <f>IFERROR(VLOOKUP($D359&amp;$C359,生产方式定位!$A$2:$E$38,2,FALSE)+VLOOKUP($E359&amp;$C359,生产方式定位!$F$3:$J$38,2,FALSE),0)</f>
        <v>0</v>
      </c>
      <c r="S359" s="1">
        <f>IFERROR(VLOOKUP($D359&amp;$C359,生产方式定位!$A$2:$E$38,3,FALSE)+VLOOKUP($E359&amp;$C359,生产方式定位!$F$3:$J$38,3,FALSE),0)</f>
        <v>0</v>
      </c>
      <c r="X359" s="1">
        <f>IFERROR(VLOOKUP($D359&amp;$C359,生产方式定位!$A$2:$E$38,5,FALSE)+VLOOKUP($E359&amp;$C359,生产方式定位!$F$3:$J$38,5,FALSE),"错误")</f>
        <v>0</v>
      </c>
      <c r="Y359" s="27" t="str">
        <f t="shared" si="40"/>
        <v/>
      </c>
      <c r="Z359" s="37" t="str">
        <f t="shared" si="41"/>
        <v/>
      </c>
      <c r="AA359" s="37" t="str">
        <f t="shared" si="42"/>
        <v/>
      </c>
      <c r="AB359" s="28" t="str">
        <f t="shared" si="43"/>
        <v/>
      </c>
      <c r="AC359" s="37"/>
      <c r="AD359" s="38">
        <f t="shared" si="44"/>
        <v>1</v>
      </c>
      <c r="AE359" t="str">
        <f>IFERROR(F359&amp;"*"&amp;ROUND(L359*(G359/$AN359)/VLOOKUP(F359,商品!$A$4:$D$67,4,FALSE),0),"")</f>
        <v/>
      </c>
      <c r="AF359" t="str">
        <f>IFERROR(H359&amp;"*"&amp;ROUND(L359*(I359/$AN359)/VLOOKUP(H359,商品!$A$4:$D$67,4,FALSE),0),"")</f>
        <v/>
      </c>
      <c r="AG359" t="str">
        <f>IFERROR(J359&amp;"*"&amp;ROUND(L359*(K359/$AN359)/VLOOKUP(J359,商品!$A$4:$D$67,4,FALSE),0),"")</f>
        <v/>
      </c>
      <c r="AH359" t="str">
        <f>IFERROR(M359&amp;"*"&amp;ROUND(S359*(N359/$AO359)/VLOOKUP(M359,职业!$A$3:$E$16,4,FALSE),0),"")</f>
        <v/>
      </c>
      <c r="AI359" t="str">
        <f>IFERROR(O359&amp;"*"&amp;ROUND(S359*(P359/$AO359)/VLOOKUP(O359,职业!$A$3:$E$16,4,FALSE),0),"")</f>
        <v/>
      </c>
      <c r="AK359" t="str">
        <f>IFERROR(T359&amp;"*"&amp;ROUND(X359*(U359/$AP359)/VLOOKUP(T359,商品!$A$4:$D$67,4,FALSE),0),"")</f>
        <v/>
      </c>
      <c r="AL359" t="str">
        <f>IFERROR(V359&amp;"*"&amp;ROUND(X359*(W359/$AP359)/VLOOKUP(V359,商品!$A$4:$D$67,4,FALSE),0),"")</f>
        <v/>
      </c>
      <c r="AN359">
        <f t="shared" si="45"/>
        <v>0</v>
      </c>
      <c r="AO359">
        <f t="shared" si="46"/>
        <v>0</v>
      </c>
      <c r="AP359">
        <f t="shared" si="47"/>
        <v>0</v>
      </c>
    </row>
    <row r="360" customHeight="1" spans="1:42">
      <c r="A360" s="18" t="s">
        <v>353</v>
      </c>
      <c r="C360" s="18">
        <v>2</v>
      </c>
      <c r="D360" s="1" t="s">
        <v>293</v>
      </c>
      <c r="E360" s="1" t="s">
        <v>227</v>
      </c>
      <c r="L360" s="1">
        <f>IFERROR(VLOOKUP($D360&amp;$C360,生产方式定位!$A$2:$E$38,2,FALSE)+VLOOKUP($E360&amp;$C360,生产方式定位!$F$3:$J$38,2,FALSE),0)</f>
        <v>0</v>
      </c>
      <c r="S360" s="1">
        <f>IFERROR(VLOOKUP($D360&amp;$C360,生产方式定位!$A$2:$E$38,3,FALSE)+VLOOKUP($E360&amp;$C360,生产方式定位!$F$3:$J$38,3,FALSE),0)</f>
        <v>0</v>
      </c>
      <c r="X360" s="1">
        <f>IFERROR(VLOOKUP($D360&amp;$C360,生产方式定位!$A$2:$E$38,5,FALSE)+VLOOKUP($E360&amp;$C360,生产方式定位!$F$3:$J$38,5,FALSE),"错误")</f>
        <v>0</v>
      </c>
      <c r="Y360" s="27" t="str">
        <f t="shared" si="40"/>
        <v/>
      </c>
      <c r="Z360" s="37" t="str">
        <f t="shared" si="41"/>
        <v/>
      </c>
      <c r="AA360" s="37" t="str">
        <f t="shared" si="42"/>
        <v/>
      </c>
      <c r="AB360" s="28" t="str">
        <f t="shared" si="43"/>
        <v/>
      </c>
      <c r="AC360" s="37"/>
      <c r="AD360" s="38">
        <f t="shared" si="44"/>
        <v>2</v>
      </c>
      <c r="AE360" t="str">
        <f>IFERROR(F360&amp;"*"&amp;ROUND(L360*(G360/$AN360)/VLOOKUP(F360,商品!$A$4:$D$67,4,FALSE),0),"")</f>
        <v/>
      </c>
      <c r="AF360" t="str">
        <f>IFERROR(H360&amp;"*"&amp;ROUND(L360*(I360/$AN360)/VLOOKUP(H360,商品!$A$4:$D$67,4,FALSE),0),"")</f>
        <v/>
      </c>
      <c r="AG360" t="str">
        <f>IFERROR(J360&amp;"*"&amp;ROUND(L360*(K360/$AN360)/VLOOKUP(J360,商品!$A$4:$D$67,4,FALSE),0),"")</f>
        <v/>
      </c>
      <c r="AH360" t="str">
        <f>IFERROR(M360&amp;"*"&amp;ROUND(S360*(N360/$AO360)/VLOOKUP(M360,职业!$A$3:$E$16,4,FALSE),0),"")</f>
        <v/>
      </c>
      <c r="AI360" t="str">
        <f>IFERROR(O360&amp;"*"&amp;ROUND(S360*(P360/$AO360)/VLOOKUP(O360,职业!$A$3:$E$16,4,FALSE),0),"")</f>
        <v/>
      </c>
      <c r="AK360" t="str">
        <f>IFERROR(T360&amp;"*"&amp;ROUND(X360*(U360/$AP360)/VLOOKUP(T360,商品!$A$4:$D$67,4,FALSE),0),"")</f>
        <v/>
      </c>
      <c r="AL360" t="str">
        <f>IFERROR(V360&amp;"*"&amp;ROUND(X360*(W360/$AP360)/VLOOKUP(V360,商品!$A$4:$D$67,4,FALSE),0),"")</f>
        <v/>
      </c>
      <c r="AN360">
        <f t="shared" si="45"/>
        <v>0</v>
      </c>
      <c r="AO360">
        <f t="shared" si="46"/>
        <v>0</v>
      </c>
      <c r="AP360">
        <f t="shared" si="47"/>
        <v>0</v>
      </c>
    </row>
    <row r="361" customHeight="1" spans="1:42">
      <c r="A361" s="18" t="s">
        <v>353</v>
      </c>
      <c r="C361" s="18">
        <v>3</v>
      </c>
      <c r="D361" s="1" t="s">
        <v>293</v>
      </c>
      <c r="E361" s="1" t="s">
        <v>227</v>
      </c>
      <c r="L361" s="1">
        <f>IFERROR(VLOOKUP($D361&amp;$C361,生产方式定位!$A$2:$E$38,2,FALSE)+VLOOKUP($E361&amp;$C361,生产方式定位!$F$3:$J$38,2,FALSE),0)</f>
        <v>0</v>
      </c>
      <c r="S361" s="1">
        <f>IFERROR(VLOOKUP($D361&amp;$C361,生产方式定位!$A$2:$E$38,3,FALSE)+VLOOKUP($E361&amp;$C361,生产方式定位!$F$3:$J$38,3,FALSE),0)</f>
        <v>0</v>
      </c>
      <c r="X361" s="1">
        <f>IFERROR(VLOOKUP($D361&amp;$C361,生产方式定位!$A$2:$E$38,5,FALSE)+VLOOKUP($E361&amp;$C361,生产方式定位!$F$3:$J$38,5,FALSE),"错误")</f>
        <v>0</v>
      </c>
      <c r="Y361" s="27" t="str">
        <f t="shared" si="40"/>
        <v/>
      </c>
      <c r="Z361" s="37" t="str">
        <f t="shared" si="41"/>
        <v/>
      </c>
      <c r="AA361" s="37" t="str">
        <f t="shared" si="42"/>
        <v/>
      </c>
      <c r="AB361" s="28" t="str">
        <f t="shared" si="43"/>
        <v/>
      </c>
      <c r="AC361" s="37"/>
      <c r="AD361" s="38">
        <f t="shared" si="44"/>
        <v>3</v>
      </c>
      <c r="AE361" t="str">
        <f>IFERROR(F361&amp;"*"&amp;ROUND(L361*(G361/$AN361)/VLOOKUP(F361,商品!$A$4:$D$67,4,FALSE),0),"")</f>
        <v/>
      </c>
      <c r="AF361" t="str">
        <f>IFERROR(H361&amp;"*"&amp;ROUND(L361*(I361/$AN361)/VLOOKUP(H361,商品!$A$4:$D$67,4,FALSE),0),"")</f>
        <v/>
      </c>
      <c r="AG361" t="str">
        <f>IFERROR(J361&amp;"*"&amp;ROUND(L361*(K361/$AN361)/VLOOKUP(J361,商品!$A$4:$D$67,4,FALSE),0),"")</f>
        <v/>
      </c>
      <c r="AH361" t="str">
        <f>IFERROR(M361&amp;"*"&amp;ROUND(S361*(N361/$AO361)/VLOOKUP(M361,职业!$A$3:$E$16,4,FALSE),0),"")</f>
        <v/>
      </c>
      <c r="AI361" t="str">
        <f>IFERROR(O361&amp;"*"&amp;ROUND(S361*(P361/$AO361)/VLOOKUP(O361,职业!$A$3:$E$16,4,FALSE),0),"")</f>
        <v/>
      </c>
      <c r="AK361" t="str">
        <f>IFERROR(T361&amp;"*"&amp;ROUND(X361*(U361/$AP361)/VLOOKUP(T361,商品!$A$4:$D$67,4,FALSE),0),"")</f>
        <v/>
      </c>
      <c r="AL361" t="str">
        <f>IFERROR(V361&amp;"*"&amp;ROUND(X361*(W361/$AP361)/VLOOKUP(V361,商品!$A$4:$D$67,4,FALSE),0),"")</f>
        <v/>
      </c>
      <c r="AN361">
        <f t="shared" si="45"/>
        <v>0</v>
      </c>
      <c r="AO361">
        <f t="shared" si="46"/>
        <v>0</v>
      </c>
      <c r="AP361">
        <f t="shared" si="47"/>
        <v>0</v>
      </c>
    </row>
    <row r="362" customHeight="1" spans="1:42">
      <c r="A362" s="18" t="s">
        <v>353</v>
      </c>
      <c r="C362" s="18">
        <v>4</v>
      </c>
      <c r="D362" s="1" t="s">
        <v>293</v>
      </c>
      <c r="E362" s="1" t="s">
        <v>227</v>
      </c>
      <c r="L362" s="1">
        <f>IFERROR(VLOOKUP($D362&amp;$C362,生产方式定位!$A$2:$E$38,2,FALSE)+VLOOKUP($E362&amp;$C362,生产方式定位!$F$3:$J$38,2,FALSE),0)</f>
        <v>0</v>
      </c>
      <c r="S362" s="1">
        <f>IFERROR(VLOOKUP($D362&amp;$C362,生产方式定位!$A$2:$E$38,3,FALSE)+VLOOKUP($E362&amp;$C362,生产方式定位!$F$3:$J$38,3,FALSE),0)</f>
        <v>0</v>
      </c>
      <c r="X362" s="1">
        <f>IFERROR(VLOOKUP($D362&amp;$C362,生产方式定位!$A$2:$E$38,5,FALSE)+VLOOKUP($E362&amp;$C362,生产方式定位!$F$3:$J$38,5,FALSE),"错误")</f>
        <v>0</v>
      </c>
      <c r="Y362" s="27" t="str">
        <f t="shared" si="40"/>
        <v/>
      </c>
      <c r="Z362" s="37" t="str">
        <f t="shared" si="41"/>
        <v/>
      </c>
      <c r="AA362" s="37" t="str">
        <f t="shared" si="42"/>
        <v/>
      </c>
      <c r="AB362" s="28" t="str">
        <f t="shared" si="43"/>
        <v/>
      </c>
      <c r="AC362" s="37"/>
      <c r="AD362" s="38">
        <f t="shared" si="44"/>
        <v>4</v>
      </c>
      <c r="AE362" t="str">
        <f>IFERROR(F362&amp;"*"&amp;ROUND(L362*(G362/$AN362)/VLOOKUP(F362,商品!$A$4:$D$67,4,FALSE),0),"")</f>
        <v/>
      </c>
      <c r="AF362" t="str">
        <f>IFERROR(H362&amp;"*"&amp;ROUND(L362*(I362/$AN362)/VLOOKUP(H362,商品!$A$4:$D$67,4,FALSE),0),"")</f>
        <v/>
      </c>
      <c r="AG362" t="str">
        <f>IFERROR(J362&amp;"*"&amp;ROUND(L362*(K362/$AN362)/VLOOKUP(J362,商品!$A$4:$D$67,4,FALSE),0),"")</f>
        <v/>
      </c>
      <c r="AH362" t="str">
        <f>IFERROR(M362&amp;"*"&amp;ROUND(S362*(N362/$AO362)/VLOOKUP(M362,职业!$A$3:$E$16,4,FALSE),0),"")</f>
        <v/>
      </c>
      <c r="AI362" t="str">
        <f>IFERROR(O362&amp;"*"&amp;ROUND(S362*(P362/$AO362)/VLOOKUP(O362,职业!$A$3:$E$16,4,FALSE),0),"")</f>
        <v/>
      </c>
      <c r="AK362" t="str">
        <f>IFERROR(T362&amp;"*"&amp;ROUND(X362*(U362/$AP362)/VLOOKUP(T362,商品!$A$4:$D$67,4,FALSE),0),"")</f>
        <v/>
      </c>
      <c r="AL362" t="str">
        <f>IFERROR(V362&amp;"*"&amp;ROUND(X362*(W362/$AP362)/VLOOKUP(V362,商品!$A$4:$D$67,4,FALSE),0),"")</f>
        <v/>
      </c>
      <c r="AN362">
        <f t="shared" si="45"/>
        <v>0</v>
      </c>
      <c r="AO362">
        <f t="shared" si="46"/>
        <v>0</v>
      </c>
      <c r="AP362">
        <f t="shared" si="47"/>
        <v>0</v>
      </c>
    </row>
    <row r="363" customHeight="1" spans="1:42">
      <c r="A363" s="18" t="s">
        <v>353</v>
      </c>
      <c r="C363" s="18">
        <v>5</v>
      </c>
      <c r="D363" s="1" t="s">
        <v>293</v>
      </c>
      <c r="E363" s="1" t="s">
        <v>227</v>
      </c>
      <c r="L363" s="1">
        <f>IFERROR(VLOOKUP($D363&amp;$C363,生产方式定位!$A$2:$E$38,2,FALSE)+VLOOKUP($E363&amp;$C363,生产方式定位!$F$3:$J$38,2,FALSE),0)</f>
        <v>0</v>
      </c>
      <c r="S363" s="1">
        <f>IFERROR(VLOOKUP($D363&amp;$C363,生产方式定位!$A$2:$E$38,3,FALSE)+VLOOKUP($E363&amp;$C363,生产方式定位!$F$3:$J$38,3,FALSE),0)</f>
        <v>0</v>
      </c>
      <c r="X363" s="1">
        <f>IFERROR(VLOOKUP($D363&amp;$C363,生产方式定位!$A$2:$E$38,5,FALSE)+VLOOKUP($E363&amp;$C363,生产方式定位!$F$3:$J$38,5,FALSE),"错误")</f>
        <v>0</v>
      </c>
      <c r="Y363" s="27" t="str">
        <f t="shared" si="40"/>
        <v/>
      </c>
      <c r="Z363" s="37" t="str">
        <f t="shared" si="41"/>
        <v/>
      </c>
      <c r="AA363" s="37" t="str">
        <f t="shared" si="42"/>
        <v/>
      </c>
      <c r="AB363" s="28" t="str">
        <f t="shared" si="43"/>
        <v/>
      </c>
      <c r="AC363" s="37"/>
      <c r="AD363" s="38">
        <f t="shared" si="44"/>
        <v>5</v>
      </c>
      <c r="AE363" t="str">
        <f>IFERROR(F363&amp;"*"&amp;ROUND(L363*(G363/$AN363)/VLOOKUP(F363,商品!$A$4:$D$67,4,FALSE),0),"")</f>
        <v/>
      </c>
      <c r="AF363" t="str">
        <f>IFERROR(H363&amp;"*"&amp;ROUND(L363*(I363/$AN363)/VLOOKUP(H363,商品!$A$4:$D$67,4,FALSE),0),"")</f>
        <v/>
      </c>
      <c r="AG363" t="str">
        <f>IFERROR(J363&amp;"*"&amp;ROUND(L363*(K363/$AN363)/VLOOKUP(J363,商品!$A$4:$D$67,4,FALSE),0),"")</f>
        <v/>
      </c>
      <c r="AH363" t="str">
        <f>IFERROR(M363&amp;"*"&amp;ROUND(S363*(N363/$AO363)/VLOOKUP(M363,职业!$A$3:$E$16,4,FALSE),0),"")</f>
        <v/>
      </c>
      <c r="AI363" t="str">
        <f>IFERROR(O363&amp;"*"&amp;ROUND(S363*(P363/$AO363)/VLOOKUP(O363,职业!$A$3:$E$16,4,FALSE),0),"")</f>
        <v/>
      </c>
      <c r="AK363" t="str">
        <f>IFERROR(T363&amp;"*"&amp;ROUND(X363*(U363/$AP363)/VLOOKUP(T363,商品!$A$4:$D$67,4,FALSE),0),"")</f>
        <v/>
      </c>
      <c r="AL363" t="str">
        <f>IFERROR(V363&amp;"*"&amp;ROUND(X363*(W363/$AP363)/VLOOKUP(V363,商品!$A$4:$D$67,4,FALSE),0),"")</f>
        <v/>
      </c>
      <c r="AN363">
        <f t="shared" si="45"/>
        <v>0</v>
      </c>
      <c r="AO363">
        <f t="shared" si="46"/>
        <v>0</v>
      </c>
      <c r="AP363">
        <f t="shared" si="47"/>
        <v>0</v>
      </c>
    </row>
    <row r="364" customHeight="1" spans="1:42">
      <c r="A364" s="18" t="s">
        <v>353</v>
      </c>
      <c r="C364" s="18">
        <v>6</v>
      </c>
      <c r="D364" s="1" t="s">
        <v>293</v>
      </c>
      <c r="E364" s="1" t="s">
        <v>227</v>
      </c>
      <c r="L364" s="1">
        <f>IFERROR(VLOOKUP($D364&amp;$C364,生产方式定位!$A$2:$E$38,2,FALSE)+VLOOKUP($E364&amp;$C364,生产方式定位!$F$3:$J$38,2,FALSE),0)</f>
        <v>0</v>
      </c>
      <c r="S364" s="1">
        <f>IFERROR(VLOOKUP($D364&amp;$C364,生产方式定位!$A$2:$E$38,3,FALSE)+VLOOKUP($E364&amp;$C364,生产方式定位!$F$3:$J$38,3,FALSE),0)</f>
        <v>0</v>
      </c>
      <c r="X364" s="1">
        <f>IFERROR(VLOOKUP($D364&amp;$C364,生产方式定位!$A$2:$E$38,5,FALSE)+VLOOKUP($E364&amp;$C364,生产方式定位!$F$3:$J$38,5,FALSE),"错误")</f>
        <v>0</v>
      </c>
      <c r="Y364" s="27" t="str">
        <f t="shared" si="40"/>
        <v/>
      </c>
      <c r="Z364" s="37" t="str">
        <f t="shared" si="41"/>
        <v/>
      </c>
      <c r="AA364" s="37" t="str">
        <f t="shared" si="42"/>
        <v/>
      </c>
      <c r="AB364" s="28" t="str">
        <f t="shared" si="43"/>
        <v/>
      </c>
      <c r="AC364" s="37"/>
      <c r="AD364" s="38">
        <f t="shared" si="44"/>
        <v>6</v>
      </c>
      <c r="AE364" t="str">
        <f>IFERROR(F364&amp;"*"&amp;ROUND(L364*(G364/$AN364)/VLOOKUP(F364,商品!$A$4:$D$67,4,FALSE),0),"")</f>
        <v/>
      </c>
      <c r="AF364" t="str">
        <f>IFERROR(H364&amp;"*"&amp;ROUND(L364*(I364/$AN364)/VLOOKUP(H364,商品!$A$4:$D$67,4,FALSE),0),"")</f>
        <v/>
      </c>
      <c r="AG364" t="str">
        <f>IFERROR(J364&amp;"*"&amp;ROUND(L364*(K364/$AN364)/VLOOKUP(J364,商品!$A$4:$D$67,4,FALSE),0),"")</f>
        <v/>
      </c>
      <c r="AH364" t="str">
        <f>IFERROR(M364&amp;"*"&amp;ROUND(S364*(N364/$AO364)/VLOOKUP(M364,职业!$A$3:$E$16,4,FALSE),0),"")</f>
        <v/>
      </c>
      <c r="AI364" t="str">
        <f>IFERROR(O364&amp;"*"&amp;ROUND(S364*(P364/$AO364)/VLOOKUP(O364,职业!$A$3:$E$16,4,FALSE),0),"")</f>
        <v/>
      </c>
      <c r="AK364" t="str">
        <f>IFERROR(T364&amp;"*"&amp;ROUND(X364*(U364/$AP364)/VLOOKUP(T364,商品!$A$4:$D$67,4,FALSE),0),"")</f>
        <v/>
      </c>
      <c r="AL364" t="str">
        <f>IFERROR(V364&amp;"*"&amp;ROUND(X364*(W364/$AP364)/VLOOKUP(V364,商品!$A$4:$D$67,4,FALSE),0),"")</f>
        <v/>
      </c>
      <c r="AN364">
        <f t="shared" si="45"/>
        <v>0</v>
      </c>
      <c r="AO364">
        <f t="shared" si="46"/>
        <v>0</v>
      </c>
      <c r="AP364">
        <f t="shared" si="47"/>
        <v>0</v>
      </c>
    </row>
    <row r="365" customHeight="1" spans="1:42">
      <c r="A365" s="18" t="s">
        <v>353</v>
      </c>
      <c r="C365" s="18">
        <v>7</v>
      </c>
      <c r="D365" s="1" t="s">
        <v>293</v>
      </c>
      <c r="E365" s="1" t="s">
        <v>227</v>
      </c>
      <c r="L365" s="1">
        <f>IFERROR(VLOOKUP($D365&amp;$C365,生产方式定位!$A$2:$E$38,2,FALSE)+VLOOKUP($E365&amp;$C365,生产方式定位!$F$3:$J$38,2,FALSE),0)</f>
        <v>0</v>
      </c>
      <c r="S365" s="1">
        <f>IFERROR(VLOOKUP($D365&amp;$C365,生产方式定位!$A$2:$E$38,3,FALSE)+VLOOKUP($E365&amp;$C365,生产方式定位!$F$3:$J$38,3,FALSE),0)</f>
        <v>0</v>
      </c>
      <c r="X365" s="1">
        <f>IFERROR(VLOOKUP($D365&amp;$C365,生产方式定位!$A$2:$E$38,5,FALSE)+VLOOKUP($E365&amp;$C365,生产方式定位!$F$3:$J$38,5,FALSE),"错误")</f>
        <v>0</v>
      </c>
      <c r="Y365" s="27" t="str">
        <f t="shared" si="40"/>
        <v/>
      </c>
      <c r="Z365" s="37" t="str">
        <f t="shared" si="41"/>
        <v/>
      </c>
      <c r="AA365" s="37" t="str">
        <f t="shared" si="42"/>
        <v/>
      </c>
      <c r="AB365" s="28" t="str">
        <f t="shared" si="43"/>
        <v/>
      </c>
      <c r="AC365" s="37"/>
      <c r="AD365" s="38">
        <f t="shared" si="44"/>
        <v>7</v>
      </c>
      <c r="AE365" t="str">
        <f>IFERROR(F365&amp;"*"&amp;ROUND(L365*(G365/$AN365)/VLOOKUP(F365,商品!$A$4:$D$67,4,FALSE),0),"")</f>
        <v/>
      </c>
      <c r="AF365" t="str">
        <f>IFERROR(H365&amp;"*"&amp;ROUND(L365*(I365/$AN365)/VLOOKUP(H365,商品!$A$4:$D$67,4,FALSE),0),"")</f>
        <v/>
      </c>
      <c r="AG365" t="str">
        <f>IFERROR(J365&amp;"*"&amp;ROUND(L365*(K365/$AN365)/VLOOKUP(J365,商品!$A$4:$D$67,4,FALSE),0),"")</f>
        <v/>
      </c>
      <c r="AH365" t="str">
        <f>IFERROR(M365&amp;"*"&amp;ROUND(S365*(N365/$AO365)/VLOOKUP(M365,职业!$A$3:$E$16,4,FALSE),0),"")</f>
        <v/>
      </c>
      <c r="AI365" t="str">
        <f>IFERROR(O365&amp;"*"&amp;ROUND(S365*(P365/$AO365)/VLOOKUP(O365,职业!$A$3:$E$16,4,FALSE),0),"")</f>
        <v/>
      </c>
      <c r="AK365" t="str">
        <f>IFERROR(T365&amp;"*"&amp;ROUND(X365*(U365/$AP365)/VLOOKUP(T365,商品!$A$4:$D$67,4,FALSE),0),"")</f>
        <v/>
      </c>
      <c r="AL365" t="str">
        <f>IFERROR(V365&amp;"*"&amp;ROUND(X365*(W365/$AP365)/VLOOKUP(V365,商品!$A$4:$D$67,4,FALSE),0),"")</f>
        <v/>
      </c>
      <c r="AN365">
        <f t="shared" si="45"/>
        <v>0</v>
      </c>
      <c r="AO365">
        <f t="shared" si="46"/>
        <v>0</v>
      </c>
      <c r="AP365">
        <f t="shared" si="47"/>
        <v>0</v>
      </c>
    </row>
    <row r="366" customHeight="1" spans="1:42">
      <c r="A366" s="18" t="s">
        <v>353</v>
      </c>
      <c r="C366" s="18">
        <v>8</v>
      </c>
      <c r="D366" s="1" t="s">
        <v>293</v>
      </c>
      <c r="E366" s="1" t="s">
        <v>227</v>
      </c>
      <c r="L366" s="1">
        <f>IFERROR(VLOOKUP($D366&amp;$C366,生产方式定位!$A$2:$E$38,2,FALSE)+VLOOKUP($E366&amp;$C366,生产方式定位!$F$3:$J$38,2,FALSE),0)</f>
        <v>0</v>
      </c>
      <c r="S366" s="1">
        <f>IFERROR(VLOOKUP($D366&amp;$C366,生产方式定位!$A$2:$E$38,3,FALSE)+VLOOKUP($E366&amp;$C366,生产方式定位!$F$3:$J$38,3,FALSE),0)</f>
        <v>0</v>
      </c>
      <c r="X366" s="1">
        <f>IFERROR(VLOOKUP($D366&amp;$C366,生产方式定位!$A$2:$E$38,5,FALSE)+VLOOKUP($E366&amp;$C366,生产方式定位!$F$3:$J$38,5,FALSE),"错误")</f>
        <v>0</v>
      </c>
      <c r="Y366" s="27" t="str">
        <f t="shared" si="40"/>
        <v/>
      </c>
      <c r="Z366" s="37" t="str">
        <f t="shared" si="41"/>
        <v/>
      </c>
      <c r="AA366" s="37" t="str">
        <f t="shared" si="42"/>
        <v/>
      </c>
      <c r="AB366" s="28" t="str">
        <f t="shared" si="43"/>
        <v/>
      </c>
      <c r="AC366" s="37"/>
      <c r="AD366" s="38">
        <f t="shared" si="44"/>
        <v>8</v>
      </c>
      <c r="AE366" t="str">
        <f>IFERROR(F366&amp;"*"&amp;ROUND(L366*(G366/$AN366)/VLOOKUP(F366,商品!$A$4:$D$67,4,FALSE),0),"")</f>
        <v/>
      </c>
      <c r="AF366" t="str">
        <f>IFERROR(H366&amp;"*"&amp;ROUND(L366*(I366/$AN366)/VLOOKUP(H366,商品!$A$4:$D$67,4,FALSE),0),"")</f>
        <v/>
      </c>
      <c r="AG366" t="str">
        <f>IFERROR(J366&amp;"*"&amp;ROUND(L366*(K366/$AN366)/VLOOKUP(J366,商品!$A$4:$D$67,4,FALSE),0),"")</f>
        <v/>
      </c>
      <c r="AH366" t="str">
        <f>IFERROR(M366&amp;"*"&amp;ROUND(S366*(N366/$AO366)/VLOOKUP(M366,职业!$A$3:$E$16,4,FALSE),0),"")</f>
        <v/>
      </c>
      <c r="AI366" t="str">
        <f>IFERROR(O366&amp;"*"&amp;ROUND(S366*(P366/$AO366)/VLOOKUP(O366,职业!$A$3:$E$16,4,FALSE),0),"")</f>
        <v/>
      </c>
      <c r="AK366" t="str">
        <f>IFERROR(T366&amp;"*"&amp;ROUND(X366*(U366/$AP366)/VLOOKUP(T366,商品!$A$4:$D$67,4,FALSE),0),"")</f>
        <v/>
      </c>
      <c r="AL366" t="str">
        <f>IFERROR(V366&amp;"*"&amp;ROUND(X366*(W366/$AP366)/VLOOKUP(V366,商品!$A$4:$D$67,4,FALSE),0),"")</f>
        <v/>
      </c>
      <c r="AN366">
        <f t="shared" si="45"/>
        <v>0</v>
      </c>
      <c r="AO366">
        <f t="shared" si="46"/>
        <v>0</v>
      </c>
      <c r="AP366">
        <f t="shared" si="47"/>
        <v>0</v>
      </c>
    </row>
    <row r="367" customHeight="1" spans="1:42">
      <c r="A367" s="5" t="s">
        <v>355</v>
      </c>
      <c r="C367" s="5">
        <v>1</v>
      </c>
      <c r="D367" s="1" t="s">
        <v>240</v>
      </c>
      <c r="E367" s="1" t="s">
        <v>224</v>
      </c>
      <c r="L367" s="1">
        <f>IFERROR(VLOOKUP($D367&amp;$C367,生产方式定位!$A$2:$E$38,2,FALSE)+VLOOKUP($E367&amp;$C367,生产方式定位!$F$3:$J$38,2,FALSE),0)</f>
        <v>0</v>
      </c>
      <c r="S367" s="1">
        <f>IFERROR(VLOOKUP($D367&amp;$C367,生产方式定位!$A$2:$E$38,3,FALSE)+VLOOKUP($E367&amp;$C367,生产方式定位!$F$3:$J$38,3,FALSE),0)</f>
        <v>8000</v>
      </c>
      <c r="X367" s="1">
        <f>IFERROR(VLOOKUP($D367&amp;$C367,生产方式定位!$A$2:$E$38,5,FALSE)+VLOOKUP($E367&amp;$C367,生产方式定位!$F$3:$J$38,5,FALSE),"错误")</f>
        <v>4000</v>
      </c>
      <c r="Y367" s="27" t="str">
        <f t="shared" si="40"/>
        <v/>
      </c>
      <c r="Z367" s="37" t="str">
        <f t="shared" si="41"/>
        <v/>
      </c>
      <c r="AA367" s="37" t="str">
        <f t="shared" si="42"/>
        <v/>
      </c>
      <c r="AB367" s="28">
        <f t="shared" si="43"/>
        <v>0</v>
      </c>
      <c r="AC367" s="37"/>
      <c r="AD367" s="38">
        <f t="shared" si="44"/>
        <v>1</v>
      </c>
      <c r="AE367" t="str">
        <f>IFERROR(F367&amp;"*"&amp;ROUND(L367*(G367/$AN367)/VLOOKUP(F367,商品!$A$4:$D$67,4,FALSE),0),"")</f>
        <v/>
      </c>
      <c r="AF367" t="str">
        <f>IFERROR(H367&amp;"*"&amp;ROUND(L367*(I367/$AN367)/VLOOKUP(H367,商品!$A$4:$D$67,4,FALSE),0),"")</f>
        <v/>
      </c>
      <c r="AG367" t="str">
        <f>IFERROR(J367&amp;"*"&amp;ROUND(L367*(K367/$AN367)/VLOOKUP(J367,商品!$A$4:$D$67,4,FALSE),0),"")</f>
        <v/>
      </c>
      <c r="AH367" t="str">
        <f>IFERROR(M367&amp;"*"&amp;ROUND(S367*(N367/$AO367)/VLOOKUP(M367,职业!$A$3:$E$16,4,FALSE),0),"")</f>
        <v/>
      </c>
      <c r="AI367" t="str">
        <f>IFERROR(O367&amp;"*"&amp;ROUND(S367*(P367/$AO367)/VLOOKUP(O367,职业!$A$3:$E$16,4,FALSE),0),"")</f>
        <v/>
      </c>
      <c r="AK367" t="str">
        <f>IFERROR(T367&amp;"*"&amp;ROUND(X367*(U367/$AP367)/VLOOKUP(T367,商品!$A$4:$D$67,4,FALSE),0),"")</f>
        <v/>
      </c>
      <c r="AL367" t="str">
        <f>IFERROR(V367&amp;"*"&amp;ROUND(X367*(W367/$AP367)/VLOOKUP(V367,商品!$A$4:$D$67,4,FALSE),0),"")</f>
        <v/>
      </c>
      <c r="AN367">
        <f t="shared" si="45"/>
        <v>0</v>
      </c>
      <c r="AO367">
        <f t="shared" si="46"/>
        <v>0</v>
      </c>
      <c r="AP367">
        <f t="shared" si="47"/>
        <v>0</v>
      </c>
    </row>
    <row r="368" customHeight="1" spans="1:42">
      <c r="A368" s="5" t="s">
        <v>355</v>
      </c>
      <c r="C368" s="5">
        <v>2</v>
      </c>
      <c r="D368" s="1" t="s">
        <v>240</v>
      </c>
      <c r="E368" s="1" t="s">
        <v>224</v>
      </c>
      <c r="L368" s="1">
        <f>IFERROR(VLOOKUP($D368&amp;$C368,生产方式定位!$A$2:$E$38,2,FALSE)+VLOOKUP($E368&amp;$C368,生产方式定位!$F$3:$J$38,2,FALSE),0)</f>
        <v>11000</v>
      </c>
      <c r="S368" s="1">
        <f>IFERROR(VLOOKUP($D368&amp;$C368,生产方式定位!$A$2:$E$38,3,FALSE)+VLOOKUP($E368&amp;$C368,生产方式定位!$F$3:$J$38,3,FALSE),0)</f>
        <v>8700</v>
      </c>
      <c r="X368" s="1">
        <f>IFERROR(VLOOKUP($D368&amp;$C368,生产方式定位!$A$2:$E$38,5,FALSE)+VLOOKUP($E368&amp;$C368,生产方式定位!$F$3:$J$38,5,FALSE),"错误")</f>
        <v>9922</v>
      </c>
      <c r="Y368" s="27" t="str">
        <f t="shared" si="40"/>
        <v/>
      </c>
      <c r="Z368" s="37" t="str">
        <f t="shared" si="41"/>
        <v/>
      </c>
      <c r="AA368" s="37" t="str">
        <f t="shared" si="42"/>
        <v/>
      </c>
      <c r="AB368" s="28">
        <f t="shared" si="43"/>
        <v>1.11</v>
      </c>
      <c r="AC368" s="37"/>
      <c r="AD368" s="38">
        <f t="shared" si="44"/>
        <v>2</v>
      </c>
      <c r="AE368" t="str">
        <f>IFERROR(F368&amp;"*"&amp;ROUND(L368*(G368/$AN368)/VLOOKUP(F368,商品!$A$4:$D$67,4,FALSE),0),"")</f>
        <v/>
      </c>
      <c r="AF368" t="str">
        <f>IFERROR(H368&amp;"*"&amp;ROUND(L368*(I368/$AN368)/VLOOKUP(H368,商品!$A$4:$D$67,4,FALSE),0),"")</f>
        <v/>
      </c>
      <c r="AG368" t="str">
        <f>IFERROR(J368&amp;"*"&amp;ROUND(L368*(K368/$AN368)/VLOOKUP(J368,商品!$A$4:$D$67,4,FALSE),0),"")</f>
        <v/>
      </c>
      <c r="AH368" t="str">
        <f>IFERROR(M368&amp;"*"&amp;ROUND(S368*(N368/$AO368)/VLOOKUP(M368,职业!$A$3:$E$16,4,FALSE),0),"")</f>
        <v/>
      </c>
      <c r="AI368" t="str">
        <f>IFERROR(O368&amp;"*"&amp;ROUND(S368*(P368/$AO368)/VLOOKUP(O368,职业!$A$3:$E$16,4,FALSE),0),"")</f>
        <v/>
      </c>
      <c r="AK368" t="str">
        <f>IFERROR(T368&amp;"*"&amp;ROUND(X368*(U368/$AP368)/VLOOKUP(T368,商品!$A$4:$D$67,4,FALSE),0),"")</f>
        <v/>
      </c>
      <c r="AL368" t="str">
        <f>IFERROR(V368&amp;"*"&amp;ROUND(X368*(W368/$AP368)/VLOOKUP(V368,商品!$A$4:$D$67,4,FALSE),0),"")</f>
        <v/>
      </c>
      <c r="AN368">
        <f t="shared" si="45"/>
        <v>0</v>
      </c>
      <c r="AO368">
        <f t="shared" si="46"/>
        <v>0</v>
      </c>
      <c r="AP368">
        <f t="shared" si="47"/>
        <v>0</v>
      </c>
    </row>
    <row r="369" customHeight="1" spans="1:42">
      <c r="A369" s="5" t="s">
        <v>355</v>
      </c>
      <c r="C369" s="5">
        <v>3</v>
      </c>
      <c r="D369" s="1" t="s">
        <v>240</v>
      </c>
      <c r="E369" s="1" t="s">
        <v>224</v>
      </c>
      <c r="L369" s="1">
        <f>IFERROR(VLOOKUP($D369&amp;$C369,生产方式定位!$A$2:$E$38,2,FALSE)+VLOOKUP($E369&amp;$C369,生产方式定位!$F$3:$J$38,2,FALSE),0)</f>
        <v>11000</v>
      </c>
      <c r="S369" s="1">
        <f>IFERROR(VLOOKUP($D369&amp;$C369,生产方式定位!$A$2:$E$38,3,FALSE)+VLOOKUP($E369&amp;$C369,生产方式定位!$F$3:$J$38,3,FALSE),0)</f>
        <v>9400</v>
      </c>
      <c r="X369" s="1">
        <f>IFERROR(VLOOKUP($D369&amp;$C369,生产方式定位!$A$2:$E$38,5,FALSE)+VLOOKUP($E369&amp;$C369,生产方式定位!$F$3:$J$38,5,FALSE),"错误")</f>
        <v>10488</v>
      </c>
      <c r="Y369" s="27" t="str">
        <f t="shared" si="40"/>
        <v/>
      </c>
      <c r="Z369" s="37" t="str">
        <f t="shared" si="41"/>
        <v/>
      </c>
      <c r="AA369" s="37" t="str">
        <f t="shared" si="42"/>
        <v/>
      </c>
      <c r="AB369" s="28">
        <f t="shared" si="43"/>
        <v>1.05</v>
      </c>
      <c r="AC369" s="37"/>
      <c r="AD369" s="38">
        <f t="shared" si="44"/>
        <v>3</v>
      </c>
      <c r="AE369" t="str">
        <f>IFERROR(F369&amp;"*"&amp;ROUND(L369*(G369/$AN369)/VLOOKUP(F369,商品!$A$4:$D$67,4,FALSE),0),"")</f>
        <v/>
      </c>
      <c r="AF369" t="str">
        <f>IFERROR(H369&amp;"*"&amp;ROUND(L369*(I369/$AN369)/VLOOKUP(H369,商品!$A$4:$D$67,4,FALSE),0),"")</f>
        <v/>
      </c>
      <c r="AG369" t="str">
        <f>IFERROR(J369&amp;"*"&amp;ROUND(L369*(K369/$AN369)/VLOOKUP(J369,商品!$A$4:$D$67,4,FALSE),0),"")</f>
        <v/>
      </c>
      <c r="AH369" t="str">
        <f>IFERROR(M369&amp;"*"&amp;ROUND(S369*(N369/$AO369)/VLOOKUP(M369,职业!$A$3:$E$16,4,FALSE),0),"")</f>
        <v/>
      </c>
      <c r="AI369" t="str">
        <f>IFERROR(O369&amp;"*"&amp;ROUND(S369*(P369/$AO369)/VLOOKUP(O369,职业!$A$3:$E$16,4,FALSE),0),"")</f>
        <v/>
      </c>
      <c r="AK369" t="str">
        <f>IFERROR(T369&amp;"*"&amp;ROUND(X369*(U369/$AP369)/VLOOKUP(T369,商品!$A$4:$D$67,4,FALSE),0),"")</f>
        <v/>
      </c>
      <c r="AL369" t="str">
        <f>IFERROR(V369&amp;"*"&amp;ROUND(X369*(W369/$AP369)/VLOOKUP(V369,商品!$A$4:$D$67,4,FALSE),0),"")</f>
        <v/>
      </c>
      <c r="AN369">
        <f t="shared" si="45"/>
        <v>0</v>
      </c>
      <c r="AO369">
        <f t="shared" si="46"/>
        <v>0</v>
      </c>
      <c r="AP369">
        <f t="shared" si="47"/>
        <v>0</v>
      </c>
    </row>
    <row r="370" customHeight="1" spans="1:42">
      <c r="A370" s="5" t="s">
        <v>355</v>
      </c>
      <c r="C370" s="5">
        <v>4</v>
      </c>
      <c r="D370" s="1" t="s">
        <v>240</v>
      </c>
      <c r="E370" s="1" t="s">
        <v>224</v>
      </c>
      <c r="L370" s="1">
        <f>IFERROR(VLOOKUP($D370&amp;$C370,生产方式定位!$A$2:$E$38,2,FALSE)+VLOOKUP($E370&amp;$C370,生产方式定位!$F$3:$J$38,2,FALSE),0)</f>
        <v>11000</v>
      </c>
      <c r="S370" s="1">
        <f>IFERROR(VLOOKUP($D370&amp;$C370,生产方式定位!$A$2:$E$38,3,FALSE)+VLOOKUP($E370&amp;$C370,生产方式定位!$F$3:$J$38,3,FALSE),0)</f>
        <v>10100</v>
      </c>
      <c r="X370" s="1">
        <f>IFERROR(VLOOKUP($D370&amp;$C370,生产方式定位!$A$2:$E$38,5,FALSE)+VLOOKUP($E370&amp;$C370,生产方式定位!$F$3:$J$38,5,FALSE),"错误")</f>
        <v>11198</v>
      </c>
      <c r="Y370" s="27" t="str">
        <f t="shared" si="40"/>
        <v/>
      </c>
      <c r="Z370" s="37" t="str">
        <f t="shared" si="41"/>
        <v/>
      </c>
      <c r="AA370" s="37" t="str">
        <f t="shared" si="42"/>
        <v/>
      </c>
      <c r="AB370" s="28">
        <f t="shared" si="43"/>
        <v>0.98</v>
      </c>
      <c r="AC370" s="37"/>
      <c r="AD370" s="38">
        <f t="shared" si="44"/>
        <v>4</v>
      </c>
      <c r="AE370" t="str">
        <f>IFERROR(F370&amp;"*"&amp;ROUND(L370*(G370/$AN370)/VLOOKUP(F370,商品!$A$4:$D$67,4,FALSE),0),"")</f>
        <v/>
      </c>
      <c r="AF370" t="str">
        <f>IFERROR(H370&amp;"*"&amp;ROUND(L370*(I370/$AN370)/VLOOKUP(H370,商品!$A$4:$D$67,4,FALSE),0),"")</f>
        <v/>
      </c>
      <c r="AG370" t="str">
        <f>IFERROR(J370&amp;"*"&amp;ROUND(L370*(K370/$AN370)/VLOOKUP(J370,商品!$A$4:$D$67,4,FALSE),0),"")</f>
        <v/>
      </c>
      <c r="AH370" t="str">
        <f>IFERROR(M370&amp;"*"&amp;ROUND(S370*(N370/$AO370)/VLOOKUP(M370,职业!$A$3:$E$16,4,FALSE),0),"")</f>
        <v/>
      </c>
      <c r="AI370" t="str">
        <f>IFERROR(O370&amp;"*"&amp;ROUND(S370*(P370/$AO370)/VLOOKUP(O370,职业!$A$3:$E$16,4,FALSE),0),"")</f>
        <v/>
      </c>
      <c r="AK370" t="str">
        <f>IFERROR(T370&amp;"*"&amp;ROUND(X370*(U370/$AP370)/VLOOKUP(T370,商品!$A$4:$D$67,4,FALSE),0),"")</f>
        <v/>
      </c>
      <c r="AL370" t="str">
        <f>IFERROR(V370&amp;"*"&amp;ROUND(X370*(W370/$AP370)/VLOOKUP(V370,商品!$A$4:$D$67,4,FALSE),0),"")</f>
        <v/>
      </c>
      <c r="AN370">
        <f t="shared" si="45"/>
        <v>0</v>
      </c>
      <c r="AO370">
        <f t="shared" si="46"/>
        <v>0</v>
      </c>
      <c r="AP370">
        <f t="shared" si="47"/>
        <v>0</v>
      </c>
    </row>
    <row r="371" customHeight="1" spans="1:42">
      <c r="A371" s="5" t="s">
        <v>355</v>
      </c>
      <c r="C371" s="5">
        <v>5</v>
      </c>
      <c r="D371" s="1" t="s">
        <v>240</v>
      </c>
      <c r="E371" s="1" t="s">
        <v>224</v>
      </c>
      <c r="L371" s="1">
        <f>IFERROR(VLOOKUP($D371&amp;$C371,生产方式定位!$A$2:$E$38,2,FALSE)+VLOOKUP($E371&amp;$C371,生产方式定位!$F$3:$J$38,2,FALSE),0)</f>
        <v>11000</v>
      </c>
      <c r="S371" s="1">
        <f>IFERROR(VLOOKUP($D371&amp;$C371,生产方式定位!$A$2:$E$38,3,FALSE)+VLOOKUP($E371&amp;$C371,生产方式定位!$F$3:$J$38,3,FALSE),0)</f>
        <v>10800</v>
      </c>
      <c r="X371" s="1">
        <f>IFERROR(VLOOKUP($D371&amp;$C371,生产方式定位!$A$2:$E$38,5,FALSE)+VLOOKUP($E371&amp;$C371,生产方式定位!$F$3:$J$38,5,FALSE),"错误")</f>
        <v>12100</v>
      </c>
      <c r="Y371" s="27" t="str">
        <f t="shared" si="40"/>
        <v/>
      </c>
      <c r="Z371" s="37" t="str">
        <f t="shared" si="41"/>
        <v/>
      </c>
      <c r="AA371" s="37" t="str">
        <f t="shared" si="42"/>
        <v/>
      </c>
      <c r="AB371" s="28">
        <f t="shared" si="43"/>
        <v>0.91</v>
      </c>
      <c r="AC371" s="37"/>
      <c r="AD371" s="38">
        <f t="shared" si="44"/>
        <v>5</v>
      </c>
      <c r="AE371" t="str">
        <f>IFERROR(F371&amp;"*"&amp;ROUND(L371*(G371/$AN371)/VLOOKUP(F371,商品!$A$4:$D$67,4,FALSE),0),"")</f>
        <v/>
      </c>
      <c r="AF371" t="str">
        <f>IFERROR(H371&amp;"*"&amp;ROUND(L371*(I371/$AN371)/VLOOKUP(H371,商品!$A$4:$D$67,4,FALSE),0),"")</f>
        <v/>
      </c>
      <c r="AG371" t="str">
        <f>IFERROR(J371&amp;"*"&amp;ROUND(L371*(K371/$AN371)/VLOOKUP(J371,商品!$A$4:$D$67,4,FALSE),0),"")</f>
        <v/>
      </c>
      <c r="AH371" t="str">
        <f>IFERROR(M371&amp;"*"&amp;ROUND(S371*(N371/$AO371)/VLOOKUP(M371,职业!$A$3:$E$16,4,FALSE),0),"")</f>
        <v/>
      </c>
      <c r="AI371" t="str">
        <f>IFERROR(O371&amp;"*"&amp;ROUND(S371*(P371/$AO371)/VLOOKUP(O371,职业!$A$3:$E$16,4,FALSE),0),"")</f>
        <v/>
      </c>
      <c r="AK371" t="str">
        <f>IFERROR(T371&amp;"*"&amp;ROUND(X371*(U371/$AP371)/VLOOKUP(T371,商品!$A$4:$D$67,4,FALSE),0),"")</f>
        <v/>
      </c>
      <c r="AL371" t="str">
        <f>IFERROR(V371&amp;"*"&amp;ROUND(X371*(W371/$AP371)/VLOOKUP(V371,商品!$A$4:$D$67,4,FALSE),0),"")</f>
        <v/>
      </c>
      <c r="AN371">
        <f t="shared" si="45"/>
        <v>0</v>
      </c>
      <c r="AO371">
        <f t="shared" si="46"/>
        <v>0</v>
      </c>
      <c r="AP371">
        <f t="shared" si="47"/>
        <v>0</v>
      </c>
    </row>
    <row r="372" customHeight="1" spans="1:42">
      <c r="A372" s="18" t="s">
        <v>356</v>
      </c>
      <c r="C372" s="18">
        <v>1</v>
      </c>
      <c r="D372" s="1" t="s">
        <v>240</v>
      </c>
      <c r="E372" s="1" t="s">
        <v>226</v>
      </c>
      <c r="L372" s="1">
        <f>IFERROR(VLOOKUP($D372&amp;$C372,生产方式定位!$A$2:$E$38,2,FALSE)+VLOOKUP($E372&amp;$C372,生产方式定位!$F$3:$J$38,2,FALSE),0)</f>
        <v>0</v>
      </c>
      <c r="S372" s="1">
        <f>IFERROR(VLOOKUP($D372&amp;$C372,生产方式定位!$A$2:$E$38,3,FALSE)+VLOOKUP($E372&amp;$C372,生产方式定位!$F$3:$J$38,3,FALSE),0)</f>
        <v>8000</v>
      </c>
      <c r="X372" s="1">
        <f>IFERROR(VLOOKUP($D372&amp;$C372,生产方式定位!$A$2:$E$38,5,FALSE)+VLOOKUP($E372&amp;$C372,生产方式定位!$F$3:$J$38,5,FALSE),"错误")</f>
        <v>4000</v>
      </c>
      <c r="Y372" s="27" t="str">
        <f t="shared" si="40"/>
        <v/>
      </c>
      <c r="Z372" s="37" t="str">
        <f t="shared" si="41"/>
        <v/>
      </c>
      <c r="AA372" s="37" t="str">
        <f t="shared" si="42"/>
        <v/>
      </c>
      <c r="AB372" s="28">
        <f t="shared" si="43"/>
        <v>0</v>
      </c>
      <c r="AC372" s="37"/>
      <c r="AD372" s="38">
        <f t="shared" si="44"/>
        <v>1</v>
      </c>
      <c r="AE372" t="str">
        <f>IFERROR(F372&amp;"*"&amp;ROUND(L372*(G372/$AN372)/VLOOKUP(F372,商品!$A$4:$D$67,4,FALSE),0),"")</f>
        <v/>
      </c>
      <c r="AF372" t="str">
        <f>IFERROR(H372&amp;"*"&amp;ROUND(L372*(I372/$AN372)/VLOOKUP(H372,商品!$A$4:$D$67,4,FALSE),0),"")</f>
        <v/>
      </c>
      <c r="AG372" t="str">
        <f>IFERROR(J372&amp;"*"&amp;ROUND(L372*(K372/$AN372)/VLOOKUP(J372,商品!$A$4:$D$67,4,FALSE),0),"")</f>
        <v/>
      </c>
      <c r="AH372" t="str">
        <f>IFERROR(M372&amp;"*"&amp;ROUND(S372*(N372/$AO372)/VLOOKUP(M372,职业!$A$3:$E$16,4,FALSE),0),"")</f>
        <v/>
      </c>
      <c r="AI372" t="str">
        <f>IFERROR(O372&amp;"*"&amp;ROUND(S372*(P372/$AO372)/VLOOKUP(O372,职业!$A$3:$E$16,4,FALSE),0),"")</f>
        <v/>
      </c>
      <c r="AK372" t="str">
        <f>IFERROR(T372&amp;"*"&amp;ROUND(X372*(U372/$AP372)/VLOOKUP(T372,商品!$A$4:$D$67,4,FALSE),0),"")</f>
        <v/>
      </c>
      <c r="AL372" t="str">
        <f>IFERROR(V372&amp;"*"&amp;ROUND(X372*(W372/$AP372)/VLOOKUP(V372,商品!$A$4:$D$67,4,FALSE),0),"")</f>
        <v/>
      </c>
      <c r="AN372">
        <f t="shared" si="45"/>
        <v>0</v>
      </c>
      <c r="AO372">
        <f t="shared" si="46"/>
        <v>0</v>
      </c>
      <c r="AP372">
        <f t="shared" si="47"/>
        <v>0</v>
      </c>
    </row>
    <row r="373" customHeight="1" spans="1:42">
      <c r="A373" s="18" t="s">
        <v>356</v>
      </c>
      <c r="C373" s="18">
        <v>2</v>
      </c>
      <c r="D373" s="1" t="s">
        <v>240</v>
      </c>
      <c r="E373" s="1" t="s">
        <v>226</v>
      </c>
      <c r="L373" s="1">
        <f>IFERROR(VLOOKUP($D373&amp;$C373,生产方式定位!$A$2:$E$38,2,FALSE)+VLOOKUP($E373&amp;$C373,生产方式定位!$F$3:$J$38,2,FALSE),0)</f>
        <v>12000</v>
      </c>
      <c r="S373" s="1">
        <f>IFERROR(VLOOKUP($D373&amp;$C373,生产方式定位!$A$2:$E$38,3,FALSE)+VLOOKUP($E373&amp;$C373,生产方式定位!$F$3:$J$38,3,FALSE),0)</f>
        <v>8300</v>
      </c>
      <c r="X373" s="1">
        <f>IFERROR(VLOOKUP($D373&amp;$C373,生产方式定位!$A$2:$E$38,5,FALSE)+VLOOKUP($E373&amp;$C373,生产方式定位!$F$3:$J$38,5,FALSE),"错误")</f>
        <v>10240</v>
      </c>
      <c r="Y373" s="27" t="str">
        <f t="shared" si="40"/>
        <v/>
      </c>
      <c r="Z373" s="37" t="str">
        <f t="shared" si="41"/>
        <v/>
      </c>
      <c r="AA373" s="37" t="str">
        <f t="shared" si="42"/>
        <v/>
      </c>
      <c r="AB373" s="28">
        <f t="shared" si="43"/>
        <v>1.17</v>
      </c>
      <c r="AC373" s="37"/>
      <c r="AD373" s="38">
        <f t="shared" si="44"/>
        <v>2</v>
      </c>
      <c r="AE373" t="str">
        <f>IFERROR(F373&amp;"*"&amp;ROUND(L373*(G373/$AN373)/VLOOKUP(F373,商品!$A$4:$D$67,4,FALSE),0),"")</f>
        <v/>
      </c>
      <c r="AF373" t="str">
        <f>IFERROR(H373&amp;"*"&amp;ROUND(L373*(I373/$AN373)/VLOOKUP(H373,商品!$A$4:$D$67,4,FALSE),0),"")</f>
        <v/>
      </c>
      <c r="AG373" t="str">
        <f>IFERROR(J373&amp;"*"&amp;ROUND(L373*(K373/$AN373)/VLOOKUP(J373,商品!$A$4:$D$67,4,FALSE),0),"")</f>
        <v/>
      </c>
      <c r="AH373" t="str">
        <f>IFERROR(M373&amp;"*"&amp;ROUND(S373*(N373/$AO373)/VLOOKUP(M373,职业!$A$3:$E$16,4,FALSE),0),"")</f>
        <v/>
      </c>
      <c r="AI373" t="str">
        <f>IFERROR(O373&amp;"*"&amp;ROUND(S373*(P373/$AO373)/VLOOKUP(O373,职业!$A$3:$E$16,4,FALSE),0),"")</f>
        <v/>
      </c>
      <c r="AK373" t="str">
        <f>IFERROR(T373&amp;"*"&amp;ROUND(X373*(U373/$AP373)/VLOOKUP(T373,商品!$A$4:$D$67,4,FALSE),0),"")</f>
        <v/>
      </c>
      <c r="AL373" t="str">
        <f>IFERROR(V373&amp;"*"&amp;ROUND(X373*(W373/$AP373)/VLOOKUP(V373,商品!$A$4:$D$67,4,FALSE),0),"")</f>
        <v/>
      </c>
      <c r="AN373">
        <f t="shared" si="45"/>
        <v>0</v>
      </c>
      <c r="AO373">
        <f t="shared" si="46"/>
        <v>0</v>
      </c>
      <c r="AP373">
        <f t="shared" si="47"/>
        <v>0</v>
      </c>
    </row>
    <row r="374" customHeight="1" spans="1:42">
      <c r="A374" s="18" t="s">
        <v>356</v>
      </c>
      <c r="C374" s="18">
        <v>3</v>
      </c>
      <c r="D374" s="1" t="s">
        <v>240</v>
      </c>
      <c r="E374" s="1" t="s">
        <v>226</v>
      </c>
      <c r="L374" s="1">
        <f>IFERROR(VLOOKUP($D374&amp;$C374,生产方式定位!$A$2:$E$38,2,FALSE)+VLOOKUP($E374&amp;$C374,生产方式定位!$F$3:$J$38,2,FALSE),0)</f>
        <v>12000</v>
      </c>
      <c r="S374" s="1">
        <f>IFERROR(VLOOKUP($D374&amp;$C374,生产方式定位!$A$2:$E$38,3,FALSE)+VLOOKUP($E374&amp;$C374,生产方式定位!$F$3:$J$38,3,FALSE),0)</f>
        <v>8600</v>
      </c>
      <c r="X374" s="1">
        <f>IFERROR(VLOOKUP($D374&amp;$C374,生产方式定位!$A$2:$E$38,5,FALSE)+VLOOKUP($E374&amp;$C374,生产方式定位!$F$3:$J$38,5,FALSE),"错误")</f>
        <v>10560</v>
      </c>
      <c r="Y374" s="27" t="str">
        <f t="shared" si="40"/>
        <v/>
      </c>
      <c r="Z374" s="37" t="str">
        <f t="shared" si="41"/>
        <v/>
      </c>
      <c r="AA374" s="37" t="str">
        <f t="shared" si="42"/>
        <v/>
      </c>
      <c r="AB374" s="28">
        <f t="shared" si="43"/>
        <v>1.14</v>
      </c>
      <c r="AC374" s="37"/>
      <c r="AD374" s="38">
        <f t="shared" si="44"/>
        <v>3</v>
      </c>
      <c r="AE374" t="str">
        <f>IFERROR(F374&amp;"*"&amp;ROUND(L374*(G374/$AN374)/VLOOKUP(F374,商品!$A$4:$D$67,4,FALSE),0),"")</f>
        <v/>
      </c>
      <c r="AF374" t="str">
        <f>IFERROR(H374&amp;"*"&amp;ROUND(L374*(I374/$AN374)/VLOOKUP(H374,商品!$A$4:$D$67,4,FALSE),0),"")</f>
        <v/>
      </c>
      <c r="AG374" t="str">
        <f>IFERROR(J374&amp;"*"&amp;ROUND(L374*(K374/$AN374)/VLOOKUP(J374,商品!$A$4:$D$67,4,FALSE),0),"")</f>
        <v/>
      </c>
      <c r="AH374" t="str">
        <f>IFERROR(M374&amp;"*"&amp;ROUND(S374*(N374/$AO374)/VLOOKUP(M374,职业!$A$3:$E$16,4,FALSE),0),"")</f>
        <v/>
      </c>
      <c r="AI374" t="str">
        <f>IFERROR(O374&amp;"*"&amp;ROUND(S374*(P374/$AO374)/VLOOKUP(O374,职业!$A$3:$E$16,4,FALSE),0),"")</f>
        <v/>
      </c>
      <c r="AK374" t="str">
        <f>IFERROR(T374&amp;"*"&amp;ROUND(X374*(U374/$AP374)/VLOOKUP(T374,商品!$A$4:$D$67,4,FALSE),0),"")</f>
        <v/>
      </c>
      <c r="AL374" t="str">
        <f>IFERROR(V374&amp;"*"&amp;ROUND(X374*(W374/$AP374)/VLOOKUP(V374,商品!$A$4:$D$67,4,FALSE),0),"")</f>
        <v/>
      </c>
      <c r="AN374">
        <f t="shared" si="45"/>
        <v>0</v>
      </c>
      <c r="AO374">
        <f t="shared" si="46"/>
        <v>0</v>
      </c>
      <c r="AP374">
        <f t="shared" si="47"/>
        <v>0</v>
      </c>
    </row>
    <row r="375" customHeight="1" spans="1:42">
      <c r="A375" s="18" t="s">
        <v>356</v>
      </c>
      <c r="C375" s="18">
        <v>4</v>
      </c>
      <c r="D375" s="1" t="s">
        <v>240</v>
      </c>
      <c r="E375" s="1" t="s">
        <v>226</v>
      </c>
      <c r="L375" s="1">
        <f>IFERROR(VLOOKUP($D375&amp;$C375,生产方式定位!$A$2:$E$38,2,FALSE)+VLOOKUP($E375&amp;$C375,生产方式定位!$F$3:$J$38,2,FALSE),0)</f>
        <v>12000</v>
      </c>
      <c r="S375" s="1">
        <f>IFERROR(VLOOKUP($D375&amp;$C375,生产方式定位!$A$2:$E$38,3,FALSE)+VLOOKUP($E375&amp;$C375,生产方式定位!$F$3:$J$38,3,FALSE),0)</f>
        <v>8900</v>
      </c>
      <c r="X375" s="1">
        <f>IFERROR(VLOOKUP($D375&amp;$C375,生产方式定位!$A$2:$E$38,5,FALSE)+VLOOKUP($E375&amp;$C375,生产方式定位!$F$3:$J$38,5,FALSE),"错误")</f>
        <v>10960</v>
      </c>
      <c r="Y375" s="27" t="str">
        <f t="shared" si="40"/>
        <v/>
      </c>
      <c r="Z375" s="37" t="str">
        <f t="shared" si="41"/>
        <v/>
      </c>
      <c r="AA375" s="37" t="str">
        <f t="shared" si="42"/>
        <v/>
      </c>
      <c r="AB375" s="28">
        <f t="shared" si="43"/>
        <v>1.09</v>
      </c>
      <c r="AC375" s="37"/>
      <c r="AD375" s="38">
        <f t="shared" si="44"/>
        <v>4</v>
      </c>
      <c r="AE375" t="str">
        <f>IFERROR(F375&amp;"*"&amp;ROUND(L375*(G375/$AN375)/VLOOKUP(F375,商品!$A$4:$D$67,4,FALSE),0),"")</f>
        <v/>
      </c>
      <c r="AF375" t="str">
        <f>IFERROR(H375&amp;"*"&amp;ROUND(L375*(I375/$AN375)/VLOOKUP(H375,商品!$A$4:$D$67,4,FALSE),0),"")</f>
        <v/>
      </c>
      <c r="AG375" t="str">
        <f>IFERROR(J375&amp;"*"&amp;ROUND(L375*(K375/$AN375)/VLOOKUP(J375,商品!$A$4:$D$67,4,FALSE),0),"")</f>
        <v/>
      </c>
      <c r="AH375" t="str">
        <f>IFERROR(M375&amp;"*"&amp;ROUND(S375*(N375/$AO375)/VLOOKUP(M375,职业!$A$3:$E$16,4,FALSE),0),"")</f>
        <v/>
      </c>
      <c r="AI375" t="str">
        <f>IFERROR(O375&amp;"*"&amp;ROUND(S375*(P375/$AO375)/VLOOKUP(O375,职业!$A$3:$E$16,4,FALSE),0),"")</f>
        <v/>
      </c>
      <c r="AK375" t="str">
        <f>IFERROR(T375&amp;"*"&amp;ROUND(X375*(U375/$AP375)/VLOOKUP(T375,商品!$A$4:$D$67,4,FALSE),0),"")</f>
        <v/>
      </c>
      <c r="AL375" t="str">
        <f>IFERROR(V375&amp;"*"&amp;ROUND(X375*(W375/$AP375)/VLOOKUP(V375,商品!$A$4:$D$67,4,FALSE),0),"")</f>
        <v/>
      </c>
      <c r="AN375">
        <f t="shared" si="45"/>
        <v>0</v>
      </c>
      <c r="AO375">
        <f t="shared" si="46"/>
        <v>0</v>
      </c>
      <c r="AP375">
        <f t="shared" si="47"/>
        <v>0</v>
      </c>
    </row>
    <row r="376" customHeight="1" spans="1:42">
      <c r="A376" s="18" t="s">
        <v>356</v>
      </c>
      <c r="C376" s="18">
        <v>5</v>
      </c>
      <c r="D376" s="1" t="s">
        <v>240</v>
      </c>
      <c r="E376" s="1" t="s">
        <v>226</v>
      </c>
      <c r="L376" s="1">
        <f>IFERROR(VLOOKUP($D376&amp;$C376,生产方式定位!$A$2:$E$38,2,FALSE)+VLOOKUP($E376&amp;$C376,生产方式定位!$F$3:$J$38,2,FALSE),0)</f>
        <v>12000</v>
      </c>
      <c r="S376" s="1">
        <f>IFERROR(VLOOKUP($D376&amp;$C376,生产方式定位!$A$2:$E$38,3,FALSE)+VLOOKUP($E376&amp;$C376,生产方式定位!$F$3:$J$38,3,FALSE),0)</f>
        <v>9200</v>
      </c>
      <c r="X376" s="1">
        <f>IFERROR(VLOOKUP($D376&amp;$C376,生产方式定位!$A$2:$E$38,5,FALSE)+VLOOKUP($E376&amp;$C376,生产方式定位!$F$3:$J$38,5,FALSE),"错误")</f>
        <v>11440</v>
      </c>
      <c r="Y376" s="27" t="str">
        <f t="shared" si="40"/>
        <v/>
      </c>
      <c r="Z376" s="37" t="str">
        <f t="shared" si="41"/>
        <v/>
      </c>
      <c r="AA376" s="37" t="str">
        <f t="shared" si="42"/>
        <v/>
      </c>
      <c r="AB376" s="28">
        <f t="shared" si="43"/>
        <v>1.05</v>
      </c>
      <c r="AC376" s="37"/>
      <c r="AD376" s="38">
        <f t="shared" si="44"/>
        <v>5</v>
      </c>
      <c r="AE376" t="str">
        <f>IFERROR(F376&amp;"*"&amp;ROUND(L376*(G376/$AN376)/VLOOKUP(F376,商品!$A$4:$D$67,4,FALSE),0),"")</f>
        <v/>
      </c>
      <c r="AF376" t="str">
        <f>IFERROR(H376&amp;"*"&amp;ROUND(L376*(I376/$AN376)/VLOOKUP(H376,商品!$A$4:$D$67,4,FALSE),0),"")</f>
        <v/>
      </c>
      <c r="AG376" t="str">
        <f>IFERROR(J376&amp;"*"&amp;ROUND(L376*(K376/$AN376)/VLOOKUP(J376,商品!$A$4:$D$67,4,FALSE),0),"")</f>
        <v/>
      </c>
      <c r="AH376" t="str">
        <f>IFERROR(M376&amp;"*"&amp;ROUND(S376*(N376/$AO376)/VLOOKUP(M376,职业!$A$3:$E$16,4,FALSE),0),"")</f>
        <v/>
      </c>
      <c r="AI376" t="str">
        <f>IFERROR(O376&amp;"*"&amp;ROUND(S376*(P376/$AO376)/VLOOKUP(O376,职业!$A$3:$E$16,4,FALSE),0),"")</f>
        <v/>
      </c>
      <c r="AK376" t="str">
        <f>IFERROR(T376&amp;"*"&amp;ROUND(X376*(U376/$AP376)/VLOOKUP(T376,商品!$A$4:$D$67,4,FALSE),0),"")</f>
        <v/>
      </c>
      <c r="AL376" t="str">
        <f>IFERROR(V376&amp;"*"&amp;ROUND(X376*(W376/$AP376)/VLOOKUP(V376,商品!$A$4:$D$67,4,FALSE),0),"")</f>
        <v/>
      </c>
      <c r="AN376">
        <f t="shared" si="45"/>
        <v>0</v>
      </c>
      <c r="AO376">
        <f t="shared" si="46"/>
        <v>0</v>
      </c>
      <c r="AP376">
        <f t="shared" si="47"/>
        <v>0</v>
      </c>
    </row>
    <row r="377" customHeight="1" spans="1:42">
      <c r="A377" s="5" t="s">
        <v>356</v>
      </c>
      <c r="C377" s="5">
        <v>1</v>
      </c>
      <c r="D377" s="1" t="s">
        <v>240</v>
      </c>
      <c r="E377" s="1" t="s">
        <v>226</v>
      </c>
      <c r="L377" s="1">
        <f>IFERROR(VLOOKUP($D377&amp;$C377,生产方式定位!$A$2:$E$38,2,FALSE)+VLOOKUP($E377&amp;$C377,生产方式定位!$F$3:$J$38,2,FALSE),0)</f>
        <v>0</v>
      </c>
      <c r="S377" s="1">
        <f>IFERROR(VLOOKUP($D377&amp;$C377,生产方式定位!$A$2:$E$38,3,FALSE)+VLOOKUP($E377&amp;$C377,生产方式定位!$F$3:$J$38,3,FALSE),0)</f>
        <v>8000</v>
      </c>
      <c r="X377" s="1">
        <f>IFERROR(VLOOKUP($D377&amp;$C377,生产方式定位!$A$2:$E$38,5,FALSE)+VLOOKUP($E377&amp;$C377,生产方式定位!$F$3:$J$38,5,FALSE),"错误")</f>
        <v>4000</v>
      </c>
      <c r="Y377" s="27" t="str">
        <f t="shared" si="40"/>
        <v/>
      </c>
      <c r="Z377" s="37" t="str">
        <f t="shared" si="41"/>
        <v/>
      </c>
      <c r="AA377" s="37" t="str">
        <f t="shared" si="42"/>
        <v/>
      </c>
      <c r="AB377" s="28">
        <f t="shared" si="43"/>
        <v>0</v>
      </c>
      <c r="AC377" s="37"/>
      <c r="AD377" s="38">
        <f t="shared" si="44"/>
        <v>1</v>
      </c>
      <c r="AE377" t="str">
        <f>IFERROR(F377&amp;"*"&amp;ROUND(L377*(G377/$AN377)/VLOOKUP(F377,商品!$A$4:$D$67,4,FALSE),0),"")</f>
        <v/>
      </c>
      <c r="AF377" t="str">
        <f>IFERROR(H377&amp;"*"&amp;ROUND(L377*(I377/$AN377)/VLOOKUP(H377,商品!$A$4:$D$67,4,FALSE),0),"")</f>
        <v/>
      </c>
      <c r="AG377" t="str">
        <f>IFERROR(J377&amp;"*"&amp;ROUND(L377*(K377/$AN377)/VLOOKUP(J377,商品!$A$4:$D$67,4,FALSE),0),"")</f>
        <v/>
      </c>
      <c r="AH377" t="str">
        <f>IFERROR(M377&amp;"*"&amp;ROUND(S377*(N377/$AO377)/VLOOKUP(M377,职业!$A$3:$E$16,4,FALSE),0),"")</f>
        <v/>
      </c>
      <c r="AI377" t="str">
        <f>IFERROR(O377&amp;"*"&amp;ROUND(S377*(P377/$AO377)/VLOOKUP(O377,职业!$A$3:$E$16,4,FALSE),0),"")</f>
        <v/>
      </c>
      <c r="AK377" t="str">
        <f>IFERROR(T377&amp;"*"&amp;ROUND(X377*(U377/$AP377)/VLOOKUP(T377,商品!$A$4:$D$67,4,FALSE),0),"")</f>
        <v/>
      </c>
      <c r="AL377" t="str">
        <f>IFERROR(V377&amp;"*"&amp;ROUND(X377*(W377/$AP377)/VLOOKUP(V377,商品!$A$4:$D$67,4,FALSE),0),"")</f>
        <v/>
      </c>
      <c r="AN377">
        <f t="shared" si="45"/>
        <v>0</v>
      </c>
      <c r="AO377">
        <f t="shared" si="46"/>
        <v>0</v>
      </c>
      <c r="AP377">
        <f t="shared" si="47"/>
        <v>0</v>
      </c>
    </row>
    <row r="378" customHeight="1" spans="1:42">
      <c r="A378" s="5" t="s">
        <v>356</v>
      </c>
      <c r="C378" s="5">
        <v>2</v>
      </c>
      <c r="D378" s="1" t="s">
        <v>240</v>
      </c>
      <c r="E378" s="1" t="s">
        <v>226</v>
      </c>
      <c r="L378" s="1">
        <f>IFERROR(VLOOKUP($D378&amp;$C378,生产方式定位!$A$2:$E$38,2,FALSE)+VLOOKUP($E378&amp;$C378,生产方式定位!$F$3:$J$38,2,FALSE),0)</f>
        <v>12000</v>
      </c>
      <c r="S378" s="1">
        <f>IFERROR(VLOOKUP($D378&amp;$C378,生产方式定位!$A$2:$E$38,3,FALSE)+VLOOKUP($E378&amp;$C378,生产方式定位!$F$3:$J$38,3,FALSE),0)</f>
        <v>8300</v>
      </c>
      <c r="X378" s="1">
        <f>IFERROR(VLOOKUP($D378&amp;$C378,生产方式定位!$A$2:$E$38,5,FALSE)+VLOOKUP($E378&amp;$C378,生产方式定位!$F$3:$J$38,5,FALSE),"错误")</f>
        <v>10240</v>
      </c>
      <c r="Y378" s="27" t="str">
        <f t="shared" si="40"/>
        <v/>
      </c>
      <c r="Z378" s="37" t="str">
        <f t="shared" si="41"/>
        <v/>
      </c>
      <c r="AA378" s="37" t="str">
        <f t="shared" si="42"/>
        <v/>
      </c>
      <c r="AB378" s="28">
        <f t="shared" si="43"/>
        <v>1.17</v>
      </c>
      <c r="AC378" s="37"/>
      <c r="AD378" s="38">
        <f t="shared" si="44"/>
        <v>2</v>
      </c>
      <c r="AE378" t="str">
        <f>IFERROR(F378&amp;"*"&amp;ROUND(L378*(G378/$AN378)/VLOOKUP(F378,商品!$A$4:$D$67,4,FALSE),0),"")</f>
        <v/>
      </c>
      <c r="AF378" t="str">
        <f>IFERROR(H378&amp;"*"&amp;ROUND(L378*(I378/$AN378)/VLOOKUP(H378,商品!$A$4:$D$67,4,FALSE),0),"")</f>
        <v/>
      </c>
      <c r="AG378" t="str">
        <f>IFERROR(J378&amp;"*"&amp;ROUND(L378*(K378/$AN378)/VLOOKUP(J378,商品!$A$4:$D$67,4,FALSE),0),"")</f>
        <v/>
      </c>
      <c r="AH378" t="str">
        <f>IFERROR(M378&amp;"*"&amp;ROUND(S378*(N378/$AO378)/VLOOKUP(M378,职业!$A$3:$E$16,4,FALSE),0),"")</f>
        <v/>
      </c>
      <c r="AI378" t="str">
        <f>IFERROR(O378&amp;"*"&amp;ROUND(S378*(P378/$AO378)/VLOOKUP(O378,职业!$A$3:$E$16,4,FALSE),0),"")</f>
        <v/>
      </c>
      <c r="AK378" t="str">
        <f>IFERROR(T378&amp;"*"&amp;ROUND(X378*(U378/$AP378)/VLOOKUP(T378,商品!$A$4:$D$67,4,FALSE),0),"")</f>
        <v/>
      </c>
      <c r="AL378" t="str">
        <f>IFERROR(V378&amp;"*"&amp;ROUND(X378*(W378/$AP378)/VLOOKUP(V378,商品!$A$4:$D$67,4,FALSE),0),"")</f>
        <v/>
      </c>
      <c r="AN378">
        <f t="shared" si="45"/>
        <v>0</v>
      </c>
      <c r="AO378">
        <f t="shared" si="46"/>
        <v>0</v>
      </c>
      <c r="AP378">
        <f t="shared" si="47"/>
        <v>0</v>
      </c>
    </row>
    <row r="379" customHeight="1" spans="1:42">
      <c r="A379" s="5" t="s">
        <v>356</v>
      </c>
      <c r="C379" s="5">
        <v>3</v>
      </c>
      <c r="D379" s="1" t="s">
        <v>240</v>
      </c>
      <c r="E379" s="1" t="s">
        <v>226</v>
      </c>
      <c r="L379" s="1">
        <f>IFERROR(VLOOKUP($D379&amp;$C379,生产方式定位!$A$2:$E$38,2,FALSE)+VLOOKUP($E379&amp;$C379,生产方式定位!$F$3:$J$38,2,FALSE),0)</f>
        <v>12000</v>
      </c>
      <c r="S379" s="1">
        <f>IFERROR(VLOOKUP($D379&amp;$C379,生产方式定位!$A$2:$E$38,3,FALSE)+VLOOKUP($E379&amp;$C379,生产方式定位!$F$3:$J$38,3,FALSE),0)</f>
        <v>8600</v>
      </c>
      <c r="X379" s="1">
        <f>IFERROR(VLOOKUP($D379&amp;$C379,生产方式定位!$A$2:$E$38,5,FALSE)+VLOOKUP($E379&amp;$C379,生产方式定位!$F$3:$J$38,5,FALSE),"错误")</f>
        <v>10560</v>
      </c>
      <c r="Y379" s="27" t="str">
        <f t="shared" si="40"/>
        <v/>
      </c>
      <c r="Z379" s="37" t="str">
        <f t="shared" si="41"/>
        <v/>
      </c>
      <c r="AA379" s="37" t="str">
        <f t="shared" si="42"/>
        <v/>
      </c>
      <c r="AB379" s="28">
        <f t="shared" si="43"/>
        <v>1.14</v>
      </c>
      <c r="AC379" s="37"/>
      <c r="AD379" s="38">
        <f t="shared" si="44"/>
        <v>3</v>
      </c>
      <c r="AE379" t="str">
        <f>IFERROR(F379&amp;"*"&amp;ROUND(L379*(G379/$AN379)/VLOOKUP(F379,商品!$A$4:$D$67,4,FALSE),0),"")</f>
        <v/>
      </c>
      <c r="AF379" t="str">
        <f>IFERROR(H379&amp;"*"&amp;ROUND(L379*(I379/$AN379)/VLOOKUP(H379,商品!$A$4:$D$67,4,FALSE),0),"")</f>
        <v/>
      </c>
      <c r="AG379" t="str">
        <f>IFERROR(J379&amp;"*"&amp;ROUND(L379*(K379/$AN379)/VLOOKUP(J379,商品!$A$4:$D$67,4,FALSE),0),"")</f>
        <v/>
      </c>
      <c r="AH379" t="str">
        <f>IFERROR(M379&amp;"*"&amp;ROUND(S379*(N379/$AO379)/VLOOKUP(M379,职业!$A$3:$E$16,4,FALSE),0),"")</f>
        <v/>
      </c>
      <c r="AI379" t="str">
        <f>IFERROR(O379&amp;"*"&amp;ROUND(S379*(P379/$AO379)/VLOOKUP(O379,职业!$A$3:$E$16,4,FALSE),0),"")</f>
        <v/>
      </c>
      <c r="AK379" t="str">
        <f>IFERROR(T379&amp;"*"&amp;ROUND(X379*(U379/$AP379)/VLOOKUP(T379,商品!$A$4:$D$67,4,FALSE),0),"")</f>
        <v/>
      </c>
      <c r="AL379" t="str">
        <f>IFERROR(V379&amp;"*"&amp;ROUND(X379*(W379/$AP379)/VLOOKUP(V379,商品!$A$4:$D$67,4,FALSE),0),"")</f>
        <v/>
      </c>
      <c r="AN379">
        <f t="shared" si="45"/>
        <v>0</v>
      </c>
      <c r="AO379">
        <f t="shared" si="46"/>
        <v>0</v>
      </c>
      <c r="AP379">
        <f t="shared" si="47"/>
        <v>0</v>
      </c>
    </row>
    <row r="380" customHeight="1" spans="1:42">
      <c r="A380" s="5" t="s">
        <v>356</v>
      </c>
      <c r="C380" s="5">
        <v>4</v>
      </c>
      <c r="D380" s="1" t="s">
        <v>240</v>
      </c>
      <c r="E380" s="1" t="s">
        <v>226</v>
      </c>
      <c r="L380" s="1">
        <f>IFERROR(VLOOKUP($D380&amp;$C380,生产方式定位!$A$2:$E$38,2,FALSE)+VLOOKUP($E380&amp;$C380,生产方式定位!$F$3:$J$38,2,FALSE),0)</f>
        <v>12000</v>
      </c>
      <c r="S380" s="1">
        <f>IFERROR(VLOOKUP($D380&amp;$C380,生产方式定位!$A$2:$E$38,3,FALSE)+VLOOKUP($E380&amp;$C380,生产方式定位!$F$3:$J$38,3,FALSE),0)</f>
        <v>8900</v>
      </c>
      <c r="X380" s="1">
        <f>IFERROR(VLOOKUP($D380&amp;$C380,生产方式定位!$A$2:$E$38,5,FALSE)+VLOOKUP($E380&amp;$C380,生产方式定位!$F$3:$J$38,5,FALSE),"错误")</f>
        <v>10960</v>
      </c>
      <c r="Y380" s="27" t="str">
        <f t="shared" si="40"/>
        <v/>
      </c>
      <c r="Z380" s="37" t="str">
        <f t="shared" si="41"/>
        <v/>
      </c>
      <c r="AA380" s="37" t="str">
        <f t="shared" si="42"/>
        <v/>
      </c>
      <c r="AB380" s="28">
        <f t="shared" si="43"/>
        <v>1.09</v>
      </c>
      <c r="AC380" s="37"/>
      <c r="AD380" s="38">
        <f t="shared" si="44"/>
        <v>4</v>
      </c>
      <c r="AE380" t="str">
        <f>IFERROR(F380&amp;"*"&amp;ROUND(L380*(G380/$AN380)/VLOOKUP(F380,商品!$A$4:$D$67,4,FALSE),0),"")</f>
        <v/>
      </c>
      <c r="AF380" t="str">
        <f>IFERROR(H380&amp;"*"&amp;ROUND(L380*(I380/$AN380)/VLOOKUP(H380,商品!$A$4:$D$67,4,FALSE),0),"")</f>
        <v/>
      </c>
      <c r="AG380" t="str">
        <f>IFERROR(J380&amp;"*"&amp;ROUND(L380*(K380/$AN380)/VLOOKUP(J380,商品!$A$4:$D$67,4,FALSE),0),"")</f>
        <v/>
      </c>
      <c r="AH380" t="str">
        <f>IFERROR(M380&amp;"*"&amp;ROUND(S380*(N380/$AO380)/VLOOKUP(M380,职业!$A$3:$E$16,4,FALSE),0),"")</f>
        <v/>
      </c>
      <c r="AI380" t="str">
        <f>IFERROR(O380&amp;"*"&amp;ROUND(S380*(P380/$AO380)/VLOOKUP(O380,职业!$A$3:$E$16,4,FALSE),0),"")</f>
        <v/>
      </c>
      <c r="AK380" t="str">
        <f>IFERROR(T380&amp;"*"&amp;ROUND(X380*(U380/$AP380)/VLOOKUP(T380,商品!$A$4:$D$67,4,FALSE),0),"")</f>
        <v/>
      </c>
      <c r="AL380" t="str">
        <f>IFERROR(V380&amp;"*"&amp;ROUND(X380*(W380/$AP380)/VLOOKUP(V380,商品!$A$4:$D$67,4,FALSE),0),"")</f>
        <v/>
      </c>
      <c r="AN380">
        <f t="shared" si="45"/>
        <v>0</v>
      </c>
      <c r="AO380">
        <f t="shared" si="46"/>
        <v>0</v>
      </c>
      <c r="AP380">
        <f t="shared" si="47"/>
        <v>0</v>
      </c>
    </row>
    <row r="381" customHeight="1" spans="1:42">
      <c r="A381" s="5" t="s">
        <v>356</v>
      </c>
      <c r="C381" s="5">
        <v>5</v>
      </c>
      <c r="D381" s="1" t="s">
        <v>240</v>
      </c>
      <c r="E381" s="1" t="s">
        <v>226</v>
      </c>
      <c r="L381" s="1">
        <f>IFERROR(VLOOKUP($D381&amp;$C381,生产方式定位!$A$2:$E$38,2,FALSE)+VLOOKUP($E381&amp;$C381,生产方式定位!$F$3:$J$38,2,FALSE),0)</f>
        <v>12000</v>
      </c>
      <c r="S381" s="1">
        <f>IFERROR(VLOOKUP($D381&amp;$C381,生产方式定位!$A$2:$E$38,3,FALSE)+VLOOKUP($E381&amp;$C381,生产方式定位!$F$3:$J$38,3,FALSE),0)</f>
        <v>9200</v>
      </c>
      <c r="X381" s="1">
        <f>IFERROR(VLOOKUP($D381&amp;$C381,生产方式定位!$A$2:$E$38,5,FALSE)+VLOOKUP($E381&amp;$C381,生产方式定位!$F$3:$J$38,5,FALSE),"错误")</f>
        <v>11440</v>
      </c>
      <c r="Y381" s="27" t="str">
        <f t="shared" si="40"/>
        <v/>
      </c>
      <c r="Z381" s="37" t="str">
        <f t="shared" si="41"/>
        <v/>
      </c>
      <c r="AA381" s="37" t="str">
        <f t="shared" si="42"/>
        <v/>
      </c>
      <c r="AB381" s="28">
        <f t="shared" si="43"/>
        <v>1.05</v>
      </c>
      <c r="AC381" s="37"/>
      <c r="AD381" s="38">
        <f t="shared" si="44"/>
        <v>5</v>
      </c>
      <c r="AE381" t="str">
        <f>IFERROR(F381&amp;"*"&amp;ROUND(L381*(G381/$AN381)/VLOOKUP(F381,商品!$A$4:$D$67,4,FALSE),0),"")</f>
        <v/>
      </c>
      <c r="AF381" t="str">
        <f>IFERROR(H381&amp;"*"&amp;ROUND(L381*(I381/$AN381)/VLOOKUP(H381,商品!$A$4:$D$67,4,FALSE),0),"")</f>
        <v/>
      </c>
      <c r="AG381" t="str">
        <f>IFERROR(J381&amp;"*"&amp;ROUND(L381*(K381/$AN381)/VLOOKUP(J381,商品!$A$4:$D$67,4,FALSE),0),"")</f>
        <v/>
      </c>
      <c r="AH381" t="str">
        <f>IFERROR(M381&amp;"*"&amp;ROUND(S381*(N381/$AO381)/VLOOKUP(M381,职业!$A$3:$E$16,4,FALSE),0),"")</f>
        <v/>
      </c>
      <c r="AI381" t="str">
        <f>IFERROR(O381&amp;"*"&amp;ROUND(S381*(P381/$AO381)/VLOOKUP(O381,职业!$A$3:$E$16,4,FALSE),0),"")</f>
        <v/>
      </c>
      <c r="AK381" t="str">
        <f>IFERROR(T381&amp;"*"&amp;ROUND(X381*(U381/$AP381)/VLOOKUP(T381,商品!$A$4:$D$67,4,FALSE),0),"")</f>
        <v/>
      </c>
      <c r="AL381" t="str">
        <f>IFERROR(V381&amp;"*"&amp;ROUND(X381*(W381/$AP381)/VLOOKUP(V381,商品!$A$4:$D$67,4,FALSE),0),"")</f>
        <v/>
      </c>
      <c r="AN381">
        <f t="shared" si="45"/>
        <v>0</v>
      </c>
      <c r="AO381">
        <f t="shared" si="46"/>
        <v>0</v>
      </c>
      <c r="AP381">
        <f t="shared" si="47"/>
        <v>0</v>
      </c>
    </row>
    <row r="382" customHeight="1" spans="1:42">
      <c r="A382" s="18" t="s">
        <v>357</v>
      </c>
      <c r="C382" s="18">
        <v>1</v>
      </c>
      <c r="D382" s="1" t="s">
        <v>293</v>
      </c>
      <c r="E382" s="1" t="s">
        <v>227</v>
      </c>
      <c r="L382" s="1">
        <f>IFERROR(VLOOKUP($D382&amp;$C382,生产方式定位!$A$2:$E$38,2,FALSE)+VLOOKUP($E382&amp;$C382,生产方式定位!$F$3:$J$38,2,FALSE),0)</f>
        <v>0</v>
      </c>
      <c r="S382" s="1">
        <f>IFERROR(VLOOKUP($D382&amp;$C382,生产方式定位!$A$2:$E$38,3,FALSE)+VLOOKUP($E382&amp;$C382,生产方式定位!$F$3:$J$38,3,FALSE),0)</f>
        <v>0</v>
      </c>
      <c r="X382" s="1">
        <f>IFERROR(VLOOKUP($D382&amp;$C382,生产方式定位!$A$2:$E$38,5,FALSE)+VLOOKUP($E382&amp;$C382,生产方式定位!$F$3:$J$38,5,FALSE),"错误")</f>
        <v>0</v>
      </c>
      <c r="Y382" s="27" t="str">
        <f t="shared" si="40"/>
        <v/>
      </c>
      <c r="Z382" s="37" t="str">
        <f t="shared" si="41"/>
        <v/>
      </c>
      <c r="AA382" s="37" t="str">
        <f t="shared" si="42"/>
        <v/>
      </c>
      <c r="AB382" s="28" t="str">
        <f t="shared" si="43"/>
        <v/>
      </c>
      <c r="AC382" s="37"/>
      <c r="AD382" s="38">
        <f t="shared" si="44"/>
        <v>1</v>
      </c>
      <c r="AE382" t="str">
        <f>IFERROR(F382&amp;"*"&amp;ROUND(L382*(G382/$AN382)/VLOOKUP(F382,商品!$A$4:$D$67,4,FALSE),0),"")</f>
        <v/>
      </c>
      <c r="AF382" t="str">
        <f>IFERROR(H382&amp;"*"&amp;ROUND(L382*(I382/$AN382)/VLOOKUP(H382,商品!$A$4:$D$67,4,FALSE),0),"")</f>
        <v/>
      </c>
      <c r="AG382" t="str">
        <f>IFERROR(J382&amp;"*"&amp;ROUND(L382*(K382/$AN382)/VLOOKUP(J382,商品!$A$4:$D$67,4,FALSE),0),"")</f>
        <v/>
      </c>
      <c r="AH382" t="str">
        <f>IFERROR(M382&amp;"*"&amp;ROUND(S382*(N382/$AO382)/VLOOKUP(M382,职业!$A$3:$E$16,4,FALSE),0),"")</f>
        <v/>
      </c>
      <c r="AI382" t="str">
        <f>IFERROR(O382&amp;"*"&amp;ROUND(S382*(P382/$AO382)/VLOOKUP(O382,职业!$A$3:$E$16,4,FALSE),0),"")</f>
        <v/>
      </c>
      <c r="AK382" t="str">
        <f>IFERROR(T382&amp;"*"&amp;ROUND(X382*(U382/$AP382)/VLOOKUP(T382,商品!$A$4:$D$67,4,FALSE),0),"")</f>
        <v/>
      </c>
      <c r="AL382" t="str">
        <f>IFERROR(V382&amp;"*"&amp;ROUND(X382*(W382/$AP382)/VLOOKUP(V382,商品!$A$4:$D$67,4,FALSE),0),"")</f>
        <v/>
      </c>
      <c r="AN382">
        <f t="shared" si="45"/>
        <v>0</v>
      </c>
      <c r="AO382">
        <f t="shared" si="46"/>
        <v>0</v>
      </c>
      <c r="AP382">
        <f t="shared" si="47"/>
        <v>0</v>
      </c>
    </row>
    <row r="383" customHeight="1" spans="1:42">
      <c r="A383" s="18" t="s">
        <v>357</v>
      </c>
      <c r="C383" s="18">
        <v>2</v>
      </c>
      <c r="D383" s="1" t="s">
        <v>293</v>
      </c>
      <c r="E383" s="1" t="s">
        <v>227</v>
      </c>
      <c r="L383" s="1">
        <f>IFERROR(VLOOKUP($D383&amp;$C383,生产方式定位!$A$2:$E$38,2,FALSE)+VLOOKUP($E383&amp;$C383,生产方式定位!$F$3:$J$38,2,FALSE),0)</f>
        <v>0</v>
      </c>
      <c r="S383" s="1">
        <f>IFERROR(VLOOKUP($D383&amp;$C383,生产方式定位!$A$2:$E$38,3,FALSE)+VLOOKUP($E383&amp;$C383,生产方式定位!$F$3:$J$38,3,FALSE),0)</f>
        <v>0</v>
      </c>
      <c r="X383" s="1">
        <f>IFERROR(VLOOKUP($D383&amp;$C383,生产方式定位!$A$2:$E$38,5,FALSE)+VLOOKUP($E383&amp;$C383,生产方式定位!$F$3:$J$38,5,FALSE),"错误")</f>
        <v>0</v>
      </c>
      <c r="Y383" s="27" t="str">
        <f t="shared" si="40"/>
        <v/>
      </c>
      <c r="Z383" s="37" t="str">
        <f t="shared" si="41"/>
        <v/>
      </c>
      <c r="AA383" s="37" t="str">
        <f t="shared" si="42"/>
        <v/>
      </c>
      <c r="AB383" s="28" t="str">
        <f t="shared" si="43"/>
        <v/>
      </c>
      <c r="AC383" s="37"/>
      <c r="AD383" s="38">
        <f t="shared" si="44"/>
        <v>2</v>
      </c>
      <c r="AE383" t="str">
        <f>IFERROR(F383&amp;"*"&amp;ROUND(L383*(G383/$AN383)/VLOOKUP(F383,商品!$A$4:$D$67,4,FALSE),0),"")</f>
        <v/>
      </c>
      <c r="AF383" t="str">
        <f>IFERROR(H383&amp;"*"&amp;ROUND(L383*(I383/$AN383)/VLOOKUP(H383,商品!$A$4:$D$67,4,FALSE),0),"")</f>
        <v/>
      </c>
      <c r="AG383" t="str">
        <f>IFERROR(J383&amp;"*"&amp;ROUND(L383*(K383/$AN383)/VLOOKUP(J383,商品!$A$4:$D$67,4,FALSE),0),"")</f>
        <v/>
      </c>
      <c r="AH383" t="str">
        <f>IFERROR(M383&amp;"*"&amp;ROUND(S383*(N383/$AO383)/VLOOKUP(M383,职业!$A$3:$E$16,4,FALSE),0),"")</f>
        <v/>
      </c>
      <c r="AI383" t="str">
        <f>IFERROR(O383&amp;"*"&amp;ROUND(S383*(P383/$AO383)/VLOOKUP(O383,职业!$A$3:$E$16,4,FALSE),0),"")</f>
        <v/>
      </c>
      <c r="AK383" t="str">
        <f>IFERROR(T383&amp;"*"&amp;ROUND(X383*(U383/$AP383)/VLOOKUP(T383,商品!$A$4:$D$67,4,FALSE),0),"")</f>
        <v/>
      </c>
      <c r="AL383" t="str">
        <f>IFERROR(V383&amp;"*"&amp;ROUND(X383*(W383/$AP383)/VLOOKUP(V383,商品!$A$4:$D$67,4,FALSE),0),"")</f>
        <v/>
      </c>
      <c r="AN383">
        <f t="shared" si="45"/>
        <v>0</v>
      </c>
      <c r="AO383">
        <f t="shared" si="46"/>
        <v>0</v>
      </c>
      <c r="AP383">
        <f t="shared" si="47"/>
        <v>0</v>
      </c>
    </row>
    <row r="384" customHeight="1" spans="1:42">
      <c r="A384" s="18" t="s">
        <v>357</v>
      </c>
      <c r="C384" s="18">
        <v>3</v>
      </c>
      <c r="D384" s="1" t="s">
        <v>293</v>
      </c>
      <c r="E384" s="1" t="s">
        <v>227</v>
      </c>
      <c r="L384" s="1">
        <f>IFERROR(VLOOKUP($D384&amp;$C384,生产方式定位!$A$2:$E$38,2,FALSE)+VLOOKUP($E384&amp;$C384,生产方式定位!$F$3:$J$38,2,FALSE),0)</f>
        <v>0</v>
      </c>
      <c r="S384" s="1">
        <f>IFERROR(VLOOKUP($D384&amp;$C384,生产方式定位!$A$2:$E$38,3,FALSE)+VLOOKUP($E384&amp;$C384,生产方式定位!$F$3:$J$38,3,FALSE),0)</f>
        <v>0</v>
      </c>
      <c r="X384" s="1">
        <f>IFERROR(VLOOKUP($D384&amp;$C384,生产方式定位!$A$2:$E$38,5,FALSE)+VLOOKUP($E384&amp;$C384,生产方式定位!$F$3:$J$38,5,FALSE),"错误")</f>
        <v>0</v>
      </c>
      <c r="Y384" s="27" t="str">
        <f t="shared" si="40"/>
        <v/>
      </c>
      <c r="Z384" s="37" t="str">
        <f t="shared" si="41"/>
        <v/>
      </c>
      <c r="AA384" s="37" t="str">
        <f t="shared" si="42"/>
        <v/>
      </c>
      <c r="AB384" s="28" t="str">
        <f t="shared" si="43"/>
        <v/>
      </c>
      <c r="AC384" s="37"/>
      <c r="AD384" s="38">
        <f t="shared" si="44"/>
        <v>3</v>
      </c>
      <c r="AE384" t="str">
        <f>IFERROR(F384&amp;"*"&amp;ROUND(L384*(G384/$AN384)/VLOOKUP(F384,商品!$A$4:$D$67,4,FALSE),0),"")</f>
        <v/>
      </c>
      <c r="AF384" t="str">
        <f>IFERROR(H384&amp;"*"&amp;ROUND(L384*(I384/$AN384)/VLOOKUP(H384,商品!$A$4:$D$67,4,FALSE),0),"")</f>
        <v/>
      </c>
      <c r="AG384" t="str">
        <f>IFERROR(J384&amp;"*"&amp;ROUND(L384*(K384/$AN384)/VLOOKUP(J384,商品!$A$4:$D$67,4,FALSE),0),"")</f>
        <v/>
      </c>
      <c r="AH384" t="str">
        <f>IFERROR(M384&amp;"*"&amp;ROUND(S384*(N384/$AO384)/VLOOKUP(M384,职业!$A$3:$E$16,4,FALSE),0),"")</f>
        <v/>
      </c>
      <c r="AI384" t="str">
        <f>IFERROR(O384&amp;"*"&amp;ROUND(S384*(P384/$AO384)/VLOOKUP(O384,职业!$A$3:$E$16,4,FALSE),0),"")</f>
        <v/>
      </c>
      <c r="AK384" t="str">
        <f>IFERROR(T384&amp;"*"&amp;ROUND(X384*(U384/$AP384)/VLOOKUP(T384,商品!$A$4:$D$67,4,FALSE),0),"")</f>
        <v/>
      </c>
      <c r="AL384" t="str">
        <f>IFERROR(V384&amp;"*"&amp;ROUND(X384*(W384/$AP384)/VLOOKUP(V384,商品!$A$4:$D$67,4,FALSE),0),"")</f>
        <v/>
      </c>
      <c r="AN384">
        <f t="shared" si="45"/>
        <v>0</v>
      </c>
      <c r="AO384">
        <f t="shared" si="46"/>
        <v>0</v>
      </c>
      <c r="AP384">
        <f t="shared" si="47"/>
        <v>0</v>
      </c>
    </row>
    <row r="385" customHeight="1" spans="1:42">
      <c r="A385" s="18" t="s">
        <v>357</v>
      </c>
      <c r="C385" s="18">
        <v>4</v>
      </c>
      <c r="D385" s="1" t="s">
        <v>293</v>
      </c>
      <c r="E385" s="1" t="s">
        <v>227</v>
      </c>
      <c r="L385" s="1">
        <f>IFERROR(VLOOKUP($D385&amp;$C385,生产方式定位!$A$2:$E$38,2,FALSE)+VLOOKUP($E385&amp;$C385,生产方式定位!$F$3:$J$38,2,FALSE),0)</f>
        <v>0</v>
      </c>
      <c r="S385" s="1">
        <f>IFERROR(VLOOKUP($D385&amp;$C385,生产方式定位!$A$2:$E$38,3,FALSE)+VLOOKUP($E385&amp;$C385,生产方式定位!$F$3:$J$38,3,FALSE),0)</f>
        <v>0</v>
      </c>
      <c r="X385" s="1">
        <f>IFERROR(VLOOKUP($D385&amp;$C385,生产方式定位!$A$2:$E$38,5,FALSE)+VLOOKUP($E385&amp;$C385,生产方式定位!$F$3:$J$38,5,FALSE),"错误")</f>
        <v>0</v>
      </c>
      <c r="Y385" s="27" t="str">
        <f t="shared" si="40"/>
        <v/>
      </c>
      <c r="Z385" s="37" t="str">
        <f t="shared" si="41"/>
        <v/>
      </c>
      <c r="AA385" s="37" t="str">
        <f t="shared" si="42"/>
        <v/>
      </c>
      <c r="AB385" s="28" t="str">
        <f t="shared" si="43"/>
        <v/>
      </c>
      <c r="AC385" s="37"/>
      <c r="AD385" s="38">
        <f t="shared" si="44"/>
        <v>4</v>
      </c>
      <c r="AE385" t="str">
        <f>IFERROR(F385&amp;"*"&amp;ROUND(L385*(G385/$AN385)/VLOOKUP(F385,商品!$A$4:$D$67,4,FALSE),0),"")</f>
        <v/>
      </c>
      <c r="AF385" t="str">
        <f>IFERROR(H385&amp;"*"&amp;ROUND(L385*(I385/$AN385)/VLOOKUP(H385,商品!$A$4:$D$67,4,FALSE),0),"")</f>
        <v/>
      </c>
      <c r="AG385" t="str">
        <f>IFERROR(J385&amp;"*"&amp;ROUND(L385*(K385/$AN385)/VLOOKUP(J385,商品!$A$4:$D$67,4,FALSE),0),"")</f>
        <v/>
      </c>
      <c r="AH385" t="str">
        <f>IFERROR(M385&amp;"*"&amp;ROUND(S385*(N385/$AO385)/VLOOKUP(M385,职业!$A$3:$E$16,4,FALSE),0),"")</f>
        <v/>
      </c>
      <c r="AI385" t="str">
        <f>IFERROR(O385&amp;"*"&amp;ROUND(S385*(P385/$AO385)/VLOOKUP(O385,职业!$A$3:$E$16,4,FALSE),0),"")</f>
        <v/>
      </c>
      <c r="AK385" t="str">
        <f>IFERROR(T385&amp;"*"&amp;ROUND(X385*(U385/$AP385)/VLOOKUP(T385,商品!$A$4:$D$67,4,FALSE),0),"")</f>
        <v/>
      </c>
      <c r="AL385" t="str">
        <f>IFERROR(V385&amp;"*"&amp;ROUND(X385*(W385/$AP385)/VLOOKUP(V385,商品!$A$4:$D$67,4,FALSE),0),"")</f>
        <v/>
      </c>
      <c r="AN385">
        <f t="shared" si="45"/>
        <v>0</v>
      </c>
      <c r="AO385">
        <f t="shared" si="46"/>
        <v>0</v>
      </c>
      <c r="AP385">
        <f t="shared" si="47"/>
        <v>0</v>
      </c>
    </row>
    <row r="386" customHeight="1" spans="1:42">
      <c r="A386" s="18" t="s">
        <v>357</v>
      </c>
      <c r="C386" s="18">
        <v>5</v>
      </c>
      <c r="D386" s="1" t="s">
        <v>293</v>
      </c>
      <c r="E386" s="1" t="s">
        <v>227</v>
      </c>
      <c r="L386" s="1">
        <f>IFERROR(VLOOKUP($D386&amp;$C386,生产方式定位!$A$2:$E$38,2,FALSE)+VLOOKUP($E386&amp;$C386,生产方式定位!$F$3:$J$38,2,FALSE),0)</f>
        <v>0</v>
      </c>
      <c r="S386" s="1">
        <f>IFERROR(VLOOKUP($D386&amp;$C386,生产方式定位!$A$2:$E$38,3,FALSE)+VLOOKUP($E386&amp;$C386,生产方式定位!$F$3:$J$38,3,FALSE),0)</f>
        <v>0</v>
      </c>
      <c r="X386" s="1">
        <f>IFERROR(VLOOKUP($D386&amp;$C386,生产方式定位!$A$2:$E$38,5,FALSE)+VLOOKUP($E386&amp;$C386,生产方式定位!$F$3:$J$38,5,FALSE),"错误")</f>
        <v>0</v>
      </c>
      <c r="Y386" s="27" t="str">
        <f t="shared" si="40"/>
        <v/>
      </c>
      <c r="Z386" s="37" t="str">
        <f t="shared" si="41"/>
        <v/>
      </c>
      <c r="AA386" s="37" t="str">
        <f t="shared" si="42"/>
        <v/>
      </c>
      <c r="AB386" s="28" t="str">
        <f t="shared" si="43"/>
        <v/>
      </c>
      <c r="AC386" s="37"/>
      <c r="AD386" s="38">
        <f t="shared" si="44"/>
        <v>5</v>
      </c>
      <c r="AE386" t="str">
        <f>IFERROR(F386&amp;"*"&amp;ROUND(L386*(G386/$AN386)/VLOOKUP(F386,商品!$A$4:$D$67,4,FALSE),0),"")</f>
        <v/>
      </c>
      <c r="AF386" t="str">
        <f>IFERROR(H386&amp;"*"&amp;ROUND(L386*(I386/$AN386)/VLOOKUP(H386,商品!$A$4:$D$67,4,FALSE),0),"")</f>
        <v/>
      </c>
      <c r="AG386" t="str">
        <f>IFERROR(J386&amp;"*"&amp;ROUND(L386*(K386/$AN386)/VLOOKUP(J386,商品!$A$4:$D$67,4,FALSE),0),"")</f>
        <v/>
      </c>
      <c r="AH386" t="str">
        <f>IFERROR(M386&amp;"*"&amp;ROUND(S386*(N386/$AO386)/VLOOKUP(M386,职业!$A$3:$E$16,4,FALSE),0),"")</f>
        <v/>
      </c>
      <c r="AI386" t="str">
        <f>IFERROR(O386&amp;"*"&amp;ROUND(S386*(P386/$AO386)/VLOOKUP(O386,职业!$A$3:$E$16,4,FALSE),0),"")</f>
        <v/>
      </c>
      <c r="AK386" t="str">
        <f>IFERROR(T386&amp;"*"&amp;ROUND(X386*(U386/$AP386)/VLOOKUP(T386,商品!$A$4:$D$67,4,FALSE),0),"")</f>
        <v/>
      </c>
      <c r="AL386" t="str">
        <f>IFERROR(V386&amp;"*"&amp;ROUND(X386*(W386/$AP386)/VLOOKUP(V386,商品!$A$4:$D$67,4,FALSE),0),"")</f>
        <v/>
      </c>
      <c r="AN386">
        <f t="shared" si="45"/>
        <v>0</v>
      </c>
      <c r="AO386">
        <f t="shared" si="46"/>
        <v>0</v>
      </c>
      <c r="AP386">
        <f t="shared" si="47"/>
        <v>0</v>
      </c>
    </row>
    <row r="387" customHeight="1" spans="1:42">
      <c r="A387" s="18" t="s">
        <v>357</v>
      </c>
      <c r="C387" s="18">
        <v>6</v>
      </c>
      <c r="D387" s="1" t="s">
        <v>293</v>
      </c>
      <c r="E387" s="1" t="s">
        <v>227</v>
      </c>
      <c r="L387" s="1">
        <f>IFERROR(VLOOKUP($D387&amp;$C387,生产方式定位!$A$2:$E$38,2,FALSE)+VLOOKUP($E387&amp;$C387,生产方式定位!$F$3:$J$38,2,FALSE),0)</f>
        <v>0</v>
      </c>
      <c r="S387" s="1">
        <f>IFERROR(VLOOKUP($D387&amp;$C387,生产方式定位!$A$2:$E$38,3,FALSE)+VLOOKUP($E387&amp;$C387,生产方式定位!$F$3:$J$38,3,FALSE),0)</f>
        <v>0</v>
      </c>
      <c r="X387" s="1">
        <f>IFERROR(VLOOKUP($D387&amp;$C387,生产方式定位!$A$2:$E$38,5,FALSE)+VLOOKUP($E387&amp;$C387,生产方式定位!$F$3:$J$38,5,FALSE),"错误")</f>
        <v>0</v>
      </c>
      <c r="Y387" s="27" t="str">
        <f t="shared" si="40"/>
        <v/>
      </c>
      <c r="Z387" s="37" t="str">
        <f t="shared" si="41"/>
        <v/>
      </c>
      <c r="AA387" s="37" t="str">
        <f t="shared" si="42"/>
        <v/>
      </c>
      <c r="AB387" s="28" t="str">
        <f t="shared" si="43"/>
        <v/>
      </c>
      <c r="AC387" s="37"/>
      <c r="AD387" s="38">
        <f t="shared" si="44"/>
        <v>6</v>
      </c>
      <c r="AE387" t="str">
        <f>IFERROR(F387&amp;"*"&amp;ROUND(L387*(G387/$AN387)/VLOOKUP(F387,商品!$A$4:$D$67,4,FALSE),0),"")</f>
        <v/>
      </c>
      <c r="AF387" t="str">
        <f>IFERROR(H387&amp;"*"&amp;ROUND(L387*(I387/$AN387)/VLOOKUP(H387,商品!$A$4:$D$67,4,FALSE),0),"")</f>
        <v/>
      </c>
      <c r="AG387" t="str">
        <f>IFERROR(J387&amp;"*"&amp;ROUND(L387*(K387/$AN387)/VLOOKUP(J387,商品!$A$4:$D$67,4,FALSE),0),"")</f>
        <v/>
      </c>
      <c r="AH387" t="str">
        <f>IFERROR(M387&amp;"*"&amp;ROUND(S387*(N387/$AO387)/VLOOKUP(M387,职业!$A$3:$E$16,4,FALSE),0),"")</f>
        <v/>
      </c>
      <c r="AI387" t="str">
        <f>IFERROR(O387&amp;"*"&amp;ROUND(S387*(P387/$AO387)/VLOOKUP(O387,职业!$A$3:$E$16,4,FALSE),0),"")</f>
        <v/>
      </c>
      <c r="AK387" t="str">
        <f>IFERROR(T387&amp;"*"&amp;ROUND(X387*(U387/$AP387)/VLOOKUP(T387,商品!$A$4:$D$67,4,FALSE),0),"")</f>
        <v/>
      </c>
      <c r="AL387" t="str">
        <f>IFERROR(V387&amp;"*"&amp;ROUND(X387*(W387/$AP387)/VLOOKUP(V387,商品!$A$4:$D$67,4,FALSE),0),"")</f>
        <v/>
      </c>
      <c r="AN387">
        <f t="shared" si="45"/>
        <v>0</v>
      </c>
      <c r="AO387">
        <f t="shared" si="46"/>
        <v>0</v>
      </c>
      <c r="AP387">
        <f t="shared" si="47"/>
        <v>0</v>
      </c>
    </row>
    <row r="388" customHeight="1" spans="1:42">
      <c r="A388" s="18" t="s">
        <v>357</v>
      </c>
      <c r="C388" s="18">
        <v>7</v>
      </c>
      <c r="D388" s="1" t="s">
        <v>293</v>
      </c>
      <c r="E388" s="1" t="s">
        <v>227</v>
      </c>
      <c r="L388" s="1">
        <f>IFERROR(VLOOKUP($D388&amp;$C388,生产方式定位!$A$2:$E$38,2,FALSE)+VLOOKUP($E388&amp;$C388,生产方式定位!$F$3:$J$38,2,FALSE),0)</f>
        <v>0</v>
      </c>
      <c r="S388" s="1">
        <f>IFERROR(VLOOKUP($D388&amp;$C388,生产方式定位!$A$2:$E$38,3,FALSE)+VLOOKUP($E388&amp;$C388,生产方式定位!$F$3:$J$38,3,FALSE),0)</f>
        <v>0</v>
      </c>
      <c r="X388" s="1">
        <f>IFERROR(VLOOKUP($D388&amp;$C388,生产方式定位!$A$2:$E$38,5,FALSE)+VLOOKUP($E388&amp;$C388,生产方式定位!$F$3:$J$38,5,FALSE),"错误")</f>
        <v>0</v>
      </c>
      <c r="Y388" s="27" t="str">
        <f t="shared" si="40"/>
        <v/>
      </c>
      <c r="Z388" s="37" t="str">
        <f t="shared" si="41"/>
        <v/>
      </c>
      <c r="AA388" s="37" t="str">
        <f t="shared" si="42"/>
        <v/>
      </c>
      <c r="AB388" s="28" t="str">
        <f t="shared" si="43"/>
        <v/>
      </c>
      <c r="AC388" s="37"/>
      <c r="AD388" s="38">
        <f t="shared" si="44"/>
        <v>7</v>
      </c>
      <c r="AE388" t="str">
        <f>IFERROR(F388&amp;"*"&amp;ROUND(L388*(G388/$AN388)/VLOOKUP(F388,商品!$A$4:$D$67,4,FALSE),0),"")</f>
        <v/>
      </c>
      <c r="AF388" t="str">
        <f>IFERROR(H388&amp;"*"&amp;ROUND(L388*(I388/$AN388)/VLOOKUP(H388,商品!$A$4:$D$67,4,FALSE),0),"")</f>
        <v/>
      </c>
      <c r="AG388" t="str">
        <f>IFERROR(J388&amp;"*"&amp;ROUND(L388*(K388/$AN388)/VLOOKUP(J388,商品!$A$4:$D$67,4,FALSE),0),"")</f>
        <v/>
      </c>
      <c r="AH388" t="str">
        <f>IFERROR(M388&amp;"*"&amp;ROUND(S388*(N388/$AO388)/VLOOKUP(M388,职业!$A$3:$E$16,4,FALSE),0),"")</f>
        <v/>
      </c>
      <c r="AI388" t="str">
        <f>IFERROR(O388&amp;"*"&amp;ROUND(S388*(P388/$AO388)/VLOOKUP(O388,职业!$A$3:$E$16,4,FALSE),0),"")</f>
        <v/>
      </c>
      <c r="AK388" t="str">
        <f>IFERROR(T388&amp;"*"&amp;ROUND(X388*(U388/$AP388)/VLOOKUP(T388,商品!$A$4:$D$67,4,FALSE),0),"")</f>
        <v/>
      </c>
      <c r="AL388" t="str">
        <f>IFERROR(V388&amp;"*"&amp;ROUND(X388*(W388/$AP388)/VLOOKUP(V388,商品!$A$4:$D$67,4,FALSE),0),"")</f>
        <v/>
      </c>
      <c r="AN388">
        <f t="shared" si="45"/>
        <v>0</v>
      </c>
      <c r="AO388">
        <f t="shared" si="46"/>
        <v>0</v>
      </c>
      <c r="AP388">
        <f t="shared" si="47"/>
        <v>0</v>
      </c>
    </row>
    <row r="389" customHeight="1" spans="1:42">
      <c r="A389" s="18" t="s">
        <v>357</v>
      </c>
      <c r="C389" s="18">
        <v>8</v>
      </c>
      <c r="D389" s="1" t="s">
        <v>293</v>
      </c>
      <c r="E389" s="1" t="s">
        <v>227</v>
      </c>
      <c r="L389" s="1">
        <f>IFERROR(VLOOKUP($D389&amp;$C389,生产方式定位!$A$2:$E$38,2,FALSE)+VLOOKUP($E389&amp;$C389,生产方式定位!$F$3:$J$38,2,FALSE),0)</f>
        <v>0</v>
      </c>
      <c r="S389" s="1">
        <f>IFERROR(VLOOKUP($D389&amp;$C389,生产方式定位!$A$2:$E$38,3,FALSE)+VLOOKUP($E389&amp;$C389,生产方式定位!$F$3:$J$38,3,FALSE),0)</f>
        <v>0</v>
      </c>
      <c r="X389" s="1">
        <f>IFERROR(VLOOKUP($D389&amp;$C389,生产方式定位!$A$2:$E$38,5,FALSE)+VLOOKUP($E389&amp;$C389,生产方式定位!$F$3:$J$38,5,FALSE),"错误")</f>
        <v>0</v>
      </c>
      <c r="Y389" s="27" t="str">
        <f t="shared" ref="Y389:Y452" si="48">IF(AE389="","",AE389)&amp;IF(AF389="","",","&amp;AF389)&amp;IF(AG389="","",","&amp;AG389)</f>
        <v/>
      </c>
      <c r="Z389" s="37" t="str">
        <f t="shared" ref="Z389:Z452" si="49">IF(AH389="","",AH389)&amp;IF(AI389="","",","&amp;AI389)</f>
        <v/>
      </c>
      <c r="AA389" s="37" t="str">
        <f t="shared" ref="AA389:AA452" si="50">IF(AK389="","",AK389)&amp;IF(AL389="","",","&amp;AL389)</f>
        <v/>
      </c>
      <c r="AB389" s="28" t="str">
        <f t="shared" ref="AB389:AB452" si="51">IFERROR(ROUND(L389/X389,2),"")</f>
        <v/>
      </c>
      <c r="AC389" s="37"/>
      <c r="AD389" s="38">
        <f t="shared" ref="AD389:AD452" si="52">C389</f>
        <v>8</v>
      </c>
      <c r="AE389" t="str">
        <f>IFERROR(F389&amp;"*"&amp;ROUND(L389*(G389/$AN389)/VLOOKUP(F389,商品!$A$4:$D$67,4,FALSE),0),"")</f>
        <v/>
      </c>
      <c r="AF389" t="str">
        <f>IFERROR(H389&amp;"*"&amp;ROUND(L389*(I389/$AN389)/VLOOKUP(H389,商品!$A$4:$D$67,4,FALSE),0),"")</f>
        <v/>
      </c>
      <c r="AG389" t="str">
        <f>IFERROR(J389&amp;"*"&amp;ROUND(L389*(K389/$AN389)/VLOOKUP(J389,商品!$A$4:$D$67,4,FALSE),0),"")</f>
        <v/>
      </c>
      <c r="AH389" t="str">
        <f>IFERROR(M389&amp;"*"&amp;ROUND(S389*(N389/$AO389)/VLOOKUP(M389,职业!$A$3:$E$16,4,FALSE),0),"")</f>
        <v/>
      </c>
      <c r="AI389" t="str">
        <f>IFERROR(O389&amp;"*"&amp;ROUND(S389*(P389/$AO389)/VLOOKUP(O389,职业!$A$3:$E$16,4,FALSE),0),"")</f>
        <v/>
      </c>
      <c r="AK389" t="str">
        <f>IFERROR(T389&amp;"*"&amp;ROUND(X389*(U389/$AP389)/VLOOKUP(T389,商品!$A$4:$D$67,4,FALSE),0),"")</f>
        <v/>
      </c>
      <c r="AL389" t="str">
        <f>IFERROR(V389&amp;"*"&amp;ROUND(X389*(W389/$AP389)/VLOOKUP(V389,商品!$A$4:$D$67,4,FALSE),0),"")</f>
        <v/>
      </c>
      <c r="AN389">
        <f t="shared" si="45"/>
        <v>0</v>
      </c>
      <c r="AO389">
        <f t="shared" si="46"/>
        <v>0</v>
      </c>
      <c r="AP389">
        <f t="shared" si="47"/>
        <v>0</v>
      </c>
    </row>
    <row r="390" customHeight="1" spans="1:42">
      <c r="A390" s="5" t="s">
        <v>359</v>
      </c>
      <c r="C390" s="5">
        <v>1</v>
      </c>
      <c r="D390" s="1" t="s">
        <v>240</v>
      </c>
      <c r="E390" s="1" t="s">
        <v>224</v>
      </c>
      <c r="L390" s="1">
        <f>IFERROR(VLOOKUP($D390&amp;$C390,生产方式定位!$A$2:$E$38,2,FALSE)+VLOOKUP($E390&amp;$C390,生产方式定位!$F$3:$J$38,2,FALSE),0)</f>
        <v>0</v>
      </c>
      <c r="S390" s="1">
        <f>IFERROR(VLOOKUP($D390&amp;$C390,生产方式定位!$A$2:$E$38,3,FALSE)+VLOOKUP($E390&amp;$C390,生产方式定位!$F$3:$J$38,3,FALSE),0)</f>
        <v>8000</v>
      </c>
      <c r="X390" s="1">
        <f>IFERROR(VLOOKUP($D390&amp;$C390,生产方式定位!$A$2:$E$38,5,FALSE)+VLOOKUP($E390&amp;$C390,生产方式定位!$F$3:$J$38,5,FALSE),"错误")</f>
        <v>4000</v>
      </c>
      <c r="Y390" s="27" t="str">
        <f t="shared" si="48"/>
        <v/>
      </c>
      <c r="Z390" s="37" t="str">
        <f t="shared" si="49"/>
        <v/>
      </c>
      <c r="AA390" s="37" t="str">
        <f t="shared" si="50"/>
        <v/>
      </c>
      <c r="AB390" s="28">
        <f t="shared" si="51"/>
        <v>0</v>
      </c>
      <c r="AC390" s="37"/>
      <c r="AD390" s="38">
        <f t="shared" si="52"/>
        <v>1</v>
      </c>
      <c r="AE390" t="str">
        <f>IFERROR(F390&amp;"*"&amp;ROUND(L390*(G390/$AN390)/VLOOKUP(F390,商品!$A$4:$D$67,4,FALSE),0),"")</f>
        <v/>
      </c>
      <c r="AF390" t="str">
        <f>IFERROR(H390&amp;"*"&amp;ROUND(L390*(I390/$AN390)/VLOOKUP(H390,商品!$A$4:$D$67,4,FALSE),0),"")</f>
        <v/>
      </c>
      <c r="AG390" t="str">
        <f>IFERROR(J390&amp;"*"&amp;ROUND(L390*(K390/$AN390)/VLOOKUP(J390,商品!$A$4:$D$67,4,FALSE),0),"")</f>
        <v/>
      </c>
      <c r="AH390" t="str">
        <f>IFERROR(M390&amp;"*"&amp;ROUND(S390*(N390/$AO390)/VLOOKUP(M390,职业!$A$3:$E$16,4,FALSE),0),"")</f>
        <v/>
      </c>
      <c r="AI390" t="str">
        <f>IFERROR(O390&amp;"*"&amp;ROUND(S390*(P390/$AO390)/VLOOKUP(O390,职业!$A$3:$E$16,4,FALSE),0),"")</f>
        <v/>
      </c>
      <c r="AK390" t="str">
        <f>IFERROR(T390&amp;"*"&amp;ROUND(X390*(U390/$AP390)/VLOOKUP(T390,商品!$A$4:$D$67,4,FALSE),0),"")</f>
        <v/>
      </c>
      <c r="AL390" t="str">
        <f>IFERROR(V390&amp;"*"&amp;ROUND(X390*(W390/$AP390)/VLOOKUP(V390,商品!$A$4:$D$67,4,FALSE),0),"")</f>
        <v/>
      </c>
      <c r="AN390">
        <f t="shared" ref="AN390:AN453" si="53">G390+I390+K390</f>
        <v>0</v>
      </c>
      <c r="AO390">
        <f t="shared" ref="AO390:AO453" si="54">N390+P390+R390</f>
        <v>0</v>
      </c>
      <c r="AP390">
        <f t="shared" ref="AP390:AP453" si="55">U390+W390</f>
        <v>0</v>
      </c>
    </row>
    <row r="391" customHeight="1" spans="1:42">
      <c r="A391" s="5" t="s">
        <v>359</v>
      </c>
      <c r="C391" s="5">
        <v>2</v>
      </c>
      <c r="D391" s="1" t="s">
        <v>240</v>
      </c>
      <c r="E391" s="1" t="s">
        <v>224</v>
      </c>
      <c r="L391" s="1">
        <f>IFERROR(VLOOKUP($D391&amp;$C391,生产方式定位!$A$2:$E$38,2,FALSE)+VLOOKUP($E391&amp;$C391,生产方式定位!$F$3:$J$38,2,FALSE),0)</f>
        <v>11000</v>
      </c>
      <c r="S391" s="1">
        <f>IFERROR(VLOOKUP($D391&amp;$C391,生产方式定位!$A$2:$E$38,3,FALSE)+VLOOKUP($E391&amp;$C391,生产方式定位!$F$3:$J$38,3,FALSE),0)</f>
        <v>8700</v>
      </c>
      <c r="X391" s="1">
        <f>IFERROR(VLOOKUP($D391&amp;$C391,生产方式定位!$A$2:$E$38,5,FALSE)+VLOOKUP($E391&amp;$C391,生产方式定位!$F$3:$J$38,5,FALSE),"错误")</f>
        <v>9922</v>
      </c>
      <c r="Y391" s="27" t="str">
        <f t="shared" si="48"/>
        <v/>
      </c>
      <c r="Z391" s="37" t="str">
        <f t="shared" si="49"/>
        <v/>
      </c>
      <c r="AA391" s="37" t="str">
        <f t="shared" si="50"/>
        <v/>
      </c>
      <c r="AB391" s="28">
        <f t="shared" si="51"/>
        <v>1.11</v>
      </c>
      <c r="AC391" s="37"/>
      <c r="AD391" s="38">
        <f t="shared" si="52"/>
        <v>2</v>
      </c>
      <c r="AE391" t="str">
        <f>IFERROR(F391&amp;"*"&amp;ROUND(L391*(G391/$AN391)/VLOOKUP(F391,商品!$A$4:$D$67,4,FALSE),0),"")</f>
        <v/>
      </c>
      <c r="AF391" t="str">
        <f>IFERROR(H391&amp;"*"&amp;ROUND(L391*(I391/$AN391)/VLOOKUP(H391,商品!$A$4:$D$67,4,FALSE),0),"")</f>
        <v/>
      </c>
      <c r="AG391" t="str">
        <f>IFERROR(J391&amp;"*"&amp;ROUND(L391*(K391/$AN391)/VLOOKUP(J391,商品!$A$4:$D$67,4,FALSE),0),"")</f>
        <v/>
      </c>
      <c r="AH391" t="str">
        <f>IFERROR(M391&amp;"*"&amp;ROUND(S391*(N391/$AO391)/VLOOKUP(M391,职业!$A$3:$E$16,4,FALSE),0),"")</f>
        <v/>
      </c>
      <c r="AI391" t="str">
        <f>IFERROR(O391&amp;"*"&amp;ROUND(S391*(P391/$AO391)/VLOOKUP(O391,职业!$A$3:$E$16,4,FALSE),0),"")</f>
        <v/>
      </c>
      <c r="AK391" t="str">
        <f>IFERROR(T391&amp;"*"&amp;ROUND(X391*(U391/$AP391)/VLOOKUP(T391,商品!$A$4:$D$67,4,FALSE),0),"")</f>
        <v/>
      </c>
      <c r="AL391" t="str">
        <f>IFERROR(V391&amp;"*"&amp;ROUND(X391*(W391/$AP391)/VLOOKUP(V391,商品!$A$4:$D$67,4,FALSE),0),"")</f>
        <v/>
      </c>
      <c r="AN391">
        <f t="shared" si="53"/>
        <v>0</v>
      </c>
      <c r="AO391">
        <f t="shared" si="54"/>
        <v>0</v>
      </c>
      <c r="AP391">
        <f t="shared" si="55"/>
        <v>0</v>
      </c>
    </row>
    <row r="392" customHeight="1" spans="1:42">
      <c r="A392" s="5" t="s">
        <v>359</v>
      </c>
      <c r="C392" s="5">
        <v>3</v>
      </c>
      <c r="D392" s="1" t="s">
        <v>240</v>
      </c>
      <c r="E392" s="1" t="s">
        <v>224</v>
      </c>
      <c r="L392" s="1">
        <f>IFERROR(VLOOKUP($D392&amp;$C392,生产方式定位!$A$2:$E$38,2,FALSE)+VLOOKUP($E392&amp;$C392,生产方式定位!$F$3:$J$38,2,FALSE),0)</f>
        <v>11000</v>
      </c>
      <c r="S392" s="1">
        <f>IFERROR(VLOOKUP($D392&amp;$C392,生产方式定位!$A$2:$E$38,3,FALSE)+VLOOKUP($E392&amp;$C392,生产方式定位!$F$3:$J$38,3,FALSE),0)</f>
        <v>9400</v>
      </c>
      <c r="X392" s="1">
        <f>IFERROR(VLOOKUP($D392&amp;$C392,生产方式定位!$A$2:$E$38,5,FALSE)+VLOOKUP($E392&amp;$C392,生产方式定位!$F$3:$J$38,5,FALSE),"错误")</f>
        <v>10488</v>
      </c>
      <c r="Y392" s="27" t="str">
        <f t="shared" si="48"/>
        <v/>
      </c>
      <c r="Z392" s="37" t="str">
        <f t="shared" si="49"/>
        <v/>
      </c>
      <c r="AA392" s="37" t="str">
        <f t="shared" si="50"/>
        <v/>
      </c>
      <c r="AB392" s="28">
        <f t="shared" si="51"/>
        <v>1.05</v>
      </c>
      <c r="AC392" s="37"/>
      <c r="AD392" s="38">
        <f t="shared" si="52"/>
        <v>3</v>
      </c>
      <c r="AE392" t="str">
        <f>IFERROR(F392&amp;"*"&amp;ROUND(L392*(G392/$AN392)/VLOOKUP(F392,商品!$A$4:$D$67,4,FALSE),0),"")</f>
        <v/>
      </c>
      <c r="AF392" t="str">
        <f>IFERROR(H392&amp;"*"&amp;ROUND(L392*(I392/$AN392)/VLOOKUP(H392,商品!$A$4:$D$67,4,FALSE),0),"")</f>
        <v/>
      </c>
      <c r="AG392" t="str">
        <f>IFERROR(J392&amp;"*"&amp;ROUND(L392*(K392/$AN392)/VLOOKUP(J392,商品!$A$4:$D$67,4,FALSE),0),"")</f>
        <v/>
      </c>
      <c r="AH392" t="str">
        <f>IFERROR(M392&amp;"*"&amp;ROUND(S392*(N392/$AO392)/VLOOKUP(M392,职业!$A$3:$E$16,4,FALSE),0),"")</f>
        <v/>
      </c>
      <c r="AI392" t="str">
        <f>IFERROR(O392&amp;"*"&amp;ROUND(S392*(P392/$AO392)/VLOOKUP(O392,职业!$A$3:$E$16,4,FALSE),0),"")</f>
        <v/>
      </c>
      <c r="AK392" t="str">
        <f>IFERROR(T392&amp;"*"&amp;ROUND(X392*(U392/$AP392)/VLOOKUP(T392,商品!$A$4:$D$67,4,FALSE),0),"")</f>
        <v/>
      </c>
      <c r="AL392" t="str">
        <f>IFERROR(V392&amp;"*"&amp;ROUND(X392*(W392/$AP392)/VLOOKUP(V392,商品!$A$4:$D$67,4,FALSE),0),"")</f>
        <v/>
      </c>
      <c r="AN392">
        <f t="shared" si="53"/>
        <v>0</v>
      </c>
      <c r="AO392">
        <f t="shared" si="54"/>
        <v>0</v>
      </c>
      <c r="AP392">
        <f t="shared" si="55"/>
        <v>0</v>
      </c>
    </row>
    <row r="393" customHeight="1" spans="1:42">
      <c r="A393" s="5" t="s">
        <v>359</v>
      </c>
      <c r="C393" s="5">
        <v>4</v>
      </c>
      <c r="D393" s="1" t="s">
        <v>240</v>
      </c>
      <c r="E393" s="1" t="s">
        <v>224</v>
      </c>
      <c r="L393" s="1">
        <f>IFERROR(VLOOKUP($D393&amp;$C393,生产方式定位!$A$2:$E$38,2,FALSE)+VLOOKUP($E393&amp;$C393,生产方式定位!$F$3:$J$38,2,FALSE),0)</f>
        <v>11000</v>
      </c>
      <c r="S393" s="1">
        <f>IFERROR(VLOOKUP($D393&amp;$C393,生产方式定位!$A$2:$E$38,3,FALSE)+VLOOKUP($E393&amp;$C393,生产方式定位!$F$3:$J$38,3,FALSE),0)</f>
        <v>10100</v>
      </c>
      <c r="X393" s="1">
        <f>IFERROR(VLOOKUP($D393&amp;$C393,生产方式定位!$A$2:$E$38,5,FALSE)+VLOOKUP($E393&amp;$C393,生产方式定位!$F$3:$J$38,5,FALSE),"错误")</f>
        <v>11198</v>
      </c>
      <c r="Y393" s="27" t="str">
        <f t="shared" si="48"/>
        <v/>
      </c>
      <c r="Z393" s="37" t="str">
        <f t="shared" si="49"/>
        <v/>
      </c>
      <c r="AA393" s="37" t="str">
        <f t="shared" si="50"/>
        <v/>
      </c>
      <c r="AB393" s="28">
        <f t="shared" si="51"/>
        <v>0.98</v>
      </c>
      <c r="AC393" s="37"/>
      <c r="AD393" s="38">
        <f t="shared" si="52"/>
        <v>4</v>
      </c>
      <c r="AE393" t="str">
        <f>IFERROR(F393&amp;"*"&amp;ROUND(L393*(G393/$AN393)/VLOOKUP(F393,商品!$A$4:$D$67,4,FALSE),0),"")</f>
        <v/>
      </c>
      <c r="AF393" t="str">
        <f>IFERROR(H393&amp;"*"&amp;ROUND(L393*(I393/$AN393)/VLOOKUP(H393,商品!$A$4:$D$67,4,FALSE),0),"")</f>
        <v/>
      </c>
      <c r="AG393" t="str">
        <f>IFERROR(J393&amp;"*"&amp;ROUND(L393*(K393/$AN393)/VLOOKUP(J393,商品!$A$4:$D$67,4,FALSE),0),"")</f>
        <v/>
      </c>
      <c r="AH393" t="str">
        <f>IFERROR(M393&amp;"*"&amp;ROUND(S393*(N393/$AO393)/VLOOKUP(M393,职业!$A$3:$E$16,4,FALSE),0),"")</f>
        <v/>
      </c>
      <c r="AI393" t="str">
        <f>IFERROR(O393&amp;"*"&amp;ROUND(S393*(P393/$AO393)/VLOOKUP(O393,职业!$A$3:$E$16,4,FALSE),0),"")</f>
        <v/>
      </c>
      <c r="AK393" t="str">
        <f>IFERROR(T393&amp;"*"&amp;ROUND(X393*(U393/$AP393)/VLOOKUP(T393,商品!$A$4:$D$67,4,FALSE),0),"")</f>
        <v/>
      </c>
      <c r="AL393" t="str">
        <f>IFERROR(V393&amp;"*"&amp;ROUND(X393*(W393/$AP393)/VLOOKUP(V393,商品!$A$4:$D$67,4,FALSE),0),"")</f>
        <v/>
      </c>
      <c r="AN393">
        <f t="shared" si="53"/>
        <v>0</v>
      </c>
      <c r="AO393">
        <f t="shared" si="54"/>
        <v>0</v>
      </c>
      <c r="AP393">
        <f t="shared" si="55"/>
        <v>0</v>
      </c>
    </row>
    <row r="394" customHeight="1" spans="1:42">
      <c r="A394" s="5" t="s">
        <v>359</v>
      </c>
      <c r="C394" s="5">
        <v>5</v>
      </c>
      <c r="D394" s="1" t="s">
        <v>240</v>
      </c>
      <c r="E394" s="1" t="s">
        <v>224</v>
      </c>
      <c r="L394" s="1">
        <f>IFERROR(VLOOKUP($D394&amp;$C394,生产方式定位!$A$2:$E$38,2,FALSE)+VLOOKUP($E394&amp;$C394,生产方式定位!$F$3:$J$38,2,FALSE),0)</f>
        <v>11000</v>
      </c>
      <c r="S394" s="1">
        <f>IFERROR(VLOOKUP($D394&amp;$C394,生产方式定位!$A$2:$E$38,3,FALSE)+VLOOKUP($E394&amp;$C394,生产方式定位!$F$3:$J$38,3,FALSE),0)</f>
        <v>10800</v>
      </c>
      <c r="X394" s="1">
        <f>IFERROR(VLOOKUP($D394&amp;$C394,生产方式定位!$A$2:$E$38,5,FALSE)+VLOOKUP($E394&amp;$C394,生产方式定位!$F$3:$J$38,5,FALSE),"错误")</f>
        <v>12100</v>
      </c>
      <c r="Y394" s="27" t="str">
        <f t="shared" si="48"/>
        <v/>
      </c>
      <c r="Z394" s="37" t="str">
        <f t="shared" si="49"/>
        <v/>
      </c>
      <c r="AA394" s="37" t="str">
        <f t="shared" si="50"/>
        <v/>
      </c>
      <c r="AB394" s="28">
        <f t="shared" si="51"/>
        <v>0.91</v>
      </c>
      <c r="AC394" s="37"/>
      <c r="AD394" s="38">
        <f t="shared" si="52"/>
        <v>5</v>
      </c>
      <c r="AE394" t="str">
        <f>IFERROR(F394&amp;"*"&amp;ROUND(L394*(G394/$AN394)/VLOOKUP(F394,商品!$A$4:$D$67,4,FALSE),0),"")</f>
        <v/>
      </c>
      <c r="AF394" t="str">
        <f>IFERROR(H394&amp;"*"&amp;ROUND(L394*(I394/$AN394)/VLOOKUP(H394,商品!$A$4:$D$67,4,FALSE),0),"")</f>
        <v/>
      </c>
      <c r="AG394" t="str">
        <f>IFERROR(J394&amp;"*"&amp;ROUND(L394*(K394/$AN394)/VLOOKUP(J394,商品!$A$4:$D$67,4,FALSE),0),"")</f>
        <v/>
      </c>
      <c r="AH394" t="str">
        <f>IFERROR(M394&amp;"*"&amp;ROUND(S394*(N394/$AO394)/VLOOKUP(M394,职业!$A$3:$E$16,4,FALSE),0),"")</f>
        <v/>
      </c>
      <c r="AI394" t="str">
        <f>IFERROR(O394&amp;"*"&amp;ROUND(S394*(P394/$AO394)/VLOOKUP(O394,职业!$A$3:$E$16,4,FALSE),0),"")</f>
        <v/>
      </c>
      <c r="AK394" t="str">
        <f>IFERROR(T394&amp;"*"&amp;ROUND(X394*(U394/$AP394)/VLOOKUP(T394,商品!$A$4:$D$67,4,FALSE),0),"")</f>
        <v/>
      </c>
      <c r="AL394" t="str">
        <f>IFERROR(V394&amp;"*"&amp;ROUND(X394*(W394/$AP394)/VLOOKUP(V394,商品!$A$4:$D$67,4,FALSE),0),"")</f>
        <v/>
      </c>
      <c r="AN394">
        <f t="shared" si="53"/>
        <v>0</v>
      </c>
      <c r="AO394">
        <f t="shared" si="54"/>
        <v>0</v>
      </c>
      <c r="AP394">
        <f t="shared" si="55"/>
        <v>0</v>
      </c>
    </row>
    <row r="395" customHeight="1" spans="1:42">
      <c r="A395" s="18" t="s">
        <v>360</v>
      </c>
      <c r="C395" s="18">
        <v>1</v>
      </c>
      <c r="D395" s="1" t="s">
        <v>240</v>
      </c>
      <c r="E395" s="1" t="s">
        <v>226</v>
      </c>
      <c r="L395" s="1">
        <f>IFERROR(VLOOKUP($D395&amp;$C395,生产方式定位!$A$2:$E$38,2,FALSE)+VLOOKUP($E395&amp;$C395,生产方式定位!$F$3:$J$38,2,FALSE),0)</f>
        <v>0</v>
      </c>
      <c r="S395" s="1">
        <f>IFERROR(VLOOKUP($D395&amp;$C395,生产方式定位!$A$2:$E$38,3,FALSE)+VLOOKUP($E395&amp;$C395,生产方式定位!$F$3:$J$38,3,FALSE),0)</f>
        <v>8000</v>
      </c>
      <c r="X395" s="1">
        <f>IFERROR(VLOOKUP($D395&amp;$C395,生产方式定位!$A$2:$E$38,5,FALSE)+VLOOKUP($E395&amp;$C395,生产方式定位!$F$3:$J$38,5,FALSE),"错误")</f>
        <v>4000</v>
      </c>
      <c r="Y395" s="27" t="str">
        <f t="shared" si="48"/>
        <v/>
      </c>
      <c r="Z395" s="37" t="str">
        <f t="shared" si="49"/>
        <v/>
      </c>
      <c r="AA395" s="37" t="str">
        <f t="shared" si="50"/>
        <v/>
      </c>
      <c r="AB395" s="28">
        <f t="shared" si="51"/>
        <v>0</v>
      </c>
      <c r="AC395" s="37"/>
      <c r="AD395" s="38">
        <f t="shared" si="52"/>
        <v>1</v>
      </c>
      <c r="AE395" t="str">
        <f>IFERROR(F395&amp;"*"&amp;ROUND(L395*(G395/$AN395)/VLOOKUP(F395,商品!$A$4:$D$67,4,FALSE),0),"")</f>
        <v/>
      </c>
      <c r="AF395" t="str">
        <f>IFERROR(H395&amp;"*"&amp;ROUND(L395*(I395/$AN395)/VLOOKUP(H395,商品!$A$4:$D$67,4,FALSE),0),"")</f>
        <v/>
      </c>
      <c r="AG395" t="str">
        <f>IFERROR(J395&amp;"*"&amp;ROUND(L395*(K395/$AN395)/VLOOKUP(J395,商品!$A$4:$D$67,4,FALSE),0),"")</f>
        <v/>
      </c>
      <c r="AH395" t="str">
        <f>IFERROR(M395&amp;"*"&amp;ROUND(S395*(N395/$AO395)/VLOOKUP(M395,职业!$A$3:$E$16,4,FALSE),0),"")</f>
        <v/>
      </c>
      <c r="AI395" t="str">
        <f>IFERROR(O395&amp;"*"&amp;ROUND(S395*(P395/$AO395)/VLOOKUP(O395,职业!$A$3:$E$16,4,FALSE),0),"")</f>
        <v/>
      </c>
      <c r="AK395" t="str">
        <f>IFERROR(T395&amp;"*"&amp;ROUND(X395*(U395/$AP395)/VLOOKUP(T395,商品!$A$4:$D$67,4,FALSE),0),"")</f>
        <v/>
      </c>
      <c r="AL395" t="str">
        <f>IFERROR(V395&amp;"*"&amp;ROUND(X395*(W395/$AP395)/VLOOKUP(V395,商品!$A$4:$D$67,4,FALSE),0),"")</f>
        <v/>
      </c>
      <c r="AN395">
        <f t="shared" si="53"/>
        <v>0</v>
      </c>
      <c r="AO395">
        <f t="shared" si="54"/>
        <v>0</v>
      </c>
      <c r="AP395">
        <f t="shared" si="55"/>
        <v>0</v>
      </c>
    </row>
    <row r="396" customHeight="1" spans="1:42">
      <c r="A396" s="18" t="s">
        <v>360</v>
      </c>
      <c r="C396" s="18">
        <v>2</v>
      </c>
      <c r="D396" s="1" t="s">
        <v>240</v>
      </c>
      <c r="E396" s="1" t="s">
        <v>226</v>
      </c>
      <c r="L396" s="1">
        <f>IFERROR(VLOOKUP($D396&amp;$C396,生产方式定位!$A$2:$E$38,2,FALSE)+VLOOKUP($E396&amp;$C396,生产方式定位!$F$3:$J$38,2,FALSE),0)</f>
        <v>12000</v>
      </c>
      <c r="S396" s="1">
        <f>IFERROR(VLOOKUP($D396&amp;$C396,生产方式定位!$A$2:$E$38,3,FALSE)+VLOOKUP($E396&amp;$C396,生产方式定位!$F$3:$J$38,3,FALSE),0)</f>
        <v>8300</v>
      </c>
      <c r="X396" s="1">
        <f>IFERROR(VLOOKUP($D396&amp;$C396,生产方式定位!$A$2:$E$38,5,FALSE)+VLOOKUP($E396&amp;$C396,生产方式定位!$F$3:$J$38,5,FALSE),"错误")</f>
        <v>10240</v>
      </c>
      <c r="Y396" s="27" t="str">
        <f t="shared" si="48"/>
        <v/>
      </c>
      <c r="Z396" s="37" t="str">
        <f t="shared" si="49"/>
        <v/>
      </c>
      <c r="AA396" s="37" t="str">
        <f t="shared" si="50"/>
        <v/>
      </c>
      <c r="AB396" s="28">
        <f t="shared" si="51"/>
        <v>1.17</v>
      </c>
      <c r="AC396" s="37"/>
      <c r="AD396" s="38">
        <f t="shared" si="52"/>
        <v>2</v>
      </c>
      <c r="AE396" t="str">
        <f>IFERROR(F396&amp;"*"&amp;ROUND(L396*(G396/$AN396)/VLOOKUP(F396,商品!$A$4:$D$67,4,FALSE),0),"")</f>
        <v/>
      </c>
      <c r="AF396" t="str">
        <f>IFERROR(H396&amp;"*"&amp;ROUND(L396*(I396/$AN396)/VLOOKUP(H396,商品!$A$4:$D$67,4,FALSE),0),"")</f>
        <v/>
      </c>
      <c r="AG396" t="str">
        <f>IFERROR(J396&amp;"*"&amp;ROUND(L396*(K396/$AN396)/VLOOKUP(J396,商品!$A$4:$D$67,4,FALSE),0),"")</f>
        <v/>
      </c>
      <c r="AH396" t="str">
        <f>IFERROR(M396&amp;"*"&amp;ROUND(S396*(N396/$AO396)/VLOOKUP(M396,职业!$A$3:$E$16,4,FALSE),0),"")</f>
        <v/>
      </c>
      <c r="AI396" t="str">
        <f>IFERROR(O396&amp;"*"&amp;ROUND(S396*(P396/$AO396)/VLOOKUP(O396,职业!$A$3:$E$16,4,FALSE),0),"")</f>
        <v/>
      </c>
      <c r="AK396" t="str">
        <f>IFERROR(T396&amp;"*"&amp;ROUND(X396*(U396/$AP396)/VLOOKUP(T396,商品!$A$4:$D$67,4,FALSE),0),"")</f>
        <v/>
      </c>
      <c r="AL396" t="str">
        <f>IFERROR(V396&amp;"*"&amp;ROUND(X396*(W396/$AP396)/VLOOKUP(V396,商品!$A$4:$D$67,4,FALSE),0),"")</f>
        <v/>
      </c>
      <c r="AN396">
        <f t="shared" si="53"/>
        <v>0</v>
      </c>
      <c r="AO396">
        <f t="shared" si="54"/>
        <v>0</v>
      </c>
      <c r="AP396">
        <f t="shared" si="55"/>
        <v>0</v>
      </c>
    </row>
    <row r="397" customHeight="1" spans="1:42">
      <c r="A397" s="18" t="s">
        <v>360</v>
      </c>
      <c r="C397" s="18">
        <v>3</v>
      </c>
      <c r="D397" s="1" t="s">
        <v>240</v>
      </c>
      <c r="E397" s="1" t="s">
        <v>226</v>
      </c>
      <c r="L397" s="1">
        <f>IFERROR(VLOOKUP($D397&amp;$C397,生产方式定位!$A$2:$E$38,2,FALSE)+VLOOKUP($E397&amp;$C397,生产方式定位!$F$3:$J$38,2,FALSE),0)</f>
        <v>12000</v>
      </c>
      <c r="S397" s="1">
        <f>IFERROR(VLOOKUP($D397&amp;$C397,生产方式定位!$A$2:$E$38,3,FALSE)+VLOOKUP($E397&amp;$C397,生产方式定位!$F$3:$J$38,3,FALSE),0)</f>
        <v>8600</v>
      </c>
      <c r="X397" s="1">
        <f>IFERROR(VLOOKUP($D397&amp;$C397,生产方式定位!$A$2:$E$38,5,FALSE)+VLOOKUP($E397&amp;$C397,生产方式定位!$F$3:$J$38,5,FALSE),"错误")</f>
        <v>10560</v>
      </c>
      <c r="Y397" s="27" t="str">
        <f t="shared" si="48"/>
        <v/>
      </c>
      <c r="Z397" s="37" t="str">
        <f t="shared" si="49"/>
        <v/>
      </c>
      <c r="AA397" s="37" t="str">
        <f t="shared" si="50"/>
        <v/>
      </c>
      <c r="AB397" s="28">
        <f t="shared" si="51"/>
        <v>1.14</v>
      </c>
      <c r="AC397" s="37"/>
      <c r="AD397" s="38">
        <f t="shared" si="52"/>
        <v>3</v>
      </c>
      <c r="AE397" t="str">
        <f>IFERROR(F397&amp;"*"&amp;ROUND(L397*(G397/$AN397)/VLOOKUP(F397,商品!$A$4:$D$67,4,FALSE),0),"")</f>
        <v/>
      </c>
      <c r="AF397" t="str">
        <f>IFERROR(H397&amp;"*"&amp;ROUND(L397*(I397/$AN397)/VLOOKUP(H397,商品!$A$4:$D$67,4,FALSE),0),"")</f>
        <v/>
      </c>
      <c r="AG397" t="str">
        <f>IFERROR(J397&amp;"*"&amp;ROUND(L397*(K397/$AN397)/VLOOKUP(J397,商品!$A$4:$D$67,4,FALSE),0),"")</f>
        <v/>
      </c>
      <c r="AH397" t="str">
        <f>IFERROR(M397&amp;"*"&amp;ROUND(S397*(N397/$AO397)/VLOOKUP(M397,职业!$A$3:$E$16,4,FALSE),0),"")</f>
        <v/>
      </c>
      <c r="AI397" t="str">
        <f>IFERROR(O397&amp;"*"&amp;ROUND(S397*(P397/$AO397)/VLOOKUP(O397,职业!$A$3:$E$16,4,FALSE),0),"")</f>
        <v/>
      </c>
      <c r="AK397" t="str">
        <f>IFERROR(T397&amp;"*"&amp;ROUND(X397*(U397/$AP397)/VLOOKUP(T397,商品!$A$4:$D$67,4,FALSE),0),"")</f>
        <v/>
      </c>
      <c r="AL397" t="str">
        <f>IFERROR(V397&amp;"*"&amp;ROUND(X397*(W397/$AP397)/VLOOKUP(V397,商品!$A$4:$D$67,4,FALSE),0),"")</f>
        <v/>
      </c>
      <c r="AN397">
        <f t="shared" si="53"/>
        <v>0</v>
      </c>
      <c r="AO397">
        <f t="shared" si="54"/>
        <v>0</v>
      </c>
      <c r="AP397">
        <f t="shared" si="55"/>
        <v>0</v>
      </c>
    </row>
    <row r="398" customHeight="1" spans="1:42">
      <c r="A398" s="18" t="s">
        <v>360</v>
      </c>
      <c r="C398" s="18">
        <v>4</v>
      </c>
      <c r="D398" s="1" t="s">
        <v>240</v>
      </c>
      <c r="E398" s="1" t="s">
        <v>226</v>
      </c>
      <c r="L398" s="1">
        <f>IFERROR(VLOOKUP($D398&amp;$C398,生产方式定位!$A$2:$E$38,2,FALSE)+VLOOKUP($E398&amp;$C398,生产方式定位!$F$3:$J$38,2,FALSE),0)</f>
        <v>12000</v>
      </c>
      <c r="S398" s="1">
        <f>IFERROR(VLOOKUP($D398&amp;$C398,生产方式定位!$A$2:$E$38,3,FALSE)+VLOOKUP($E398&amp;$C398,生产方式定位!$F$3:$J$38,3,FALSE),0)</f>
        <v>8900</v>
      </c>
      <c r="X398" s="1">
        <f>IFERROR(VLOOKUP($D398&amp;$C398,生产方式定位!$A$2:$E$38,5,FALSE)+VLOOKUP($E398&amp;$C398,生产方式定位!$F$3:$J$38,5,FALSE),"错误")</f>
        <v>10960</v>
      </c>
      <c r="Y398" s="27" t="str">
        <f t="shared" si="48"/>
        <v/>
      </c>
      <c r="Z398" s="37" t="str">
        <f t="shared" si="49"/>
        <v/>
      </c>
      <c r="AA398" s="37" t="str">
        <f t="shared" si="50"/>
        <v/>
      </c>
      <c r="AB398" s="28">
        <f t="shared" si="51"/>
        <v>1.09</v>
      </c>
      <c r="AC398" s="37"/>
      <c r="AD398" s="38">
        <f t="shared" si="52"/>
        <v>4</v>
      </c>
      <c r="AE398" t="str">
        <f>IFERROR(F398&amp;"*"&amp;ROUND(L398*(G398/$AN398)/VLOOKUP(F398,商品!$A$4:$D$67,4,FALSE),0),"")</f>
        <v/>
      </c>
      <c r="AF398" t="str">
        <f>IFERROR(H398&amp;"*"&amp;ROUND(L398*(I398/$AN398)/VLOOKUP(H398,商品!$A$4:$D$67,4,FALSE),0),"")</f>
        <v/>
      </c>
      <c r="AG398" t="str">
        <f>IFERROR(J398&amp;"*"&amp;ROUND(L398*(K398/$AN398)/VLOOKUP(J398,商品!$A$4:$D$67,4,FALSE),0),"")</f>
        <v/>
      </c>
      <c r="AH398" t="str">
        <f>IFERROR(M398&amp;"*"&amp;ROUND(S398*(N398/$AO398)/VLOOKUP(M398,职业!$A$3:$E$16,4,FALSE),0),"")</f>
        <v/>
      </c>
      <c r="AI398" t="str">
        <f>IFERROR(O398&amp;"*"&amp;ROUND(S398*(P398/$AO398)/VLOOKUP(O398,职业!$A$3:$E$16,4,FALSE),0),"")</f>
        <v/>
      </c>
      <c r="AK398" t="str">
        <f>IFERROR(T398&amp;"*"&amp;ROUND(X398*(U398/$AP398)/VLOOKUP(T398,商品!$A$4:$D$67,4,FALSE),0),"")</f>
        <v/>
      </c>
      <c r="AL398" t="str">
        <f>IFERROR(V398&amp;"*"&amp;ROUND(X398*(W398/$AP398)/VLOOKUP(V398,商品!$A$4:$D$67,4,FALSE),0),"")</f>
        <v/>
      </c>
      <c r="AN398">
        <f t="shared" si="53"/>
        <v>0</v>
      </c>
      <c r="AO398">
        <f t="shared" si="54"/>
        <v>0</v>
      </c>
      <c r="AP398">
        <f t="shared" si="55"/>
        <v>0</v>
      </c>
    </row>
    <row r="399" customHeight="1" spans="1:42">
      <c r="A399" s="18" t="s">
        <v>360</v>
      </c>
      <c r="C399" s="18">
        <v>5</v>
      </c>
      <c r="D399" s="1" t="s">
        <v>240</v>
      </c>
      <c r="E399" s="1" t="s">
        <v>226</v>
      </c>
      <c r="L399" s="1">
        <f>IFERROR(VLOOKUP($D399&amp;$C399,生产方式定位!$A$2:$E$38,2,FALSE)+VLOOKUP($E399&amp;$C399,生产方式定位!$F$3:$J$38,2,FALSE),0)</f>
        <v>12000</v>
      </c>
      <c r="S399" s="1">
        <f>IFERROR(VLOOKUP($D399&amp;$C399,生产方式定位!$A$2:$E$38,3,FALSE)+VLOOKUP($E399&amp;$C399,生产方式定位!$F$3:$J$38,3,FALSE),0)</f>
        <v>9200</v>
      </c>
      <c r="X399" s="1">
        <f>IFERROR(VLOOKUP($D399&amp;$C399,生产方式定位!$A$2:$E$38,5,FALSE)+VLOOKUP($E399&amp;$C399,生产方式定位!$F$3:$J$38,5,FALSE),"错误")</f>
        <v>11440</v>
      </c>
      <c r="Y399" s="27" t="str">
        <f t="shared" si="48"/>
        <v/>
      </c>
      <c r="Z399" s="37" t="str">
        <f t="shared" si="49"/>
        <v/>
      </c>
      <c r="AA399" s="37" t="str">
        <f t="shared" si="50"/>
        <v/>
      </c>
      <c r="AB399" s="28">
        <f t="shared" si="51"/>
        <v>1.05</v>
      </c>
      <c r="AC399" s="37"/>
      <c r="AD399" s="38">
        <f t="shared" si="52"/>
        <v>5</v>
      </c>
      <c r="AE399" t="str">
        <f>IFERROR(F399&amp;"*"&amp;ROUND(L399*(G399/$AN399)/VLOOKUP(F399,商品!$A$4:$D$67,4,FALSE),0),"")</f>
        <v/>
      </c>
      <c r="AF399" t="str">
        <f>IFERROR(H399&amp;"*"&amp;ROUND(L399*(I399/$AN399)/VLOOKUP(H399,商品!$A$4:$D$67,4,FALSE),0),"")</f>
        <v/>
      </c>
      <c r="AG399" t="str">
        <f>IFERROR(J399&amp;"*"&amp;ROUND(L399*(K399/$AN399)/VLOOKUP(J399,商品!$A$4:$D$67,4,FALSE),0),"")</f>
        <v/>
      </c>
      <c r="AH399" t="str">
        <f>IFERROR(M399&amp;"*"&amp;ROUND(S399*(N399/$AO399)/VLOOKUP(M399,职业!$A$3:$E$16,4,FALSE),0),"")</f>
        <v/>
      </c>
      <c r="AI399" t="str">
        <f>IFERROR(O399&amp;"*"&amp;ROUND(S399*(P399/$AO399)/VLOOKUP(O399,职业!$A$3:$E$16,4,FALSE),0),"")</f>
        <v/>
      </c>
      <c r="AK399" t="str">
        <f>IFERROR(T399&amp;"*"&amp;ROUND(X399*(U399/$AP399)/VLOOKUP(T399,商品!$A$4:$D$67,4,FALSE),0),"")</f>
        <v/>
      </c>
      <c r="AL399" t="str">
        <f>IFERROR(V399&amp;"*"&amp;ROUND(X399*(W399/$AP399)/VLOOKUP(V399,商品!$A$4:$D$67,4,FALSE),0),"")</f>
        <v/>
      </c>
      <c r="AN399">
        <f t="shared" si="53"/>
        <v>0</v>
      </c>
      <c r="AO399">
        <f t="shared" si="54"/>
        <v>0</v>
      </c>
      <c r="AP399">
        <f t="shared" si="55"/>
        <v>0</v>
      </c>
    </row>
    <row r="400" customHeight="1" spans="1:42">
      <c r="A400" s="5" t="s">
        <v>360</v>
      </c>
      <c r="C400" s="5">
        <v>1</v>
      </c>
      <c r="D400" s="1" t="s">
        <v>240</v>
      </c>
      <c r="E400" s="1" t="s">
        <v>226</v>
      </c>
      <c r="L400" s="1">
        <f>IFERROR(VLOOKUP($D400&amp;$C400,生产方式定位!$A$2:$E$38,2,FALSE)+VLOOKUP($E400&amp;$C400,生产方式定位!$F$3:$J$38,2,FALSE),0)</f>
        <v>0</v>
      </c>
      <c r="S400" s="1">
        <f>IFERROR(VLOOKUP($D400&amp;$C400,生产方式定位!$A$2:$E$38,3,FALSE)+VLOOKUP($E400&amp;$C400,生产方式定位!$F$3:$J$38,3,FALSE),0)</f>
        <v>8000</v>
      </c>
      <c r="X400" s="1">
        <f>IFERROR(VLOOKUP($D400&amp;$C400,生产方式定位!$A$2:$E$38,5,FALSE)+VLOOKUP($E400&amp;$C400,生产方式定位!$F$3:$J$38,5,FALSE),"错误")</f>
        <v>4000</v>
      </c>
      <c r="Y400" s="27" t="str">
        <f t="shared" si="48"/>
        <v/>
      </c>
      <c r="Z400" s="37" t="str">
        <f t="shared" si="49"/>
        <v/>
      </c>
      <c r="AA400" s="37" t="str">
        <f t="shared" si="50"/>
        <v/>
      </c>
      <c r="AB400" s="28">
        <f t="shared" si="51"/>
        <v>0</v>
      </c>
      <c r="AC400" s="37"/>
      <c r="AD400" s="38">
        <f t="shared" si="52"/>
        <v>1</v>
      </c>
      <c r="AE400" t="str">
        <f>IFERROR(F400&amp;"*"&amp;ROUND(L400*(G400/$AN400)/VLOOKUP(F400,商品!$A$4:$D$67,4,FALSE),0),"")</f>
        <v/>
      </c>
      <c r="AF400" t="str">
        <f>IFERROR(H400&amp;"*"&amp;ROUND(L400*(I400/$AN400)/VLOOKUP(H400,商品!$A$4:$D$67,4,FALSE),0),"")</f>
        <v/>
      </c>
      <c r="AG400" t="str">
        <f>IFERROR(J400&amp;"*"&amp;ROUND(L400*(K400/$AN400)/VLOOKUP(J400,商品!$A$4:$D$67,4,FALSE),0),"")</f>
        <v/>
      </c>
      <c r="AH400" t="str">
        <f>IFERROR(M400&amp;"*"&amp;ROUND(S400*(N400/$AO400)/VLOOKUP(M400,职业!$A$3:$E$16,4,FALSE),0),"")</f>
        <v/>
      </c>
      <c r="AI400" t="str">
        <f>IFERROR(O400&amp;"*"&amp;ROUND(S400*(P400/$AO400)/VLOOKUP(O400,职业!$A$3:$E$16,4,FALSE),0),"")</f>
        <v/>
      </c>
      <c r="AK400" t="str">
        <f>IFERROR(T400&amp;"*"&amp;ROUND(X400*(U400/$AP400)/VLOOKUP(T400,商品!$A$4:$D$67,4,FALSE),0),"")</f>
        <v/>
      </c>
      <c r="AL400" t="str">
        <f>IFERROR(V400&amp;"*"&amp;ROUND(X400*(W400/$AP400)/VLOOKUP(V400,商品!$A$4:$D$67,4,FALSE),0),"")</f>
        <v/>
      </c>
      <c r="AN400">
        <f t="shared" si="53"/>
        <v>0</v>
      </c>
      <c r="AO400">
        <f t="shared" si="54"/>
        <v>0</v>
      </c>
      <c r="AP400">
        <f t="shared" si="55"/>
        <v>0</v>
      </c>
    </row>
    <row r="401" customHeight="1" spans="1:42">
      <c r="A401" s="5" t="s">
        <v>360</v>
      </c>
      <c r="C401" s="5">
        <v>2</v>
      </c>
      <c r="D401" s="1" t="s">
        <v>240</v>
      </c>
      <c r="E401" s="1" t="s">
        <v>226</v>
      </c>
      <c r="L401" s="1">
        <f>IFERROR(VLOOKUP($D401&amp;$C401,生产方式定位!$A$2:$E$38,2,FALSE)+VLOOKUP($E401&amp;$C401,生产方式定位!$F$3:$J$38,2,FALSE),0)</f>
        <v>12000</v>
      </c>
      <c r="S401" s="1">
        <f>IFERROR(VLOOKUP($D401&amp;$C401,生产方式定位!$A$2:$E$38,3,FALSE)+VLOOKUP($E401&amp;$C401,生产方式定位!$F$3:$J$38,3,FALSE),0)</f>
        <v>8300</v>
      </c>
      <c r="X401" s="1">
        <f>IFERROR(VLOOKUP($D401&amp;$C401,生产方式定位!$A$2:$E$38,5,FALSE)+VLOOKUP($E401&amp;$C401,生产方式定位!$F$3:$J$38,5,FALSE),"错误")</f>
        <v>10240</v>
      </c>
      <c r="Y401" s="27" t="str">
        <f t="shared" si="48"/>
        <v/>
      </c>
      <c r="Z401" s="37" t="str">
        <f t="shared" si="49"/>
        <v/>
      </c>
      <c r="AA401" s="37" t="str">
        <f t="shared" si="50"/>
        <v/>
      </c>
      <c r="AB401" s="28">
        <f t="shared" si="51"/>
        <v>1.17</v>
      </c>
      <c r="AC401" s="37"/>
      <c r="AD401" s="38">
        <f t="shared" si="52"/>
        <v>2</v>
      </c>
      <c r="AE401" t="str">
        <f>IFERROR(F401&amp;"*"&amp;ROUND(L401*(G401/$AN401)/VLOOKUP(F401,商品!$A$4:$D$67,4,FALSE),0),"")</f>
        <v/>
      </c>
      <c r="AF401" t="str">
        <f>IFERROR(H401&amp;"*"&amp;ROUND(L401*(I401/$AN401)/VLOOKUP(H401,商品!$A$4:$D$67,4,FALSE),0),"")</f>
        <v/>
      </c>
      <c r="AG401" t="str">
        <f>IFERROR(J401&amp;"*"&amp;ROUND(L401*(K401/$AN401)/VLOOKUP(J401,商品!$A$4:$D$67,4,FALSE),0),"")</f>
        <v/>
      </c>
      <c r="AH401" t="str">
        <f>IFERROR(M401&amp;"*"&amp;ROUND(S401*(N401/$AO401)/VLOOKUP(M401,职业!$A$3:$E$16,4,FALSE),0),"")</f>
        <v/>
      </c>
      <c r="AI401" t="str">
        <f>IFERROR(O401&amp;"*"&amp;ROUND(S401*(P401/$AO401)/VLOOKUP(O401,职业!$A$3:$E$16,4,FALSE),0),"")</f>
        <v/>
      </c>
      <c r="AK401" t="str">
        <f>IFERROR(T401&amp;"*"&amp;ROUND(X401*(U401/$AP401)/VLOOKUP(T401,商品!$A$4:$D$67,4,FALSE),0),"")</f>
        <v/>
      </c>
      <c r="AL401" t="str">
        <f>IFERROR(V401&amp;"*"&amp;ROUND(X401*(W401/$AP401)/VLOOKUP(V401,商品!$A$4:$D$67,4,FALSE),0),"")</f>
        <v/>
      </c>
      <c r="AN401">
        <f t="shared" si="53"/>
        <v>0</v>
      </c>
      <c r="AO401">
        <f t="shared" si="54"/>
        <v>0</v>
      </c>
      <c r="AP401">
        <f t="shared" si="55"/>
        <v>0</v>
      </c>
    </row>
    <row r="402" customHeight="1" spans="1:42">
      <c r="A402" s="5" t="s">
        <v>360</v>
      </c>
      <c r="C402" s="5">
        <v>3</v>
      </c>
      <c r="D402" s="1" t="s">
        <v>240</v>
      </c>
      <c r="E402" s="1" t="s">
        <v>226</v>
      </c>
      <c r="L402" s="1">
        <f>IFERROR(VLOOKUP($D402&amp;$C402,生产方式定位!$A$2:$E$38,2,FALSE)+VLOOKUP($E402&amp;$C402,生产方式定位!$F$3:$J$38,2,FALSE),0)</f>
        <v>12000</v>
      </c>
      <c r="S402" s="1">
        <f>IFERROR(VLOOKUP($D402&amp;$C402,生产方式定位!$A$2:$E$38,3,FALSE)+VLOOKUP($E402&amp;$C402,生产方式定位!$F$3:$J$38,3,FALSE),0)</f>
        <v>8600</v>
      </c>
      <c r="X402" s="1">
        <f>IFERROR(VLOOKUP($D402&amp;$C402,生产方式定位!$A$2:$E$38,5,FALSE)+VLOOKUP($E402&amp;$C402,生产方式定位!$F$3:$J$38,5,FALSE),"错误")</f>
        <v>10560</v>
      </c>
      <c r="Y402" s="27" t="str">
        <f t="shared" si="48"/>
        <v/>
      </c>
      <c r="Z402" s="37" t="str">
        <f t="shared" si="49"/>
        <v/>
      </c>
      <c r="AA402" s="37" t="str">
        <f t="shared" si="50"/>
        <v/>
      </c>
      <c r="AB402" s="28">
        <f t="shared" si="51"/>
        <v>1.14</v>
      </c>
      <c r="AC402" s="37"/>
      <c r="AD402" s="38">
        <f t="shared" si="52"/>
        <v>3</v>
      </c>
      <c r="AE402" t="str">
        <f>IFERROR(F402&amp;"*"&amp;ROUND(L402*(G402/$AN402)/VLOOKUP(F402,商品!$A$4:$D$67,4,FALSE),0),"")</f>
        <v/>
      </c>
      <c r="AF402" t="str">
        <f>IFERROR(H402&amp;"*"&amp;ROUND(L402*(I402/$AN402)/VLOOKUP(H402,商品!$A$4:$D$67,4,FALSE),0),"")</f>
        <v/>
      </c>
      <c r="AG402" t="str">
        <f>IFERROR(J402&amp;"*"&amp;ROUND(L402*(K402/$AN402)/VLOOKUP(J402,商品!$A$4:$D$67,4,FALSE),0),"")</f>
        <v/>
      </c>
      <c r="AH402" t="str">
        <f>IFERROR(M402&amp;"*"&amp;ROUND(S402*(N402/$AO402)/VLOOKUP(M402,职业!$A$3:$E$16,4,FALSE),0),"")</f>
        <v/>
      </c>
      <c r="AI402" t="str">
        <f>IFERROR(O402&amp;"*"&amp;ROUND(S402*(P402/$AO402)/VLOOKUP(O402,职业!$A$3:$E$16,4,FALSE),0),"")</f>
        <v/>
      </c>
      <c r="AK402" t="str">
        <f>IFERROR(T402&amp;"*"&amp;ROUND(X402*(U402/$AP402)/VLOOKUP(T402,商品!$A$4:$D$67,4,FALSE),0),"")</f>
        <v/>
      </c>
      <c r="AL402" t="str">
        <f>IFERROR(V402&amp;"*"&amp;ROUND(X402*(W402/$AP402)/VLOOKUP(V402,商品!$A$4:$D$67,4,FALSE),0),"")</f>
        <v/>
      </c>
      <c r="AN402">
        <f t="shared" si="53"/>
        <v>0</v>
      </c>
      <c r="AO402">
        <f t="shared" si="54"/>
        <v>0</v>
      </c>
      <c r="AP402">
        <f t="shared" si="55"/>
        <v>0</v>
      </c>
    </row>
    <row r="403" customHeight="1" spans="1:42">
      <c r="A403" s="5" t="s">
        <v>360</v>
      </c>
      <c r="C403" s="5">
        <v>4</v>
      </c>
      <c r="D403" s="1" t="s">
        <v>240</v>
      </c>
      <c r="E403" s="1" t="s">
        <v>226</v>
      </c>
      <c r="L403" s="1">
        <f>IFERROR(VLOOKUP($D403&amp;$C403,生产方式定位!$A$2:$E$38,2,FALSE)+VLOOKUP($E403&amp;$C403,生产方式定位!$F$3:$J$38,2,FALSE),0)</f>
        <v>12000</v>
      </c>
      <c r="S403" s="1">
        <f>IFERROR(VLOOKUP($D403&amp;$C403,生产方式定位!$A$2:$E$38,3,FALSE)+VLOOKUP($E403&amp;$C403,生产方式定位!$F$3:$J$38,3,FALSE),0)</f>
        <v>8900</v>
      </c>
      <c r="X403" s="1">
        <f>IFERROR(VLOOKUP($D403&amp;$C403,生产方式定位!$A$2:$E$38,5,FALSE)+VLOOKUP($E403&amp;$C403,生产方式定位!$F$3:$J$38,5,FALSE),"错误")</f>
        <v>10960</v>
      </c>
      <c r="Y403" s="27" t="str">
        <f t="shared" si="48"/>
        <v/>
      </c>
      <c r="Z403" s="37" t="str">
        <f t="shared" si="49"/>
        <v/>
      </c>
      <c r="AA403" s="37" t="str">
        <f t="shared" si="50"/>
        <v/>
      </c>
      <c r="AB403" s="28">
        <f t="shared" si="51"/>
        <v>1.09</v>
      </c>
      <c r="AC403" s="37"/>
      <c r="AD403" s="38">
        <f t="shared" si="52"/>
        <v>4</v>
      </c>
      <c r="AE403" t="str">
        <f>IFERROR(F403&amp;"*"&amp;ROUND(L403*(G403/$AN403)/VLOOKUP(F403,商品!$A$4:$D$67,4,FALSE),0),"")</f>
        <v/>
      </c>
      <c r="AF403" t="str">
        <f>IFERROR(H403&amp;"*"&amp;ROUND(L403*(I403/$AN403)/VLOOKUP(H403,商品!$A$4:$D$67,4,FALSE),0),"")</f>
        <v/>
      </c>
      <c r="AG403" t="str">
        <f>IFERROR(J403&amp;"*"&amp;ROUND(L403*(K403/$AN403)/VLOOKUP(J403,商品!$A$4:$D$67,4,FALSE),0),"")</f>
        <v/>
      </c>
      <c r="AH403" t="str">
        <f>IFERROR(M403&amp;"*"&amp;ROUND(S403*(N403/$AO403)/VLOOKUP(M403,职业!$A$3:$E$16,4,FALSE),0),"")</f>
        <v/>
      </c>
      <c r="AI403" t="str">
        <f>IFERROR(O403&amp;"*"&amp;ROUND(S403*(P403/$AO403)/VLOOKUP(O403,职业!$A$3:$E$16,4,FALSE),0),"")</f>
        <v/>
      </c>
      <c r="AK403" t="str">
        <f>IFERROR(T403&amp;"*"&amp;ROUND(X403*(U403/$AP403)/VLOOKUP(T403,商品!$A$4:$D$67,4,FALSE),0),"")</f>
        <v/>
      </c>
      <c r="AL403" t="str">
        <f>IFERROR(V403&amp;"*"&amp;ROUND(X403*(W403/$AP403)/VLOOKUP(V403,商品!$A$4:$D$67,4,FALSE),0),"")</f>
        <v/>
      </c>
      <c r="AN403">
        <f t="shared" si="53"/>
        <v>0</v>
      </c>
      <c r="AO403">
        <f t="shared" si="54"/>
        <v>0</v>
      </c>
      <c r="AP403">
        <f t="shared" si="55"/>
        <v>0</v>
      </c>
    </row>
    <row r="404" customHeight="1" spans="1:42">
      <c r="A404" s="5" t="s">
        <v>360</v>
      </c>
      <c r="C404" s="5">
        <v>5</v>
      </c>
      <c r="D404" s="1" t="s">
        <v>240</v>
      </c>
      <c r="E404" s="1" t="s">
        <v>226</v>
      </c>
      <c r="L404" s="1">
        <f>IFERROR(VLOOKUP($D404&amp;$C404,生产方式定位!$A$2:$E$38,2,FALSE)+VLOOKUP($E404&amp;$C404,生产方式定位!$F$3:$J$38,2,FALSE),0)</f>
        <v>12000</v>
      </c>
      <c r="S404" s="1">
        <f>IFERROR(VLOOKUP($D404&amp;$C404,生产方式定位!$A$2:$E$38,3,FALSE)+VLOOKUP($E404&amp;$C404,生产方式定位!$F$3:$J$38,3,FALSE),0)</f>
        <v>9200</v>
      </c>
      <c r="X404" s="1">
        <f>IFERROR(VLOOKUP($D404&amp;$C404,生产方式定位!$A$2:$E$38,5,FALSE)+VLOOKUP($E404&amp;$C404,生产方式定位!$F$3:$J$38,5,FALSE),"错误")</f>
        <v>11440</v>
      </c>
      <c r="Y404" s="27" t="str">
        <f t="shared" si="48"/>
        <v/>
      </c>
      <c r="Z404" s="37" t="str">
        <f t="shared" si="49"/>
        <v/>
      </c>
      <c r="AA404" s="37" t="str">
        <f t="shared" si="50"/>
        <v/>
      </c>
      <c r="AB404" s="28">
        <f t="shared" si="51"/>
        <v>1.05</v>
      </c>
      <c r="AC404" s="37"/>
      <c r="AD404" s="38">
        <f t="shared" si="52"/>
        <v>5</v>
      </c>
      <c r="AE404" t="str">
        <f>IFERROR(F404&amp;"*"&amp;ROUND(L404*(G404/$AN404)/VLOOKUP(F404,商品!$A$4:$D$67,4,FALSE),0),"")</f>
        <v/>
      </c>
      <c r="AF404" t="str">
        <f>IFERROR(H404&amp;"*"&amp;ROUND(L404*(I404/$AN404)/VLOOKUP(H404,商品!$A$4:$D$67,4,FALSE),0),"")</f>
        <v/>
      </c>
      <c r="AG404" t="str">
        <f>IFERROR(J404&amp;"*"&amp;ROUND(L404*(K404/$AN404)/VLOOKUP(J404,商品!$A$4:$D$67,4,FALSE),0),"")</f>
        <v/>
      </c>
      <c r="AH404" t="str">
        <f>IFERROR(M404&amp;"*"&amp;ROUND(S404*(N404/$AO404)/VLOOKUP(M404,职业!$A$3:$E$16,4,FALSE),0),"")</f>
        <v/>
      </c>
      <c r="AI404" t="str">
        <f>IFERROR(O404&amp;"*"&amp;ROUND(S404*(P404/$AO404)/VLOOKUP(O404,职业!$A$3:$E$16,4,FALSE),0),"")</f>
        <v/>
      </c>
      <c r="AK404" t="str">
        <f>IFERROR(T404&amp;"*"&amp;ROUND(X404*(U404/$AP404)/VLOOKUP(T404,商品!$A$4:$D$67,4,FALSE),0),"")</f>
        <v/>
      </c>
      <c r="AL404" t="str">
        <f>IFERROR(V404&amp;"*"&amp;ROUND(X404*(W404/$AP404)/VLOOKUP(V404,商品!$A$4:$D$67,4,FALSE),0),"")</f>
        <v/>
      </c>
      <c r="AN404">
        <f t="shared" si="53"/>
        <v>0</v>
      </c>
      <c r="AO404">
        <f t="shared" si="54"/>
        <v>0</v>
      </c>
      <c r="AP404">
        <f t="shared" si="55"/>
        <v>0</v>
      </c>
    </row>
    <row r="405" customHeight="1" spans="1:42">
      <c r="A405" s="18" t="s">
        <v>361</v>
      </c>
      <c r="C405" s="18">
        <v>1</v>
      </c>
      <c r="D405" s="1" t="s">
        <v>293</v>
      </c>
      <c r="E405" s="1" t="s">
        <v>227</v>
      </c>
      <c r="L405" s="1">
        <f>IFERROR(VLOOKUP($D405&amp;$C405,生产方式定位!$A$2:$E$38,2,FALSE)+VLOOKUP($E405&amp;$C405,生产方式定位!$F$3:$J$38,2,FALSE),0)</f>
        <v>0</v>
      </c>
      <c r="S405" s="1">
        <f>IFERROR(VLOOKUP($D405&amp;$C405,生产方式定位!$A$2:$E$38,3,FALSE)+VLOOKUP($E405&amp;$C405,生产方式定位!$F$3:$J$38,3,FALSE),0)</f>
        <v>0</v>
      </c>
      <c r="X405" s="1">
        <f>IFERROR(VLOOKUP($D405&amp;$C405,生产方式定位!$A$2:$E$38,5,FALSE)+VLOOKUP($E405&amp;$C405,生产方式定位!$F$3:$J$38,5,FALSE),"错误")</f>
        <v>0</v>
      </c>
      <c r="Y405" s="27" t="str">
        <f t="shared" si="48"/>
        <v/>
      </c>
      <c r="Z405" s="37" t="str">
        <f t="shared" si="49"/>
        <v/>
      </c>
      <c r="AA405" s="37" t="str">
        <f t="shared" si="50"/>
        <v/>
      </c>
      <c r="AB405" s="28" t="str">
        <f t="shared" si="51"/>
        <v/>
      </c>
      <c r="AC405" s="37"/>
      <c r="AD405" s="38">
        <f t="shared" si="52"/>
        <v>1</v>
      </c>
      <c r="AE405" t="str">
        <f>IFERROR(F405&amp;"*"&amp;ROUND(L405*(G405/$AN405)/VLOOKUP(F405,商品!$A$4:$D$67,4,FALSE),0),"")</f>
        <v/>
      </c>
      <c r="AF405" t="str">
        <f>IFERROR(H405&amp;"*"&amp;ROUND(L405*(I405/$AN405)/VLOOKUP(H405,商品!$A$4:$D$67,4,FALSE),0),"")</f>
        <v/>
      </c>
      <c r="AG405" t="str">
        <f>IFERROR(J405&amp;"*"&amp;ROUND(L405*(K405/$AN405)/VLOOKUP(J405,商品!$A$4:$D$67,4,FALSE),0),"")</f>
        <v/>
      </c>
      <c r="AH405" t="str">
        <f>IFERROR(M405&amp;"*"&amp;ROUND(S405*(N405/$AO405)/VLOOKUP(M405,职业!$A$3:$E$16,4,FALSE),0),"")</f>
        <v/>
      </c>
      <c r="AI405" t="str">
        <f>IFERROR(O405&amp;"*"&amp;ROUND(S405*(P405/$AO405)/VLOOKUP(O405,职业!$A$3:$E$16,4,FALSE),0),"")</f>
        <v/>
      </c>
      <c r="AK405" t="str">
        <f>IFERROR(T405&amp;"*"&amp;ROUND(X405*(U405/$AP405)/VLOOKUP(T405,商品!$A$4:$D$67,4,FALSE),0),"")</f>
        <v/>
      </c>
      <c r="AL405" t="str">
        <f>IFERROR(V405&amp;"*"&amp;ROUND(X405*(W405/$AP405)/VLOOKUP(V405,商品!$A$4:$D$67,4,FALSE),0),"")</f>
        <v/>
      </c>
      <c r="AN405">
        <f t="shared" si="53"/>
        <v>0</v>
      </c>
      <c r="AO405">
        <f t="shared" si="54"/>
        <v>0</v>
      </c>
      <c r="AP405">
        <f t="shared" si="55"/>
        <v>0</v>
      </c>
    </row>
    <row r="406" customHeight="1" spans="1:42">
      <c r="A406" s="18" t="s">
        <v>361</v>
      </c>
      <c r="C406" s="18">
        <v>2</v>
      </c>
      <c r="D406" s="1" t="s">
        <v>293</v>
      </c>
      <c r="E406" s="1" t="s">
        <v>227</v>
      </c>
      <c r="L406" s="1">
        <f>IFERROR(VLOOKUP($D406&amp;$C406,生产方式定位!$A$2:$E$38,2,FALSE)+VLOOKUP($E406&amp;$C406,生产方式定位!$F$3:$J$38,2,FALSE),0)</f>
        <v>0</v>
      </c>
      <c r="S406" s="1">
        <f>IFERROR(VLOOKUP($D406&amp;$C406,生产方式定位!$A$2:$E$38,3,FALSE)+VLOOKUP($E406&amp;$C406,生产方式定位!$F$3:$J$38,3,FALSE),0)</f>
        <v>0</v>
      </c>
      <c r="X406" s="1">
        <f>IFERROR(VLOOKUP($D406&amp;$C406,生产方式定位!$A$2:$E$38,5,FALSE)+VLOOKUP($E406&amp;$C406,生产方式定位!$F$3:$J$38,5,FALSE),"错误")</f>
        <v>0</v>
      </c>
      <c r="Y406" s="27" t="str">
        <f t="shared" si="48"/>
        <v/>
      </c>
      <c r="Z406" s="37" t="str">
        <f t="shared" si="49"/>
        <v/>
      </c>
      <c r="AA406" s="37" t="str">
        <f t="shared" si="50"/>
        <v/>
      </c>
      <c r="AB406" s="28" t="str">
        <f t="shared" si="51"/>
        <v/>
      </c>
      <c r="AC406" s="37"/>
      <c r="AD406" s="38">
        <f t="shared" si="52"/>
        <v>2</v>
      </c>
      <c r="AE406" t="str">
        <f>IFERROR(F406&amp;"*"&amp;ROUND(L406*(G406/$AN406)/VLOOKUP(F406,商品!$A$4:$D$67,4,FALSE),0),"")</f>
        <v/>
      </c>
      <c r="AF406" t="str">
        <f>IFERROR(H406&amp;"*"&amp;ROUND(L406*(I406/$AN406)/VLOOKUP(H406,商品!$A$4:$D$67,4,FALSE),0),"")</f>
        <v/>
      </c>
      <c r="AG406" t="str">
        <f>IFERROR(J406&amp;"*"&amp;ROUND(L406*(K406/$AN406)/VLOOKUP(J406,商品!$A$4:$D$67,4,FALSE),0),"")</f>
        <v/>
      </c>
      <c r="AH406" t="str">
        <f>IFERROR(M406&amp;"*"&amp;ROUND(S406*(N406/$AO406)/VLOOKUP(M406,职业!$A$3:$E$16,4,FALSE),0),"")</f>
        <v/>
      </c>
      <c r="AI406" t="str">
        <f>IFERROR(O406&amp;"*"&amp;ROUND(S406*(P406/$AO406)/VLOOKUP(O406,职业!$A$3:$E$16,4,FALSE),0),"")</f>
        <v/>
      </c>
      <c r="AK406" t="str">
        <f>IFERROR(T406&amp;"*"&amp;ROUND(X406*(U406/$AP406)/VLOOKUP(T406,商品!$A$4:$D$67,4,FALSE),0),"")</f>
        <v/>
      </c>
      <c r="AL406" t="str">
        <f>IFERROR(V406&amp;"*"&amp;ROUND(X406*(W406/$AP406)/VLOOKUP(V406,商品!$A$4:$D$67,4,FALSE),0),"")</f>
        <v/>
      </c>
      <c r="AN406">
        <f t="shared" si="53"/>
        <v>0</v>
      </c>
      <c r="AO406">
        <f t="shared" si="54"/>
        <v>0</v>
      </c>
      <c r="AP406">
        <f t="shared" si="55"/>
        <v>0</v>
      </c>
    </row>
    <row r="407" customHeight="1" spans="1:42">
      <c r="A407" s="18" t="s">
        <v>361</v>
      </c>
      <c r="C407" s="18">
        <v>3</v>
      </c>
      <c r="D407" s="1" t="s">
        <v>293</v>
      </c>
      <c r="E407" s="1" t="s">
        <v>227</v>
      </c>
      <c r="L407" s="1">
        <f>IFERROR(VLOOKUP($D407&amp;$C407,生产方式定位!$A$2:$E$38,2,FALSE)+VLOOKUP($E407&amp;$C407,生产方式定位!$F$3:$J$38,2,FALSE),0)</f>
        <v>0</v>
      </c>
      <c r="S407" s="1">
        <f>IFERROR(VLOOKUP($D407&amp;$C407,生产方式定位!$A$2:$E$38,3,FALSE)+VLOOKUP($E407&amp;$C407,生产方式定位!$F$3:$J$38,3,FALSE),0)</f>
        <v>0</v>
      </c>
      <c r="X407" s="1">
        <f>IFERROR(VLOOKUP($D407&amp;$C407,生产方式定位!$A$2:$E$38,5,FALSE)+VLOOKUP($E407&amp;$C407,生产方式定位!$F$3:$J$38,5,FALSE),"错误")</f>
        <v>0</v>
      </c>
      <c r="Y407" s="27" t="str">
        <f t="shared" si="48"/>
        <v/>
      </c>
      <c r="Z407" s="37" t="str">
        <f t="shared" si="49"/>
        <v/>
      </c>
      <c r="AA407" s="37" t="str">
        <f t="shared" si="50"/>
        <v/>
      </c>
      <c r="AB407" s="28" t="str">
        <f t="shared" si="51"/>
        <v/>
      </c>
      <c r="AC407" s="37"/>
      <c r="AD407" s="38">
        <f t="shared" si="52"/>
        <v>3</v>
      </c>
      <c r="AE407" t="str">
        <f>IFERROR(F407&amp;"*"&amp;ROUND(L407*(G407/$AN407)/VLOOKUP(F407,商品!$A$4:$D$67,4,FALSE),0),"")</f>
        <v/>
      </c>
      <c r="AF407" t="str">
        <f>IFERROR(H407&amp;"*"&amp;ROUND(L407*(I407/$AN407)/VLOOKUP(H407,商品!$A$4:$D$67,4,FALSE),0),"")</f>
        <v/>
      </c>
      <c r="AG407" t="str">
        <f>IFERROR(J407&amp;"*"&amp;ROUND(L407*(K407/$AN407)/VLOOKUP(J407,商品!$A$4:$D$67,4,FALSE),0),"")</f>
        <v/>
      </c>
      <c r="AH407" t="str">
        <f>IFERROR(M407&amp;"*"&amp;ROUND(S407*(N407/$AO407)/VLOOKUP(M407,职业!$A$3:$E$16,4,FALSE),0),"")</f>
        <v/>
      </c>
      <c r="AI407" t="str">
        <f>IFERROR(O407&amp;"*"&amp;ROUND(S407*(P407/$AO407)/VLOOKUP(O407,职业!$A$3:$E$16,4,FALSE),0),"")</f>
        <v/>
      </c>
      <c r="AK407" t="str">
        <f>IFERROR(T407&amp;"*"&amp;ROUND(X407*(U407/$AP407)/VLOOKUP(T407,商品!$A$4:$D$67,4,FALSE),0),"")</f>
        <v/>
      </c>
      <c r="AL407" t="str">
        <f>IFERROR(V407&amp;"*"&amp;ROUND(X407*(W407/$AP407)/VLOOKUP(V407,商品!$A$4:$D$67,4,FALSE),0),"")</f>
        <v/>
      </c>
      <c r="AN407">
        <f t="shared" si="53"/>
        <v>0</v>
      </c>
      <c r="AO407">
        <f t="shared" si="54"/>
        <v>0</v>
      </c>
      <c r="AP407">
        <f t="shared" si="55"/>
        <v>0</v>
      </c>
    </row>
    <row r="408" customHeight="1" spans="1:42">
      <c r="A408" s="18" t="s">
        <v>361</v>
      </c>
      <c r="C408" s="18">
        <v>4</v>
      </c>
      <c r="D408" s="1" t="s">
        <v>293</v>
      </c>
      <c r="E408" s="1" t="s">
        <v>227</v>
      </c>
      <c r="L408" s="1">
        <f>IFERROR(VLOOKUP($D408&amp;$C408,生产方式定位!$A$2:$E$38,2,FALSE)+VLOOKUP($E408&amp;$C408,生产方式定位!$F$3:$J$38,2,FALSE),0)</f>
        <v>0</v>
      </c>
      <c r="S408" s="1">
        <f>IFERROR(VLOOKUP($D408&amp;$C408,生产方式定位!$A$2:$E$38,3,FALSE)+VLOOKUP($E408&amp;$C408,生产方式定位!$F$3:$J$38,3,FALSE),0)</f>
        <v>0</v>
      </c>
      <c r="X408" s="1">
        <f>IFERROR(VLOOKUP($D408&amp;$C408,生产方式定位!$A$2:$E$38,5,FALSE)+VLOOKUP($E408&amp;$C408,生产方式定位!$F$3:$J$38,5,FALSE),"错误")</f>
        <v>0</v>
      </c>
      <c r="Y408" s="27" t="str">
        <f t="shared" si="48"/>
        <v/>
      </c>
      <c r="Z408" s="37" t="str">
        <f t="shared" si="49"/>
        <v/>
      </c>
      <c r="AA408" s="37" t="str">
        <f t="shared" si="50"/>
        <v/>
      </c>
      <c r="AB408" s="28" t="str">
        <f t="shared" si="51"/>
        <v/>
      </c>
      <c r="AC408" s="37"/>
      <c r="AD408" s="38">
        <f t="shared" si="52"/>
        <v>4</v>
      </c>
      <c r="AE408" t="str">
        <f>IFERROR(F408&amp;"*"&amp;ROUND(L408*(G408/$AN408)/VLOOKUP(F408,商品!$A$4:$D$67,4,FALSE),0),"")</f>
        <v/>
      </c>
      <c r="AF408" t="str">
        <f>IFERROR(H408&amp;"*"&amp;ROUND(L408*(I408/$AN408)/VLOOKUP(H408,商品!$A$4:$D$67,4,FALSE),0),"")</f>
        <v/>
      </c>
      <c r="AG408" t="str">
        <f>IFERROR(J408&amp;"*"&amp;ROUND(L408*(K408/$AN408)/VLOOKUP(J408,商品!$A$4:$D$67,4,FALSE),0),"")</f>
        <v/>
      </c>
      <c r="AH408" t="str">
        <f>IFERROR(M408&amp;"*"&amp;ROUND(S408*(N408/$AO408)/VLOOKUP(M408,职业!$A$3:$E$16,4,FALSE),0),"")</f>
        <v/>
      </c>
      <c r="AI408" t="str">
        <f>IFERROR(O408&amp;"*"&amp;ROUND(S408*(P408/$AO408)/VLOOKUP(O408,职业!$A$3:$E$16,4,FALSE),0),"")</f>
        <v/>
      </c>
      <c r="AK408" t="str">
        <f>IFERROR(T408&amp;"*"&amp;ROUND(X408*(U408/$AP408)/VLOOKUP(T408,商品!$A$4:$D$67,4,FALSE),0),"")</f>
        <v/>
      </c>
      <c r="AL408" t="str">
        <f>IFERROR(V408&amp;"*"&amp;ROUND(X408*(W408/$AP408)/VLOOKUP(V408,商品!$A$4:$D$67,4,FALSE),0),"")</f>
        <v/>
      </c>
      <c r="AN408">
        <f t="shared" si="53"/>
        <v>0</v>
      </c>
      <c r="AO408">
        <f t="shared" si="54"/>
        <v>0</v>
      </c>
      <c r="AP408">
        <f t="shared" si="55"/>
        <v>0</v>
      </c>
    </row>
    <row r="409" customHeight="1" spans="1:42">
      <c r="A409" s="18" t="s">
        <v>361</v>
      </c>
      <c r="C409" s="18">
        <v>5</v>
      </c>
      <c r="D409" s="1" t="s">
        <v>293</v>
      </c>
      <c r="E409" s="1" t="s">
        <v>227</v>
      </c>
      <c r="L409" s="1">
        <f>IFERROR(VLOOKUP($D409&amp;$C409,生产方式定位!$A$2:$E$38,2,FALSE)+VLOOKUP($E409&amp;$C409,生产方式定位!$F$3:$J$38,2,FALSE),0)</f>
        <v>0</v>
      </c>
      <c r="S409" s="1">
        <f>IFERROR(VLOOKUP($D409&amp;$C409,生产方式定位!$A$2:$E$38,3,FALSE)+VLOOKUP($E409&amp;$C409,生产方式定位!$F$3:$J$38,3,FALSE),0)</f>
        <v>0</v>
      </c>
      <c r="X409" s="1">
        <f>IFERROR(VLOOKUP($D409&amp;$C409,生产方式定位!$A$2:$E$38,5,FALSE)+VLOOKUP($E409&amp;$C409,生产方式定位!$F$3:$J$38,5,FALSE),"错误")</f>
        <v>0</v>
      </c>
      <c r="Y409" s="27" t="str">
        <f t="shared" si="48"/>
        <v/>
      </c>
      <c r="Z409" s="37" t="str">
        <f t="shared" si="49"/>
        <v/>
      </c>
      <c r="AA409" s="37" t="str">
        <f t="shared" si="50"/>
        <v/>
      </c>
      <c r="AB409" s="28" t="str">
        <f t="shared" si="51"/>
        <v/>
      </c>
      <c r="AC409" s="37"/>
      <c r="AD409" s="38">
        <f t="shared" si="52"/>
        <v>5</v>
      </c>
      <c r="AE409" t="str">
        <f>IFERROR(F409&amp;"*"&amp;ROUND(L409*(G409/$AN409)/VLOOKUP(F409,商品!$A$4:$D$67,4,FALSE),0),"")</f>
        <v/>
      </c>
      <c r="AF409" t="str">
        <f>IFERROR(H409&amp;"*"&amp;ROUND(L409*(I409/$AN409)/VLOOKUP(H409,商品!$A$4:$D$67,4,FALSE),0),"")</f>
        <v/>
      </c>
      <c r="AG409" t="str">
        <f>IFERROR(J409&amp;"*"&amp;ROUND(L409*(K409/$AN409)/VLOOKUP(J409,商品!$A$4:$D$67,4,FALSE),0),"")</f>
        <v/>
      </c>
      <c r="AH409" t="str">
        <f>IFERROR(M409&amp;"*"&amp;ROUND(S409*(N409/$AO409)/VLOOKUP(M409,职业!$A$3:$E$16,4,FALSE),0),"")</f>
        <v/>
      </c>
      <c r="AI409" t="str">
        <f>IFERROR(O409&amp;"*"&amp;ROUND(S409*(P409/$AO409)/VLOOKUP(O409,职业!$A$3:$E$16,4,FALSE),0),"")</f>
        <v/>
      </c>
      <c r="AK409" t="str">
        <f>IFERROR(T409&amp;"*"&amp;ROUND(X409*(U409/$AP409)/VLOOKUP(T409,商品!$A$4:$D$67,4,FALSE),0),"")</f>
        <v/>
      </c>
      <c r="AL409" t="str">
        <f>IFERROR(V409&amp;"*"&amp;ROUND(X409*(W409/$AP409)/VLOOKUP(V409,商品!$A$4:$D$67,4,FALSE),0),"")</f>
        <v/>
      </c>
      <c r="AN409">
        <f t="shared" si="53"/>
        <v>0</v>
      </c>
      <c r="AO409">
        <f t="shared" si="54"/>
        <v>0</v>
      </c>
      <c r="AP409">
        <f t="shared" si="55"/>
        <v>0</v>
      </c>
    </row>
    <row r="410" customHeight="1" spans="1:42">
      <c r="A410" s="18" t="s">
        <v>361</v>
      </c>
      <c r="C410" s="18">
        <v>6</v>
      </c>
      <c r="D410" s="1" t="s">
        <v>293</v>
      </c>
      <c r="E410" s="1" t="s">
        <v>227</v>
      </c>
      <c r="L410" s="1">
        <f>IFERROR(VLOOKUP($D410&amp;$C410,生产方式定位!$A$2:$E$38,2,FALSE)+VLOOKUP($E410&amp;$C410,生产方式定位!$F$3:$J$38,2,FALSE),0)</f>
        <v>0</v>
      </c>
      <c r="S410" s="1">
        <f>IFERROR(VLOOKUP($D410&amp;$C410,生产方式定位!$A$2:$E$38,3,FALSE)+VLOOKUP($E410&amp;$C410,生产方式定位!$F$3:$J$38,3,FALSE),0)</f>
        <v>0</v>
      </c>
      <c r="X410" s="1">
        <f>IFERROR(VLOOKUP($D410&amp;$C410,生产方式定位!$A$2:$E$38,5,FALSE)+VLOOKUP($E410&amp;$C410,生产方式定位!$F$3:$J$38,5,FALSE),"错误")</f>
        <v>0</v>
      </c>
      <c r="Y410" s="27" t="str">
        <f t="shared" si="48"/>
        <v/>
      </c>
      <c r="Z410" s="37" t="str">
        <f t="shared" si="49"/>
        <v/>
      </c>
      <c r="AA410" s="37" t="str">
        <f t="shared" si="50"/>
        <v/>
      </c>
      <c r="AB410" s="28" t="str">
        <f t="shared" si="51"/>
        <v/>
      </c>
      <c r="AC410" s="37"/>
      <c r="AD410" s="38">
        <f t="shared" si="52"/>
        <v>6</v>
      </c>
      <c r="AE410" t="str">
        <f>IFERROR(F410&amp;"*"&amp;ROUND(L410*(G410/$AN410)/VLOOKUP(F410,商品!$A$4:$D$67,4,FALSE),0),"")</f>
        <v/>
      </c>
      <c r="AF410" t="str">
        <f>IFERROR(H410&amp;"*"&amp;ROUND(L410*(I410/$AN410)/VLOOKUP(H410,商品!$A$4:$D$67,4,FALSE),0),"")</f>
        <v/>
      </c>
      <c r="AG410" t="str">
        <f>IFERROR(J410&amp;"*"&amp;ROUND(L410*(K410/$AN410)/VLOOKUP(J410,商品!$A$4:$D$67,4,FALSE),0),"")</f>
        <v/>
      </c>
      <c r="AH410" t="str">
        <f>IFERROR(M410&amp;"*"&amp;ROUND(S410*(N410/$AO410)/VLOOKUP(M410,职业!$A$3:$E$16,4,FALSE),0),"")</f>
        <v/>
      </c>
      <c r="AI410" t="str">
        <f>IFERROR(O410&amp;"*"&amp;ROUND(S410*(P410/$AO410)/VLOOKUP(O410,职业!$A$3:$E$16,4,FALSE),0),"")</f>
        <v/>
      </c>
      <c r="AK410" t="str">
        <f>IFERROR(T410&amp;"*"&amp;ROUND(X410*(U410/$AP410)/VLOOKUP(T410,商品!$A$4:$D$67,4,FALSE),0),"")</f>
        <v/>
      </c>
      <c r="AL410" t="str">
        <f>IFERROR(V410&amp;"*"&amp;ROUND(X410*(W410/$AP410)/VLOOKUP(V410,商品!$A$4:$D$67,4,FALSE),0),"")</f>
        <v/>
      </c>
      <c r="AN410">
        <f t="shared" si="53"/>
        <v>0</v>
      </c>
      <c r="AO410">
        <f t="shared" si="54"/>
        <v>0</v>
      </c>
      <c r="AP410">
        <f t="shared" si="55"/>
        <v>0</v>
      </c>
    </row>
    <row r="411" customHeight="1" spans="1:42">
      <c r="A411" s="18" t="s">
        <v>361</v>
      </c>
      <c r="C411" s="18">
        <v>7</v>
      </c>
      <c r="D411" s="1" t="s">
        <v>293</v>
      </c>
      <c r="E411" s="1" t="s">
        <v>227</v>
      </c>
      <c r="L411" s="1">
        <f>IFERROR(VLOOKUP($D411&amp;$C411,生产方式定位!$A$2:$E$38,2,FALSE)+VLOOKUP($E411&amp;$C411,生产方式定位!$F$3:$J$38,2,FALSE),0)</f>
        <v>0</v>
      </c>
      <c r="S411" s="1">
        <f>IFERROR(VLOOKUP($D411&amp;$C411,生产方式定位!$A$2:$E$38,3,FALSE)+VLOOKUP($E411&amp;$C411,生产方式定位!$F$3:$J$38,3,FALSE),0)</f>
        <v>0</v>
      </c>
      <c r="X411" s="1">
        <f>IFERROR(VLOOKUP($D411&amp;$C411,生产方式定位!$A$2:$E$38,5,FALSE)+VLOOKUP($E411&amp;$C411,生产方式定位!$F$3:$J$38,5,FALSE),"错误")</f>
        <v>0</v>
      </c>
      <c r="Y411" s="27" t="str">
        <f t="shared" si="48"/>
        <v/>
      </c>
      <c r="Z411" s="37" t="str">
        <f t="shared" si="49"/>
        <v/>
      </c>
      <c r="AA411" s="37" t="str">
        <f t="shared" si="50"/>
        <v/>
      </c>
      <c r="AB411" s="28" t="str">
        <f t="shared" si="51"/>
        <v/>
      </c>
      <c r="AC411" s="37"/>
      <c r="AD411" s="38">
        <f t="shared" si="52"/>
        <v>7</v>
      </c>
      <c r="AE411" t="str">
        <f>IFERROR(F411&amp;"*"&amp;ROUND(L411*(G411/$AN411)/VLOOKUP(F411,商品!$A$4:$D$67,4,FALSE),0),"")</f>
        <v/>
      </c>
      <c r="AF411" t="str">
        <f>IFERROR(H411&amp;"*"&amp;ROUND(L411*(I411/$AN411)/VLOOKUP(H411,商品!$A$4:$D$67,4,FALSE),0),"")</f>
        <v/>
      </c>
      <c r="AG411" t="str">
        <f>IFERROR(J411&amp;"*"&amp;ROUND(L411*(K411/$AN411)/VLOOKUP(J411,商品!$A$4:$D$67,4,FALSE),0),"")</f>
        <v/>
      </c>
      <c r="AH411" t="str">
        <f>IFERROR(M411&amp;"*"&amp;ROUND(S411*(N411/$AO411)/VLOOKUP(M411,职业!$A$3:$E$16,4,FALSE),0),"")</f>
        <v/>
      </c>
      <c r="AI411" t="str">
        <f>IFERROR(O411&amp;"*"&amp;ROUND(S411*(P411/$AO411)/VLOOKUP(O411,职业!$A$3:$E$16,4,FALSE),0),"")</f>
        <v/>
      </c>
      <c r="AK411" t="str">
        <f>IFERROR(T411&amp;"*"&amp;ROUND(X411*(U411/$AP411)/VLOOKUP(T411,商品!$A$4:$D$67,4,FALSE),0),"")</f>
        <v/>
      </c>
      <c r="AL411" t="str">
        <f>IFERROR(V411&amp;"*"&amp;ROUND(X411*(W411/$AP411)/VLOOKUP(V411,商品!$A$4:$D$67,4,FALSE),0),"")</f>
        <v/>
      </c>
      <c r="AN411">
        <f t="shared" si="53"/>
        <v>0</v>
      </c>
      <c r="AO411">
        <f t="shared" si="54"/>
        <v>0</v>
      </c>
      <c r="AP411">
        <f t="shared" si="55"/>
        <v>0</v>
      </c>
    </row>
    <row r="412" customHeight="1" spans="1:42">
      <c r="A412" s="18" t="s">
        <v>361</v>
      </c>
      <c r="C412" s="18">
        <v>8</v>
      </c>
      <c r="D412" s="1" t="s">
        <v>293</v>
      </c>
      <c r="E412" s="1" t="s">
        <v>227</v>
      </c>
      <c r="L412" s="1">
        <f>IFERROR(VLOOKUP($D412&amp;$C412,生产方式定位!$A$2:$E$38,2,FALSE)+VLOOKUP($E412&amp;$C412,生产方式定位!$F$3:$J$38,2,FALSE),0)</f>
        <v>0</v>
      </c>
      <c r="S412" s="1">
        <f>IFERROR(VLOOKUP($D412&amp;$C412,生产方式定位!$A$2:$E$38,3,FALSE)+VLOOKUP($E412&amp;$C412,生产方式定位!$F$3:$J$38,3,FALSE),0)</f>
        <v>0</v>
      </c>
      <c r="X412" s="1">
        <f>IFERROR(VLOOKUP($D412&amp;$C412,生产方式定位!$A$2:$E$38,5,FALSE)+VLOOKUP($E412&amp;$C412,生产方式定位!$F$3:$J$38,5,FALSE),"错误")</f>
        <v>0</v>
      </c>
      <c r="Y412" s="27" t="str">
        <f t="shared" si="48"/>
        <v/>
      </c>
      <c r="Z412" s="37" t="str">
        <f t="shared" si="49"/>
        <v/>
      </c>
      <c r="AA412" s="37" t="str">
        <f t="shared" si="50"/>
        <v/>
      </c>
      <c r="AB412" s="28" t="str">
        <f t="shared" si="51"/>
        <v/>
      </c>
      <c r="AC412" s="37"/>
      <c r="AD412" s="38">
        <f t="shared" si="52"/>
        <v>8</v>
      </c>
      <c r="AE412" t="str">
        <f>IFERROR(F412&amp;"*"&amp;ROUND(L412*(G412/$AN412)/VLOOKUP(F412,商品!$A$4:$D$67,4,FALSE),0),"")</f>
        <v/>
      </c>
      <c r="AF412" t="str">
        <f>IFERROR(H412&amp;"*"&amp;ROUND(L412*(I412/$AN412)/VLOOKUP(H412,商品!$A$4:$D$67,4,FALSE),0),"")</f>
        <v/>
      </c>
      <c r="AG412" t="str">
        <f>IFERROR(J412&amp;"*"&amp;ROUND(L412*(K412/$AN412)/VLOOKUP(J412,商品!$A$4:$D$67,4,FALSE),0),"")</f>
        <v/>
      </c>
      <c r="AH412" t="str">
        <f>IFERROR(M412&amp;"*"&amp;ROUND(S412*(N412/$AO412)/VLOOKUP(M412,职业!$A$3:$E$16,4,FALSE),0),"")</f>
        <v/>
      </c>
      <c r="AI412" t="str">
        <f>IFERROR(O412&amp;"*"&amp;ROUND(S412*(P412/$AO412)/VLOOKUP(O412,职业!$A$3:$E$16,4,FALSE),0),"")</f>
        <v/>
      </c>
      <c r="AK412" t="str">
        <f>IFERROR(T412&amp;"*"&amp;ROUND(X412*(U412/$AP412)/VLOOKUP(T412,商品!$A$4:$D$67,4,FALSE),0),"")</f>
        <v/>
      </c>
      <c r="AL412" t="str">
        <f>IFERROR(V412&amp;"*"&amp;ROUND(X412*(W412/$AP412)/VLOOKUP(V412,商品!$A$4:$D$67,4,FALSE),0),"")</f>
        <v/>
      </c>
      <c r="AN412">
        <f t="shared" si="53"/>
        <v>0</v>
      </c>
      <c r="AO412">
        <f t="shared" si="54"/>
        <v>0</v>
      </c>
      <c r="AP412">
        <f t="shared" si="55"/>
        <v>0</v>
      </c>
    </row>
    <row r="413" customHeight="1" spans="1:42">
      <c r="A413" s="5" t="s">
        <v>363</v>
      </c>
      <c r="C413" s="5">
        <v>1</v>
      </c>
      <c r="D413" s="1" t="s">
        <v>240</v>
      </c>
      <c r="E413" s="1" t="s">
        <v>224</v>
      </c>
      <c r="L413" s="1">
        <f>IFERROR(VLOOKUP($D413&amp;$C413,生产方式定位!$A$2:$E$38,2,FALSE)+VLOOKUP($E413&amp;$C413,生产方式定位!$F$3:$J$38,2,FALSE),0)</f>
        <v>0</v>
      </c>
      <c r="S413" s="1">
        <f>IFERROR(VLOOKUP($D413&amp;$C413,生产方式定位!$A$2:$E$38,3,FALSE)+VLOOKUP($E413&amp;$C413,生产方式定位!$F$3:$J$38,3,FALSE),0)</f>
        <v>8000</v>
      </c>
      <c r="X413" s="1">
        <f>IFERROR(VLOOKUP($D413&amp;$C413,生产方式定位!$A$2:$E$38,5,FALSE)+VLOOKUP($E413&amp;$C413,生产方式定位!$F$3:$J$38,5,FALSE),"错误")</f>
        <v>4000</v>
      </c>
      <c r="Y413" s="27" t="str">
        <f t="shared" si="48"/>
        <v/>
      </c>
      <c r="Z413" s="37" t="str">
        <f t="shared" si="49"/>
        <v/>
      </c>
      <c r="AA413" s="37" t="str">
        <f t="shared" si="50"/>
        <v/>
      </c>
      <c r="AB413" s="28">
        <f t="shared" si="51"/>
        <v>0</v>
      </c>
      <c r="AC413" s="37"/>
      <c r="AD413" s="38">
        <f t="shared" si="52"/>
        <v>1</v>
      </c>
      <c r="AE413" t="str">
        <f>IFERROR(F413&amp;"*"&amp;ROUND(L413*(G413/$AN413)/VLOOKUP(F413,商品!$A$4:$D$67,4,FALSE),0),"")</f>
        <v/>
      </c>
      <c r="AF413" t="str">
        <f>IFERROR(H413&amp;"*"&amp;ROUND(L413*(I413/$AN413)/VLOOKUP(H413,商品!$A$4:$D$67,4,FALSE),0),"")</f>
        <v/>
      </c>
      <c r="AG413" t="str">
        <f>IFERROR(J413&amp;"*"&amp;ROUND(L413*(K413/$AN413)/VLOOKUP(J413,商品!$A$4:$D$67,4,FALSE),0),"")</f>
        <v/>
      </c>
      <c r="AH413" t="str">
        <f>IFERROR(M413&amp;"*"&amp;ROUND(S413*(N413/$AO413)/VLOOKUP(M413,职业!$A$3:$E$16,4,FALSE),0),"")</f>
        <v/>
      </c>
      <c r="AI413" t="str">
        <f>IFERROR(O413&amp;"*"&amp;ROUND(S413*(P413/$AO413)/VLOOKUP(O413,职业!$A$3:$E$16,4,FALSE),0),"")</f>
        <v/>
      </c>
      <c r="AK413" t="str">
        <f>IFERROR(T413&amp;"*"&amp;ROUND(X413*(U413/$AP413)/VLOOKUP(T413,商品!$A$4:$D$67,4,FALSE),0),"")</f>
        <v/>
      </c>
      <c r="AL413" t="str">
        <f>IFERROR(V413&amp;"*"&amp;ROUND(X413*(W413/$AP413)/VLOOKUP(V413,商品!$A$4:$D$67,4,FALSE),0),"")</f>
        <v/>
      </c>
      <c r="AN413">
        <f t="shared" si="53"/>
        <v>0</v>
      </c>
      <c r="AO413">
        <f t="shared" si="54"/>
        <v>0</v>
      </c>
      <c r="AP413">
        <f t="shared" si="55"/>
        <v>0</v>
      </c>
    </row>
    <row r="414" customHeight="1" spans="1:42">
      <c r="A414" s="5" t="s">
        <v>363</v>
      </c>
      <c r="C414" s="5">
        <v>2</v>
      </c>
      <c r="D414" s="1" t="s">
        <v>240</v>
      </c>
      <c r="E414" s="1" t="s">
        <v>224</v>
      </c>
      <c r="L414" s="1">
        <f>IFERROR(VLOOKUP($D414&amp;$C414,生产方式定位!$A$2:$E$38,2,FALSE)+VLOOKUP($E414&amp;$C414,生产方式定位!$F$3:$J$38,2,FALSE),0)</f>
        <v>11000</v>
      </c>
      <c r="S414" s="1">
        <f>IFERROR(VLOOKUP($D414&amp;$C414,生产方式定位!$A$2:$E$38,3,FALSE)+VLOOKUP($E414&amp;$C414,生产方式定位!$F$3:$J$38,3,FALSE),0)</f>
        <v>8700</v>
      </c>
      <c r="X414" s="1">
        <f>IFERROR(VLOOKUP($D414&amp;$C414,生产方式定位!$A$2:$E$38,5,FALSE)+VLOOKUP($E414&amp;$C414,生产方式定位!$F$3:$J$38,5,FALSE),"错误")</f>
        <v>9922</v>
      </c>
      <c r="Y414" s="27" t="str">
        <f t="shared" si="48"/>
        <v/>
      </c>
      <c r="Z414" s="37" t="str">
        <f t="shared" si="49"/>
        <v/>
      </c>
      <c r="AA414" s="37" t="str">
        <f t="shared" si="50"/>
        <v/>
      </c>
      <c r="AB414" s="28">
        <f t="shared" si="51"/>
        <v>1.11</v>
      </c>
      <c r="AC414" s="37"/>
      <c r="AD414" s="38">
        <f t="shared" si="52"/>
        <v>2</v>
      </c>
      <c r="AE414" t="str">
        <f>IFERROR(F414&amp;"*"&amp;ROUND(L414*(G414/$AN414)/VLOOKUP(F414,商品!$A$4:$D$67,4,FALSE),0),"")</f>
        <v/>
      </c>
      <c r="AF414" t="str">
        <f>IFERROR(H414&amp;"*"&amp;ROUND(L414*(I414/$AN414)/VLOOKUP(H414,商品!$A$4:$D$67,4,FALSE),0),"")</f>
        <v/>
      </c>
      <c r="AG414" t="str">
        <f>IFERROR(J414&amp;"*"&amp;ROUND(L414*(K414/$AN414)/VLOOKUP(J414,商品!$A$4:$D$67,4,FALSE),0),"")</f>
        <v/>
      </c>
      <c r="AH414" t="str">
        <f>IFERROR(M414&amp;"*"&amp;ROUND(S414*(N414/$AO414)/VLOOKUP(M414,职业!$A$3:$E$16,4,FALSE),0),"")</f>
        <v/>
      </c>
      <c r="AI414" t="str">
        <f>IFERROR(O414&amp;"*"&amp;ROUND(S414*(P414/$AO414)/VLOOKUP(O414,职业!$A$3:$E$16,4,FALSE),0),"")</f>
        <v/>
      </c>
      <c r="AK414" t="str">
        <f>IFERROR(T414&amp;"*"&amp;ROUND(X414*(U414/$AP414)/VLOOKUP(T414,商品!$A$4:$D$67,4,FALSE),0),"")</f>
        <v/>
      </c>
      <c r="AL414" t="str">
        <f>IFERROR(V414&amp;"*"&amp;ROUND(X414*(W414/$AP414)/VLOOKUP(V414,商品!$A$4:$D$67,4,FALSE),0),"")</f>
        <v/>
      </c>
      <c r="AN414">
        <f t="shared" si="53"/>
        <v>0</v>
      </c>
      <c r="AO414">
        <f t="shared" si="54"/>
        <v>0</v>
      </c>
      <c r="AP414">
        <f t="shared" si="55"/>
        <v>0</v>
      </c>
    </row>
    <row r="415" customHeight="1" spans="1:42">
      <c r="A415" s="5" t="s">
        <v>363</v>
      </c>
      <c r="C415" s="5">
        <v>3</v>
      </c>
      <c r="D415" s="1" t="s">
        <v>240</v>
      </c>
      <c r="E415" s="1" t="s">
        <v>224</v>
      </c>
      <c r="L415" s="1">
        <f>IFERROR(VLOOKUP($D415&amp;$C415,生产方式定位!$A$2:$E$38,2,FALSE)+VLOOKUP($E415&amp;$C415,生产方式定位!$F$3:$J$38,2,FALSE),0)</f>
        <v>11000</v>
      </c>
      <c r="S415" s="1">
        <f>IFERROR(VLOOKUP($D415&amp;$C415,生产方式定位!$A$2:$E$38,3,FALSE)+VLOOKUP($E415&amp;$C415,生产方式定位!$F$3:$J$38,3,FALSE),0)</f>
        <v>9400</v>
      </c>
      <c r="X415" s="1">
        <f>IFERROR(VLOOKUP($D415&amp;$C415,生产方式定位!$A$2:$E$38,5,FALSE)+VLOOKUP($E415&amp;$C415,生产方式定位!$F$3:$J$38,5,FALSE),"错误")</f>
        <v>10488</v>
      </c>
      <c r="Y415" s="27" t="str">
        <f t="shared" si="48"/>
        <v/>
      </c>
      <c r="Z415" s="37" t="str">
        <f t="shared" si="49"/>
        <v/>
      </c>
      <c r="AA415" s="37" t="str">
        <f t="shared" si="50"/>
        <v/>
      </c>
      <c r="AB415" s="28">
        <f t="shared" si="51"/>
        <v>1.05</v>
      </c>
      <c r="AC415" s="37"/>
      <c r="AD415" s="38">
        <f t="shared" si="52"/>
        <v>3</v>
      </c>
      <c r="AE415" t="str">
        <f>IFERROR(F415&amp;"*"&amp;ROUND(L415*(G415/$AN415)/VLOOKUP(F415,商品!$A$4:$D$67,4,FALSE),0),"")</f>
        <v/>
      </c>
      <c r="AF415" t="str">
        <f>IFERROR(H415&amp;"*"&amp;ROUND(L415*(I415/$AN415)/VLOOKUP(H415,商品!$A$4:$D$67,4,FALSE),0),"")</f>
        <v/>
      </c>
      <c r="AG415" t="str">
        <f>IFERROR(J415&amp;"*"&amp;ROUND(L415*(K415/$AN415)/VLOOKUP(J415,商品!$A$4:$D$67,4,FALSE),0),"")</f>
        <v/>
      </c>
      <c r="AH415" t="str">
        <f>IFERROR(M415&amp;"*"&amp;ROUND(S415*(N415/$AO415)/VLOOKUP(M415,职业!$A$3:$E$16,4,FALSE),0),"")</f>
        <v/>
      </c>
      <c r="AI415" t="str">
        <f>IFERROR(O415&amp;"*"&amp;ROUND(S415*(P415/$AO415)/VLOOKUP(O415,职业!$A$3:$E$16,4,FALSE),0),"")</f>
        <v/>
      </c>
      <c r="AK415" t="str">
        <f>IFERROR(T415&amp;"*"&amp;ROUND(X415*(U415/$AP415)/VLOOKUP(T415,商品!$A$4:$D$67,4,FALSE),0),"")</f>
        <v/>
      </c>
      <c r="AL415" t="str">
        <f>IFERROR(V415&amp;"*"&amp;ROUND(X415*(W415/$AP415)/VLOOKUP(V415,商品!$A$4:$D$67,4,FALSE),0),"")</f>
        <v/>
      </c>
      <c r="AN415">
        <f t="shared" si="53"/>
        <v>0</v>
      </c>
      <c r="AO415">
        <f t="shared" si="54"/>
        <v>0</v>
      </c>
      <c r="AP415">
        <f t="shared" si="55"/>
        <v>0</v>
      </c>
    </row>
    <row r="416" customHeight="1" spans="1:42">
      <c r="A416" s="5" t="s">
        <v>363</v>
      </c>
      <c r="C416" s="5">
        <v>4</v>
      </c>
      <c r="D416" s="1" t="s">
        <v>240</v>
      </c>
      <c r="E416" s="1" t="s">
        <v>224</v>
      </c>
      <c r="L416" s="1">
        <f>IFERROR(VLOOKUP($D416&amp;$C416,生产方式定位!$A$2:$E$38,2,FALSE)+VLOOKUP($E416&amp;$C416,生产方式定位!$F$3:$J$38,2,FALSE),0)</f>
        <v>11000</v>
      </c>
      <c r="S416" s="1">
        <f>IFERROR(VLOOKUP($D416&amp;$C416,生产方式定位!$A$2:$E$38,3,FALSE)+VLOOKUP($E416&amp;$C416,生产方式定位!$F$3:$J$38,3,FALSE),0)</f>
        <v>10100</v>
      </c>
      <c r="X416" s="1">
        <f>IFERROR(VLOOKUP($D416&amp;$C416,生产方式定位!$A$2:$E$38,5,FALSE)+VLOOKUP($E416&amp;$C416,生产方式定位!$F$3:$J$38,5,FALSE),"错误")</f>
        <v>11198</v>
      </c>
      <c r="Y416" s="27" t="str">
        <f t="shared" si="48"/>
        <v/>
      </c>
      <c r="Z416" s="37" t="str">
        <f t="shared" si="49"/>
        <v/>
      </c>
      <c r="AA416" s="37" t="str">
        <f t="shared" si="50"/>
        <v/>
      </c>
      <c r="AB416" s="28">
        <f t="shared" si="51"/>
        <v>0.98</v>
      </c>
      <c r="AC416" s="37"/>
      <c r="AD416" s="38">
        <f t="shared" si="52"/>
        <v>4</v>
      </c>
      <c r="AE416" t="str">
        <f>IFERROR(F416&amp;"*"&amp;ROUND(L416*(G416/$AN416)/VLOOKUP(F416,商品!$A$4:$D$67,4,FALSE),0),"")</f>
        <v/>
      </c>
      <c r="AF416" t="str">
        <f>IFERROR(H416&amp;"*"&amp;ROUND(L416*(I416/$AN416)/VLOOKUP(H416,商品!$A$4:$D$67,4,FALSE),0),"")</f>
        <v/>
      </c>
      <c r="AG416" t="str">
        <f>IFERROR(J416&amp;"*"&amp;ROUND(L416*(K416/$AN416)/VLOOKUP(J416,商品!$A$4:$D$67,4,FALSE),0),"")</f>
        <v/>
      </c>
      <c r="AH416" t="str">
        <f>IFERROR(M416&amp;"*"&amp;ROUND(S416*(N416/$AO416)/VLOOKUP(M416,职业!$A$3:$E$16,4,FALSE),0),"")</f>
        <v/>
      </c>
      <c r="AI416" t="str">
        <f>IFERROR(O416&amp;"*"&amp;ROUND(S416*(P416/$AO416)/VLOOKUP(O416,职业!$A$3:$E$16,4,FALSE),0),"")</f>
        <v/>
      </c>
      <c r="AK416" t="str">
        <f>IFERROR(T416&amp;"*"&amp;ROUND(X416*(U416/$AP416)/VLOOKUP(T416,商品!$A$4:$D$67,4,FALSE),0),"")</f>
        <v/>
      </c>
      <c r="AL416" t="str">
        <f>IFERROR(V416&amp;"*"&amp;ROUND(X416*(W416/$AP416)/VLOOKUP(V416,商品!$A$4:$D$67,4,FALSE),0),"")</f>
        <v/>
      </c>
      <c r="AN416">
        <f t="shared" si="53"/>
        <v>0</v>
      </c>
      <c r="AO416">
        <f t="shared" si="54"/>
        <v>0</v>
      </c>
      <c r="AP416">
        <f t="shared" si="55"/>
        <v>0</v>
      </c>
    </row>
    <row r="417" customHeight="1" spans="1:42">
      <c r="A417" s="5" t="s">
        <v>363</v>
      </c>
      <c r="C417" s="5">
        <v>5</v>
      </c>
      <c r="D417" s="1" t="s">
        <v>240</v>
      </c>
      <c r="E417" s="1" t="s">
        <v>224</v>
      </c>
      <c r="L417" s="1">
        <f>IFERROR(VLOOKUP($D417&amp;$C417,生产方式定位!$A$2:$E$38,2,FALSE)+VLOOKUP($E417&amp;$C417,生产方式定位!$F$3:$J$38,2,FALSE),0)</f>
        <v>11000</v>
      </c>
      <c r="S417" s="1">
        <f>IFERROR(VLOOKUP($D417&amp;$C417,生产方式定位!$A$2:$E$38,3,FALSE)+VLOOKUP($E417&amp;$C417,生产方式定位!$F$3:$J$38,3,FALSE),0)</f>
        <v>10800</v>
      </c>
      <c r="X417" s="1">
        <f>IFERROR(VLOOKUP($D417&amp;$C417,生产方式定位!$A$2:$E$38,5,FALSE)+VLOOKUP($E417&amp;$C417,生产方式定位!$F$3:$J$38,5,FALSE),"错误")</f>
        <v>12100</v>
      </c>
      <c r="Y417" s="27" t="str">
        <f t="shared" si="48"/>
        <v/>
      </c>
      <c r="Z417" s="37" t="str">
        <f t="shared" si="49"/>
        <v/>
      </c>
      <c r="AA417" s="37" t="str">
        <f t="shared" si="50"/>
        <v/>
      </c>
      <c r="AB417" s="28">
        <f t="shared" si="51"/>
        <v>0.91</v>
      </c>
      <c r="AC417" s="37"/>
      <c r="AD417" s="38">
        <f t="shared" si="52"/>
        <v>5</v>
      </c>
      <c r="AE417" t="str">
        <f>IFERROR(F417&amp;"*"&amp;ROUND(L417*(G417/$AN417)/VLOOKUP(F417,商品!$A$4:$D$67,4,FALSE),0),"")</f>
        <v/>
      </c>
      <c r="AF417" t="str">
        <f>IFERROR(H417&amp;"*"&amp;ROUND(L417*(I417/$AN417)/VLOOKUP(H417,商品!$A$4:$D$67,4,FALSE),0),"")</f>
        <v/>
      </c>
      <c r="AG417" t="str">
        <f>IFERROR(J417&amp;"*"&amp;ROUND(L417*(K417/$AN417)/VLOOKUP(J417,商品!$A$4:$D$67,4,FALSE),0),"")</f>
        <v/>
      </c>
      <c r="AH417" t="str">
        <f>IFERROR(M417&amp;"*"&amp;ROUND(S417*(N417/$AO417)/VLOOKUP(M417,职业!$A$3:$E$16,4,FALSE),0),"")</f>
        <v/>
      </c>
      <c r="AI417" t="str">
        <f>IFERROR(O417&amp;"*"&amp;ROUND(S417*(P417/$AO417)/VLOOKUP(O417,职业!$A$3:$E$16,4,FALSE),0),"")</f>
        <v/>
      </c>
      <c r="AK417" t="str">
        <f>IFERROR(T417&amp;"*"&amp;ROUND(X417*(U417/$AP417)/VLOOKUP(T417,商品!$A$4:$D$67,4,FALSE),0),"")</f>
        <v/>
      </c>
      <c r="AL417" t="str">
        <f>IFERROR(V417&amp;"*"&amp;ROUND(X417*(W417/$AP417)/VLOOKUP(V417,商品!$A$4:$D$67,4,FALSE),0),"")</f>
        <v/>
      </c>
      <c r="AN417">
        <f t="shared" si="53"/>
        <v>0</v>
      </c>
      <c r="AO417">
        <f t="shared" si="54"/>
        <v>0</v>
      </c>
      <c r="AP417">
        <f t="shared" si="55"/>
        <v>0</v>
      </c>
    </row>
    <row r="418" customHeight="1" spans="1:42">
      <c r="A418" s="18" t="s">
        <v>364</v>
      </c>
      <c r="C418" s="18">
        <v>1</v>
      </c>
      <c r="D418" s="1" t="s">
        <v>240</v>
      </c>
      <c r="E418" s="1" t="s">
        <v>226</v>
      </c>
      <c r="L418" s="1">
        <f>IFERROR(VLOOKUP($D418&amp;$C418,生产方式定位!$A$2:$E$38,2,FALSE)+VLOOKUP($E418&amp;$C418,生产方式定位!$F$3:$J$38,2,FALSE),0)</f>
        <v>0</v>
      </c>
      <c r="S418" s="1">
        <f>IFERROR(VLOOKUP($D418&amp;$C418,生产方式定位!$A$2:$E$38,3,FALSE)+VLOOKUP($E418&amp;$C418,生产方式定位!$F$3:$J$38,3,FALSE),0)</f>
        <v>8000</v>
      </c>
      <c r="X418" s="1">
        <f>IFERROR(VLOOKUP($D418&amp;$C418,生产方式定位!$A$2:$E$38,5,FALSE)+VLOOKUP($E418&amp;$C418,生产方式定位!$F$3:$J$38,5,FALSE),"错误")</f>
        <v>4000</v>
      </c>
      <c r="Y418" s="27" t="str">
        <f t="shared" si="48"/>
        <v/>
      </c>
      <c r="Z418" s="37" t="str">
        <f t="shared" si="49"/>
        <v/>
      </c>
      <c r="AA418" s="37" t="str">
        <f t="shared" si="50"/>
        <v/>
      </c>
      <c r="AB418" s="28">
        <f t="shared" si="51"/>
        <v>0</v>
      </c>
      <c r="AC418" s="37"/>
      <c r="AD418" s="38">
        <f t="shared" si="52"/>
        <v>1</v>
      </c>
      <c r="AE418" t="str">
        <f>IFERROR(F418&amp;"*"&amp;ROUND(L418*(G418/$AN418)/VLOOKUP(F418,商品!$A$4:$D$67,4,FALSE),0),"")</f>
        <v/>
      </c>
      <c r="AF418" t="str">
        <f>IFERROR(H418&amp;"*"&amp;ROUND(L418*(I418/$AN418)/VLOOKUP(H418,商品!$A$4:$D$67,4,FALSE),0),"")</f>
        <v/>
      </c>
      <c r="AG418" t="str">
        <f>IFERROR(J418&amp;"*"&amp;ROUND(L418*(K418/$AN418)/VLOOKUP(J418,商品!$A$4:$D$67,4,FALSE),0),"")</f>
        <v/>
      </c>
      <c r="AH418" t="str">
        <f>IFERROR(M418&amp;"*"&amp;ROUND(S418*(N418/$AO418)/VLOOKUP(M418,职业!$A$3:$E$16,4,FALSE),0),"")</f>
        <v/>
      </c>
      <c r="AI418" t="str">
        <f>IFERROR(O418&amp;"*"&amp;ROUND(S418*(P418/$AO418)/VLOOKUP(O418,职业!$A$3:$E$16,4,FALSE),0),"")</f>
        <v/>
      </c>
      <c r="AK418" t="str">
        <f>IFERROR(T418&amp;"*"&amp;ROUND(X418*(U418/$AP418)/VLOOKUP(T418,商品!$A$4:$D$67,4,FALSE),0),"")</f>
        <v/>
      </c>
      <c r="AL418" t="str">
        <f>IFERROR(V418&amp;"*"&amp;ROUND(X418*(W418/$AP418)/VLOOKUP(V418,商品!$A$4:$D$67,4,FALSE),0),"")</f>
        <v/>
      </c>
      <c r="AN418">
        <f t="shared" si="53"/>
        <v>0</v>
      </c>
      <c r="AO418">
        <f t="shared" si="54"/>
        <v>0</v>
      </c>
      <c r="AP418">
        <f t="shared" si="55"/>
        <v>0</v>
      </c>
    </row>
    <row r="419" customHeight="1" spans="1:42">
      <c r="A419" s="18" t="s">
        <v>364</v>
      </c>
      <c r="C419" s="18">
        <v>2</v>
      </c>
      <c r="D419" s="1" t="s">
        <v>240</v>
      </c>
      <c r="E419" s="1" t="s">
        <v>226</v>
      </c>
      <c r="L419" s="1">
        <f>IFERROR(VLOOKUP($D419&amp;$C419,生产方式定位!$A$2:$E$38,2,FALSE)+VLOOKUP($E419&amp;$C419,生产方式定位!$F$3:$J$38,2,FALSE),0)</f>
        <v>12000</v>
      </c>
      <c r="S419" s="1">
        <f>IFERROR(VLOOKUP($D419&amp;$C419,生产方式定位!$A$2:$E$38,3,FALSE)+VLOOKUP($E419&amp;$C419,生产方式定位!$F$3:$J$38,3,FALSE),0)</f>
        <v>8300</v>
      </c>
      <c r="X419" s="1">
        <f>IFERROR(VLOOKUP($D419&amp;$C419,生产方式定位!$A$2:$E$38,5,FALSE)+VLOOKUP($E419&amp;$C419,生产方式定位!$F$3:$J$38,5,FALSE),"错误")</f>
        <v>10240</v>
      </c>
      <c r="Y419" s="27" t="str">
        <f t="shared" si="48"/>
        <v/>
      </c>
      <c r="Z419" s="37" t="str">
        <f t="shared" si="49"/>
        <v/>
      </c>
      <c r="AA419" s="37" t="str">
        <f t="shared" si="50"/>
        <v/>
      </c>
      <c r="AB419" s="28">
        <f t="shared" si="51"/>
        <v>1.17</v>
      </c>
      <c r="AC419" s="37"/>
      <c r="AD419" s="38">
        <f t="shared" si="52"/>
        <v>2</v>
      </c>
      <c r="AE419" t="str">
        <f>IFERROR(F419&amp;"*"&amp;ROUND(L419*(G419/$AN419)/VLOOKUP(F419,商品!$A$4:$D$67,4,FALSE),0),"")</f>
        <v/>
      </c>
      <c r="AF419" t="str">
        <f>IFERROR(H419&amp;"*"&amp;ROUND(L419*(I419/$AN419)/VLOOKUP(H419,商品!$A$4:$D$67,4,FALSE),0),"")</f>
        <v/>
      </c>
      <c r="AG419" t="str">
        <f>IFERROR(J419&amp;"*"&amp;ROUND(L419*(K419/$AN419)/VLOOKUP(J419,商品!$A$4:$D$67,4,FALSE),0),"")</f>
        <v/>
      </c>
      <c r="AH419" t="str">
        <f>IFERROR(M419&amp;"*"&amp;ROUND(S419*(N419/$AO419)/VLOOKUP(M419,职业!$A$3:$E$16,4,FALSE),0),"")</f>
        <v/>
      </c>
      <c r="AI419" t="str">
        <f>IFERROR(O419&amp;"*"&amp;ROUND(S419*(P419/$AO419)/VLOOKUP(O419,职业!$A$3:$E$16,4,FALSE),0),"")</f>
        <v/>
      </c>
      <c r="AK419" t="str">
        <f>IFERROR(T419&amp;"*"&amp;ROUND(X419*(U419/$AP419)/VLOOKUP(T419,商品!$A$4:$D$67,4,FALSE),0),"")</f>
        <v/>
      </c>
      <c r="AL419" t="str">
        <f>IFERROR(V419&amp;"*"&amp;ROUND(X419*(W419/$AP419)/VLOOKUP(V419,商品!$A$4:$D$67,4,FALSE),0),"")</f>
        <v/>
      </c>
      <c r="AN419">
        <f t="shared" si="53"/>
        <v>0</v>
      </c>
      <c r="AO419">
        <f t="shared" si="54"/>
        <v>0</v>
      </c>
      <c r="AP419">
        <f t="shared" si="55"/>
        <v>0</v>
      </c>
    </row>
    <row r="420" customHeight="1" spans="1:42">
      <c r="A420" s="18" t="s">
        <v>364</v>
      </c>
      <c r="C420" s="18">
        <v>3</v>
      </c>
      <c r="D420" s="1" t="s">
        <v>240</v>
      </c>
      <c r="E420" s="1" t="s">
        <v>226</v>
      </c>
      <c r="L420" s="1">
        <f>IFERROR(VLOOKUP($D420&amp;$C420,生产方式定位!$A$2:$E$38,2,FALSE)+VLOOKUP($E420&amp;$C420,生产方式定位!$F$3:$J$38,2,FALSE),0)</f>
        <v>12000</v>
      </c>
      <c r="S420" s="1">
        <f>IFERROR(VLOOKUP($D420&amp;$C420,生产方式定位!$A$2:$E$38,3,FALSE)+VLOOKUP($E420&amp;$C420,生产方式定位!$F$3:$J$38,3,FALSE),0)</f>
        <v>8600</v>
      </c>
      <c r="X420" s="1">
        <f>IFERROR(VLOOKUP($D420&amp;$C420,生产方式定位!$A$2:$E$38,5,FALSE)+VLOOKUP($E420&amp;$C420,生产方式定位!$F$3:$J$38,5,FALSE),"错误")</f>
        <v>10560</v>
      </c>
      <c r="Y420" s="27" t="str">
        <f t="shared" si="48"/>
        <v/>
      </c>
      <c r="Z420" s="37" t="str">
        <f t="shared" si="49"/>
        <v/>
      </c>
      <c r="AA420" s="37" t="str">
        <f t="shared" si="50"/>
        <v/>
      </c>
      <c r="AB420" s="28">
        <f t="shared" si="51"/>
        <v>1.14</v>
      </c>
      <c r="AC420" s="37"/>
      <c r="AD420" s="38">
        <f t="shared" si="52"/>
        <v>3</v>
      </c>
      <c r="AE420" t="str">
        <f>IFERROR(F420&amp;"*"&amp;ROUND(L420*(G420/$AN420)/VLOOKUP(F420,商品!$A$4:$D$67,4,FALSE),0),"")</f>
        <v/>
      </c>
      <c r="AF420" t="str">
        <f>IFERROR(H420&amp;"*"&amp;ROUND(L420*(I420/$AN420)/VLOOKUP(H420,商品!$A$4:$D$67,4,FALSE),0),"")</f>
        <v/>
      </c>
      <c r="AG420" t="str">
        <f>IFERROR(J420&amp;"*"&amp;ROUND(L420*(K420/$AN420)/VLOOKUP(J420,商品!$A$4:$D$67,4,FALSE),0),"")</f>
        <v/>
      </c>
      <c r="AH420" t="str">
        <f>IFERROR(M420&amp;"*"&amp;ROUND(S420*(N420/$AO420)/VLOOKUP(M420,职业!$A$3:$E$16,4,FALSE),0),"")</f>
        <v/>
      </c>
      <c r="AI420" t="str">
        <f>IFERROR(O420&amp;"*"&amp;ROUND(S420*(P420/$AO420)/VLOOKUP(O420,职业!$A$3:$E$16,4,FALSE),0),"")</f>
        <v/>
      </c>
      <c r="AK420" t="str">
        <f>IFERROR(T420&amp;"*"&amp;ROUND(X420*(U420/$AP420)/VLOOKUP(T420,商品!$A$4:$D$67,4,FALSE),0),"")</f>
        <v/>
      </c>
      <c r="AL420" t="str">
        <f>IFERROR(V420&amp;"*"&amp;ROUND(X420*(W420/$AP420)/VLOOKUP(V420,商品!$A$4:$D$67,4,FALSE),0),"")</f>
        <v/>
      </c>
      <c r="AN420">
        <f t="shared" si="53"/>
        <v>0</v>
      </c>
      <c r="AO420">
        <f t="shared" si="54"/>
        <v>0</v>
      </c>
      <c r="AP420">
        <f t="shared" si="55"/>
        <v>0</v>
      </c>
    </row>
    <row r="421" customHeight="1" spans="1:42">
      <c r="A421" s="18" t="s">
        <v>364</v>
      </c>
      <c r="C421" s="18">
        <v>4</v>
      </c>
      <c r="D421" s="1" t="s">
        <v>240</v>
      </c>
      <c r="E421" s="1" t="s">
        <v>226</v>
      </c>
      <c r="L421" s="1">
        <f>IFERROR(VLOOKUP($D421&amp;$C421,生产方式定位!$A$2:$E$38,2,FALSE)+VLOOKUP($E421&amp;$C421,生产方式定位!$F$3:$J$38,2,FALSE),0)</f>
        <v>12000</v>
      </c>
      <c r="S421" s="1">
        <f>IFERROR(VLOOKUP($D421&amp;$C421,生产方式定位!$A$2:$E$38,3,FALSE)+VLOOKUP($E421&amp;$C421,生产方式定位!$F$3:$J$38,3,FALSE),0)</f>
        <v>8900</v>
      </c>
      <c r="X421" s="1">
        <f>IFERROR(VLOOKUP($D421&amp;$C421,生产方式定位!$A$2:$E$38,5,FALSE)+VLOOKUP($E421&amp;$C421,生产方式定位!$F$3:$J$38,5,FALSE),"错误")</f>
        <v>10960</v>
      </c>
      <c r="Y421" s="27" t="str">
        <f t="shared" si="48"/>
        <v/>
      </c>
      <c r="Z421" s="37" t="str">
        <f t="shared" si="49"/>
        <v/>
      </c>
      <c r="AA421" s="37" t="str">
        <f t="shared" si="50"/>
        <v/>
      </c>
      <c r="AB421" s="28">
        <f t="shared" si="51"/>
        <v>1.09</v>
      </c>
      <c r="AC421" s="37"/>
      <c r="AD421" s="38">
        <f t="shared" si="52"/>
        <v>4</v>
      </c>
      <c r="AE421" t="str">
        <f>IFERROR(F421&amp;"*"&amp;ROUND(L421*(G421/$AN421)/VLOOKUP(F421,商品!$A$4:$D$67,4,FALSE),0),"")</f>
        <v/>
      </c>
      <c r="AF421" t="str">
        <f>IFERROR(H421&amp;"*"&amp;ROUND(L421*(I421/$AN421)/VLOOKUP(H421,商品!$A$4:$D$67,4,FALSE),0),"")</f>
        <v/>
      </c>
      <c r="AG421" t="str">
        <f>IFERROR(J421&amp;"*"&amp;ROUND(L421*(K421/$AN421)/VLOOKUP(J421,商品!$A$4:$D$67,4,FALSE),0),"")</f>
        <v/>
      </c>
      <c r="AH421" t="str">
        <f>IFERROR(M421&amp;"*"&amp;ROUND(S421*(N421/$AO421)/VLOOKUP(M421,职业!$A$3:$E$16,4,FALSE),0),"")</f>
        <v/>
      </c>
      <c r="AI421" t="str">
        <f>IFERROR(O421&amp;"*"&amp;ROUND(S421*(P421/$AO421)/VLOOKUP(O421,职业!$A$3:$E$16,4,FALSE),0),"")</f>
        <v/>
      </c>
      <c r="AK421" t="str">
        <f>IFERROR(T421&amp;"*"&amp;ROUND(X421*(U421/$AP421)/VLOOKUP(T421,商品!$A$4:$D$67,4,FALSE),0),"")</f>
        <v/>
      </c>
      <c r="AL421" t="str">
        <f>IFERROR(V421&amp;"*"&amp;ROUND(X421*(W421/$AP421)/VLOOKUP(V421,商品!$A$4:$D$67,4,FALSE),0),"")</f>
        <v/>
      </c>
      <c r="AN421">
        <f t="shared" si="53"/>
        <v>0</v>
      </c>
      <c r="AO421">
        <f t="shared" si="54"/>
        <v>0</v>
      </c>
      <c r="AP421">
        <f t="shared" si="55"/>
        <v>0</v>
      </c>
    </row>
    <row r="422" customHeight="1" spans="1:42">
      <c r="A422" s="18" t="s">
        <v>364</v>
      </c>
      <c r="C422" s="18">
        <v>5</v>
      </c>
      <c r="D422" s="1" t="s">
        <v>240</v>
      </c>
      <c r="E422" s="1" t="s">
        <v>226</v>
      </c>
      <c r="L422" s="1">
        <f>IFERROR(VLOOKUP($D422&amp;$C422,生产方式定位!$A$2:$E$38,2,FALSE)+VLOOKUP($E422&amp;$C422,生产方式定位!$F$3:$J$38,2,FALSE),0)</f>
        <v>12000</v>
      </c>
      <c r="S422" s="1">
        <f>IFERROR(VLOOKUP($D422&amp;$C422,生产方式定位!$A$2:$E$38,3,FALSE)+VLOOKUP($E422&amp;$C422,生产方式定位!$F$3:$J$38,3,FALSE),0)</f>
        <v>9200</v>
      </c>
      <c r="X422" s="1">
        <f>IFERROR(VLOOKUP($D422&amp;$C422,生产方式定位!$A$2:$E$38,5,FALSE)+VLOOKUP($E422&amp;$C422,生产方式定位!$F$3:$J$38,5,FALSE),"错误")</f>
        <v>11440</v>
      </c>
      <c r="Y422" s="27" t="str">
        <f t="shared" si="48"/>
        <v/>
      </c>
      <c r="Z422" s="37" t="str">
        <f t="shared" si="49"/>
        <v/>
      </c>
      <c r="AA422" s="37" t="str">
        <f t="shared" si="50"/>
        <v/>
      </c>
      <c r="AB422" s="28">
        <f t="shared" si="51"/>
        <v>1.05</v>
      </c>
      <c r="AC422" s="37"/>
      <c r="AD422" s="38">
        <f t="shared" si="52"/>
        <v>5</v>
      </c>
      <c r="AE422" t="str">
        <f>IFERROR(F422&amp;"*"&amp;ROUND(L422*(G422/$AN422)/VLOOKUP(F422,商品!$A$4:$D$67,4,FALSE),0),"")</f>
        <v/>
      </c>
      <c r="AF422" t="str">
        <f>IFERROR(H422&amp;"*"&amp;ROUND(L422*(I422/$AN422)/VLOOKUP(H422,商品!$A$4:$D$67,4,FALSE),0),"")</f>
        <v/>
      </c>
      <c r="AG422" t="str">
        <f>IFERROR(J422&amp;"*"&amp;ROUND(L422*(K422/$AN422)/VLOOKUP(J422,商品!$A$4:$D$67,4,FALSE),0),"")</f>
        <v/>
      </c>
      <c r="AH422" t="str">
        <f>IFERROR(M422&amp;"*"&amp;ROUND(S422*(N422/$AO422)/VLOOKUP(M422,职业!$A$3:$E$16,4,FALSE),0),"")</f>
        <v/>
      </c>
      <c r="AI422" t="str">
        <f>IFERROR(O422&amp;"*"&amp;ROUND(S422*(P422/$AO422)/VLOOKUP(O422,职业!$A$3:$E$16,4,FALSE),0),"")</f>
        <v/>
      </c>
      <c r="AK422" t="str">
        <f>IFERROR(T422&amp;"*"&amp;ROUND(X422*(U422/$AP422)/VLOOKUP(T422,商品!$A$4:$D$67,4,FALSE),0),"")</f>
        <v/>
      </c>
      <c r="AL422" t="str">
        <f>IFERROR(V422&amp;"*"&amp;ROUND(X422*(W422/$AP422)/VLOOKUP(V422,商品!$A$4:$D$67,4,FALSE),0),"")</f>
        <v/>
      </c>
      <c r="AN422">
        <f t="shared" si="53"/>
        <v>0</v>
      </c>
      <c r="AO422">
        <f t="shared" si="54"/>
        <v>0</v>
      </c>
      <c r="AP422">
        <f t="shared" si="55"/>
        <v>0</v>
      </c>
    </row>
    <row r="423" customHeight="1" spans="1:42">
      <c r="A423" s="5" t="s">
        <v>364</v>
      </c>
      <c r="C423" s="5">
        <v>1</v>
      </c>
      <c r="D423" s="1" t="s">
        <v>240</v>
      </c>
      <c r="E423" s="1" t="s">
        <v>226</v>
      </c>
      <c r="L423" s="1">
        <f>IFERROR(VLOOKUP($D423&amp;$C423,生产方式定位!$A$2:$E$38,2,FALSE)+VLOOKUP($E423&amp;$C423,生产方式定位!$F$3:$J$38,2,FALSE),0)</f>
        <v>0</v>
      </c>
      <c r="S423" s="1">
        <f>IFERROR(VLOOKUP($D423&amp;$C423,生产方式定位!$A$2:$E$38,3,FALSE)+VLOOKUP($E423&amp;$C423,生产方式定位!$F$3:$J$38,3,FALSE),0)</f>
        <v>8000</v>
      </c>
      <c r="X423" s="1">
        <f>IFERROR(VLOOKUP($D423&amp;$C423,生产方式定位!$A$2:$E$38,5,FALSE)+VLOOKUP($E423&amp;$C423,生产方式定位!$F$3:$J$38,5,FALSE),"错误")</f>
        <v>4000</v>
      </c>
      <c r="Y423" s="27" t="str">
        <f t="shared" si="48"/>
        <v/>
      </c>
      <c r="Z423" s="37" t="str">
        <f t="shared" si="49"/>
        <v/>
      </c>
      <c r="AA423" s="37" t="str">
        <f t="shared" si="50"/>
        <v/>
      </c>
      <c r="AB423" s="28">
        <f t="shared" si="51"/>
        <v>0</v>
      </c>
      <c r="AC423" s="37"/>
      <c r="AD423" s="38">
        <f t="shared" si="52"/>
        <v>1</v>
      </c>
      <c r="AE423" t="str">
        <f>IFERROR(F423&amp;"*"&amp;ROUND(L423*(G423/$AN423)/VLOOKUP(F423,商品!$A$4:$D$67,4,FALSE),0),"")</f>
        <v/>
      </c>
      <c r="AF423" t="str">
        <f>IFERROR(H423&amp;"*"&amp;ROUND(L423*(I423/$AN423)/VLOOKUP(H423,商品!$A$4:$D$67,4,FALSE),0),"")</f>
        <v/>
      </c>
      <c r="AG423" t="str">
        <f>IFERROR(J423&amp;"*"&amp;ROUND(L423*(K423/$AN423)/VLOOKUP(J423,商品!$A$4:$D$67,4,FALSE),0),"")</f>
        <v/>
      </c>
      <c r="AH423" t="str">
        <f>IFERROR(M423&amp;"*"&amp;ROUND(S423*(N423/$AO423)/VLOOKUP(M423,职业!$A$3:$E$16,4,FALSE),0),"")</f>
        <v/>
      </c>
      <c r="AI423" t="str">
        <f>IFERROR(O423&amp;"*"&amp;ROUND(S423*(P423/$AO423)/VLOOKUP(O423,职业!$A$3:$E$16,4,FALSE),0),"")</f>
        <v/>
      </c>
      <c r="AK423" t="str">
        <f>IFERROR(T423&amp;"*"&amp;ROUND(X423*(U423/$AP423)/VLOOKUP(T423,商品!$A$4:$D$67,4,FALSE),0),"")</f>
        <v/>
      </c>
      <c r="AL423" t="str">
        <f>IFERROR(V423&amp;"*"&amp;ROUND(X423*(W423/$AP423)/VLOOKUP(V423,商品!$A$4:$D$67,4,FALSE),0),"")</f>
        <v/>
      </c>
      <c r="AN423">
        <f t="shared" si="53"/>
        <v>0</v>
      </c>
      <c r="AO423">
        <f t="shared" si="54"/>
        <v>0</v>
      </c>
      <c r="AP423">
        <f t="shared" si="55"/>
        <v>0</v>
      </c>
    </row>
    <row r="424" customHeight="1" spans="1:42">
      <c r="A424" s="5" t="s">
        <v>364</v>
      </c>
      <c r="C424" s="5">
        <v>2</v>
      </c>
      <c r="D424" s="1" t="s">
        <v>240</v>
      </c>
      <c r="E424" s="1" t="s">
        <v>226</v>
      </c>
      <c r="L424" s="1">
        <f>IFERROR(VLOOKUP($D424&amp;$C424,生产方式定位!$A$2:$E$38,2,FALSE)+VLOOKUP($E424&amp;$C424,生产方式定位!$F$3:$J$38,2,FALSE),0)</f>
        <v>12000</v>
      </c>
      <c r="S424" s="1">
        <f>IFERROR(VLOOKUP($D424&amp;$C424,生产方式定位!$A$2:$E$38,3,FALSE)+VLOOKUP($E424&amp;$C424,生产方式定位!$F$3:$J$38,3,FALSE),0)</f>
        <v>8300</v>
      </c>
      <c r="X424" s="1">
        <f>IFERROR(VLOOKUP($D424&amp;$C424,生产方式定位!$A$2:$E$38,5,FALSE)+VLOOKUP($E424&amp;$C424,生产方式定位!$F$3:$J$38,5,FALSE),"错误")</f>
        <v>10240</v>
      </c>
      <c r="Y424" s="27" t="str">
        <f t="shared" si="48"/>
        <v/>
      </c>
      <c r="Z424" s="37" t="str">
        <f t="shared" si="49"/>
        <v/>
      </c>
      <c r="AA424" s="37" t="str">
        <f t="shared" si="50"/>
        <v/>
      </c>
      <c r="AB424" s="28">
        <f t="shared" si="51"/>
        <v>1.17</v>
      </c>
      <c r="AC424" s="37"/>
      <c r="AD424" s="38">
        <f t="shared" si="52"/>
        <v>2</v>
      </c>
      <c r="AE424" t="str">
        <f>IFERROR(F424&amp;"*"&amp;ROUND(L424*(G424/$AN424)/VLOOKUP(F424,商品!$A$4:$D$67,4,FALSE),0),"")</f>
        <v/>
      </c>
      <c r="AF424" t="str">
        <f>IFERROR(H424&amp;"*"&amp;ROUND(L424*(I424/$AN424)/VLOOKUP(H424,商品!$A$4:$D$67,4,FALSE),0),"")</f>
        <v/>
      </c>
      <c r="AG424" t="str">
        <f>IFERROR(J424&amp;"*"&amp;ROUND(L424*(K424/$AN424)/VLOOKUP(J424,商品!$A$4:$D$67,4,FALSE),0),"")</f>
        <v/>
      </c>
      <c r="AH424" t="str">
        <f>IFERROR(M424&amp;"*"&amp;ROUND(S424*(N424/$AO424)/VLOOKUP(M424,职业!$A$3:$E$16,4,FALSE),0),"")</f>
        <v/>
      </c>
      <c r="AI424" t="str">
        <f>IFERROR(O424&amp;"*"&amp;ROUND(S424*(P424/$AO424)/VLOOKUP(O424,职业!$A$3:$E$16,4,FALSE),0),"")</f>
        <v/>
      </c>
      <c r="AK424" t="str">
        <f>IFERROR(T424&amp;"*"&amp;ROUND(X424*(U424/$AP424)/VLOOKUP(T424,商品!$A$4:$D$67,4,FALSE),0),"")</f>
        <v/>
      </c>
      <c r="AL424" t="str">
        <f>IFERROR(V424&amp;"*"&amp;ROUND(X424*(W424/$AP424)/VLOOKUP(V424,商品!$A$4:$D$67,4,FALSE),0),"")</f>
        <v/>
      </c>
      <c r="AN424">
        <f t="shared" si="53"/>
        <v>0</v>
      </c>
      <c r="AO424">
        <f t="shared" si="54"/>
        <v>0</v>
      </c>
      <c r="AP424">
        <f t="shared" si="55"/>
        <v>0</v>
      </c>
    </row>
    <row r="425" customHeight="1" spans="1:42">
      <c r="A425" s="5" t="s">
        <v>364</v>
      </c>
      <c r="C425" s="5">
        <v>3</v>
      </c>
      <c r="D425" s="1" t="s">
        <v>240</v>
      </c>
      <c r="E425" s="1" t="s">
        <v>226</v>
      </c>
      <c r="L425" s="1">
        <f>IFERROR(VLOOKUP($D425&amp;$C425,生产方式定位!$A$2:$E$38,2,FALSE)+VLOOKUP($E425&amp;$C425,生产方式定位!$F$3:$J$38,2,FALSE),0)</f>
        <v>12000</v>
      </c>
      <c r="S425" s="1">
        <f>IFERROR(VLOOKUP($D425&amp;$C425,生产方式定位!$A$2:$E$38,3,FALSE)+VLOOKUP($E425&amp;$C425,生产方式定位!$F$3:$J$38,3,FALSE),0)</f>
        <v>8600</v>
      </c>
      <c r="X425" s="1">
        <f>IFERROR(VLOOKUP($D425&amp;$C425,生产方式定位!$A$2:$E$38,5,FALSE)+VLOOKUP($E425&amp;$C425,生产方式定位!$F$3:$J$38,5,FALSE),"错误")</f>
        <v>10560</v>
      </c>
      <c r="Y425" s="27" t="str">
        <f t="shared" si="48"/>
        <v/>
      </c>
      <c r="Z425" s="37" t="str">
        <f t="shared" si="49"/>
        <v/>
      </c>
      <c r="AA425" s="37" t="str">
        <f t="shared" si="50"/>
        <v/>
      </c>
      <c r="AB425" s="28">
        <f t="shared" si="51"/>
        <v>1.14</v>
      </c>
      <c r="AC425" s="37"/>
      <c r="AD425" s="38">
        <f t="shared" si="52"/>
        <v>3</v>
      </c>
      <c r="AE425" t="str">
        <f>IFERROR(F425&amp;"*"&amp;ROUND(L425*(G425/$AN425)/VLOOKUP(F425,商品!$A$4:$D$67,4,FALSE),0),"")</f>
        <v/>
      </c>
      <c r="AF425" t="str">
        <f>IFERROR(H425&amp;"*"&amp;ROUND(L425*(I425/$AN425)/VLOOKUP(H425,商品!$A$4:$D$67,4,FALSE),0),"")</f>
        <v/>
      </c>
      <c r="AG425" t="str">
        <f>IFERROR(J425&amp;"*"&amp;ROUND(L425*(K425/$AN425)/VLOOKUP(J425,商品!$A$4:$D$67,4,FALSE),0),"")</f>
        <v/>
      </c>
      <c r="AH425" t="str">
        <f>IFERROR(M425&amp;"*"&amp;ROUND(S425*(N425/$AO425)/VLOOKUP(M425,职业!$A$3:$E$16,4,FALSE),0),"")</f>
        <v/>
      </c>
      <c r="AI425" t="str">
        <f>IFERROR(O425&amp;"*"&amp;ROUND(S425*(P425/$AO425)/VLOOKUP(O425,职业!$A$3:$E$16,4,FALSE),0),"")</f>
        <v/>
      </c>
      <c r="AK425" t="str">
        <f>IFERROR(T425&amp;"*"&amp;ROUND(X425*(U425/$AP425)/VLOOKUP(T425,商品!$A$4:$D$67,4,FALSE),0),"")</f>
        <v/>
      </c>
      <c r="AL425" t="str">
        <f>IFERROR(V425&amp;"*"&amp;ROUND(X425*(W425/$AP425)/VLOOKUP(V425,商品!$A$4:$D$67,4,FALSE),0),"")</f>
        <v/>
      </c>
      <c r="AN425">
        <f t="shared" si="53"/>
        <v>0</v>
      </c>
      <c r="AO425">
        <f t="shared" si="54"/>
        <v>0</v>
      </c>
      <c r="AP425">
        <f t="shared" si="55"/>
        <v>0</v>
      </c>
    </row>
    <row r="426" customHeight="1" spans="1:42">
      <c r="A426" s="5" t="s">
        <v>364</v>
      </c>
      <c r="C426" s="5">
        <v>4</v>
      </c>
      <c r="D426" s="1" t="s">
        <v>240</v>
      </c>
      <c r="E426" s="1" t="s">
        <v>226</v>
      </c>
      <c r="L426" s="1">
        <f>IFERROR(VLOOKUP($D426&amp;$C426,生产方式定位!$A$2:$E$38,2,FALSE)+VLOOKUP($E426&amp;$C426,生产方式定位!$F$3:$J$38,2,FALSE),0)</f>
        <v>12000</v>
      </c>
      <c r="S426" s="1">
        <f>IFERROR(VLOOKUP($D426&amp;$C426,生产方式定位!$A$2:$E$38,3,FALSE)+VLOOKUP($E426&amp;$C426,生产方式定位!$F$3:$J$38,3,FALSE),0)</f>
        <v>8900</v>
      </c>
      <c r="X426" s="1">
        <f>IFERROR(VLOOKUP($D426&amp;$C426,生产方式定位!$A$2:$E$38,5,FALSE)+VLOOKUP($E426&amp;$C426,生产方式定位!$F$3:$J$38,5,FALSE),"错误")</f>
        <v>10960</v>
      </c>
      <c r="Y426" s="27" t="str">
        <f t="shared" si="48"/>
        <v/>
      </c>
      <c r="Z426" s="37" t="str">
        <f t="shared" si="49"/>
        <v/>
      </c>
      <c r="AA426" s="37" t="str">
        <f t="shared" si="50"/>
        <v/>
      </c>
      <c r="AB426" s="28">
        <f t="shared" si="51"/>
        <v>1.09</v>
      </c>
      <c r="AC426" s="37"/>
      <c r="AD426" s="38">
        <f t="shared" si="52"/>
        <v>4</v>
      </c>
      <c r="AE426" t="str">
        <f>IFERROR(F426&amp;"*"&amp;ROUND(L426*(G426/$AN426)/VLOOKUP(F426,商品!$A$4:$D$67,4,FALSE),0),"")</f>
        <v/>
      </c>
      <c r="AF426" t="str">
        <f>IFERROR(H426&amp;"*"&amp;ROUND(L426*(I426/$AN426)/VLOOKUP(H426,商品!$A$4:$D$67,4,FALSE),0),"")</f>
        <v/>
      </c>
      <c r="AG426" t="str">
        <f>IFERROR(J426&amp;"*"&amp;ROUND(L426*(K426/$AN426)/VLOOKUP(J426,商品!$A$4:$D$67,4,FALSE),0),"")</f>
        <v/>
      </c>
      <c r="AH426" t="str">
        <f>IFERROR(M426&amp;"*"&amp;ROUND(S426*(N426/$AO426)/VLOOKUP(M426,职业!$A$3:$E$16,4,FALSE),0),"")</f>
        <v/>
      </c>
      <c r="AI426" t="str">
        <f>IFERROR(O426&amp;"*"&amp;ROUND(S426*(P426/$AO426)/VLOOKUP(O426,职业!$A$3:$E$16,4,FALSE),0),"")</f>
        <v/>
      </c>
      <c r="AK426" t="str">
        <f>IFERROR(T426&amp;"*"&amp;ROUND(X426*(U426/$AP426)/VLOOKUP(T426,商品!$A$4:$D$67,4,FALSE),0),"")</f>
        <v/>
      </c>
      <c r="AL426" t="str">
        <f>IFERROR(V426&amp;"*"&amp;ROUND(X426*(W426/$AP426)/VLOOKUP(V426,商品!$A$4:$D$67,4,FALSE),0),"")</f>
        <v/>
      </c>
      <c r="AN426">
        <f t="shared" si="53"/>
        <v>0</v>
      </c>
      <c r="AO426">
        <f t="shared" si="54"/>
        <v>0</v>
      </c>
      <c r="AP426">
        <f t="shared" si="55"/>
        <v>0</v>
      </c>
    </row>
    <row r="427" customHeight="1" spans="1:42">
      <c r="A427" s="5" t="s">
        <v>364</v>
      </c>
      <c r="C427" s="5">
        <v>5</v>
      </c>
      <c r="D427" s="1" t="s">
        <v>240</v>
      </c>
      <c r="E427" s="1" t="s">
        <v>226</v>
      </c>
      <c r="L427" s="1">
        <f>IFERROR(VLOOKUP($D427&amp;$C427,生产方式定位!$A$2:$E$38,2,FALSE)+VLOOKUP($E427&amp;$C427,生产方式定位!$F$3:$J$38,2,FALSE),0)</f>
        <v>12000</v>
      </c>
      <c r="S427" s="1">
        <f>IFERROR(VLOOKUP($D427&amp;$C427,生产方式定位!$A$2:$E$38,3,FALSE)+VLOOKUP($E427&amp;$C427,生产方式定位!$F$3:$J$38,3,FALSE),0)</f>
        <v>9200</v>
      </c>
      <c r="X427" s="1">
        <f>IFERROR(VLOOKUP($D427&amp;$C427,生产方式定位!$A$2:$E$38,5,FALSE)+VLOOKUP($E427&amp;$C427,生产方式定位!$F$3:$J$38,5,FALSE),"错误")</f>
        <v>11440</v>
      </c>
      <c r="Y427" s="27" t="str">
        <f t="shared" si="48"/>
        <v/>
      </c>
      <c r="Z427" s="37" t="str">
        <f t="shared" si="49"/>
        <v/>
      </c>
      <c r="AA427" s="37" t="str">
        <f t="shared" si="50"/>
        <v/>
      </c>
      <c r="AB427" s="28">
        <f t="shared" si="51"/>
        <v>1.05</v>
      </c>
      <c r="AC427" s="37"/>
      <c r="AD427" s="38">
        <f t="shared" si="52"/>
        <v>5</v>
      </c>
      <c r="AE427" t="str">
        <f>IFERROR(F427&amp;"*"&amp;ROUND(L427*(G427/$AN427)/VLOOKUP(F427,商品!$A$4:$D$67,4,FALSE),0),"")</f>
        <v/>
      </c>
      <c r="AF427" t="str">
        <f>IFERROR(H427&amp;"*"&amp;ROUND(L427*(I427/$AN427)/VLOOKUP(H427,商品!$A$4:$D$67,4,FALSE),0),"")</f>
        <v/>
      </c>
      <c r="AG427" t="str">
        <f>IFERROR(J427&amp;"*"&amp;ROUND(L427*(K427/$AN427)/VLOOKUP(J427,商品!$A$4:$D$67,4,FALSE),0),"")</f>
        <v/>
      </c>
      <c r="AH427" t="str">
        <f>IFERROR(M427&amp;"*"&amp;ROUND(S427*(N427/$AO427)/VLOOKUP(M427,职业!$A$3:$E$16,4,FALSE),0),"")</f>
        <v/>
      </c>
      <c r="AI427" t="str">
        <f>IFERROR(O427&amp;"*"&amp;ROUND(S427*(P427/$AO427)/VLOOKUP(O427,职业!$A$3:$E$16,4,FALSE),0),"")</f>
        <v/>
      </c>
      <c r="AK427" t="str">
        <f>IFERROR(T427&amp;"*"&amp;ROUND(X427*(U427/$AP427)/VLOOKUP(T427,商品!$A$4:$D$67,4,FALSE),0),"")</f>
        <v/>
      </c>
      <c r="AL427" t="str">
        <f>IFERROR(V427&amp;"*"&amp;ROUND(X427*(W427/$AP427)/VLOOKUP(V427,商品!$A$4:$D$67,4,FALSE),0),"")</f>
        <v/>
      </c>
      <c r="AN427">
        <f t="shared" si="53"/>
        <v>0</v>
      </c>
      <c r="AO427">
        <f t="shared" si="54"/>
        <v>0</v>
      </c>
      <c r="AP427">
        <f t="shared" si="55"/>
        <v>0</v>
      </c>
    </row>
    <row r="428" customHeight="1" spans="1:42">
      <c r="A428" s="18" t="s">
        <v>365</v>
      </c>
      <c r="C428" s="18">
        <v>1</v>
      </c>
      <c r="D428" s="1" t="s">
        <v>293</v>
      </c>
      <c r="E428" s="1" t="s">
        <v>227</v>
      </c>
      <c r="L428" s="1">
        <f>IFERROR(VLOOKUP($D428&amp;$C428,生产方式定位!$A$2:$E$38,2,FALSE)+VLOOKUP($E428&amp;$C428,生产方式定位!$F$3:$J$38,2,FALSE),0)</f>
        <v>0</v>
      </c>
      <c r="S428" s="1">
        <f>IFERROR(VLOOKUP($D428&amp;$C428,生产方式定位!$A$2:$E$38,3,FALSE)+VLOOKUP($E428&amp;$C428,生产方式定位!$F$3:$J$38,3,FALSE),0)</f>
        <v>0</v>
      </c>
      <c r="X428" s="1">
        <f>IFERROR(VLOOKUP($D428&amp;$C428,生产方式定位!$A$2:$E$38,5,FALSE)+VLOOKUP($E428&amp;$C428,生产方式定位!$F$3:$J$38,5,FALSE),"错误")</f>
        <v>0</v>
      </c>
      <c r="Y428" s="27" t="str">
        <f t="shared" si="48"/>
        <v/>
      </c>
      <c r="Z428" s="37" t="str">
        <f t="shared" si="49"/>
        <v/>
      </c>
      <c r="AA428" s="37" t="str">
        <f t="shared" si="50"/>
        <v/>
      </c>
      <c r="AB428" s="28" t="str">
        <f t="shared" si="51"/>
        <v/>
      </c>
      <c r="AC428" s="37"/>
      <c r="AD428" s="38">
        <f t="shared" si="52"/>
        <v>1</v>
      </c>
      <c r="AE428" t="str">
        <f>IFERROR(F428&amp;"*"&amp;ROUND(L428*(G428/$AN428)/VLOOKUP(F428,商品!$A$4:$D$67,4,FALSE),0),"")</f>
        <v/>
      </c>
      <c r="AF428" t="str">
        <f>IFERROR(H428&amp;"*"&amp;ROUND(L428*(I428/$AN428)/VLOOKUP(H428,商品!$A$4:$D$67,4,FALSE),0),"")</f>
        <v/>
      </c>
      <c r="AG428" t="str">
        <f>IFERROR(J428&amp;"*"&amp;ROUND(L428*(K428/$AN428)/VLOOKUP(J428,商品!$A$4:$D$67,4,FALSE),0),"")</f>
        <v/>
      </c>
      <c r="AH428" t="str">
        <f>IFERROR(M428&amp;"*"&amp;ROUND(S428*(N428/$AO428)/VLOOKUP(M428,职业!$A$3:$E$16,4,FALSE),0),"")</f>
        <v/>
      </c>
      <c r="AI428" t="str">
        <f>IFERROR(O428&amp;"*"&amp;ROUND(S428*(P428/$AO428)/VLOOKUP(O428,职业!$A$3:$E$16,4,FALSE),0),"")</f>
        <v/>
      </c>
      <c r="AK428" t="str">
        <f>IFERROR(T428&amp;"*"&amp;ROUND(X428*(U428/$AP428)/VLOOKUP(T428,商品!$A$4:$D$67,4,FALSE),0),"")</f>
        <v/>
      </c>
      <c r="AL428" t="str">
        <f>IFERROR(V428&amp;"*"&amp;ROUND(X428*(W428/$AP428)/VLOOKUP(V428,商品!$A$4:$D$67,4,FALSE),0),"")</f>
        <v/>
      </c>
      <c r="AN428">
        <f t="shared" si="53"/>
        <v>0</v>
      </c>
      <c r="AO428">
        <f t="shared" si="54"/>
        <v>0</v>
      </c>
      <c r="AP428">
        <f t="shared" si="55"/>
        <v>0</v>
      </c>
    </row>
    <row r="429" customHeight="1" spans="1:42">
      <c r="A429" s="18" t="s">
        <v>365</v>
      </c>
      <c r="C429" s="18">
        <v>2</v>
      </c>
      <c r="D429" s="1" t="s">
        <v>293</v>
      </c>
      <c r="E429" s="1" t="s">
        <v>227</v>
      </c>
      <c r="L429" s="1">
        <f>IFERROR(VLOOKUP($D429&amp;$C429,生产方式定位!$A$2:$E$38,2,FALSE)+VLOOKUP($E429&amp;$C429,生产方式定位!$F$3:$J$38,2,FALSE),0)</f>
        <v>0</v>
      </c>
      <c r="S429" s="1">
        <f>IFERROR(VLOOKUP($D429&amp;$C429,生产方式定位!$A$2:$E$38,3,FALSE)+VLOOKUP($E429&amp;$C429,生产方式定位!$F$3:$J$38,3,FALSE),0)</f>
        <v>0</v>
      </c>
      <c r="X429" s="1">
        <f>IFERROR(VLOOKUP($D429&amp;$C429,生产方式定位!$A$2:$E$38,5,FALSE)+VLOOKUP($E429&amp;$C429,生产方式定位!$F$3:$J$38,5,FALSE),"错误")</f>
        <v>0</v>
      </c>
      <c r="Y429" s="27" t="str">
        <f t="shared" si="48"/>
        <v/>
      </c>
      <c r="Z429" s="37" t="str">
        <f t="shared" si="49"/>
        <v/>
      </c>
      <c r="AA429" s="37" t="str">
        <f t="shared" si="50"/>
        <v/>
      </c>
      <c r="AB429" s="28" t="str">
        <f t="shared" si="51"/>
        <v/>
      </c>
      <c r="AC429" s="37"/>
      <c r="AD429" s="38">
        <f t="shared" si="52"/>
        <v>2</v>
      </c>
      <c r="AE429" t="str">
        <f>IFERROR(F429&amp;"*"&amp;ROUND(L429*(G429/$AN429)/VLOOKUP(F429,商品!$A$4:$D$67,4,FALSE),0),"")</f>
        <v/>
      </c>
      <c r="AF429" t="str">
        <f>IFERROR(H429&amp;"*"&amp;ROUND(L429*(I429/$AN429)/VLOOKUP(H429,商品!$A$4:$D$67,4,FALSE),0),"")</f>
        <v/>
      </c>
      <c r="AG429" t="str">
        <f>IFERROR(J429&amp;"*"&amp;ROUND(L429*(K429/$AN429)/VLOOKUP(J429,商品!$A$4:$D$67,4,FALSE),0),"")</f>
        <v/>
      </c>
      <c r="AH429" t="str">
        <f>IFERROR(M429&amp;"*"&amp;ROUND(S429*(N429/$AO429)/VLOOKUP(M429,职业!$A$3:$E$16,4,FALSE),0),"")</f>
        <v/>
      </c>
      <c r="AI429" t="str">
        <f>IFERROR(O429&amp;"*"&amp;ROUND(S429*(P429/$AO429)/VLOOKUP(O429,职业!$A$3:$E$16,4,FALSE),0),"")</f>
        <v/>
      </c>
      <c r="AK429" t="str">
        <f>IFERROR(T429&amp;"*"&amp;ROUND(X429*(U429/$AP429)/VLOOKUP(T429,商品!$A$4:$D$67,4,FALSE),0),"")</f>
        <v/>
      </c>
      <c r="AL429" t="str">
        <f>IFERROR(V429&amp;"*"&amp;ROUND(X429*(W429/$AP429)/VLOOKUP(V429,商品!$A$4:$D$67,4,FALSE),0),"")</f>
        <v/>
      </c>
      <c r="AN429">
        <f t="shared" si="53"/>
        <v>0</v>
      </c>
      <c r="AO429">
        <f t="shared" si="54"/>
        <v>0</v>
      </c>
      <c r="AP429">
        <f t="shared" si="55"/>
        <v>0</v>
      </c>
    </row>
    <row r="430" customHeight="1" spans="1:42">
      <c r="A430" s="18" t="s">
        <v>365</v>
      </c>
      <c r="C430" s="18">
        <v>3</v>
      </c>
      <c r="D430" s="1" t="s">
        <v>293</v>
      </c>
      <c r="E430" s="1" t="s">
        <v>227</v>
      </c>
      <c r="L430" s="1">
        <f>IFERROR(VLOOKUP($D430&amp;$C430,生产方式定位!$A$2:$E$38,2,FALSE)+VLOOKUP($E430&amp;$C430,生产方式定位!$F$3:$J$38,2,FALSE),0)</f>
        <v>0</v>
      </c>
      <c r="S430" s="1">
        <f>IFERROR(VLOOKUP($D430&amp;$C430,生产方式定位!$A$2:$E$38,3,FALSE)+VLOOKUP($E430&amp;$C430,生产方式定位!$F$3:$J$38,3,FALSE),0)</f>
        <v>0</v>
      </c>
      <c r="X430" s="1">
        <f>IFERROR(VLOOKUP($D430&amp;$C430,生产方式定位!$A$2:$E$38,5,FALSE)+VLOOKUP($E430&amp;$C430,生产方式定位!$F$3:$J$38,5,FALSE),"错误")</f>
        <v>0</v>
      </c>
      <c r="Y430" s="27" t="str">
        <f t="shared" si="48"/>
        <v/>
      </c>
      <c r="Z430" s="37" t="str">
        <f t="shared" si="49"/>
        <v/>
      </c>
      <c r="AA430" s="37" t="str">
        <f t="shared" si="50"/>
        <v/>
      </c>
      <c r="AB430" s="28" t="str">
        <f t="shared" si="51"/>
        <v/>
      </c>
      <c r="AC430" s="37"/>
      <c r="AD430" s="38">
        <f t="shared" si="52"/>
        <v>3</v>
      </c>
      <c r="AE430" t="str">
        <f>IFERROR(F430&amp;"*"&amp;ROUND(L430*(G430/$AN430)/VLOOKUP(F430,商品!$A$4:$D$67,4,FALSE),0),"")</f>
        <v/>
      </c>
      <c r="AF430" t="str">
        <f>IFERROR(H430&amp;"*"&amp;ROUND(L430*(I430/$AN430)/VLOOKUP(H430,商品!$A$4:$D$67,4,FALSE),0),"")</f>
        <v/>
      </c>
      <c r="AG430" t="str">
        <f>IFERROR(J430&amp;"*"&amp;ROUND(L430*(K430/$AN430)/VLOOKUP(J430,商品!$A$4:$D$67,4,FALSE),0),"")</f>
        <v/>
      </c>
      <c r="AH430" t="str">
        <f>IFERROR(M430&amp;"*"&amp;ROUND(S430*(N430/$AO430)/VLOOKUP(M430,职业!$A$3:$E$16,4,FALSE),0),"")</f>
        <v/>
      </c>
      <c r="AI430" t="str">
        <f>IFERROR(O430&amp;"*"&amp;ROUND(S430*(P430/$AO430)/VLOOKUP(O430,职业!$A$3:$E$16,4,FALSE),0),"")</f>
        <v/>
      </c>
      <c r="AK430" t="str">
        <f>IFERROR(T430&amp;"*"&amp;ROUND(X430*(U430/$AP430)/VLOOKUP(T430,商品!$A$4:$D$67,4,FALSE),0),"")</f>
        <v/>
      </c>
      <c r="AL430" t="str">
        <f>IFERROR(V430&amp;"*"&amp;ROUND(X430*(W430/$AP430)/VLOOKUP(V430,商品!$A$4:$D$67,4,FALSE),0),"")</f>
        <v/>
      </c>
      <c r="AN430">
        <f t="shared" si="53"/>
        <v>0</v>
      </c>
      <c r="AO430">
        <f t="shared" si="54"/>
        <v>0</v>
      </c>
      <c r="AP430">
        <f t="shared" si="55"/>
        <v>0</v>
      </c>
    </row>
    <row r="431" customHeight="1" spans="1:42">
      <c r="A431" s="18" t="s">
        <v>365</v>
      </c>
      <c r="C431" s="18">
        <v>4</v>
      </c>
      <c r="D431" s="1" t="s">
        <v>293</v>
      </c>
      <c r="E431" s="1" t="s">
        <v>227</v>
      </c>
      <c r="L431" s="1">
        <f>IFERROR(VLOOKUP($D431&amp;$C431,生产方式定位!$A$2:$E$38,2,FALSE)+VLOOKUP($E431&amp;$C431,生产方式定位!$F$3:$J$38,2,FALSE),0)</f>
        <v>0</v>
      </c>
      <c r="S431" s="1">
        <f>IFERROR(VLOOKUP($D431&amp;$C431,生产方式定位!$A$2:$E$38,3,FALSE)+VLOOKUP($E431&amp;$C431,生产方式定位!$F$3:$J$38,3,FALSE),0)</f>
        <v>0</v>
      </c>
      <c r="X431" s="1">
        <f>IFERROR(VLOOKUP($D431&amp;$C431,生产方式定位!$A$2:$E$38,5,FALSE)+VLOOKUP($E431&amp;$C431,生产方式定位!$F$3:$J$38,5,FALSE),"错误")</f>
        <v>0</v>
      </c>
      <c r="Y431" s="27" t="str">
        <f t="shared" si="48"/>
        <v/>
      </c>
      <c r="Z431" s="37" t="str">
        <f t="shared" si="49"/>
        <v/>
      </c>
      <c r="AA431" s="37" t="str">
        <f t="shared" si="50"/>
        <v/>
      </c>
      <c r="AB431" s="28" t="str">
        <f t="shared" si="51"/>
        <v/>
      </c>
      <c r="AC431" s="37"/>
      <c r="AD431" s="38">
        <f t="shared" si="52"/>
        <v>4</v>
      </c>
      <c r="AE431" t="str">
        <f>IFERROR(F431&amp;"*"&amp;ROUND(L431*(G431/$AN431)/VLOOKUP(F431,商品!$A$4:$D$67,4,FALSE),0),"")</f>
        <v/>
      </c>
      <c r="AF431" t="str">
        <f>IFERROR(H431&amp;"*"&amp;ROUND(L431*(I431/$AN431)/VLOOKUP(H431,商品!$A$4:$D$67,4,FALSE),0),"")</f>
        <v/>
      </c>
      <c r="AG431" t="str">
        <f>IFERROR(J431&amp;"*"&amp;ROUND(L431*(K431/$AN431)/VLOOKUP(J431,商品!$A$4:$D$67,4,FALSE),0),"")</f>
        <v/>
      </c>
      <c r="AH431" t="str">
        <f>IFERROR(M431&amp;"*"&amp;ROUND(S431*(N431/$AO431)/VLOOKUP(M431,职业!$A$3:$E$16,4,FALSE),0),"")</f>
        <v/>
      </c>
      <c r="AI431" t="str">
        <f>IFERROR(O431&amp;"*"&amp;ROUND(S431*(P431/$AO431)/VLOOKUP(O431,职业!$A$3:$E$16,4,FALSE),0),"")</f>
        <v/>
      </c>
      <c r="AK431" t="str">
        <f>IFERROR(T431&amp;"*"&amp;ROUND(X431*(U431/$AP431)/VLOOKUP(T431,商品!$A$4:$D$67,4,FALSE),0),"")</f>
        <v/>
      </c>
      <c r="AL431" t="str">
        <f>IFERROR(V431&amp;"*"&amp;ROUND(X431*(W431/$AP431)/VLOOKUP(V431,商品!$A$4:$D$67,4,FALSE),0),"")</f>
        <v/>
      </c>
      <c r="AN431">
        <f t="shared" si="53"/>
        <v>0</v>
      </c>
      <c r="AO431">
        <f t="shared" si="54"/>
        <v>0</v>
      </c>
      <c r="AP431">
        <f t="shared" si="55"/>
        <v>0</v>
      </c>
    </row>
    <row r="432" customHeight="1" spans="1:42">
      <c r="A432" s="18" t="s">
        <v>365</v>
      </c>
      <c r="C432" s="18">
        <v>5</v>
      </c>
      <c r="D432" s="1" t="s">
        <v>293</v>
      </c>
      <c r="E432" s="1" t="s">
        <v>227</v>
      </c>
      <c r="L432" s="1">
        <f>IFERROR(VLOOKUP($D432&amp;$C432,生产方式定位!$A$2:$E$38,2,FALSE)+VLOOKUP($E432&amp;$C432,生产方式定位!$F$3:$J$38,2,FALSE),0)</f>
        <v>0</v>
      </c>
      <c r="S432" s="1">
        <f>IFERROR(VLOOKUP($D432&amp;$C432,生产方式定位!$A$2:$E$38,3,FALSE)+VLOOKUP($E432&amp;$C432,生产方式定位!$F$3:$J$38,3,FALSE),0)</f>
        <v>0</v>
      </c>
      <c r="X432" s="1">
        <f>IFERROR(VLOOKUP($D432&amp;$C432,生产方式定位!$A$2:$E$38,5,FALSE)+VLOOKUP($E432&amp;$C432,生产方式定位!$F$3:$J$38,5,FALSE),"错误")</f>
        <v>0</v>
      </c>
      <c r="Y432" s="27" t="str">
        <f t="shared" si="48"/>
        <v/>
      </c>
      <c r="Z432" s="37" t="str">
        <f t="shared" si="49"/>
        <v/>
      </c>
      <c r="AA432" s="37" t="str">
        <f t="shared" si="50"/>
        <v/>
      </c>
      <c r="AB432" s="28" t="str">
        <f t="shared" si="51"/>
        <v/>
      </c>
      <c r="AC432" s="37"/>
      <c r="AD432" s="38">
        <f t="shared" si="52"/>
        <v>5</v>
      </c>
      <c r="AE432" t="str">
        <f>IFERROR(F432&amp;"*"&amp;ROUND(L432*(G432/$AN432)/VLOOKUP(F432,商品!$A$4:$D$67,4,FALSE),0),"")</f>
        <v/>
      </c>
      <c r="AF432" t="str">
        <f>IFERROR(H432&amp;"*"&amp;ROUND(L432*(I432/$AN432)/VLOOKUP(H432,商品!$A$4:$D$67,4,FALSE),0),"")</f>
        <v/>
      </c>
      <c r="AG432" t="str">
        <f>IFERROR(J432&amp;"*"&amp;ROUND(L432*(K432/$AN432)/VLOOKUP(J432,商品!$A$4:$D$67,4,FALSE),0),"")</f>
        <v/>
      </c>
      <c r="AH432" t="str">
        <f>IFERROR(M432&amp;"*"&amp;ROUND(S432*(N432/$AO432)/VLOOKUP(M432,职业!$A$3:$E$16,4,FALSE),0),"")</f>
        <v/>
      </c>
      <c r="AI432" t="str">
        <f>IFERROR(O432&amp;"*"&amp;ROUND(S432*(P432/$AO432)/VLOOKUP(O432,职业!$A$3:$E$16,4,FALSE),0),"")</f>
        <v/>
      </c>
      <c r="AK432" t="str">
        <f>IFERROR(T432&amp;"*"&amp;ROUND(X432*(U432/$AP432)/VLOOKUP(T432,商品!$A$4:$D$67,4,FALSE),0),"")</f>
        <v/>
      </c>
      <c r="AL432" t="str">
        <f>IFERROR(V432&amp;"*"&amp;ROUND(X432*(W432/$AP432)/VLOOKUP(V432,商品!$A$4:$D$67,4,FALSE),0),"")</f>
        <v/>
      </c>
      <c r="AN432">
        <f t="shared" si="53"/>
        <v>0</v>
      </c>
      <c r="AO432">
        <f t="shared" si="54"/>
        <v>0</v>
      </c>
      <c r="AP432">
        <f t="shared" si="55"/>
        <v>0</v>
      </c>
    </row>
    <row r="433" customHeight="1" spans="1:42">
      <c r="A433" s="18" t="s">
        <v>365</v>
      </c>
      <c r="C433" s="18">
        <v>6</v>
      </c>
      <c r="D433" s="1" t="s">
        <v>293</v>
      </c>
      <c r="E433" s="1" t="s">
        <v>227</v>
      </c>
      <c r="L433" s="1">
        <f>IFERROR(VLOOKUP($D433&amp;$C433,生产方式定位!$A$2:$E$38,2,FALSE)+VLOOKUP($E433&amp;$C433,生产方式定位!$F$3:$J$38,2,FALSE),0)</f>
        <v>0</v>
      </c>
      <c r="S433" s="1">
        <f>IFERROR(VLOOKUP($D433&amp;$C433,生产方式定位!$A$2:$E$38,3,FALSE)+VLOOKUP($E433&amp;$C433,生产方式定位!$F$3:$J$38,3,FALSE),0)</f>
        <v>0</v>
      </c>
      <c r="X433" s="1">
        <f>IFERROR(VLOOKUP($D433&amp;$C433,生产方式定位!$A$2:$E$38,5,FALSE)+VLOOKUP($E433&amp;$C433,生产方式定位!$F$3:$J$38,5,FALSE),"错误")</f>
        <v>0</v>
      </c>
      <c r="Y433" s="27" t="str">
        <f t="shared" si="48"/>
        <v/>
      </c>
      <c r="Z433" s="37" t="str">
        <f t="shared" si="49"/>
        <v/>
      </c>
      <c r="AA433" s="37" t="str">
        <f t="shared" si="50"/>
        <v/>
      </c>
      <c r="AB433" s="28" t="str">
        <f t="shared" si="51"/>
        <v/>
      </c>
      <c r="AC433" s="37"/>
      <c r="AD433" s="38">
        <f t="shared" si="52"/>
        <v>6</v>
      </c>
      <c r="AE433" t="str">
        <f>IFERROR(F433&amp;"*"&amp;ROUND(L433*(G433/$AN433)/VLOOKUP(F433,商品!$A$4:$D$67,4,FALSE),0),"")</f>
        <v/>
      </c>
      <c r="AF433" t="str">
        <f>IFERROR(H433&amp;"*"&amp;ROUND(L433*(I433/$AN433)/VLOOKUP(H433,商品!$A$4:$D$67,4,FALSE),0),"")</f>
        <v/>
      </c>
      <c r="AG433" t="str">
        <f>IFERROR(J433&amp;"*"&amp;ROUND(L433*(K433/$AN433)/VLOOKUP(J433,商品!$A$4:$D$67,4,FALSE),0),"")</f>
        <v/>
      </c>
      <c r="AH433" t="str">
        <f>IFERROR(M433&amp;"*"&amp;ROUND(S433*(N433/$AO433)/VLOOKUP(M433,职业!$A$3:$E$16,4,FALSE),0),"")</f>
        <v/>
      </c>
      <c r="AI433" t="str">
        <f>IFERROR(O433&amp;"*"&amp;ROUND(S433*(P433/$AO433)/VLOOKUP(O433,职业!$A$3:$E$16,4,FALSE),0),"")</f>
        <v/>
      </c>
      <c r="AK433" t="str">
        <f>IFERROR(T433&amp;"*"&amp;ROUND(X433*(U433/$AP433)/VLOOKUP(T433,商品!$A$4:$D$67,4,FALSE),0),"")</f>
        <v/>
      </c>
      <c r="AL433" t="str">
        <f>IFERROR(V433&amp;"*"&amp;ROUND(X433*(W433/$AP433)/VLOOKUP(V433,商品!$A$4:$D$67,4,FALSE),0),"")</f>
        <v/>
      </c>
      <c r="AN433">
        <f t="shared" si="53"/>
        <v>0</v>
      </c>
      <c r="AO433">
        <f t="shared" si="54"/>
        <v>0</v>
      </c>
      <c r="AP433">
        <f t="shared" si="55"/>
        <v>0</v>
      </c>
    </row>
    <row r="434" customHeight="1" spans="1:42">
      <c r="A434" s="18" t="s">
        <v>365</v>
      </c>
      <c r="C434" s="18">
        <v>7</v>
      </c>
      <c r="D434" s="1" t="s">
        <v>293</v>
      </c>
      <c r="E434" s="1" t="s">
        <v>227</v>
      </c>
      <c r="L434" s="1">
        <f>IFERROR(VLOOKUP($D434&amp;$C434,生产方式定位!$A$2:$E$38,2,FALSE)+VLOOKUP($E434&amp;$C434,生产方式定位!$F$3:$J$38,2,FALSE),0)</f>
        <v>0</v>
      </c>
      <c r="S434" s="1">
        <f>IFERROR(VLOOKUP($D434&amp;$C434,生产方式定位!$A$2:$E$38,3,FALSE)+VLOOKUP($E434&amp;$C434,生产方式定位!$F$3:$J$38,3,FALSE),0)</f>
        <v>0</v>
      </c>
      <c r="X434" s="1">
        <f>IFERROR(VLOOKUP($D434&amp;$C434,生产方式定位!$A$2:$E$38,5,FALSE)+VLOOKUP($E434&amp;$C434,生产方式定位!$F$3:$J$38,5,FALSE),"错误")</f>
        <v>0</v>
      </c>
      <c r="Y434" s="27" t="str">
        <f t="shared" si="48"/>
        <v/>
      </c>
      <c r="Z434" s="37" t="str">
        <f t="shared" si="49"/>
        <v/>
      </c>
      <c r="AA434" s="37" t="str">
        <f t="shared" si="50"/>
        <v/>
      </c>
      <c r="AB434" s="28" t="str">
        <f t="shared" si="51"/>
        <v/>
      </c>
      <c r="AC434" s="37"/>
      <c r="AD434" s="38">
        <f t="shared" si="52"/>
        <v>7</v>
      </c>
      <c r="AE434" t="str">
        <f>IFERROR(F434&amp;"*"&amp;ROUND(L434*(G434/$AN434)/VLOOKUP(F434,商品!$A$4:$D$67,4,FALSE),0),"")</f>
        <v/>
      </c>
      <c r="AF434" t="str">
        <f>IFERROR(H434&amp;"*"&amp;ROUND(L434*(I434/$AN434)/VLOOKUP(H434,商品!$A$4:$D$67,4,FALSE),0),"")</f>
        <v/>
      </c>
      <c r="AG434" t="str">
        <f>IFERROR(J434&amp;"*"&amp;ROUND(L434*(K434/$AN434)/VLOOKUP(J434,商品!$A$4:$D$67,4,FALSE),0),"")</f>
        <v/>
      </c>
      <c r="AH434" t="str">
        <f>IFERROR(M434&amp;"*"&amp;ROUND(S434*(N434/$AO434)/VLOOKUP(M434,职业!$A$3:$E$16,4,FALSE),0),"")</f>
        <v/>
      </c>
      <c r="AI434" t="str">
        <f>IFERROR(O434&amp;"*"&amp;ROUND(S434*(P434/$AO434)/VLOOKUP(O434,职业!$A$3:$E$16,4,FALSE),0),"")</f>
        <v/>
      </c>
      <c r="AK434" t="str">
        <f>IFERROR(T434&amp;"*"&amp;ROUND(X434*(U434/$AP434)/VLOOKUP(T434,商品!$A$4:$D$67,4,FALSE),0),"")</f>
        <v/>
      </c>
      <c r="AL434" t="str">
        <f>IFERROR(V434&amp;"*"&amp;ROUND(X434*(W434/$AP434)/VLOOKUP(V434,商品!$A$4:$D$67,4,FALSE),0),"")</f>
        <v/>
      </c>
      <c r="AN434">
        <f t="shared" si="53"/>
        <v>0</v>
      </c>
      <c r="AO434">
        <f t="shared" si="54"/>
        <v>0</v>
      </c>
      <c r="AP434">
        <f t="shared" si="55"/>
        <v>0</v>
      </c>
    </row>
    <row r="435" customHeight="1" spans="1:42">
      <c r="A435" s="18" t="s">
        <v>365</v>
      </c>
      <c r="C435" s="18">
        <v>8</v>
      </c>
      <c r="D435" s="1" t="s">
        <v>293</v>
      </c>
      <c r="E435" s="1" t="s">
        <v>227</v>
      </c>
      <c r="L435" s="1">
        <f>IFERROR(VLOOKUP($D435&amp;$C435,生产方式定位!$A$2:$E$38,2,FALSE)+VLOOKUP($E435&amp;$C435,生产方式定位!$F$3:$J$38,2,FALSE),0)</f>
        <v>0</v>
      </c>
      <c r="S435" s="1">
        <f>IFERROR(VLOOKUP($D435&amp;$C435,生产方式定位!$A$2:$E$38,3,FALSE)+VLOOKUP($E435&amp;$C435,生产方式定位!$F$3:$J$38,3,FALSE),0)</f>
        <v>0</v>
      </c>
      <c r="X435" s="1">
        <f>IFERROR(VLOOKUP($D435&amp;$C435,生产方式定位!$A$2:$E$38,5,FALSE)+VLOOKUP($E435&amp;$C435,生产方式定位!$F$3:$J$38,5,FALSE),"错误")</f>
        <v>0</v>
      </c>
      <c r="Y435" s="27" t="str">
        <f t="shared" si="48"/>
        <v/>
      </c>
      <c r="Z435" s="37" t="str">
        <f t="shared" si="49"/>
        <v/>
      </c>
      <c r="AA435" s="37" t="str">
        <f t="shared" si="50"/>
        <v/>
      </c>
      <c r="AB435" s="28" t="str">
        <f t="shared" si="51"/>
        <v/>
      </c>
      <c r="AC435" s="37"/>
      <c r="AD435" s="38">
        <f t="shared" si="52"/>
        <v>8</v>
      </c>
      <c r="AE435" t="str">
        <f>IFERROR(F435&amp;"*"&amp;ROUND(L435*(G435/$AN435)/VLOOKUP(F435,商品!$A$4:$D$67,4,FALSE),0),"")</f>
        <v/>
      </c>
      <c r="AF435" t="str">
        <f>IFERROR(H435&amp;"*"&amp;ROUND(L435*(I435/$AN435)/VLOOKUP(H435,商品!$A$4:$D$67,4,FALSE),0),"")</f>
        <v/>
      </c>
      <c r="AG435" t="str">
        <f>IFERROR(J435&amp;"*"&amp;ROUND(L435*(K435/$AN435)/VLOOKUP(J435,商品!$A$4:$D$67,4,FALSE),0),"")</f>
        <v/>
      </c>
      <c r="AH435" t="str">
        <f>IFERROR(M435&amp;"*"&amp;ROUND(S435*(N435/$AO435)/VLOOKUP(M435,职业!$A$3:$E$16,4,FALSE),0),"")</f>
        <v/>
      </c>
      <c r="AI435" t="str">
        <f>IFERROR(O435&amp;"*"&amp;ROUND(S435*(P435/$AO435)/VLOOKUP(O435,职业!$A$3:$E$16,4,FALSE),0),"")</f>
        <v/>
      </c>
      <c r="AK435" t="str">
        <f>IFERROR(T435&amp;"*"&amp;ROUND(X435*(U435/$AP435)/VLOOKUP(T435,商品!$A$4:$D$67,4,FALSE),0),"")</f>
        <v/>
      </c>
      <c r="AL435" t="str">
        <f>IFERROR(V435&amp;"*"&amp;ROUND(X435*(W435/$AP435)/VLOOKUP(V435,商品!$A$4:$D$67,4,FALSE),0),"")</f>
        <v/>
      </c>
      <c r="AN435">
        <f t="shared" si="53"/>
        <v>0</v>
      </c>
      <c r="AO435">
        <f t="shared" si="54"/>
        <v>0</v>
      </c>
      <c r="AP435">
        <f t="shared" si="55"/>
        <v>0</v>
      </c>
    </row>
    <row r="436" customHeight="1" spans="1:42">
      <c r="A436" s="5" t="s">
        <v>367</v>
      </c>
      <c r="C436" s="5">
        <v>1</v>
      </c>
      <c r="D436" s="1" t="s">
        <v>240</v>
      </c>
      <c r="E436" s="1" t="s">
        <v>224</v>
      </c>
      <c r="L436" s="1">
        <f>IFERROR(VLOOKUP($D436&amp;$C436,生产方式定位!$A$2:$E$38,2,FALSE)+VLOOKUP($E436&amp;$C436,生产方式定位!$F$3:$J$38,2,FALSE),0)</f>
        <v>0</v>
      </c>
      <c r="S436" s="1">
        <f>IFERROR(VLOOKUP($D436&amp;$C436,生产方式定位!$A$2:$E$38,3,FALSE)+VLOOKUP($E436&amp;$C436,生产方式定位!$F$3:$J$38,3,FALSE),0)</f>
        <v>8000</v>
      </c>
      <c r="X436" s="1">
        <f>IFERROR(VLOOKUP($D436&amp;$C436,生产方式定位!$A$2:$E$38,5,FALSE)+VLOOKUP($E436&amp;$C436,生产方式定位!$F$3:$J$38,5,FALSE),"错误")</f>
        <v>4000</v>
      </c>
      <c r="Y436" s="27" t="str">
        <f t="shared" si="48"/>
        <v/>
      </c>
      <c r="Z436" s="37" t="str">
        <f t="shared" si="49"/>
        <v/>
      </c>
      <c r="AA436" s="37" t="str">
        <f t="shared" si="50"/>
        <v/>
      </c>
      <c r="AB436" s="28">
        <f t="shared" si="51"/>
        <v>0</v>
      </c>
      <c r="AC436" s="37"/>
      <c r="AD436" s="38">
        <f t="shared" si="52"/>
        <v>1</v>
      </c>
      <c r="AE436" t="str">
        <f>IFERROR(F436&amp;"*"&amp;ROUND(L436*(G436/$AN436)/VLOOKUP(F436,商品!$A$4:$D$67,4,FALSE),0),"")</f>
        <v/>
      </c>
      <c r="AF436" t="str">
        <f>IFERROR(H436&amp;"*"&amp;ROUND(L436*(I436/$AN436)/VLOOKUP(H436,商品!$A$4:$D$67,4,FALSE),0),"")</f>
        <v/>
      </c>
      <c r="AG436" t="str">
        <f>IFERROR(J436&amp;"*"&amp;ROUND(L436*(K436/$AN436)/VLOOKUP(J436,商品!$A$4:$D$67,4,FALSE),0),"")</f>
        <v/>
      </c>
      <c r="AH436" t="str">
        <f>IFERROR(M436&amp;"*"&amp;ROUND(S436*(N436/$AO436)/VLOOKUP(M436,职业!$A$3:$E$16,4,FALSE),0),"")</f>
        <v/>
      </c>
      <c r="AI436" t="str">
        <f>IFERROR(O436&amp;"*"&amp;ROUND(S436*(P436/$AO436)/VLOOKUP(O436,职业!$A$3:$E$16,4,FALSE),0),"")</f>
        <v/>
      </c>
      <c r="AK436" t="str">
        <f>IFERROR(T436&amp;"*"&amp;ROUND(X436*(U436/$AP436)/VLOOKUP(T436,商品!$A$4:$D$67,4,FALSE),0),"")</f>
        <v/>
      </c>
      <c r="AL436" t="str">
        <f>IFERROR(V436&amp;"*"&amp;ROUND(X436*(W436/$AP436)/VLOOKUP(V436,商品!$A$4:$D$67,4,FALSE),0),"")</f>
        <v/>
      </c>
      <c r="AN436">
        <f t="shared" si="53"/>
        <v>0</v>
      </c>
      <c r="AO436">
        <f t="shared" si="54"/>
        <v>0</v>
      </c>
      <c r="AP436">
        <f t="shared" si="55"/>
        <v>0</v>
      </c>
    </row>
    <row r="437" customHeight="1" spans="1:42">
      <c r="A437" s="5" t="s">
        <v>367</v>
      </c>
      <c r="C437" s="5">
        <v>2</v>
      </c>
      <c r="D437" s="1" t="s">
        <v>240</v>
      </c>
      <c r="E437" s="1" t="s">
        <v>224</v>
      </c>
      <c r="L437" s="1">
        <f>IFERROR(VLOOKUP($D437&amp;$C437,生产方式定位!$A$2:$E$38,2,FALSE)+VLOOKUP($E437&amp;$C437,生产方式定位!$F$3:$J$38,2,FALSE),0)</f>
        <v>11000</v>
      </c>
      <c r="S437" s="1">
        <f>IFERROR(VLOOKUP($D437&amp;$C437,生产方式定位!$A$2:$E$38,3,FALSE)+VLOOKUP($E437&amp;$C437,生产方式定位!$F$3:$J$38,3,FALSE),0)</f>
        <v>8700</v>
      </c>
      <c r="X437" s="1">
        <f>IFERROR(VLOOKUP($D437&amp;$C437,生产方式定位!$A$2:$E$38,5,FALSE)+VLOOKUP($E437&amp;$C437,生产方式定位!$F$3:$J$38,5,FALSE),"错误")</f>
        <v>9922</v>
      </c>
      <c r="Y437" s="27" t="str">
        <f t="shared" si="48"/>
        <v/>
      </c>
      <c r="Z437" s="37" t="str">
        <f t="shared" si="49"/>
        <v/>
      </c>
      <c r="AA437" s="37" t="str">
        <f t="shared" si="50"/>
        <v/>
      </c>
      <c r="AB437" s="28">
        <f t="shared" si="51"/>
        <v>1.11</v>
      </c>
      <c r="AC437" s="37"/>
      <c r="AD437" s="38">
        <f t="shared" si="52"/>
        <v>2</v>
      </c>
      <c r="AE437" t="str">
        <f>IFERROR(F437&amp;"*"&amp;ROUND(L437*(G437/$AN437)/VLOOKUP(F437,商品!$A$4:$D$67,4,FALSE),0),"")</f>
        <v/>
      </c>
      <c r="AF437" t="str">
        <f>IFERROR(H437&amp;"*"&amp;ROUND(L437*(I437/$AN437)/VLOOKUP(H437,商品!$A$4:$D$67,4,FALSE),0),"")</f>
        <v/>
      </c>
      <c r="AG437" t="str">
        <f>IFERROR(J437&amp;"*"&amp;ROUND(L437*(K437/$AN437)/VLOOKUP(J437,商品!$A$4:$D$67,4,FALSE),0),"")</f>
        <v/>
      </c>
      <c r="AH437" t="str">
        <f>IFERROR(M437&amp;"*"&amp;ROUND(S437*(N437/$AO437)/VLOOKUP(M437,职业!$A$3:$E$16,4,FALSE),0),"")</f>
        <v/>
      </c>
      <c r="AI437" t="str">
        <f>IFERROR(O437&amp;"*"&amp;ROUND(S437*(P437/$AO437)/VLOOKUP(O437,职业!$A$3:$E$16,4,FALSE),0),"")</f>
        <v/>
      </c>
      <c r="AK437" t="str">
        <f>IFERROR(T437&amp;"*"&amp;ROUND(X437*(U437/$AP437)/VLOOKUP(T437,商品!$A$4:$D$67,4,FALSE),0),"")</f>
        <v/>
      </c>
      <c r="AL437" t="str">
        <f>IFERROR(V437&amp;"*"&amp;ROUND(X437*(W437/$AP437)/VLOOKUP(V437,商品!$A$4:$D$67,4,FALSE),0),"")</f>
        <v/>
      </c>
      <c r="AN437">
        <f t="shared" si="53"/>
        <v>0</v>
      </c>
      <c r="AO437">
        <f t="shared" si="54"/>
        <v>0</v>
      </c>
      <c r="AP437">
        <f t="shared" si="55"/>
        <v>0</v>
      </c>
    </row>
    <row r="438" customHeight="1" spans="1:42">
      <c r="A438" s="5" t="s">
        <v>367</v>
      </c>
      <c r="C438" s="5">
        <v>3</v>
      </c>
      <c r="D438" s="1" t="s">
        <v>240</v>
      </c>
      <c r="E438" s="1" t="s">
        <v>224</v>
      </c>
      <c r="L438" s="1">
        <f>IFERROR(VLOOKUP($D438&amp;$C438,生产方式定位!$A$2:$E$38,2,FALSE)+VLOOKUP($E438&amp;$C438,生产方式定位!$F$3:$J$38,2,FALSE),0)</f>
        <v>11000</v>
      </c>
      <c r="S438" s="1">
        <f>IFERROR(VLOOKUP($D438&amp;$C438,生产方式定位!$A$2:$E$38,3,FALSE)+VLOOKUP($E438&amp;$C438,生产方式定位!$F$3:$J$38,3,FALSE),0)</f>
        <v>9400</v>
      </c>
      <c r="X438" s="1">
        <f>IFERROR(VLOOKUP($D438&amp;$C438,生产方式定位!$A$2:$E$38,5,FALSE)+VLOOKUP($E438&amp;$C438,生产方式定位!$F$3:$J$38,5,FALSE),"错误")</f>
        <v>10488</v>
      </c>
      <c r="Y438" s="27" t="str">
        <f t="shared" si="48"/>
        <v/>
      </c>
      <c r="Z438" s="37" t="str">
        <f t="shared" si="49"/>
        <v/>
      </c>
      <c r="AA438" s="37" t="str">
        <f t="shared" si="50"/>
        <v/>
      </c>
      <c r="AB438" s="28">
        <f t="shared" si="51"/>
        <v>1.05</v>
      </c>
      <c r="AC438" s="37"/>
      <c r="AD438" s="38">
        <f t="shared" si="52"/>
        <v>3</v>
      </c>
      <c r="AE438" t="str">
        <f>IFERROR(F438&amp;"*"&amp;ROUND(L438*(G438/$AN438)/VLOOKUP(F438,商品!$A$4:$D$67,4,FALSE),0),"")</f>
        <v/>
      </c>
      <c r="AF438" t="str">
        <f>IFERROR(H438&amp;"*"&amp;ROUND(L438*(I438/$AN438)/VLOOKUP(H438,商品!$A$4:$D$67,4,FALSE),0),"")</f>
        <v/>
      </c>
      <c r="AG438" t="str">
        <f>IFERROR(J438&amp;"*"&amp;ROUND(L438*(K438/$AN438)/VLOOKUP(J438,商品!$A$4:$D$67,4,FALSE),0),"")</f>
        <v/>
      </c>
      <c r="AH438" t="str">
        <f>IFERROR(M438&amp;"*"&amp;ROUND(S438*(N438/$AO438)/VLOOKUP(M438,职业!$A$3:$E$16,4,FALSE),0),"")</f>
        <v/>
      </c>
      <c r="AI438" t="str">
        <f>IFERROR(O438&amp;"*"&amp;ROUND(S438*(P438/$AO438)/VLOOKUP(O438,职业!$A$3:$E$16,4,FALSE),0),"")</f>
        <v/>
      </c>
      <c r="AK438" t="str">
        <f>IFERROR(T438&amp;"*"&amp;ROUND(X438*(U438/$AP438)/VLOOKUP(T438,商品!$A$4:$D$67,4,FALSE),0),"")</f>
        <v/>
      </c>
      <c r="AL438" t="str">
        <f>IFERROR(V438&amp;"*"&amp;ROUND(X438*(W438/$AP438)/VLOOKUP(V438,商品!$A$4:$D$67,4,FALSE),0),"")</f>
        <v/>
      </c>
      <c r="AN438">
        <f t="shared" si="53"/>
        <v>0</v>
      </c>
      <c r="AO438">
        <f t="shared" si="54"/>
        <v>0</v>
      </c>
      <c r="AP438">
        <f t="shared" si="55"/>
        <v>0</v>
      </c>
    </row>
    <row r="439" customHeight="1" spans="1:42">
      <c r="A439" s="5" t="s">
        <v>367</v>
      </c>
      <c r="C439" s="5">
        <v>4</v>
      </c>
      <c r="D439" s="1" t="s">
        <v>240</v>
      </c>
      <c r="E439" s="1" t="s">
        <v>224</v>
      </c>
      <c r="L439" s="1">
        <f>IFERROR(VLOOKUP($D439&amp;$C439,生产方式定位!$A$2:$E$38,2,FALSE)+VLOOKUP($E439&amp;$C439,生产方式定位!$F$3:$J$38,2,FALSE),0)</f>
        <v>11000</v>
      </c>
      <c r="S439" s="1">
        <f>IFERROR(VLOOKUP($D439&amp;$C439,生产方式定位!$A$2:$E$38,3,FALSE)+VLOOKUP($E439&amp;$C439,生产方式定位!$F$3:$J$38,3,FALSE),0)</f>
        <v>10100</v>
      </c>
      <c r="X439" s="1">
        <f>IFERROR(VLOOKUP($D439&amp;$C439,生产方式定位!$A$2:$E$38,5,FALSE)+VLOOKUP($E439&amp;$C439,生产方式定位!$F$3:$J$38,5,FALSE),"错误")</f>
        <v>11198</v>
      </c>
      <c r="Y439" s="27" t="str">
        <f t="shared" si="48"/>
        <v/>
      </c>
      <c r="Z439" s="37" t="str">
        <f t="shared" si="49"/>
        <v/>
      </c>
      <c r="AA439" s="37" t="str">
        <f t="shared" si="50"/>
        <v/>
      </c>
      <c r="AB439" s="28">
        <f t="shared" si="51"/>
        <v>0.98</v>
      </c>
      <c r="AC439" s="37"/>
      <c r="AD439" s="38">
        <f t="shared" si="52"/>
        <v>4</v>
      </c>
      <c r="AE439" t="str">
        <f>IFERROR(F439&amp;"*"&amp;ROUND(L439*(G439/$AN439)/VLOOKUP(F439,商品!$A$4:$D$67,4,FALSE),0),"")</f>
        <v/>
      </c>
      <c r="AF439" t="str">
        <f>IFERROR(H439&amp;"*"&amp;ROUND(L439*(I439/$AN439)/VLOOKUP(H439,商品!$A$4:$D$67,4,FALSE),0),"")</f>
        <v/>
      </c>
      <c r="AG439" t="str">
        <f>IFERROR(J439&amp;"*"&amp;ROUND(L439*(K439/$AN439)/VLOOKUP(J439,商品!$A$4:$D$67,4,FALSE),0),"")</f>
        <v/>
      </c>
      <c r="AH439" t="str">
        <f>IFERROR(M439&amp;"*"&amp;ROUND(S439*(N439/$AO439)/VLOOKUP(M439,职业!$A$3:$E$16,4,FALSE),0),"")</f>
        <v/>
      </c>
      <c r="AI439" t="str">
        <f>IFERROR(O439&amp;"*"&amp;ROUND(S439*(P439/$AO439)/VLOOKUP(O439,职业!$A$3:$E$16,4,FALSE),0),"")</f>
        <v/>
      </c>
      <c r="AK439" t="str">
        <f>IFERROR(T439&amp;"*"&amp;ROUND(X439*(U439/$AP439)/VLOOKUP(T439,商品!$A$4:$D$67,4,FALSE),0),"")</f>
        <v/>
      </c>
      <c r="AL439" t="str">
        <f>IFERROR(V439&amp;"*"&amp;ROUND(X439*(W439/$AP439)/VLOOKUP(V439,商品!$A$4:$D$67,4,FALSE),0),"")</f>
        <v/>
      </c>
      <c r="AN439">
        <f t="shared" si="53"/>
        <v>0</v>
      </c>
      <c r="AO439">
        <f t="shared" si="54"/>
        <v>0</v>
      </c>
      <c r="AP439">
        <f t="shared" si="55"/>
        <v>0</v>
      </c>
    </row>
    <row r="440" customHeight="1" spans="1:42">
      <c r="A440" s="5" t="s">
        <v>367</v>
      </c>
      <c r="C440" s="5">
        <v>5</v>
      </c>
      <c r="D440" s="1" t="s">
        <v>240</v>
      </c>
      <c r="E440" s="1" t="s">
        <v>224</v>
      </c>
      <c r="L440" s="1">
        <f>IFERROR(VLOOKUP($D440&amp;$C440,生产方式定位!$A$2:$E$38,2,FALSE)+VLOOKUP($E440&amp;$C440,生产方式定位!$F$3:$J$38,2,FALSE),0)</f>
        <v>11000</v>
      </c>
      <c r="S440" s="1">
        <f>IFERROR(VLOOKUP($D440&amp;$C440,生产方式定位!$A$2:$E$38,3,FALSE)+VLOOKUP($E440&amp;$C440,生产方式定位!$F$3:$J$38,3,FALSE),0)</f>
        <v>10800</v>
      </c>
      <c r="X440" s="1">
        <f>IFERROR(VLOOKUP($D440&amp;$C440,生产方式定位!$A$2:$E$38,5,FALSE)+VLOOKUP($E440&amp;$C440,生产方式定位!$F$3:$J$38,5,FALSE),"错误")</f>
        <v>12100</v>
      </c>
      <c r="Y440" s="27" t="str">
        <f t="shared" si="48"/>
        <v/>
      </c>
      <c r="Z440" s="37" t="str">
        <f t="shared" si="49"/>
        <v/>
      </c>
      <c r="AA440" s="37" t="str">
        <f t="shared" si="50"/>
        <v/>
      </c>
      <c r="AB440" s="28">
        <f t="shared" si="51"/>
        <v>0.91</v>
      </c>
      <c r="AC440" s="37"/>
      <c r="AD440" s="38">
        <f t="shared" si="52"/>
        <v>5</v>
      </c>
      <c r="AE440" t="str">
        <f>IFERROR(F440&amp;"*"&amp;ROUND(L440*(G440/$AN440)/VLOOKUP(F440,商品!$A$4:$D$67,4,FALSE),0),"")</f>
        <v/>
      </c>
      <c r="AF440" t="str">
        <f>IFERROR(H440&amp;"*"&amp;ROUND(L440*(I440/$AN440)/VLOOKUP(H440,商品!$A$4:$D$67,4,FALSE),0),"")</f>
        <v/>
      </c>
      <c r="AG440" t="str">
        <f>IFERROR(J440&amp;"*"&amp;ROUND(L440*(K440/$AN440)/VLOOKUP(J440,商品!$A$4:$D$67,4,FALSE),0),"")</f>
        <v/>
      </c>
      <c r="AH440" t="str">
        <f>IFERROR(M440&amp;"*"&amp;ROUND(S440*(N440/$AO440)/VLOOKUP(M440,职业!$A$3:$E$16,4,FALSE),0),"")</f>
        <v/>
      </c>
      <c r="AI440" t="str">
        <f>IFERROR(O440&amp;"*"&amp;ROUND(S440*(P440/$AO440)/VLOOKUP(O440,职业!$A$3:$E$16,4,FALSE),0),"")</f>
        <v/>
      </c>
      <c r="AK440" t="str">
        <f>IFERROR(T440&amp;"*"&amp;ROUND(X440*(U440/$AP440)/VLOOKUP(T440,商品!$A$4:$D$67,4,FALSE),0),"")</f>
        <v/>
      </c>
      <c r="AL440" t="str">
        <f>IFERROR(V440&amp;"*"&amp;ROUND(X440*(W440/$AP440)/VLOOKUP(V440,商品!$A$4:$D$67,4,FALSE),0),"")</f>
        <v/>
      </c>
      <c r="AN440">
        <f t="shared" si="53"/>
        <v>0</v>
      </c>
      <c r="AO440">
        <f t="shared" si="54"/>
        <v>0</v>
      </c>
      <c r="AP440">
        <f t="shared" si="55"/>
        <v>0</v>
      </c>
    </row>
    <row r="441" customHeight="1" spans="1:42">
      <c r="A441" s="18" t="s">
        <v>368</v>
      </c>
      <c r="C441" s="18">
        <v>1</v>
      </c>
      <c r="D441" s="1" t="s">
        <v>240</v>
      </c>
      <c r="E441" s="1" t="s">
        <v>225</v>
      </c>
      <c r="L441" s="1">
        <f>IFERROR(VLOOKUP($D441&amp;$C441,生产方式定位!$A$2:$E$38,2,FALSE)+VLOOKUP($E441&amp;$C441,生产方式定位!$F$3:$J$38,2,FALSE),0)</f>
        <v>0</v>
      </c>
      <c r="S441" s="1">
        <f>IFERROR(VLOOKUP($D441&amp;$C441,生产方式定位!$A$2:$E$38,3,FALSE)+VLOOKUP($E441&amp;$C441,生产方式定位!$F$3:$J$38,3,FALSE),0)</f>
        <v>8000</v>
      </c>
      <c r="X441" s="1">
        <f>IFERROR(VLOOKUP($D441&amp;$C441,生产方式定位!$A$2:$E$38,5,FALSE)+VLOOKUP($E441&amp;$C441,生产方式定位!$F$3:$J$38,5,FALSE),"错误")</f>
        <v>4000</v>
      </c>
      <c r="Y441" s="27" t="str">
        <f t="shared" si="48"/>
        <v/>
      </c>
      <c r="Z441" s="37" t="str">
        <f t="shared" si="49"/>
        <v/>
      </c>
      <c r="AA441" s="37" t="str">
        <f t="shared" si="50"/>
        <v/>
      </c>
      <c r="AB441" s="28">
        <f t="shared" si="51"/>
        <v>0</v>
      </c>
      <c r="AC441" s="37"/>
      <c r="AD441" s="38">
        <f t="shared" si="52"/>
        <v>1</v>
      </c>
      <c r="AE441" t="str">
        <f>IFERROR(F441&amp;"*"&amp;ROUND(L441*(G441/$AN441)/VLOOKUP(F441,商品!$A$4:$D$67,4,FALSE),0),"")</f>
        <v/>
      </c>
      <c r="AF441" t="str">
        <f>IFERROR(H441&amp;"*"&amp;ROUND(L441*(I441/$AN441)/VLOOKUP(H441,商品!$A$4:$D$67,4,FALSE),0),"")</f>
        <v/>
      </c>
      <c r="AG441" t="str">
        <f>IFERROR(J441&amp;"*"&amp;ROUND(L441*(K441/$AN441)/VLOOKUP(J441,商品!$A$4:$D$67,4,FALSE),0),"")</f>
        <v/>
      </c>
      <c r="AH441" t="str">
        <f>IFERROR(M441&amp;"*"&amp;ROUND(S441*(N441/$AO441)/VLOOKUP(M441,职业!$A$3:$E$16,4,FALSE),0),"")</f>
        <v/>
      </c>
      <c r="AI441" t="str">
        <f>IFERROR(O441&amp;"*"&amp;ROUND(S441*(P441/$AO441)/VLOOKUP(O441,职业!$A$3:$E$16,4,FALSE),0),"")</f>
        <v/>
      </c>
      <c r="AK441" t="str">
        <f>IFERROR(T441&amp;"*"&amp;ROUND(X441*(U441/$AP441)/VLOOKUP(T441,商品!$A$4:$D$67,4,FALSE),0),"")</f>
        <v/>
      </c>
      <c r="AL441" t="str">
        <f>IFERROR(V441&amp;"*"&amp;ROUND(X441*(W441/$AP441)/VLOOKUP(V441,商品!$A$4:$D$67,4,FALSE),0),"")</f>
        <v/>
      </c>
      <c r="AN441">
        <f t="shared" si="53"/>
        <v>0</v>
      </c>
      <c r="AO441">
        <f t="shared" si="54"/>
        <v>0</v>
      </c>
      <c r="AP441">
        <f t="shared" si="55"/>
        <v>0</v>
      </c>
    </row>
    <row r="442" customHeight="1" spans="1:42">
      <c r="A442" s="18" t="s">
        <v>368</v>
      </c>
      <c r="C442" s="18">
        <v>2</v>
      </c>
      <c r="D442" s="1" t="s">
        <v>240</v>
      </c>
      <c r="E442" s="1" t="s">
        <v>225</v>
      </c>
      <c r="L442" s="1">
        <f>IFERROR(VLOOKUP($D442&amp;$C442,生产方式定位!$A$2:$E$38,2,FALSE)+VLOOKUP($E442&amp;$C442,生产方式定位!$F$3:$J$38,2,FALSE),0)</f>
        <v>11000</v>
      </c>
      <c r="S442" s="1">
        <f>IFERROR(VLOOKUP($D442&amp;$C442,生产方式定位!$A$2:$E$38,3,FALSE)+VLOOKUP($E442&amp;$C442,生产方式定位!$F$3:$J$38,3,FALSE),0)</f>
        <v>10500</v>
      </c>
      <c r="X442" s="1">
        <f>IFERROR(VLOOKUP($D442&amp;$C442,生产方式定位!$A$2:$E$38,5,FALSE)+VLOOKUP($E442&amp;$C442,生产方式定位!$F$3:$J$38,5,FALSE),"错误")</f>
        <v>10795</v>
      </c>
      <c r="Y442" s="27" t="str">
        <f t="shared" si="48"/>
        <v/>
      </c>
      <c r="Z442" s="37" t="str">
        <f t="shared" si="49"/>
        <v/>
      </c>
      <c r="AA442" s="37" t="str">
        <f t="shared" si="50"/>
        <v/>
      </c>
      <c r="AB442" s="28">
        <f t="shared" si="51"/>
        <v>1.02</v>
      </c>
      <c r="AC442" s="37"/>
      <c r="AD442" s="38">
        <f t="shared" si="52"/>
        <v>2</v>
      </c>
      <c r="AE442" t="str">
        <f>IFERROR(F442&amp;"*"&amp;ROUND(L442*(G442/$AN442)/VLOOKUP(F442,商品!$A$4:$D$67,4,FALSE),0),"")</f>
        <v/>
      </c>
      <c r="AF442" t="str">
        <f>IFERROR(H442&amp;"*"&amp;ROUND(L442*(I442/$AN442)/VLOOKUP(H442,商品!$A$4:$D$67,4,FALSE),0),"")</f>
        <v/>
      </c>
      <c r="AG442" t="str">
        <f>IFERROR(J442&amp;"*"&amp;ROUND(L442*(K442/$AN442)/VLOOKUP(J442,商品!$A$4:$D$67,4,FALSE),0),"")</f>
        <v/>
      </c>
      <c r="AH442" t="str">
        <f>IFERROR(M442&amp;"*"&amp;ROUND(S442*(N442/$AO442)/VLOOKUP(M442,职业!$A$3:$E$16,4,FALSE),0),"")</f>
        <v/>
      </c>
      <c r="AI442" t="str">
        <f>IFERROR(O442&amp;"*"&amp;ROUND(S442*(P442/$AO442)/VLOOKUP(O442,职业!$A$3:$E$16,4,FALSE),0),"")</f>
        <v/>
      </c>
      <c r="AK442" t="str">
        <f>IFERROR(T442&amp;"*"&amp;ROUND(X442*(U442/$AP442)/VLOOKUP(T442,商品!$A$4:$D$67,4,FALSE),0),"")</f>
        <v/>
      </c>
      <c r="AL442" t="str">
        <f>IFERROR(V442&amp;"*"&amp;ROUND(X442*(W442/$AP442)/VLOOKUP(V442,商品!$A$4:$D$67,4,FALSE),0),"")</f>
        <v/>
      </c>
      <c r="AN442">
        <f t="shared" si="53"/>
        <v>0</v>
      </c>
      <c r="AO442">
        <f t="shared" si="54"/>
        <v>0</v>
      </c>
      <c r="AP442">
        <f t="shared" si="55"/>
        <v>0</v>
      </c>
    </row>
    <row r="443" customHeight="1" spans="1:42">
      <c r="A443" s="18" t="s">
        <v>368</v>
      </c>
      <c r="C443" s="18">
        <v>3</v>
      </c>
      <c r="D443" s="1" t="s">
        <v>240</v>
      </c>
      <c r="E443" s="1" t="s">
        <v>225</v>
      </c>
      <c r="L443" s="1">
        <f>IFERROR(VLOOKUP($D443&amp;$C443,生产方式定位!$A$2:$E$38,2,FALSE)+VLOOKUP($E443&amp;$C443,生产方式定位!$F$3:$J$38,2,FALSE),0)</f>
        <v>11000</v>
      </c>
      <c r="S443" s="1">
        <f>IFERROR(VLOOKUP($D443&amp;$C443,生产方式定位!$A$2:$E$38,3,FALSE)+VLOOKUP($E443&amp;$C443,生产方式定位!$F$3:$J$38,3,FALSE),0)</f>
        <v>12000</v>
      </c>
      <c r="X443" s="1">
        <f>IFERROR(VLOOKUP($D443&amp;$C443,生产方式定位!$A$2:$E$38,5,FALSE)+VLOOKUP($E443&amp;$C443,生产方式定位!$F$3:$J$38,5,FALSE),"错误")</f>
        <v>11650</v>
      </c>
      <c r="Y443" s="27" t="str">
        <f t="shared" si="48"/>
        <v/>
      </c>
      <c r="Z443" s="37" t="str">
        <f t="shared" si="49"/>
        <v/>
      </c>
      <c r="AA443" s="37" t="str">
        <f t="shared" si="50"/>
        <v/>
      </c>
      <c r="AB443" s="28">
        <f t="shared" si="51"/>
        <v>0.94</v>
      </c>
      <c r="AC443" s="37"/>
      <c r="AD443" s="38">
        <f t="shared" si="52"/>
        <v>3</v>
      </c>
      <c r="AE443" t="str">
        <f>IFERROR(F443&amp;"*"&amp;ROUND(L443*(G443/$AN443)/VLOOKUP(F443,商品!$A$4:$D$67,4,FALSE),0),"")</f>
        <v/>
      </c>
      <c r="AF443" t="str">
        <f>IFERROR(H443&amp;"*"&amp;ROUND(L443*(I443/$AN443)/VLOOKUP(H443,商品!$A$4:$D$67,4,FALSE),0),"")</f>
        <v/>
      </c>
      <c r="AG443" t="str">
        <f>IFERROR(J443&amp;"*"&amp;ROUND(L443*(K443/$AN443)/VLOOKUP(J443,商品!$A$4:$D$67,4,FALSE),0),"")</f>
        <v/>
      </c>
      <c r="AH443" t="str">
        <f>IFERROR(M443&amp;"*"&amp;ROUND(S443*(N443/$AO443)/VLOOKUP(M443,职业!$A$3:$E$16,4,FALSE),0),"")</f>
        <v/>
      </c>
      <c r="AI443" t="str">
        <f>IFERROR(O443&amp;"*"&amp;ROUND(S443*(P443/$AO443)/VLOOKUP(O443,职业!$A$3:$E$16,4,FALSE),0),"")</f>
        <v/>
      </c>
      <c r="AK443" t="str">
        <f>IFERROR(T443&amp;"*"&amp;ROUND(X443*(U443/$AP443)/VLOOKUP(T443,商品!$A$4:$D$67,4,FALSE),0),"")</f>
        <v/>
      </c>
      <c r="AL443" t="str">
        <f>IFERROR(V443&amp;"*"&amp;ROUND(X443*(W443/$AP443)/VLOOKUP(V443,商品!$A$4:$D$67,4,FALSE),0),"")</f>
        <v/>
      </c>
      <c r="AN443">
        <f t="shared" si="53"/>
        <v>0</v>
      </c>
      <c r="AO443">
        <f t="shared" si="54"/>
        <v>0</v>
      </c>
      <c r="AP443">
        <f t="shared" si="55"/>
        <v>0</v>
      </c>
    </row>
    <row r="444" customHeight="1" spans="1:42">
      <c r="A444" s="18" t="s">
        <v>368</v>
      </c>
      <c r="C444" s="18">
        <v>4</v>
      </c>
      <c r="D444" s="1" t="s">
        <v>240</v>
      </c>
      <c r="E444" s="1" t="s">
        <v>225</v>
      </c>
      <c r="L444" s="1">
        <f>IFERROR(VLOOKUP($D444&amp;$C444,生产方式定位!$A$2:$E$38,2,FALSE)+VLOOKUP($E444&amp;$C444,生产方式定位!$F$3:$J$38,2,FALSE),0)</f>
        <v>11000</v>
      </c>
      <c r="S444" s="1">
        <f>IFERROR(VLOOKUP($D444&amp;$C444,生产方式定位!$A$2:$E$38,3,FALSE)+VLOOKUP($E444&amp;$C444,生产方式定位!$F$3:$J$38,3,FALSE),0)</f>
        <v>13500</v>
      </c>
      <c r="X444" s="1">
        <f>IFERROR(VLOOKUP($D444&amp;$C444,生产方式定位!$A$2:$E$38,5,FALSE)+VLOOKUP($E444&amp;$C444,生产方式定位!$F$3:$J$38,5,FALSE),"错误")</f>
        <v>12565</v>
      </c>
      <c r="Y444" s="27" t="str">
        <f t="shared" si="48"/>
        <v/>
      </c>
      <c r="Z444" s="37" t="str">
        <f t="shared" si="49"/>
        <v/>
      </c>
      <c r="AA444" s="37" t="str">
        <f t="shared" si="50"/>
        <v/>
      </c>
      <c r="AB444" s="28">
        <f t="shared" si="51"/>
        <v>0.88</v>
      </c>
      <c r="AC444" s="37"/>
      <c r="AD444" s="38">
        <f t="shared" si="52"/>
        <v>4</v>
      </c>
      <c r="AE444" t="str">
        <f>IFERROR(F444&amp;"*"&amp;ROUND(L444*(G444/$AN444)/VLOOKUP(F444,商品!$A$4:$D$67,4,FALSE),0),"")</f>
        <v/>
      </c>
      <c r="AF444" t="str">
        <f>IFERROR(H444&amp;"*"&amp;ROUND(L444*(I444/$AN444)/VLOOKUP(H444,商品!$A$4:$D$67,4,FALSE),0),"")</f>
        <v/>
      </c>
      <c r="AG444" t="str">
        <f>IFERROR(J444&amp;"*"&amp;ROUND(L444*(K444/$AN444)/VLOOKUP(J444,商品!$A$4:$D$67,4,FALSE),0),"")</f>
        <v/>
      </c>
      <c r="AH444" t="str">
        <f>IFERROR(M444&amp;"*"&amp;ROUND(S444*(N444/$AO444)/VLOOKUP(M444,职业!$A$3:$E$16,4,FALSE),0),"")</f>
        <v/>
      </c>
      <c r="AI444" t="str">
        <f>IFERROR(O444&amp;"*"&amp;ROUND(S444*(P444/$AO444)/VLOOKUP(O444,职业!$A$3:$E$16,4,FALSE),0),"")</f>
        <v/>
      </c>
      <c r="AK444" t="str">
        <f>IFERROR(T444&amp;"*"&amp;ROUND(X444*(U444/$AP444)/VLOOKUP(T444,商品!$A$4:$D$67,4,FALSE),0),"")</f>
        <v/>
      </c>
      <c r="AL444" t="str">
        <f>IFERROR(V444&amp;"*"&amp;ROUND(X444*(W444/$AP444)/VLOOKUP(V444,商品!$A$4:$D$67,4,FALSE),0),"")</f>
        <v/>
      </c>
      <c r="AN444">
        <f t="shared" si="53"/>
        <v>0</v>
      </c>
      <c r="AO444">
        <f t="shared" si="54"/>
        <v>0</v>
      </c>
      <c r="AP444">
        <f t="shared" si="55"/>
        <v>0</v>
      </c>
    </row>
    <row r="445" customHeight="1" spans="1:42">
      <c r="A445" s="18" t="s">
        <v>368</v>
      </c>
      <c r="C445" s="18">
        <v>5</v>
      </c>
      <c r="D445" s="1" t="s">
        <v>240</v>
      </c>
      <c r="E445" s="1" t="s">
        <v>225</v>
      </c>
      <c r="L445" s="1">
        <f>IFERROR(VLOOKUP($D445&amp;$C445,生产方式定位!$A$2:$E$38,2,FALSE)+VLOOKUP($E445&amp;$C445,生产方式定位!$F$3:$J$38,2,FALSE),0)</f>
        <v>11000</v>
      </c>
      <c r="S445" s="1">
        <f>IFERROR(VLOOKUP($D445&amp;$C445,生产方式定位!$A$2:$E$38,3,FALSE)+VLOOKUP($E445&amp;$C445,生产方式定位!$F$3:$J$38,3,FALSE),0)</f>
        <v>15000</v>
      </c>
      <c r="X445" s="1">
        <f>IFERROR(VLOOKUP($D445&amp;$C445,生产方式定位!$A$2:$E$38,5,FALSE)+VLOOKUP($E445&amp;$C445,生产方式定位!$F$3:$J$38,5,FALSE),"错误")</f>
        <v>13563</v>
      </c>
      <c r="Y445" s="27" t="str">
        <f t="shared" si="48"/>
        <v/>
      </c>
      <c r="Z445" s="37" t="str">
        <f t="shared" si="49"/>
        <v/>
      </c>
      <c r="AA445" s="37" t="str">
        <f t="shared" si="50"/>
        <v/>
      </c>
      <c r="AB445" s="28">
        <f t="shared" si="51"/>
        <v>0.81</v>
      </c>
      <c r="AC445" s="37"/>
      <c r="AD445" s="38">
        <f t="shared" si="52"/>
        <v>5</v>
      </c>
      <c r="AE445" t="str">
        <f>IFERROR(F445&amp;"*"&amp;ROUND(L445*(G445/$AN445)/VLOOKUP(F445,商品!$A$4:$D$67,4,FALSE),0),"")</f>
        <v/>
      </c>
      <c r="AF445" t="str">
        <f>IFERROR(H445&amp;"*"&amp;ROUND(L445*(I445/$AN445)/VLOOKUP(H445,商品!$A$4:$D$67,4,FALSE),0),"")</f>
        <v/>
      </c>
      <c r="AG445" t="str">
        <f>IFERROR(J445&amp;"*"&amp;ROUND(L445*(K445/$AN445)/VLOOKUP(J445,商品!$A$4:$D$67,4,FALSE),0),"")</f>
        <v/>
      </c>
      <c r="AH445" t="str">
        <f>IFERROR(M445&amp;"*"&amp;ROUND(S445*(N445/$AO445)/VLOOKUP(M445,职业!$A$3:$E$16,4,FALSE),0),"")</f>
        <v/>
      </c>
      <c r="AI445" t="str">
        <f>IFERROR(O445&amp;"*"&amp;ROUND(S445*(P445/$AO445)/VLOOKUP(O445,职业!$A$3:$E$16,4,FALSE),0),"")</f>
        <v/>
      </c>
      <c r="AK445" t="str">
        <f>IFERROR(T445&amp;"*"&amp;ROUND(X445*(U445/$AP445)/VLOOKUP(T445,商品!$A$4:$D$67,4,FALSE),0),"")</f>
        <v/>
      </c>
      <c r="AL445" t="str">
        <f>IFERROR(V445&amp;"*"&amp;ROUND(X445*(W445/$AP445)/VLOOKUP(V445,商品!$A$4:$D$67,4,FALSE),0),"")</f>
        <v/>
      </c>
      <c r="AN445">
        <f t="shared" si="53"/>
        <v>0</v>
      </c>
      <c r="AO445">
        <f t="shared" si="54"/>
        <v>0</v>
      </c>
      <c r="AP445">
        <f t="shared" si="55"/>
        <v>0</v>
      </c>
    </row>
    <row r="446" customHeight="1" spans="1:42">
      <c r="A446" s="5" t="s">
        <v>369</v>
      </c>
      <c r="C446" s="5">
        <v>1</v>
      </c>
      <c r="D446" s="1" t="s">
        <v>240</v>
      </c>
      <c r="E446" s="1" t="s">
        <v>226</v>
      </c>
      <c r="L446" s="1">
        <f>IFERROR(VLOOKUP($D446&amp;$C446,生产方式定位!$A$2:$E$38,2,FALSE)+VLOOKUP($E446&amp;$C446,生产方式定位!$F$3:$J$38,2,FALSE),0)</f>
        <v>0</v>
      </c>
      <c r="S446" s="1">
        <f>IFERROR(VLOOKUP($D446&amp;$C446,生产方式定位!$A$2:$E$38,3,FALSE)+VLOOKUP($E446&amp;$C446,生产方式定位!$F$3:$J$38,3,FALSE),0)</f>
        <v>8000</v>
      </c>
      <c r="X446" s="1">
        <f>IFERROR(VLOOKUP($D446&amp;$C446,生产方式定位!$A$2:$E$38,5,FALSE)+VLOOKUP($E446&amp;$C446,生产方式定位!$F$3:$J$38,5,FALSE),"错误")</f>
        <v>4000</v>
      </c>
      <c r="Y446" s="27" t="str">
        <f t="shared" si="48"/>
        <v/>
      </c>
      <c r="Z446" s="37" t="str">
        <f t="shared" si="49"/>
        <v/>
      </c>
      <c r="AA446" s="37" t="str">
        <f t="shared" si="50"/>
        <v/>
      </c>
      <c r="AB446" s="28">
        <f t="shared" si="51"/>
        <v>0</v>
      </c>
      <c r="AC446" s="37"/>
      <c r="AD446" s="38">
        <f t="shared" si="52"/>
        <v>1</v>
      </c>
      <c r="AE446" t="str">
        <f>IFERROR(F446&amp;"*"&amp;ROUND(L446*(G446/$AN446)/VLOOKUP(F446,商品!$A$4:$D$67,4,FALSE),0),"")</f>
        <v/>
      </c>
      <c r="AF446" t="str">
        <f>IFERROR(H446&amp;"*"&amp;ROUND(L446*(I446/$AN446)/VLOOKUP(H446,商品!$A$4:$D$67,4,FALSE),0),"")</f>
        <v/>
      </c>
      <c r="AG446" t="str">
        <f>IFERROR(J446&amp;"*"&amp;ROUND(L446*(K446/$AN446)/VLOOKUP(J446,商品!$A$4:$D$67,4,FALSE),0),"")</f>
        <v/>
      </c>
      <c r="AH446" t="str">
        <f>IFERROR(M446&amp;"*"&amp;ROUND(S446*(N446/$AO446)/VLOOKUP(M446,职业!$A$3:$E$16,4,FALSE),0),"")</f>
        <v/>
      </c>
      <c r="AI446" t="str">
        <f>IFERROR(O446&amp;"*"&amp;ROUND(S446*(P446/$AO446)/VLOOKUP(O446,职业!$A$3:$E$16,4,FALSE),0),"")</f>
        <v/>
      </c>
      <c r="AK446" t="str">
        <f>IFERROR(T446&amp;"*"&amp;ROUND(X446*(U446/$AP446)/VLOOKUP(T446,商品!$A$4:$D$67,4,FALSE),0),"")</f>
        <v/>
      </c>
      <c r="AL446" t="str">
        <f>IFERROR(V446&amp;"*"&amp;ROUND(X446*(W446/$AP446)/VLOOKUP(V446,商品!$A$4:$D$67,4,FALSE),0),"")</f>
        <v/>
      </c>
      <c r="AN446">
        <f t="shared" si="53"/>
        <v>0</v>
      </c>
      <c r="AO446">
        <f t="shared" si="54"/>
        <v>0</v>
      </c>
      <c r="AP446">
        <f t="shared" si="55"/>
        <v>0</v>
      </c>
    </row>
    <row r="447" customHeight="1" spans="1:42">
      <c r="A447" s="5" t="s">
        <v>369</v>
      </c>
      <c r="C447" s="5">
        <v>2</v>
      </c>
      <c r="D447" s="1" t="s">
        <v>240</v>
      </c>
      <c r="E447" s="1" t="s">
        <v>226</v>
      </c>
      <c r="L447" s="1">
        <f>IFERROR(VLOOKUP($D447&amp;$C447,生产方式定位!$A$2:$E$38,2,FALSE)+VLOOKUP($E447&amp;$C447,生产方式定位!$F$3:$J$38,2,FALSE),0)</f>
        <v>12000</v>
      </c>
      <c r="S447" s="1">
        <f>IFERROR(VLOOKUP($D447&amp;$C447,生产方式定位!$A$2:$E$38,3,FALSE)+VLOOKUP($E447&amp;$C447,生产方式定位!$F$3:$J$38,3,FALSE),0)</f>
        <v>8300</v>
      </c>
      <c r="X447" s="1">
        <f>IFERROR(VLOOKUP($D447&amp;$C447,生产方式定位!$A$2:$E$38,5,FALSE)+VLOOKUP($E447&amp;$C447,生产方式定位!$F$3:$J$38,5,FALSE),"错误")</f>
        <v>10240</v>
      </c>
      <c r="Y447" s="27" t="str">
        <f t="shared" si="48"/>
        <v/>
      </c>
      <c r="Z447" s="37" t="str">
        <f t="shared" si="49"/>
        <v/>
      </c>
      <c r="AA447" s="37" t="str">
        <f t="shared" si="50"/>
        <v/>
      </c>
      <c r="AB447" s="28">
        <f t="shared" si="51"/>
        <v>1.17</v>
      </c>
      <c r="AC447" s="37"/>
      <c r="AD447" s="38">
        <f t="shared" si="52"/>
        <v>2</v>
      </c>
      <c r="AE447" t="str">
        <f>IFERROR(F447&amp;"*"&amp;ROUND(L447*(G447/$AN447)/VLOOKUP(F447,商品!$A$4:$D$67,4,FALSE),0),"")</f>
        <v/>
      </c>
      <c r="AF447" t="str">
        <f>IFERROR(H447&amp;"*"&amp;ROUND(L447*(I447/$AN447)/VLOOKUP(H447,商品!$A$4:$D$67,4,FALSE),0),"")</f>
        <v/>
      </c>
      <c r="AG447" t="str">
        <f>IFERROR(J447&amp;"*"&amp;ROUND(L447*(K447/$AN447)/VLOOKUP(J447,商品!$A$4:$D$67,4,FALSE),0),"")</f>
        <v/>
      </c>
      <c r="AH447" t="str">
        <f>IFERROR(M447&amp;"*"&amp;ROUND(S447*(N447/$AO447)/VLOOKUP(M447,职业!$A$3:$E$16,4,FALSE),0),"")</f>
        <v/>
      </c>
      <c r="AI447" t="str">
        <f>IFERROR(O447&amp;"*"&amp;ROUND(S447*(P447/$AO447)/VLOOKUP(O447,职业!$A$3:$E$16,4,FALSE),0),"")</f>
        <v/>
      </c>
      <c r="AK447" t="str">
        <f>IFERROR(T447&amp;"*"&amp;ROUND(X447*(U447/$AP447)/VLOOKUP(T447,商品!$A$4:$D$67,4,FALSE),0),"")</f>
        <v/>
      </c>
      <c r="AL447" t="str">
        <f>IFERROR(V447&amp;"*"&amp;ROUND(X447*(W447/$AP447)/VLOOKUP(V447,商品!$A$4:$D$67,4,FALSE),0),"")</f>
        <v/>
      </c>
      <c r="AN447">
        <f t="shared" si="53"/>
        <v>0</v>
      </c>
      <c r="AO447">
        <f t="shared" si="54"/>
        <v>0</v>
      </c>
      <c r="AP447">
        <f t="shared" si="55"/>
        <v>0</v>
      </c>
    </row>
    <row r="448" customHeight="1" spans="1:42">
      <c r="A448" s="5" t="s">
        <v>369</v>
      </c>
      <c r="C448" s="5">
        <v>3</v>
      </c>
      <c r="D448" s="1" t="s">
        <v>240</v>
      </c>
      <c r="E448" s="1" t="s">
        <v>226</v>
      </c>
      <c r="L448" s="1">
        <f>IFERROR(VLOOKUP($D448&amp;$C448,生产方式定位!$A$2:$E$38,2,FALSE)+VLOOKUP($E448&amp;$C448,生产方式定位!$F$3:$J$38,2,FALSE),0)</f>
        <v>12000</v>
      </c>
      <c r="S448" s="1">
        <f>IFERROR(VLOOKUP($D448&amp;$C448,生产方式定位!$A$2:$E$38,3,FALSE)+VLOOKUP($E448&amp;$C448,生产方式定位!$F$3:$J$38,3,FALSE),0)</f>
        <v>8600</v>
      </c>
      <c r="X448" s="1">
        <f>IFERROR(VLOOKUP($D448&amp;$C448,生产方式定位!$A$2:$E$38,5,FALSE)+VLOOKUP($E448&amp;$C448,生产方式定位!$F$3:$J$38,5,FALSE),"错误")</f>
        <v>10560</v>
      </c>
      <c r="Y448" s="27" t="str">
        <f t="shared" si="48"/>
        <v/>
      </c>
      <c r="Z448" s="37" t="str">
        <f t="shared" si="49"/>
        <v/>
      </c>
      <c r="AA448" s="37" t="str">
        <f t="shared" si="50"/>
        <v/>
      </c>
      <c r="AB448" s="28">
        <f t="shared" si="51"/>
        <v>1.14</v>
      </c>
      <c r="AC448" s="37"/>
      <c r="AD448" s="38">
        <f t="shared" si="52"/>
        <v>3</v>
      </c>
      <c r="AE448" t="str">
        <f>IFERROR(F448&amp;"*"&amp;ROUND(L448*(G448/$AN448)/VLOOKUP(F448,商品!$A$4:$D$67,4,FALSE),0),"")</f>
        <v/>
      </c>
      <c r="AF448" t="str">
        <f>IFERROR(H448&amp;"*"&amp;ROUND(L448*(I448/$AN448)/VLOOKUP(H448,商品!$A$4:$D$67,4,FALSE),0),"")</f>
        <v/>
      </c>
      <c r="AG448" t="str">
        <f>IFERROR(J448&amp;"*"&amp;ROUND(L448*(K448/$AN448)/VLOOKUP(J448,商品!$A$4:$D$67,4,FALSE),0),"")</f>
        <v/>
      </c>
      <c r="AH448" t="str">
        <f>IFERROR(M448&amp;"*"&amp;ROUND(S448*(N448/$AO448)/VLOOKUP(M448,职业!$A$3:$E$16,4,FALSE),0),"")</f>
        <v/>
      </c>
      <c r="AI448" t="str">
        <f>IFERROR(O448&amp;"*"&amp;ROUND(S448*(P448/$AO448)/VLOOKUP(O448,职业!$A$3:$E$16,4,FALSE),0),"")</f>
        <v/>
      </c>
      <c r="AK448" t="str">
        <f>IFERROR(T448&amp;"*"&amp;ROUND(X448*(U448/$AP448)/VLOOKUP(T448,商品!$A$4:$D$67,4,FALSE),0),"")</f>
        <v/>
      </c>
      <c r="AL448" t="str">
        <f>IFERROR(V448&amp;"*"&amp;ROUND(X448*(W448/$AP448)/VLOOKUP(V448,商品!$A$4:$D$67,4,FALSE),0),"")</f>
        <v/>
      </c>
      <c r="AN448">
        <f t="shared" si="53"/>
        <v>0</v>
      </c>
      <c r="AO448">
        <f t="shared" si="54"/>
        <v>0</v>
      </c>
      <c r="AP448">
        <f t="shared" si="55"/>
        <v>0</v>
      </c>
    </row>
    <row r="449" customHeight="1" spans="1:42">
      <c r="A449" s="5" t="s">
        <v>369</v>
      </c>
      <c r="C449" s="5">
        <v>4</v>
      </c>
      <c r="D449" s="1" t="s">
        <v>240</v>
      </c>
      <c r="E449" s="1" t="s">
        <v>226</v>
      </c>
      <c r="L449" s="1">
        <f>IFERROR(VLOOKUP($D449&amp;$C449,生产方式定位!$A$2:$E$38,2,FALSE)+VLOOKUP($E449&amp;$C449,生产方式定位!$F$3:$J$38,2,FALSE),0)</f>
        <v>12000</v>
      </c>
      <c r="S449" s="1">
        <f>IFERROR(VLOOKUP($D449&amp;$C449,生产方式定位!$A$2:$E$38,3,FALSE)+VLOOKUP($E449&amp;$C449,生产方式定位!$F$3:$J$38,3,FALSE),0)</f>
        <v>8900</v>
      </c>
      <c r="X449" s="1">
        <f>IFERROR(VLOOKUP($D449&amp;$C449,生产方式定位!$A$2:$E$38,5,FALSE)+VLOOKUP($E449&amp;$C449,生产方式定位!$F$3:$J$38,5,FALSE),"错误")</f>
        <v>10960</v>
      </c>
      <c r="Y449" s="27" t="str">
        <f t="shared" si="48"/>
        <v/>
      </c>
      <c r="Z449" s="37" t="str">
        <f t="shared" si="49"/>
        <v/>
      </c>
      <c r="AA449" s="37" t="str">
        <f t="shared" si="50"/>
        <v/>
      </c>
      <c r="AB449" s="28">
        <f t="shared" si="51"/>
        <v>1.09</v>
      </c>
      <c r="AC449" s="37"/>
      <c r="AD449" s="38">
        <f t="shared" si="52"/>
        <v>4</v>
      </c>
      <c r="AE449" t="str">
        <f>IFERROR(F449&amp;"*"&amp;ROUND(L449*(G449/$AN449)/VLOOKUP(F449,商品!$A$4:$D$67,4,FALSE),0),"")</f>
        <v/>
      </c>
      <c r="AF449" t="str">
        <f>IFERROR(H449&amp;"*"&amp;ROUND(L449*(I449/$AN449)/VLOOKUP(H449,商品!$A$4:$D$67,4,FALSE),0),"")</f>
        <v/>
      </c>
      <c r="AG449" t="str">
        <f>IFERROR(J449&amp;"*"&amp;ROUND(L449*(K449/$AN449)/VLOOKUP(J449,商品!$A$4:$D$67,4,FALSE),0),"")</f>
        <v/>
      </c>
      <c r="AH449" t="str">
        <f>IFERROR(M449&amp;"*"&amp;ROUND(S449*(N449/$AO449)/VLOOKUP(M449,职业!$A$3:$E$16,4,FALSE),0),"")</f>
        <v/>
      </c>
      <c r="AI449" t="str">
        <f>IFERROR(O449&amp;"*"&amp;ROUND(S449*(P449/$AO449)/VLOOKUP(O449,职业!$A$3:$E$16,4,FALSE),0),"")</f>
        <v/>
      </c>
      <c r="AK449" t="str">
        <f>IFERROR(T449&amp;"*"&amp;ROUND(X449*(U449/$AP449)/VLOOKUP(T449,商品!$A$4:$D$67,4,FALSE),0),"")</f>
        <v/>
      </c>
      <c r="AL449" t="str">
        <f>IFERROR(V449&amp;"*"&amp;ROUND(X449*(W449/$AP449)/VLOOKUP(V449,商品!$A$4:$D$67,4,FALSE),0),"")</f>
        <v/>
      </c>
      <c r="AN449">
        <f t="shared" si="53"/>
        <v>0</v>
      </c>
      <c r="AO449">
        <f t="shared" si="54"/>
        <v>0</v>
      </c>
      <c r="AP449">
        <f t="shared" si="55"/>
        <v>0</v>
      </c>
    </row>
    <row r="450" customHeight="1" spans="1:42">
      <c r="A450" s="5" t="s">
        <v>369</v>
      </c>
      <c r="C450" s="5">
        <v>5</v>
      </c>
      <c r="D450" s="1" t="s">
        <v>240</v>
      </c>
      <c r="E450" s="1" t="s">
        <v>226</v>
      </c>
      <c r="L450" s="1">
        <f>IFERROR(VLOOKUP($D450&amp;$C450,生产方式定位!$A$2:$E$38,2,FALSE)+VLOOKUP($E450&amp;$C450,生产方式定位!$F$3:$J$38,2,FALSE),0)</f>
        <v>12000</v>
      </c>
      <c r="S450" s="1">
        <f>IFERROR(VLOOKUP($D450&amp;$C450,生产方式定位!$A$2:$E$38,3,FALSE)+VLOOKUP($E450&amp;$C450,生产方式定位!$F$3:$J$38,3,FALSE),0)</f>
        <v>9200</v>
      </c>
      <c r="X450" s="1">
        <f>IFERROR(VLOOKUP($D450&amp;$C450,生产方式定位!$A$2:$E$38,5,FALSE)+VLOOKUP($E450&amp;$C450,生产方式定位!$F$3:$J$38,5,FALSE),"错误")</f>
        <v>11440</v>
      </c>
      <c r="Y450" s="27" t="str">
        <f t="shared" si="48"/>
        <v/>
      </c>
      <c r="Z450" s="37" t="str">
        <f t="shared" si="49"/>
        <v/>
      </c>
      <c r="AA450" s="37" t="str">
        <f t="shared" si="50"/>
        <v/>
      </c>
      <c r="AB450" s="28">
        <f t="shared" si="51"/>
        <v>1.05</v>
      </c>
      <c r="AC450" s="37"/>
      <c r="AD450" s="38">
        <f t="shared" si="52"/>
        <v>5</v>
      </c>
      <c r="AE450" t="str">
        <f>IFERROR(F450&amp;"*"&amp;ROUND(L450*(G450/$AN450)/VLOOKUP(F450,商品!$A$4:$D$67,4,FALSE),0),"")</f>
        <v/>
      </c>
      <c r="AF450" t="str">
        <f>IFERROR(H450&amp;"*"&amp;ROUND(L450*(I450/$AN450)/VLOOKUP(H450,商品!$A$4:$D$67,4,FALSE),0),"")</f>
        <v/>
      </c>
      <c r="AG450" t="str">
        <f>IFERROR(J450&amp;"*"&amp;ROUND(L450*(K450/$AN450)/VLOOKUP(J450,商品!$A$4:$D$67,4,FALSE),0),"")</f>
        <v/>
      </c>
      <c r="AH450" t="str">
        <f>IFERROR(M450&amp;"*"&amp;ROUND(S450*(N450/$AO450)/VLOOKUP(M450,职业!$A$3:$E$16,4,FALSE),0),"")</f>
        <v/>
      </c>
      <c r="AI450" t="str">
        <f>IFERROR(O450&amp;"*"&amp;ROUND(S450*(P450/$AO450)/VLOOKUP(O450,职业!$A$3:$E$16,4,FALSE),0),"")</f>
        <v/>
      </c>
      <c r="AK450" t="str">
        <f>IFERROR(T450&amp;"*"&amp;ROUND(X450*(U450/$AP450)/VLOOKUP(T450,商品!$A$4:$D$67,4,FALSE),0),"")</f>
        <v/>
      </c>
      <c r="AL450" t="str">
        <f>IFERROR(V450&amp;"*"&amp;ROUND(X450*(W450/$AP450)/VLOOKUP(V450,商品!$A$4:$D$67,4,FALSE),0),"")</f>
        <v/>
      </c>
      <c r="AN450">
        <f t="shared" si="53"/>
        <v>0</v>
      </c>
      <c r="AO450">
        <f t="shared" si="54"/>
        <v>0</v>
      </c>
      <c r="AP450">
        <f t="shared" si="55"/>
        <v>0</v>
      </c>
    </row>
    <row r="451" customHeight="1" spans="1:42">
      <c r="A451" s="18" t="s">
        <v>369</v>
      </c>
      <c r="C451" s="18">
        <v>1</v>
      </c>
      <c r="D451" s="1" t="s">
        <v>240</v>
      </c>
      <c r="E451" s="1" t="s">
        <v>226</v>
      </c>
      <c r="L451" s="1">
        <f>IFERROR(VLOOKUP($D451&amp;$C451,生产方式定位!$A$2:$E$38,2,FALSE)+VLOOKUP($E451&amp;$C451,生产方式定位!$F$3:$J$38,2,FALSE),0)</f>
        <v>0</v>
      </c>
      <c r="S451" s="1">
        <f>IFERROR(VLOOKUP($D451&amp;$C451,生产方式定位!$A$2:$E$38,3,FALSE)+VLOOKUP($E451&amp;$C451,生产方式定位!$F$3:$J$38,3,FALSE),0)</f>
        <v>8000</v>
      </c>
      <c r="X451" s="1">
        <f>IFERROR(VLOOKUP($D451&amp;$C451,生产方式定位!$A$2:$E$38,5,FALSE)+VLOOKUP($E451&amp;$C451,生产方式定位!$F$3:$J$38,5,FALSE),"错误")</f>
        <v>4000</v>
      </c>
      <c r="Y451" s="27" t="str">
        <f t="shared" si="48"/>
        <v/>
      </c>
      <c r="Z451" s="37" t="str">
        <f t="shared" si="49"/>
        <v/>
      </c>
      <c r="AA451" s="37" t="str">
        <f t="shared" si="50"/>
        <v/>
      </c>
      <c r="AB451" s="28">
        <f t="shared" si="51"/>
        <v>0</v>
      </c>
      <c r="AC451" s="37"/>
      <c r="AD451" s="38">
        <f t="shared" si="52"/>
        <v>1</v>
      </c>
      <c r="AE451" t="str">
        <f>IFERROR(F451&amp;"*"&amp;ROUND(L451*(G451/$AN451)/VLOOKUP(F451,商品!$A$4:$D$67,4,FALSE),0),"")</f>
        <v/>
      </c>
      <c r="AF451" t="str">
        <f>IFERROR(H451&amp;"*"&amp;ROUND(L451*(I451/$AN451)/VLOOKUP(H451,商品!$A$4:$D$67,4,FALSE),0),"")</f>
        <v/>
      </c>
      <c r="AG451" t="str">
        <f>IFERROR(J451&amp;"*"&amp;ROUND(L451*(K451/$AN451)/VLOOKUP(J451,商品!$A$4:$D$67,4,FALSE),0),"")</f>
        <v/>
      </c>
      <c r="AH451" t="str">
        <f>IFERROR(M451&amp;"*"&amp;ROUND(S451*(N451/$AO451)/VLOOKUP(M451,职业!$A$3:$E$16,4,FALSE),0),"")</f>
        <v/>
      </c>
      <c r="AI451" t="str">
        <f>IFERROR(O451&amp;"*"&amp;ROUND(S451*(P451/$AO451)/VLOOKUP(O451,职业!$A$3:$E$16,4,FALSE),0),"")</f>
        <v/>
      </c>
      <c r="AK451" t="str">
        <f>IFERROR(T451&amp;"*"&amp;ROUND(X451*(U451/$AP451)/VLOOKUP(T451,商品!$A$4:$D$67,4,FALSE),0),"")</f>
        <v/>
      </c>
      <c r="AL451" t="str">
        <f>IFERROR(V451&amp;"*"&amp;ROUND(X451*(W451/$AP451)/VLOOKUP(V451,商品!$A$4:$D$67,4,FALSE),0),"")</f>
        <v/>
      </c>
      <c r="AN451">
        <f t="shared" si="53"/>
        <v>0</v>
      </c>
      <c r="AO451">
        <f t="shared" si="54"/>
        <v>0</v>
      </c>
      <c r="AP451">
        <f t="shared" si="55"/>
        <v>0</v>
      </c>
    </row>
    <row r="452" customHeight="1" spans="1:42">
      <c r="A452" s="18" t="s">
        <v>369</v>
      </c>
      <c r="C452" s="18">
        <v>2</v>
      </c>
      <c r="D452" s="1" t="s">
        <v>240</v>
      </c>
      <c r="E452" s="1" t="s">
        <v>226</v>
      </c>
      <c r="L452" s="1">
        <f>IFERROR(VLOOKUP($D452&amp;$C452,生产方式定位!$A$2:$E$38,2,FALSE)+VLOOKUP($E452&amp;$C452,生产方式定位!$F$3:$J$38,2,FALSE),0)</f>
        <v>12000</v>
      </c>
      <c r="S452" s="1">
        <f>IFERROR(VLOOKUP($D452&amp;$C452,生产方式定位!$A$2:$E$38,3,FALSE)+VLOOKUP($E452&amp;$C452,生产方式定位!$F$3:$J$38,3,FALSE),0)</f>
        <v>8300</v>
      </c>
      <c r="X452" s="1">
        <f>IFERROR(VLOOKUP($D452&amp;$C452,生产方式定位!$A$2:$E$38,5,FALSE)+VLOOKUP($E452&amp;$C452,生产方式定位!$F$3:$J$38,5,FALSE),"错误")</f>
        <v>10240</v>
      </c>
      <c r="Y452" s="27" t="str">
        <f t="shared" si="48"/>
        <v/>
      </c>
      <c r="Z452" s="37" t="str">
        <f t="shared" si="49"/>
        <v/>
      </c>
      <c r="AA452" s="37" t="str">
        <f t="shared" si="50"/>
        <v/>
      </c>
      <c r="AB452" s="28">
        <f t="shared" si="51"/>
        <v>1.17</v>
      </c>
      <c r="AC452" s="37"/>
      <c r="AD452" s="38">
        <f t="shared" si="52"/>
        <v>2</v>
      </c>
      <c r="AE452" t="str">
        <f>IFERROR(F452&amp;"*"&amp;ROUND(L452*(G452/$AN452)/VLOOKUP(F452,商品!$A$4:$D$67,4,FALSE),0),"")</f>
        <v/>
      </c>
      <c r="AF452" t="str">
        <f>IFERROR(H452&amp;"*"&amp;ROUND(L452*(I452/$AN452)/VLOOKUP(H452,商品!$A$4:$D$67,4,FALSE),0),"")</f>
        <v/>
      </c>
      <c r="AG452" t="str">
        <f>IFERROR(J452&amp;"*"&amp;ROUND(L452*(K452/$AN452)/VLOOKUP(J452,商品!$A$4:$D$67,4,FALSE),0),"")</f>
        <v/>
      </c>
      <c r="AH452" t="str">
        <f>IFERROR(M452&amp;"*"&amp;ROUND(S452*(N452/$AO452)/VLOOKUP(M452,职业!$A$3:$E$16,4,FALSE),0),"")</f>
        <v/>
      </c>
      <c r="AI452" t="str">
        <f>IFERROR(O452&amp;"*"&amp;ROUND(S452*(P452/$AO452)/VLOOKUP(O452,职业!$A$3:$E$16,4,FALSE),0),"")</f>
        <v/>
      </c>
      <c r="AK452" t="str">
        <f>IFERROR(T452&amp;"*"&amp;ROUND(X452*(U452/$AP452)/VLOOKUP(T452,商品!$A$4:$D$67,4,FALSE),0),"")</f>
        <v/>
      </c>
      <c r="AL452" t="str">
        <f>IFERROR(V452&amp;"*"&amp;ROUND(X452*(W452/$AP452)/VLOOKUP(V452,商品!$A$4:$D$67,4,FALSE),0),"")</f>
        <v/>
      </c>
      <c r="AN452">
        <f t="shared" si="53"/>
        <v>0</v>
      </c>
      <c r="AO452">
        <f t="shared" si="54"/>
        <v>0</v>
      </c>
      <c r="AP452">
        <f t="shared" si="55"/>
        <v>0</v>
      </c>
    </row>
    <row r="453" customHeight="1" spans="1:42">
      <c r="A453" s="18" t="s">
        <v>369</v>
      </c>
      <c r="C453" s="18">
        <v>3</v>
      </c>
      <c r="D453" s="1" t="s">
        <v>240</v>
      </c>
      <c r="E453" s="1" t="s">
        <v>226</v>
      </c>
      <c r="L453" s="1">
        <f>IFERROR(VLOOKUP($D453&amp;$C453,生产方式定位!$A$2:$E$38,2,FALSE)+VLOOKUP($E453&amp;$C453,生产方式定位!$F$3:$J$38,2,FALSE),0)</f>
        <v>12000</v>
      </c>
      <c r="S453" s="1">
        <f>IFERROR(VLOOKUP($D453&amp;$C453,生产方式定位!$A$2:$E$38,3,FALSE)+VLOOKUP($E453&amp;$C453,生产方式定位!$F$3:$J$38,3,FALSE),0)</f>
        <v>8600</v>
      </c>
      <c r="X453" s="1">
        <f>IFERROR(VLOOKUP($D453&amp;$C453,生产方式定位!$A$2:$E$38,5,FALSE)+VLOOKUP($E453&amp;$C453,生产方式定位!$F$3:$J$38,5,FALSE),"错误")</f>
        <v>10560</v>
      </c>
      <c r="Y453" s="27" t="str">
        <f t="shared" ref="Y453:Y516" si="56">IF(AE453="","",AE453)&amp;IF(AF453="","",","&amp;AF453)&amp;IF(AG453="","",","&amp;AG453)</f>
        <v/>
      </c>
      <c r="Z453" s="37" t="str">
        <f t="shared" ref="Z453:Z516" si="57">IF(AH453="","",AH453)&amp;IF(AI453="","",","&amp;AI453)</f>
        <v/>
      </c>
      <c r="AA453" s="37" t="str">
        <f t="shared" ref="AA453:AA516" si="58">IF(AK453="","",AK453)&amp;IF(AL453="","",","&amp;AL453)</f>
        <v/>
      </c>
      <c r="AB453" s="28">
        <f t="shared" ref="AB453:AB516" si="59">IFERROR(ROUND(L453/X453,2),"")</f>
        <v>1.14</v>
      </c>
      <c r="AC453" s="37"/>
      <c r="AD453" s="38">
        <f t="shared" ref="AD453:AD516" si="60">C453</f>
        <v>3</v>
      </c>
      <c r="AE453" t="str">
        <f>IFERROR(F453&amp;"*"&amp;ROUND(L453*(G453/$AN453)/VLOOKUP(F453,商品!$A$4:$D$67,4,FALSE),0),"")</f>
        <v/>
      </c>
      <c r="AF453" t="str">
        <f>IFERROR(H453&amp;"*"&amp;ROUND(L453*(I453/$AN453)/VLOOKUP(H453,商品!$A$4:$D$67,4,FALSE),0),"")</f>
        <v/>
      </c>
      <c r="AG453" t="str">
        <f>IFERROR(J453&amp;"*"&amp;ROUND(L453*(K453/$AN453)/VLOOKUP(J453,商品!$A$4:$D$67,4,FALSE),0),"")</f>
        <v/>
      </c>
      <c r="AH453" t="str">
        <f>IFERROR(M453&amp;"*"&amp;ROUND(S453*(N453/$AO453)/VLOOKUP(M453,职业!$A$3:$E$16,4,FALSE),0),"")</f>
        <v/>
      </c>
      <c r="AI453" t="str">
        <f>IFERROR(O453&amp;"*"&amp;ROUND(S453*(P453/$AO453)/VLOOKUP(O453,职业!$A$3:$E$16,4,FALSE),0),"")</f>
        <v/>
      </c>
      <c r="AK453" t="str">
        <f>IFERROR(T453&amp;"*"&amp;ROUND(X453*(U453/$AP453)/VLOOKUP(T453,商品!$A$4:$D$67,4,FALSE),0),"")</f>
        <v/>
      </c>
      <c r="AL453" t="str">
        <f>IFERROR(V453&amp;"*"&amp;ROUND(X453*(W453/$AP453)/VLOOKUP(V453,商品!$A$4:$D$67,4,FALSE),0),"")</f>
        <v/>
      </c>
      <c r="AN453">
        <f t="shared" si="53"/>
        <v>0</v>
      </c>
      <c r="AO453">
        <f t="shared" si="54"/>
        <v>0</v>
      </c>
      <c r="AP453">
        <f t="shared" si="55"/>
        <v>0</v>
      </c>
    </row>
    <row r="454" customHeight="1" spans="1:42">
      <c r="A454" s="18" t="s">
        <v>369</v>
      </c>
      <c r="C454" s="18">
        <v>4</v>
      </c>
      <c r="D454" s="1" t="s">
        <v>240</v>
      </c>
      <c r="E454" s="1" t="s">
        <v>226</v>
      </c>
      <c r="L454" s="1">
        <f>IFERROR(VLOOKUP($D454&amp;$C454,生产方式定位!$A$2:$E$38,2,FALSE)+VLOOKUP($E454&amp;$C454,生产方式定位!$F$3:$J$38,2,FALSE),0)</f>
        <v>12000</v>
      </c>
      <c r="S454" s="1">
        <f>IFERROR(VLOOKUP($D454&amp;$C454,生产方式定位!$A$2:$E$38,3,FALSE)+VLOOKUP($E454&amp;$C454,生产方式定位!$F$3:$J$38,3,FALSE),0)</f>
        <v>8900</v>
      </c>
      <c r="X454" s="1">
        <f>IFERROR(VLOOKUP($D454&amp;$C454,生产方式定位!$A$2:$E$38,5,FALSE)+VLOOKUP($E454&amp;$C454,生产方式定位!$F$3:$J$38,5,FALSE),"错误")</f>
        <v>10960</v>
      </c>
      <c r="Y454" s="27" t="str">
        <f t="shared" si="56"/>
        <v/>
      </c>
      <c r="Z454" s="37" t="str">
        <f t="shared" si="57"/>
        <v/>
      </c>
      <c r="AA454" s="37" t="str">
        <f t="shared" si="58"/>
        <v/>
      </c>
      <c r="AB454" s="28">
        <f t="shared" si="59"/>
        <v>1.09</v>
      </c>
      <c r="AC454" s="37"/>
      <c r="AD454" s="38">
        <f t="shared" si="60"/>
        <v>4</v>
      </c>
      <c r="AE454" t="str">
        <f>IFERROR(F454&amp;"*"&amp;ROUND(L454*(G454/$AN454)/VLOOKUP(F454,商品!$A$4:$D$67,4,FALSE),0),"")</f>
        <v/>
      </c>
      <c r="AF454" t="str">
        <f>IFERROR(H454&amp;"*"&amp;ROUND(L454*(I454/$AN454)/VLOOKUP(H454,商品!$A$4:$D$67,4,FALSE),0),"")</f>
        <v/>
      </c>
      <c r="AG454" t="str">
        <f>IFERROR(J454&amp;"*"&amp;ROUND(L454*(K454/$AN454)/VLOOKUP(J454,商品!$A$4:$D$67,4,FALSE),0),"")</f>
        <v/>
      </c>
      <c r="AH454" t="str">
        <f>IFERROR(M454&amp;"*"&amp;ROUND(S454*(N454/$AO454)/VLOOKUP(M454,职业!$A$3:$E$16,4,FALSE),0),"")</f>
        <v/>
      </c>
      <c r="AI454" t="str">
        <f>IFERROR(O454&amp;"*"&amp;ROUND(S454*(P454/$AO454)/VLOOKUP(O454,职业!$A$3:$E$16,4,FALSE),0),"")</f>
        <v/>
      </c>
      <c r="AK454" t="str">
        <f>IFERROR(T454&amp;"*"&amp;ROUND(X454*(U454/$AP454)/VLOOKUP(T454,商品!$A$4:$D$67,4,FALSE),0),"")</f>
        <v/>
      </c>
      <c r="AL454" t="str">
        <f>IFERROR(V454&amp;"*"&amp;ROUND(X454*(W454/$AP454)/VLOOKUP(V454,商品!$A$4:$D$67,4,FALSE),0),"")</f>
        <v/>
      </c>
      <c r="AN454">
        <f t="shared" ref="AN454:AN517" si="61">G454+I454+K454</f>
        <v>0</v>
      </c>
      <c r="AO454">
        <f t="shared" ref="AO454:AO517" si="62">N454+P454+R454</f>
        <v>0</v>
      </c>
      <c r="AP454">
        <f t="shared" ref="AP454:AP517" si="63">U454+W454</f>
        <v>0</v>
      </c>
    </row>
    <row r="455" customHeight="1" spans="1:42">
      <c r="A455" s="18" t="s">
        <v>369</v>
      </c>
      <c r="C455" s="18">
        <v>5</v>
      </c>
      <c r="D455" s="1" t="s">
        <v>240</v>
      </c>
      <c r="E455" s="1" t="s">
        <v>226</v>
      </c>
      <c r="L455" s="1">
        <f>IFERROR(VLOOKUP($D455&amp;$C455,生产方式定位!$A$2:$E$38,2,FALSE)+VLOOKUP($E455&amp;$C455,生产方式定位!$F$3:$J$38,2,FALSE),0)</f>
        <v>12000</v>
      </c>
      <c r="S455" s="1">
        <f>IFERROR(VLOOKUP($D455&amp;$C455,生产方式定位!$A$2:$E$38,3,FALSE)+VLOOKUP($E455&amp;$C455,生产方式定位!$F$3:$J$38,3,FALSE),0)</f>
        <v>9200</v>
      </c>
      <c r="X455" s="1">
        <f>IFERROR(VLOOKUP($D455&amp;$C455,生产方式定位!$A$2:$E$38,5,FALSE)+VLOOKUP($E455&amp;$C455,生产方式定位!$F$3:$J$38,5,FALSE),"错误")</f>
        <v>11440</v>
      </c>
      <c r="Y455" s="27" t="str">
        <f t="shared" si="56"/>
        <v/>
      </c>
      <c r="Z455" s="37" t="str">
        <f t="shared" si="57"/>
        <v/>
      </c>
      <c r="AA455" s="37" t="str">
        <f t="shared" si="58"/>
        <v/>
      </c>
      <c r="AB455" s="28">
        <f t="shared" si="59"/>
        <v>1.05</v>
      </c>
      <c r="AC455" s="37"/>
      <c r="AD455" s="38">
        <f t="shared" si="60"/>
        <v>5</v>
      </c>
      <c r="AE455" t="str">
        <f>IFERROR(F455&amp;"*"&amp;ROUND(L455*(G455/$AN455)/VLOOKUP(F455,商品!$A$4:$D$67,4,FALSE),0),"")</f>
        <v/>
      </c>
      <c r="AF455" t="str">
        <f>IFERROR(H455&amp;"*"&amp;ROUND(L455*(I455/$AN455)/VLOOKUP(H455,商品!$A$4:$D$67,4,FALSE),0),"")</f>
        <v/>
      </c>
      <c r="AG455" t="str">
        <f>IFERROR(J455&amp;"*"&amp;ROUND(L455*(K455/$AN455)/VLOOKUP(J455,商品!$A$4:$D$67,4,FALSE),0),"")</f>
        <v/>
      </c>
      <c r="AH455" t="str">
        <f>IFERROR(M455&amp;"*"&amp;ROUND(S455*(N455/$AO455)/VLOOKUP(M455,职业!$A$3:$E$16,4,FALSE),0),"")</f>
        <v/>
      </c>
      <c r="AI455" t="str">
        <f>IFERROR(O455&amp;"*"&amp;ROUND(S455*(P455/$AO455)/VLOOKUP(O455,职业!$A$3:$E$16,4,FALSE),0),"")</f>
        <v/>
      </c>
      <c r="AK455" t="str">
        <f>IFERROR(T455&amp;"*"&amp;ROUND(X455*(U455/$AP455)/VLOOKUP(T455,商品!$A$4:$D$67,4,FALSE),0),"")</f>
        <v/>
      </c>
      <c r="AL455" t="str">
        <f>IFERROR(V455&amp;"*"&amp;ROUND(X455*(W455/$AP455)/VLOOKUP(V455,商品!$A$4:$D$67,4,FALSE),0),"")</f>
        <v/>
      </c>
      <c r="AN455">
        <f t="shared" si="61"/>
        <v>0</v>
      </c>
      <c r="AO455">
        <f t="shared" si="62"/>
        <v>0</v>
      </c>
      <c r="AP455">
        <f t="shared" si="63"/>
        <v>0</v>
      </c>
    </row>
    <row r="456" customHeight="1" spans="1:42">
      <c r="A456" s="5" t="s">
        <v>370</v>
      </c>
      <c r="C456" s="5">
        <v>1</v>
      </c>
      <c r="D456" s="1" t="s">
        <v>293</v>
      </c>
      <c r="E456" s="1" t="s">
        <v>227</v>
      </c>
      <c r="L456" s="1">
        <f>IFERROR(VLOOKUP($D456&amp;$C456,生产方式定位!$A$2:$E$38,2,FALSE)+VLOOKUP($E456&amp;$C456,生产方式定位!$F$3:$J$38,2,FALSE),0)</f>
        <v>0</v>
      </c>
      <c r="S456" s="1">
        <f>IFERROR(VLOOKUP($D456&amp;$C456,生产方式定位!$A$2:$E$38,3,FALSE)+VLOOKUP($E456&amp;$C456,生产方式定位!$F$3:$J$38,3,FALSE),0)</f>
        <v>0</v>
      </c>
      <c r="X456" s="1">
        <f>IFERROR(VLOOKUP($D456&amp;$C456,生产方式定位!$A$2:$E$38,5,FALSE)+VLOOKUP($E456&amp;$C456,生产方式定位!$F$3:$J$38,5,FALSE),"错误")</f>
        <v>0</v>
      </c>
      <c r="Y456" s="27" t="str">
        <f t="shared" si="56"/>
        <v/>
      </c>
      <c r="Z456" s="37" t="str">
        <f t="shared" si="57"/>
        <v/>
      </c>
      <c r="AA456" s="37" t="str">
        <f t="shared" si="58"/>
        <v/>
      </c>
      <c r="AB456" s="28" t="str">
        <f t="shared" si="59"/>
        <v/>
      </c>
      <c r="AC456" s="37"/>
      <c r="AD456" s="38">
        <f t="shared" si="60"/>
        <v>1</v>
      </c>
      <c r="AE456" t="str">
        <f>IFERROR(F456&amp;"*"&amp;ROUND(L456*(G456/$AN456)/VLOOKUP(F456,商品!$A$4:$D$67,4,FALSE),0),"")</f>
        <v/>
      </c>
      <c r="AF456" t="str">
        <f>IFERROR(H456&amp;"*"&amp;ROUND(L456*(I456/$AN456)/VLOOKUP(H456,商品!$A$4:$D$67,4,FALSE),0),"")</f>
        <v/>
      </c>
      <c r="AG456" t="str">
        <f>IFERROR(J456&amp;"*"&amp;ROUND(L456*(K456/$AN456)/VLOOKUP(J456,商品!$A$4:$D$67,4,FALSE),0),"")</f>
        <v/>
      </c>
      <c r="AH456" t="str">
        <f>IFERROR(M456&amp;"*"&amp;ROUND(S456*(N456/$AO456)/VLOOKUP(M456,职业!$A$3:$E$16,4,FALSE),0),"")</f>
        <v/>
      </c>
      <c r="AI456" t="str">
        <f>IFERROR(O456&amp;"*"&amp;ROUND(S456*(P456/$AO456)/VLOOKUP(O456,职业!$A$3:$E$16,4,FALSE),0),"")</f>
        <v/>
      </c>
      <c r="AK456" t="str">
        <f>IFERROR(T456&amp;"*"&amp;ROUND(X456*(U456/$AP456)/VLOOKUP(T456,商品!$A$4:$D$67,4,FALSE),0),"")</f>
        <v/>
      </c>
      <c r="AL456" t="str">
        <f>IFERROR(V456&amp;"*"&amp;ROUND(X456*(W456/$AP456)/VLOOKUP(V456,商品!$A$4:$D$67,4,FALSE),0),"")</f>
        <v/>
      </c>
      <c r="AN456">
        <f t="shared" si="61"/>
        <v>0</v>
      </c>
      <c r="AO456">
        <f t="shared" si="62"/>
        <v>0</v>
      </c>
      <c r="AP456">
        <f t="shared" si="63"/>
        <v>0</v>
      </c>
    </row>
    <row r="457" customHeight="1" spans="1:42">
      <c r="A457" s="5" t="s">
        <v>370</v>
      </c>
      <c r="C457" s="5">
        <v>2</v>
      </c>
      <c r="D457" s="1" t="s">
        <v>293</v>
      </c>
      <c r="E457" s="1" t="s">
        <v>227</v>
      </c>
      <c r="L457" s="1">
        <f>IFERROR(VLOOKUP($D457&amp;$C457,生产方式定位!$A$2:$E$38,2,FALSE)+VLOOKUP($E457&amp;$C457,生产方式定位!$F$3:$J$38,2,FALSE),0)</f>
        <v>0</v>
      </c>
      <c r="S457" s="1">
        <f>IFERROR(VLOOKUP($D457&amp;$C457,生产方式定位!$A$2:$E$38,3,FALSE)+VLOOKUP($E457&amp;$C457,生产方式定位!$F$3:$J$38,3,FALSE),0)</f>
        <v>0</v>
      </c>
      <c r="X457" s="1">
        <f>IFERROR(VLOOKUP($D457&amp;$C457,生产方式定位!$A$2:$E$38,5,FALSE)+VLOOKUP($E457&amp;$C457,生产方式定位!$F$3:$J$38,5,FALSE),"错误")</f>
        <v>0</v>
      </c>
      <c r="Y457" s="27" t="str">
        <f t="shared" si="56"/>
        <v/>
      </c>
      <c r="Z457" s="37" t="str">
        <f t="shared" si="57"/>
        <v/>
      </c>
      <c r="AA457" s="37" t="str">
        <f t="shared" si="58"/>
        <v/>
      </c>
      <c r="AB457" s="28" t="str">
        <f t="shared" si="59"/>
        <v/>
      </c>
      <c r="AC457" s="37"/>
      <c r="AD457" s="38">
        <f t="shared" si="60"/>
        <v>2</v>
      </c>
      <c r="AE457" t="str">
        <f>IFERROR(F457&amp;"*"&amp;ROUND(L457*(G457/$AN457)/VLOOKUP(F457,商品!$A$4:$D$67,4,FALSE),0),"")</f>
        <v/>
      </c>
      <c r="AF457" t="str">
        <f>IFERROR(H457&amp;"*"&amp;ROUND(L457*(I457/$AN457)/VLOOKUP(H457,商品!$A$4:$D$67,4,FALSE),0),"")</f>
        <v/>
      </c>
      <c r="AG457" t="str">
        <f>IFERROR(J457&amp;"*"&amp;ROUND(L457*(K457/$AN457)/VLOOKUP(J457,商品!$A$4:$D$67,4,FALSE),0),"")</f>
        <v/>
      </c>
      <c r="AH457" t="str">
        <f>IFERROR(M457&amp;"*"&amp;ROUND(S457*(N457/$AO457)/VLOOKUP(M457,职业!$A$3:$E$16,4,FALSE),0),"")</f>
        <v/>
      </c>
      <c r="AI457" t="str">
        <f>IFERROR(O457&amp;"*"&amp;ROUND(S457*(P457/$AO457)/VLOOKUP(O457,职业!$A$3:$E$16,4,FALSE),0),"")</f>
        <v/>
      </c>
      <c r="AK457" t="str">
        <f>IFERROR(T457&amp;"*"&amp;ROUND(X457*(U457/$AP457)/VLOOKUP(T457,商品!$A$4:$D$67,4,FALSE),0),"")</f>
        <v/>
      </c>
      <c r="AL457" t="str">
        <f>IFERROR(V457&amp;"*"&amp;ROUND(X457*(W457/$AP457)/VLOOKUP(V457,商品!$A$4:$D$67,4,FALSE),0),"")</f>
        <v/>
      </c>
      <c r="AN457">
        <f t="shared" si="61"/>
        <v>0</v>
      </c>
      <c r="AO457">
        <f t="shared" si="62"/>
        <v>0</v>
      </c>
      <c r="AP457">
        <f t="shared" si="63"/>
        <v>0</v>
      </c>
    </row>
    <row r="458" customHeight="1" spans="1:42">
      <c r="A458" s="5" t="s">
        <v>370</v>
      </c>
      <c r="C458" s="5">
        <v>3</v>
      </c>
      <c r="D458" s="1" t="s">
        <v>293</v>
      </c>
      <c r="E458" s="1" t="s">
        <v>227</v>
      </c>
      <c r="L458" s="1">
        <f>IFERROR(VLOOKUP($D458&amp;$C458,生产方式定位!$A$2:$E$38,2,FALSE)+VLOOKUP($E458&amp;$C458,生产方式定位!$F$3:$J$38,2,FALSE),0)</f>
        <v>0</v>
      </c>
      <c r="S458" s="1">
        <f>IFERROR(VLOOKUP($D458&amp;$C458,生产方式定位!$A$2:$E$38,3,FALSE)+VLOOKUP($E458&amp;$C458,生产方式定位!$F$3:$J$38,3,FALSE),0)</f>
        <v>0</v>
      </c>
      <c r="X458" s="1">
        <f>IFERROR(VLOOKUP($D458&amp;$C458,生产方式定位!$A$2:$E$38,5,FALSE)+VLOOKUP($E458&amp;$C458,生产方式定位!$F$3:$J$38,5,FALSE),"错误")</f>
        <v>0</v>
      </c>
      <c r="Y458" s="27" t="str">
        <f t="shared" si="56"/>
        <v/>
      </c>
      <c r="Z458" s="37" t="str">
        <f t="shared" si="57"/>
        <v/>
      </c>
      <c r="AA458" s="37" t="str">
        <f t="shared" si="58"/>
        <v/>
      </c>
      <c r="AB458" s="28" t="str">
        <f t="shared" si="59"/>
        <v/>
      </c>
      <c r="AC458" s="37"/>
      <c r="AD458" s="38">
        <f t="shared" si="60"/>
        <v>3</v>
      </c>
      <c r="AE458" t="str">
        <f>IFERROR(F458&amp;"*"&amp;ROUND(L458*(G458/$AN458)/VLOOKUP(F458,商品!$A$4:$D$67,4,FALSE),0),"")</f>
        <v/>
      </c>
      <c r="AF458" t="str">
        <f>IFERROR(H458&amp;"*"&amp;ROUND(L458*(I458/$AN458)/VLOOKUP(H458,商品!$A$4:$D$67,4,FALSE),0),"")</f>
        <v/>
      </c>
      <c r="AG458" t="str">
        <f>IFERROR(J458&amp;"*"&amp;ROUND(L458*(K458/$AN458)/VLOOKUP(J458,商品!$A$4:$D$67,4,FALSE),0),"")</f>
        <v/>
      </c>
      <c r="AH458" t="str">
        <f>IFERROR(M458&amp;"*"&amp;ROUND(S458*(N458/$AO458)/VLOOKUP(M458,职业!$A$3:$E$16,4,FALSE),0),"")</f>
        <v/>
      </c>
      <c r="AI458" t="str">
        <f>IFERROR(O458&amp;"*"&amp;ROUND(S458*(P458/$AO458)/VLOOKUP(O458,职业!$A$3:$E$16,4,FALSE),0),"")</f>
        <v/>
      </c>
      <c r="AK458" t="str">
        <f>IFERROR(T458&amp;"*"&amp;ROUND(X458*(U458/$AP458)/VLOOKUP(T458,商品!$A$4:$D$67,4,FALSE),0),"")</f>
        <v/>
      </c>
      <c r="AL458" t="str">
        <f>IFERROR(V458&amp;"*"&amp;ROUND(X458*(W458/$AP458)/VLOOKUP(V458,商品!$A$4:$D$67,4,FALSE),0),"")</f>
        <v/>
      </c>
      <c r="AN458">
        <f t="shared" si="61"/>
        <v>0</v>
      </c>
      <c r="AO458">
        <f t="shared" si="62"/>
        <v>0</v>
      </c>
      <c r="AP458">
        <f t="shared" si="63"/>
        <v>0</v>
      </c>
    </row>
    <row r="459" customHeight="1" spans="1:42">
      <c r="A459" s="5" t="s">
        <v>370</v>
      </c>
      <c r="C459" s="5">
        <v>4</v>
      </c>
      <c r="D459" s="1" t="s">
        <v>293</v>
      </c>
      <c r="E459" s="1" t="s">
        <v>227</v>
      </c>
      <c r="L459" s="1">
        <f>IFERROR(VLOOKUP($D459&amp;$C459,生产方式定位!$A$2:$E$38,2,FALSE)+VLOOKUP($E459&amp;$C459,生产方式定位!$F$3:$J$38,2,FALSE),0)</f>
        <v>0</v>
      </c>
      <c r="S459" s="1">
        <f>IFERROR(VLOOKUP($D459&amp;$C459,生产方式定位!$A$2:$E$38,3,FALSE)+VLOOKUP($E459&amp;$C459,生产方式定位!$F$3:$J$38,3,FALSE),0)</f>
        <v>0</v>
      </c>
      <c r="X459" s="1">
        <f>IFERROR(VLOOKUP($D459&amp;$C459,生产方式定位!$A$2:$E$38,5,FALSE)+VLOOKUP($E459&amp;$C459,生产方式定位!$F$3:$J$38,5,FALSE),"错误")</f>
        <v>0</v>
      </c>
      <c r="Y459" s="27" t="str">
        <f t="shared" si="56"/>
        <v/>
      </c>
      <c r="Z459" s="37" t="str">
        <f t="shared" si="57"/>
        <v/>
      </c>
      <c r="AA459" s="37" t="str">
        <f t="shared" si="58"/>
        <v/>
      </c>
      <c r="AB459" s="28" t="str">
        <f t="shared" si="59"/>
        <v/>
      </c>
      <c r="AC459" s="37"/>
      <c r="AD459" s="38">
        <f t="shared" si="60"/>
        <v>4</v>
      </c>
      <c r="AE459" t="str">
        <f>IFERROR(F459&amp;"*"&amp;ROUND(L459*(G459/$AN459)/VLOOKUP(F459,商品!$A$4:$D$67,4,FALSE),0),"")</f>
        <v/>
      </c>
      <c r="AF459" t="str">
        <f>IFERROR(H459&amp;"*"&amp;ROUND(L459*(I459/$AN459)/VLOOKUP(H459,商品!$A$4:$D$67,4,FALSE),0),"")</f>
        <v/>
      </c>
      <c r="AG459" t="str">
        <f>IFERROR(J459&amp;"*"&amp;ROUND(L459*(K459/$AN459)/VLOOKUP(J459,商品!$A$4:$D$67,4,FALSE),0),"")</f>
        <v/>
      </c>
      <c r="AH459" t="str">
        <f>IFERROR(M459&amp;"*"&amp;ROUND(S459*(N459/$AO459)/VLOOKUP(M459,职业!$A$3:$E$16,4,FALSE),0),"")</f>
        <v/>
      </c>
      <c r="AI459" t="str">
        <f>IFERROR(O459&amp;"*"&amp;ROUND(S459*(P459/$AO459)/VLOOKUP(O459,职业!$A$3:$E$16,4,FALSE),0),"")</f>
        <v/>
      </c>
      <c r="AK459" t="str">
        <f>IFERROR(T459&amp;"*"&amp;ROUND(X459*(U459/$AP459)/VLOOKUP(T459,商品!$A$4:$D$67,4,FALSE),0),"")</f>
        <v/>
      </c>
      <c r="AL459" t="str">
        <f>IFERROR(V459&amp;"*"&amp;ROUND(X459*(W459/$AP459)/VLOOKUP(V459,商品!$A$4:$D$67,4,FALSE),0),"")</f>
        <v/>
      </c>
      <c r="AN459">
        <f t="shared" si="61"/>
        <v>0</v>
      </c>
      <c r="AO459">
        <f t="shared" si="62"/>
        <v>0</v>
      </c>
      <c r="AP459">
        <f t="shared" si="63"/>
        <v>0</v>
      </c>
    </row>
    <row r="460" customHeight="1" spans="1:42">
      <c r="A460" s="5" t="s">
        <v>370</v>
      </c>
      <c r="C460" s="5">
        <v>5</v>
      </c>
      <c r="D460" s="1" t="s">
        <v>293</v>
      </c>
      <c r="E460" s="1" t="s">
        <v>227</v>
      </c>
      <c r="L460" s="1">
        <f>IFERROR(VLOOKUP($D460&amp;$C460,生产方式定位!$A$2:$E$38,2,FALSE)+VLOOKUP($E460&amp;$C460,生产方式定位!$F$3:$J$38,2,FALSE),0)</f>
        <v>0</v>
      </c>
      <c r="S460" s="1">
        <f>IFERROR(VLOOKUP($D460&amp;$C460,生产方式定位!$A$2:$E$38,3,FALSE)+VLOOKUP($E460&amp;$C460,生产方式定位!$F$3:$J$38,3,FALSE),0)</f>
        <v>0</v>
      </c>
      <c r="X460" s="1">
        <f>IFERROR(VLOOKUP($D460&amp;$C460,生产方式定位!$A$2:$E$38,5,FALSE)+VLOOKUP($E460&amp;$C460,生产方式定位!$F$3:$J$38,5,FALSE),"错误")</f>
        <v>0</v>
      </c>
      <c r="Y460" s="27" t="str">
        <f t="shared" si="56"/>
        <v/>
      </c>
      <c r="Z460" s="37" t="str">
        <f t="shared" si="57"/>
        <v/>
      </c>
      <c r="AA460" s="37" t="str">
        <f t="shared" si="58"/>
        <v/>
      </c>
      <c r="AB460" s="28" t="str">
        <f t="shared" si="59"/>
        <v/>
      </c>
      <c r="AC460" s="37"/>
      <c r="AD460" s="38">
        <f t="shared" si="60"/>
        <v>5</v>
      </c>
      <c r="AE460" t="str">
        <f>IFERROR(F460&amp;"*"&amp;ROUND(L460*(G460/$AN460)/VLOOKUP(F460,商品!$A$4:$D$67,4,FALSE),0),"")</f>
        <v/>
      </c>
      <c r="AF460" t="str">
        <f>IFERROR(H460&amp;"*"&amp;ROUND(L460*(I460/$AN460)/VLOOKUP(H460,商品!$A$4:$D$67,4,FALSE),0),"")</f>
        <v/>
      </c>
      <c r="AG460" t="str">
        <f>IFERROR(J460&amp;"*"&amp;ROUND(L460*(K460/$AN460)/VLOOKUP(J460,商品!$A$4:$D$67,4,FALSE),0),"")</f>
        <v/>
      </c>
      <c r="AH460" t="str">
        <f>IFERROR(M460&amp;"*"&amp;ROUND(S460*(N460/$AO460)/VLOOKUP(M460,职业!$A$3:$E$16,4,FALSE),0),"")</f>
        <v/>
      </c>
      <c r="AI460" t="str">
        <f>IFERROR(O460&amp;"*"&amp;ROUND(S460*(P460/$AO460)/VLOOKUP(O460,职业!$A$3:$E$16,4,FALSE),0),"")</f>
        <v/>
      </c>
      <c r="AK460" t="str">
        <f>IFERROR(T460&amp;"*"&amp;ROUND(X460*(U460/$AP460)/VLOOKUP(T460,商品!$A$4:$D$67,4,FALSE),0),"")</f>
        <v/>
      </c>
      <c r="AL460" t="str">
        <f>IFERROR(V460&amp;"*"&amp;ROUND(X460*(W460/$AP460)/VLOOKUP(V460,商品!$A$4:$D$67,4,FALSE),0),"")</f>
        <v/>
      </c>
      <c r="AN460">
        <f t="shared" si="61"/>
        <v>0</v>
      </c>
      <c r="AO460">
        <f t="shared" si="62"/>
        <v>0</v>
      </c>
      <c r="AP460">
        <f t="shared" si="63"/>
        <v>0</v>
      </c>
    </row>
    <row r="461" customHeight="1" spans="1:42">
      <c r="A461" s="5" t="s">
        <v>370</v>
      </c>
      <c r="C461" s="5">
        <v>6</v>
      </c>
      <c r="D461" s="1" t="s">
        <v>293</v>
      </c>
      <c r="E461" s="1" t="s">
        <v>227</v>
      </c>
      <c r="L461" s="1">
        <f>IFERROR(VLOOKUP($D461&amp;$C461,生产方式定位!$A$2:$E$38,2,FALSE)+VLOOKUP($E461&amp;$C461,生产方式定位!$F$3:$J$38,2,FALSE),0)</f>
        <v>0</v>
      </c>
      <c r="S461" s="1">
        <f>IFERROR(VLOOKUP($D461&amp;$C461,生产方式定位!$A$2:$E$38,3,FALSE)+VLOOKUP($E461&amp;$C461,生产方式定位!$F$3:$J$38,3,FALSE),0)</f>
        <v>0</v>
      </c>
      <c r="X461" s="1">
        <f>IFERROR(VLOOKUP($D461&amp;$C461,生产方式定位!$A$2:$E$38,5,FALSE)+VLOOKUP($E461&amp;$C461,生产方式定位!$F$3:$J$38,5,FALSE),"错误")</f>
        <v>0</v>
      </c>
      <c r="Y461" s="27" t="str">
        <f t="shared" si="56"/>
        <v/>
      </c>
      <c r="Z461" s="37" t="str">
        <f t="shared" si="57"/>
        <v/>
      </c>
      <c r="AA461" s="37" t="str">
        <f t="shared" si="58"/>
        <v/>
      </c>
      <c r="AB461" s="28" t="str">
        <f t="shared" si="59"/>
        <v/>
      </c>
      <c r="AC461" s="37"/>
      <c r="AD461" s="38">
        <f t="shared" si="60"/>
        <v>6</v>
      </c>
      <c r="AE461" t="str">
        <f>IFERROR(F461&amp;"*"&amp;ROUND(L461*(G461/$AN461)/VLOOKUP(F461,商品!$A$4:$D$67,4,FALSE),0),"")</f>
        <v/>
      </c>
      <c r="AF461" t="str">
        <f>IFERROR(H461&amp;"*"&amp;ROUND(L461*(I461/$AN461)/VLOOKUP(H461,商品!$A$4:$D$67,4,FALSE),0),"")</f>
        <v/>
      </c>
      <c r="AG461" t="str">
        <f>IFERROR(J461&amp;"*"&amp;ROUND(L461*(K461/$AN461)/VLOOKUP(J461,商品!$A$4:$D$67,4,FALSE),0),"")</f>
        <v/>
      </c>
      <c r="AH461" t="str">
        <f>IFERROR(M461&amp;"*"&amp;ROUND(S461*(N461/$AO461)/VLOOKUP(M461,职业!$A$3:$E$16,4,FALSE),0),"")</f>
        <v/>
      </c>
      <c r="AI461" t="str">
        <f>IFERROR(O461&amp;"*"&amp;ROUND(S461*(P461/$AO461)/VLOOKUP(O461,职业!$A$3:$E$16,4,FALSE),0),"")</f>
        <v/>
      </c>
      <c r="AK461" t="str">
        <f>IFERROR(T461&amp;"*"&amp;ROUND(X461*(U461/$AP461)/VLOOKUP(T461,商品!$A$4:$D$67,4,FALSE),0),"")</f>
        <v/>
      </c>
      <c r="AL461" t="str">
        <f>IFERROR(V461&amp;"*"&amp;ROUND(X461*(W461/$AP461)/VLOOKUP(V461,商品!$A$4:$D$67,4,FALSE),0),"")</f>
        <v/>
      </c>
      <c r="AN461">
        <f t="shared" si="61"/>
        <v>0</v>
      </c>
      <c r="AO461">
        <f t="shared" si="62"/>
        <v>0</v>
      </c>
      <c r="AP461">
        <f t="shared" si="63"/>
        <v>0</v>
      </c>
    </row>
    <row r="462" customHeight="1" spans="1:42">
      <c r="A462" s="5" t="s">
        <v>370</v>
      </c>
      <c r="C462" s="5">
        <v>7</v>
      </c>
      <c r="D462" s="1" t="s">
        <v>293</v>
      </c>
      <c r="E462" s="1" t="s">
        <v>227</v>
      </c>
      <c r="L462" s="1">
        <f>IFERROR(VLOOKUP($D462&amp;$C462,生产方式定位!$A$2:$E$38,2,FALSE)+VLOOKUP($E462&amp;$C462,生产方式定位!$F$3:$J$38,2,FALSE),0)</f>
        <v>0</v>
      </c>
      <c r="S462" s="1">
        <f>IFERROR(VLOOKUP($D462&amp;$C462,生产方式定位!$A$2:$E$38,3,FALSE)+VLOOKUP($E462&amp;$C462,生产方式定位!$F$3:$J$38,3,FALSE),0)</f>
        <v>0</v>
      </c>
      <c r="X462" s="1">
        <f>IFERROR(VLOOKUP($D462&amp;$C462,生产方式定位!$A$2:$E$38,5,FALSE)+VLOOKUP($E462&amp;$C462,生产方式定位!$F$3:$J$38,5,FALSE),"错误")</f>
        <v>0</v>
      </c>
      <c r="Y462" s="27" t="str">
        <f t="shared" si="56"/>
        <v/>
      </c>
      <c r="Z462" s="37" t="str">
        <f t="shared" si="57"/>
        <v/>
      </c>
      <c r="AA462" s="37" t="str">
        <f t="shared" si="58"/>
        <v/>
      </c>
      <c r="AB462" s="28" t="str">
        <f t="shared" si="59"/>
        <v/>
      </c>
      <c r="AC462" s="37"/>
      <c r="AD462" s="38">
        <f t="shared" si="60"/>
        <v>7</v>
      </c>
      <c r="AE462" t="str">
        <f>IFERROR(F462&amp;"*"&amp;ROUND(L462*(G462/$AN462)/VLOOKUP(F462,商品!$A$4:$D$67,4,FALSE),0),"")</f>
        <v/>
      </c>
      <c r="AF462" t="str">
        <f>IFERROR(H462&amp;"*"&amp;ROUND(L462*(I462/$AN462)/VLOOKUP(H462,商品!$A$4:$D$67,4,FALSE),0),"")</f>
        <v/>
      </c>
      <c r="AG462" t="str">
        <f>IFERROR(J462&amp;"*"&amp;ROUND(L462*(K462/$AN462)/VLOOKUP(J462,商品!$A$4:$D$67,4,FALSE),0),"")</f>
        <v/>
      </c>
      <c r="AH462" t="str">
        <f>IFERROR(M462&amp;"*"&amp;ROUND(S462*(N462/$AO462)/VLOOKUP(M462,职业!$A$3:$E$16,4,FALSE),0),"")</f>
        <v/>
      </c>
      <c r="AI462" t="str">
        <f>IFERROR(O462&amp;"*"&amp;ROUND(S462*(P462/$AO462)/VLOOKUP(O462,职业!$A$3:$E$16,4,FALSE),0),"")</f>
        <v/>
      </c>
      <c r="AK462" t="str">
        <f>IFERROR(T462&amp;"*"&amp;ROUND(X462*(U462/$AP462)/VLOOKUP(T462,商品!$A$4:$D$67,4,FALSE),0),"")</f>
        <v/>
      </c>
      <c r="AL462" t="str">
        <f>IFERROR(V462&amp;"*"&amp;ROUND(X462*(W462/$AP462)/VLOOKUP(V462,商品!$A$4:$D$67,4,FALSE),0),"")</f>
        <v/>
      </c>
      <c r="AN462">
        <f t="shared" si="61"/>
        <v>0</v>
      </c>
      <c r="AO462">
        <f t="shared" si="62"/>
        <v>0</v>
      </c>
      <c r="AP462">
        <f t="shared" si="63"/>
        <v>0</v>
      </c>
    </row>
    <row r="463" customHeight="1" spans="1:42">
      <c r="A463" s="5" t="s">
        <v>370</v>
      </c>
      <c r="C463" s="5">
        <v>8</v>
      </c>
      <c r="D463" s="1" t="s">
        <v>293</v>
      </c>
      <c r="E463" s="1" t="s">
        <v>227</v>
      </c>
      <c r="L463" s="1">
        <f>IFERROR(VLOOKUP($D463&amp;$C463,生产方式定位!$A$2:$E$38,2,FALSE)+VLOOKUP($E463&amp;$C463,生产方式定位!$F$3:$J$38,2,FALSE),0)</f>
        <v>0</v>
      </c>
      <c r="S463" s="1">
        <f>IFERROR(VLOOKUP($D463&amp;$C463,生产方式定位!$A$2:$E$38,3,FALSE)+VLOOKUP($E463&amp;$C463,生产方式定位!$F$3:$J$38,3,FALSE),0)</f>
        <v>0</v>
      </c>
      <c r="X463" s="1">
        <f>IFERROR(VLOOKUP($D463&amp;$C463,生产方式定位!$A$2:$E$38,5,FALSE)+VLOOKUP($E463&amp;$C463,生产方式定位!$F$3:$J$38,5,FALSE),"错误")</f>
        <v>0</v>
      </c>
      <c r="Y463" s="27" t="str">
        <f t="shared" si="56"/>
        <v/>
      </c>
      <c r="Z463" s="37" t="str">
        <f t="shared" si="57"/>
        <v/>
      </c>
      <c r="AA463" s="37" t="str">
        <f t="shared" si="58"/>
        <v/>
      </c>
      <c r="AB463" s="28" t="str">
        <f t="shared" si="59"/>
        <v/>
      </c>
      <c r="AC463" s="37"/>
      <c r="AD463" s="38">
        <f t="shared" si="60"/>
        <v>8</v>
      </c>
      <c r="AE463" t="str">
        <f>IFERROR(F463&amp;"*"&amp;ROUND(L463*(G463/$AN463)/VLOOKUP(F463,商品!$A$4:$D$67,4,FALSE),0),"")</f>
        <v/>
      </c>
      <c r="AF463" t="str">
        <f>IFERROR(H463&amp;"*"&amp;ROUND(L463*(I463/$AN463)/VLOOKUP(H463,商品!$A$4:$D$67,4,FALSE),0),"")</f>
        <v/>
      </c>
      <c r="AG463" t="str">
        <f>IFERROR(J463&amp;"*"&amp;ROUND(L463*(K463/$AN463)/VLOOKUP(J463,商品!$A$4:$D$67,4,FALSE),0),"")</f>
        <v/>
      </c>
      <c r="AH463" t="str">
        <f>IFERROR(M463&amp;"*"&amp;ROUND(S463*(N463/$AO463)/VLOOKUP(M463,职业!$A$3:$E$16,4,FALSE),0),"")</f>
        <v/>
      </c>
      <c r="AI463" t="str">
        <f>IFERROR(O463&amp;"*"&amp;ROUND(S463*(P463/$AO463)/VLOOKUP(O463,职业!$A$3:$E$16,4,FALSE),0),"")</f>
        <v/>
      </c>
      <c r="AK463" t="str">
        <f>IFERROR(T463&amp;"*"&amp;ROUND(X463*(U463/$AP463)/VLOOKUP(T463,商品!$A$4:$D$67,4,FALSE),0),"")</f>
        <v/>
      </c>
      <c r="AL463" t="str">
        <f>IFERROR(V463&amp;"*"&amp;ROUND(X463*(W463/$AP463)/VLOOKUP(V463,商品!$A$4:$D$67,4,FALSE),0),"")</f>
        <v/>
      </c>
      <c r="AN463">
        <f t="shared" si="61"/>
        <v>0</v>
      </c>
      <c r="AO463">
        <f t="shared" si="62"/>
        <v>0</v>
      </c>
      <c r="AP463">
        <f t="shared" si="63"/>
        <v>0</v>
      </c>
    </row>
    <row r="464" customHeight="1" spans="1:42">
      <c r="A464" s="18" t="s">
        <v>372</v>
      </c>
      <c r="C464" s="18">
        <v>1</v>
      </c>
      <c r="D464" s="1" t="s">
        <v>240</v>
      </c>
      <c r="E464" s="1" t="s">
        <v>224</v>
      </c>
      <c r="L464" s="1">
        <f>IFERROR(VLOOKUP($D464&amp;$C464,生产方式定位!$A$2:$E$38,2,FALSE)+VLOOKUP($E464&amp;$C464,生产方式定位!$F$3:$J$38,2,FALSE),0)</f>
        <v>0</v>
      </c>
      <c r="S464" s="1">
        <f>IFERROR(VLOOKUP($D464&amp;$C464,生产方式定位!$A$2:$E$38,3,FALSE)+VLOOKUP($E464&amp;$C464,生产方式定位!$F$3:$J$38,3,FALSE),0)</f>
        <v>8000</v>
      </c>
      <c r="X464" s="1">
        <f>IFERROR(VLOOKUP($D464&amp;$C464,生产方式定位!$A$2:$E$38,5,FALSE)+VLOOKUP($E464&amp;$C464,生产方式定位!$F$3:$J$38,5,FALSE),"错误")</f>
        <v>4000</v>
      </c>
      <c r="Y464" s="27" t="str">
        <f t="shared" si="56"/>
        <v/>
      </c>
      <c r="Z464" s="37" t="str">
        <f t="shared" si="57"/>
        <v/>
      </c>
      <c r="AA464" s="37" t="str">
        <f t="shared" si="58"/>
        <v/>
      </c>
      <c r="AB464" s="28">
        <f t="shared" si="59"/>
        <v>0</v>
      </c>
      <c r="AC464" s="37"/>
      <c r="AD464" s="38">
        <f t="shared" si="60"/>
        <v>1</v>
      </c>
      <c r="AE464" t="str">
        <f>IFERROR(F464&amp;"*"&amp;ROUND(L464*(G464/$AN464)/VLOOKUP(F464,商品!$A$4:$D$67,4,FALSE),0),"")</f>
        <v/>
      </c>
      <c r="AF464" t="str">
        <f>IFERROR(H464&amp;"*"&amp;ROUND(L464*(I464/$AN464)/VLOOKUP(H464,商品!$A$4:$D$67,4,FALSE),0),"")</f>
        <v/>
      </c>
      <c r="AG464" t="str">
        <f>IFERROR(J464&amp;"*"&amp;ROUND(L464*(K464/$AN464)/VLOOKUP(J464,商品!$A$4:$D$67,4,FALSE),0),"")</f>
        <v/>
      </c>
      <c r="AH464" t="str">
        <f>IFERROR(M464&amp;"*"&amp;ROUND(S464*(N464/$AO464)/VLOOKUP(M464,职业!$A$3:$E$16,4,FALSE),0),"")</f>
        <v/>
      </c>
      <c r="AI464" t="str">
        <f>IFERROR(O464&amp;"*"&amp;ROUND(S464*(P464/$AO464)/VLOOKUP(O464,职业!$A$3:$E$16,4,FALSE),0),"")</f>
        <v/>
      </c>
      <c r="AK464" t="str">
        <f>IFERROR(T464&amp;"*"&amp;ROUND(X464*(U464/$AP464)/VLOOKUP(T464,商品!$A$4:$D$67,4,FALSE),0),"")</f>
        <v/>
      </c>
      <c r="AL464" t="str">
        <f>IFERROR(V464&amp;"*"&amp;ROUND(X464*(W464/$AP464)/VLOOKUP(V464,商品!$A$4:$D$67,4,FALSE),0),"")</f>
        <v/>
      </c>
      <c r="AN464">
        <f t="shared" si="61"/>
        <v>0</v>
      </c>
      <c r="AO464">
        <f t="shared" si="62"/>
        <v>0</v>
      </c>
      <c r="AP464">
        <f t="shared" si="63"/>
        <v>0</v>
      </c>
    </row>
    <row r="465" customHeight="1" spans="1:42">
      <c r="A465" s="18" t="s">
        <v>372</v>
      </c>
      <c r="C465" s="18">
        <v>2</v>
      </c>
      <c r="D465" s="1" t="s">
        <v>240</v>
      </c>
      <c r="E465" s="1" t="s">
        <v>224</v>
      </c>
      <c r="L465" s="1">
        <f>IFERROR(VLOOKUP($D465&amp;$C465,生产方式定位!$A$2:$E$38,2,FALSE)+VLOOKUP($E465&amp;$C465,生产方式定位!$F$3:$J$38,2,FALSE),0)</f>
        <v>11000</v>
      </c>
      <c r="S465" s="1">
        <f>IFERROR(VLOOKUP($D465&amp;$C465,生产方式定位!$A$2:$E$38,3,FALSE)+VLOOKUP($E465&amp;$C465,生产方式定位!$F$3:$J$38,3,FALSE),0)</f>
        <v>8700</v>
      </c>
      <c r="X465" s="1">
        <f>IFERROR(VLOOKUP($D465&amp;$C465,生产方式定位!$A$2:$E$38,5,FALSE)+VLOOKUP($E465&amp;$C465,生产方式定位!$F$3:$J$38,5,FALSE),"错误")</f>
        <v>9922</v>
      </c>
      <c r="Y465" s="27" t="str">
        <f t="shared" si="56"/>
        <v/>
      </c>
      <c r="Z465" s="37" t="str">
        <f t="shared" si="57"/>
        <v/>
      </c>
      <c r="AA465" s="37" t="str">
        <f t="shared" si="58"/>
        <v/>
      </c>
      <c r="AB465" s="28">
        <f t="shared" si="59"/>
        <v>1.11</v>
      </c>
      <c r="AC465" s="37"/>
      <c r="AD465" s="38">
        <f t="shared" si="60"/>
        <v>2</v>
      </c>
      <c r="AE465" t="str">
        <f>IFERROR(F465&amp;"*"&amp;ROUND(L465*(G465/$AN465)/VLOOKUP(F465,商品!$A$4:$D$67,4,FALSE),0),"")</f>
        <v/>
      </c>
      <c r="AF465" t="str">
        <f>IFERROR(H465&amp;"*"&amp;ROUND(L465*(I465/$AN465)/VLOOKUP(H465,商品!$A$4:$D$67,4,FALSE),0),"")</f>
        <v/>
      </c>
      <c r="AG465" t="str">
        <f>IFERROR(J465&amp;"*"&amp;ROUND(L465*(K465/$AN465)/VLOOKUP(J465,商品!$A$4:$D$67,4,FALSE),0),"")</f>
        <v/>
      </c>
      <c r="AH465" t="str">
        <f>IFERROR(M465&amp;"*"&amp;ROUND(S465*(N465/$AO465)/VLOOKUP(M465,职业!$A$3:$E$16,4,FALSE),0),"")</f>
        <v/>
      </c>
      <c r="AI465" t="str">
        <f>IFERROR(O465&amp;"*"&amp;ROUND(S465*(P465/$AO465)/VLOOKUP(O465,职业!$A$3:$E$16,4,FALSE),0),"")</f>
        <v/>
      </c>
      <c r="AK465" t="str">
        <f>IFERROR(T465&amp;"*"&amp;ROUND(X465*(U465/$AP465)/VLOOKUP(T465,商品!$A$4:$D$67,4,FALSE),0),"")</f>
        <v/>
      </c>
      <c r="AL465" t="str">
        <f>IFERROR(V465&amp;"*"&amp;ROUND(X465*(W465/$AP465)/VLOOKUP(V465,商品!$A$4:$D$67,4,FALSE),0),"")</f>
        <v/>
      </c>
      <c r="AN465">
        <f t="shared" si="61"/>
        <v>0</v>
      </c>
      <c r="AO465">
        <f t="shared" si="62"/>
        <v>0</v>
      </c>
      <c r="AP465">
        <f t="shared" si="63"/>
        <v>0</v>
      </c>
    </row>
    <row r="466" customHeight="1" spans="1:42">
      <c r="A466" s="18" t="s">
        <v>372</v>
      </c>
      <c r="C466" s="18">
        <v>3</v>
      </c>
      <c r="D466" s="1" t="s">
        <v>240</v>
      </c>
      <c r="E466" s="1" t="s">
        <v>224</v>
      </c>
      <c r="L466" s="1">
        <f>IFERROR(VLOOKUP($D466&amp;$C466,生产方式定位!$A$2:$E$38,2,FALSE)+VLOOKUP($E466&amp;$C466,生产方式定位!$F$3:$J$38,2,FALSE),0)</f>
        <v>11000</v>
      </c>
      <c r="S466" s="1">
        <f>IFERROR(VLOOKUP($D466&amp;$C466,生产方式定位!$A$2:$E$38,3,FALSE)+VLOOKUP($E466&amp;$C466,生产方式定位!$F$3:$J$38,3,FALSE),0)</f>
        <v>9400</v>
      </c>
      <c r="X466" s="1">
        <f>IFERROR(VLOOKUP($D466&amp;$C466,生产方式定位!$A$2:$E$38,5,FALSE)+VLOOKUP($E466&amp;$C466,生产方式定位!$F$3:$J$38,5,FALSE),"错误")</f>
        <v>10488</v>
      </c>
      <c r="Y466" s="27" t="str">
        <f t="shared" si="56"/>
        <v/>
      </c>
      <c r="Z466" s="37" t="str">
        <f t="shared" si="57"/>
        <v/>
      </c>
      <c r="AA466" s="37" t="str">
        <f t="shared" si="58"/>
        <v/>
      </c>
      <c r="AB466" s="28">
        <f t="shared" si="59"/>
        <v>1.05</v>
      </c>
      <c r="AC466" s="37"/>
      <c r="AD466" s="38">
        <f t="shared" si="60"/>
        <v>3</v>
      </c>
      <c r="AE466" t="str">
        <f>IFERROR(F466&amp;"*"&amp;ROUND(L466*(G466/$AN466)/VLOOKUP(F466,商品!$A$4:$D$67,4,FALSE),0),"")</f>
        <v/>
      </c>
      <c r="AF466" t="str">
        <f>IFERROR(H466&amp;"*"&amp;ROUND(L466*(I466/$AN466)/VLOOKUP(H466,商品!$A$4:$D$67,4,FALSE),0),"")</f>
        <v/>
      </c>
      <c r="AG466" t="str">
        <f>IFERROR(J466&amp;"*"&amp;ROUND(L466*(K466/$AN466)/VLOOKUP(J466,商品!$A$4:$D$67,4,FALSE),0),"")</f>
        <v/>
      </c>
      <c r="AH466" t="str">
        <f>IFERROR(M466&amp;"*"&amp;ROUND(S466*(N466/$AO466)/VLOOKUP(M466,职业!$A$3:$E$16,4,FALSE),0),"")</f>
        <v/>
      </c>
      <c r="AI466" t="str">
        <f>IFERROR(O466&amp;"*"&amp;ROUND(S466*(P466/$AO466)/VLOOKUP(O466,职业!$A$3:$E$16,4,FALSE),0),"")</f>
        <v/>
      </c>
      <c r="AK466" t="str">
        <f>IFERROR(T466&amp;"*"&amp;ROUND(X466*(U466/$AP466)/VLOOKUP(T466,商品!$A$4:$D$67,4,FALSE),0),"")</f>
        <v/>
      </c>
      <c r="AL466" t="str">
        <f>IFERROR(V466&amp;"*"&amp;ROUND(X466*(W466/$AP466)/VLOOKUP(V466,商品!$A$4:$D$67,4,FALSE),0),"")</f>
        <v/>
      </c>
      <c r="AN466">
        <f t="shared" si="61"/>
        <v>0</v>
      </c>
      <c r="AO466">
        <f t="shared" si="62"/>
        <v>0</v>
      </c>
      <c r="AP466">
        <f t="shared" si="63"/>
        <v>0</v>
      </c>
    </row>
    <row r="467" customHeight="1" spans="1:42">
      <c r="A467" s="18" t="s">
        <v>372</v>
      </c>
      <c r="C467" s="18">
        <v>4</v>
      </c>
      <c r="D467" s="1" t="s">
        <v>240</v>
      </c>
      <c r="E467" s="1" t="s">
        <v>224</v>
      </c>
      <c r="L467" s="1">
        <f>IFERROR(VLOOKUP($D467&amp;$C467,生产方式定位!$A$2:$E$38,2,FALSE)+VLOOKUP($E467&amp;$C467,生产方式定位!$F$3:$J$38,2,FALSE),0)</f>
        <v>11000</v>
      </c>
      <c r="S467" s="1">
        <f>IFERROR(VLOOKUP($D467&amp;$C467,生产方式定位!$A$2:$E$38,3,FALSE)+VLOOKUP($E467&amp;$C467,生产方式定位!$F$3:$J$38,3,FALSE),0)</f>
        <v>10100</v>
      </c>
      <c r="X467" s="1">
        <f>IFERROR(VLOOKUP($D467&amp;$C467,生产方式定位!$A$2:$E$38,5,FALSE)+VLOOKUP($E467&amp;$C467,生产方式定位!$F$3:$J$38,5,FALSE),"错误")</f>
        <v>11198</v>
      </c>
      <c r="Y467" s="27" t="str">
        <f t="shared" si="56"/>
        <v/>
      </c>
      <c r="Z467" s="37" t="str">
        <f t="shared" si="57"/>
        <v/>
      </c>
      <c r="AA467" s="37" t="str">
        <f t="shared" si="58"/>
        <v/>
      </c>
      <c r="AB467" s="28">
        <f t="shared" si="59"/>
        <v>0.98</v>
      </c>
      <c r="AC467" s="37"/>
      <c r="AD467" s="38">
        <f t="shared" si="60"/>
        <v>4</v>
      </c>
      <c r="AE467" t="str">
        <f>IFERROR(F467&amp;"*"&amp;ROUND(L467*(G467/$AN467)/VLOOKUP(F467,商品!$A$4:$D$67,4,FALSE),0),"")</f>
        <v/>
      </c>
      <c r="AF467" t="str">
        <f>IFERROR(H467&amp;"*"&amp;ROUND(L467*(I467/$AN467)/VLOOKUP(H467,商品!$A$4:$D$67,4,FALSE),0),"")</f>
        <v/>
      </c>
      <c r="AG467" t="str">
        <f>IFERROR(J467&amp;"*"&amp;ROUND(L467*(K467/$AN467)/VLOOKUP(J467,商品!$A$4:$D$67,4,FALSE),0),"")</f>
        <v/>
      </c>
      <c r="AH467" t="str">
        <f>IFERROR(M467&amp;"*"&amp;ROUND(S467*(N467/$AO467)/VLOOKUP(M467,职业!$A$3:$E$16,4,FALSE),0),"")</f>
        <v/>
      </c>
      <c r="AI467" t="str">
        <f>IFERROR(O467&amp;"*"&amp;ROUND(S467*(P467/$AO467)/VLOOKUP(O467,职业!$A$3:$E$16,4,FALSE),0),"")</f>
        <v/>
      </c>
      <c r="AK467" t="str">
        <f>IFERROR(T467&amp;"*"&amp;ROUND(X467*(U467/$AP467)/VLOOKUP(T467,商品!$A$4:$D$67,4,FALSE),0),"")</f>
        <v/>
      </c>
      <c r="AL467" t="str">
        <f>IFERROR(V467&amp;"*"&amp;ROUND(X467*(W467/$AP467)/VLOOKUP(V467,商品!$A$4:$D$67,4,FALSE),0),"")</f>
        <v/>
      </c>
      <c r="AN467">
        <f t="shared" si="61"/>
        <v>0</v>
      </c>
      <c r="AO467">
        <f t="shared" si="62"/>
        <v>0</v>
      </c>
      <c r="AP467">
        <f t="shared" si="63"/>
        <v>0</v>
      </c>
    </row>
    <row r="468" customHeight="1" spans="1:42">
      <c r="A468" s="18" t="s">
        <v>372</v>
      </c>
      <c r="C468" s="18">
        <v>5</v>
      </c>
      <c r="D468" s="1" t="s">
        <v>240</v>
      </c>
      <c r="E468" s="1" t="s">
        <v>224</v>
      </c>
      <c r="L468" s="1">
        <f>IFERROR(VLOOKUP($D468&amp;$C468,生产方式定位!$A$2:$E$38,2,FALSE)+VLOOKUP($E468&amp;$C468,生产方式定位!$F$3:$J$38,2,FALSE),0)</f>
        <v>11000</v>
      </c>
      <c r="S468" s="1">
        <f>IFERROR(VLOOKUP($D468&amp;$C468,生产方式定位!$A$2:$E$38,3,FALSE)+VLOOKUP($E468&amp;$C468,生产方式定位!$F$3:$J$38,3,FALSE),0)</f>
        <v>10800</v>
      </c>
      <c r="X468" s="1">
        <f>IFERROR(VLOOKUP($D468&amp;$C468,生产方式定位!$A$2:$E$38,5,FALSE)+VLOOKUP($E468&amp;$C468,生产方式定位!$F$3:$J$38,5,FALSE),"错误")</f>
        <v>12100</v>
      </c>
      <c r="Y468" s="27" t="str">
        <f t="shared" si="56"/>
        <v/>
      </c>
      <c r="Z468" s="37" t="str">
        <f t="shared" si="57"/>
        <v/>
      </c>
      <c r="AA468" s="37" t="str">
        <f t="shared" si="58"/>
        <v/>
      </c>
      <c r="AB468" s="28">
        <f t="shared" si="59"/>
        <v>0.91</v>
      </c>
      <c r="AC468" s="37"/>
      <c r="AD468" s="38">
        <f t="shared" si="60"/>
        <v>5</v>
      </c>
      <c r="AE468" t="str">
        <f>IFERROR(F468&amp;"*"&amp;ROUND(L468*(G468/$AN468)/VLOOKUP(F468,商品!$A$4:$D$67,4,FALSE),0),"")</f>
        <v/>
      </c>
      <c r="AF468" t="str">
        <f>IFERROR(H468&amp;"*"&amp;ROUND(L468*(I468/$AN468)/VLOOKUP(H468,商品!$A$4:$D$67,4,FALSE),0),"")</f>
        <v/>
      </c>
      <c r="AG468" t="str">
        <f>IFERROR(J468&amp;"*"&amp;ROUND(L468*(K468/$AN468)/VLOOKUP(J468,商品!$A$4:$D$67,4,FALSE),0),"")</f>
        <v/>
      </c>
      <c r="AH468" t="str">
        <f>IFERROR(M468&amp;"*"&amp;ROUND(S468*(N468/$AO468)/VLOOKUP(M468,职业!$A$3:$E$16,4,FALSE),0),"")</f>
        <v/>
      </c>
      <c r="AI468" t="str">
        <f>IFERROR(O468&amp;"*"&amp;ROUND(S468*(P468/$AO468)/VLOOKUP(O468,职业!$A$3:$E$16,4,FALSE),0),"")</f>
        <v/>
      </c>
      <c r="AK468" t="str">
        <f>IFERROR(T468&amp;"*"&amp;ROUND(X468*(U468/$AP468)/VLOOKUP(T468,商品!$A$4:$D$67,4,FALSE),0),"")</f>
        <v/>
      </c>
      <c r="AL468" t="str">
        <f>IFERROR(V468&amp;"*"&amp;ROUND(X468*(W468/$AP468)/VLOOKUP(V468,商品!$A$4:$D$67,4,FALSE),0),"")</f>
        <v/>
      </c>
      <c r="AN468">
        <f t="shared" si="61"/>
        <v>0</v>
      </c>
      <c r="AO468">
        <f t="shared" si="62"/>
        <v>0</v>
      </c>
      <c r="AP468">
        <f t="shared" si="63"/>
        <v>0</v>
      </c>
    </row>
    <row r="469" customHeight="1" spans="1:42">
      <c r="A469" s="5" t="s">
        <v>373</v>
      </c>
      <c r="C469" s="5">
        <v>1</v>
      </c>
      <c r="D469" s="1" t="s">
        <v>240</v>
      </c>
      <c r="E469" s="1" t="s">
        <v>225</v>
      </c>
      <c r="L469" s="1">
        <f>IFERROR(VLOOKUP($D469&amp;$C469,生产方式定位!$A$2:$E$38,2,FALSE)+VLOOKUP($E469&amp;$C469,生产方式定位!$F$3:$J$38,2,FALSE),0)</f>
        <v>0</v>
      </c>
      <c r="S469" s="1">
        <f>IFERROR(VLOOKUP($D469&amp;$C469,生产方式定位!$A$2:$E$38,3,FALSE)+VLOOKUP($E469&amp;$C469,生产方式定位!$F$3:$J$38,3,FALSE),0)</f>
        <v>8000</v>
      </c>
      <c r="X469" s="1">
        <f>IFERROR(VLOOKUP($D469&amp;$C469,生产方式定位!$A$2:$E$38,5,FALSE)+VLOOKUP($E469&amp;$C469,生产方式定位!$F$3:$J$38,5,FALSE),"错误")</f>
        <v>4000</v>
      </c>
      <c r="Y469" s="27" t="str">
        <f t="shared" si="56"/>
        <v/>
      </c>
      <c r="Z469" s="37" t="str">
        <f t="shared" si="57"/>
        <v/>
      </c>
      <c r="AA469" s="37" t="str">
        <f t="shared" si="58"/>
        <v/>
      </c>
      <c r="AB469" s="28">
        <f t="shared" si="59"/>
        <v>0</v>
      </c>
      <c r="AC469" s="37"/>
      <c r="AD469" s="38">
        <f t="shared" si="60"/>
        <v>1</v>
      </c>
      <c r="AE469" t="str">
        <f>IFERROR(F469&amp;"*"&amp;ROUND(L469*(G469/$AN469)/VLOOKUP(F469,商品!$A$4:$D$67,4,FALSE),0),"")</f>
        <v/>
      </c>
      <c r="AF469" t="str">
        <f>IFERROR(H469&amp;"*"&amp;ROUND(L469*(I469/$AN469)/VLOOKUP(H469,商品!$A$4:$D$67,4,FALSE),0),"")</f>
        <v/>
      </c>
      <c r="AG469" t="str">
        <f>IFERROR(J469&amp;"*"&amp;ROUND(L469*(K469/$AN469)/VLOOKUP(J469,商品!$A$4:$D$67,4,FALSE),0),"")</f>
        <v/>
      </c>
      <c r="AH469" t="str">
        <f>IFERROR(M469&amp;"*"&amp;ROUND(S469*(N469/$AO469)/VLOOKUP(M469,职业!$A$3:$E$16,4,FALSE),0),"")</f>
        <v/>
      </c>
      <c r="AI469" t="str">
        <f>IFERROR(O469&amp;"*"&amp;ROUND(S469*(P469/$AO469)/VLOOKUP(O469,职业!$A$3:$E$16,4,FALSE),0),"")</f>
        <v/>
      </c>
      <c r="AK469" t="str">
        <f>IFERROR(T469&amp;"*"&amp;ROUND(X469*(U469/$AP469)/VLOOKUP(T469,商品!$A$4:$D$67,4,FALSE),0),"")</f>
        <v/>
      </c>
      <c r="AL469" t="str">
        <f>IFERROR(V469&amp;"*"&amp;ROUND(X469*(W469/$AP469)/VLOOKUP(V469,商品!$A$4:$D$67,4,FALSE),0),"")</f>
        <v/>
      </c>
      <c r="AN469">
        <f t="shared" si="61"/>
        <v>0</v>
      </c>
      <c r="AO469">
        <f t="shared" si="62"/>
        <v>0</v>
      </c>
      <c r="AP469">
        <f t="shared" si="63"/>
        <v>0</v>
      </c>
    </row>
    <row r="470" customHeight="1" spans="1:42">
      <c r="A470" s="5" t="s">
        <v>373</v>
      </c>
      <c r="C470" s="5">
        <v>2</v>
      </c>
      <c r="D470" s="1" t="s">
        <v>240</v>
      </c>
      <c r="E470" s="1" t="s">
        <v>225</v>
      </c>
      <c r="L470" s="1">
        <f>IFERROR(VLOOKUP($D470&amp;$C470,生产方式定位!$A$2:$E$38,2,FALSE)+VLOOKUP($E470&amp;$C470,生产方式定位!$F$3:$J$38,2,FALSE),0)</f>
        <v>11000</v>
      </c>
      <c r="S470" s="1">
        <f>IFERROR(VLOOKUP($D470&amp;$C470,生产方式定位!$A$2:$E$38,3,FALSE)+VLOOKUP($E470&amp;$C470,生产方式定位!$F$3:$J$38,3,FALSE),0)</f>
        <v>10500</v>
      </c>
      <c r="X470" s="1">
        <f>IFERROR(VLOOKUP($D470&amp;$C470,生产方式定位!$A$2:$E$38,5,FALSE)+VLOOKUP($E470&amp;$C470,生产方式定位!$F$3:$J$38,5,FALSE),"错误")</f>
        <v>10795</v>
      </c>
      <c r="Y470" s="27" t="str">
        <f t="shared" si="56"/>
        <v/>
      </c>
      <c r="Z470" s="37" t="str">
        <f t="shared" si="57"/>
        <v/>
      </c>
      <c r="AA470" s="37" t="str">
        <f t="shared" si="58"/>
        <v/>
      </c>
      <c r="AB470" s="28">
        <f t="shared" si="59"/>
        <v>1.02</v>
      </c>
      <c r="AC470" s="37"/>
      <c r="AD470" s="38">
        <f t="shared" si="60"/>
        <v>2</v>
      </c>
      <c r="AE470" t="str">
        <f>IFERROR(F470&amp;"*"&amp;ROUND(L470*(G470/$AN470)/VLOOKUP(F470,商品!$A$4:$D$67,4,FALSE),0),"")</f>
        <v/>
      </c>
      <c r="AF470" t="str">
        <f>IFERROR(H470&amp;"*"&amp;ROUND(L470*(I470/$AN470)/VLOOKUP(H470,商品!$A$4:$D$67,4,FALSE),0),"")</f>
        <v/>
      </c>
      <c r="AG470" t="str">
        <f>IFERROR(J470&amp;"*"&amp;ROUND(L470*(K470/$AN470)/VLOOKUP(J470,商品!$A$4:$D$67,4,FALSE),0),"")</f>
        <v/>
      </c>
      <c r="AH470" t="str">
        <f>IFERROR(M470&amp;"*"&amp;ROUND(S470*(N470/$AO470)/VLOOKUP(M470,职业!$A$3:$E$16,4,FALSE),0),"")</f>
        <v/>
      </c>
      <c r="AI470" t="str">
        <f>IFERROR(O470&amp;"*"&amp;ROUND(S470*(P470/$AO470)/VLOOKUP(O470,职业!$A$3:$E$16,4,FALSE),0),"")</f>
        <v/>
      </c>
      <c r="AK470" t="str">
        <f>IFERROR(T470&amp;"*"&amp;ROUND(X470*(U470/$AP470)/VLOOKUP(T470,商品!$A$4:$D$67,4,FALSE),0),"")</f>
        <v/>
      </c>
      <c r="AL470" t="str">
        <f>IFERROR(V470&amp;"*"&amp;ROUND(X470*(W470/$AP470)/VLOOKUP(V470,商品!$A$4:$D$67,4,FALSE),0),"")</f>
        <v/>
      </c>
      <c r="AN470">
        <f t="shared" si="61"/>
        <v>0</v>
      </c>
      <c r="AO470">
        <f t="shared" si="62"/>
        <v>0</v>
      </c>
      <c r="AP470">
        <f t="shared" si="63"/>
        <v>0</v>
      </c>
    </row>
    <row r="471" customHeight="1" spans="1:42">
      <c r="A471" s="5" t="s">
        <v>373</v>
      </c>
      <c r="C471" s="5">
        <v>3</v>
      </c>
      <c r="D471" s="1" t="s">
        <v>240</v>
      </c>
      <c r="E471" s="1" t="s">
        <v>225</v>
      </c>
      <c r="L471" s="1">
        <f>IFERROR(VLOOKUP($D471&amp;$C471,生产方式定位!$A$2:$E$38,2,FALSE)+VLOOKUP($E471&amp;$C471,生产方式定位!$F$3:$J$38,2,FALSE),0)</f>
        <v>11000</v>
      </c>
      <c r="S471" s="1">
        <f>IFERROR(VLOOKUP($D471&amp;$C471,生产方式定位!$A$2:$E$38,3,FALSE)+VLOOKUP($E471&amp;$C471,生产方式定位!$F$3:$J$38,3,FALSE),0)</f>
        <v>12000</v>
      </c>
      <c r="X471" s="1">
        <f>IFERROR(VLOOKUP($D471&amp;$C471,生产方式定位!$A$2:$E$38,5,FALSE)+VLOOKUP($E471&amp;$C471,生产方式定位!$F$3:$J$38,5,FALSE),"错误")</f>
        <v>11650</v>
      </c>
      <c r="Y471" s="27" t="str">
        <f t="shared" si="56"/>
        <v/>
      </c>
      <c r="Z471" s="37" t="str">
        <f t="shared" si="57"/>
        <v/>
      </c>
      <c r="AA471" s="37" t="str">
        <f t="shared" si="58"/>
        <v/>
      </c>
      <c r="AB471" s="28">
        <f t="shared" si="59"/>
        <v>0.94</v>
      </c>
      <c r="AC471" s="37"/>
      <c r="AD471" s="38">
        <f t="shared" si="60"/>
        <v>3</v>
      </c>
      <c r="AE471" t="str">
        <f>IFERROR(F471&amp;"*"&amp;ROUND(L471*(G471/$AN471)/VLOOKUP(F471,商品!$A$4:$D$67,4,FALSE),0),"")</f>
        <v/>
      </c>
      <c r="AF471" t="str">
        <f>IFERROR(H471&amp;"*"&amp;ROUND(L471*(I471/$AN471)/VLOOKUP(H471,商品!$A$4:$D$67,4,FALSE),0),"")</f>
        <v/>
      </c>
      <c r="AG471" t="str">
        <f>IFERROR(J471&amp;"*"&amp;ROUND(L471*(K471/$AN471)/VLOOKUP(J471,商品!$A$4:$D$67,4,FALSE),0),"")</f>
        <v/>
      </c>
      <c r="AH471" t="str">
        <f>IFERROR(M471&amp;"*"&amp;ROUND(S471*(N471/$AO471)/VLOOKUP(M471,职业!$A$3:$E$16,4,FALSE),0),"")</f>
        <v/>
      </c>
      <c r="AI471" t="str">
        <f>IFERROR(O471&amp;"*"&amp;ROUND(S471*(P471/$AO471)/VLOOKUP(O471,职业!$A$3:$E$16,4,FALSE),0),"")</f>
        <v/>
      </c>
      <c r="AK471" t="str">
        <f>IFERROR(T471&amp;"*"&amp;ROUND(X471*(U471/$AP471)/VLOOKUP(T471,商品!$A$4:$D$67,4,FALSE),0),"")</f>
        <v/>
      </c>
      <c r="AL471" t="str">
        <f>IFERROR(V471&amp;"*"&amp;ROUND(X471*(W471/$AP471)/VLOOKUP(V471,商品!$A$4:$D$67,4,FALSE),0),"")</f>
        <v/>
      </c>
      <c r="AN471">
        <f t="shared" si="61"/>
        <v>0</v>
      </c>
      <c r="AO471">
        <f t="shared" si="62"/>
        <v>0</v>
      </c>
      <c r="AP471">
        <f t="shared" si="63"/>
        <v>0</v>
      </c>
    </row>
    <row r="472" customHeight="1" spans="1:42">
      <c r="A472" s="5" t="s">
        <v>373</v>
      </c>
      <c r="C472" s="5">
        <v>4</v>
      </c>
      <c r="D472" s="1" t="s">
        <v>240</v>
      </c>
      <c r="E472" s="1" t="s">
        <v>225</v>
      </c>
      <c r="L472" s="1">
        <f>IFERROR(VLOOKUP($D472&amp;$C472,生产方式定位!$A$2:$E$38,2,FALSE)+VLOOKUP($E472&amp;$C472,生产方式定位!$F$3:$J$38,2,FALSE),0)</f>
        <v>11000</v>
      </c>
      <c r="S472" s="1">
        <f>IFERROR(VLOOKUP($D472&amp;$C472,生产方式定位!$A$2:$E$38,3,FALSE)+VLOOKUP($E472&amp;$C472,生产方式定位!$F$3:$J$38,3,FALSE),0)</f>
        <v>13500</v>
      </c>
      <c r="X472" s="1">
        <f>IFERROR(VLOOKUP($D472&amp;$C472,生产方式定位!$A$2:$E$38,5,FALSE)+VLOOKUP($E472&amp;$C472,生产方式定位!$F$3:$J$38,5,FALSE),"错误")</f>
        <v>12565</v>
      </c>
      <c r="Y472" s="27" t="str">
        <f t="shared" si="56"/>
        <v/>
      </c>
      <c r="Z472" s="37" t="str">
        <f t="shared" si="57"/>
        <v/>
      </c>
      <c r="AA472" s="37" t="str">
        <f t="shared" si="58"/>
        <v/>
      </c>
      <c r="AB472" s="28">
        <f t="shared" si="59"/>
        <v>0.88</v>
      </c>
      <c r="AC472" s="37"/>
      <c r="AD472" s="38">
        <f t="shared" si="60"/>
        <v>4</v>
      </c>
      <c r="AE472" t="str">
        <f>IFERROR(F472&amp;"*"&amp;ROUND(L472*(G472/$AN472)/VLOOKUP(F472,商品!$A$4:$D$67,4,FALSE),0),"")</f>
        <v/>
      </c>
      <c r="AF472" t="str">
        <f>IFERROR(H472&amp;"*"&amp;ROUND(L472*(I472/$AN472)/VLOOKUP(H472,商品!$A$4:$D$67,4,FALSE),0),"")</f>
        <v/>
      </c>
      <c r="AG472" t="str">
        <f>IFERROR(J472&amp;"*"&amp;ROUND(L472*(K472/$AN472)/VLOOKUP(J472,商品!$A$4:$D$67,4,FALSE),0),"")</f>
        <v/>
      </c>
      <c r="AH472" t="str">
        <f>IFERROR(M472&amp;"*"&amp;ROUND(S472*(N472/$AO472)/VLOOKUP(M472,职业!$A$3:$E$16,4,FALSE),0),"")</f>
        <v/>
      </c>
      <c r="AI472" t="str">
        <f>IFERROR(O472&amp;"*"&amp;ROUND(S472*(P472/$AO472)/VLOOKUP(O472,职业!$A$3:$E$16,4,FALSE),0),"")</f>
        <v/>
      </c>
      <c r="AK472" t="str">
        <f>IFERROR(T472&amp;"*"&amp;ROUND(X472*(U472/$AP472)/VLOOKUP(T472,商品!$A$4:$D$67,4,FALSE),0),"")</f>
        <v/>
      </c>
      <c r="AL472" t="str">
        <f>IFERROR(V472&amp;"*"&amp;ROUND(X472*(W472/$AP472)/VLOOKUP(V472,商品!$A$4:$D$67,4,FALSE),0),"")</f>
        <v/>
      </c>
      <c r="AN472">
        <f t="shared" si="61"/>
        <v>0</v>
      </c>
      <c r="AO472">
        <f t="shared" si="62"/>
        <v>0</v>
      </c>
      <c r="AP472">
        <f t="shared" si="63"/>
        <v>0</v>
      </c>
    </row>
    <row r="473" customHeight="1" spans="1:42">
      <c r="A473" s="5" t="s">
        <v>373</v>
      </c>
      <c r="C473" s="5">
        <v>5</v>
      </c>
      <c r="D473" s="1" t="s">
        <v>240</v>
      </c>
      <c r="E473" s="1" t="s">
        <v>225</v>
      </c>
      <c r="L473" s="1">
        <f>IFERROR(VLOOKUP($D473&amp;$C473,生产方式定位!$A$2:$E$38,2,FALSE)+VLOOKUP($E473&amp;$C473,生产方式定位!$F$3:$J$38,2,FALSE),0)</f>
        <v>11000</v>
      </c>
      <c r="S473" s="1">
        <f>IFERROR(VLOOKUP($D473&amp;$C473,生产方式定位!$A$2:$E$38,3,FALSE)+VLOOKUP($E473&amp;$C473,生产方式定位!$F$3:$J$38,3,FALSE),0)</f>
        <v>15000</v>
      </c>
      <c r="X473" s="1">
        <f>IFERROR(VLOOKUP($D473&amp;$C473,生产方式定位!$A$2:$E$38,5,FALSE)+VLOOKUP($E473&amp;$C473,生产方式定位!$F$3:$J$38,5,FALSE),"错误")</f>
        <v>13563</v>
      </c>
      <c r="Y473" s="27" t="str">
        <f t="shared" si="56"/>
        <v/>
      </c>
      <c r="Z473" s="37" t="str">
        <f t="shared" si="57"/>
        <v/>
      </c>
      <c r="AA473" s="37" t="str">
        <f t="shared" si="58"/>
        <v/>
      </c>
      <c r="AB473" s="28">
        <f t="shared" si="59"/>
        <v>0.81</v>
      </c>
      <c r="AC473" s="37"/>
      <c r="AD473" s="38">
        <f t="shared" si="60"/>
        <v>5</v>
      </c>
      <c r="AE473" t="str">
        <f>IFERROR(F473&amp;"*"&amp;ROUND(L473*(G473/$AN473)/VLOOKUP(F473,商品!$A$4:$D$67,4,FALSE),0),"")</f>
        <v/>
      </c>
      <c r="AF473" t="str">
        <f>IFERROR(H473&amp;"*"&amp;ROUND(L473*(I473/$AN473)/VLOOKUP(H473,商品!$A$4:$D$67,4,FALSE),0),"")</f>
        <v/>
      </c>
      <c r="AG473" t="str">
        <f>IFERROR(J473&amp;"*"&amp;ROUND(L473*(K473/$AN473)/VLOOKUP(J473,商品!$A$4:$D$67,4,FALSE),0),"")</f>
        <v/>
      </c>
      <c r="AH473" t="str">
        <f>IFERROR(M473&amp;"*"&amp;ROUND(S473*(N473/$AO473)/VLOOKUP(M473,职业!$A$3:$E$16,4,FALSE),0),"")</f>
        <v/>
      </c>
      <c r="AI473" t="str">
        <f>IFERROR(O473&amp;"*"&amp;ROUND(S473*(P473/$AO473)/VLOOKUP(O473,职业!$A$3:$E$16,4,FALSE),0),"")</f>
        <v/>
      </c>
      <c r="AK473" t="str">
        <f>IFERROR(T473&amp;"*"&amp;ROUND(X473*(U473/$AP473)/VLOOKUP(T473,商品!$A$4:$D$67,4,FALSE),0),"")</f>
        <v/>
      </c>
      <c r="AL473" t="str">
        <f>IFERROR(V473&amp;"*"&amp;ROUND(X473*(W473/$AP473)/VLOOKUP(V473,商品!$A$4:$D$67,4,FALSE),0),"")</f>
        <v/>
      </c>
      <c r="AN473">
        <f t="shared" si="61"/>
        <v>0</v>
      </c>
      <c r="AO473">
        <f t="shared" si="62"/>
        <v>0</v>
      </c>
      <c r="AP473">
        <f t="shared" si="63"/>
        <v>0</v>
      </c>
    </row>
    <row r="474" customHeight="1" spans="1:42">
      <c r="A474" s="18" t="s">
        <v>374</v>
      </c>
      <c r="C474" s="18">
        <v>1</v>
      </c>
      <c r="D474" s="1" t="s">
        <v>240</v>
      </c>
      <c r="E474" s="1" t="s">
        <v>226</v>
      </c>
      <c r="L474" s="1">
        <f>IFERROR(VLOOKUP($D474&amp;$C474,生产方式定位!$A$2:$E$38,2,FALSE)+VLOOKUP($E474&amp;$C474,生产方式定位!$F$3:$J$38,2,FALSE),0)</f>
        <v>0</v>
      </c>
      <c r="S474" s="1">
        <f>IFERROR(VLOOKUP($D474&amp;$C474,生产方式定位!$A$2:$E$38,3,FALSE)+VLOOKUP($E474&amp;$C474,生产方式定位!$F$3:$J$38,3,FALSE),0)</f>
        <v>8000</v>
      </c>
      <c r="X474" s="1">
        <f>IFERROR(VLOOKUP($D474&amp;$C474,生产方式定位!$A$2:$E$38,5,FALSE)+VLOOKUP($E474&amp;$C474,生产方式定位!$F$3:$J$38,5,FALSE),"错误")</f>
        <v>4000</v>
      </c>
      <c r="Y474" s="27" t="str">
        <f t="shared" si="56"/>
        <v/>
      </c>
      <c r="Z474" s="37" t="str">
        <f t="shared" si="57"/>
        <v/>
      </c>
      <c r="AA474" s="37" t="str">
        <f t="shared" si="58"/>
        <v/>
      </c>
      <c r="AB474" s="28">
        <f t="shared" si="59"/>
        <v>0</v>
      </c>
      <c r="AC474" s="37"/>
      <c r="AD474" s="38">
        <f t="shared" si="60"/>
        <v>1</v>
      </c>
      <c r="AE474" t="str">
        <f>IFERROR(F474&amp;"*"&amp;ROUND(L474*(G474/$AN474)/VLOOKUP(F474,商品!$A$4:$D$67,4,FALSE),0),"")</f>
        <v/>
      </c>
      <c r="AF474" t="str">
        <f>IFERROR(H474&amp;"*"&amp;ROUND(L474*(I474/$AN474)/VLOOKUP(H474,商品!$A$4:$D$67,4,FALSE),0),"")</f>
        <v/>
      </c>
      <c r="AG474" t="str">
        <f>IFERROR(J474&amp;"*"&amp;ROUND(L474*(K474/$AN474)/VLOOKUP(J474,商品!$A$4:$D$67,4,FALSE),0),"")</f>
        <v/>
      </c>
      <c r="AH474" t="str">
        <f>IFERROR(M474&amp;"*"&amp;ROUND(S474*(N474/$AO474)/VLOOKUP(M474,职业!$A$3:$E$16,4,FALSE),0),"")</f>
        <v/>
      </c>
      <c r="AI474" t="str">
        <f>IFERROR(O474&amp;"*"&amp;ROUND(S474*(P474/$AO474)/VLOOKUP(O474,职业!$A$3:$E$16,4,FALSE),0),"")</f>
        <v/>
      </c>
      <c r="AK474" t="str">
        <f>IFERROR(T474&amp;"*"&amp;ROUND(X474*(U474/$AP474)/VLOOKUP(T474,商品!$A$4:$D$67,4,FALSE),0),"")</f>
        <v/>
      </c>
      <c r="AL474" t="str">
        <f>IFERROR(V474&amp;"*"&amp;ROUND(X474*(W474/$AP474)/VLOOKUP(V474,商品!$A$4:$D$67,4,FALSE),0),"")</f>
        <v/>
      </c>
      <c r="AN474">
        <f t="shared" si="61"/>
        <v>0</v>
      </c>
      <c r="AO474">
        <f t="shared" si="62"/>
        <v>0</v>
      </c>
      <c r="AP474">
        <f t="shared" si="63"/>
        <v>0</v>
      </c>
    </row>
    <row r="475" customHeight="1" spans="1:42">
      <c r="A475" s="18" t="s">
        <v>374</v>
      </c>
      <c r="C475" s="18">
        <v>2</v>
      </c>
      <c r="D475" s="1" t="s">
        <v>240</v>
      </c>
      <c r="E475" s="1" t="s">
        <v>226</v>
      </c>
      <c r="L475" s="1">
        <f>IFERROR(VLOOKUP($D475&amp;$C475,生产方式定位!$A$2:$E$38,2,FALSE)+VLOOKUP($E475&amp;$C475,生产方式定位!$F$3:$J$38,2,FALSE),0)</f>
        <v>12000</v>
      </c>
      <c r="S475" s="1">
        <f>IFERROR(VLOOKUP($D475&amp;$C475,生产方式定位!$A$2:$E$38,3,FALSE)+VLOOKUP($E475&amp;$C475,生产方式定位!$F$3:$J$38,3,FALSE),0)</f>
        <v>8300</v>
      </c>
      <c r="X475" s="1">
        <f>IFERROR(VLOOKUP($D475&amp;$C475,生产方式定位!$A$2:$E$38,5,FALSE)+VLOOKUP($E475&amp;$C475,生产方式定位!$F$3:$J$38,5,FALSE),"错误")</f>
        <v>10240</v>
      </c>
      <c r="Y475" s="27" t="str">
        <f t="shared" si="56"/>
        <v/>
      </c>
      <c r="Z475" s="37" t="str">
        <f t="shared" si="57"/>
        <v/>
      </c>
      <c r="AA475" s="37" t="str">
        <f t="shared" si="58"/>
        <v/>
      </c>
      <c r="AB475" s="28">
        <f t="shared" si="59"/>
        <v>1.17</v>
      </c>
      <c r="AC475" s="37"/>
      <c r="AD475" s="38">
        <f t="shared" si="60"/>
        <v>2</v>
      </c>
      <c r="AE475" t="str">
        <f>IFERROR(F475&amp;"*"&amp;ROUND(L475*(G475/$AN475)/VLOOKUP(F475,商品!$A$4:$D$67,4,FALSE),0),"")</f>
        <v/>
      </c>
      <c r="AF475" t="str">
        <f>IFERROR(H475&amp;"*"&amp;ROUND(L475*(I475/$AN475)/VLOOKUP(H475,商品!$A$4:$D$67,4,FALSE),0),"")</f>
        <v/>
      </c>
      <c r="AG475" t="str">
        <f>IFERROR(J475&amp;"*"&amp;ROUND(L475*(K475/$AN475)/VLOOKUP(J475,商品!$A$4:$D$67,4,FALSE),0),"")</f>
        <v/>
      </c>
      <c r="AH475" t="str">
        <f>IFERROR(M475&amp;"*"&amp;ROUND(S475*(N475/$AO475)/VLOOKUP(M475,职业!$A$3:$E$16,4,FALSE),0),"")</f>
        <v/>
      </c>
      <c r="AI475" t="str">
        <f>IFERROR(O475&amp;"*"&amp;ROUND(S475*(P475/$AO475)/VLOOKUP(O475,职业!$A$3:$E$16,4,FALSE),0),"")</f>
        <v/>
      </c>
      <c r="AK475" t="str">
        <f>IFERROR(T475&amp;"*"&amp;ROUND(X475*(U475/$AP475)/VLOOKUP(T475,商品!$A$4:$D$67,4,FALSE),0),"")</f>
        <v/>
      </c>
      <c r="AL475" t="str">
        <f>IFERROR(V475&amp;"*"&amp;ROUND(X475*(W475/$AP475)/VLOOKUP(V475,商品!$A$4:$D$67,4,FALSE),0),"")</f>
        <v/>
      </c>
      <c r="AN475">
        <f t="shared" si="61"/>
        <v>0</v>
      </c>
      <c r="AO475">
        <f t="shared" si="62"/>
        <v>0</v>
      </c>
      <c r="AP475">
        <f t="shared" si="63"/>
        <v>0</v>
      </c>
    </row>
    <row r="476" customHeight="1" spans="1:42">
      <c r="A476" s="18" t="s">
        <v>374</v>
      </c>
      <c r="C476" s="18">
        <v>3</v>
      </c>
      <c r="D476" s="1" t="s">
        <v>240</v>
      </c>
      <c r="E476" s="1" t="s">
        <v>226</v>
      </c>
      <c r="L476" s="1">
        <f>IFERROR(VLOOKUP($D476&amp;$C476,生产方式定位!$A$2:$E$38,2,FALSE)+VLOOKUP($E476&amp;$C476,生产方式定位!$F$3:$J$38,2,FALSE),0)</f>
        <v>12000</v>
      </c>
      <c r="S476" s="1">
        <f>IFERROR(VLOOKUP($D476&amp;$C476,生产方式定位!$A$2:$E$38,3,FALSE)+VLOOKUP($E476&amp;$C476,生产方式定位!$F$3:$J$38,3,FALSE),0)</f>
        <v>8600</v>
      </c>
      <c r="X476" s="1">
        <f>IFERROR(VLOOKUP($D476&amp;$C476,生产方式定位!$A$2:$E$38,5,FALSE)+VLOOKUP($E476&amp;$C476,生产方式定位!$F$3:$J$38,5,FALSE),"错误")</f>
        <v>10560</v>
      </c>
      <c r="Y476" s="27" t="str">
        <f t="shared" si="56"/>
        <v/>
      </c>
      <c r="Z476" s="37" t="str">
        <f t="shared" si="57"/>
        <v/>
      </c>
      <c r="AA476" s="37" t="str">
        <f t="shared" si="58"/>
        <v/>
      </c>
      <c r="AB476" s="28">
        <f t="shared" si="59"/>
        <v>1.14</v>
      </c>
      <c r="AC476" s="37"/>
      <c r="AD476" s="38">
        <f t="shared" si="60"/>
        <v>3</v>
      </c>
      <c r="AE476" t="str">
        <f>IFERROR(F476&amp;"*"&amp;ROUND(L476*(G476/$AN476)/VLOOKUP(F476,商品!$A$4:$D$67,4,FALSE),0),"")</f>
        <v/>
      </c>
      <c r="AF476" t="str">
        <f>IFERROR(H476&amp;"*"&amp;ROUND(L476*(I476/$AN476)/VLOOKUP(H476,商品!$A$4:$D$67,4,FALSE),0),"")</f>
        <v/>
      </c>
      <c r="AG476" t="str">
        <f>IFERROR(J476&amp;"*"&amp;ROUND(L476*(K476/$AN476)/VLOOKUP(J476,商品!$A$4:$D$67,4,FALSE),0),"")</f>
        <v/>
      </c>
      <c r="AH476" t="str">
        <f>IFERROR(M476&amp;"*"&amp;ROUND(S476*(N476/$AO476)/VLOOKUP(M476,职业!$A$3:$E$16,4,FALSE),0),"")</f>
        <v/>
      </c>
      <c r="AI476" t="str">
        <f>IFERROR(O476&amp;"*"&amp;ROUND(S476*(P476/$AO476)/VLOOKUP(O476,职业!$A$3:$E$16,4,FALSE),0),"")</f>
        <v/>
      </c>
      <c r="AK476" t="str">
        <f>IFERROR(T476&amp;"*"&amp;ROUND(X476*(U476/$AP476)/VLOOKUP(T476,商品!$A$4:$D$67,4,FALSE),0),"")</f>
        <v/>
      </c>
      <c r="AL476" t="str">
        <f>IFERROR(V476&amp;"*"&amp;ROUND(X476*(W476/$AP476)/VLOOKUP(V476,商品!$A$4:$D$67,4,FALSE),0),"")</f>
        <v/>
      </c>
      <c r="AN476">
        <f t="shared" si="61"/>
        <v>0</v>
      </c>
      <c r="AO476">
        <f t="shared" si="62"/>
        <v>0</v>
      </c>
      <c r="AP476">
        <f t="shared" si="63"/>
        <v>0</v>
      </c>
    </row>
    <row r="477" customHeight="1" spans="1:42">
      <c r="A477" s="18" t="s">
        <v>374</v>
      </c>
      <c r="C477" s="18">
        <v>4</v>
      </c>
      <c r="D477" s="1" t="s">
        <v>240</v>
      </c>
      <c r="E477" s="1" t="s">
        <v>226</v>
      </c>
      <c r="L477" s="1">
        <f>IFERROR(VLOOKUP($D477&amp;$C477,生产方式定位!$A$2:$E$38,2,FALSE)+VLOOKUP($E477&amp;$C477,生产方式定位!$F$3:$J$38,2,FALSE),0)</f>
        <v>12000</v>
      </c>
      <c r="S477" s="1">
        <f>IFERROR(VLOOKUP($D477&amp;$C477,生产方式定位!$A$2:$E$38,3,FALSE)+VLOOKUP($E477&amp;$C477,生产方式定位!$F$3:$J$38,3,FALSE),0)</f>
        <v>8900</v>
      </c>
      <c r="X477" s="1">
        <f>IFERROR(VLOOKUP($D477&amp;$C477,生产方式定位!$A$2:$E$38,5,FALSE)+VLOOKUP($E477&amp;$C477,生产方式定位!$F$3:$J$38,5,FALSE),"错误")</f>
        <v>10960</v>
      </c>
      <c r="Y477" s="27" t="str">
        <f t="shared" si="56"/>
        <v/>
      </c>
      <c r="Z477" s="37" t="str">
        <f t="shared" si="57"/>
        <v/>
      </c>
      <c r="AA477" s="37" t="str">
        <f t="shared" si="58"/>
        <v/>
      </c>
      <c r="AB477" s="28">
        <f t="shared" si="59"/>
        <v>1.09</v>
      </c>
      <c r="AC477" s="37"/>
      <c r="AD477" s="38">
        <f t="shared" si="60"/>
        <v>4</v>
      </c>
      <c r="AE477" t="str">
        <f>IFERROR(F477&amp;"*"&amp;ROUND(L477*(G477/$AN477)/VLOOKUP(F477,商品!$A$4:$D$67,4,FALSE),0),"")</f>
        <v/>
      </c>
      <c r="AF477" t="str">
        <f>IFERROR(H477&amp;"*"&amp;ROUND(L477*(I477/$AN477)/VLOOKUP(H477,商品!$A$4:$D$67,4,FALSE),0),"")</f>
        <v/>
      </c>
      <c r="AG477" t="str">
        <f>IFERROR(J477&amp;"*"&amp;ROUND(L477*(K477/$AN477)/VLOOKUP(J477,商品!$A$4:$D$67,4,FALSE),0),"")</f>
        <v/>
      </c>
      <c r="AH477" t="str">
        <f>IFERROR(M477&amp;"*"&amp;ROUND(S477*(N477/$AO477)/VLOOKUP(M477,职业!$A$3:$E$16,4,FALSE),0),"")</f>
        <v/>
      </c>
      <c r="AI477" t="str">
        <f>IFERROR(O477&amp;"*"&amp;ROUND(S477*(P477/$AO477)/VLOOKUP(O477,职业!$A$3:$E$16,4,FALSE),0),"")</f>
        <v/>
      </c>
      <c r="AK477" t="str">
        <f>IFERROR(T477&amp;"*"&amp;ROUND(X477*(U477/$AP477)/VLOOKUP(T477,商品!$A$4:$D$67,4,FALSE),0),"")</f>
        <v/>
      </c>
      <c r="AL477" t="str">
        <f>IFERROR(V477&amp;"*"&amp;ROUND(X477*(W477/$AP477)/VLOOKUP(V477,商品!$A$4:$D$67,4,FALSE),0),"")</f>
        <v/>
      </c>
      <c r="AN477">
        <f t="shared" si="61"/>
        <v>0</v>
      </c>
      <c r="AO477">
        <f t="shared" si="62"/>
        <v>0</v>
      </c>
      <c r="AP477">
        <f t="shared" si="63"/>
        <v>0</v>
      </c>
    </row>
    <row r="478" customHeight="1" spans="1:42">
      <c r="A478" s="18" t="s">
        <v>374</v>
      </c>
      <c r="C478" s="18">
        <v>5</v>
      </c>
      <c r="D478" s="1" t="s">
        <v>240</v>
      </c>
      <c r="E478" s="1" t="s">
        <v>226</v>
      </c>
      <c r="L478" s="1">
        <f>IFERROR(VLOOKUP($D478&amp;$C478,生产方式定位!$A$2:$E$38,2,FALSE)+VLOOKUP($E478&amp;$C478,生产方式定位!$F$3:$J$38,2,FALSE),0)</f>
        <v>12000</v>
      </c>
      <c r="S478" s="1">
        <f>IFERROR(VLOOKUP($D478&amp;$C478,生产方式定位!$A$2:$E$38,3,FALSE)+VLOOKUP($E478&amp;$C478,生产方式定位!$F$3:$J$38,3,FALSE),0)</f>
        <v>9200</v>
      </c>
      <c r="X478" s="1">
        <f>IFERROR(VLOOKUP($D478&amp;$C478,生产方式定位!$A$2:$E$38,5,FALSE)+VLOOKUP($E478&amp;$C478,生产方式定位!$F$3:$J$38,5,FALSE),"错误")</f>
        <v>11440</v>
      </c>
      <c r="Y478" s="27" t="str">
        <f t="shared" si="56"/>
        <v/>
      </c>
      <c r="Z478" s="37" t="str">
        <f t="shared" si="57"/>
        <v/>
      </c>
      <c r="AA478" s="37" t="str">
        <f t="shared" si="58"/>
        <v/>
      </c>
      <c r="AB478" s="28">
        <f t="shared" si="59"/>
        <v>1.05</v>
      </c>
      <c r="AC478" s="37"/>
      <c r="AD478" s="38">
        <f t="shared" si="60"/>
        <v>5</v>
      </c>
      <c r="AE478" t="str">
        <f>IFERROR(F478&amp;"*"&amp;ROUND(L478*(G478/$AN478)/VLOOKUP(F478,商品!$A$4:$D$67,4,FALSE),0),"")</f>
        <v/>
      </c>
      <c r="AF478" t="str">
        <f>IFERROR(H478&amp;"*"&amp;ROUND(L478*(I478/$AN478)/VLOOKUP(H478,商品!$A$4:$D$67,4,FALSE),0),"")</f>
        <v/>
      </c>
      <c r="AG478" t="str">
        <f>IFERROR(J478&amp;"*"&amp;ROUND(L478*(K478/$AN478)/VLOOKUP(J478,商品!$A$4:$D$67,4,FALSE),0),"")</f>
        <v/>
      </c>
      <c r="AH478" t="str">
        <f>IFERROR(M478&amp;"*"&amp;ROUND(S478*(N478/$AO478)/VLOOKUP(M478,职业!$A$3:$E$16,4,FALSE),0),"")</f>
        <v/>
      </c>
      <c r="AI478" t="str">
        <f>IFERROR(O478&amp;"*"&amp;ROUND(S478*(P478/$AO478)/VLOOKUP(O478,职业!$A$3:$E$16,4,FALSE),0),"")</f>
        <v/>
      </c>
      <c r="AK478" t="str">
        <f>IFERROR(T478&amp;"*"&amp;ROUND(X478*(U478/$AP478)/VLOOKUP(T478,商品!$A$4:$D$67,4,FALSE),0),"")</f>
        <v/>
      </c>
      <c r="AL478" t="str">
        <f>IFERROR(V478&amp;"*"&amp;ROUND(X478*(W478/$AP478)/VLOOKUP(V478,商品!$A$4:$D$67,4,FALSE),0),"")</f>
        <v/>
      </c>
      <c r="AN478">
        <f t="shared" si="61"/>
        <v>0</v>
      </c>
      <c r="AO478">
        <f t="shared" si="62"/>
        <v>0</v>
      </c>
      <c r="AP478">
        <f t="shared" si="63"/>
        <v>0</v>
      </c>
    </row>
    <row r="479" customHeight="1" spans="1:42">
      <c r="A479" s="5" t="s">
        <v>374</v>
      </c>
      <c r="C479" s="5">
        <v>1</v>
      </c>
      <c r="D479" s="1" t="s">
        <v>240</v>
      </c>
      <c r="E479" s="1" t="s">
        <v>226</v>
      </c>
      <c r="L479" s="1">
        <f>IFERROR(VLOOKUP($D479&amp;$C479,生产方式定位!$A$2:$E$38,2,FALSE)+VLOOKUP($E479&amp;$C479,生产方式定位!$F$3:$J$38,2,FALSE),0)</f>
        <v>0</v>
      </c>
      <c r="S479" s="1">
        <f>IFERROR(VLOOKUP($D479&amp;$C479,生产方式定位!$A$2:$E$38,3,FALSE)+VLOOKUP($E479&amp;$C479,生产方式定位!$F$3:$J$38,3,FALSE),0)</f>
        <v>8000</v>
      </c>
      <c r="X479" s="1">
        <f>IFERROR(VLOOKUP($D479&amp;$C479,生产方式定位!$A$2:$E$38,5,FALSE)+VLOOKUP($E479&amp;$C479,生产方式定位!$F$3:$J$38,5,FALSE),"错误")</f>
        <v>4000</v>
      </c>
      <c r="Y479" s="27" t="str">
        <f t="shared" si="56"/>
        <v/>
      </c>
      <c r="Z479" s="37" t="str">
        <f t="shared" si="57"/>
        <v/>
      </c>
      <c r="AA479" s="37" t="str">
        <f t="shared" si="58"/>
        <v/>
      </c>
      <c r="AB479" s="28">
        <f t="shared" si="59"/>
        <v>0</v>
      </c>
      <c r="AC479" s="37"/>
      <c r="AD479" s="38">
        <f t="shared" si="60"/>
        <v>1</v>
      </c>
      <c r="AE479" t="str">
        <f>IFERROR(F479&amp;"*"&amp;ROUND(L479*(G479/$AN479)/VLOOKUP(F479,商品!$A$4:$D$67,4,FALSE),0),"")</f>
        <v/>
      </c>
      <c r="AF479" t="str">
        <f>IFERROR(H479&amp;"*"&amp;ROUND(L479*(I479/$AN479)/VLOOKUP(H479,商品!$A$4:$D$67,4,FALSE),0),"")</f>
        <v/>
      </c>
      <c r="AG479" t="str">
        <f>IFERROR(J479&amp;"*"&amp;ROUND(L479*(K479/$AN479)/VLOOKUP(J479,商品!$A$4:$D$67,4,FALSE),0),"")</f>
        <v/>
      </c>
      <c r="AH479" t="str">
        <f>IFERROR(M479&amp;"*"&amp;ROUND(S479*(N479/$AO479)/VLOOKUP(M479,职业!$A$3:$E$16,4,FALSE),0),"")</f>
        <v/>
      </c>
      <c r="AI479" t="str">
        <f>IFERROR(O479&amp;"*"&amp;ROUND(S479*(P479/$AO479)/VLOOKUP(O479,职业!$A$3:$E$16,4,FALSE),0),"")</f>
        <v/>
      </c>
      <c r="AK479" t="str">
        <f>IFERROR(T479&amp;"*"&amp;ROUND(X479*(U479/$AP479)/VLOOKUP(T479,商品!$A$4:$D$67,4,FALSE),0),"")</f>
        <v/>
      </c>
      <c r="AL479" t="str">
        <f>IFERROR(V479&amp;"*"&amp;ROUND(X479*(W479/$AP479)/VLOOKUP(V479,商品!$A$4:$D$67,4,FALSE),0),"")</f>
        <v/>
      </c>
      <c r="AN479">
        <f t="shared" si="61"/>
        <v>0</v>
      </c>
      <c r="AO479">
        <f t="shared" si="62"/>
        <v>0</v>
      </c>
      <c r="AP479">
        <f t="shared" si="63"/>
        <v>0</v>
      </c>
    </row>
    <row r="480" customHeight="1" spans="1:42">
      <c r="A480" s="5" t="s">
        <v>374</v>
      </c>
      <c r="C480" s="5">
        <v>2</v>
      </c>
      <c r="D480" s="1" t="s">
        <v>240</v>
      </c>
      <c r="E480" s="1" t="s">
        <v>226</v>
      </c>
      <c r="L480" s="1">
        <f>IFERROR(VLOOKUP($D480&amp;$C480,生产方式定位!$A$2:$E$38,2,FALSE)+VLOOKUP($E480&amp;$C480,生产方式定位!$F$3:$J$38,2,FALSE),0)</f>
        <v>12000</v>
      </c>
      <c r="S480" s="1">
        <f>IFERROR(VLOOKUP($D480&amp;$C480,生产方式定位!$A$2:$E$38,3,FALSE)+VLOOKUP($E480&amp;$C480,生产方式定位!$F$3:$J$38,3,FALSE),0)</f>
        <v>8300</v>
      </c>
      <c r="X480" s="1">
        <f>IFERROR(VLOOKUP($D480&amp;$C480,生产方式定位!$A$2:$E$38,5,FALSE)+VLOOKUP($E480&amp;$C480,生产方式定位!$F$3:$J$38,5,FALSE),"错误")</f>
        <v>10240</v>
      </c>
      <c r="Y480" s="27" t="str">
        <f t="shared" si="56"/>
        <v/>
      </c>
      <c r="Z480" s="37" t="str">
        <f t="shared" si="57"/>
        <v/>
      </c>
      <c r="AA480" s="37" t="str">
        <f t="shared" si="58"/>
        <v/>
      </c>
      <c r="AB480" s="28">
        <f t="shared" si="59"/>
        <v>1.17</v>
      </c>
      <c r="AC480" s="37"/>
      <c r="AD480" s="38">
        <f t="shared" si="60"/>
        <v>2</v>
      </c>
      <c r="AE480" t="str">
        <f>IFERROR(F480&amp;"*"&amp;ROUND(L480*(G480/$AN480)/VLOOKUP(F480,商品!$A$4:$D$67,4,FALSE),0),"")</f>
        <v/>
      </c>
      <c r="AF480" t="str">
        <f>IFERROR(H480&amp;"*"&amp;ROUND(L480*(I480/$AN480)/VLOOKUP(H480,商品!$A$4:$D$67,4,FALSE),0),"")</f>
        <v/>
      </c>
      <c r="AG480" t="str">
        <f>IFERROR(J480&amp;"*"&amp;ROUND(L480*(K480/$AN480)/VLOOKUP(J480,商品!$A$4:$D$67,4,FALSE),0),"")</f>
        <v/>
      </c>
      <c r="AH480" t="str">
        <f>IFERROR(M480&amp;"*"&amp;ROUND(S480*(N480/$AO480)/VLOOKUP(M480,职业!$A$3:$E$16,4,FALSE),0),"")</f>
        <v/>
      </c>
      <c r="AI480" t="str">
        <f>IFERROR(O480&amp;"*"&amp;ROUND(S480*(P480/$AO480)/VLOOKUP(O480,职业!$A$3:$E$16,4,FALSE),0),"")</f>
        <v/>
      </c>
      <c r="AK480" t="str">
        <f>IFERROR(T480&amp;"*"&amp;ROUND(X480*(U480/$AP480)/VLOOKUP(T480,商品!$A$4:$D$67,4,FALSE),0),"")</f>
        <v/>
      </c>
      <c r="AL480" t="str">
        <f>IFERROR(V480&amp;"*"&amp;ROUND(X480*(W480/$AP480)/VLOOKUP(V480,商品!$A$4:$D$67,4,FALSE),0),"")</f>
        <v/>
      </c>
      <c r="AN480">
        <f t="shared" si="61"/>
        <v>0</v>
      </c>
      <c r="AO480">
        <f t="shared" si="62"/>
        <v>0</v>
      </c>
      <c r="AP480">
        <f t="shared" si="63"/>
        <v>0</v>
      </c>
    </row>
    <row r="481" customHeight="1" spans="1:42">
      <c r="A481" s="5" t="s">
        <v>374</v>
      </c>
      <c r="C481" s="5">
        <v>3</v>
      </c>
      <c r="D481" s="1" t="s">
        <v>240</v>
      </c>
      <c r="E481" s="1" t="s">
        <v>226</v>
      </c>
      <c r="L481" s="1">
        <f>IFERROR(VLOOKUP($D481&amp;$C481,生产方式定位!$A$2:$E$38,2,FALSE)+VLOOKUP($E481&amp;$C481,生产方式定位!$F$3:$J$38,2,FALSE),0)</f>
        <v>12000</v>
      </c>
      <c r="S481" s="1">
        <f>IFERROR(VLOOKUP($D481&amp;$C481,生产方式定位!$A$2:$E$38,3,FALSE)+VLOOKUP($E481&amp;$C481,生产方式定位!$F$3:$J$38,3,FALSE),0)</f>
        <v>8600</v>
      </c>
      <c r="X481" s="1">
        <f>IFERROR(VLOOKUP($D481&amp;$C481,生产方式定位!$A$2:$E$38,5,FALSE)+VLOOKUP($E481&amp;$C481,生产方式定位!$F$3:$J$38,5,FALSE),"错误")</f>
        <v>10560</v>
      </c>
      <c r="Y481" s="27" t="str">
        <f t="shared" si="56"/>
        <v/>
      </c>
      <c r="Z481" s="37" t="str">
        <f t="shared" si="57"/>
        <v/>
      </c>
      <c r="AA481" s="37" t="str">
        <f t="shared" si="58"/>
        <v/>
      </c>
      <c r="AB481" s="28">
        <f t="shared" si="59"/>
        <v>1.14</v>
      </c>
      <c r="AC481" s="37"/>
      <c r="AD481" s="38">
        <f t="shared" si="60"/>
        <v>3</v>
      </c>
      <c r="AE481" t="str">
        <f>IFERROR(F481&amp;"*"&amp;ROUND(L481*(G481/$AN481)/VLOOKUP(F481,商品!$A$4:$D$67,4,FALSE),0),"")</f>
        <v/>
      </c>
      <c r="AF481" t="str">
        <f>IFERROR(H481&amp;"*"&amp;ROUND(L481*(I481/$AN481)/VLOOKUP(H481,商品!$A$4:$D$67,4,FALSE),0),"")</f>
        <v/>
      </c>
      <c r="AG481" t="str">
        <f>IFERROR(J481&amp;"*"&amp;ROUND(L481*(K481/$AN481)/VLOOKUP(J481,商品!$A$4:$D$67,4,FALSE),0),"")</f>
        <v/>
      </c>
      <c r="AH481" t="str">
        <f>IFERROR(M481&amp;"*"&amp;ROUND(S481*(N481/$AO481)/VLOOKUP(M481,职业!$A$3:$E$16,4,FALSE),0),"")</f>
        <v/>
      </c>
      <c r="AI481" t="str">
        <f>IFERROR(O481&amp;"*"&amp;ROUND(S481*(P481/$AO481)/VLOOKUP(O481,职业!$A$3:$E$16,4,FALSE),0),"")</f>
        <v/>
      </c>
      <c r="AK481" t="str">
        <f>IFERROR(T481&amp;"*"&amp;ROUND(X481*(U481/$AP481)/VLOOKUP(T481,商品!$A$4:$D$67,4,FALSE),0),"")</f>
        <v/>
      </c>
      <c r="AL481" t="str">
        <f>IFERROR(V481&amp;"*"&amp;ROUND(X481*(W481/$AP481)/VLOOKUP(V481,商品!$A$4:$D$67,4,FALSE),0),"")</f>
        <v/>
      </c>
      <c r="AN481">
        <f t="shared" si="61"/>
        <v>0</v>
      </c>
      <c r="AO481">
        <f t="shared" si="62"/>
        <v>0</v>
      </c>
      <c r="AP481">
        <f t="shared" si="63"/>
        <v>0</v>
      </c>
    </row>
    <row r="482" customHeight="1" spans="1:42">
      <c r="A482" s="5" t="s">
        <v>374</v>
      </c>
      <c r="C482" s="5">
        <v>4</v>
      </c>
      <c r="D482" s="1" t="s">
        <v>240</v>
      </c>
      <c r="E482" s="1" t="s">
        <v>226</v>
      </c>
      <c r="L482" s="1">
        <f>IFERROR(VLOOKUP($D482&amp;$C482,生产方式定位!$A$2:$E$38,2,FALSE)+VLOOKUP($E482&amp;$C482,生产方式定位!$F$3:$J$38,2,FALSE),0)</f>
        <v>12000</v>
      </c>
      <c r="S482" s="1">
        <f>IFERROR(VLOOKUP($D482&amp;$C482,生产方式定位!$A$2:$E$38,3,FALSE)+VLOOKUP($E482&amp;$C482,生产方式定位!$F$3:$J$38,3,FALSE),0)</f>
        <v>8900</v>
      </c>
      <c r="X482" s="1">
        <f>IFERROR(VLOOKUP($D482&amp;$C482,生产方式定位!$A$2:$E$38,5,FALSE)+VLOOKUP($E482&amp;$C482,生产方式定位!$F$3:$J$38,5,FALSE),"错误")</f>
        <v>10960</v>
      </c>
      <c r="Y482" s="27" t="str">
        <f t="shared" si="56"/>
        <v/>
      </c>
      <c r="Z482" s="37" t="str">
        <f t="shared" si="57"/>
        <v/>
      </c>
      <c r="AA482" s="37" t="str">
        <f t="shared" si="58"/>
        <v/>
      </c>
      <c r="AB482" s="28">
        <f t="shared" si="59"/>
        <v>1.09</v>
      </c>
      <c r="AC482" s="37"/>
      <c r="AD482" s="38">
        <f t="shared" si="60"/>
        <v>4</v>
      </c>
      <c r="AE482" t="str">
        <f>IFERROR(F482&amp;"*"&amp;ROUND(L482*(G482/$AN482)/VLOOKUP(F482,商品!$A$4:$D$67,4,FALSE),0),"")</f>
        <v/>
      </c>
      <c r="AF482" t="str">
        <f>IFERROR(H482&amp;"*"&amp;ROUND(L482*(I482/$AN482)/VLOOKUP(H482,商品!$A$4:$D$67,4,FALSE),0),"")</f>
        <v/>
      </c>
      <c r="AG482" t="str">
        <f>IFERROR(J482&amp;"*"&amp;ROUND(L482*(K482/$AN482)/VLOOKUP(J482,商品!$A$4:$D$67,4,FALSE),0),"")</f>
        <v/>
      </c>
      <c r="AH482" t="str">
        <f>IFERROR(M482&amp;"*"&amp;ROUND(S482*(N482/$AO482)/VLOOKUP(M482,职业!$A$3:$E$16,4,FALSE),0),"")</f>
        <v/>
      </c>
      <c r="AI482" t="str">
        <f>IFERROR(O482&amp;"*"&amp;ROUND(S482*(P482/$AO482)/VLOOKUP(O482,职业!$A$3:$E$16,4,FALSE),0),"")</f>
        <v/>
      </c>
      <c r="AK482" t="str">
        <f>IFERROR(T482&amp;"*"&amp;ROUND(X482*(U482/$AP482)/VLOOKUP(T482,商品!$A$4:$D$67,4,FALSE),0),"")</f>
        <v/>
      </c>
      <c r="AL482" t="str">
        <f>IFERROR(V482&amp;"*"&amp;ROUND(X482*(W482/$AP482)/VLOOKUP(V482,商品!$A$4:$D$67,4,FALSE),0),"")</f>
        <v/>
      </c>
      <c r="AN482">
        <f t="shared" si="61"/>
        <v>0</v>
      </c>
      <c r="AO482">
        <f t="shared" si="62"/>
        <v>0</v>
      </c>
      <c r="AP482">
        <f t="shared" si="63"/>
        <v>0</v>
      </c>
    </row>
    <row r="483" customHeight="1" spans="1:42">
      <c r="A483" s="5" t="s">
        <v>374</v>
      </c>
      <c r="C483" s="5">
        <v>5</v>
      </c>
      <c r="D483" s="1" t="s">
        <v>240</v>
      </c>
      <c r="E483" s="1" t="s">
        <v>226</v>
      </c>
      <c r="L483" s="1">
        <f>IFERROR(VLOOKUP($D483&amp;$C483,生产方式定位!$A$2:$E$38,2,FALSE)+VLOOKUP($E483&amp;$C483,生产方式定位!$F$3:$J$38,2,FALSE),0)</f>
        <v>12000</v>
      </c>
      <c r="S483" s="1">
        <f>IFERROR(VLOOKUP($D483&amp;$C483,生产方式定位!$A$2:$E$38,3,FALSE)+VLOOKUP($E483&amp;$C483,生产方式定位!$F$3:$J$38,3,FALSE),0)</f>
        <v>9200</v>
      </c>
      <c r="X483" s="1">
        <f>IFERROR(VLOOKUP($D483&amp;$C483,生产方式定位!$A$2:$E$38,5,FALSE)+VLOOKUP($E483&amp;$C483,生产方式定位!$F$3:$J$38,5,FALSE),"错误")</f>
        <v>11440</v>
      </c>
      <c r="Y483" s="27" t="str">
        <f t="shared" si="56"/>
        <v/>
      </c>
      <c r="Z483" s="37" t="str">
        <f t="shared" si="57"/>
        <v/>
      </c>
      <c r="AA483" s="37" t="str">
        <f t="shared" si="58"/>
        <v/>
      </c>
      <c r="AB483" s="28">
        <f t="shared" si="59"/>
        <v>1.05</v>
      </c>
      <c r="AC483" s="37"/>
      <c r="AD483" s="38">
        <f t="shared" si="60"/>
        <v>5</v>
      </c>
      <c r="AE483" t="str">
        <f>IFERROR(F483&amp;"*"&amp;ROUND(L483*(G483/$AN483)/VLOOKUP(F483,商品!$A$4:$D$67,4,FALSE),0),"")</f>
        <v/>
      </c>
      <c r="AF483" t="str">
        <f>IFERROR(H483&amp;"*"&amp;ROUND(L483*(I483/$AN483)/VLOOKUP(H483,商品!$A$4:$D$67,4,FALSE),0),"")</f>
        <v/>
      </c>
      <c r="AG483" t="str">
        <f>IFERROR(J483&amp;"*"&amp;ROUND(L483*(K483/$AN483)/VLOOKUP(J483,商品!$A$4:$D$67,4,FALSE),0),"")</f>
        <v/>
      </c>
      <c r="AH483" t="str">
        <f>IFERROR(M483&amp;"*"&amp;ROUND(S483*(N483/$AO483)/VLOOKUP(M483,职业!$A$3:$E$16,4,FALSE),0),"")</f>
        <v/>
      </c>
      <c r="AI483" t="str">
        <f>IFERROR(O483&amp;"*"&amp;ROUND(S483*(P483/$AO483)/VLOOKUP(O483,职业!$A$3:$E$16,4,FALSE),0),"")</f>
        <v/>
      </c>
      <c r="AK483" t="str">
        <f>IFERROR(T483&amp;"*"&amp;ROUND(X483*(U483/$AP483)/VLOOKUP(T483,商品!$A$4:$D$67,4,FALSE),0),"")</f>
        <v/>
      </c>
      <c r="AL483" t="str">
        <f>IFERROR(V483&amp;"*"&amp;ROUND(X483*(W483/$AP483)/VLOOKUP(V483,商品!$A$4:$D$67,4,FALSE),0),"")</f>
        <v/>
      </c>
      <c r="AN483">
        <f t="shared" si="61"/>
        <v>0</v>
      </c>
      <c r="AO483">
        <f t="shared" si="62"/>
        <v>0</v>
      </c>
      <c r="AP483">
        <f t="shared" si="63"/>
        <v>0</v>
      </c>
    </row>
    <row r="484" customHeight="1" spans="1:42">
      <c r="A484" s="18" t="s">
        <v>375</v>
      </c>
      <c r="C484" s="18">
        <v>1</v>
      </c>
      <c r="D484" s="1" t="s">
        <v>293</v>
      </c>
      <c r="E484" s="1" t="s">
        <v>227</v>
      </c>
      <c r="L484" s="1">
        <f>IFERROR(VLOOKUP($D484&amp;$C484,生产方式定位!$A$2:$E$38,2,FALSE)+VLOOKUP($E484&amp;$C484,生产方式定位!$F$3:$J$38,2,FALSE),0)</f>
        <v>0</v>
      </c>
      <c r="S484" s="1">
        <f>IFERROR(VLOOKUP($D484&amp;$C484,生产方式定位!$A$2:$E$38,3,FALSE)+VLOOKUP($E484&amp;$C484,生产方式定位!$F$3:$J$38,3,FALSE),0)</f>
        <v>0</v>
      </c>
      <c r="X484" s="1">
        <f>IFERROR(VLOOKUP($D484&amp;$C484,生产方式定位!$A$2:$E$38,5,FALSE)+VLOOKUP($E484&amp;$C484,生产方式定位!$F$3:$J$38,5,FALSE),"错误")</f>
        <v>0</v>
      </c>
      <c r="Y484" s="27" t="str">
        <f t="shared" si="56"/>
        <v/>
      </c>
      <c r="Z484" s="37" t="str">
        <f t="shared" si="57"/>
        <v/>
      </c>
      <c r="AA484" s="37" t="str">
        <f t="shared" si="58"/>
        <v/>
      </c>
      <c r="AB484" s="28" t="str">
        <f t="shared" si="59"/>
        <v/>
      </c>
      <c r="AC484" s="37"/>
      <c r="AD484" s="38">
        <f t="shared" si="60"/>
        <v>1</v>
      </c>
      <c r="AE484" t="str">
        <f>IFERROR(F484&amp;"*"&amp;ROUND(L484*(G484/$AN484)/VLOOKUP(F484,商品!$A$4:$D$67,4,FALSE),0),"")</f>
        <v/>
      </c>
      <c r="AF484" t="str">
        <f>IFERROR(H484&amp;"*"&amp;ROUND(L484*(I484/$AN484)/VLOOKUP(H484,商品!$A$4:$D$67,4,FALSE),0),"")</f>
        <v/>
      </c>
      <c r="AG484" t="str">
        <f>IFERROR(J484&amp;"*"&amp;ROUND(L484*(K484/$AN484)/VLOOKUP(J484,商品!$A$4:$D$67,4,FALSE),0),"")</f>
        <v/>
      </c>
      <c r="AH484" t="str">
        <f>IFERROR(M484&amp;"*"&amp;ROUND(S484*(N484/$AO484)/VLOOKUP(M484,职业!$A$3:$E$16,4,FALSE),0),"")</f>
        <v/>
      </c>
      <c r="AI484" t="str">
        <f>IFERROR(O484&amp;"*"&amp;ROUND(S484*(P484/$AO484)/VLOOKUP(O484,职业!$A$3:$E$16,4,FALSE),0),"")</f>
        <v/>
      </c>
      <c r="AK484" t="str">
        <f>IFERROR(T484&amp;"*"&amp;ROUND(X484*(U484/$AP484)/VLOOKUP(T484,商品!$A$4:$D$67,4,FALSE),0),"")</f>
        <v/>
      </c>
      <c r="AL484" t="str">
        <f>IFERROR(V484&amp;"*"&amp;ROUND(X484*(W484/$AP484)/VLOOKUP(V484,商品!$A$4:$D$67,4,FALSE),0),"")</f>
        <v/>
      </c>
      <c r="AN484">
        <f t="shared" si="61"/>
        <v>0</v>
      </c>
      <c r="AO484">
        <f t="shared" si="62"/>
        <v>0</v>
      </c>
      <c r="AP484">
        <f t="shared" si="63"/>
        <v>0</v>
      </c>
    </row>
    <row r="485" customHeight="1" spans="1:42">
      <c r="A485" s="18" t="s">
        <v>375</v>
      </c>
      <c r="C485" s="18">
        <v>2</v>
      </c>
      <c r="D485" s="1" t="s">
        <v>293</v>
      </c>
      <c r="E485" s="1" t="s">
        <v>227</v>
      </c>
      <c r="L485" s="1">
        <f>IFERROR(VLOOKUP($D485&amp;$C485,生产方式定位!$A$2:$E$38,2,FALSE)+VLOOKUP($E485&amp;$C485,生产方式定位!$F$3:$J$38,2,FALSE),0)</f>
        <v>0</v>
      </c>
      <c r="S485" s="1">
        <f>IFERROR(VLOOKUP($D485&amp;$C485,生产方式定位!$A$2:$E$38,3,FALSE)+VLOOKUP($E485&amp;$C485,生产方式定位!$F$3:$J$38,3,FALSE),0)</f>
        <v>0</v>
      </c>
      <c r="X485" s="1">
        <f>IFERROR(VLOOKUP($D485&amp;$C485,生产方式定位!$A$2:$E$38,5,FALSE)+VLOOKUP($E485&amp;$C485,生产方式定位!$F$3:$J$38,5,FALSE),"错误")</f>
        <v>0</v>
      </c>
      <c r="Y485" s="27" t="str">
        <f t="shared" si="56"/>
        <v/>
      </c>
      <c r="Z485" s="37" t="str">
        <f t="shared" si="57"/>
        <v/>
      </c>
      <c r="AA485" s="37" t="str">
        <f t="shared" si="58"/>
        <v/>
      </c>
      <c r="AB485" s="28" t="str">
        <f t="shared" si="59"/>
        <v/>
      </c>
      <c r="AC485" s="37"/>
      <c r="AD485" s="38">
        <f t="shared" si="60"/>
        <v>2</v>
      </c>
      <c r="AE485" t="str">
        <f>IFERROR(F485&amp;"*"&amp;ROUND(L485*(G485/$AN485)/VLOOKUP(F485,商品!$A$4:$D$67,4,FALSE),0),"")</f>
        <v/>
      </c>
      <c r="AF485" t="str">
        <f>IFERROR(H485&amp;"*"&amp;ROUND(L485*(I485/$AN485)/VLOOKUP(H485,商品!$A$4:$D$67,4,FALSE),0),"")</f>
        <v/>
      </c>
      <c r="AG485" t="str">
        <f>IFERROR(J485&amp;"*"&amp;ROUND(L485*(K485/$AN485)/VLOOKUP(J485,商品!$A$4:$D$67,4,FALSE),0),"")</f>
        <v/>
      </c>
      <c r="AH485" t="str">
        <f>IFERROR(M485&amp;"*"&amp;ROUND(S485*(N485/$AO485)/VLOOKUP(M485,职业!$A$3:$E$16,4,FALSE),0),"")</f>
        <v/>
      </c>
      <c r="AI485" t="str">
        <f>IFERROR(O485&amp;"*"&amp;ROUND(S485*(P485/$AO485)/VLOOKUP(O485,职业!$A$3:$E$16,4,FALSE),0),"")</f>
        <v/>
      </c>
      <c r="AK485" t="str">
        <f>IFERROR(T485&amp;"*"&amp;ROUND(X485*(U485/$AP485)/VLOOKUP(T485,商品!$A$4:$D$67,4,FALSE),0),"")</f>
        <v/>
      </c>
      <c r="AL485" t="str">
        <f>IFERROR(V485&amp;"*"&amp;ROUND(X485*(W485/$AP485)/VLOOKUP(V485,商品!$A$4:$D$67,4,FALSE),0),"")</f>
        <v/>
      </c>
      <c r="AN485">
        <f t="shared" si="61"/>
        <v>0</v>
      </c>
      <c r="AO485">
        <f t="shared" si="62"/>
        <v>0</v>
      </c>
      <c r="AP485">
        <f t="shared" si="63"/>
        <v>0</v>
      </c>
    </row>
    <row r="486" customHeight="1" spans="1:42">
      <c r="A486" s="18" t="s">
        <v>375</v>
      </c>
      <c r="C486" s="18">
        <v>3</v>
      </c>
      <c r="D486" s="1" t="s">
        <v>293</v>
      </c>
      <c r="E486" s="1" t="s">
        <v>227</v>
      </c>
      <c r="L486" s="1">
        <f>IFERROR(VLOOKUP($D486&amp;$C486,生产方式定位!$A$2:$E$38,2,FALSE)+VLOOKUP($E486&amp;$C486,生产方式定位!$F$3:$J$38,2,FALSE),0)</f>
        <v>0</v>
      </c>
      <c r="S486" s="1">
        <f>IFERROR(VLOOKUP($D486&amp;$C486,生产方式定位!$A$2:$E$38,3,FALSE)+VLOOKUP($E486&amp;$C486,生产方式定位!$F$3:$J$38,3,FALSE),0)</f>
        <v>0</v>
      </c>
      <c r="X486" s="1">
        <f>IFERROR(VLOOKUP($D486&amp;$C486,生产方式定位!$A$2:$E$38,5,FALSE)+VLOOKUP($E486&amp;$C486,生产方式定位!$F$3:$J$38,5,FALSE),"错误")</f>
        <v>0</v>
      </c>
      <c r="Y486" s="27" t="str">
        <f t="shared" si="56"/>
        <v/>
      </c>
      <c r="Z486" s="37" t="str">
        <f t="shared" si="57"/>
        <v/>
      </c>
      <c r="AA486" s="37" t="str">
        <f t="shared" si="58"/>
        <v/>
      </c>
      <c r="AB486" s="28" t="str">
        <f t="shared" si="59"/>
        <v/>
      </c>
      <c r="AC486" s="37"/>
      <c r="AD486" s="38">
        <f t="shared" si="60"/>
        <v>3</v>
      </c>
      <c r="AE486" t="str">
        <f>IFERROR(F486&amp;"*"&amp;ROUND(L486*(G486/$AN486)/VLOOKUP(F486,商品!$A$4:$D$67,4,FALSE),0),"")</f>
        <v/>
      </c>
      <c r="AF486" t="str">
        <f>IFERROR(H486&amp;"*"&amp;ROUND(L486*(I486/$AN486)/VLOOKUP(H486,商品!$A$4:$D$67,4,FALSE),0),"")</f>
        <v/>
      </c>
      <c r="AG486" t="str">
        <f>IFERROR(J486&amp;"*"&amp;ROUND(L486*(K486/$AN486)/VLOOKUP(J486,商品!$A$4:$D$67,4,FALSE),0),"")</f>
        <v/>
      </c>
      <c r="AH486" t="str">
        <f>IFERROR(M486&amp;"*"&amp;ROUND(S486*(N486/$AO486)/VLOOKUP(M486,职业!$A$3:$E$16,4,FALSE),0),"")</f>
        <v/>
      </c>
      <c r="AI486" t="str">
        <f>IFERROR(O486&amp;"*"&amp;ROUND(S486*(P486/$AO486)/VLOOKUP(O486,职业!$A$3:$E$16,4,FALSE),0),"")</f>
        <v/>
      </c>
      <c r="AK486" t="str">
        <f>IFERROR(T486&amp;"*"&amp;ROUND(X486*(U486/$AP486)/VLOOKUP(T486,商品!$A$4:$D$67,4,FALSE),0),"")</f>
        <v/>
      </c>
      <c r="AL486" t="str">
        <f>IFERROR(V486&amp;"*"&amp;ROUND(X486*(W486/$AP486)/VLOOKUP(V486,商品!$A$4:$D$67,4,FALSE),0),"")</f>
        <v/>
      </c>
      <c r="AN486">
        <f t="shared" si="61"/>
        <v>0</v>
      </c>
      <c r="AO486">
        <f t="shared" si="62"/>
        <v>0</v>
      </c>
      <c r="AP486">
        <f t="shared" si="63"/>
        <v>0</v>
      </c>
    </row>
    <row r="487" customHeight="1" spans="1:42">
      <c r="A487" s="18" t="s">
        <v>375</v>
      </c>
      <c r="C487" s="18">
        <v>4</v>
      </c>
      <c r="D487" s="1" t="s">
        <v>293</v>
      </c>
      <c r="E487" s="1" t="s">
        <v>227</v>
      </c>
      <c r="L487" s="1">
        <f>IFERROR(VLOOKUP($D487&amp;$C487,生产方式定位!$A$2:$E$38,2,FALSE)+VLOOKUP($E487&amp;$C487,生产方式定位!$F$3:$J$38,2,FALSE),0)</f>
        <v>0</v>
      </c>
      <c r="S487" s="1">
        <f>IFERROR(VLOOKUP($D487&amp;$C487,生产方式定位!$A$2:$E$38,3,FALSE)+VLOOKUP($E487&amp;$C487,生产方式定位!$F$3:$J$38,3,FALSE),0)</f>
        <v>0</v>
      </c>
      <c r="X487" s="1">
        <f>IFERROR(VLOOKUP($D487&amp;$C487,生产方式定位!$A$2:$E$38,5,FALSE)+VLOOKUP($E487&amp;$C487,生产方式定位!$F$3:$J$38,5,FALSE),"错误")</f>
        <v>0</v>
      </c>
      <c r="Y487" s="27" t="str">
        <f t="shared" si="56"/>
        <v/>
      </c>
      <c r="Z487" s="37" t="str">
        <f t="shared" si="57"/>
        <v/>
      </c>
      <c r="AA487" s="37" t="str">
        <f t="shared" si="58"/>
        <v/>
      </c>
      <c r="AB487" s="28" t="str">
        <f t="shared" si="59"/>
        <v/>
      </c>
      <c r="AC487" s="37"/>
      <c r="AD487" s="38">
        <f t="shared" si="60"/>
        <v>4</v>
      </c>
      <c r="AE487" t="str">
        <f>IFERROR(F487&amp;"*"&amp;ROUND(L487*(G487/$AN487)/VLOOKUP(F487,商品!$A$4:$D$67,4,FALSE),0),"")</f>
        <v/>
      </c>
      <c r="AF487" t="str">
        <f>IFERROR(H487&amp;"*"&amp;ROUND(L487*(I487/$AN487)/VLOOKUP(H487,商品!$A$4:$D$67,4,FALSE),0),"")</f>
        <v/>
      </c>
      <c r="AG487" t="str">
        <f>IFERROR(J487&amp;"*"&amp;ROUND(L487*(K487/$AN487)/VLOOKUP(J487,商品!$A$4:$D$67,4,FALSE),0),"")</f>
        <v/>
      </c>
      <c r="AH487" t="str">
        <f>IFERROR(M487&amp;"*"&amp;ROUND(S487*(N487/$AO487)/VLOOKUP(M487,职业!$A$3:$E$16,4,FALSE),0),"")</f>
        <v/>
      </c>
      <c r="AI487" t="str">
        <f>IFERROR(O487&amp;"*"&amp;ROUND(S487*(P487/$AO487)/VLOOKUP(O487,职业!$A$3:$E$16,4,FALSE),0),"")</f>
        <v/>
      </c>
      <c r="AK487" t="str">
        <f>IFERROR(T487&amp;"*"&amp;ROUND(X487*(U487/$AP487)/VLOOKUP(T487,商品!$A$4:$D$67,4,FALSE),0),"")</f>
        <v/>
      </c>
      <c r="AL487" t="str">
        <f>IFERROR(V487&amp;"*"&amp;ROUND(X487*(W487/$AP487)/VLOOKUP(V487,商品!$A$4:$D$67,4,FALSE),0),"")</f>
        <v/>
      </c>
      <c r="AN487">
        <f t="shared" si="61"/>
        <v>0</v>
      </c>
      <c r="AO487">
        <f t="shared" si="62"/>
        <v>0</v>
      </c>
      <c r="AP487">
        <f t="shared" si="63"/>
        <v>0</v>
      </c>
    </row>
    <row r="488" customHeight="1" spans="1:42">
      <c r="A488" s="18" t="s">
        <v>375</v>
      </c>
      <c r="C488" s="18">
        <v>5</v>
      </c>
      <c r="D488" s="1" t="s">
        <v>293</v>
      </c>
      <c r="E488" s="1" t="s">
        <v>227</v>
      </c>
      <c r="L488" s="1">
        <f>IFERROR(VLOOKUP($D488&amp;$C488,生产方式定位!$A$2:$E$38,2,FALSE)+VLOOKUP($E488&amp;$C488,生产方式定位!$F$3:$J$38,2,FALSE),0)</f>
        <v>0</v>
      </c>
      <c r="S488" s="1">
        <f>IFERROR(VLOOKUP($D488&amp;$C488,生产方式定位!$A$2:$E$38,3,FALSE)+VLOOKUP($E488&amp;$C488,生产方式定位!$F$3:$J$38,3,FALSE),0)</f>
        <v>0</v>
      </c>
      <c r="X488" s="1">
        <f>IFERROR(VLOOKUP($D488&amp;$C488,生产方式定位!$A$2:$E$38,5,FALSE)+VLOOKUP($E488&amp;$C488,生产方式定位!$F$3:$J$38,5,FALSE),"错误")</f>
        <v>0</v>
      </c>
      <c r="Y488" s="27" t="str">
        <f t="shared" si="56"/>
        <v/>
      </c>
      <c r="Z488" s="37" t="str">
        <f t="shared" si="57"/>
        <v/>
      </c>
      <c r="AA488" s="37" t="str">
        <f t="shared" si="58"/>
        <v/>
      </c>
      <c r="AB488" s="28" t="str">
        <f t="shared" si="59"/>
        <v/>
      </c>
      <c r="AC488" s="37"/>
      <c r="AD488" s="38">
        <f t="shared" si="60"/>
        <v>5</v>
      </c>
      <c r="AE488" t="str">
        <f>IFERROR(F488&amp;"*"&amp;ROUND(L488*(G488/$AN488)/VLOOKUP(F488,商品!$A$4:$D$67,4,FALSE),0),"")</f>
        <v/>
      </c>
      <c r="AF488" t="str">
        <f>IFERROR(H488&amp;"*"&amp;ROUND(L488*(I488/$AN488)/VLOOKUP(H488,商品!$A$4:$D$67,4,FALSE),0),"")</f>
        <v/>
      </c>
      <c r="AG488" t="str">
        <f>IFERROR(J488&amp;"*"&amp;ROUND(L488*(K488/$AN488)/VLOOKUP(J488,商品!$A$4:$D$67,4,FALSE),0),"")</f>
        <v/>
      </c>
      <c r="AH488" t="str">
        <f>IFERROR(M488&amp;"*"&amp;ROUND(S488*(N488/$AO488)/VLOOKUP(M488,职业!$A$3:$E$16,4,FALSE),0),"")</f>
        <v/>
      </c>
      <c r="AI488" t="str">
        <f>IFERROR(O488&amp;"*"&amp;ROUND(S488*(P488/$AO488)/VLOOKUP(O488,职业!$A$3:$E$16,4,FALSE),0),"")</f>
        <v/>
      </c>
      <c r="AK488" t="str">
        <f>IFERROR(T488&amp;"*"&amp;ROUND(X488*(U488/$AP488)/VLOOKUP(T488,商品!$A$4:$D$67,4,FALSE),0),"")</f>
        <v/>
      </c>
      <c r="AL488" t="str">
        <f>IFERROR(V488&amp;"*"&amp;ROUND(X488*(W488/$AP488)/VLOOKUP(V488,商品!$A$4:$D$67,4,FALSE),0),"")</f>
        <v/>
      </c>
      <c r="AN488">
        <f t="shared" si="61"/>
        <v>0</v>
      </c>
      <c r="AO488">
        <f t="shared" si="62"/>
        <v>0</v>
      </c>
      <c r="AP488">
        <f t="shared" si="63"/>
        <v>0</v>
      </c>
    </row>
    <row r="489" customHeight="1" spans="1:42">
      <c r="A489" s="18" t="s">
        <v>375</v>
      </c>
      <c r="C489" s="18">
        <v>6</v>
      </c>
      <c r="D489" s="1" t="s">
        <v>293</v>
      </c>
      <c r="E489" s="1" t="s">
        <v>227</v>
      </c>
      <c r="L489" s="1">
        <f>IFERROR(VLOOKUP($D489&amp;$C489,生产方式定位!$A$2:$E$38,2,FALSE)+VLOOKUP($E489&amp;$C489,生产方式定位!$F$3:$J$38,2,FALSE),0)</f>
        <v>0</v>
      </c>
      <c r="S489" s="1">
        <f>IFERROR(VLOOKUP($D489&amp;$C489,生产方式定位!$A$2:$E$38,3,FALSE)+VLOOKUP($E489&amp;$C489,生产方式定位!$F$3:$J$38,3,FALSE),0)</f>
        <v>0</v>
      </c>
      <c r="X489" s="1">
        <f>IFERROR(VLOOKUP($D489&amp;$C489,生产方式定位!$A$2:$E$38,5,FALSE)+VLOOKUP($E489&amp;$C489,生产方式定位!$F$3:$J$38,5,FALSE),"错误")</f>
        <v>0</v>
      </c>
      <c r="Y489" s="27" t="str">
        <f t="shared" si="56"/>
        <v/>
      </c>
      <c r="Z489" s="37" t="str">
        <f t="shared" si="57"/>
        <v/>
      </c>
      <c r="AA489" s="37" t="str">
        <f t="shared" si="58"/>
        <v/>
      </c>
      <c r="AB489" s="28" t="str">
        <f t="shared" si="59"/>
        <v/>
      </c>
      <c r="AC489" s="37"/>
      <c r="AD489" s="38">
        <f t="shared" si="60"/>
        <v>6</v>
      </c>
      <c r="AE489" t="str">
        <f>IFERROR(F489&amp;"*"&amp;ROUND(L489*(G489/$AN489)/VLOOKUP(F489,商品!$A$4:$D$67,4,FALSE),0),"")</f>
        <v/>
      </c>
      <c r="AF489" t="str">
        <f>IFERROR(H489&amp;"*"&amp;ROUND(L489*(I489/$AN489)/VLOOKUP(H489,商品!$A$4:$D$67,4,FALSE),0),"")</f>
        <v/>
      </c>
      <c r="AG489" t="str">
        <f>IFERROR(J489&amp;"*"&amp;ROUND(L489*(K489/$AN489)/VLOOKUP(J489,商品!$A$4:$D$67,4,FALSE),0),"")</f>
        <v/>
      </c>
      <c r="AH489" t="str">
        <f>IFERROR(M489&amp;"*"&amp;ROUND(S489*(N489/$AO489)/VLOOKUP(M489,职业!$A$3:$E$16,4,FALSE),0),"")</f>
        <v/>
      </c>
      <c r="AI489" t="str">
        <f>IFERROR(O489&amp;"*"&amp;ROUND(S489*(P489/$AO489)/VLOOKUP(O489,职业!$A$3:$E$16,4,FALSE),0),"")</f>
        <v/>
      </c>
      <c r="AK489" t="str">
        <f>IFERROR(T489&amp;"*"&amp;ROUND(X489*(U489/$AP489)/VLOOKUP(T489,商品!$A$4:$D$67,4,FALSE),0),"")</f>
        <v/>
      </c>
      <c r="AL489" t="str">
        <f>IFERROR(V489&amp;"*"&amp;ROUND(X489*(W489/$AP489)/VLOOKUP(V489,商品!$A$4:$D$67,4,FALSE),0),"")</f>
        <v/>
      </c>
      <c r="AN489">
        <f t="shared" si="61"/>
        <v>0</v>
      </c>
      <c r="AO489">
        <f t="shared" si="62"/>
        <v>0</v>
      </c>
      <c r="AP489">
        <f t="shared" si="63"/>
        <v>0</v>
      </c>
    </row>
    <row r="490" customHeight="1" spans="1:42">
      <c r="A490" s="18" t="s">
        <v>375</v>
      </c>
      <c r="C490" s="18">
        <v>7</v>
      </c>
      <c r="D490" s="1" t="s">
        <v>293</v>
      </c>
      <c r="E490" s="1" t="s">
        <v>227</v>
      </c>
      <c r="L490" s="1">
        <f>IFERROR(VLOOKUP($D490&amp;$C490,生产方式定位!$A$2:$E$38,2,FALSE)+VLOOKUP($E490&amp;$C490,生产方式定位!$F$3:$J$38,2,FALSE),0)</f>
        <v>0</v>
      </c>
      <c r="S490" s="1">
        <f>IFERROR(VLOOKUP($D490&amp;$C490,生产方式定位!$A$2:$E$38,3,FALSE)+VLOOKUP($E490&amp;$C490,生产方式定位!$F$3:$J$38,3,FALSE),0)</f>
        <v>0</v>
      </c>
      <c r="X490" s="1">
        <f>IFERROR(VLOOKUP($D490&amp;$C490,生产方式定位!$A$2:$E$38,5,FALSE)+VLOOKUP($E490&amp;$C490,生产方式定位!$F$3:$J$38,5,FALSE),"错误")</f>
        <v>0</v>
      </c>
      <c r="Y490" s="27" t="str">
        <f t="shared" si="56"/>
        <v/>
      </c>
      <c r="Z490" s="37" t="str">
        <f t="shared" si="57"/>
        <v/>
      </c>
      <c r="AA490" s="37" t="str">
        <f t="shared" si="58"/>
        <v/>
      </c>
      <c r="AB490" s="28" t="str">
        <f t="shared" si="59"/>
        <v/>
      </c>
      <c r="AC490" s="37"/>
      <c r="AD490" s="38">
        <f t="shared" si="60"/>
        <v>7</v>
      </c>
      <c r="AE490" t="str">
        <f>IFERROR(F490&amp;"*"&amp;ROUND(L490*(G490/$AN490)/VLOOKUP(F490,商品!$A$4:$D$67,4,FALSE),0),"")</f>
        <v/>
      </c>
      <c r="AF490" t="str">
        <f>IFERROR(H490&amp;"*"&amp;ROUND(L490*(I490/$AN490)/VLOOKUP(H490,商品!$A$4:$D$67,4,FALSE),0),"")</f>
        <v/>
      </c>
      <c r="AG490" t="str">
        <f>IFERROR(J490&amp;"*"&amp;ROUND(L490*(K490/$AN490)/VLOOKUP(J490,商品!$A$4:$D$67,4,FALSE),0),"")</f>
        <v/>
      </c>
      <c r="AH490" t="str">
        <f>IFERROR(M490&amp;"*"&amp;ROUND(S490*(N490/$AO490)/VLOOKUP(M490,职业!$A$3:$E$16,4,FALSE),0),"")</f>
        <v/>
      </c>
      <c r="AI490" t="str">
        <f>IFERROR(O490&amp;"*"&amp;ROUND(S490*(P490/$AO490)/VLOOKUP(O490,职业!$A$3:$E$16,4,FALSE),0),"")</f>
        <v/>
      </c>
      <c r="AK490" t="str">
        <f>IFERROR(T490&amp;"*"&amp;ROUND(X490*(U490/$AP490)/VLOOKUP(T490,商品!$A$4:$D$67,4,FALSE),0),"")</f>
        <v/>
      </c>
      <c r="AL490" t="str">
        <f>IFERROR(V490&amp;"*"&amp;ROUND(X490*(W490/$AP490)/VLOOKUP(V490,商品!$A$4:$D$67,4,FALSE),0),"")</f>
        <v/>
      </c>
      <c r="AN490">
        <f t="shared" si="61"/>
        <v>0</v>
      </c>
      <c r="AO490">
        <f t="shared" si="62"/>
        <v>0</v>
      </c>
      <c r="AP490">
        <f t="shared" si="63"/>
        <v>0</v>
      </c>
    </row>
    <row r="491" customHeight="1" spans="1:42">
      <c r="A491" s="18" t="s">
        <v>375</v>
      </c>
      <c r="C491" s="18">
        <v>8</v>
      </c>
      <c r="D491" s="1" t="s">
        <v>293</v>
      </c>
      <c r="E491" s="1" t="s">
        <v>227</v>
      </c>
      <c r="L491" s="1">
        <f>IFERROR(VLOOKUP($D491&amp;$C491,生产方式定位!$A$2:$E$38,2,FALSE)+VLOOKUP($E491&amp;$C491,生产方式定位!$F$3:$J$38,2,FALSE),0)</f>
        <v>0</v>
      </c>
      <c r="S491" s="1">
        <f>IFERROR(VLOOKUP($D491&amp;$C491,生产方式定位!$A$2:$E$38,3,FALSE)+VLOOKUP($E491&amp;$C491,生产方式定位!$F$3:$J$38,3,FALSE),0)</f>
        <v>0</v>
      </c>
      <c r="X491" s="1">
        <f>IFERROR(VLOOKUP($D491&amp;$C491,生产方式定位!$A$2:$E$38,5,FALSE)+VLOOKUP($E491&amp;$C491,生产方式定位!$F$3:$J$38,5,FALSE),"错误")</f>
        <v>0</v>
      </c>
      <c r="Y491" s="27" t="str">
        <f t="shared" si="56"/>
        <v/>
      </c>
      <c r="Z491" s="37" t="str">
        <f t="shared" si="57"/>
        <v/>
      </c>
      <c r="AA491" s="37" t="str">
        <f t="shared" si="58"/>
        <v/>
      </c>
      <c r="AB491" s="28" t="str">
        <f t="shared" si="59"/>
        <v/>
      </c>
      <c r="AC491" s="37"/>
      <c r="AD491" s="38">
        <f t="shared" si="60"/>
        <v>8</v>
      </c>
      <c r="AE491" t="str">
        <f>IFERROR(F491&amp;"*"&amp;ROUND(L491*(G491/$AN491)/VLOOKUP(F491,商品!$A$4:$D$67,4,FALSE),0),"")</f>
        <v/>
      </c>
      <c r="AF491" t="str">
        <f>IFERROR(H491&amp;"*"&amp;ROUND(L491*(I491/$AN491)/VLOOKUP(H491,商品!$A$4:$D$67,4,FALSE),0),"")</f>
        <v/>
      </c>
      <c r="AG491" t="str">
        <f>IFERROR(J491&amp;"*"&amp;ROUND(L491*(K491/$AN491)/VLOOKUP(J491,商品!$A$4:$D$67,4,FALSE),0),"")</f>
        <v/>
      </c>
      <c r="AH491" t="str">
        <f>IFERROR(M491&amp;"*"&amp;ROUND(S491*(N491/$AO491)/VLOOKUP(M491,职业!$A$3:$E$16,4,FALSE),0),"")</f>
        <v/>
      </c>
      <c r="AI491" t="str">
        <f>IFERROR(O491&amp;"*"&amp;ROUND(S491*(P491/$AO491)/VLOOKUP(O491,职业!$A$3:$E$16,4,FALSE),0),"")</f>
        <v/>
      </c>
      <c r="AK491" t="str">
        <f>IFERROR(T491&amp;"*"&amp;ROUND(X491*(U491/$AP491)/VLOOKUP(T491,商品!$A$4:$D$67,4,FALSE),0),"")</f>
        <v/>
      </c>
      <c r="AL491" t="str">
        <f>IFERROR(V491&amp;"*"&amp;ROUND(X491*(W491/$AP491)/VLOOKUP(V491,商品!$A$4:$D$67,4,FALSE),0),"")</f>
        <v/>
      </c>
      <c r="AN491">
        <f t="shared" si="61"/>
        <v>0</v>
      </c>
      <c r="AO491">
        <f t="shared" si="62"/>
        <v>0</v>
      </c>
      <c r="AP491">
        <f t="shared" si="63"/>
        <v>0</v>
      </c>
    </row>
    <row r="492" customHeight="1" spans="1:42">
      <c r="A492" s="5" t="s">
        <v>377</v>
      </c>
      <c r="C492" s="5">
        <v>1</v>
      </c>
      <c r="D492" s="1" t="s">
        <v>249</v>
      </c>
      <c r="E492" s="1" t="s">
        <v>224</v>
      </c>
      <c r="L492" s="1">
        <f>IFERROR(VLOOKUP($D492&amp;$C492,生产方式定位!$A$2:$E$38,2,FALSE)+VLOOKUP($E492&amp;$C492,生产方式定位!$F$3:$J$38,2,FALSE),0)</f>
        <v>0</v>
      </c>
      <c r="S492" s="1">
        <f>IFERROR(VLOOKUP($D492&amp;$C492,生产方式定位!$A$2:$E$38,3,FALSE)+VLOOKUP($E492&amp;$C492,生产方式定位!$F$3:$J$38,3,FALSE),0)</f>
        <v>10000</v>
      </c>
      <c r="X492" s="1">
        <f>IFERROR(VLOOKUP($D492&amp;$C492,生产方式定位!$A$2:$E$38,5,FALSE)+VLOOKUP($E492&amp;$C492,生产方式定位!$F$3:$J$38,5,FALSE),"错误")</f>
        <v>15000</v>
      </c>
      <c r="Y492" s="27" t="str">
        <f t="shared" si="56"/>
        <v/>
      </c>
      <c r="Z492" s="37" t="str">
        <f t="shared" si="57"/>
        <v/>
      </c>
      <c r="AA492" s="37" t="str">
        <f t="shared" si="58"/>
        <v/>
      </c>
      <c r="AB492" s="28">
        <f t="shared" si="59"/>
        <v>0</v>
      </c>
      <c r="AC492" s="37"/>
      <c r="AD492" s="38">
        <f t="shared" si="60"/>
        <v>1</v>
      </c>
      <c r="AE492" t="str">
        <f>IFERROR(F492&amp;"*"&amp;ROUND(L492*(G492/$AN492)/VLOOKUP(F492,商品!$A$4:$D$67,4,FALSE),0),"")</f>
        <v/>
      </c>
      <c r="AF492" t="str">
        <f>IFERROR(H492&amp;"*"&amp;ROUND(L492*(I492/$AN492)/VLOOKUP(H492,商品!$A$4:$D$67,4,FALSE),0),"")</f>
        <v/>
      </c>
      <c r="AG492" t="str">
        <f>IFERROR(J492&amp;"*"&amp;ROUND(L492*(K492/$AN492)/VLOOKUP(J492,商品!$A$4:$D$67,4,FALSE),0),"")</f>
        <v/>
      </c>
      <c r="AH492" t="str">
        <f>IFERROR(M492&amp;"*"&amp;ROUND(S492*(N492/$AO492)/VLOOKUP(M492,职业!$A$3:$E$16,4,FALSE),0),"")</f>
        <v/>
      </c>
      <c r="AI492" t="str">
        <f>IFERROR(O492&amp;"*"&amp;ROUND(S492*(P492/$AO492)/VLOOKUP(O492,职业!$A$3:$E$16,4,FALSE),0),"")</f>
        <v/>
      </c>
      <c r="AK492" t="str">
        <f>IFERROR(T492&amp;"*"&amp;ROUND(X492*(U492/$AP492)/VLOOKUP(T492,商品!$A$4:$D$67,4,FALSE),0),"")</f>
        <v/>
      </c>
      <c r="AL492" t="str">
        <f>IFERROR(V492&amp;"*"&amp;ROUND(X492*(W492/$AP492)/VLOOKUP(V492,商品!$A$4:$D$67,4,FALSE),0),"")</f>
        <v/>
      </c>
      <c r="AN492">
        <f t="shared" si="61"/>
        <v>0</v>
      </c>
      <c r="AO492">
        <f t="shared" si="62"/>
        <v>0</v>
      </c>
      <c r="AP492">
        <f t="shared" si="63"/>
        <v>0</v>
      </c>
    </row>
    <row r="493" customHeight="1" spans="1:42">
      <c r="A493" s="5" t="s">
        <v>377</v>
      </c>
      <c r="C493" s="5">
        <v>2</v>
      </c>
      <c r="D493" s="1" t="s">
        <v>249</v>
      </c>
      <c r="E493" s="1" t="s">
        <v>224</v>
      </c>
      <c r="L493" s="1">
        <f>IFERROR(VLOOKUP($D493&amp;$C493,生产方式定位!$A$2:$E$38,2,FALSE)+VLOOKUP($E493&amp;$C493,生产方式定位!$F$3:$J$38,2,FALSE),0)</f>
        <v>18500</v>
      </c>
      <c r="S493" s="1">
        <f>IFERROR(VLOOKUP($D493&amp;$C493,生产方式定位!$A$2:$E$38,3,FALSE)+VLOOKUP($E493&amp;$C493,生产方式定位!$F$3:$J$38,3,FALSE),0)</f>
        <v>9200</v>
      </c>
      <c r="X493" s="1">
        <f>IFERROR(VLOOKUP($D493&amp;$C493,生产方式定位!$A$2:$E$38,5,FALSE)+VLOOKUP($E493&amp;$C493,生产方式定位!$F$3:$J$38,5,FALSE),"错误")</f>
        <v>13922</v>
      </c>
      <c r="Y493" s="27" t="str">
        <f t="shared" si="56"/>
        <v/>
      </c>
      <c r="Z493" s="37" t="str">
        <f t="shared" si="57"/>
        <v/>
      </c>
      <c r="AA493" s="37" t="str">
        <f t="shared" si="58"/>
        <v/>
      </c>
      <c r="AB493" s="28">
        <f t="shared" si="59"/>
        <v>1.33</v>
      </c>
      <c r="AC493" s="37"/>
      <c r="AD493" s="38">
        <f t="shared" si="60"/>
        <v>2</v>
      </c>
      <c r="AE493" t="str">
        <f>IFERROR(F493&amp;"*"&amp;ROUND(L493*(G493/$AN493)/VLOOKUP(F493,商品!$A$4:$D$67,4,FALSE),0),"")</f>
        <v/>
      </c>
      <c r="AF493" t="str">
        <f>IFERROR(H493&amp;"*"&amp;ROUND(L493*(I493/$AN493)/VLOOKUP(H493,商品!$A$4:$D$67,4,FALSE),0),"")</f>
        <v/>
      </c>
      <c r="AG493" t="str">
        <f>IFERROR(J493&amp;"*"&amp;ROUND(L493*(K493/$AN493)/VLOOKUP(J493,商品!$A$4:$D$67,4,FALSE),0),"")</f>
        <v/>
      </c>
      <c r="AH493" t="str">
        <f>IFERROR(M493&amp;"*"&amp;ROUND(S493*(N493/$AO493)/VLOOKUP(M493,职业!$A$3:$E$16,4,FALSE),0),"")</f>
        <v/>
      </c>
      <c r="AI493" t="str">
        <f>IFERROR(O493&amp;"*"&amp;ROUND(S493*(P493/$AO493)/VLOOKUP(O493,职业!$A$3:$E$16,4,FALSE),0),"")</f>
        <v/>
      </c>
      <c r="AK493" t="str">
        <f>IFERROR(T493&amp;"*"&amp;ROUND(X493*(U493/$AP493)/VLOOKUP(T493,商品!$A$4:$D$67,4,FALSE),0),"")</f>
        <v/>
      </c>
      <c r="AL493" t="str">
        <f>IFERROR(V493&amp;"*"&amp;ROUND(X493*(W493/$AP493)/VLOOKUP(V493,商品!$A$4:$D$67,4,FALSE),0),"")</f>
        <v/>
      </c>
      <c r="AN493">
        <f t="shared" si="61"/>
        <v>0</v>
      </c>
      <c r="AO493">
        <f t="shared" si="62"/>
        <v>0</v>
      </c>
      <c r="AP493">
        <f t="shared" si="63"/>
        <v>0</v>
      </c>
    </row>
    <row r="494" customHeight="1" spans="1:42">
      <c r="A494" s="5" t="s">
        <v>377</v>
      </c>
      <c r="C494" s="5">
        <v>3</v>
      </c>
      <c r="D494" s="1" t="s">
        <v>249</v>
      </c>
      <c r="E494" s="1" t="s">
        <v>224</v>
      </c>
      <c r="L494" s="1">
        <f>IFERROR(VLOOKUP($D494&amp;$C494,生产方式定位!$A$2:$E$38,2,FALSE)+VLOOKUP($E494&amp;$C494,生产方式定位!$F$3:$J$38,2,FALSE),0)</f>
        <v>17000</v>
      </c>
      <c r="S494" s="1">
        <f>IFERROR(VLOOKUP($D494&amp;$C494,生产方式定位!$A$2:$E$38,3,FALSE)+VLOOKUP($E494&amp;$C494,生产方式定位!$F$3:$J$38,3,FALSE),0)</f>
        <v>8400</v>
      </c>
      <c r="X494" s="1">
        <f>IFERROR(VLOOKUP($D494&amp;$C494,生产方式定位!$A$2:$E$38,5,FALSE)+VLOOKUP($E494&amp;$C494,生产方式定位!$F$3:$J$38,5,FALSE),"错误")</f>
        <v>12988</v>
      </c>
      <c r="Y494" s="27" t="str">
        <f t="shared" si="56"/>
        <v/>
      </c>
      <c r="Z494" s="37" t="str">
        <f t="shared" si="57"/>
        <v/>
      </c>
      <c r="AA494" s="37" t="str">
        <f t="shared" si="58"/>
        <v/>
      </c>
      <c r="AB494" s="28">
        <f t="shared" si="59"/>
        <v>1.31</v>
      </c>
      <c r="AC494" s="37"/>
      <c r="AD494" s="38">
        <f t="shared" si="60"/>
        <v>3</v>
      </c>
      <c r="AE494" t="str">
        <f>IFERROR(F494&amp;"*"&amp;ROUND(L494*(G494/$AN494)/VLOOKUP(F494,商品!$A$4:$D$67,4,FALSE),0),"")</f>
        <v/>
      </c>
      <c r="AF494" t="str">
        <f>IFERROR(H494&amp;"*"&amp;ROUND(L494*(I494/$AN494)/VLOOKUP(H494,商品!$A$4:$D$67,4,FALSE),0),"")</f>
        <v/>
      </c>
      <c r="AG494" t="str">
        <f>IFERROR(J494&amp;"*"&amp;ROUND(L494*(K494/$AN494)/VLOOKUP(J494,商品!$A$4:$D$67,4,FALSE),0),"")</f>
        <v/>
      </c>
      <c r="AH494" t="str">
        <f>IFERROR(M494&amp;"*"&amp;ROUND(S494*(N494/$AO494)/VLOOKUP(M494,职业!$A$3:$E$16,4,FALSE),0),"")</f>
        <v/>
      </c>
      <c r="AI494" t="str">
        <f>IFERROR(O494&amp;"*"&amp;ROUND(S494*(P494/$AO494)/VLOOKUP(O494,职业!$A$3:$E$16,4,FALSE),0),"")</f>
        <v/>
      </c>
      <c r="AK494" t="str">
        <f>IFERROR(T494&amp;"*"&amp;ROUND(X494*(U494/$AP494)/VLOOKUP(T494,商品!$A$4:$D$67,4,FALSE),0),"")</f>
        <v/>
      </c>
      <c r="AL494" t="str">
        <f>IFERROR(V494&amp;"*"&amp;ROUND(X494*(W494/$AP494)/VLOOKUP(V494,商品!$A$4:$D$67,4,FALSE),0),"")</f>
        <v/>
      </c>
      <c r="AN494">
        <f t="shared" si="61"/>
        <v>0</v>
      </c>
      <c r="AO494">
        <f t="shared" si="62"/>
        <v>0</v>
      </c>
      <c r="AP494">
        <f t="shared" si="63"/>
        <v>0</v>
      </c>
    </row>
    <row r="495" customHeight="1" spans="1:42">
      <c r="A495" s="5" t="s">
        <v>377</v>
      </c>
      <c r="C495" s="5">
        <v>4</v>
      </c>
      <c r="D495" s="1" t="s">
        <v>249</v>
      </c>
      <c r="E495" s="1" t="s">
        <v>224</v>
      </c>
      <c r="L495" s="1">
        <f>IFERROR(VLOOKUP($D495&amp;$C495,生产方式定位!$A$2:$E$38,2,FALSE)+VLOOKUP($E495&amp;$C495,生产方式定位!$F$3:$J$38,2,FALSE),0)</f>
        <v>15500</v>
      </c>
      <c r="S495" s="1">
        <f>IFERROR(VLOOKUP($D495&amp;$C495,生产方式定位!$A$2:$E$38,3,FALSE)+VLOOKUP($E495&amp;$C495,生产方式定位!$F$3:$J$38,3,FALSE),0)</f>
        <v>7600</v>
      </c>
      <c r="X495" s="1">
        <f>IFERROR(VLOOKUP($D495&amp;$C495,生产方式定位!$A$2:$E$38,5,FALSE)+VLOOKUP($E495&amp;$C495,生产方式定位!$F$3:$J$38,5,FALSE),"错误")</f>
        <v>12198</v>
      </c>
      <c r="Y495" s="27" t="str">
        <f t="shared" si="56"/>
        <v/>
      </c>
      <c r="Z495" s="37" t="str">
        <f t="shared" si="57"/>
        <v/>
      </c>
      <c r="AA495" s="37" t="str">
        <f t="shared" si="58"/>
        <v/>
      </c>
      <c r="AB495" s="28">
        <f t="shared" si="59"/>
        <v>1.27</v>
      </c>
      <c r="AC495" s="37"/>
      <c r="AD495" s="38">
        <f t="shared" si="60"/>
        <v>4</v>
      </c>
      <c r="AE495" t="str">
        <f>IFERROR(F495&amp;"*"&amp;ROUND(L495*(G495/$AN495)/VLOOKUP(F495,商品!$A$4:$D$67,4,FALSE),0),"")</f>
        <v/>
      </c>
      <c r="AF495" t="str">
        <f>IFERROR(H495&amp;"*"&amp;ROUND(L495*(I495/$AN495)/VLOOKUP(H495,商品!$A$4:$D$67,4,FALSE),0),"")</f>
        <v/>
      </c>
      <c r="AG495" t="str">
        <f>IFERROR(J495&amp;"*"&amp;ROUND(L495*(K495/$AN495)/VLOOKUP(J495,商品!$A$4:$D$67,4,FALSE),0),"")</f>
        <v/>
      </c>
      <c r="AH495" t="str">
        <f>IFERROR(M495&amp;"*"&amp;ROUND(S495*(N495/$AO495)/VLOOKUP(M495,职业!$A$3:$E$16,4,FALSE),0),"")</f>
        <v/>
      </c>
      <c r="AI495" t="str">
        <f>IFERROR(O495&amp;"*"&amp;ROUND(S495*(P495/$AO495)/VLOOKUP(O495,职业!$A$3:$E$16,4,FALSE),0),"")</f>
        <v/>
      </c>
      <c r="AK495" t="str">
        <f>IFERROR(T495&amp;"*"&amp;ROUND(X495*(U495/$AP495)/VLOOKUP(T495,商品!$A$4:$D$67,4,FALSE),0),"")</f>
        <v/>
      </c>
      <c r="AL495" t="str">
        <f>IFERROR(V495&amp;"*"&amp;ROUND(X495*(W495/$AP495)/VLOOKUP(V495,商品!$A$4:$D$67,4,FALSE),0),"")</f>
        <v/>
      </c>
      <c r="AN495">
        <f t="shared" si="61"/>
        <v>0</v>
      </c>
      <c r="AO495">
        <f t="shared" si="62"/>
        <v>0</v>
      </c>
      <c r="AP495">
        <f t="shared" si="63"/>
        <v>0</v>
      </c>
    </row>
    <row r="496" customHeight="1" spans="1:42">
      <c r="A496" s="5" t="s">
        <v>377</v>
      </c>
      <c r="C496" s="5">
        <v>5</v>
      </c>
      <c r="D496" s="1" t="s">
        <v>249</v>
      </c>
      <c r="E496" s="1" t="s">
        <v>224</v>
      </c>
      <c r="L496" s="1">
        <f>IFERROR(VLOOKUP($D496&amp;$C496,生产方式定位!$A$2:$E$38,2,FALSE)+VLOOKUP($E496&amp;$C496,生产方式定位!$F$3:$J$38,2,FALSE),0)</f>
        <v>14000</v>
      </c>
      <c r="S496" s="1">
        <f>IFERROR(VLOOKUP($D496&amp;$C496,生产方式定位!$A$2:$E$38,3,FALSE)+VLOOKUP($E496&amp;$C496,生产方式定位!$F$3:$J$38,3,FALSE),0)</f>
        <v>6800</v>
      </c>
      <c r="X496" s="1">
        <f>IFERROR(VLOOKUP($D496&amp;$C496,生产方式定位!$A$2:$E$38,5,FALSE)+VLOOKUP($E496&amp;$C496,生产方式定位!$F$3:$J$38,5,FALSE),"错误")</f>
        <v>11600</v>
      </c>
      <c r="Y496" s="27" t="str">
        <f t="shared" si="56"/>
        <v/>
      </c>
      <c r="Z496" s="37" t="str">
        <f t="shared" si="57"/>
        <v/>
      </c>
      <c r="AA496" s="37" t="str">
        <f t="shared" si="58"/>
        <v/>
      </c>
      <c r="AB496" s="28">
        <f t="shared" si="59"/>
        <v>1.21</v>
      </c>
      <c r="AC496" s="37"/>
      <c r="AD496" s="38">
        <f t="shared" si="60"/>
        <v>5</v>
      </c>
      <c r="AE496" t="str">
        <f>IFERROR(F496&amp;"*"&amp;ROUND(L496*(G496/$AN496)/VLOOKUP(F496,商品!$A$4:$D$67,4,FALSE),0),"")</f>
        <v/>
      </c>
      <c r="AF496" t="str">
        <f>IFERROR(H496&amp;"*"&amp;ROUND(L496*(I496/$AN496)/VLOOKUP(H496,商品!$A$4:$D$67,4,FALSE),0),"")</f>
        <v/>
      </c>
      <c r="AG496" t="str">
        <f>IFERROR(J496&amp;"*"&amp;ROUND(L496*(K496/$AN496)/VLOOKUP(J496,商品!$A$4:$D$67,4,FALSE),0),"")</f>
        <v/>
      </c>
      <c r="AH496" t="str">
        <f>IFERROR(M496&amp;"*"&amp;ROUND(S496*(N496/$AO496)/VLOOKUP(M496,职业!$A$3:$E$16,4,FALSE),0),"")</f>
        <v/>
      </c>
      <c r="AI496" t="str">
        <f>IFERROR(O496&amp;"*"&amp;ROUND(S496*(P496/$AO496)/VLOOKUP(O496,职业!$A$3:$E$16,4,FALSE),0),"")</f>
        <v/>
      </c>
      <c r="AK496" t="str">
        <f>IFERROR(T496&amp;"*"&amp;ROUND(X496*(U496/$AP496)/VLOOKUP(T496,商品!$A$4:$D$67,4,FALSE),0),"")</f>
        <v/>
      </c>
      <c r="AL496" t="str">
        <f>IFERROR(V496&amp;"*"&amp;ROUND(X496*(W496/$AP496)/VLOOKUP(V496,商品!$A$4:$D$67,4,FALSE),0),"")</f>
        <v/>
      </c>
      <c r="AN496">
        <f t="shared" si="61"/>
        <v>0</v>
      </c>
      <c r="AO496">
        <f t="shared" si="62"/>
        <v>0</v>
      </c>
      <c r="AP496">
        <f t="shared" si="63"/>
        <v>0</v>
      </c>
    </row>
    <row r="497" customHeight="1" spans="1:42">
      <c r="A497" s="18" t="s">
        <v>378</v>
      </c>
      <c r="C497" s="18">
        <v>1</v>
      </c>
      <c r="D497" s="1" t="s">
        <v>293</v>
      </c>
      <c r="E497" s="1" t="s">
        <v>227</v>
      </c>
      <c r="L497" s="1">
        <f>IFERROR(VLOOKUP($D497&amp;$C497,生产方式定位!$A$2:$E$38,2,FALSE)+VLOOKUP($E497&amp;$C497,生产方式定位!$F$3:$J$38,2,FALSE),0)</f>
        <v>0</v>
      </c>
      <c r="S497" s="1">
        <f>IFERROR(VLOOKUP($D497&amp;$C497,生产方式定位!$A$2:$E$38,3,FALSE)+VLOOKUP($E497&amp;$C497,生产方式定位!$F$3:$J$38,3,FALSE),0)</f>
        <v>0</v>
      </c>
      <c r="X497" s="1">
        <f>IFERROR(VLOOKUP($D497&amp;$C497,生产方式定位!$A$2:$E$38,5,FALSE)+VLOOKUP($E497&amp;$C497,生产方式定位!$F$3:$J$38,5,FALSE),"错误")</f>
        <v>0</v>
      </c>
      <c r="Y497" s="27" t="str">
        <f t="shared" si="56"/>
        <v/>
      </c>
      <c r="Z497" s="37" t="str">
        <f t="shared" si="57"/>
        <v/>
      </c>
      <c r="AA497" s="37" t="str">
        <f t="shared" si="58"/>
        <v/>
      </c>
      <c r="AB497" s="28" t="str">
        <f t="shared" si="59"/>
        <v/>
      </c>
      <c r="AC497" s="37"/>
      <c r="AD497" s="38">
        <f t="shared" si="60"/>
        <v>1</v>
      </c>
      <c r="AE497" t="str">
        <f>IFERROR(F497&amp;"*"&amp;ROUND(L497*(G497/$AN497)/VLOOKUP(F497,商品!$A$4:$D$67,4,FALSE),0),"")</f>
        <v/>
      </c>
      <c r="AF497" t="str">
        <f>IFERROR(H497&amp;"*"&amp;ROUND(L497*(I497/$AN497)/VLOOKUP(H497,商品!$A$4:$D$67,4,FALSE),0),"")</f>
        <v/>
      </c>
      <c r="AG497" t="str">
        <f>IFERROR(J497&amp;"*"&amp;ROUND(L497*(K497/$AN497)/VLOOKUP(J497,商品!$A$4:$D$67,4,FALSE),0),"")</f>
        <v/>
      </c>
      <c r="AH497" t="str">
        <f>IFERROR(M497&amp;"*"&amp;ROUND(S497*(N497/$AO497)/VLOOKUP(M497,职业!$A$3:$E$16,4,FALSE),0),"")</f>
        <v/>
      </c>
      <c r="AI497" t="str">
        <f>IFERROR(O497&amp;"*"&amp;ROUND(S497*(P497/$AO497)/VLOOKUP(O497,职业!$A$3:$E$16,4,FALSE),0),"")</f>
        <v/>
      </c>
      <c r="AK497" t="str">
        <f>IFERROR(T497&amp;"*"&amp;ROUND(X497*(U497/$AP497)/VLOOKUP(T497,商品!$A$4:$D$67,4,FALSE),0),"")</f>
        <v/>
      </c>
      <c r="AL497" t="str">
        <f>IFERROR(V497&amp;"*"&amp;ROUND(X497*(W497/$AP497)/VLOOKUP(V497,商品!$A$4:$D$67,4,FALSE),0),"")</f>
        <v/>
      </c>
      <c r="AN497">
        <f t="shared" si="61"/>
        <v>0</v>
      </c>
      <c r="AO497">
        <f t="shared" si="62"/>
        <v>0</v>
      </c>
      <c r="AP497">
        <f t="shared" si="63"/>
        <v>0</v>
      </c>
    </row>
    <row r="498" customHeight="1" spans="1:42">
      <c r="A498" s="18" t="s">
        <v>378</v>
      </c>
      <c r="C498" s="18">
        <v>2</v>
      </c>
      <c r="D498" s="1" t="s">
        <v>293</v>
      </c>
      <c r="E498" s="1" t="s">
        <v>227</v>
      </c>
      <c r="L498" s="1">
        <f>IFERROR(VLOOKUP($D498&amp;$C498,生产方式定位!$A$2:$E$38,2,FALSE)+VLOOKUP($E498&amp;$C498,生产方式定位!$F$3:$J$38,2,FALSE),0)</f>
        <v>0</v>
      </c>
      <c r="S498" s="1">
        <f>IFERROR(VLOOKUP($D498&amp;$C498,生产方式定位!$A$2:$E$38,3,FALSE)+VLOOKUP($E498&amp;$C498,生产方式定位!$F$3:$J$38,3,FALSE),0)</f>
        <v>0</v>
      </c>
      <c r="X498" s="1">
        <f>IFERROR(VLOOKUP($D498&amp;$C498,生产方式定位!$A$2:$E$38,5,FALSE)+VLOOKUP($E498&amp;$C498,生产方式定位!$F$3:$J$38,5,FALSE),"错误")</f>
        <v>0</v>
      </c>
      <c r="Y498" s="27" t="str">
        <f t="shared" si="56"/>
        <v/>
      </c>
      <c r="Z498" s="37" t="str">
        <f t="shared" si="57"/>
        <v/>
      </c>
      <c r="AA498" s="37" t="str">
        <f t="shared" si="58"/>
        <v/>
      </c>
      <c r="AB498" s="28" t="str">
        <f t="shared" si="59"/>
        <v/>
      </c>
      <c r="AC498" s="37"/>
      <c r="AD498" s="38">
        <f t="shared" si="60"/>
        <v>2</v>
      </c>
      <c r="AE498" t="str">
        <f>IFERROR(F498&amp;"*"&amp;ROUND(L498*(G498/$AN498)/VLOOKUP(F498,商品!$A$4:$D$67,4,FALSE),0),"")</f>
        <v/>
      </c>
      <c r="AF498" t="str">
        <f>IFERROR(H498&amp;"*"&amp;ROUND(L498*(I498/$AN498)/VLOOKUP(H498,商品!$A$4:$D$67,4,FALSE),0),"")</f>
        <v/>
      </c>
      <c r="AG498" t="str">
        <f>IFERROR(J498&amp;"*"&amp;ROUND(L498*(K498/$AN498)/VLOOKUP(J498,商品!$A$4:$D$67,4,FALSE),0),"")</f>
        <v/>
      </c>
      <c r="AH498" t="str">
        <f>IFERROR(M498&amp;"*"&amp;ROUND(S498*(N498/$AO498)/VLOOKUP(M498,职业!$A$3:$E$16,4,FALSE),0),"")</f>
        <v/>
      </c>
      <c r="AI498" t="str">
        <f>IFERROR(O498&amp;"*"&amp;ROUND(S498*(P498/$AO498)/VLOOKUP(O498,职业!$A$3:$E$16,4,FALSE),0),"")</f>
        <v/>
      </c>
      <c r="AK498" t="str">
        <f>IFERROR(T498&amp;"*"&amp;ROUND(X498*(U498/$AP498)/VLOOKUP(T498,商品!$A$4:$D$67,4,FALSE),0),"")</f>
        <v/>
      </c>
      <c r="AL498" t="str">
        <f>IFERROR(V498&amp;"*"&amp;ROUND(X498*(W498/$AP498)/VLOOKUP(V498,商品!$A$4:$D$67,4,FALSE),0),"")</f>
        <v/>
      </c>
      <c r="AN498">
        <f t="shared" si="61"/>
        <v>0</v>
      </c>
      <c r="AO498">
        <f t="shared" si="62"/>
        <v>0</v>
      </c>
      <c r="AP498">
        <f t="shared" si="63"/>
        <v>0</v>
      </c>
    </row>
    <row r="499" customHeight="1" spans="1:42">
      <c r="A499" s="18" t="s">
        <v>378</v>
      </c>
      <c r="C499" s="18">
        <v>3</v>
      </c>
      <c r="D499" s="1" t="s">
        <v>293</v>
      </c>
      <c r="E499" s="1" t="s">
        <v>227</v>
      </c>
      <c r="L499" s="1">
        <f>IFERROR(VLOOKUP($D499&amp;$C499,生产方式定位!$A$2:$E$38,2,FALSE)+VLOOKUP($E499&amp;$C499,生产方式定位!$F$3:$J$38,2,FALSE),0)</f>
        <v>0</v>
      </c>
      <c r="S499" s="1">
        <f>IFERROR(VLOOKUP($D499&amp;$C499,生产方式定位!$A$2:$E$38,3,FALSE)+VLOOKUP($E499&amp;$C499,生产方式定位!$F$3:$J$38,3,FALSE),0)</f>
        <v>0</v>
      </c>
      <c r="X499" s="1">
        <f>IFERROR(VLOOKUP($D499&amp;$C499,生产方式定位!$A$2:$E$38,5,FALSE)+VLOOKUP($E499&amp;$C499,生产方式定位!$F$3:$J$38,5,FALSE),"错误")</f>
        <v>0</v>
      </c>
      <c r="Y499" s="27" t="str">
        <f t="shared" si="56"/>
        <v/>
      </c>
      <c r="Z499" s="37" t="str">
        <f t="shared" si="57"/>
        <v/>
      </c>
      <c r="AA499" s="37" t="str">
        <f t="shared" si="58"/>
        <v/>
      </c>
      <c r="AB499" s="28" t="str">
        <f t="shared" si="59"/>
        <v/>
      </c>
      <c r="AC499" s="37"/>
      <c r="AD499" s="38">
        <f t="shared" si="60"/>
        <v>3</v>
      </c>
      <c r="AE499" t="str">
        <f>IFERROR(F499&amp;"*"&amp;ROUND(L499*(G499/$AN499)/VLOOKUP(F499,商品!$A$4:$D$67,4,FALSE),0),"")</f>
        <v/>
      </c>
      <c r="AF499" t="str">
        <f>IFERROR(H499&amp;"*"&amp;ROUND(L499*(I499/$AN499)/VLOOKUP(H499,商品!$A$4:$D$67,4,FALSE),0),"")</f>
        <v/>
      </c>
      <c r="AG499" t="str">
        <f>IFERROR(J499&amp;"*"&amp;ROUND(L499*(K499/$AN499)/VLOOKUP(J499,商品!$A$4:$D$67,4,FALSE),0),"")</f>
        <v/>
      </c>
      <c r="AH499" t="str">
        <f>IFERROR(M499&amp;"*"&amp;ROUND(S499*(N499/$AO499)/VLOOKUP(M499,职业!$A$3:$E$16,4,FALSE),0),"")</f>
        <v/>
      </c>
      <c r="AI499" t="str">
        <f>IFERROR(O499&amp;"*"&amp;ROUND(S499*(P499/$AO499)/VLOOKUP(O499,职业!$A$3:$E$16,4,FALSE),0),"")</f>
        <v/>
      </c>
      <c r="AK499" t="str">
        <f>IFERROR(T499&amp;"*"&amp;ROUND(X499*(U499/$AP499)/VLOOKUP(T499,商品!$A$4:$D$67,4,FALSE),0),"")</f>
        <v/>
      </c>
      <c r="AL499" t="str">
        <f>IFERROR(V499&amp;"*"&amp;ROUND(X499*(W499/$AP499)/VLOOKUP(V499,商品!$A$4:$D$67,4,FALSE),0),"")</f>
        <v/>
      </c>
      <c r="AN499">
        <f t="shared" si="61"/>
        <v>0</v>
      </c>
      <c r="AO499">
        <f t="shared" si="62"/>
        <v>0</v>
      </c>
      <c r="AP499">
        <f t="shared" si="63"/>
        <v>0</v>
      </c>
    </row>
    <row r="500" customHeight="1" spans="1:42">
      <c r="A500" s="18" t="s">
        <v>378</v>
      </c>
      <c r="C500" s="18">
        <v>4</v>
      </c>
      <c r="D500" s="1" t="s">
        <v>293</v>
      </c>
      <c r="E500" s="1" t="s">
        <v>227</v>
      </c>
      <c r="L500" s="1">
        <f>IFERROR(VLOOKUP($D500&amp;$C500,生产方式定位!$A$2:$E$38,2,FALSE)+VLOOKUP($E500&amp;$C500,生产方式定位!$F$3:$J$38,2,FALSE),0)</f>
        <v>0</v>
      </c>
      <c r="S500" s="1">
        <f>IFERROR(VLOOKUP($D500&amp;$C500,生产方式定位!$A$2:$E$38,3,FALSE)+VLOOKUP($E500&amp;$C500,生产方式定位!$F$3:$J$38,3,FALSE),0)</f>
        <v>0</v>
      </c>
      <c r="X500" s="1">
        <f>IFERROR(VLOOKUP($D500&amp;$C500,生产方式定位!$A$2:$E$38,5,FALSE)+VLOOKUP($E500&amp;$C500,生产方式定位!$F$3:$J$38,5,FALSE),"错误")</f>
        <v>0</v>
      </c>
      <c r="Y500" s="27" t="str">
        <f t="shared" si="56"/>
        <v/>
      </c>
      <c r="Z500" s="37" t="str">
        <f t="shared" si="57"/>
        <v/>
      </c>
      <c r="AA500" s="37" t="str">
        <f t="shared" si="58"/>
        <v/>
      </c>
      <c r="AB500" s="28" t="str">
        <f t="shared" si="59"/>
        <v/>
      </c>
      <c r="AC500" s="37"/>
      <c r="AD500" s="38">
        <f t="shared" si="60"/>
        <v>4</v>
      </c>
      <c r="AE500" t="str">
        <f>IFERROR(F500&amp;"*"&amp;ROUND(L500*(G500/$AN500)/VLOOKUP(F500,商品!$A$4:$D$67,4,FALSE),0),"")</f>
        <v/>
      </c>
      <c r="AF500" t="str">
        <f>IFERROR(H500&amp;"*"&amp;ROUND(L500*(I500/$AN500)/VLOOKUP(H500,商品!$A$4:$D$67,4,FALSE),0),"")</f>
        <v/>
      </c>
      <c r="AG500" t="str">
        <f>IFERROR(J500&amp;"*"&amp;ROUND(L500*(K500/$AN500)/VLOOKUP(J500,商品!$A$4:$D$67,4,FALSE),0),"")</f>
        <v/>
      </c>
      <c r="AH500" t="str">
        <f>IFERROR(M500&amp;"*"&amp;ROUND(S500*(N500/$AO500)/VLOOKUP(M500,职业!$A$3:$E$16,4,FALSE),0),"")</f>
        <v/>
      </c>
      <c r="AI500" t="str">
        <f>IFERROR(O500&amp;"*"&amp;ROUND(S500*(P500/$AO500)/VLOOKUP(O500,职业!$A$3:$E$16,4,FALSE),0),"")</f>
        <v/>
      </c>
      <c r="AK500" t="str">
        <f>IFERROR(T500&amp;"*"&amp;ROUND(X500*(U500/$AP500)/VLOOKUP(T500,商品!$A$4:$D$67,4,FALSE),0),"")</f>
        <v/>
      </c>
      <c r="AL500" t="str">
        <f>IFERROR(V500&amp;"*"&amp;ROUND(X500*(W500/$AP500)/VLOOKUP(V500,商品!$A$4:$D$67,4,FALSE),0),"")</f>
        <v/>
      </c>
      <c r="AN500">
        <f t="shared" si="61"/>
        <v>0</v>
      </c>
      <c r="AO500">
        <f t="shared" si="62"/>
        <v>0</v>
      </c>
      <c r="AP500">
        <f t="shared" si="63"/>
        <v>0</v>
      </c>
    </row>
    <row r="501" customHeight="1" spans="1:42">
      <c r="A501" s="18" t="s">
        <v>378</v>
      </c>
      <c r="C501" s="18">
        <v>5</v>
      </c>
      <c r="D501" s="1" t="s">
        <v>293</v>
      </c>
      <c r="E501" s="1" t="s">
        <v>227</v>
      </c>
      <c r="L501" s="1">
        <f>IFERROR(VLOOKUP($D501&amp;$C501,生产方式定位!$A$2:$E$38,2,FALSE)+VLOOKUP($E501&amp;$C501,生产方式定位!$F$3:$J$38,2,FALSE),0)</f>
        <v>0</v>
      </c>
      <c r="S501" s="1">
        <f>IFERROR(VLOOKUP($D501&amp;$C501,生产方式定位!$A$2:$E$38,3,FALSE)+VLOOKUP($E501&amp;$C501,生产方式定位!$F$3:$J$38,3,FALSE),0)</f>
        <v>0</v>
      </c>
      <c r="X501" s="1">
        <f>IFERROR(VLOOKUP($D501&amp;$C501,生产方式定位!$A$2:$E$38,5,FALSE)+VLOOKUP($E501&amp;$C501,生产方式定位!$F$3:$J$38,5,FALSE),"错误")</f>
        <v>0</v>
      </c>
      <c r="Y501" s="27" t="str">
        <f t="shared" si="56"/>
        <v/>
      </c>
      <c r="Z501" s="37" t="str">
        <f t="shared" si="57"/>
        <v/>
      </c>
      <c r="AA501" s="37" t="str">
        <f t="shared" si="58"/>
        <v/>
      </c>
      <c r="AB501" s="28" t="str">
        <f t="shared" si="59"/>
        <v/>
      </c>
      <c r="AC501" s="37"/>
      <c r="AD501" s="38">
        <f t="shared" si="60"/>
        <v>5</v>
      </c>
      <c r="AE501" t="str">
        <f>IFERROR(F501&amp;"*"&amp;ROUND(L501*(G501/$AN501)/VLOOKUP(F501,商品!$A$4:$D$67,4,FALSE),0),"")</f>
        <v/>
      </c>
      <c r="AF501" t="str">
        <f>IFERROR(H501&amp;"*"&amp;ROUND(L501*(I501/$AN501)/VLOOKUP(H501,商品!$A$4:$D$67,4,FALSE),0),"")</f>
        <v/>
      </c>
      <c r="AG501" t="str">
        <f>IFERROR(J501&amp;"*"&amp;ROUND(L501*(K501/$AN501)/VLOOKUP(J501,商品!$A$4:$D$67,4,FALSE),0),"")</f>
        <v/>
      </c>
      <c r="AH501" t="str">
        <f>IFERROR(M501&amp;"*"&amp;ROUND(S501*(N501/$AO501)/VLOOKUP(M501,职业!$A$3:$E$16,4,FALSE),0),"")</f>
        <v/>
      </c>
      <c r="AI501" t="str">
        <f>IFERROR(O501&amp;"*"&amp;ROUND(S501*(P501/$AO501)/VLOOKUP(O501,职业!$A$3:$E$16,4,FALSE),0),"")</f>
        <v/>
      </c>
      <c r="AK501" t="str">
        <f>IFERROR(T501&amp;"*"&amp;ROUND(X501*(U501/$AP501)/VLOOKUP(T501,商品!$A$4:$D$67,4,FALSE),0),"")</f>
        <v/>
      </c>
      <c r="AL501" t="str">
        <f>IFERROR(V501&amp;"*"&amp;ROUND(X501*(W501/$AP501)/VLOOKUP(V501,商品!$A$4:$D$67,4,FALSE),0),"")</f>
        <v/>
      </c>
      <c r="AN501">
        <f t="shared" si="61"/>
        <v>0</v>
      </c>
      <c r="AO501">
        <f t="shared" si="62"/>
        <v>0</v>
      </c>
      <c r="AP501">
        <f t="shared" si="63"/>
        <v>0</v>
      </c>
    </row>
    <row r="502" customHeight="1" spans="1:42">
      <c r="A502" s="5" t="s">
        <v>380</v>
      </c>
      <c r="C502" s="5">
        <v>1</v>
      </c>
      <c r="D502" s="1" t="s">
        <v>249</v>
      </c>
      <c r="E502" s="1" t="s">
        <v>224</v>
      </c>
      <c r="L502" s="1">
        <f>IFERROR(VLOOKUP($D502&amp;$C502,生产方式定位!$A$2:$E$38,2,FALSE)+VLOOKUP($E502&amp;$C502,生产方式定位!$F$3:$J$38,2,FALSE),0)</f>
        <v>0</v>
      </c>
      <c r="S502" s="1">
        <f>IFERROR(VLOOKUP($D502&amp;$C502,生产方式定位!$A$2:$E$38,3,FALSE)+VLOOKUP($E502&amp;$C502,生产方式定位!$F$3:$J$38,3,FALSE),0)</f>
        <v>10000</v>
      </c>
      <c r="X502" s="1">
        <f>IFERROR(VLOOKUP($D502&amp;$C502,生产方式定位!$A$2:$E$38,5,FALSE)+VLOOKUP($E502&amp;$C502,生产方式定位!$F$3:$J$38,5,FALSE),"错误")</f>
        <v>15000</v>
      </c>
      <c r="Y502" s="27" t="str">
        <f t="shared" si="56"/>
        <v/>
      </c>
      <c r="Z502" s="37" t="str">
        <f t="shared" si="57"/>
        <v/>
      </c>
      <c r="AA502" s="37" t="str">
        <f t="shared" si="58"/>
        <v/>
      </c>
      <c r="AB502" s="28">
        <f t="shared" si="59"/>
        <v>0</v>
      </c>
      <c r="AC502" s="37"/>
      <c r="AD502" s="38">
        <f t="shared" si="60"/>
        <v>1</v>
      </c>
      <c r="AE502" t="str">
        <f>IFERROR(F502&amp;"*"&amp;ROUND(L502*(G502/$AN502)/VLOOKUP(F502,商品!$A$4:$D$67,4,FALSE),0),"")</f>
        <v/>
      </c>
      <c r="AF502" t="str">
        <f>IFERROR(H502&amp;"*"&amp;ROUND(L502*(I502/$AN502)/VLOOKUP(H502,商品!$A$4:$D$67,4,FALSE),0),"")</f>
        <v/>
      </c>
      <c r="AG502" t="str">
        <f>IFERROR(J502&amp;"*"&amp;ROUND(L502*(K502/$AN502)/VLOOKUP(J502,商品!$A$4:$D$67,4,FALSE),0),"")</f>
        <v/>
      </c>
      <c r="AH502" t="str">
        <f>IFERROR(M502&amp;"*"&amp;ROUND(S502*(N502/$AO502)/VLOOKUP(M502,职业!$A$3:$E$16,4,FALSE),0),"")</f>
        <v/>
      </c>
      <c r="AI502" t="str">
        <f>IFERROR(O502&amp;"*"&amp;ROUND(S502*(P502/$AO502)/VLOOKUP(O502,职业!$A$3:$E$16,4,FALSE),0),"")</f>
        <v/>
      </c>
      <c r="AK502" t="str">
        <f>IFERROR(T502&amp;"*"&amp;ROUND(X502*(U502/$AP502)/VLOOKUP(T502,商品!$A$4:$D$67,4,FALSE),0),"")</f>
        <v/>
      </c>
      <c r="AL502" t="str">
        <f>IFERROR(V502&amp;"*"&amp;ROUND(X502*(W502/$AP502)/VLOOKUP(V502,商品!$A$4:$D$67,4,FALSE),0),"")</f>
        <v/>
      </c>
      <c r="AN502">
        <f t="shared" si="61"/>
        <v>0</v>
      </c>
      <c r="AO502">
        <f t="shared" si="62"/>
        <v>0</v>
      </c>
      <c r="AP502">
        <f t="shared" si="63"/>
        <v>0</v>
      </c>
    </row>
    <row r="503" customHeight="1" spans="1:42">
      <c r="A503" s="5" t="s">
        <v>380</v>
      </c>
      <c r="C503" s="5">
        <v>2</v>
      </c>
      <c r="D503" s="1" t="s">
        <v>249</v>
      </c>
      <c r="E503" s="1" t="s">
        <v>224</v>
      </c>
      <c r="L503" s="1">
        <f>IFERROR(VLOOKUP($D503&amp;$C503,生产方式定位!$A$2:$E$38,2,FALSE)+VLOOKUP($E503&amp;$C503,生产方式定位!$F$3:$J$38,2,FALSE),0)</f>
        <v>18500</v>
      </c>
      <c r="S503" s="1">
        <f>IFERROR(VLOOKUP($D503&amp;$C503,生产方式定位!$A$2:$E$38,3,FALSE)+VLOOKUP($E503&amp;$C503,生产方式定位!$F$3:$J$38,3,FALSE),0)</f>
        <v>9200</v>
      </c>
      <c r="X503" s="1">
        <f>IFERROR(VLOOKUP($D503&amp;$C503,生产方式定位!$A$2:$E$38,5,FALSE)+VLOOKUP($E503&amp;$C503,生产方式定位!$F$3:$J$38,5,FALSE),"错误")</f>
        <v>13922</v>
      </c>
      <c r="Y503" s="27" t="str">
        <f t="shared" si="56"/>
        <v/>
      </c>
      <c r="Z503" s="37" t="str">
        <f t="shared" si="57"/>
        <v/>
      </c>
      <c r="AA503" s="37" t="str">
        <f t="shared" si="58"/>
        <v/>
      </c>
      <c r="AB503" s="28">
        <f t="shared" si="59"/>
        <v>1.33</v>
      </c>
      <c r="AC503" s="37"/>
      <c r="AD503" s="38">
        <f t="shared" si="60"/>
        <v>2</v>
      </c>
      <c r="AE503" t="str">
        <f>IFERROR(F503&amp;"*"&amp;ROUND(L503*(G503/$AN503)/VLOOKUP(F503,商品!$A$4:$D$67,4,FALSE),0),"")</f>
        <v/>
      </c>
      <c r="AF503" t="str">
        <f>IFERROR(H503&amp;"*"&amp;ROUND(L503*(I503/$AN503)/VLOOKUP(H503,商品!$A$4:$D$67,4,FALSE),0),"")</f>
        <v/>
      </c>
      <c r="AG503" t="str">
        <f>IFERROR(J503&amp;"*"&amp;ROUND(L503*(K503/$AN503)/VLOOKUP(J503,商品!$A$4:$D$67,4,FALSE),0),"")</f>
        <v/>
      </c>
      <c r="AH503" t="str">
        <f>IFERROR(M503&amp;"*"&amp;ROUND(S503*(N503/$AO503)/VLOOKUP(M503,职业!$A$3:$E$16,4,FALSE),0),"")</f>
        <v/>
      </c>
      <c r="AI503" t="str">
        <f>IFERROR(O503&amp;"*"&amp;ROUND(S503*(P503/$AO503)/VLOOKUP(O503,职业!$A$3:$E$16,4,FALSE),0),"")</f>
        <v/>
      </c>
      <c r="AK503" t="str">
        <f>IFERROR(T503&amp;"*"&amp;ROUND(X503*(U503/$AP503)/VLOOKUP(T503,商品!$A$4:$D$67,4,FALSE),0),"")</f>
        <v/>
      </c>
      <c r="AL503" t="str">
        <f>IFERROR(V503&amp;"*"&amp;ROUND(X503*(W503/$AP503)/VLOOKUP(V503,商品!$A$4:$D$67,4,FALSE),0),"")</f>
        <v/>
      </c>
      <c r="AN503">
        <f t="shared" si="61"/>
        <v>0</v>
      </c>
      <c r="AO503">
        <f t="shared" si="62"/>
        <v>0</v>
      </c>
      <c r="AP503">
        <f t="shared" si="63"/>
        <v>0</v>
      </c>
    </row>
    <row r="504" customHeight="1" spans="1:42">
      <c r="A504" s="5" t="s">
        <v>380</v>
      </c>
      <c r="C504" s="5">
        <v>3</v>
      </c>
      <c r="D504" s="1" t="s">
        <v>249</v>
      </c>
      <c r="E504" s="1" t="s">
        <v>224</v>
      </c>
      <c r="L504" s="1">
        <f>IFERROR(VLOOKUP($D504&amp;$C504,生产方式定位!$A$2:$E$38,2,FALSE)+VLOOKUP($E504&amp;$C504,生产方式定位!$F$3:$J$38,2,FALSE),0)</f>
        <v>17000</v>
      </c>
      <c r="S504" s="1">
        <f>IFERROR(VLOOKUP($D504&amp;$C504,生产方式定位!$A$2:$E$38,3,FALSE)+VLOOKUP($E504&amp;$C504,生产方式定位!$F$3:$J$38,3,FALSE),0)</f>
        <v>8400</v>
      </c>
      <c r="X504" s="1">
        <f>IFERROR(VLOOKUP($D504&amp;$C504,生产方式定位!$A$2:$E$38,5,FALSE)+VLOOKUP($E504&amp;$C504,生产方式定位!$F$3:$J$38,5,FALSE),"错误")</f>
        <v>12988</v>
      </c>
      <c r="Y504" s="27" t="str">
        <f t="shared" si="56"/>
        <v/>
      </c>
      <c r="Z504" s="37" t="str">
        <f t="shared" si="57"/>
        <v/>
      </c>
      <c r="AA504" s="37" t="str">
        <f t="shared" si="58"/>
        <v/>
      </c>
      <c r="AB504" s="28">
        <f t="shared" si="59"/>
        <v>1.31</v>
      </c>
      <c r="AC504" s="37"/>
      <c r="AD504" s="38">
        <f t="shared" si="60"/>
        <v>3</v>
      </c>
      <c r="AE504" t="str">
        <f>IFERROR(F504&amp;"*"&amp;ROUND(L504*(G504/$AN504)/VLOOKUP(F504,商品!$A$4:$D$67,4,FALSE),0),"")</f>
        <v/>
      </c>
      <c r="AF504" t="str">
        <f>IFERROR(H504&amp;"*"&amp;ROUND(L504*(I504/$AN504)/VLOOKUP(H504,商品!$A$4:$D$67,4,FALSE),0),"")</f>
        <v/>
      </c>
      <c r="AG504" t="str">
        <f>IFERROR(J504&amp;"*"&amp;ROUND(L504*(K504/$AN504)/VLOOKUP(J504,商品!$A$4:$D$67,4,FALSE),0),"")</f>
        <v/>
      </c>
      <c r="AH504" t="str">
        <f>IFERROR(M504&amp;"*"&amp;ROUND(S504*(N504/$AO504)/VLOOKUP(M504,职业!$A$3:$E$16,4,FALSE),0),"")</f>
        <v/>
      </c>
      <c r="AI504" t="str">
        <f>IFERROR(O504&amp;"*"&amp;ROUND(S504*(P504/$AO504)/VLOOKUP(O504,职业!$A$3:$E$16,4,FALSE),0),"")</f>
        <v/>
      </c>
      <c r="AK504" t="str">
        <f>IFERROR(T504&amp;"*"&amp;ROUND(X504*(U504/$AP504)/VLOOKUP(T504,商品!$A$4:$D$67,4,FALSE),0),"")</f>
        <v/>
      </c>
      <c r="AL504" t="str">
        <f>IFERROR(V504&amp;"*"&amp;ROUND(X504*(W504/$AP504)/VLOOKUP(V504,商品!$A$4:$D$67,4,FALSE),0),"")</f>
        <v/>
      </c>
      <c r="AN504">
        <f t="shared" si="61"/>
        <v>0</v>
      </c>
      <c r="AO504">
        <f t="shared" si="62"/>
        <v>0</v>
      </c>
      <c r="AP504">
        <f t="shared" si="63"/>
        <v>0</v>
      </c>
    </row>
    <row r="505" customHeight="1" spans="1:42">
      <c r="A505" s="5" t="s">
        <v>380</v>
      </c>
      <c r="C505" s="5">
        <v>4</v>
      </c>
      <c r="D505" s="1" t="s">
        <v>249</v>
      </c>
      <c r="E505" s="1" t="s">
        <v>224</v>
      </c>
      <c r="L505" s="1">
        <f>IFERROR(VLOOKUP($D505&amp;$C505,生产方式定位!$A$2:$E$38,2,FALSE)+VLOOKUP($E505&amp;$C505,生产方式定位!$F$3:$J$38,2,FALSE),0)</f>
        <v>15500</v>
      </c>
      <c r="S505" s="1">
        <f>IFERROR(VLOOKUP($D505&amp;$C505,生产方式定位!$A$2:$E$38,3,FALSE)+VLOOKUP($E505&amp;$C505,生产方式定位!$F$3:$J$38,3,FALSE),0)</f>
        <v>7600</v>
      </c>
      <c r="X505" s="1">
        <f>IFERROR(VLOOKUP($D505&amp;$C505,生产方式定位!$A$2:$E$38,5,FALSE)+VLOOKUP($E505&amp;$C505,生产方式定位!$F$3:$J$38,5,FALSE),"错误")</f>
        <v>12198</v>
      </c>
      <c r="Y505" s="27" t="str">
        <f t="shared" si="56"/>
        <v/>
      </c>
      <c r="Z505" s="37" t="str">
        <f t="shared" si="57"/>
        <v/>
      </c>
      <c r="AA505" s="37" t="str">
        <f t="shared" si="58"/>
        <v/>
      </c>
      <c r="AB505" s="28">
        <f t="shared" si="59"/>
        <v>1.27</v>
      </c>
      <c r="AC505" s="37"/>
      <c r="AD505" s="38">
        <f t="shared" si="60"/>
        <v>4</v>
      </c>
      <c r="AE505" t="str">
        <f>IFERROR(F505&amp;"*"&amp;ROUND(L505*(G505/$AN505)/VLOOKUP(F505,商品!$A$4:$D$67,4,FALSE),0),"")</f>
        <v/>
      </c>
      <c r="AF505" t="str">
        <f>IFERROR(H505&amp;"*"&amp;ROUND(L505*(I505/$AN505)/VLOOKUP(H505,商品!$A$4:$D$67,4,FALSE),0),"")</f>
        <v/>
      </c>
      <c r="AG505" t="str">
        <f>IFERROR(J505&amp;"*"&amp;ROUND(L505*(K505/$AN505)/VLOOKUP(J505,商品!$A$4:$D$67,4,FALSE),0),"")</f>
        <v/>
      </c>
      <c r="AH505" t="str">
        <f>IFERROR(M505&amp;"*"&amp;ROUND(S505*(N505/$AO505)/VLOOKUP(M505,职业!$A$3:$E$16,4,FALSE),0),"")</f>
        <v/>
      </c>
      <c r="AI505" t="str">
        <f>IFERROR(O505&amp;"*"&amp;ROUND(S505*(P505/$AO505)/VLOOKUP(O505,职业!$A$3:$E$16,4,FALSE),0),"")</f>
        <v/>
      </c>
      <c r="AK505" t="str">
        <f>IFERROR(T505&amp;"*"&amp;ROUND(X505*(U505/$AP505)/VLOOKUP(T505,商品!$A$4:$D$67,4,FALSE),0),"")</f>
        <v/>
      </c>
      <c r="AL505" t="str">
        <f>IFERROR(V505&amp;"*"&amp;ROUND(X505*(W505/$AP505)/VLOOKUP(V505,商品!$A$4:$D$67,4,FALSE),0),"")</f>
        <v/>
      </c>
      <c r="AN505">
        <f t="shared" si="61"/>
        <v>0</v>
      </c>
      <c r="AO505">
        <f t="shared" si="62"/>
        <v>0</v>
      </c>
      <c r="AP505">
        <f t="shared" si="63"/>
        <v>0</v>
      </c>
    </row>
    <row r="506" customHeight="1" spans="1:42">
      <c r="A506" s="5" t="s">
        <v>380</v>
      </c>
      <c r="C506" s="5">
        <v>5</v>
      </c>
      <c r="D506" s="1" t="s">
        <v>249</v>
      </c>
      <c r="E506" s="1" t="s">
        <v>224</v>
      </c>
      <c r="L506" s="1">
        <f>IFERROR(VLOOKUP($D506&amp;$C506,生产方式定位!$A$2:$E$38,2,FALSE)+VLOOKUP($E506&amp;$C506,生产方式定位!$F$3:$J$38,2,FALSE),0)</f>
        <v>14000</v>
      </c>
      <c r="S506" s="1">
        <f>IFERROR(VLOOKUP($D506&amp;$C506,生产方式定位!$A$2:$E$38,3,FALSE)+VLOOKUP($E506&amp;$C506,生产方式定位!$F$3:$J$38,3,FALSE),0)</f>
        <v>6800</v>
      </c>
      <c r="X506" s="1">
        <f>IFERROR(VLOOKUP($D506&amp;$C506,生产方式定位!$A$2:$E$38,5,FALSE)+VLOOKUP($E506&amp;$C506,生产方式定位!$F$3:$J$38,5,FALSE),"错误")</f>
        <v>11600</v>
      </c>
      <c r="Y506" s="27" t="str">
        <f t="shared" si="56"/>
        <v/>
      </c>
      <c r="Z506" s="37" t="str">
        <f t="shared" si="57"/>
        <v/>
      </c>
      <c r="AA506" s="37" t="str">
        <f t="shared" si="58"/>
        <v/>
      </c>
      <c r="AB506" s="28">
        <f t="shared" si="59"/>
        <v>1.21</v>
      </c>
      <c r="AC506" s="37"/>
      <c r="AD506" s="38">
        <f t="shared" si="60"/>
        <v>5</v>
      </c>
      <c r="AE506" t="str">
        <f>IFERROR(F506&amp;"*"&amp;ROUND(L506*(G506/$AN506)/VLOOKUP(F506,商品!$A$4:$D$67,4,FALSE),0),"")</f>
        <v/>
      </c>
      <c r="AF506" t="str">
        <f>IFERROR(H506&amp;"*"&amp;ROUND(L506*(I506/$AN506)/VLOOKUP(H506,商品!$A$4:$D$67,4,FALSE),0),"")</f>
        <v/>
      </c>
      <c r="AG506" t="str">
        <f>IFERROR(J506&amp;"*"&amp;ROUND(L506*(K506/$AN506)/VLOOKUP(J506,商品!$A$4:$D$67,4,FALSE),0),"")</f>
        <v/>
      </c>
      <c r="AH506" t="str">
        <f>IFERROR(M506&amp;"*"&amp;ROUND(S506*(N506/$AO506)/VLOOKUP(M506,职业!$A$3:$E$16,4,FALSE),0),"")</f>
        <v/>
      </c>
      <c r="AI506" t="str">
        <f>IFERROR(O506&amp;"*"&amp;ROUND(S506*(P506/$AO506)/VLOOKUP(O506,职业!$A$3:$E$16,4,FALSE),0),"")</f>
        <v/>
      </c>
      <c r="AK506" t="str">
        <f>IFERROR(T506&amp;"*"&amp;ROUND(X506*(U506/$AP506)/VLOOKUP(T506,商品!$A$4:$D$67,4,FALSE),0),"")</f>
        <v/>
      </c>
      <c r="AL506" t="str">
        <f>IFERROR(V506&amp;"*"&amp;ROUND(X506*(W506/$AP506)/VLOOKUP(V506,商品!$A$4:$D$67,4,FALSE),0),"")</f>
        <v/>
      </c>
      <c r="AN506">
        <f t="shared" si="61"/>
        <v>0</v>
      </c>
      <c r="AO506">
        <f t="shared" si="62"/>
        <v>0</v>
      </c>
      <c r="AP506">
        <f t="shared" si="63"/>
        <v>0</v>
      </c>
    </row>
    <row r="507" customHeight="1" spans="1:42">
      <c r="A507" s="18" t="s">
        <v>381</v>
      </c>
      <c r="C507" s="18">
        <v>1</v>
      </c>
      <c r="D507" s="1" t="s">
        <v>293</v>
      </c>
      <c r="E507" s="1" t="s">
        <v>227</v>
      </c>
      <c r="L507" s="1">
        <f>IFERROR(VLOOKUP($D507&amp;$C507,生产方式定位!$A$2:$E$38,2,FALSE)+VLOOKUP($E507&amp;$C507,生产方式定位!$F$3:$J$38,2,FALSE),0)</f>
        <v>0</v>
      </c>
      <c r="S507" s="1">
        <f>IFERROR(VLOOKUP($D507&amp;$C507,生产方式定位!$A$2:$E$38,3,FALSE)+VLOOKUP($E507&amp;$C507,生产方式定位!$F$3:$J$38,3,FALSE),0)</f>
        <v>0</v>
      </c>
      <c r="X507" s="1">
        <f>IFERROR(VLOOKUP($D507&amp;$C507,生产方式定位!$A$2:$E$38,5,FALSE)+VLOOKUP($E507&amp;$C507,生产方式定位!$F$3:$J$38,5,FALSE),"错误")</f>
        <v>0</v>
      </c>
      <c r="Y507" s="27" t="str">
        <f t="shared" si="56"/>
        <v/>
      </c>
      <c r="Z507" s="37" t="str">
        <f t="shared" si="57"/>
        <v/>
      </c>
      <c r="AA507" s="37" t="str">
        <f t="shared" si="58"/>
        <v/>
      </c>
      <c r="AB507" s="28" t="str">
        <f t="shared" si="59"/>
        <v/>
      </c>
      <c r="AC507" s="37"/>
      <c r="AD507" s="38">
        <f t="shared" si="60"/>
        <v>1</v>
      </c>
      <c r="AE507" t="str">
        <f>IFERROR(F507&amp;"*"&amp;ROUND(L507*(G507/$AN507)/VLOOKUP(F507,商品!$A$4:$D$67,4,FALSE),0),"")</f>
        <v/>
      </c>
      <c r="AF507" t="str">
        <f>IFERROR(H507&amp;"*"&amp;ROUND(L507*(I507/$AN507)/VLOOKUP(H507,商品!$A$4:$D$67,4,FALSE),0),"")</f>
        <v/>
      </c>
      <c r="AG507" t="str">
        <f>IFERROR(J507&amp;"*"&amp;ROUND(L507*(K507/$AN507)/VLOOKUP(J507,商品!$A$4:$D$67,4,FALSE),0),"")</f>
        <v/>
      </c>
      <c r="AH507" t="str">
        <f>IFERROR(M507&amp;"*"&amp;ROUND(S507*(N507/$AO507)/VLOOKUP(M507,职业!$A$3:$E$16,4,FALSE),0),"")</f>
        <v/>
      </c>
      <c r="AI507" t="str">
        <f>IFERROR(O507&amp;"*"&amp;ROUND(S507*(P507/$AO507)/VLOOKUP(O507,职业!$A$3:$E$16,4,FALSE),0),"")</f>
        <v/>
      </c>
      <c r="AK507" t="str">
        <f>IFERROR(T507&amp;"*"&amp;ROUND(X507*(U507/$AP507)/VLOOKUP(T507,商品!$A$4:$D$67,4,FALSE),0),"")</f>
        <v/>
      </c>
      <c r="AL507" t="str">
        <f>IFERROR(V507&amp;"*"&amp;ROUND(X507*(W507/$AP507)/VLOOKUP(V507,商品!$A$4:$D$67,4,FALSE),0),"")</f>
        <v/>
      </c>
      <c r="AN507">
        <f t="shared" si="61"/>
        <v>0</v>
      </c>
      <c r="AO507">
        <f t="shared" si="62"/>
        <v>0</v>
      </c>
      <c r="AP507">
        <f t="shared" si="63"/>
        <v>0</v>
      </c>
    </row>
    <row r="508" customHeight="1" spans="1:42">
      <c r="A508" s="18" t="s">
        <v>381</v>
      </c>
      <c r="C508" s="18">
        <v>2</v>
      </c>
      <c r="D508" s="1" t="s">
        <v>293</v>
      </c>
      <c r="E508" s="1" t="s">
        <v>227</v>
      </c>
      <c r="L508" s="1">
        <f>IFERROR(VLOOKUP($D508&amp;$C508,生产方式定位!$A$2:$E$38,2,FALSE)+VLOOKUP($E508&amp;$C508,生产方式定位!$F$3:$J$38,2,FALSE),0)</f>
        <v>0</v>
      </c>
      <c r="S508" s="1">
        <f>IFERROR(VLOOKUP($D508&amp;$C508,生产方式定位!$A$2:$E$38,3,FALSE)+VLOOKUP($E508&amp;$C508,生产方式定位!$F$3:$J$38,3,FALSE),0)</f>
        <v>0</v>
      </c>
      <c r="X508" s="1">
        <f>IFERROR(VLOOKUP($D508&amp;$C508,生产方式定位!$A$2:$E$38,5,FALSE)+VLOOKUP($E508&amp;$C508,生产方式定位!$F$3:$J$38,5,FALSE),"错误")</f>
        <v>0</v>
      </c>
      <c r="Y508" s="27" t="str">
        <f t="shared" si="56"/>
        <v/>
      </c>
      <c r="Z508" s="37" t="str">
        <f t="shared" si="57"/>
        <v/>
      </c>
      <c r="AA508" s="37" t="str">
        <f t="shared" si="58"/>
        <v/>
      </c>
      <c r="AB508" s="28" t="str">
        <f t="shared" si="59"/>
        <v/>
      </c>
      <c r="AC508" s="37"/>
      <c r="AD508" s="38">
        <f t="shared" si="60"/>
        <v>2</v>
      </c>
      <c r="AE508" t="str">
        <f>IFERROR(F508&amp;"*"&amp;ROUND(L508*(G508/$AN508)/VLOOKUP(F508,商品!$A$4:$D$67,4,FALSE),0),"")</f>
        <v/>
      </c>
      <c r="AF508" t="str">
        <f>IFERROR(H508&amp;"*"&amp;ROUND(L508*(I508/$AN508)/VLOOKUP(H508,商品!$A$4:$D$67,4,FALSE),0),"")</f>
        <v/>
      </c>
      <c r="AG508" t="str">
        <f>IFERROR(J508&amp;"*"&amp;ROUND(L508*(K508/$AN508)/VLOOKUP(J508,商品!$A$4:$D$67,4,FALSE),0),"")</f>
        <v/>
      </c>
      <c r="AH508" t="str">
        <f>IFERROR(M508&amp;"*"&amp;ROUND(S508*(N508/$AO508)/VLOOKUP(M508,职业!$A$3:$E$16,4,FALSE),0),"")</f>
        <v/>
      </c>
      <c r="AI508" t="str">
        <f>IFERROR(O508&amp;"*"&amp;ROUND(S508*(P508/$AO508)/VLOOKUP(O508,职业!$A$3:$E$16,4,FALSE),0),"")</f>
        <v/>
      </c>
      <c r="AK508" t="str">
        <f>IFERROR(T508&amp;"*"&amp;ROUND(X508*(U508/$AP508)/VLOOKUP(T508,商品!$A$4:$D$67,4,FALSE),0),"")</f>
        <v/>
      </c>
      <c r="AL508" t="str">
        <f>IFERROR(V508&amp;"*"&amp;ROUND(X508*(W508/$AP508)/VLOOKUP(V508,商品!$A$4:$D$67,4,FALSE),0),"")</f>
        <v/>
      </c>
      <c r="AN508">
        <f t="shared" si="61"/>
        <v>0</v>
      </c>
      <c r="AO508">
        <f t="shared" si="62"/>
        <v>0</v>
      </c>
      <c r="AP508">
        <f t="shared" si="63"/>
        <v>0</v>
      </c>
    </row>
    <row r="509" customHeight="1" spans="1:42">
      <c r="A509" s="18" t="s">
        <v>381</v>
      </c>
      <c r="C509" s="18">
        <v>3</v>
      </c>
      <c r="D509" s="1" t="s">
        <v>293</v>
      </c>
      <c r="E509" s="1" t="s">
        <v>227</v>
      </c>
      <c r="L509" s="1">
        <f>IFERROR(VLOOKUP($D509&amp;$C509,生产方式定位!$A$2:$E$38,2,FALSE)+VLOOKUP($E509&amp;$C509,生产方式定位!$F$3:$J$38,2,FALSE),0)</f>
        <v>0</v>
      </c>
      <c r="S509" s="1">
        <f>IFERROR(VLOOKUP($D509&amp;$C509,生产方式定位!$A$2:$E$38,3,FALSE)+VLOOKUP($E509&amp;$C509,生产方式定位!$F$3:$J$38,3,FALSE),0)</f>
        <v>0</v>
      </c>
      <c r="X509" s="1">
        <f>IFERROR(VLOOKUP($D509&amp;$C509,生产方式定位!$A$2:$E$38,5,FALSE)+VLOOKUP($E509&amp;$C509,生产方式定位!$F$3:$J$38,5,FALSE),"错误")</f>
        <v>0</v>
      </c>
      <c r="Y509" s="27" t="str">
        <f t="shared" si="56"/>
        <v/>
      </c>
      <c r="Z509" s="37" t="str">
        <f t="shared" si="57"/>
        <v/>
      </c>
      <c r="AA509" s="37" t="str">
        <f t="shared" si="58"/>
        <v/>
      </c>
      <c r="AB509" s="28" t="str">
        <f t="shared" si="59"/>
        <v/>
      </c>
      <c r="AC509" s="37"/>
      <c r="AD509" s="38">
        <f t="shared" si="60"/>
        <v>3</v>
      </c>
      <c r="AE509" t="str">
        <f>IFERROR(F509&amp;"*"&amp;ROUND(L509*(G509/$AN509)/VLOOKUP(F509,商品!$A$4:$D$67,4,FALSE),0),"")</f>
        <v/>
      </c>
      <c r="AF509" t="str">
        <f>IFERROR(H509&amp;"*"&amp;ROUND(L509*(I509/$AN509)/VLOOKUP(H509,商品!$A$4:$D$67,4,FALSE),0),"")</f>
        <v/>
      </c>
      <c r="AG509" t="str">
        <f>IFERROR(J509&amp;"*"&amp;ROUND(L509*(K509/$AN509)/VLOOKUP(J509,商品!$A$4:$D$67,4,FALSE),0),"")</f>
        <v/>
      </c>
      <c r="AH509" t="str">
        <f>IFERROR(M509&amp;"*"&amp;ROUND(S509*(N509/$AO509)/VLOOKUP(M509,职业!$A$3:$E$16,4,FALSE),0),"")</f>
        <v/>
      </c>
      <c r="AI509" t="str">
        <f>IFERROR(O509&amp;"*"&amp;ROUND(S509*(P509/$AO509)/VLOOKUP(O509,职业!$A$3:$E$16,4,FALSE),0),"")</f>
        <v/>
      </c>
      <c r="AK509" t="str">
        <f>IFERROR(T509&amp;"*"&amp;ROUND(X509*(U509/$AP509)/VLOOKUP(T509,商品!$A$4:$D$67,4,FALSE),0),"")</f>
        <v/>
      </c>
      <c r="AL509" t="str">
        <f>IFERROR(V509&amp;"*"&amp;ROUND(X509*(W509/$AP509)/VLOOKUP(V509,商品!$A$4:$D$67,4,FALSE),0),"")</f>
        <v/>
      </c>
      <c r="AN509">
        <f t="shared" si="61"/>
        <v>0</v>
      </c>
      <c r="AO509">
        <f t="shared" si="62"/>
        <v>0</v>
      </c>
      <c r="AP509">
        <f t="shared" si="63"/>
        <v>0</v>
      </c>
    </row>
    <row r="510" customHeight="1" spans="1:42">
      <c r="A510" s="18" t="s">
        <v>381</v>
      </c>
      <c r="C510" s="18">
        <v>4</v>
      </c>
      <c r="D510" s="1" t="s">
        <v>293</v>
      </c>
      <c r="E510" s="1" t="s">
        <v>227</v>
      </c>
      <c r="L510" s="1">
        <f>IFERROR(VLOOKUP($D510&amp;$C510,生产方式定位!$A$2:$E$38,2,FALSE)+VLOOKUP($E510&amp;$C510,生产方式定位!$F$3:$J$38,2,FALSE),0)</f>
        <v>0</v>
      </c>
      <c r="S510" s="1">
        <f>IFERROR(VLOOKUP($D510&amp;$C510,生产方式定位!$A$2:$E$38,3,FALSE)+VLOOKUP($E510&amp;$C510,生产方式定位!$F$3:$J$38,3,FALSE),0)</f>
        <v>0</v>
      </c>
      <c r="X510" s="1">
        <f>IFERROR(VLOOKUP($D510&amp;$C510,生产方式定位!$A$2:$E$38,5,FALSE)+VLOOKUP($E510&amp;$C510,生产方式定位!$F$3:$J$38,5,FALSE),"错误")</f>
        <v>0</v>
      </c>
      <c r="Y510" s="27" t="str">
        <f t="shared" si="56"/>
        <v/>
      </c>
      <c r="Z510" s="37" t="str">
        <f t="shared" si="57"/>
        <v/>
      </c>
      <c r="AA510" s="37" t="str">
        <f t="shared" si="58"/>
        <v/>
      </c>
      <c r="AB510" s="28" t="str">
        <f t="shared" si="59"/>
        <v/>
      </c>
      <c r="AC510" s="37"/>
      <c r="AD510" s="38">
        <f t="shared" si="60"/>
        <v>4</v>
      </c>
      <c r="AE510" t="str">
        <f>IFERROR(F510&amp;"*"&amp;ROUND(L510*(G510/$AN510)/VLOOKUP(F510,商品!$A$4:$D$67,4,FALSE),0),"")</f>
        <v/>
      </c>
      <c r="AF510" t="str">
        <f>IFERROR(H510&amp;"*"&amp;ROUND(L510*(I510/$AN510)/VLOOKUP(H510,商品!$A$4:$D$67,4,FALSE),0),"")</f>
        <v/>
      </c>
      <c r="AG510" t="str">
        <f>IFERROR(J510&amp;"*"&amp;ROUND(L510*(K510/$AN510)/VLOOKUP(J510,商品!$A$4:$D$67,4,FALSE),0),"")</f>
        <v/>
      </c>
      <c r="AH510" t="str">
        <f>IFERROR(M510&amp;"*"&amp;ROUND(S510*(N510/$AO510)/VLOOKUP(M510,职业!$A$3:$E$16,4,FALSE),0),"")</f>
        <v/>
      </c>
      <c r="AI510" t="str">
        <f>IFERROR(O510&amp;"*"&amp;ROUND(S510*(P510/$AO510)/VLOOKUP(O510,职业!$A$3:$E$16,4,FALSE),0),"")</f>
        <v/>
      </c>
      <c r="AK510" t="str">
        <f>IFERROR(T510&amp;"*"&amp;ROUND(X510*(U510/$AP510)/VLOOKUP(T510,商品!$A$4:$D$67,4,FALSE),0),"")</f>
        <v/>
      </c>
      <c r="AL510" t="str">
        <f>IFERROR(V510&amp;"*"&amp;ROUND(X510*(W510/$AP510)/VLOOKUP(V510,商品!$A$4:$D$67,4,FALSE),0),"")</f>
        <v/>
      </c>
      <c r="AN510">
        <f t="shared" si="61"/>
        <v>0</v>
      </c>
      <c r="AO510">
        <f t="shared" si="62"/>
        <v>0</v>
      </c>
      <c r="AP510">
        <f t="shared" si="63"/>
        <v>0</v>
      </c>
    </row>
    <row r="511" customHeight="1" spans="1:42">
      <c r="A511" s="18" t="s">
        <v>381</v>
      </c>
      <c r="C511" s="18">
        <v>5</v>
      </c>
      <c r="D511" s="1" t="s">
        <v>293</v>
      </c>
      <c r="E511" s="1" t="s">
        <v>227</v>
      </c>
      <c r="L511" s="1">
        <f>IFERROR(VLOOKUP($D511&amp;$C511,生产方式定位!$A$2:$E$38,2,FALSE)+VLOOKUP($E511&amp;$C511,生产方式定位!$F$3:$J$38,2,FALSE),0)</f>
        <v>0</v>
      </c>
      <c r="S511" s="1">
        <f>IFERROR(VLOOKUP($D511&amp;$C511,生产方式定位!$A$2:$E$38,3,FALSE)+VLOOKUP($E511&amp;$C511,生产方式定位!$F$3:$J$38,3,FALSE),0)</f>
        <v>0</v>
      </c>
      <c r="X511" s="1">
        <f>IFERROR(VLOOKUP($D511&amp;$C511,生产方式定位!$A$2:$E$38,5,FALSE)+VLOOKUP($E511&amp;$C511,生产方式定位!$F$3:$J$38,5,FALSE),"错误")</f>
        <v>0</v>
      </c>
      <c r="Y511" s="27" t="str">
        <f t="shared" si="56"/>
        <v/>
      </c>
      <c r="Z511" s="37" t="str">
        <f t="shared" si="57"/>
        <v/>
      </c>
      <c r="AA511" s="37" t="str">
        <f t="shared" si="58"/>
        <v/>
      </c>
      <c r="AB511" s="28" t="str">
        <f t="shared" si="59"/>
        <v/>
      </c>
      <c r="AC511" s="37"/>
      <c r="AD511" s="38">
        <f t="shared" si="60"/>
        <v>5</v>
      </c>
      <c r="AE511" t="str">
        <f>IFERROR(F511&amp;"*"&amp;ROUND(L511*(G511/$AN511)/VLOOKUP(F511,商品!$A$4:$D$67,4,FALSE),0),"")</f>
        <v/>
      </c>
      <c r="AF511" t="str">
        <f>IFERROR(H511&amp;"*"&amp;ROUND(L511*(I511/$AN511)/VLOOKUP(H511,商品!$A$4:$D$67,4,FALSE),0),"")</f>
        <v/>
      </c>
      <c r="AG511" t="str">
        <f>IFERROR(J511&amp;"*"&amp;ROUND(L511*(K511/$AN511)/VLOOKUP(J511,商品!$A$4:$D$67,4,FALSE),0),"")</f>
        <v/>
      </c>
      <c r="AH511" t="str">
        <f>IFERROR(M511&amp;"*"&amp;ROUND(S511*(N511/$AO511)/VLOOKUP(M511,职业!$A$3:$E$16,4,FALSE),0),"")</f>
        <v/>
      </c>
      <c r="AI511" t="str">
        <f>IFERROR(O511&amp;"*"&amp;ROUND(S511*(P511/$AO511)/VLOOKUP(O511,职业!$A$3:$E$16,4,FALSE),0),"")</f>
        <v/>
      </c>
      <c r="AK511" t="str">
        <f>IFERROR(T511&amp;"*"&amp;ROUND(X511*(U511/$AP511)/VLOOKUP(T511,商品!$A$4:$D$67,4,FALSE),0),"")</f>
        <v/>
      </c>
      <c r="AL511" t="str">
        <f>IFERROR(V511&amp;"*"&amp;ROUND(X511*(W511/$AP511)/VLOOKUP(V511,商品!$A$4:$D$67,4,FALSE),0),"")</f>
        <v/>
      </c>
      <c r="AN511">
        <f t="shared" si="61"/>
        <v>0</v>
      </c>
      <c r="AO511">
        <f t="shared" si="62"/>
        <v>0</v>
      </c>
      <c r="AP511">
        <f t="shared" si="63"/>
        <v>0</v>
      </c>
    </row>
    <row r="512" customHeight="1" spans="1:42">
      <c r="A512" s="5" t="s">
        <v>383</v>
      </c>
      <c r="C512" s="5">
        <v>1</v>
      </c>
      <c r="D512" s="1" t="s">
        <v>249</v>
      </c>
      <c r="E512" s="1" t="s">
        <v>224</v>
      </c>
      <c r="L512" s="1">
        <f>IFERROR(VLOOKUP($D512&amp;$C512,生产方式定位!$A$2:$E$38,2,FALSE)+VLOOKUP($E512&amp;$C512,生产方式定位!$F$3:$J$38,2,FALSE),0)</f>
        <v>0</v>
      </c>
      <c r="S512" s="1">
        <f>IFERROR(VLOOKUP($D512&amp;$C512,生产方式定位!$A$2:$E$38,3,FALSE)+VLOOKUP($E512&amp;$C512,生产方式定位!$F$3:$J$38,3,FALSE),0)</f>
        <v>10000</v>
      </c>
      <c r="X512" s="1">
        <f>IFERROR(VLOOKUP($D512&amp;$C512,生产方式定位!$A$2:$E$38,5,FALSE)+VLOOKUP($E512&amp;$C512,生产方式定位!$F$3:$J$38,5,FALSE),"错误")</f>
        <v>15000</v>
      </c>
      <c r="Y512" s="27" t="str">
        <f t="shared" si="56"/>
        <v/>
      </c>
      <c r="Z512" s="37" t="str">
        <f t="shared" si="57"/>
        <v/>
      </c>
      <c r="AA512" s="37" t="str">
        <f t="shared" si="58"/>
        <v/>
      </c>
      <c r="AB512" s="28">
        <f t="shared" si="59"/>
        <v>0</v>
      </c>
      <c r="AC512" s="37"/>
      <c r="AD512" s="38">
        <f t="shared" si="60"/>
        <v>1</v>
      </c>
      <c r="AE512" t="str">
        <f>IFERROR(F512&amp;"*"&amp;ROUND(L512*(G512/$AN512)/VLOOKUP(F512,商品!$A$4:$D$67,4,FALSE),0),"")</f>
        <v/>
      </c>
      <c r="AF512" t="str">
        <f>IFERROR(H512&amp;"*"&amp;ROUND(L512*(I512/$AN512)/VLOOKUP(H512,商品!$A$4:$D$67,4,FALSE),0),"")</f>
        <v/>
      </c>
      <c r="AG512" t="str">
        <f>IFERROR(J512&amp;"*"&amp;ROUND(L512*(K512/$AN512)/VLOOKUP(J512,商品!$A$4:$D$67,4,FALSE),0),"")</f>
        <v/>
      </c>
      <c r="AH512" t="str">
        <f>IFERROR(M512&amp;"*"&amp;ROUND(S512*(N512/$AO512)/VLOOKUP(M512,职业!$A$3:$E$16,4,FALSE),0),"")</f>
        <v/>
      </c>
      <c r="AI512" t="str">
        <f>IFERROR(O512&amp;"*"&amp;ROUND(S512*(P512/$AO512)/VLOOKUP(O512,职业!$A$3:$E$16,4,FALSE),0),"")</f>
        <v/>
      </c>
      <c r="AK512" t="str">
        <f>IFERROR(T512&amp;"*"&amp;ROUND(X512*(U512/$AP512)/VLOOKUP(T512,商品!$A$4:$D$67,4,FALSE),0),"")</f>
        <v/>
      </c>
      <c r="AL512" t="str">
        <f>IFERROR(V512&amp;"*"&amp;ROUND(X512*(W512/$AP512)/VLOOKUP(V512,商品!$A$4:$D$67,4,FALSE),0),"")</f>
        <v/>
      </c>
      <c r="AN512">
        <f t="shared" si="61"/>
        <v>0</v>
      </c>
      <c r="AO512">
        <f t="shared" si="62"/>
        <v>0</v>
      </c>
      <c r="AP512">
        <f t="shared" si="63"/>
        <v>0</v>
      </c>
    </row>
    <row r="513" customHeight="1" spans="1:42">
      <c r="A513" s="5" t="s">
        <v>383</v>
      </c>
      <c r="C513" s="5">
        <v>2</v>
      </c>
      <c r="D513" s="1" t="s">
        <v>249</v>
      </c>
      <c r="E513" s="1" t="s">
        <v>224</v>
      </c>
      <c r="L513" s="1">
        <f>IFERROR(VLOOKUP($D513&amp;$C513,生产方式定位!$A$2:$E$38,2,FALSE)+VLOOKUP($E513&amp;$C513,生产方式定位!$F$3:$J$38,2,FALSE),0)</f>
        <v>18500</v>
      </c>
      <c r="S513" s="1">
        <f>IFERROR(VLOOKUP($D513&amp;$C513,生产方式定位!$A$2:$E$38,3,FALSE)+VLOOKUP($E513&amp;$C513,生产方式定位!$F$3:$J$38,3,FALSE),0)</f>
        <v>9200</v>
      </c>
      <c r="X513" s="1">
        <f>IFERROR(VLOOKUP($D513&amp;$C513,生产方式定位!$A$2:$E$38,5,FALSE)+VLOOKUP($E513&amp;$C513,生产方式定位!$F$3:$J$38,5,FALSE),"错误")</f>
        <v>13922</v>
      </c>
      <c r="Y513" s="27" t="str">
        <f t="shared" si="56"/>
        <v/>
      </c>
      <c r="Z513" s="37" t="str">
        <f t="shared" si="57"/>
        <v/>
      </c>
      <c r="AA513" s="37" t="str">
        <f t="shared" si="58"/>
        <v/>
      </c>
      <c r="AB513" s="28">
        <f t="shared" si="59"/>
        <v>1.33</v>
      </c>
      <c r="AC513" s="37"/>
      <c r="AD513" s="38">
        <f t="shared" si="60"/>
        <v>2</v>
      </c>
      <c r="AE513" t="str">
        <f>IFERROR(F513&amp;"*"&amp;ROUND(L513*(G513/$AN513)/VLOOKUP(F513,商品!$A$4:$D$67,4,FALSE),0),"")</f>
        <v/>
      </c>
      <c r="AF513" t="str">
        <f>IFERROR(H513&amp;"*"&amp;ROUND(L513*(I513/$AN513)/VLOOKUP(H513,商品!$A$4:$D$67,4,FALSE),0),"")</f>
        <v/>
      </c>
      <c r="AG513" t="str">
        <f>IFERROR(J513&amp;"*"&amp;ROUND(L513*(K513/$AN513)/VLOOKUP(J513,商品!$A$4:$D$67,4,FALSE),0),"")</f>
        <v/>
      </c>
      <c r="AH513" t="str">
        <f>IFERROR(M513&amp;"*"&amp;ROUND(S513*(N513/$AO513)/VLOOKUP(M513,职业!$A$3:$E$16,4,FALSE),0),"")</f>
        <v/>
      </c>
      <c r="AI513" t="str">
        <f>IFERROR(O513&amp;"*"&amp;ROUND(S513*(P513/$AO513)/VLOOKUP(O513,职业!$A$3:$E$16,4,FALSE),0),"")</f>
        <v/>
      </c>
      <c r="AK513" t="str">
        <f>IFERROR(T513&amp;"*"&amp;ROUND(X513*(U513/$AP513)/VLOOKUP(T513,商品!$A$4:$D$67,4,FALSE),0),"")</f>
        <v/>
      </c>
      <c r="AL513" t="str">
        <f>IFERROR(V513&amp;"*"&amp;ROUND(X513*(W513/$AP513)/VLOOKUP(V513,商品!$A$4:$D$67,4,FALSE),0),"")</f>
        <v/>
      </c>
      <c r="AN513">
        <f t="shared" si="61"/>
        <v>0</v>
      </c>
      <c r="AO513">
        <f t="shared" si="62"/>
        <v>0</v>
      </c>
      <c r="AP513">
        <f t="shared" si="63"/>
        <v>0</v>
      </c>
    </row>
    <row r="514" customHeight="1" spans="1:42">
      <c r="A514" s="5" t="s">
        <v>383</v>
      </c>
      <c r="C514" s="5">
        <v>3</v>
      </c>
      <c r="D514" s="1" t="s">
        <v>249</v>
      </c>
      <c r="E514" s="1" t="s">
        <v>224</v>
      </c>
      <c r="L514" s="1">
        <f>IFERROR(VLOOKUP($D514&amp;$C514,生产方式定位!$A$2:$E$38,2,FALSE)+VLOOKUP($E514&amp;$C514,生产方式定位!$F$3:$J$38,2,FALSE),0)</f>
        <v>17000</v>
      </c>
      <c r="S514" s="1">
        <f>IFERROR(VLOOKUP($D514&amp;$C514,生产方式定位!$A$2:$E$38,3,FALSE)+VLOOKUP($E514&amp;$C514,生产方式定位!$F$3:$J$38,3,FALSE),0)</f>
        <v>8400</v>
      </c>
      <c r="X514" s="1">
        <f>IFERROR(VLOOKUP($D514&amp;$C514,生产方式定位!$A$2:$E$38,5,FALSE)+VLOOKUP($E514&amp;$C514,生产方式定位!$F$3:$J$38,5,FALSE),"错误")</f>
        <v>12988</v>
      </c>
      <c r="Y514" s="27" t="str">
        <f t="shared" si="56"/>
        <v/>
      </c>
      <c r="Z514" s="37" t="str">
        <f t="shared" si="57"/>
        <v/>
      </c>
      <c r="AA514" s="37" t="str">
        <f t="shared" si="58"/>
        <v/>
      </c>
      <c r="AB514" s="28">
        <f t="shared" si="59"/>
        <v>1.31</v>
      </c>
      <c r="AC514" s="37"/>
      <c r="AD514" s="38">
        <f t="shared" si="60"/>
        <v>3</v>
      </c>
      <c r="AE514" t="str">
        <f>IFERROR(F514&amp;"*"&amp;ROUND(L514*(G514/$AN514)/VLOOKUP(F514,商品!$A$4:$D$67,4,FALSE),0),"")</f>
        <v/>
      </c>
      <c r="AF514" t="str">
        <f>IFERROR(H514&amp;"*"&amp;ROUND(L514*(I514/$AN514)/VLOOKUP(H514,商品!$A$4:$D$67,4,FALSE),0),"")</f>
        <v/>
      </c>
      <c r="AG514" t="str">
        <f>IFERROR(J514&amp;"*"&amp;ROUND(L514*(K514/$AN514)/VLOOKUP(J514,商品!$A$4:$D$67,4,FALSE),0),"")</f>
        <v/>
      </c>
      <c r="AH514" t="str">
        <f>IFERROR(M514&amp;"*"&amp;ROUND(S514*(N514/$AO514)/VLOOKUP(M514,职业!$A$3:$E$16,4,FALSE),0),"")</f>
        <v/>
      </c>
      <c r="AI514" t="str">
        <f>IFERROR(O514&amp;"*"&amp;ROUND(S514*(P514/$AO514)/VLOOKUP(O514,职业!$A$3:$E$16,4,FALSE),0),"")</f>
        <v/>
      </c>
      <c r="AK514" t="str">
        <f>IFERROR(T514&amp;"*"&amp;ROUND(X514*(U514/$AP514)/VLOOKUP(T514,商品!$A$4:$D$67,4,FALSE),0),"")</f>
        <v/>
      </c>
      <c r="AL514" t="str">
        <f>IFERROR(V514&amp;"*"&amp;ROUND(X514*(W514/$AP514)/VLOOKUP(V514,商品!$A$4:$D$67,4,FALSE),0),"")</f>
        <v/>
      </c>
      <c r="AN514">
        <f t="shared" si="61"/>
        <v>0</v>
      </c>
      <c r="AO514">
        <f t="shared" si="62"/>
        <v>0</v>
      </c>
      <c r="AP514">
        <f t="shared" si="63"/>
        <v>0</v>
      </c>
    </row>
    <row r="515" customHeight="1" spans="1:42">
      <c r="A515" s="5" t="s">
        <v>383</v>
      </c>
      <c r="C515" s="5">
        <v>4</v>
      </c>
      <c r="D515" s="1" t="s">
        <v>249</v>
      </c>
      <c r="E515" s="1" t="s">
        <v>224</v>
      </c>
      <c r="L515" s="1">
        <f>IFERROR(VLOOKUP($D515&amp;$C515,生产方式定位!$A$2:$E$38,2,FALSE)+VLOOKUP($E515&amp;$C515,生产方式定位!$F$3:$J$38,2,FALSE),0)</f>
        <v>15500</v>
      </c>
      <c r="S515" s="1">
        <f>IFERROR(VLOOKUP($D515&amp;$C515,生产方式定位!$A$2:$E$38,3,FALSE)+VLOOKUP($E515&amp;$C515,生产方式定位!$F$3:$J$38,3,FALSE),0)</f>
        <v>7600</v>
      </c>
      <c r="X515" s="1">
        <f>IFERROR(VLOOKUP($D515&amp;$C515,生产方式定位!$A$2:$E$38,5,FALSE)+VLOOKUP($E515&amp;$C515,生产方式定位!$F$3:$J$38,5,FALSE),"错误")</f>
        <v>12198</v>
      </c>
      <c r="Y515" s="27" t="str">
        <f t="shared" si="56"/>
        <v/>
      </c>
      <c r="Z515" s="37" t="str">
        <f t="shared" si="57"/>
        <v/>
      </c>
      <c r="AA515" s="37" t="str">
        <f t="shared" si="58"/>
        <v/>
      </c>
      <c r="AB515" s="28">
        <f t="shared" si="59"/>
        <v>1.27</v>
      </c>
      <c r="AC515" s="37"/>
      <c r="AD515" s="38">
        <f t="shared" si="60"/>
        <v>4</v>
      </c>
      <c r="AE515" t="str">
        <f>IFERROR(F515&amp;"*"&amp;ROUND(L515*(G515/$AN515)/VLOOKUP(F515,商品!$A$4:$D$67,4,FALSE),0),"")</f>
        <v/>
      </c>
      <c r="AF515" t="str">
        <f>IFERROR(H515&amp;"*"&amp;ROUND(L515*(I515/$AN515)/VLOOKUP(H515,商品!$A$4:$D$67,4,FALSE),0),"")</f>
        <v/>
      </c>
      <c r="AG515" t="str">
        <f>IFERROR(J515&amp;"*"&amp;ROUND(L515*(K515/$AN515)/VLOOKUP(J515,商品!$A$4:$D$67,4,FALSE),0),"")</f>
        <v/>
      </c>
      <c r="AH515" t="str">
        <f>IFERROR(M515&amp;"*"&amp;ROUND(S515*(N515/$AO515)/VLOOKUP(M515,职业!$A$3:$E$16,4,FALSE),0),"")</f>
        <v/>
      </c>
      <c r="AI515" t="str">
        <f>IFERROR(O515&amp;"*"&amp;ROUND(S515*(P515/$AO515)/VLOOKUP(O515,职业!$A$3:$E$16,4,FALSE),0),"")</f>
        <v/>
      </c>
      <c r="AK515" t="str">
        <f>IFERROR(T515&amp;"*"&amp;ROUND(X515*(U515/$AP515)/VLOOKUP(T515,商品!$A$4:$D$67,4,FALSE),0),"")</f>
        <v/>
      </c>
      <c r="AL515" t="str">
        <f>IFERROR(V515&amp;"*"&amp;ROUND(X515*(W515/$AP515)/VLOOKUP(V515,商品!$A$4:$D$67,4,FALSE),0),"")</f>
        <v/>
      </c>
      <c r="AN515">
        <f t="shared" si="61"/>
        <v>0</v>
      </c>
      <c r="AO515">
        <f t="shared" si="62"/>
        <v>0</v>
      </c>
      <c r="AP515">
        <f t="shared" si="63"/>
        <v>0</v>
      </c>
    </row>
    <row r="516" customHeight="1" spans="1:42">
      <c r="A516" s="5" t="s">
        <v>383</v>
      </c>
      <c r="C516" s="5">
        <v>5</v>
      </c>
      <c r="D516" s="1" t="s">
        <v>249</v>
      </c>
      <c r="E516" s="1" t="s">
        <v>224</v>
      </c>
      <c r="L516" s="1">
        <f>IFERROR(VLOOKUP($D516&amp;$C516,生产方式定位!$A$2:$E$38,2,FALSE)+VLOOKUP($E516&amp;$C516,生产方式定位!$F$3:$J$38,2,FALSE),0)</f>
        <v>14000</v>
      </c>
      <c r="S516" s="1">
        <f>IFERROR(VLOOKUP($D516&amp;$C516,生产方式定位!$A$2:$E$38,3,FALSE)+VLOOKUP($E516&amp;$C516,生产方式定位!$F$3:$J$38,3,FALSE),0)</f>
        <v>6800</v>
      </c>
      <c r="X516" s="1">
        <f>IFERROR(VLOOKUP($D516&amp;$C516,生产方式定位!$A$2:$E$38,5,FALSE)+VLOOKUP($E516&amp;$C516,生产方式定位!$F$3:$J$38,5,FALSE),"错误")</f>
        <v>11600</v>
      </c>
      <c r="Y516" s="27" t="str">
        <f t="shared" si="56"/>
        <v/>
      </c>
      <c r="Z516" s="37" t="str">
        <f t="shared" si="57"/>
        <v/>
      </c>
      <c r="AA516" s="37" t="str">
        <f t="shared" si="58"/>
        <v/>
      </c>
      <c r="AB516" s="28">
        <f t="shared" si="59"/>
        <v>1.21</v>
      </c>
      <c r="AC516" s="37"/>
      <c r="AD516" s="38">
        <f t="shared" si="60"/>
        <v>5</v>
      </c>
      <c r="AE516" t="str">
        <f>IFERROR(F516&amp;"*"&amp;ROUND(L516*(G516/$AN516)/VLOOKUP(F516,商品!$A$4:$D$67,4,FALSE),0),"")</f>
        <v/>
      </c>
      <c r="AF516" t="str">
        <f>IFERROR(H516&amp;"*"&amp;ROUND(L516*(I516/$AN516)/VLOOKUP(H516,商品!$A$4:$D$67,4,FALSE),0),"")</f>
        <v/>
      </c>
      <c r="AG516" t="str">
        <f>IFERROR(J516&amp;"*"&amp;ROUND(L516*(K516/$AN516)/VLOOKUP(J516,商品!$A$4:$D$67,4,FALSE),0),"")</f>
        <v/>
      </c>
      <c r="AH516" t="str">
        <f>IFERROR(M516&amp;"*"&amp;ROUND(S516*(N516/$AO516)/VLOOKUP(M516,职业!$A$3:$E$16,4,FALSE),0),"")</f>
        <v/>
      </c>
      <c r="AI516" t="str">
        <f>IFERROR(O516&amp;"*"&amp;ROUND(S516*(P516/$AO516)/VLOOKUP(O516,职业!$A$3:$E$16,4,FALSE),0),"")</f>
        <v/>
      </c>
      <c r="AK516" t="str">
        <f>IFERROR(T516&amp;"*"&amp;ROUND(X516*(U516/$AP516)/VLOOKUP(T516,商品!$A$4:$D$67,4,FALSE),0),"")</f>
        <v/>
      </c>
      <c r="AL516" t="str">
        <f>IFERROR(V516&amp;"*"&amp;ROUND(X516*(W516/$AP516)/VLOOKUP(V516,商品!$A$4:$D$67,4,FALSE),0),"")</f>
        <v/>
      </c>
      <c r="AN516">
        <f t="shared" si="61"/>
        <v>0</v>
      </c>
      <c r="AO516">
        <f t="shared" si="62"/>
        <v>0</v>
      </c>
      <c r="AP516">
        <f t="shared" si="63"/>
        <v>0</v>
      </c>
    </row>
    <row r="517" customHeight="1" spans="1:42">
      <c r="A517" s="18" t="s">
        <v>384</v>
      </c>
      <c r="C517" s="18">
        <v>1</v>
      </c>
      <c r="D517" s="1" t="s">
        <v>293</v>
      </c>
      <c r="E517" s="1" t="s">
        <v>227</v>
      </c>
      <c r="L517" s="1">
        <f>IFERROR(VLOOKUP($D517&amp;$C517,生产方式定位!$A$2:$E$38,2,FALSE)+VLOOKUP($E517&amp;$C517,生产方式定位!$F$3:$J$38,2,FALSE),0)</f>
        <v>0</v>
      </c>
      <c r="S517" s="1">
        <f>IFERROR(VLOOKUP($D517&amp;$C517,生产方式定位!$A$2:$E$38,3,FALSE)+VLOOKUP($E517&amp;$C517,生产方式定位!$F$3:$J$38,3,FALSE),0)</f>
        <v>0</v>
      </c>
      <c r="X517" s="1">
        <f>IFERROR(VLOOKUP($D517&amp;$C517,生产方式定位!$A$2:$E$38,5,FALSE)+VLOOKUP($E517&amp;$C517,生产方式定位!$F$3:$J$38,5,FALSE),"错误")</f>
        <v>0</v>
      </c>
      <c r="Y517" s="27" t="str">
        <f t="shared" ref="Y517:Y580" si="64">IF(AE517="","",AE517)&amp;IF(AF517="","",","&amp;AF517)&amp;IF(AG517="","",","&amp;AG517)</f>
        <v/>
      </c>
      <c r="Z517" s="37" t="str">
        <f t="shared" ref="Z517:Z580" si="65">IF(AH517="","",AH517)&amp;IF(AI517="","",","&amp;AI517)</f>
        <v/>
      </c>
      <c r="AA517" s="37" t="str">
        <f t="shared" ref="AA517:AA580" si="66">IF(AK517="","",AK517)&amp;IF(AL517="","",","&amp;AL517)</f>
        <v/>
      </c>
      <c r="AB517" s="28" t="str">
        <f t="shared" ref="AB517:AB580" si="67">IFERROR(ROUND(L517/X517,2),"")</f>
        <v/>
      </c>
      <c r="AC517" s="37"/>
      <c r="AD517" s="38">
        <f t="shared" ref="AD517:AD580" si="68">C517</f>
        <v>1</v>
      </c>
      <c r="AE517" t="str">
        <f>IFERROR(F517&amp;"*"&amp;ROUND(L517*(G517/$AN517)/VLOOKUP(F517,商品!$A$4:$D$67,4,FALSE),0),"")</f>
        <v/>
      </c>
      <c r="AF517" t="str">
        <f>IFERROR(H517&amp;"*"&amp;ROUND(L517*(I517/$AN517)/VLOOKUP(H517,商品!$A$4:$D$67,4,FALSE),0),"")</f>
        <v/>
      </c>
      <c r="AG517" t="str">
        <f>IFERROR(J517&amp;"*"&amp;ROUND(L517*(K517/$AN517)/VLOOKUP(J517,商品!$A$4:$D$67,4,FALSE),0),"")</f>
        <v/>
      </c>
      <c r="AH517" t="str">
        <f>IFERROR(M517&amp;"*"&amp;ROUND(S517*(N517/$AO517)/VLOOKUP(M517,职业!$A$3:$E$16,4,FALSE),0),"")</f>
        <v/>
      </c>
      <c r="AI517" t="str">
        <f>IFERROR(O517&amp;"*"&amp;ROUND(S517*(P517/$AO517)/VLOOKUP(O517,职业!$A$3:$E$16,4,FALSE),0),"")</f>
        <v/>
      </c>
      <c r="AK517" t="str">
        <f>IFERROR(T517&amp;"*"&amp;ROUND(X517*(U517/$AP517)/VLOOKUP(T517,商品!$A$4:$D$67,4,FALSE),0),"")</f>
        <v/>
      </c>
      <c r="AL517" t="str">
        <f>IFERROR(V517&amp;"*"&amp;ROUND(X517*(W517/$AP517)/VLOOKUP(V517,商品!$A$4:$D$67,4,FALSE),0),"")</f>
        <v/>
      </c>
      <c r="AN517">
        <f t="shared" si="61"/>
        <v>0</v>
      </c>
      <c r="AO517">
        <f t="shared" si="62"/>
        <v>0</v>
      </c>
      <c r="AP517">
        <f t="shared" si="63"/>
        <v>0</v>
      </c>
    </row>
    <row r="518" customHeight="1" spans="1:42">
      <c r="A518" s="18" t="s">
        <v>384</v>
      </c>
      <c r="C518" s="18">
        <v>2</v>
      </c>
      <c r="D518" s="1" t="s">
        <v>293</v>
      </c>
      <c r="E518" s="1" t="s">
        <v>227</v>
      </c>
      <c r="L518" s="1">
        <f>IFERROR(VLOOKUP($D518&amp;$C518,生产方式定位!$A$2:$E$38,2,FALSE)+VLOOKUP($E518&amp;$C518,生产方式定位!$F$3:$J$38,2,FALSE),0)</f>
        <v>0</v>
      </c>
      <c r="S518" s="1">
        <f>IFERROR(VLOOKUP($D518&amp;$C518,生产方式定位!$A$2:$E$38,3,FALSE)+VLOOKUP($E518&amp;$C518,生产方式定位!$F$3:$J$38,3,FALSE),0)</f>
        <v>0</v>
      </c>
      <c r="X518" s="1">
        <f>IFERROR(VLOOKUP($D518&amp;$C518,生产方式定位!$A$2:$E$38,5,FALSE)+VLOOKUP($E518&amp;$C518,生产方式定位!$F$3:$J$38,5,FALSE),"错误")</f>
        <v>0</v>
      </c>
      <c r="Y518" s="27" t="str">
        <f t="shared" si="64"/>
        <v/>
      </c>
      <c r="Z518" s="37" t="str">
        <f t="shared" si="65"/>
        <v/>
      </c>
      <c r="AA518" s="37" t="str">
        <f t="shared" si="66"/>
        <v/>
      </c>
      <c r="AB518" s="28" t="str">
        <f t="shared" si="67"/>
        <v/>
      </c>
      <c r="AC518" s="37"/>
      <c r="AD518" s="38">
        <f t="shared" si="68"/>
        <v>2</v>
      </c>
      <c r="AE518" t="str">
        <f>IFERROR(F518&amp;"*"&amp;ROUND(L518*(G518/$AN518)/VLOOKUP(F518,商品!$A$4:$D$67,4,FALSE),0),"")</f>
        <v/>
      </c>
      <c r="AF518" t="str">
        <f>IFERROR(H518&amp;"*"&amp;ROUND(L518*(I518/$AN518)/VLOOKUP(H518,商品!$A$4:$D$67,4,FALSE),0),"")</f>
        <v/>
      </c>
      <c r="AG518" t="str">
        <f>IFERROR(J518&amp;"*"&amp;ROUND(L518*(K518/$AN518)/VLOOKUP(J518,商品!$A$4:$D$67,4,FALSE),0),"")</f>
        <v/>
      </c>
      <c r="AH518" t="str">
        <f>IFERROR(M518&amp;"*"&amp;ROUND(S518*(N518/$AO518)/VLOOKUP(M518,职业!$A$3:$E$16,4,FALSE),0),"")</f>
        <v/>
      </c>
      <c r="AI518" t="str">
        <f>IFERROR(O518&amp;"*"&amp;ROUND(S518*(P518/$AO518)/VLOOKUP(O518,职业!$A$3:$E$16,4,FALSE),0),"")</f>
        <v/>
      </c>
      <c r="AK518" t="str">
        <f>IFERROR(T518&amp;"*"&amp;ROUND(X518*(U518/$AP518)/VLOOKUP(T518,商品!$A$4:$D$67,4,FALSE),0),"")</f>
        <v/>
      </c>
      <c r="AL518" t="str">
        <f>IFERROR(V518&amp;"*"&amp;ROUND(X518*(W518/$AP518)/VLOOKUP(V518,商品!$A$4:$D$67,4,FALSE),0),"")</f>
        <v/>
      </c>
      <c r="AN518">
        <f t="shared" ref="AN518:AN581" si="69">G518+I518+K518</f>
        <v>0</v>
      </c>
      <c r="AO518">
        <f t="shared" ref="AO518:AO581" si="70">N518+P518+R518</f>
        <v>0</v>
      </c>
      <c r="AP518">
        <f t="shared" ref="AP518:AP581" si="71">U518+W518</f>
        <v>0</v>
      </c>
    </row>
    <row r="519" customHeight="1" spans="1:42">
      <c r="A519" s="18" t="s">
        <v>384</v>
      </c>
      <c r="C519" s="18">
        <v>3</v>
      </c>
      <c r="D519" s="1" t="s">
        <v>293</v>
      </c>
      <c r="E519" s="1" t="s">
        <v>227</v>
      </c>
      <c r="L519" s="1">
        <f>IFERROR(VLOOKUP($D519&amp;$C519,生产方式定位!$A$2:$E$38,2,FALSE)+VLOOKUP($E519&amp;$C519,生产方式定位!$F$3:$J$38,2,FALSE),0)</f>
        <v>0</v>
      </c>
      <c r="S519" s="1">
        <f>IFERROR(VLOOKUP($D519&amp;$C519,生产方式定位!$A$2:$E$38,3,FALSE)+VLOOKUP($E519&amp;$C519,生产方式定位!$F$3:$J$38,3,FALSE),0)</f>
        <v>0</v>
      </c>
      <c r="X519" s="1">
        <f>IFERROR(VLOOKUP($D519&amp;$C519,生产方式定位!$A$2:$E$38,5,FALSE)+VLOOKUP($E519&amp;$C519,生产方式定位!$F$3:$J$38,5,FALSE),"错误")</f>
        <v>0</v>
      </c>
      <c r="Y519" s="27" t="str">
        <f t="shared" si="64"/>
        <v/>
      </c>
      <c r="Z519" s="37" t="str">
        <f t="shared" si="65"/>
        <v/>
      </c>
      <c r="AA519" s="37" t="str">
        <f t="shared" si="66"/>
        <v/>
      </c>
      <c r="AB519" s="28" t="str">
        <f t="shared" si="67"/>
        <v/>
      </c>
      <c r="AC519" s="37"/>
      <c r="AD519" s="38">
        <f t="shared" si="68"/>
        <v>3</v>
      </c>
      <c r="AE519" t="str">
        <f>IFERROR(F519&amp;"*"&amp;ROUND(L519*(G519/$AN519)/VLOOKUP(F519,商品!$A$4:$D$67,4,FALSE),0),"")</f>
        <v/>
      </c>
      <c r="AF519" t="str">
        <f>IFERROR(H519&amp;"*"&amp;ROUND(L519*(I519/$AN519)/VLOOKUP(H519,商品!$A$4:$D$67,4,FALSE),0),"")</f>
        <v/>
      </c>
      <c r="AG519" t="str">
        <f>IFERROR(J519&amp;"*"&amp;ROUND(L519*(K519/$AN519)/VLOOKUP(J519,商品!$A$4:$D$67,4,FALSE),0),"")</f>
        <v/>
      </c>
      <c r="AH519" t="str">
        <f>IFERROR(M519&amp;"*"&amp;ROUND(S519*(N519/$AO519)/VLOOKUP(M519,职业!$A$3:$E$16,4,FALSE),0),"")</f>
        <v/>
      </c>
      <c r="AI519" t="str">
        <f>IFERROR(O519&amp;"*"&amp;ROUND(S519*(P519/$AO519)/VLOOKUP(O519,职业!$A$3:$E$16,4,FALSE),0),"")</f>
        <v/>
      </c>
      <c r="AK519" t="str">
        <f>IFERROR(T519&amp;"*"&amp;ROUND(X519*(U519/$AP519)/VLOOKUP(T519,商品!$A$4:$D$67,4,FALSE),0),"")</f>
        <v/>
      </c>
      <c r="AL519" t="str">
        <f>IFERROR(V519&amp;"*"&amp;ROUND(X519*(W519/$AP519)/VLOOKUP(V519,商品!$A$4:$D$67,4,FALSE),0),"")</f>
        <v/>
      </c>
      <c r="AN519">
        <f t="shared" si="69"/>
        <v>0</v>
      </c>
      <c r="AO519">
        <f t="shared" si="70"/>
        <v>0</v>
      </c>
      <c r="AP519">
        <f t="shared" si="71"/>
        <v>0</v>
      </c>
    </row>
    <row r="520" customHeight="1" spans="1:42">
      <c r="A520" s="18" t="s">
        <v>384</v>
      </c>
      <c r="C520" s="18">
        <v>4</v>
      </c>
      <c r="D520" s="1" t="s">
        <v>293</v>
      </c>
      <c r="E520" s="1" t="s">
        <v>227</v>
      </c>
      <c r="L520" s="1">
        <f>IFERROR(VLOOKUP($D520&amp;$C520,生产方式定位!$A$2:$E$38,2,FALSE)+VLOOKUP($E520&amp;$C520,生产方式定位!$F$3:$J$38,2,FALSE),0)</f>
        <v>0</v>
      </c>
      <c r="S520" s="1">
        <f>IFERROR(VLOOKUP($D520&amp;$C520,生产方式定位!$A$2:$E$38,3,FALSE)+VLOOKUP($E520&amp;$C520,生产方式定位!$F$3:$J$38,3,FALSE),0)</f>
        <v>0</v>
      </c>
      <c r="X520" s="1">
        <f>IFERROR(VLOOKUP($D520&amp;$C520,生产方式定位!$A$2:$E$38,5,FALSE)+VLOOKUP($E520&amp;$C520,生产方式定位!$F$3:$J$38,5,FALSE),"错误")</f>
        <v>0</v>
      </c>
      <c r="Y520" s="27" t="str">
        <f t="shared" si="64"/>
        <v/>
      </c>
      <c r="Z520" s="37" t="str">
        <f t="shared" si="65"/>
        <v/>
      </c>
      <c r="AA520" s="37" t="str">
        <f t="shared" si="66"/>
        <v/>
      </c>
      <c r="AB520" s="28" t="str">
        <f t="shared" si="67"/>
        <v/>
      </c>
      <c r="AC520" s="37"/>
      <c r="AD520" s="38">
        <f t="shared" si="68"/>
        <v>4</v>
      </c>
      <c r="AE520" t="str">
        <f>IFERROR(F520&amp;"*"&amp;ROUND(L520*(G520/$AN520)/VLOOKUP(F520,商品!$A$4:$D$67,4,FALSE),0),"")</f>
        <v/>
      </c>
      <c r="AF520" t="str">
        <f>IFERROR(H520&amp;"*"&amp;ROUND(L520*(I520/$AN520)/VLOOKUP(H520,商品!$A$4:$D$67,4,FALSE),0),"")</f>
        <v/>
      </c>
      <c r="AG520" t="str">
        <f>IFERROR(J520&amp;"*"&amp;ROUND(L520*(K520/$AN520)/VLOOKUP(J520,商品!$A$4:$D$67,4,FALSE),0),"")</f>
        <v/>
      </c>
      <c r="AH520" t="str">
        <f>IFERROR(M520&amp;"*"&amp;ROUND(S520*(N520/$AO520)/VLOOKUP(M520,职业!$A$3:$E$16,4,FALSE),0),"")</f>
        <v/>
      </c>
      <c r="AI520" t="str">
        <f>IFERROR(O520&amp;"*"&amp;ROUND(S520*(P520/$AO520)/VLOOKUP(O520,职业!$A$3:$E$16,4,FALSE),0),"")</f>
        <v/>
      </c>
      <c r="AK520" t="str">
        <f>IFERROR(T520&amp;"*"&amp;ROUND(X520*(U520/$AP520)/VLOOKUP(T520,商品!$A$4:$D$67,4,FALSE),0),"")</f>
        <v/>
      </c>
      <c r="AL520" t="str">
        <f>IFERROR(V520&amp;"*"&amp;ROUND(X520*(W520/$AP520)/VLOOKUP(V520,商品!$A$4:$D$67,4,FALSE),0),"")</f>
        <v/>
      </c>
      <c r="AN520">
        <f t="shared" si="69"/>
        <v>0</v>
      </c>
      <c r="AO520">
        <f t="shared" si="70"/>
        <v>0</v>
      </c>
      <c r="AP520">
        <f t="shared" si="71"/>
        <v>0</v>
      </c>
    </row>
    <row r="521" customHeight="1" spans="1:42">
      <c r="A521" s="18" t="s">
        <v>384</v>
      </c>
      <c r="C521" s="18">
        <v>5</v>
      </c>
      <c r="D521" s="1" t="s">
        <v>293</v>
      </c>
      <c r="E521" s="1" t="s">
        <v>227</v>
      </c>
      <c r="L521" s="1">
        <f>IFERROR(VLOOKUP($D521&amp;$C521,生产方式定位!$A$2:$E$38,2,FALSE)+VLOOKUP($E521&amp;$C521,生产方式定位!$F$3:$J$38,2,FALSE),0)</f>
        <v>0</v>
      </c>
      <c r="S521" s="1">
        <f>IFERROR(VLOOKUP($D521&amp;$C521,生产方式定位!$A$2:$E$38,3,FALSE)+VLOOKUP($E521&amp;$C521,生产方式定位!$F$3:$J$38,3,FALSE),0)</f>
        <v>0</v>
      </c>
      <c r="X521" s="1">
        <f>IFERROR(VLOOKUP($D521&amp;$C521,生产方式定位!$A$2:$E$38,5,FALSE)+VLOOKUP($E521&amp;$C521,生产方式定位!$F$3:$J$38,5,FALSE),"错误")</f>
        <v>0</v>
      </c>
      <c r="Y521" s="27" t="str">
        <f t="shared" si="64"/>
        <v/>
      </c>
      <c r="Z521" s="37" t="str">
        <f t="shared" si="65"/>
        <v/>
      </c>
      <c r="AA521" s="37" t="str">
        <f t="shared" si="66"/>
        <v/>
      </c>
      <c r="AB521" s="28" t="str">
        <f t="shared" si="67"/>
        <v/>
      </c>
      <c r="AC521" s="37"/>
      <c r="AD521" s="38">
        <f t="shared" si="68"/>
        <v>5</v>
      </c>
      <c r="AE521" t="str">
        <f>IFERROR(F521&amp;"*"&amp;ROUND(L521*(G521/$AN521)/VLOOKUP(F521,商品!$A$4:$D$67,4,FALSE),0),"")</f>
        <v/>
      </c>
      <c r="AF521" t="str">
        <f>IFERROR(H521&amp;"*"&amp;ROUND(L521*(I521/$AN521)/VLOOKUP(H521,商品!$A$4:$D$67,4,FALSE),0),"")</f>
        <v/>
      </c>
      <c r="AG521" t="str">
        <f>IFERROR(J521&amp;"*"&amp;ROUND(L521*(K521/$AN521)/VLOOKUP(J521,商品!$A$4:$D$67,4,FALSE),0),"")</f>
        <v/>
      </c>
      <c r="AH521" t="str">
        <f>IFERROR(M521&amp;"*"&amp;ROUND(S521*(N521/$AO521)/VLOOKUP(M521,职业!$A$3:$E$16,4,FALSE),0),"")</f>
        <v/>
      </c>
      <c r="AI521" t="str">
        <f>IFERROR(O521&amp;"*"&amp;ROUND(S521*(P521/$AO521)/VLOOKUP(O521,职业!$A$3:$E$16,4,FALSE),0),"")</f>
        <v/>
      </c>
      <c r="AK521" t="str">
        <f>IFERROR(T521&amp;"*"&amp;ROUND(X521*(U521/$AP521)/VLOOKUP(T521,商品!$A$4:$D$67,4,FALSE),0),"")</f>
        <v/>
      </c>
      <c r="AL521" t="str">
        <f>IFERROR(V521&amp;"*"&amp;ROUND(X521*(W521/$AP521)/VLOOKUP(V521,商品!$A$4:$D$67,4,FALSE),0),"")</f>
        <v/>
      </c>
      <c r="AN521">
        <f t="shared" si="69"/>
        <v>0</v>
      </c>
      <c r="AO521">
        <f t="shared" si="70"/>
        <v>0</v>
      </c>
      <c r="AP521">
        <f t="shared" si="71"/>
        <v>0</v>
      </c>
    </row>
    <row r="522" customHeight="1" spans="1:42">
      <c r="A522" s="5" t="s">
        <v>386</v>
      </c>
      <c r="C522" s="5">
        <v>1</v>
      </c>
      <c r="D522" s="1" t="s">
        <v>249</v>
      </c>
      <c r="E522" s="1" t="s">
        <v>224</v>
      </c>
      <c r="L522" s="1">
        <f>IFERROR(VLOOKUP($D522&amp;$C522,生产方式定位!$A$2:$E$38,2,FALSE)+VLOOKUP($E522&amp;$C522,生产方式定位!$F$3:$J$38,2,FALSE),0)</f>
        <v>0</v>
      </c>
      <c r="S522" s="1">
        <f>IFERROR(VLOOKUP($D522&amp;$C522,生产方式定位!$A$2:$E$38,3,FALSE)+VLOOKUP($E522&amp;$C522,生产方式定位!$F$3:$J$38,3,FALSE),0)</f>
        <v>10000</v>
      </c>
      <c r="X522" s="1">
        <f>IFERROR(VLOOKUP($D522&amp;$C522,生产方式定位!$A$2:$E$38,5,FALSE)+VLOOKUP($E522&amp;$C522,生产方式定位!$F$3:$J$38,5,FALSE),"错误")</f>
        <v>15000</v>
      </c>
      <c r="Y522" s="27" t="str">
        <f t="shared" si="64"/>
        <v/>
      </c>
      <c r="Z522" s="37" t="str">
        <f t="shared" si="65"/>
        <v/>
      </c>
      <c r="AA522" s="37" t="str">
        <f t="shared" si="66"/>
        <v/>
      </c>
      <c r="AB522" s="28">
        <f t="shared" si="67"/>
        <v>0</v>
      </c>
      <c r="AC522" s="37"/>
      <c r="AD522" s="38">
        <f t="shared" si="68"/>
        <v>1</v>
      </c>
      <c r="AE522" t="str">
        <f>IFERROR(F522&amp;"*"&amp;ROUND(L522*(G522/$AN522)/VLOOKUP(F522,商品!$A$4:$D$67,4,FALSE),0),"")</f>
        <v/>
      </c>
      <c r="AF522" t="str">
        <f>IFERROR(H522&amp;"*"&amp;ROUND(L522*(I522/$AN522)/VLOOKUP(H522,商品!$A$4:$D$67,4,FALSE),0),"")</f>
        <v/>
      </c>
      <c r="AG522" t="str">
        <f>IFERROR(J522&amp;"*"&amp;ROUND(L522*(K522/$AN522)/VLOOKUP(J522,商品!$A$4:$D$67,4,FALSE),0),"")</f>
        <v/>
      </c>
      <c r="AH522" t="str">
        <f>IFERROR(M522&amp;"*"&amp;ROUND(S522*(N522/$AO522)/VLOOKUP(M522,职业!$A$3:$E$16,4,FALSE),0),"")</f>
        <v/>
      </c>
      <c r="AI522" t="str">
        <f>IFERROR(O522&amp;"*"&amp;ROUND(S522*(P522/$AO522)/VLOOKUP(O522,职业!$A$3:$E$16,4,FALSE),0),"")</f>
        <v/>
      </c>
      <c r="AK522" t="str">
        <f>IFERROR(T522&amp;"*"&amp;ROUND(X522*(U522/$AP522)/VLOOKUP(T522,商品!$A$4:$D$67,4,FALSE),0),"")</f>
        <v/>
      </c>
      <c r="AL522" t="str">
        <f>IFERROR(V522&amp;"*"&amp;ROUND(X522*(W522/$AP522)/VLOOKUP(V522,商品!$A$4:$D$67,4,FALSE),0),"")</f>
        <v/>
      </c>
      <c r="AN522">
        <f t="shared" si="69"/>
        <v>0</v>
      </c>
      <c r="AO522">
        <f t="shared" si="70"/>
        <v>0</v>
      </c>
      <c r="AP522">
        <f t="shared" si="71"/>
        <v>0</v>
      </c>
    </row>
    <row r="523" customHeight="1" spans="1:42">
      <c r="A523" s="5" t="s">
        <v>386</v>
      </c>
      <c r="C523" s="5">
        <v>2</v>
      </c>
      <c r="D523" s="1" t="s">
        <v>249</v>
      </c>
      <c r="E523" s="1" t="s">
        <v>224</v>
      </c>
      <c r="L523" s="1">
        <f>IFERROR(VLOOKUP($D523&amp;$C523,生产方式定位!$A$2:$E$38,2,FALSE)+VLOOKUP($E523&amp;$C523,生产方式定位!$F$3:$J$38,2,FALSE),0)</f>
        <v>18500</v>
      </c>
      <c r="S523" s="1">
        <f>IFERROR(VLOOKUP($D523&amp;$C523,生产方式定位!$A$2:$E$38,3,FALSE)+VLOOKUP($E523&amp;$C523,生产方式定位!$F$3:$J$38,3,FALSE),0)</f>
        <v>9200</v>
      </c>
      <c r="X523" s="1">
        <f>IFERROR(VLOOKUP($D523&amp;$C523,生产方式定位!$A$2:$E$38,5,FALSE)+VLOOKUP($E523&amp;$C523,生产方式定位!$F$3:$J$38,5,FALSE),"错误")</f>
        <v>13922</v>
      </c>
      <c r="Y523" s="27" t="str">
        <f t="shared" si="64"/>
        <v/>
      </c>
      <c r="Z523" s="37" t="str">
        <f t="shared" si="65"/>
        <v/>
      </c>
      <c r="AA523" s="37" t="str">
        <f t="shared" si="66"/>
        <v/>
      </c>
      <c r="AB523" s="28">
        <f t="shared" si="67"/>
        <v>1.33</v>
      </c>
      <c r="AC523" s="37"/>
      <c r="AD523" s="38">
        <f t="shared" si="68"/>
        <v>2</v>
      </c>
      <c r="AE523" t="str">
        <f>IFERROR(F523&amp;"*"&amp;ROUND(L523*(G523/$AN523)/VLOOKUP(F523,商品!$A$4:$D$67,4,FALSE),0),"")</f>
        <v/>
      </c>
      <c r="AF523" t="str">
        <f>IFERROR(H523&amp;"*"&amp;ROUND(L523*(I523/$AN523)/VLOOKUP(H523,商品!$A$4:$D$67,4,FALSE),0),"")</f>
        <v/>
      </c>
      <c r="AG523" t="str">
        <f>IFERROR(J523&amp;"*"&amp;ROUND(L523*(K523/$AN523)/VLOOKUP(J523,商品!$A$4:$D$67,4,FALSE),0),"")</f>
        <v/>
      </c>
      <c r="AH523" t="str">
        <f>IFERROR(M523&amp;"*"&amp;ROUND(S523*(N523/$AO523)/VLOOKUP(M523,职业!$A$3:$E$16,4,FALSE),0),"")</f>
        <v/>
      </c>
      <c r="AI523" t="str">
        <f>IFERROR(O523&amp;"*"&amp;ROUND(S523*(P523/$AO523)/VLOOKUP(O523,职业!$A$3:$E$16,4,FALSE),0),"")</f>
        <v/>
      </c>
      <c r="AK523" t="str">
        <f>IFERROR(T523&amp;"*"&amp;ROUND(X523*(U523/$AP523)/VLOOKUP(T523,商品!$A$4:$D$67,4,FALSE),0),"")</f>
        <v/>
      </c>
      <c r="AL523" t="str">
        <f>IFERROR(V523&amp;"*"&amp;ROUND(X523*(W523/$AP523)/VLOOKUP(V523,商品!$A$4:$D$67,4,FALSE),0),"")</f>
        <v/>
      </c>
      <c r="AN523">
        <f t="shared" si="69"/>
        <v>0</v>
      </c>
      <c r="AO523">
        <f t="shared" si="70"/>
        <v>0</v>
      </c>
      <c r="AP523">
        <f t="shared" si="71"/>
        <v>0</v>
      </c>
    </row>
    <row r="524" customHeight="1" spans="1:42">
      <c r="A524" s="5" t="s">
        <v>386</v>
      </c>
      <c r="C524" s="5">
        <v>3</v>
      </c>
      <c r="D524" s="1" t="s">
        <v>249</v>
      </c>
      <c r="E524" s="1" t="s">
        <v>224</v>
      </c>
      <c r="L524" s="1">
        <f>IFERROR(VLOOKUP($D524&amp;$C524,生产方式定位!$A$2:$E$38,2,FALSE)+VLOOKUP($E524&amp;$C524,生产方式定位!$F$3:$J$38,2,FALSE),0)</f>
        <v>17000</v>
      </c>
      <c r="S524" s="1">
        <f>IFERROR(VLOOKUP($D524&amp;$C524,生产方式定位!$A$2:$E$38,3,FALSE)+VLOOKUP($E524&amp;$C524,生产方式定位!$F$3:$J$38,3,FALSE),0)</f>
        <v>8400</v>
      </c>
      <c r="X524" s="1">
        <f>IFERROR(VLOOKUP($D524&amp;$C524,生产方式定位!$A$2:$E$38,5,FALSE)+VLOOKUP($E524&amp;$C524,生产方式定位!$F$3:$J$38,5,FALSE),"错误")</f>
        <v>12988</v>
      </c>
      <c r="Y524" s="27" t="str">
        <f t="shared" si="64"/>
        <v/>
      </c>
      <c r="Z524" s="37" t="str">
        <f t="shared" si="65"/>
        <v/>
      </c>
      <c r="AA524" s="37" t="str">
        <f t="shared" si="66"/>
        <v/>
      </c>
      <c r="AB524" s="28">
        <f t="shared" si="67"/>
        <v>1.31</v>
      </c>
      <c r="AC524" s="37"/>
      <c r="AD524" s="38">
        <f t="shared" si="68"/>
        <v>3</v>
      </c>
      <c r="AE524" t="str">
        <f>IFERROR(F524&amp;"*"&amp;ROUND(L524*(G524/$AN524)/VLOOKUP(F524,商品!$A$4:$D$67,4,FALSE),0),"")</f>
        <v/>
      </c>
      <c r="AF524" t="str">
        <f>IFERROR(H524&amp;"*"&amp;ROUND(L524*(I524/$AN524)/VLOOKUP(H524,商品!$A$4:$D$67,4,FALSE),0),"")</f>
        <v/>
      </c>
      <c r="AG524" t="str">
        <f>IFERROR(J524&amp;"*"&amp;ROUND(L524*(K524/$AN524)/VLOOKUP(J524,商品!$A$4:$D$67,4,FALSE),0),"")</f>
        <v/>
      </c>
      <c r="AH524" t="str">
        <f>IFERROR(M524&amp;"*"&amp;ROUND(S524*(N524/$AO524)/VLOOKUP(M524,职业!$A$3:$E$16,4,FALSE),0),"")</f>
        <v/>
      </c>
      <c r="AI524" t="str">
        <f>IFERROR(O524&amp;"*"&amp;ROUND(S524*(P524/$AO524)/VLOOKUP(O524,职业!$A$3:$E$16,4,FALSE),0),"")</f>
        <v/>
      </c>
      <c r="AK524" t="str">
        <f>IFERROR(T524&amp;"*"&amp;ROUND(X524*(U524/$AP524)/VLOOKUP(T524,商品!$A$4:$D$67,4,FALSE),0),"")</f>
        <v/>
      </c>
      <c r="AL524" t="str">
        <f>IFERROR(V524&amp;"*"&amp;ROUND(X524*(W524/$AP524)/VLOOKUP(V524,商品!$A$4:$D$67,4,FALSE),0),"")</f>
        <v/>
      </c>
      <c r="AN524">
        <f t="shared" si="69"/>
        <v>0</v>
      </c>
      <c r="AO524">
        <f t="shared" si="70"/>
        <v>0</v>
      </c>
      <c r="AP524">
        <f t="shared" si="71"/>
        <v>0</v>
      </c>
    </row>
    <row r="525" customHeight="1" spans="1:42">
      <c r="A525" s="5" t="s">
        <v>386</v>
      </c>
      <c r="C525" s="5">
        <v>4</v>
      </c>
      <c r="D525" s="1" t="s">
        <v>249</v>
      </c>
      <c r="E525" s="1" t="s">
        <v>224</v>
      </c>
      <c r="L525" s="1">
        <f>IFERROR(VLOOKUP($D525&amp;$C525,生产方式定位!$A$2:$E$38,2,FALSE)+VLOOKUP($E525&amp;$C525,生产方式定位!$F$3:$J$38,2,FALSE),0)</f>
        <v>15500</v>
      </c>
      <c r="S525" s="1">
        <f>IFERROR(VLOOKUP($D525&amp;$C525,生产方式定位!$A$2:$E$38,3,FALSE)+VLOOKUP($E525&amp;$C525,生产方式定位!$F$3:$J$38,3,FALSE),0)</f>
        <v>7600</v>
      </c>
      <c r="X525" s="1">
        <f>IFERROR(VLOOKUP($D525&amp;$C525,生产方式定位!$A$2:$E$38,5,FALSE)+VLOOKUP($E525&amp;$C525,生产方式定位!$F$3:$J$38,5,FALSE),"错误")</f>
        <v>12198</v>
      </c>
      <c r="Y525" s="27" t="str">
        <f t="shared" si="64"/>
        <v/>
      </c>
      <c r="Z525" s="37" t="str">
        <f t="shared" si="65"/>
        <v/>
      </c>
      <c r="AA525" s="37" t="str">
        <f t="shared" si="66"/>
        <v/>
      </c>
      <c r="AB525" s="28">
        <f t="shared" si="67"/>
        <v>1.27</v>
      </c>
      <c r="AC525" s="37"/>
      <c r="AD525" s="38">
        <f t="shared" si="68"/>
        <v>4</v>
      </c>
      <c r="AE525" t="str">
        <f>IFERROR(F525&amp;"*"&amp;ROUND(L525*(G525/$AN525)/VLOOKUP(F525,商品!$A$4:$D$67,4,FALSE),0),"")</f>
        <v/>
      </c>
      <c r="AF525" t="str">
        <f>IFERROR(H525&amp;"*"&amp;ROUND(L525*(I525/$AN525)/VLOOKUP(H525,商品!$A$4:$D$67,4,FALSE),0),"")</f>
        <v/>
      </c>
      <c r="AG525" t="str">
        <f>IFERROR(J525&amp;"*"&amp;ROUND(L525*(K525/$AN525)/VLOOKUP(J525,商品!$A$4:$D$67,4,FALSE),0),"")</f>
        <v/>
      </c>
      <c r="AH525" t="str">
        <f>IFERROR(M525&amp;"*"&amp;ROUND(S525*(N525/$AO525)/VLOOKUP(M525,职业!$A$3:$E$16,4,FALSE),0),"")</f>
        <v/>
      </c>
      <c r="AI525" t="str">
        <f>IFERROR(O525&amp;"*"&amp;ROUND(S525*(P525/$AO525)/VLOOKUP(O525,职业!$A$3:$E$16,4,FALSE),0),"")</f>
        <v/>
      </c>
      <c r="AK525" t="str">
        <f>IFERROR(T525&amp;"*"&amp;ROUND(X525*(U525/$AP525)/VLOOKUP(T525,商品!$A$4:$D$67,4,FALSE),0),"")</f>
        <v/>
      </c>
      <c r="AL525" t="str">
        <f>IFERROR(V525&amp;"*"&amp;ROUND(X525*(W525/$AP525)/VLOOKUP(V525,商品!$A$4:$D$67,4,FALSE),0),"")</f>
        <v/>
      </c>
      <c r="AN525">
        <f t="shared" si="69"/>
        <v>0</v>
      </c>
      <c r="AO525">
        <f t="shared" si="70"/>
        <v>0</v>
      </c>
      <c r="AP525">
        <f t="shared" si="71"/>
        <v>0</v>
      </c>
    </row>
    <row r="526" customHeight="1" spans="1:42">
      <c r="A526" s="5" t="s">
        <v>386</v>
      </c>
      <c r="C526" s="5">
        <v>5</v>
      </c>
      <c r="D526" s="1" t="s">
        <v>249</v>
      </c>
      <c r="E526" s="1" t="s">
        <v>224</v>
      </c>
      <c r="L526" s="1">
        <f>IFERROR(VLOOKUP($D526&amp;$C526,生产方式定位!$A$2:$E$38,2,FALSE)+VLOOKUP($E526&amp;$C526,生产方式定位!$F$3:$J$38,2,FALSE),0)</f>
        <v>14000</v>
      </c>
      <c r="S526" s="1">
        <f>IFERROR(VLOOKUP($D526&amp;$C526,生产方式定位!$A$2:$E$38,3,FALSE)+VLOOKUP($E526&amp;$C526,生产方式定位!$F$3:$J$38,3,FALSE),0)</f>
        <v>6800</v>
      </c>
      <c r="X526" s="1">
        <f>IFERROR(VLOOKUP($D526&amp;$C526,生产方式定位!$A$2:$E$38,5,FALSE)+VLOOKUP($E526&amp;$C526,生产方式定位!$F$3:$J$38,5,FALSE),"错误")</f>
        <v>11600</v>
      </c>
      <c r="Y526" s="27" t="str">
        <f t="shared" si="64"/>
        <v/>
      </c>
      <c r="Z526" s="37" t="str">
        <f t="shared" si="65"/>
        <v/>
      </c>
      <c r="AA526" s="37" t="str">
        <f t="shared" si="66"/>
        <v/>
      </c>
      <c r="AB526" s="28">
        <f t="shared" si="67"/>
        <v>1.21</v>
      </c>
      <c r="AC526" s="37"/>
      <c r="AD526" s="38">
        <f t="shared" si="68"/>
        <v>5</v>
      </c>
      <c r="AE526" t="str">
        <f>IFERROR(F526&amp;"*"&amp;ROUND(L526*(G526/$AN526)/VLOOKUP(F526,商品!$A$4:$D$67,4,FALSE),0),"")</f>
        <v/>
      </c>
      <c r="AF526" t="str">
        <f>IFERROR(H526&amp;"*"&amp;ROUND(L526*(I526/$AN526)/VLOOKUP(H526,商品!$A$4:$D$67,4,FALSE),0),"")</f>
        <v/>
      </c>
      <c r="AG526" t="str">
        <f>IFERROR(J526&amp;"*"&amp;ROUND(L526*(K526/$AN526)/VLOOKUP(J526,商品!$A$4:$D$67,4,FALSE),0),"")</f>
        <v/>
      </c>
      <c r="AH526" t="str">
        <f>IFERROR(M526&amp;"*"&amp;ROUND(S526*(N526/$AO526)/VLOOKUP(M526,职业!$A$3:$E$16,4,FALSE),0),"")</f>
        <v/>
      </c>
      <c r="AI526" t="str">
        <f>IFERROR(O526&amp;"*"&amp;ROUND(S526*(P526/$AO526)/VLOOKUP(O526,职业!$A$3:$E$16,4,FALSE),0),"")</f>
        <v/>
      </c>
      <c r="AK526" t="str">
        <f>IFERROR(T526&amp;"*"&amp;ROUND(X526*(U526/$AP526)/VLOOKUP(T526,商品!$A$4:$D$67,4,FALSE),0),"")</f>
        <v/>
      </c>
      <c r="AL526" t="str">
        <f>IFERROR(V526&amp;"*"&amp;ROUND(X526*(W526/$AP526)/VLOOKUP(V526,商品!$A$4:$D$67,4,FALSE),0),"")</f>
        <v/>
      </c>
      <c r="AN526">
        <f t="shared" si="69"/>
        <v>0</v>
      </c>
      <c r="AO526">
        <f t="shared" si="70"/>
        <v>0</v>
      </c>
      <c r="AP526">
        <f t="shared" si="71"/>
        <v>0</v>
      </c>
    </row>
    <row r="527" customHeight="1" spans="1:42">
      <c r="A527" s="18" t="s">
        <v>387</v>
      </c>
      <c r="C527" s="18">
        <v>1</v>
      </c>
      <c r="D527" s="1" t="s">
        <v>293</v>
      </c>
      <c r="E527" s="1" t="s">
        <v>227</v>
      </c>
      <c r="L527" s="1">
        <f>IFERROR(VLOOKUP($D527&amp;$C527,生产方式定位!$A$2:$E$38,2,FALSE)+VLOOKUP($E527&amp;$C527,生产方式定位!$F$3:$J$38,2,FALSE),0)</f>
        <v>0</v>
      </c>
      <c r="S527" s="1">
        <f>IFERROR(VLOOKUP($D527&amp;$C527,生产方式定位!$A$2:$E$38,3,FALSE)+VLOOKUP($E527&amp;$C527,生产方式定位!$F$3:$J$38,3,FALSE),0)</f>
        <v>0</v>
      </c>
      <c r="X527" s="1">
        <f>IFERROR(VLOOKUP($D527&amp;$C527,生产方式定位!$A$2:$E$38,5,FALSE)+VLOOKUP($E527&amp;$C527,生产方式定位!$F$3:$J$38,5,FALSE),"错误")</f>
        <v>0</v>
      </c>
      <c r="Y527" s="27" t="str">
        <f t="shared" si="64"/>
        <v/>
      </c>
      <c r="Z527" s="37" t="str">
        <f t="shared" si="65"/>
        <v/>
      </c>
      <c r="AA527" s="37" t="str">
        <f t="shared" si="66"/>
        <v/>
      </c>
      <c r="AB527" s="28" t="str">
        <f t="shared" si="67"/>
        <v/>
      </c>
      <c r="AC527" s="37"/>
      <c r="AD527" s="38">
        <f t="shared" si="68"/>
        <v>1</v>
      </c>
      <c r="AE527" t="str">
        <f>IFERROR(F527&amp;"*"&amp;ROUND(L527*(G527/$AN527)/VLOOKUP(F527,商品!$A$4:$D$67,4,FALSE),0),"")</f>
        <v/>
      </c>
      <c r="AF527" t="str">
        <f>IFERROR(H527&amp;"*"&amp;ROUND(L527*(I527/$AN527)/VLOOKUP(H527,商品!$A$4:$D$67,4,FALSE),0),"")</f>
        <v/>
      </c>
      <c r="AG527" t="str">
        <f>IFERROR(J527&amp;"*"&amp;ROUND(L527*(K527/$AN527)/VLOOKUP(J527,商品!$A$4:$D$67,4,FALSE),0),"")</f>
        <v/>
      </c>
      <c r="AH527" t="str">
        <f>IFERROR(M527&amp;"*"&amp;ROUND(S527*(N527/$AO527)/VLOOKUP(M527,职业!$A$3:$E$16,4,FALSE),0),"")</f>
        <v/>
      </c>
      <c r="AI527" t="str">
        <f>IFERROR(O527&amp;"*"&amp;ROUND(S527*(P527/$AO527)/VLOOKUP(O527,职业!$A$3:$E$16,4,FALSE),0),"")</f>
        <v/>
      </c>
      <c r="AK527" t="str">
        <f>IFERROR(T527&amp;"*"&amp;ROUND(X527*(U527/$AP527)/VLOOKUP(T527,商品!$A$4:$D$67,4,FALSE),0),"")</f>
        <v/>
      </c>
      <c r="AL527" t="str">
        <f>IFERROR(V527&amp;"*"&amp;ROUND(X527*(W527/$AP527)/VLOOKUP(V527,商品!$A$4:$D$67,4,FALSE),0),"")</f>
        <v/>
      </c>
      <c r="AN527">
        <f t="shared" si="69"/>
        <v>0</v>
      </c>
      <c r="AO527">
        <f t="shared" si="70"/>
        <v>0</v>
      </c>
      <c r="AP527">
        <f t="shared" si="71"/>
        <v>0</v>
      </c>
    </row>
    <row r="528" customHeight="1" spans="1:42">
      <c r="A528" s="18" t="s">
        <v>387</v>
      </c>
      <c r="C528" s="18">
        <v>2</v>
      </c>
      <c r="D528" s="1" t="s">
        <v>293</v>
      </c>
      <c r="E528" s="1" t="s">
        <v>227</v>
      </c>
      <c r="L528" s="1">
        <f>IFERROR(VLOOKUP($D528&amp;$C528,生产方式定位!$A$2:$E$38,2,FALSE)+VLOOKUP($E528&amp;$C528,生产方式定位!$F$3:$J$38,2,FALSE),0)</f>
        <v>0</v>
      </c>
      <c r="S528" s="1">
        <f>IFERROR(VLOOKUP($D528&amp;$C528,生产方式定位!$A$2:$E$38,3,FALSE)+VLOOKUP($E528&amp;$C528,生产方式定位!$F$3:$J$38,3,FALSE),0)</f>
        <v>0</v>
      </c>
      <c r="X528" s="1">
        <f>IFERROR(VLOOKUP($D528&amp;$C528,生产方式定位!$A$2:$E$38,5,FALSE)+VLOOKUP($E528&amp;$C528,生产方式定位!$F$3:$J$38,5,FALSE),"错误")</f>
        <v>0</v>
      </c>
      <c r="Y528" s="27" t="str">
        <f t="shared" si="64"/>
        <v/>
      </c>
      <c r="Z528" s="37" t="str">
        <f t="shared" si="65"/>
        <v/>
      </c>
      <c r="AA528" s="37" t="str">
        <f t="shared" si="66"/>
        <v/>
      </c>
      <c r="AB528" s="28" t="str">
        <f t="shared" si="67"/>
        <v/>
      </c>
      <c r="AC528" s="37"/>
      <c r="AD528" s="38">
        <f t="shared" si="68"/>
        <v>2</v>
      </c>
      <c r="AE528" t="str">
        <f>IFERROR(F528&amp;"*"&amp;ROUND(L528*(G528/$AN528)/VLOOKUP(F528,商品!$A$4:$D$67,4,FALSE),0),"")</f>
        <v/>
      </c>
      <c r="AF528" t="str">
        <f>IFERROR(H528&amp;"*"&amp;ROUND(L528*(I528/$AN528)/VLOOKUP(H528,商品!$A$4:$D$67,4,FALSE),0),"")</f>
        <v/>
      </c>
      <c r="AG528" t="str">
        <f>IFERROR(J528&amp;"*"&amp;ROUND(L528*(K528/$AN528)/VLOOKUP(J528,商品!$A$4:$D$67,4,FALSE),0),"")</f>
        <v/>
      </c>
      <c r="AH528" t="str">
        <f>IFERROR(M528&amp;"*"&amp;ROUND(S528*(N528/$AO528)/VLOOKUP(M528,职业!$A$3:$E$16,4,FALSE),0),"")</f>
        <v/>
      </c>
      <c r="AI528" t="str">
        <f>IFERROR(O528&amp;"*"&amp;ROUND(S528*(P528/$AO528)/VLOOKUP(O528,职业!$A$3:$E$16,4,FALSE),0),"")</f>
        <v/>
      </c>
      <c r="AK528" t="str">
        <f>IFERROR(T528&amp;"*"&amp;ROUND(X528*(U528/$AP528)/VLOOKUP(T528,商品!$A$4:$D$67,4,FALSE),0),"")</f>
        <v/>
      </c>
      <c r="AL528" t="str">
        <f>IFERROR(V528&amp;"*"&amp;ROUND(X528*(W528/$AP528)/VLOOKUP(V528,商品!$A$4:$D$67,4,FALSE),0),"")</f>
        <v/>
      </c>
      <c r="AN528">
        <f t="shared" si="69"/>
        <v>0</v>
      </c>
      <c r="AO528">
        <f t="shared" si="70"/>
        <v>0</v>
      </c>
      <c r="AP528">
        <f t="shared" si="71"/>
        <v>0</v>
      </c>
    </row>
    <row r="529" customHeight="1" spans="1:42">
      <c r="A529" s="18" t="s">
        <v>387</v>
      </c>
      <c r="C529" s="18">
        <v>3</v>
      </c>
      <c r="D529" s="1" t="s">
        <v>293</v>
      </c>
      <c r="E529" s="1" t="s">
        <v>227</v>
      </c>
      <c r="L529" s="1">
        <f>IFERROR(VLOOKUP($D529&amp;$C529,生产方式定位!$A$2:$E$38,2,FALSE)+VLOOKUP($E529&amp;$C529,生产方式定位!$F$3:$J$38,2,FALSE),0)</f>
        <v>0</v>
      </c>
      <c r="S529" s="1">
        <f>IFERROR(VLOOKUP($D529&amp;$C529,生产方式定位!$A$2:$E$38,3,FALSE)+VLOOKUP($E529&amp;$C529,生产方式定位!$F$3:$J$38,3,FALSE),0)</f>
        <v>0</v>
      </c>
      <c r="X529" s="1">
        <f>IFERROR(VLOOKUP($D529&amp;$C529,生产方式定位!$A$2:$E$38,5,FALSE)+VLOOKUP($E529&amp;$C529,生产方式定位!$F$3:$J$38,5,FALSE),"错误")</f>
        <v>0</v>
      </c>
      <c r="Y529" s="27" t="str">
        <f t="shared" si="64"/>
        <v/>
      </c>
      <c r="Z529" s="37" t="str">
        <f t="shared" si="65"/>
        <v/>
      </c>
      <c r="AA529" s="37" t="str">
        <f t="shared" si="66"/>
        <v/>
      </c>
      <c r="AB529" s="28" t="str">
        <f t="shared" si="67"/>
        <v/>
      </c>
      <c r="AC529" s="37"/>
      <c r="AD529" s="38">
        <f t="shared" si="68"/>
        <v>3</v>
      </c>
      <c r="AE529" t="str">
        <f>IFERROR(F529&amp;"*"&amp;ROUND(L529*(G529/$AN529)/VLOOKUP(F529,商品!$A$4:$D$67,4,FALSE),0),"")</f>
        <v/>
      </c>
      <c r="AF529" t="str">
        <f>IFERROR(H529&amp;"*"&amp;ROUND(L529*(I529/$AN529)/VLOOKUP(H529,商品!$A$4:$D$67,4,FALSE),0),"")</f>
        <v/>
      </c>
      <c r="AG529" t="str">
        <f>IFERROR(J529&amp;"*"&amp;ROUND(L529*(K529/$AN529)/VLOOKUP(J529,商品!$A$4:$D$67,4,FALSE),0),"")</f>
        <v/>
      </c>
      <c r="AH529" t="str">
        <f>IFERROR(M529&amp;"*"&amp;ROUND(S529*(N529/$AO529)/VLOOKUP(M529,职业!$A$3:$E$16,4,FALSE),0),"")</f>
        <v/>
      </c>
      <c r="AI529" t="str">
        <f>IFERROR(O529&amp;"*"&amp;ROUND(S529*(P529/$AO529)/VLOOKUP(O529,职业!$A$3:$E$16,4,FALSE),0),"")</f>
        <v/>
      </c>
      <c r="AK529" t="str">
        <f>IFERROR(T529&amp;"*"&amp;ROUND(X529*(U529/$AP529)/VLOOKUP(T529,商品!$A$4:$D$67,4,FALSE),0),"")</f>
        <v/>
      </c>
      <c r="AL529" t="str">
        <f>IFERROR(V529&amp;"*"&amp;ROUND(X529*(W529/$AP529)/VLOOKUP(V529,商品!$A$4:$D$67,4,FALSE),0),"")</f>
        <v/>
      </c>
      <c r="AN529">
        <f t="shared" si="69"/>
        <v>0</v>
      </c>
      <c r="AO529">
        <f t="shared" si="70"/>
        <v>0</v>
      </c>
      <c r="AP529">
        <f t="shared" si="71"/>
        <v>0</v>
      </c>
    </row>
    <row r="530" customHeight="1" spans="1:42">
      <c r="A530" s="18" t="s">
        <v>387</v>
      </c>
      <c r="C530" s="18">
        <v>4</v>
      </c>
      <c r="D530" s="1" t="s">
        <v>293</v>
      </c>
      <c r="E530" s="1" t="s">
        <v>227</v>
      </c>
      <c r="L530" s="1">
        <f>IFERROR(VLOOKUP($D530&amp;$C530,生产方式定位!$A$2:$E$38,2,FALSE)+VLOOKUP($E530&amp;$C530,生产方式定位!$F$3:$J$38,2,FALSE),0)</f>
        <v>0</v>
      </c>
      <c r="S530" s="1">
        <f>IFERROR(VLOOKUP($D530&amp;$C530,生产方式定位!$A$2:$E$38,3,FALSE)+VLOOKUP($E530&amp;$C530,生产方式定位!$F$3:$J$38,3,FALSE),0)</f>
        <v>0</v>
      </c>
      <c r="X530" s="1">
        <f>IFERROR(VLOOKUP($D530&amp;$C530,生产方式定位!$A$2:$E$38,5,FALSE)+VLOOKUP($E530&amp;$C530,生产方式定位!$F$3:$J$38,5,FALSE),"错误")</f>
        <v>0</v>
      </c>
      <c r="Y530" s="27" t="str">
        <f t="shared" si="64"/>
        <v/>
      </c>
      <c r="Z530" s="37" t="str">
        <f t="shared" si="65"/>
        <v/>
      </c>
      <c r="AA530" s="37" t="str">
        <f t="shared" si="66"/>
        <v/>
      </c>
      <c r="AB530" s="28" t="str">
        <f t="shared" si="67"/>
        <v/>
      </c>
      <c r="AC530" s="37"/>
      <c r="AD530" s="38">
        <f t="shared" si="68"/>
        <v>4</v>
      </c>
      <c r="AE530" t="str">
        <f>IFERROR(F530&amp;"*"&amp;ROUND(L530*(G530/$AN530)/VLOOKUP(F530,商品!$A$4:$D$67,4,FALSE),0),"")</f>
        <v/>
      </c>
      <c r="AF530" t="str">
        <f>IFERROR(H530&amp;"*"&amp;ROUND(L530*(I530/$AN530)/VLOOKUP(H530,商品!$A$4:$D$67,4,FALSE),0),"")</f>
        <v/>
      </c>
      <c r="AG530" t="str">
        <f>IFERROR(J530&amp;"*"&amp;ROUND(L530*(K530/$AN530)/VLOOKUP(J530,商品!$A$4:$D$67,4,FALSE),0),"")</f>
        <v/>
      </c>
      <c r="AH530" t="str">
        <f>IFERROR(M530&amp;"*"&amp;ROUND(S530*(N530/$AO530)/VLOOKUP(M530,职业!$A$3:$E$16,4,FALSE),0),"")</f>
        <v/>
      </c>
      <c r="AI530" t="str">
        <f>IFERROR(O530&amp;"*"&amp;ROUND(S530*(P530/$AO530)/VLOOKUP(O530,职业!$A$3:$E$16,4,FALSE),0),"")</f>
        <v/>
      </c>
      <c r="AK530" t="str">
        <f>IFERROR(T530&amp;"*"&amp;ROUND(X530*(U530/$AP530)/VLOOKUP(T530,商品!$A$4:$D$67,4,FALSE),0),"")</f>
        <v/>
      </c>
      <c r="AL530" t="str">
        <f>IFERROR(V530&amp;"*"&amp;ROUND(X530*(W530/$AP530)/VLOOKUP(V530,商品!$A$4:$D$67,4,FALSE),0),"")</f>
        <v/>
      </c>
      <c r="AN530">
        <f t="shared" si="69"/>
        <v>0</v>
      </c>
      <c r="AO530">
        <f t="shared" si="70"/>
        <v>0</v>
      </c>
      <c r="AP530">
        <f t="shared" si="71"/>
        <v>0</v>
      </c>
    </row>
    <row r="531" customHeight="1" spans="1:42">
      <c r="A531" s="18" t="s">
        <v>387</v>
      </c>
      <c r="C531" s="18">
        <v>5</v>
      </c>
      <c r="D531" s="1" t="s">
        <v>293</v>
      </c>
      <c r="E531" s="1" t="s">
        <v>227</v>
      </c>
      <c r="L531" s="1">
        <f>IFERROR(VLOOKUP($D531&amp;$C531,生产方式定位!$A$2:$E$38,2,FALSE)+VLOOKUP($E531&amp;$C531,生产方式定位!$F$3:$J$38,2,FALSE),0)</f>
        <v>0</v>
      </c>
      <c r="S531" s="1">
        <f>IFERROR(VLOOKUP($D531&amp;$C531,生产方式定位!$A$2:$E$38,3,FALSE)+VLOOKUP($E531&amp;$C531,生产方式定位!$F$3:$J$38,3,FALSE),0)</f>
        <v>0</v>
      </c>
      <c r="X531" s="1">
        <f>IFERROR(VLOOKUP($D531&amp;$C531,生产方式定位!$A$2:$E$38,5,FALSE)+VLOOKUP($E531&amp;$C531,生产方式定位!$F$3:$J$38,5,FALSE),"错误")</f>
        <v>0</v>
      </c>
      <c r="Y531" s="27" t="str">
        <f t="shared" si="64"/>
        <v/>
      </c>
      <c r="Z531" s="37" t="str">
        <f t="shared" si="65"/>
        <v/>
      </c>
      <c r="AA531" s="37" t="str">
        <f t="shared" si="66"/>
        <v/>
      </c>
      <c r="AB531" s="28" t="str">
        <f t="shared" si="67"/>
        <v/>
      </c>
      <c r="AC531" s="37"/>
      <c r="AD531" s="38">
        <f t="shared" si="68"/>
        <v>5</v>
      </c>
      <c r="AE531" t="str">
        <f>IFERROR(F531&amp;"*"&amp;ROUND(L531*(G531/$AN531)/VLOOKUP(F531,商品!$A$4:$D$67,4,FALSE),0),"")</f>
        <v/>
      </c>
      <c r="AF531" t="str">
        <f>IFERROR(H531&amp;"*"&amp;ROUND(L531*(I531/$AN531)/VLOOKUP(H531,商品!$A$4:$D$67,4,FALSE),0),"")</f>
        <v/>
      </c>
      <c r="AG531" t="str">
        <f>IFERROR(J531&amp;"*"&amp;ROUND(L531*(K531/$AN531)/VLOOKUP(J531,商品!$A$4:$D$67,4,FALSE),0),"")</f>
        <v/>
      </c>
      <c r="AH531" t="str">
        <f>IFERROR(M531&amp;"*"&amp;ROUND(S531*(N531/$AO531)/VLOOKUP(M531,职业!$A$3:$E$16,4,FALSE),0),"")</f>
        <v/>
      </c>
      <c r="AI531" t="str">
        <f>IFERROR(O531&amp;"*"&amp;ROUND(S531*(P531/$AO531)/VLOOKUP(O531,职业!$A$3:$E$16,4,FALSE),0),"")</f>
        <v/>
      </c>
      <c r="AK531" t="str">
        <f>IFERROR(T531&amp;"*"&amp;ROUND(X531*(U531/$AP531)/VLOOKUP(T531,商品!$A$4:$D$67,4,FALSE),0),"")</f>
        <v/>
      </c>
      <c r="AL531" t="str">
        <f>IFERROR(V531&amp;"*"&amp;ROUND(X531*(W531/$AP531)/VLOOKUP(V531,商品!$A$4:$D$67,4,FALSE),0),"")</f>
        <v/>
      </c>
      <c r="AN531">
        <f t="shared" si="69"/>
        <v>0</v>
      </c>
      <c r="AO531">
        <f t="shared" si="70"/>
        <v>0</v>
      </c>
      <c r="AP531">
        <f t="shared" si="71"/>
        <v>0</v>
      </c>
    </row>
    <row r="532" customHeight="1" spans="1:42">
      <c r="A532" s="18" t="s">
        <v>387</v>
      </c>
      <c r="C532" s="18">
        <v>6</v>
      </c>
      <c r="D532" s="1" t="s">
        <v>293</v>
      </c>
      <c r="E532" s="1" t="s">
        <v>227</v>
      </c>
      <c r="L532" s="1">
        <f>IFERROR(VLOOKUP($D532&amp;$C532,生产方式定位!$A$2:$E$38,2,FALSE)+VLOOKUP($E532&amp;$C532,生产方式定位!$F$3:$J$38,2,FALSE),0)</f>
        <v>0</v>
      </c>
      <c r="S532" s="1">
        <f>IFERROR(VLOOKUP($D532&amp;$C532,生产方式定位!$A$2:$E$38,3,FALSE)+VLOOKUP($E532&amp;$C532,生产方式定位!$F$3:$J$38,3,FALSE),0)</f>
        <v>0</v>
      </c>
      <c r="X532" s="1">
        <f>IFERROR(VLOOKUP($D532&amp;$C532,生产方式定位!$A$2:$E$38,5,FALSE)+VLOOKUP($E532&amp;$C532,生产方式定位!$F$3:$J$38,5,FALSE),"错误")</f>
        <v>0</v>
      </c>
      <c r="Y532" s="27" t="str">
        <f t="shared" si="64"/>
        <v/>
      </c>
      <c r="Z532" s="37" t="str">
        <f t="shared" si="65"/>
        <v/>
      </c>
      <c r="AA532" s="37" t="str">
        <f t="shared" si="66"/>
        <v/>
      </c>
      <c r="AB532" s="28" t="str">
        <f t="shared" si="67"/>
        <v/>
      </c>
      <c r="AC532" s="37"/>
      <c r="AD532" s="38">
        <f t="shared" si="68"/>
        <v>6</v>
      </c>
      <c r="AE532" t="str">
        <f>IFERROR(F532&amp;"*"&amp;ROUND(L532*(G532/$AN532)/VLOOKUP(F532,商品!$A$4:$D$67,4,FALSE),0),"")</f>
        <v/>
      </c>
      <c r="AF532" t="str">
        <f>IFERROR(H532&amp;"*"&amp;ROUND(L532*(I532/$AN532)/VLOOKUP(H532,商品!$A$4:$D$67,4,FALSE),0),"")</f>
        <v/>
      </c>
      <c r="AG532" t="str">
        <f>IFERROR(J532&amp;"*"&amp;ROUND(L532*(K532/$AN532)/VLOOKUP(J532,商品!$A$4:$D$67,4,FALSE),0),"")</f>
        <v/>
      </c>
      <c r="AH532" t="str">
        <f>IFERROR(M532&amp;"*"&amp;ROUND(S532*(N532/$AO532)/VLOOKUP(M532,职业!$A$3:$E$16,4,FALSE),0),"")</f>
        <v/>
      </c>
      <c r="AI532" t="str">
        <f>IFERROR(O532&amp;"*"&amp;ROUND(S532*(P532/$AO532)/VLOOKUP(O532,职业!$A$3:$E$16,4,FALSE),0),"")</f>
        <v/>
      </c>
      <c r="AK532" t="str">
        <f>IFERROR(T532&amp;"*"&amp;ROUND(X532*(U532/$AP532)/VLOOKUP(T532,商品!$A$4:$D$67,4,FALSE),0),"")</f>
        <v/>
      </c>
      <c r="AL532" t="str">
        <f>IFERROR(V532&amp;"*"&amp;ROUND(X532*(W532/$AP532)/VLOOKUP(V532,商品!$A$4:$D$67,4,FALSE),0),"")</f>
        <v/>
      </c>
      <c r="AN532">
        <f t="shared" si="69"/>
        <v>0</v>
      </c>
      <c r="AO532">
        <f t="shared" si="70"/>
        <v>0</v>
      </c>
      <c r="AP532">
        <f t="shared" si="71"/>
        <v>0</v>
      </c>
    </row>
    <row r="533" customHeight="1" spans="1:42">
      <c r="A533" s="18" t="s">
        <v>387</v>
      </c>
      <c r="C533" s="18">
        <v>7</v>
      </c>
      <c r="D533" s="1" t="s">
        <v>293</v>
      </c>
      <c r="E533" s="1" t="s">
        <v>227</v>
      </c>
      <c r="L533" s="1">
        <f>IFERROR(VLOOKUP($D533&amp;$C533,生产方式定位!$A$2:$E$38,2,FALSE)+VLOOKUP($E533&amp;$C533,生产方式定位!$F$3:$J$38,2,FALSE),0)</f>
        <v>0</v>
      </c>
      <c r="S533" s="1">
        <f>IFERROR(VLOOKUP($D533&amp;$C533,生产方式定位!$A$2:$E$38,3,FALSE)+VLOOKUP($E533&amp;$C533,生产方式定位!$F$3:$J$38,3,FALSE),0)</f>
        <v>0</v>
      </c>
      <c r="X533" s="1">
        <f>IFERROR(VLOOKUP($D533&amp;$C533,生产方式定位!$A$2:$E$38,5,FALSE)+VLOOKUP($E533&amp;$C533,生产方式定位!$F$3:$J$38,5,FALSE),"错误")</f>
        <v>0</v>
      </c>
      <c r="Y533" s="27" t="str">
        <f t="shared" si="64"/>
        <v/>
      </c>
      <c r="Z533" s="37" t="str">
        <f t="shared" si="65"/>
        <v/>
      </c>
      <c r="AA533" s="37" t="str">
        <f t="shared" si="66"/>
        <v/>
      </c>
      <c r="AB533" s="28" t="str">
        <f t="shared" si="67"/>
        <v/>
      </c>
      <c r="AC533" s="37"/>
      <c r="AD533" s="38">
        <f t="shared" si="68"/>
        <v>7</v>
      </c>
      <c r="AE533" t="str">
        <f>IFERROR(F533&amp;"*"&amp;ROUND(L533*(G533/$AN533)/VLOOKUP(F533,商品!$A$4:$D$67,4,FALSE),0),"")</f>
        <v/>
      </c>
      <c r="AF533" t="str">
        <f>IFERROR(H533&amp;"*"&amp;ROUND(L533*(I533/$AN533)/VLOOKUP(H533,商品!$A$4:$D$67,4,FALSE),0),"")</f>
        <v/>
      </c>
      <c r="AG533" t="str">
        <f>IFERROR(J533&amp;"*"&amp;ROUND(L533*(K533/$AN533)/VLOOKUP(J533,商品!$A$4:$D$67,4,FALSE),0),"")</f>
        <v/>
      </c>
      <c r="AH533" t="str">
        <f>IFERROR(M533&amp;"*"&amp;ROUND(S533*(N533/$AO533)/VLOOKUP(M533,职业!$A$3:$E$16,4,FALSE),0),"")</f>
        <v/>
      </c>
      <c r="AI533" t="str">
        <f>IFERROR(O533&amp;"*"&amp;ROUND(S533*(P533/$AO533)/VLOOKUP(O533,职业!$A$3:$E$16,4,FALSE),0),"")</f>
        <v/>
      </c>
      <c r="AK533" t="str">
        <f>IFERROR(T533&amp;"*"&amp;ROUND(X533*(U533/$AP533)/VLOOKUP(T533,商品!$A$4:$D$67,4,FALSE),0),"")</f>
        <v/>
      </c>
      <c r="AL533" t="str">
        <f>IFERROR(V533&amp;"*"&amp;ROUND(X533*(W533/$AP533)/VLOOKUP(V533,商品!$A$4:$D$67,4,FALSE),0),"")</f>
        <v/>
      </c>
      <c r="AN533">
        <f t="shared" si="69"/>
        <v>0</v>
      </c>
      <c r="AO533">
        <f t="shared" si="70"/>
        <v>0</v>
      </c>
      <c r="AP533">
        <f t="shared" si="71"/>
        <v>0</v>
      </c>
    </row>
    <row r="534" customHeight="1" spans="1:42">
      <c r="A534" s="18" t="s">
        <v>387</v>
      </c>
      <c r="C534" s="18">
        <v>8</v>
      </c>
      <c r="D534" s="1" t="s">
        <v>293</v>
      </c>
      <c r="E534" s="1" t="s">
        <v>227</v>
      </c>
      <c r="L534" s="1">
        <f>IFERROR(VLOOKUP($D534&amp;$C534,生产方式定位!$A$2:$E$38,2,FALSE)+VLOOKUP($E534&amp;$C534,生产方式定位!$F$3:$J$38,2,FALSE),0)</f>
        <v>0</v>
      </c>
      <c r="S534" s="1">
        <f>IFERROR(VLOOKUP($D534&amp;$C534,生产方式定位!$A$2:$E$38,3,FALSE)+VLOOKUP($E534&amp;$C534,生产方式定位!$F$3:$J$38,3,FALSE),0)</f>
        <v>0</v>
      </c>
      <c r="X534" s="1">
        <f>IFERROR(VLOOKUP($D534&amp;$C534,生产方式定位!$A$2:$E$38,5,FALSE)+VLOOKUP($E534&amp;$C534,生产方式定位!$F$3:$J$38,5,FALSE),"错误")</f>
        <v>0</v>
      </c>
      <c r="Y534" s="27" t="str">
        <f t="shared" si="64"/>
        <v/>
      </c>
      <c r="Z534" s="37" t="str">
        <f t="shared" si="65"/>
        <v/>
      </c>
      <c r="AA534" s="37" t="str">
        <f t="shared" si="66"/>
        <v/>
      </c>
      <c r="AB534" s="28" t="str">
        <f t="shared" si="67"/>
        <v/>
      </c>
      <c r="AC534" s="37"/>
      <c r="AD534" s="38">
        <f t="shared" si="68"/>
        <v>8</v>
      </c>
      <c r="AE534" t="str">
        <f>IFERROR(F534&amp;"*"&amp;ROUND(L534*(G534/$AN534)/VLOOKUP(F534,商品!$A$4:$D$67,4,FALSE),0),"")</f>
        <v/>
      </c>
      <c r="AF534" t="str">
        <f>IFERROR(H534&amp;"*"&amp;ROUND(L534*(I534/$AN534)/VLOOKUP(H534,商品!$A$4:$D$67,4,FALSE),0),"")</f>
        <v/>
      </c>
      <c r="AG534" t="str">
        <f>IFERROR(J534&amp;"*"&amp;ROUND(L534*(K534/$AN534)/VLOOKUP(J534,商品!$A$4:$D$67,4,FALSE),0),"")</f>
        <v/>
      </c>
      <c r="AH534" t="str">
        <f>IFERROR(M534&amp;"*"&amp;ROUND(S534*(N534/$AO534)/VLOOKUP(M534,职业!$A$3:$E$16,4,FALSE),0),"")</f>
        <v/>
      </c>
      <c r="AI534" t="str">
        <f>IFERROR(O534&amp;"*"&amp;ROUND(S534*(P534/$AO534)/VLOOKUP(O534,职业!$A$3:$E$16,4,FALSE),0),"")</f>
        <v/>
      </c>
      <c r="AK534" t="str">
        <f>IFERROR(T534&amp;"*"&amp;ROUND(X534*(U534/$AP534)/VLOOKUP(T534,商品!$A$4:$D$67,4,FALSE),0),"")</f>
        <v/>
      </c>
      <c r="AL534" t="str">
        <f>IFERROR(V534&amp;"*"&amp;ROUND(X534*(W534/$AP534)/VLOOKUP(V534,商品!$A$4:$D$67,4,FALSE),0),"")</f>
        <v/>
      </c>
      <c r="AN534">
        <f t="shared" si="69"/>
        <v>0</v>
      </c>
      <c r="AO534">
        <f t="shared" si="70"/>
        <v>0</v>
      </c>
      <c r="AP534">
        <f t="shared" si="71"/>
        <v>0</v>
      </c>
    </row>
    <row r="535" customHeight="1" spans="1:42">
      <c r="A535" s="5" t="s">
        <v>387</v>
      </c>
      <c r="C535" s="5">
        <v>1</v>
      </c>
      <c r="D535" s="1" t="s">
        <v>293</v>
      </c>
      <c r="E535" s="1" t="s">
        <v>227</v>
      </c>
      <c r="L535" s="1">
        <f>IFERROR(VLOOKUP($D535&amp;$C535,生产方式定位!$A$2:$E$38,2,FALSE)+VLOOKUP($E535&amp;$C535,生产方式定位!$F$3:$J$38,2,FALSE),0)</f>
        <v>0</v>
      </c>
      <c r="S535" s="1">
        <f>IFERROR(VLOOKUP($D535&amp;$C535,生产方式定位!$A$2:$E$38,3,FALSE)+VLOOKUP($E535&amp;$C535,生产方式定位!$F$3:$J$38,3,FALSE),0)</f>
        <v>0</v>
      </c>
      <c r="X535" s="1">
        <f>IFERROR(VLOOKUP($D535&amp;$C535,生产方式定位!$A$2:$E$38,5,FALSE)+VLOOKUP($E535&amp;$C535,生产方式定位!$F$3:$J$38,5,FALSE),"错误")</f>
        <v>0</v>
      </c>
      <c r="Y535" s="27" t="str">
        <f t="shared" si="64"/>
        <v/>
      </c>
      <c r="Z535" s="37" t="str">
        <f t="shared" si="65"/>
        <v/>
      </c>
      <c r="AA535" s="37" t="str">
        <f t="shared" si="66"/>
        <v/>
      </c>
      <c r="AB535" s="28" t="str">
        <f t="shared" si="67"/>
        <v/>
      </c>
      <c r="AC535" s="37"/>
      <c r="AD535" s="38">
        <f t="shared" si="68"/>
        <v>1</v>
      </c>
      <c r="AE535" t="str">
        <f>IFERROR(F535&amp;"*"&amp;ROUND(L535*(G535/$AN535)/VLOOKUP(F535,商品!$A$4:$D$67,4,FALSE),0),"")</f>
        <v/>
      </c>
      <c r="AF535" t="str">
        <f>IFERROR(H535&amp;"*"&amp;ROUND(L535*(I535/$AN535)/VLOOKUP(H535,商品!$A$4:$D$67,4,FALSE),0),"")</f>
        <v/>
      </c>
      <c r="AG535" t="str">
        <f>IFERROR(J535&amp;"*"&amp;ROUND(L535*(K535/$AN535)/VLOOKUP(J535,商品!$A$4:$D$67,4,FALSE),0),"")</f>
        <v/>
      </c>
      <c r="AH535" t="str">
        <f>IFERROR(M535&amp;"*"&amp;ROUND(S535*(N535/$AO535)/VLOOKUP(M535,职业!$A$3:$E$16,4,FALSE),0),"")</f>
        <v/>
      </c>
      <c r="AI535" t="str">
        <f>IFERROR(O535&amp;"*"&amp;ROUND(S535*(P535/$AO535)/VLOOKUP(O535,职业!$A$3:$E$16,4,FALSE),0),"")</f>
        <v/>
      </c>
      <c r="AK535" t="str">
        <f>IFERROR(T535&amp;"*"&amp;ROUND(X535*(U535/$AP535)/VLOOKUP(T535,商品!$A$4:$D$67,4,FALSE),0),"")</f>
        <v/>
      </c>
      <c r="AL535" t="str">
        <f>IFERROR(V535&amp;"*"&amp;ROUND(X535*(W535/$AP535)/VLOOKUP(V535,商品!$A$4:$D$67,4,FALSE),0),"")</f>
        <v/>
      </c>
      <c r="AN535">
        <f t="shared" si="69"/>
        <v>0</v>
      </c>
      <c r="AO535">
        <f t="shared" si="70"/>
        <v>0</v>
      </c>
      <c r="AP535">
        <f t="shared" si="71"/>
        <v>0</v>
      </c>
    </row>
    <row r="536" customHeight="1" spans="1:42">
      <c r="A536" s="5" t="s">
        <v>387</v>
      </c>
      <c r="C536" s="5">
        <v>2</v>
      </c>
      <c r="D536" s="1" t="s">
        <v>293</v>
      </c>
      <c r="E536" s="1" t="s">
        <v>227</v>
      </c>
      <c r="L536" s="1">
        <f>IFERROR(VLOOKUP($D536&amp;$C536,生产方式定位!$A$2:$E$38,2,FALSE)+VLOOKUP($E536&amp;$C536,生产方式定位!$F$3:$J$38,2,FALSE),0)</f>
        <v>0</v>
      </c>
      <c r="S536" s="1">
        <f>IFERROR(VLOOKUP($D536&amp;$C536,生产方式定位!$A$2:$E$38,3,FALSE)+VLOOKUP($E536&amp;$C536,生产方式定位!$F$3:$J$38,3,FALSE),0)</f>
        <v>0</v>
      </c>
      <c r="X536" s="1">
        <f>IFERROR(VLOOKUP($D536&amp;$C536,生产方式定位!$A$2:$E$38,5,FALSE)+VLOOKUP($E536&amp;$C536,生产方式定位!$F$3:$J$38,5,FALSE),"错误")</f>
        <v>0</v>
      </c>
      <c r="Y536" s="27" t="str">
        <f t="shared" si="64"/>
        <v/>
      </c>
      <c r="Z536" s="37" t="str">
        <f t="shared" si="65"/>
        <v/>
      </c>
      <c r="AA536" s="37" t="str">
        <f t="shared" si="66"/>
        <v/>
      </c>
      <c r="AB536" s="28" t="str">
        <f t="shared" si="67"/>
        <v/>
      </c>
      <c r="AC536" s="37"/>
      <c r="AD536" s="38">
        <f t="shared" si="68"/>
        <v>2</v>
      </c>
      <c r="AE536" t="str">
        <f>IFERROR(F536&amp;"*"&amp;ROUND(L536*(G536/$AN536)/VLOOKUP(F536,商品!$A$4:$D$67,4,FALSE),0),"")</f>
        <v/>
      </c>
      <c r="AF536" t="str">
        <f>IFERROR(H536&amp;"*"&amp;ROUND(L536*(I536/$AN536)/VLOOKUP(H536,商品!$A$4:$D$67,4,FALSE),0),"")</f>
        <v/>
      </c>
      <c r="AG536" t="str">
        <f>IFERROR(J536&amp;"*"&amp;ROUND(L536*(K536/$AN536)/VLOOKUP(J536,商品!$A$4:$D$67,4,FALSE),0),"")</f>
        <v/>
      </c>
      <c r="AH536" t="str">
        <f>IFERROR(M536&amp;"*"&amp;ROUND(S536*(N536/$AO536)/VLOOKUP(M536,职业!$A$3:$E$16,4,FALSE),0),"")</f>
        <v/>
      </c>
      <c r="AI536" t="str">
        <f>IFERROR(O536&amp;"*"&amp;ROUND(S536*(P536/$AO536)/VLOOKUP(O536,职业!$A$3:$E$16,4,FALSE),0),"")</f>
        <v/>
      </c>
      <c r="AK536" t="str">
        <f>IFERROR(T536&amp;"*"&amp;ROUND(X536*(U536/$AP536)/VLOOKUP(T536,商品!$A$4:$D$67,4,FALSE),0),"")</f>
        <v/>
      </c>
      <c r="AL536" t="str">
        <f>IFERROR(V536&amp;"*"&amp;ROUND(X536*(W536/$AP536)/VLOOKUP(V536,商品!$A$4:$D$67,4,FALSE),0),"")</f>
        <v/>
      </c>
      <c r="AN536">
        <f t="shared" si="69"/>
        <v>0</v>
      </c>
      <c r="AO536">
        <f t="shared" si="70"/>
        <v>0</v>
      </c>
      <c r="AP536">
        <f t="shared" si="71"/>
        <v>0</v>
      </c>
    </row>
    <row r="537" customHeight="1" spans="1:42">
      <c r="A537" s="5" t="s">
        <v>387</v>
      </c>
      <c r="C537" s="5">
        <v>3</v>
      </c>
      <c r="D537" s="1" t="s">
        <v>293</v>
      </c>
      <c r="E537" s="1" t="s">
        <v>227</v>
      </c>
      <c r="L537" s="1">
        <f>IFERROR(VLOOKUP($D537&amp;$C537,生产方式定位!$A$2:$E$38,2,FALSE)+VLOOKUP($E537&amp;$C537,生产方式定位!$F$3:$J$38,2,FALSE),0)</f>
        <v>0</v>
      </c>
      <c r="S537" s="1">
        <f>IFERROR(VLOOKUP($D537&amp;$C537,生产方式定位!$A$2:$E$38,3,FALSE)+VLOOKUP($E537&amp;$C537,生产方式定位!$F$3:$J$38,3,FALSE),0)</f>
        <v>0</v>
      </c>
      <c r="X537" s="1">
        <f>IFERROR(VLOOKUP($D537&amp;$C537,生产方式定位!$A$2:$E$38,5,FALSE)+VLOOKUP($E537&amp;$C537,生产方式定位!$F$3:$J$38,5,FALSE),"错误")</f>
        <v>0</v>
      </c>
      <c r="Y537" s="27" t="str">
        <f t="shared" si="64"/>
        <v/>
      </c>
      <c r="Z537" s="37" t="str">
        <f t="shared" si="65"/>
        <v/>
      </c>
      <c r="AA537" s="37" t="str">
        <f t="shared" si="66"/>
        <v/>
      </c>
      <c r="AB537" s="28" t="str">
        <f t="shared" si="67"/>
        <v/>
      </c>
      <c r="AC537" s="37"/>
      <c r="AD537" s="38">
        <f t="shared" si="68"/>
        <v>3</v>
      </c>
      <c r="AE537" t="str">
        <f>IFERROR(F537&amp;"*"&amp;ROUND(L537*(G537/$AN537)/VLOOKUP(F537,商品!$A$4:$D$67,4,FALSE),0),"")</f>
        <v/>
      </c>
      <c r="AF537" t="str">
        <f>IFERROR(H537&amp;"*"&amp;ROUND(L537*(I537/$AN537)/VLOOKUP(H537,商品!$A$4:$D$67,4,FALSE),0),"")</f>
        <v/>
      </c>
      <c r="AG537" t="str">
        <f>IFERROR(J537&amp;"*"&amp;ROUND(L537*(K537/$AN537)/VLOOKUP(J537,商品!$A$4:$D$67,4,FALSE),0),"")</f>
        <v/>
      </c>
      <c r="AH537" t="str">
        <f>IFERROR(M537&amp;"*"&amp;ROUND(S537*(N537/$AO537)/VLOOKUP(M537,职业!$A$3:$E$16,4,FALSE),0),"")</f>
        <v/>
      </c>
      <c r="AI537" t="str">
        <f>IFERROR(O537&amp;"*"&amp;ROUND(S537*(P537/$AO537)/VLOOKUP(O537,职业!$A$3:$E$16,4,FALSE),0),"")</f>
        <v/>
      </c>
      <c r="AK537" t="str">
        <f>IFERROR(T537&amp;"*"&amp;ROUND(X537*(U537/$AP537)/VLOOKUP(T537,商品!$A$4:$D$67,4,FALSE),0),"")</f>
        <v/>
      </c>
      <c r="AL537" t="str">
        <f>IFERROR(V537&amp;"*"&amp;ROUND(X537*(W537/$AP537)/VLOOKUP(V537,商品!$A$4:$D$67,4,FALSE),0),"")</f>
        <v/>
      </c>
      <c r="AN537">
        <f t="shared" si="69"/>
        <v>0</v>
      </c>
      <c r="AO537">
        <f t="shared" si="70"/>
        <v>0</v>
      </c>
      <c r="AP537">
        <f t="shared" si="71"/>
        <v>0</v>
      </c>
    </row>
    <row r="538" customHeight="1" spans="1:42">
      <c r="A538" s="5" t="s">
        <v>387</v>
      </c>
      <c r="C538" s="5">
        <v>4</v>
      </c>
      <c r="D538" s="1" t="s">
        <v>293</v>
      </c>
      <c r="E538" s="1" t="s">
        <v>227</v>
      </c>
      <c r="L538" s="1">
        <f>IFERROR(VLOOKUP($D538&amp;$C538,生产方式定位!$A$2:$E$38,2,FALSE)+VLOOKUP($E538&amp;$C538,生产方式定位!$F$3:$J$38,2,FALSE),0)</f>
        <v>0</v>
      </c>
      <c r="S538" s="1">
        <f>IFERROR(VLOOKUP($D538&amp;$C538,生产方式定位!$A$2:$E$38,3,FALSE)+VLOOKUP($E538&amp;$C538,生产方式定位!$F$3:$J$38,3,FALSE),0)</f>
        <v>0</v>
      </c>
      <c r="X538" s="1">
        <f>IFERROR(VLOOKUP($D538&amp;$C538,生产方式定位!$A$2:$E$38,5,FALSE)+VLOOKUP($E538&amp;$C538,生产方式定位!$F$3:$J$38,5,FALSE),"错误")</f>
        <v>0</v>
      </c>
      <c r="Y538" s="27" t="str">
        <f t="shared" si="64"/>
        <v/>
      </c>
      <c r="Z538" s="37" t="str">
        <f t="shared" si="65"/>
        <v/>
      </c>
      <c r="AA538" s="37" t="str">
        <f t="shared" si="66"/>
        <v/>
      </c>
      <c r="AB538" s="28" t="str">
        <f t="shared" si="67"/>
        <v/>
      </c>
      <c r="AC538" s="37"/>
      <c r="AD538" s="38">
        <f t="shared" si="68"/>
        <v>4</v>
      </c>
      <c r="AE538" t="str">
        <f>IFERROR(F538&amp;"*"&amp;ROUND(L538*(G538/$AN538)/VLOOKUP(F538,商品!$A$4:$D$67,4,FALSE),0),"")</f>
        <v/>
      </c>
      <c r="AF538" t="str">
        <f>IFERROR(H538&amp;"*"&amp;ROUND(L538*(I538/$AN538)/VLOOKUP(H538,商品!$A$4:$D$67,4,FALSE),0),"")</f>
        <v/>
      </c>
      <c r="AG538" t="str">
        <f>IFERROR(J538&amp;"*"&amp;ROUND(L538*(K538/$AN538)/VLOOKUP(J538,商品!$A$4:$D$67,4,FALSE),0),"")</f>
        <v/>
      </c>
      <c r="AH538" t="str">
        <f>IFERROR(M538&amp;"*"&amp;ROUND(S538*(N538/$AO538)/VLOOKUP(M538,职业!$A$3:$E$16,4,FALSE),0),"")</f>
        <v/>
      </c>
      <c r="AI538" t="str">
        <f>IFERROR(O538&amp;"*"&amp;ROUND(S538*(P538/$AO538)/VLOOKUP(O538,职业!$A$3:$E$16,4,FALSE),0),"")</f>
        <v/>
      </c>
      <c r="AK538" t="str">
        <f>IFERROR(T538&amp;"*"&amp;ROUND(X538*(U538/$AP538)/VLOOKUP(T538,商品!$A$4:$D$67,4,FALSE),0),"")</f>
        <v/>
      </c>
      <c r="AL538" t="str">
        <f>IFERROR(V538&amp;"*"&amp;ROUND(X538*(W538/$AP538)/VLOOKUP(V538,商品!$A$4:$D$67,4,FALSE),0),"")</f>
        <v/>
      </c>
      <c r="AN538">
        <f t="shared" si="69"/>
        <v>0</v>
      </c>
      <c r="AO538">
        <f t="shared" si="70"/>
        <v>0</v>
      </c>
      <c r="AP538">
        <f t="shared" si="71"/>
        <v>0</v>
      </c>
    </row>
    <row r="539" customHeight="1" spans="1:42">
      <c r="A539" s="5" t="s">
        <v>387</v>
      </c>
      <c r="C539" s="5">
        <v>5</v>
      </c>
      <c r="D539" s="1" t="s">
        <v>293</v>
      </c>
      <c r="E539" s="1" t="s">
        <v>227</v>
      </c>
      <c r="L539" s="1">
        <f>IFERROR(VLOOKUP($D539&amp;$C539,生产方式定位!$A$2:$E$38,2,FALSE)+VLOOKUP($E539&amp;$C539,生产方式定位!$F$3:$J$38,2,FALSE),0)</f>
        <v>0</v>
      </c>
      <c r="S539" s="1">
        <f>IFERROR(VLOOKUP($D539&amp;$C539,生产方式定位!$A$2:$E$38,3,FALSE)+VLOOKUP($E539&amp;$C539,生产方式定位!$F$3:$J$38,3,FALSE),0)</f>
        <v>0</v>
      </c>
      <c r="X539" s="1">
        <f>IFERROR(VLOOKUP($D539&amp;$C539,生产方式定位!$A$2:$E$38,5,FALSE)+VLOOKUP($E539&amp;$C539,生产方式定位!$F$3:$J$38,5,FALSE),"错误")</f>
        <v>0</v>
      </c>
      <c r="Y539" s="27" t="str">
        <f t="shared" si="64"/>
        <v/>
      </c>
      <c r="Z539" s="37" t="str">
        <f t="shared" si="65"/>
        <v/>
      </c>
      <c r="AA539" s="37" t="str">
        <f t="shared" si="66"/>
        <v/>
      </c>
      <c r="AB539" s="28" t="str">
        <f t="shared" si="67"/>
        <v/>
      </c>
      <c r="AC539" s="37"/>
      <c r="AD539" s="38">
        <f t="shared" si="68"/>
        <v>5</v>
      </c>
      <c r="AE539" t="str">
        <f>IFERROR(F539&amp;"*"&amp;ROUND(L539*(G539/$AN539)/VLOOKUP(F539,商品!$A$4:$D$67,4,FALSE),0),"")</f>
        <v/>
      </c>
      <c r="AF539" t="str">
        <f>IFERROR(H539&amp;"*"&amp;ROUND(L539*(I539/$AN539)/VLOOKUP(H539,商品!$A$4:$D$67,4,FALSE),0),"")</f>
        <v/>
      </c>
      <c r="AG539" t="str">
        <f>IFERROR(J539&amp;"*"&amp;ROUND(L539*(K539/$AN539)/VLOOKUP(J539,商品!$A$4:$D$67,4,FALSE),0),"")</f>
        <v/>
      </c>
      <c r="AH539" t="str">
        <f>IFERROR(M539&amp;"*"&amp;ROUND(S539*(N539/$AO539)/VLOOKUP(M539,职业!$A$3:$E$16,4,FALSE),0),"")</f>
        <v/>
      </c>
      <c r="AI539" t="str">
        <f>IFERROR(O539&amp;"*"&amp;ROUND(S539*(P539/$AO539)/VLOOKUP(O539,职业!$A$3:$E$16,4,FALSE),0),"")</f>
        <v/>
      </c>
      <c r="AK539" t="str">
        <f>IFERROR(T539&amp;"*"&amp;ROUND(X539*(U539/$AP539)/VLOOKUP(T539,商品!$A$4:$D$67,4,FALSE),0),"")</f>
        <v/>
      </c>
      <c r="AL539" t="str">
        <f>IFERROR(V539&amp;"*"&amp;ROUND(X539*(W539/$AP539)/VLOOKUP(V539,商品!$A$4:$D$67,4,FALSE),0),"")</f>
        <v/>
      </c>
      <c r="AN539">
        <f t="shared" si="69"/>
        <v>0</v>
      </c>
      <c r="AO539">
        <f t="shared" si="70"/>
        <v>0</v>
      </c>
      <c r="AP539">
        <f t="shared" si="71"/>
        <v>0</v>
      </c>
    </row>
    <row r="540" customHeight="1" spans="1:42">
      <c r="A540" s="5" t="s">
        <v>387</v>
      </c>
      <c r="C540" s="5">
        <v>6</v>
      </c>
      <c r="D540" s="1" t="s">
        <v>293</v>
      </c>
      <c r="E540" s="1" t="s">
        <v>227</v>
      </c>
      <c r="L540" s="1">
        <f>IFERROR(VLOOKUP($D540&amp;$C540,生产方式定位!$A$2:$E$38,2,FALSE)+VLOOKUP($E540&amp;$C540,生产方式定位!$F$3:$J$38,2,FALSE),0)</f>
        <v>0</v>
      </c>
      <c r="S540" s="1">
        <f>IFERROR(VLOOKUP($D540&amp;$C540,生产方式定位!$A$2:$E$38,3,FALSE)+VLOOKUP($E540&amp;$C540,生产方式定位!$F$3:$J$38,3,FALSE),0)</f>
        <v>0</v>
      </c>
      <c r="X540" s="1">
        <f>IFERROR(VLOOKUP($D540&amp;$C540,生产方式定位!$A$2:$E$38,5,FALSE)+VLOOKUP($E540&amp;$C540,生产方式定位!$F$3:$J$38,5,FALSE),"错误")</f>
        <v>0</v>
      </c>
      <c r="Y540" s="27" t="str">
        <f t="shared" si="64"/>
        <v/>
      </c>
      <c r="Z540" s="37" t="str">
        <f t="shared" si="65"/>
        <v/>
      </c>
      <c r="AA540" s="37" t="str">
        <f t="shared" si="66"/>
        <v/>
      </c>
      <c r="AB540" s="28" t="str">
        <f t="shared" si="67"/>
        <v/>
      </c>
      <c r="AC540" s="37"/>
      <c r="AD540" s="38">
        <f t="shared" si="68"/>
        <v>6</v>
      </c>
      <c r="AE540" t="str">
        <f>IFERROR(F540&amp;"*"&amp;ROUND(L540*(G540/$AN540)/VLOOKUP(F540,商品!$A$4:$D$67,4,FALSE),0),"")</f>
        <v/>
      </c>
      <c r="AF540" t="str">
        <f>IFERROR(H540&amp;"*"&amp;ROUND(L540*(I540/$AN540)/VLOOKUP(H540,商品!$A$4:$D$67,4,FALSE),0),"")</f>
        <v/>
      </c>
      <c r="AG540" t="str">
        <f>IFERROR(J540&amp;"*"&amp;ROUND(L540*(K540/$AN540)/VLOOKUP(J540,商品!$A$4:$D$67,4,FALSE),0),"")</f>
        <v/>
      </c>
      <c r="AH540" t="str">
        <f>IFERROR(M540&amp;"*"&amp;ROUND(S540*(N540/$AO540)/VLOOKUP(M540,职业!$A$3:$E$16,4,FALSE),0),"")</f>
        <v/>
      </c>
      <c r="AI540" t="str">
        <f>IFERROR(O540&amp;"*"&amp;ROUND(S540*(P540/$AO540)/VLOOKUP(O540,职业!$A$3:$E$16,4,FALSE),0),"")</f>
        <v/>
      </c>
      <c r="AK540" t="str">
        <f>IFERROR(T540&amp;"*"&amp;ROUND(X540*(U540/$AP540)/VLOOKUP(T540,商品!$A$4:$D$67,4,FALSE),0),"")</f>
        <v/>
      </c>
      <c r="AL540" t="str">
        <f>IFERROR(V540&amp;"*"&amp;ROUND(X540*(W540/$AP540)/VLOOKUP(V540,商品!$A$4:$D$67,4,FALSE),0),"")</f>
        <v/>
      </c>
      <c r="AN540">
        <f t="shared" si="69"/>
        <v>0</v>
      </c>
      <c r="AO540">
        <f t="shared" si="70"/>
        <v>0</v>
      </c>
      <c r="AP540">
        <f t="shared" si="71"/>
        <v>0</v>
      </c>
    </row>
    <row r="541" customHeight="1" spans="1:42">
      <c r="A541" s="5" t="s">
        <v>387</v>
      </c>
      <c r="C541" s="5">
        <v>7</v>
      </c>
      <c r="D541" s="1" t="s">
        <v>293</v>
      </c>
      <c r="E541" s="1" t="s">
        <v>227</v>
      </c>
      <c r="L541" s="1">
        <f>IFERROR(VLOOKUP($D541&amp;$C541,生产方式定位!$A$2:$E$38,2,FALSE)+VLOOKUP($E541&amp;$C541,生产方式定位!$F$3:$J$38,2,FALSE),0)</f>
        <v>0</v>
      </c>
      <c r="S541" s="1">
        <f>IFERROR(VLOOKUP($D541&amp;$C541,生产方式定位!$A$2:$E$38,3,FALSE)+VLOOKUP($E541&amp;$C541,生产方式定位!$F$3:$J$38,3,FALSE),0)</f>
        <v>0</v>
      </c>
      <c r="X541" s="1">
        <f>IFERROR(VLOOKUP($D541&amp;$C541,生产方式定位!$A$2:$E$38,5,FALSE)+VLOOKUP($E541&amp;$C541,生产方式定位!$F$3:$J$38,5,FALSE),"错误")</f>
        <v>0</v>
      </c>
      <c r="Y541" s="27" t="str">
        <f t="shared" si="64"/>
        <v/>
      </c>
      <c r="Z541" s="37" t="str">
        <f t="shared" si="65"/>
        <v/>
      </c>
      <c r="AA541" s="37" t="str">
        <f t="shared" si="66"/>
        <v/>
      </c>
      <c r="AB541" s="28" t="str">
        <f t="shared" si="67"/>
        <v/>
      </c>
      <c r="AC541" s="37"/>
      <c r="AD541" s="38">
        <f t="shared" si="68"/>
        <v>7</v>
      </c>
      <c r="AE541" t="str">
        <f>IFERROR(F541&amp;"*"&amp;ROUND(L541*(G541/$AN541)/VLOOKUP(F541,商品!$A$4:$D$67,4,FALSE),0),"")</f>
        <v/>
      </c>
      <c r="AF541" t="str">
        <f>IFERROR(H541&amp;"*"&amp;ROUND(L541*(I541/$AN541)/VLOOKUP(H541,商品!$A$4:$D$67,4,FALSE),0),"")</f>
        <v/>
      </c>
      <c r="AG541" t="str">
        <f>IFERROR(J541&amp;"*"&amp;ROUND(L541*(K541/$AN541)/VLOOKUP(J541,商品!$A$4:$D$67,4,FALSE),0),"")</f>
        <v/>
      </c>
      <c r="AH541" t="str">
        <f>IFERROR(M541&amp;"*"&amp;ROUND(S541*(N541/$AO541)/VLOOKUP(M541,职业!$A$3:$E$16,4,FALSE),0),"")</f>
        <v/>
      </c>
      <c r="AI541" t="str">
        <f>IFERROR(O541&amp;"*"&amp;ROUND(S541*(P541/$AO541)/VLOOKUP(O541,职业!$A$3:$E$16,4,FALSE),0),"")</f>
        <v/>
      </c>
      <c r="AK541" t="str">
        <f>IFERROR(T541&amp;"*"&amp;ROUND(X541*(U541/$AP541)/VLOOKUP(T541,商品!$A$4:$D$67,4,FALSE),0),"")</f>
        <v/>
      </c>
      <c r="AL541" t="str">
        <f>IFERROR(V541&amp;"*"&amp;ROUND(X541*(W541/$AP541)/VLOOKUP(V541,商品!$A$4:$D$67,4,FALSE),0),"")</f>
        <v/>
      </c>
      <c r="AN541">
        <f t="shared" si="69"/>
        <v>0</v>
      </c>
      <c r="AO541">
        <f t="shared" si="70"/>
        <v>0</v>
      </c>
      <c r="AP541">
        <f t="shared" si="71"/>
        <v>0</v>
      </c>
    </row>
    <row r="542" customHeight="1" spans="1:42">
      <c r="A542" s="5" t="s">
        <v>387</v>
      </c>
      <c r="C542" s="5">
        <v>8</v>
      </c>
      <c r="D542" s="1" t="s">
        <v>293</v>
      </c>
      <c r="E542" s="1" t="s">
        <v>227</v>
      </c>
      <c r="L542" s="1">
        <f>IFERROR(VLOOKUP($D542&amp;$C542,生产方式定位!$A$2:$E$38,2,FALSE)+VLOOKUP($E542&amp;$C542,生产方式定位!$F$3:$J$38,2,FALSE),0)</f>
        <v>0</v>
      </c>
      <c r="S542" s="1">
        <f>IFERROR(VLOOKUP($D542&amp;$C542,生产方式定位!$A$2:$E$38,3,FALSE)+VLOOKUP($E542&amp;$C542,生产方式定位!$F$3:$J$38,3,FALSE),0)</f>
        <v>0</v>
      </c>
      <c r="X542" s="1">
        <f>IFERROR(VLOOKUP($D542&amp;$C542,生产方式定位!$A$2:$E$38,5,FALSE)+VLOOKUP($E542&amp;$C542,生产方式定位!$F$3:$J$38,5,FALSE),"错误")</f>
        <v>0</v>
      </c>
      <c r="Y542" s="27" t="str">
        <f t="shared" si="64"/>
        <v/>
      </c>
      <c r="Z542" s="37" t="str">
        <f t="shared" si="65"/>
        <v/>
      </c>
      <c r="AA542" s="37" t="str">
        <f t="shared" si="66"/>
        <v/>
      </c>
      <c r="AB542" s="28" t="str">
        <f t="shared" si="67"/>
        <v/>
      </c>
      <c r="AC542" s="37"/>
      <c r="AD542" s="38">
        <f t="shared" si="68"/>
        <v>8</v>
      </c>
      <c r="AE542" t="str">
        <f>IFERROR(F542&amp;"*"&amp;ROUND(L542*(G542/$AN542)/VLOOKUP(F542,商品!$A$4:$D$67,4,FALSE),0),"")</f>
        <v/>
      </c>
      <c r="AF542" t="str">
        <f>IFERROR(H542&amp;"*"&amp;ROUND(L542*(I542/$AN542)/VLOOKUP(H542,商品!$A$4:$D$67,4,FALSE),0),"")</f>
        <v/>
      </c>
      <c r="AG542" t="str">
        <f>IFERROR(J542&amp;"*"&amp;ROUND(L542*(K542/$AN542)/VLOOKUP(J542,商品!$A$4:$D$67,4,FALSE),0),"")</f>
        <v/>
      </c>
      <c r="AH542" t="str">
        <f>IFERROR(M542&amp;"*"&amp;ROUND(S542*(N542/$AO542)/VLOOKUP(M542,职业!$A$3:$E$16,4,FALSE),0),"")</f>
        <v/>
      </c>
      <c r="AI542" t="str">
        <f>IFERROR(O542&amp;"*"&amp;ROUND(S542*(P542/$AO542)/VLOOKUP(O542,职业!$A$3:$E$16,4,FALSE),0),"")</f>
        <v/>
      </c>
      <c r="AK542" t="str">
        <f>IFERROR(T542&amp;"*"&amp;ROUND(X542*(U542/$AP542)/VLOOKUP(T542,商品!$A$4:$D$67,4,FALSE),0),"")</f>
        <v/>
      </c>
      <c r="AL542" t="str">
        <f>IFERROR(V542&amp;"*"&amp;ROUND(X542*(W542/$AP542)/VLOOKUP(V542,商品!$A$4:$D$67,4,FALSE),0),"")</f>
        <v/>
      </c>
      <c r="AN542">
        <f t="shared" si="69"/>
        <v>0</v>
      </c>
      <c r="AO542">
        <f t="shared" si="70"/>
        <v>0</v>
      </c>
      <c r="AP542">
        <f t="shared" si="71"/>
        <v>0</v>
      </c>
    </row>
    <row r="543" customHeight="1" spans="1:42">
      <c r="A543" s="18" t="s">
        <v>389</v>
      </c>
      <c r="C543" s="18">
        <v>1</v>
      </c>
      <c r="D543" s="1" t="s">
        <v>249</v>
      </c>
      <c r="E543" s="1" t="s">
        <v>224</v>
      </c>
      <c r="L543" s="1">
        <f>IFERROR(VLOOKUP($D543&amp;$C543,生产方式定位!$A$2:$E$38,2,FALSE)+VLOOKUP($E543&amp;$C543,生产方式定位!$F$3:$J$38,2,FALSE),0)</f>
        <v>0</v>
      </c>
      <c r="S543" s="1">
        <f>IFERROR(VLOOKUP($D543&amp;$C543,生产方式定位!$A$2:$E$38,3,FALSE)+VLOOKUP($E543&amp;$C543,生产方式定位!$F$3:$J$38,3,FALSE),0)</f>
        <v>10000</v>
      </c>
      <c r="X543" s="1">
        <f>IFERROR(VLOOKUP($D543&amp;$C543,生产方式定位!$A$2:$E$38,5,FALSE)+VLOOKUP($E543&amp;$C543,生产方式定位!$F$3:$J$38,5,FALSE),"错误")</f>
        <v>15000</v>
      </c>
      <c r="Y543" s="27" t="str">
        <f t="shared" si="64"/>
        <v/>
      </c>
      <c r="Z543" s="37" t="str">
        <f t="shared" si="65"/>
        <v/>
      </c>
      <c r="AA543" s="37" t="str">
        <f t="shared" si="66"/>
        <v/>
      </c>
      <c r="AB543" s="28">
        <f t="shared" si="67"/>
        <v>0</v>
      </c>
      <c r="AC543" s="37"/>
      <c r="AD543" s="38">
        <f t="shared" si="68"/>
        <v>1</v>
      </c>
      <c r="AE543" t="str">
        <f>IFERROR(F543&amp;"*"&amp;ROUND(L543*(G543/$AN543)/VLOOKUP(F543,商品!$A$4:$D$67,4,FALSE),0),"")</f>
        <v/>
      </c>
      <c r="AF543" t="str">
        <f>IFERROR(H543&amp;"*"&amp;ROUND(L543*(I543/$AN543)/VLOOKUP(H543,商品!$A$4:$D$67,4,FALSE),0),"")</f>
        <v/>
      </c>
      <c r="AG543" t="str">
        <f>IFERROR(J543&amp;"*"&amp;ROUND(L543*(K543/$AN543)/VLOOKUP(J543,商品!$A$4:$D$67,4,FALSE),0),"")</f>
        <v/>
      </c>
      <c r="AH543" t="str">
        <f>IFERROR(M543&amp;"*"&amp;ROUND(S543*(N543/$AO543)/VLOOKUP(M543,职业!$A$3:$E$16,4,FALSE),0),"")</f>
        <v/>
      </c>
      <c r="AI543" t="str">
        <f>IFERROR(O543&amp;"*"&amp;ROUND(S543*(P543/$AO543)/VLOOKUP(O543,职业!$A$3:$E$16,4,FALSE),0),"")</f>
        <v/>
      </c>
      <c r="AK543" t="str">
        <f>IFERROR(T543&amp;"*"&amp;ROUND(X543*(U543/$AP543)/VLOOKUP(T543,商品!$A$4:$D$67,4,FALSE),0),"")</f>
        <v/>
      </c>
      <c r="AL543" t="str">
        <f>IFERROR(V543&amp;"*"&amp;ROUND(X543*(W543/$AP543)/VLOOKUP(V543,商品!$A$4:$D$67,4,FALSE),0),"")</f>
        <v/>
      </c>
      <c r="AN543">
        <f t="shared" si="69"/>
        <v>0</v>
      </c>
      <c r="AO543">
        <f t="shared" si="70"/>
        <v>0</v>
      </c>
      <c r="AP543">
        <f t="shared" si="71"/>
        <v>0</v>
      </c>
    </row>
    <row r="544" customHeight="1" spans="1:42">
      <c r="A544" s="18" t="s">
        <v>389</v>
      </c>
      <c r="C544" s="18">
        <v>2</v>
      </c>
      <c r="D544" s="1" t="s">
        <v>249</v>
      </c>
      <c r="E544" s="1" t="s">
        <v>224</v>
      </c>
      <c r="L544" s="1">
        <f>IFERROR(VLOOKUP($D544&amp;$C544,生产方式定位!$A$2:$E$38,2,FALSE)+VLOOKUP($E544&amp;$C544,生产方式定位!$F$3:$J$38,2,FALSE),0)</f>
        <v>18500</v>
      </c>
      <c r="S544" s="1">
        <f>IFERROR(VLOOKUP($D544&amp;$C544,生产方式定位!$A$2:$E$38,3,FALSE)+VLOOKUP($E544&amp;$C544,生产方式定位!$F$3:$J$38,3,FALSE),0)</f>
        <v>9200</v>
      </c>
      <c r="X544" s="1">
        <f>IFERROR(VLOOKUP($D544&amp;$C544,生产方式定位!$A$2:$E$38,5,FALSE)+VLOOKUP($E544&amp;$C544,生产方式定位!$F$3:$J$38,5,FALSE),"错误")</f>
        <v>13922</v>
      </c>
      <c r="Y544" s="27" t="str">
        <f t="shared" si="64"/>
        <v/>
      </c>
      <c r="Z544" s="37" t="str">
        <f t="shared" si="65"/>
        <v/>
      </c>
      <c r="AA544" s="37" t="str">
        <f t="shared" si="66"/>
        <v/>
      </c>
      <c r="AB544" s="28">
        <f t="shared" si="67"/>
        <v>1.33</v>
      </c>
      <c r="AC544" s="37"/>
      <c r="AD544" s="38">
        <f t="shared" si="68"/>
        <v>2</v>
      </c>
      <c r="AE544" t="str">
        <f>IFERROR(F544&amp;"*"&amp;ROUND(L544*(G544/$AN544)/VLOOKUP(F544,商品!$A$4:$D$67,4,FALSE),0),"")</f>
        <v/>
      </c>
      <c r="AF544" t="str">
        <f>IFERROR(H544&amp;"*"&amp;ROUND(L544*(I544/$AN544)/VLOOKUP(H544,商品!$A$4:$D$67,4,FALSE),0),"")</f>
        <v/>
      </c>
      <c r="AG544" t="str">
        <f>IFERROR(J544&amp;"*"&amp;ROUND(L544*(K544/$AN544)/VLOOKUP(J544,商品!$A$4:$D$67,4,FALSE),0),"")</f>
        <v/>
      </c>
      <c r="AH544" t="str">
        <f>IFERROR(M544&amp;"*"&amp;ROUND(S544*(N544/$AO544)/VLOOKUP(M544,职业!$A$3:$E$16,4,FALSE),0),"")</f>
        <v/>
      </c>
      <c r="AI544" t="str">
        <f>IFERROR(O544&amp;"*"&amp;ROUND(S544*(P544/$AO544)/VLOOKUP(O544,职业!$A$3:$E$16,4,FALSE),0),"")</f>
        <v/>
      </c>
      <c r="AK544" t="str">
        <f>IFERROR(T544&amp;"*"&amp;ROUND(X544*(U544/$AP544)/VLOOKUP(T544,商品!$A$4:$D$67,4,FALSE),0),"")</f>
        <v/>
      </c>
      <c r="AL544" t="str">
        <f>IFERROR(V544&amp;"*"&amp;ROUND(X544*(W544/$AP544)/VLOOKUP(V544,商品!$A$4:$D$67,4,FALSE),0),"")</f>
        <v/>
      </c>
      <c r="AN544">
        <f t="shared" si="69"/>
        <v>0</v>
      </c>
      <c r="AO544">
        <f t="shared" si="70"/>
        <v>0</v>
      </c>
      <c r="AP544">
        <f t="shared" si="71"/>
        <v>0</v>
      </c>
    </row>
    <row r="545" customHeight="1" spans="1:42">
      <c r="A545" s="18" t="s">
        <v>389</v>
      </c>
      <c r="C545" s="18">
        <v>3</v>
      </c>
      <c r="D545" s="1" t="s">
        <v>249</v>
      </c>
      <c r="E545" s="1" t="s">
        <v>224</v>
      </c>
      <c r="L545" s="1">
        <f>IFERROR(VLOOKUP($D545&amp;$C545,生产方式定位!$A$2:$E$38,2,FALSE)+VLOOKUP($E545&amp;$C545,生产方式定位!$F$3:$J$38,2,FALSE),0)</f>
        <v>17000</v>
      </c>
      <c r="S545" s="1">
        <f>IFERROR(VLOOKUP($D545&amp;$C545,生产方式定位!$A$2:$E$38,3,FALSE)+VLOOKUP($E545&amp;$C545,生产方式定位!$F$3:$J$38,3,FALSE),0)</f>
        <v>8400</v>
      </c>
      <c r="X545" s="1">
        <f>IFERROR(VLOOKUP($D545&amp;$C545,生产方式定位!$A$2:$E$38,5,FALSE)+VLOOKUP($E545&amp;$C545,生产方式定位!$F$3:$J$38,5,FALSE),"错误")</f>
        <v>12988</v>
      </c>
      <c r="Y545" s="27" t="str">
        <f t="shared" si="64"/>
        <v/>
      </c>
      <c r="Z545" s="37" t="str">
        <f t="shared" si="65"/>
        <v/>
      </c>
      <c r="AA545" s="37" t="str">
        <f t="shared" si="66"/>
        <v/>
      </c>
      <c r="AB545" s="28">
        <f t="shared" si="67"/>
        <v>1.31</v>
      </c>
      <c r="AC545" s="37"/>
      <c r="AD545" s="38">
        <f t="shared" si="68"/>
        <v>3</v>
      </c>
      <c r="AE545" t="str">
        <f>IFERROR(F545&amp;"*"&amp;ROUND(L545*(G545/$AN545)/VLOOKUP(F545,商品!$A$4:$D$67,4,FALSE),0),"")</f>
        <v/>
      </c>
      <c r="AF545" t="str">
        <f>IFERROR(H545&amp;"*"&amp;ROUND(L545*(I545/$AN545)/VLOOKUP(H545,商品!$A$4:$D$67,4,FALSE),0),"")</f>
        <v/>
      </c>
      <c r="AG545" t="str">
        <f>IFERROR(J545&amp;"*"&amp;ROUND(L545*(K545/$AN545)/VLOOKUP(J545,商品!$A$4:$D$67,4,FALSE),0),"")</f>
        <v/>
      </c>
      <c r="AH545" t="str">
        <f>IFERROR(M545&amp;"*"&amp;ROUND(S545*(N545/$AO545)/VLOOKUP(M545,职业!$A$3:$E$16,4,FALSE),0),"")</f>
        <v/>
      </c>
      <c r="AI545" t="str">
        <f>IFERROR(O545&amp;"*"&amp;ROUND(S545*(P545/$AO545)/VLOOKUP(O545,职业!$A$3:$E$16,4,FALSE),0),"")</f>
        <v/>
      </c>
      <c r="AK545" t="str">
        <f>IFERROR(T545&amp;"*"&amp;ROUND(X545*(U545/$AP545)/VLOOKUP(T545,商品!$A$4:$D$67,4,FALSE),0),"")</f>
        <v/>
      </c>
      <c r="AL545" t="str">
        <f>IFERROR(V545&amp;"*"&amp;ROUND(X545*(W545/$AP545)/VLOOKUP(V545,商品!$A$4:$D$67,4,FALSE),0),"")</f>
        <v/>
      </c>
      <c r="AN545">
        <f t="shared" si="69"/>
        <v>0</v>
      </c>
      <c r="AO545">
        <f t="shared" si="70"/>
        <v>0</v>
      </c>
      <c r="AP545">
        <f t="shared" si="71"/>
        <v>0</v>
      </c>
    </row>
    <row r="546" customHeight="1" spans="1:42">
      <c r="A546" s="18" t="s">
        <v>389</v>
      </c>
      <c r="C546" s="18">
        <v>4</v>
      </c>
      <c r="D546" s="1" t="s">
        <v>249</v>
      </c>
      <c r="E546" s="1" t="s">
        <v>224</v>
      </c>
      <c r="L546" s="1">
        <f>IFERROR(VLOOKUP($D546&amp;$C546,生产方式定位!$A$2:$E$38,2,FALSE)+VLOOKUP($E546&amp;$C546,生产方式定位!$F$3:$J$38,2,FALSE),0)</f>
        <v>15500</v>
      </c>
      <c r="S546" s="1">
        <f>IFERROR(VLOOKUP($D546&amp;$C546,生产方式定位!$A$2:$E$38,3,FALSE)+VLOOKUP($E546&amp;$C546,生产方式定位!$F$3:$J$38,3,FALSE),0)</f>
        <v>7600</v>
      </c>
      <c r="X546" s="1">
        <f>IFERROR(VLOOKUP($D546&amp;$C546,生产方式定位!$A$2:$E$38,5,FALSE)+VLOOKUP($E546&amp;$C546,生产方式定位!$F$3:$J$38,5,FALSE),"错误")</f>
        <v>12198</v>
      </c>
      <c r="Y546" s="27" t="str">
        <f t="shared" si="64"/>
        <v/>
      </c>
      <c r="Z546" s="37" t="str">
        <f t="shared" si="65"/>
        <v/>
      </c>
      <c r="AA546" s="37" t="str">
        <f t="shared" si="66"/>
        <v/>
      </c>
      <c r="AB546" s="28">
        <f t="shared" si="67"/>
        <v>1.27</v>
      </c>
      <c r="AC546" s="37"/>
      <c r="AD546" s="38">
        <f t="shared" si="68"/>
        <v>4</v>
      </c>
      <c r="AE546" t="str">
        <f>IFERROR(F546&amp;"*"&amp;ROUND(L546*(G546/$AN546)/VLOOKUP(F546,商品!$A$4:$D$67,4,FALSE),0),"")</f>
        <v/>
      </c>
      <c r="AF546" t="str">
        <f>IFERROR(H546&amp;"*"&amp;ROUND(L546*(I546/$AN546)/VLOOKUP(H546,商品!$A$4:$D$67,4,FALSE),0),"")</f>
        <v/>
      </c>
      <c r="AG546" t="str">
        <f>IFERROR(J546&amp;"*"&amp;ROUND(L546*(K546/$AN546)/VLOOKUP(J546,商品!$A$4:$D$67,4,FALSE),0),"")</f>
        <v/>
      </c>
      <c r="AH546" t="str">
        <f>IFERROR(M546&amp;"*"&amp;ROUND(S546*(N546/$AO546)/VLOOKUP(M546,职业!$A$3:$E$16,4,FALSE),0),"")</f>
        <v/>
      </c>
      <c r="AI546" t="str">
        <f>IFERROR(O546&amp;"*"&amp;ROUND(S546*(P546/$AO546)/VLOOKUP(O546,职业!$A$3:$E$16,4,FALSE),0),"")</f>
        <v/>
      </c>
      <c r="AK546" t="str">
        <f>IFERROR(T546&amp;"*"&amp;ROUND(X546*(U546/$AP546)/VLOOKUP(T546,商品!$A$4:$D$67,4,FALSE),0),"")</f>
        <v/>
      </c>
      <c r="AL546" t="str">
        <f>IFERROR(V546&amp;"*"&amp;ROUND(X546*(W546/$AP546)/VLOOKUP(V546,商品!$A$4:$D$67,4,FALSE),0),"")</f>
        <v/>
      </c>
      <c r="AN546">
        <f t="shared" si="69"/>
        <v>0</v>
      </c>
      <c r="AO546">
        <f t="shared" si="70"/>
        <v>0</v>
      </c>
      <c r="AP546">
        <f t="shared" si="71"/>
        <v>0</v>
      </c>
    </row>
    <row r="547" customHeight="1" spans="1:42">
      <c r="A547" s="18" t="s">
        <v>389</v>
      </c>
      <c r="C547" s="18">
        <v>5</v>
      </c>
      <c r="D547" s="1" t="s">
        <v>249</v>
      </c>
      <c r="E547" s="1" t="s">
        <v>224</v>
      </c>
      <c r="L547" s="1">
        <f>IFERROR(VLOOKUP($D547&amp;$C547,生产方式定位!$A$2:$E$38,2,FALSE)+VLOOKUP($E547&amp;$C547,生产方式定位!$F$3:$J$38,2,FALSE),0)</f>
        <v>14000</v>
      </c>
      <c r="S547" s="1">
        <f>IFERROR(VLOOKUP($D547&amp;$C547,生产方式定位!$A$2:$E$38,3,FALSE)+VLOOKUP($E547&amp;$C547,生产方式定位!$F$3:$J$38,3,FALSE),0)</f>
        <v>6800</v>
      </c>
      <c r="X547" s="1">
        <f>IFERROR(VLOOKUP($D547&amp;$C547,生产方式定位!$A$2:$E$38,5,FALSE)+VLOOKUP($E547&amp;$C547,生产方式定位!$F$3:$J$38,5,FALSE),"错误")</f>
        <v>11600</v>
      </c>
      <c r="Y547" s="27" t="str">
        <f t="shared" si="64"/>
        <v/>
      </c>
      <c r="Z547" s="37" t="str">
        <f t="shared" si="65"/>
        <v/>
      </c>
      <c r="AA547" s="37" t="str">
        <f t="shared" si="66"/>
        <v/>
      </c>
      <c r="AB547" s="28">
        <f t="shared" si="67"/>
        <v>1.21</v>
      </c>
      <c r="AC547" s="37"/>
      <c r="AD547" s="38">
        <f t="shared" si="68"/>
        <v>5</v>
      </c>
      <c r="AE547" t="str">
        <f>IFERROR(F547&amp;"*"&amp;ROUND(L547*(G547/$AN547)/VLOOKUP(F547,商品!$A$4:$D$67,4,FALSE),0),"")</f>
        <v/>
      </c>
      <c r="AF547" t="str">
        <f>IFERROR(H547&amp;"*"&amp;ROUND(L547*(I547/$AN547)/VLOOKUP(H547,商品!$A$4:$D$67,4,FALSE),0),"")</f>
        <v/>
      </c>
      <c r="AG547" t="str">
        <f>IFERROR(J547&amp;"*"&amp;ROUND(L547*(K547/$AN547)/VLOOKUP(J547,商品!$A$4:$D$67,4,FALSE),0),"")</f>
        <v/>
      </c>
      <c r="AH547" t="str">
        <f>IFERROR(M547&amp;"*"&amp;ROUND(S547*(N547/$AO547)/VLOOKUP(M547,职业!$A$3:$E$16,4,FALSE),0),"")</f>
        <v/>
      </c>
      <c r="AI547" t="str">
        <f>IFERROR(O547&amp;"*"&amp;ROUND(S547*(P547/$AO547)/VLOOKUP(O547,职业!$A$3:$E$16,4,FALSE),0),"")</f>
        <v/>
      </c>
      <c r="AK547" t="str">
        <f>IFERROR(T547&amp;"*"&amp;ROUND(X547*(U547/$AP547)/VLOOKUP(T547,商品!$A$4:$D$67,4,FALSE),0),"")</f>
        <v/>
      </c>
      <c r="AL547" t="str">
        <f>IFERROR(V547&amp;"*"&amp;ROUND(X547*(W547/$AP547)/VLOOKUP(V547,商品!$A$4:$D$67,4,FALSE),0),"")</f>
        <v/>
      </c>
      <c r="AN547">
        <f t="shared" si="69"/>
        <v>0</v>
      </c>
      <c r="AO547">
        <f t="shared" si="70"/>
        <v>0</v>
      </c>
      <c r="AP547">
        <f t="shared" si="71"/>
        <v>0</v>
      </c>
    </row>
    <row r="548" customHeight="1" spans="1:42">
      <c r="A548" s="5" t="s">
        <v>389</v>
      </c>
      <c r="C548" s="5">
        <v>1</v>
      </c>
      <c r="D548" s="1" t="s">
        <v>249</v>
      </c>
      <c r="E548" s="1" t="s">
        <v>224</v>
      </c>
      <c r="L548" s="1">
        <f>IFERROR(VLOOKUP($D548&amp;$C548,生产方式定位!$A$2:$E$38,2,FALSE)+VLOOKUP($E548&amp;$C548,生产方式定位!$F$3:$J$38,2,FALSE),0)</f>
        <v>0</v>
      </c>
      <c r="S548" s="1">
        <f>IFERROR(VLOOKUP($D548&amp;$C548,生产方式定位!$A$2:$E$38,3,FALSE)+VLOOKUP($E548&amp;$C548,生产方式定位!$F$3:$J$38,3,FALSE),0)</f>
        <v>10000</v>
      </c>
      <c r="X548" s="1">
        <f>IFERROR(VLOOKUP($D548&amp;$C548,生产方式定位!$A$2:$E$38,5,FALSE)+VLOOKUP($E548&amp;$C548,生产方式定位!$F$3:$J$38,5,FALSE),"错误")</f>
        <v>15000</v>
      </c>
      <c r="Y548" s="27" t="str">
        <f t="shared" si="64"/>
        <v/>
      </c>
      <c r="Z548" s="37" t="str">
        <f t="shared" si="65"/>
        <v/>
      </c>
      <c r="AA548" s="37" t="str">
        <f t="shared" si="66"/>
        <v/>
      </c>
      <c r="AB548" s="28">
        <f t="shared" si="67"/>
        <v>0</v>
      </c>
      <c r="AC548" s="37"/>
      <c r="AD548" s="38">
        <f t="shared" si="68"/>
        <v>1</v>
      </c>
      <c r="AE548" t="str">
        <f>IFERROR(F548&amp;"*"&amp;ROUND(L548*(G548/$AN548)/VLOOKUP(F548,商品!$A$4:$D$67,4,FALSE),0),"")</f>
        <v/>
      </c>
      <c r="AF548" t="str">
        <f>IFERROR(H548&amp;"*"&amp;ROUND(L548*(I548/$AN548)/VLOOKUP(H548,商品!$A$4:$D$67,4,FALSE),0),"")</f>
        <v/>
      </c>
      <c r="AG548" t="str">
        <f>IFERROR(J548&amp;"*"&amp;ROUND(L548*(K548/$AN548)/VLOOKUP(J548,商品!$A$4:$D$67,4,FALSE),0),"")</f>
        <v/>
      </c>
      <c r="AH548" t="str">
        <f>IFERROR(M548&amp;"*"&amp;ROUND(S548*(N548/$AO548)/VLOOKUP(M548,职业!$A$3:$E$16,4,FALSE),0),"")</f>
        <v/>
      </c>
      <c r="AI548" t="str">
        <f>IFERROR(O548&amp;"*"&amp;ROUND(S548*(P548/$AO548)/VLOOKUP(O548,职业!$A$3:$E$16,4,FALSE),0),"")</f>
        <v/>
      </c>
      <c r="AK548" t="str">
        <f>IFERROR(T548&amp;"*"&amp;ROUND(X548*(U548/$AP548)/VLOOKUP(T548,商品!$A$4:$D$67,4,FALSE),0),"")</f>
        <v/>
      </c>
      <c r="AL548" t="str">
        <f>IFERROR(V548&amp;"*"&amp;ROUND(X548*(W548/$AP548)/VLOOKUP(V548,商品!$A$4:$D$67,4,FALSE),0),"")</f>
        <v/>
      </c>
      <c r="AN548">
        <f t="shared" si="69"/>
        <v>0</v>
      </c>
      <c r="AO548">
        <f t="shared" si="70"/>
        <v>0</v>
      </c>
      <c r="AP548">
        <f t="shared" si="71"/>
        <v>0</v>
      </c>
    </row>
    <row r="549" customHeight="1" spans="1:42">
      <c r="A549" s="5" t="s">
        <v>389</v>
      </c>
      <c r="C549" s="5">
        <v>2</v>
      </c>
      <c r="D549" s="1" t="s">
        <v>249</v>
      </c>
      <c r="E549" s="1" t="s">
        <v>224</v>
      </c>
      <c r="L549" s="1">
        <f>IFERROR(VLOOKUP($D549&amp;$C549,生产方式定位!$A$2:$E$38,2,FALSE)+VLOOKUP($E549&amp;$C549,生产方式定位!$F$3:$J$38,2,FALSE),0)</f>
        <v>18500</v>
      </c>
      <c r="S549" s="1">
        <f>IFERROR(VLOOKUP($D549&amp;$C549,生产方式定位!$A$2:$E$38,3,FALSE)+VLOOKUP($E549&amp;$C549,生产方式定位!$F$3:$J$38,3,FALSE),0)</f>
        <v>9200</v>
      </c>
      <c r="X549" s="1">
        <f>IFERROR(VLOOKUP($D549&amp;$C549,生产方式定位!$A$2:$E$38,5,FALSE)+VLOOKUP($E549&amp;$C549,生产方式定位!$F$3:$J$38,5,FALSE),"错误")</f>
        <v>13922</v>
      </c>
      <c r="Y549" s="27" t="str">
        <f t="shared" si="64"/>
        <v/>
      </c>
      <c r="Z549" s="37" t="str">
        <f t="shared" si="65"/>
        <v/>
      </c>
      <c r="AA549" s="37" t="str">
        <f t="shared" si="66"/>
        <v/>
      </c>
      <c r="AB549" s="28">
        <f t="shared" si="67"/>
        <v>1.33</v>
      </c>
      <c r="AC549" s="37"/>
      <c r="AD549" s="38">
        <f t="shared" si="68"/>
        <v>2</v>
      </c>
      <c r="AE549" t="str">
        <f>IFERROR(F549&amp;"*"&amp;ROUND(L549*(G549/$AN549)/VLOOKUP(F549,商品!$A$4:$D$67,4,FALSE),0),"")</f>
        <v/>
      </c>
      <c r="AF549" t="str">
        <f>IFERROR(H549&amp;"*"&amp;ROUND(L549*(I549/$AN549)/VLOOKUP(H549,商品!$A$4:$D$67,4,FALSE),0),"")</f>
        <v/>
      </c>
      <c r="AG549" t="str">
        <f>IFERROR(J549&amp;"*"&amp;ROUND(L549*(K549/$AN549)/VLOOKUP(J549,商品!$A$4:$D$67,4,FALSE),0),"")</f>
        <v/>
      </c>
      <c r="AH549" t="str">
        <f>IFERROR(M549&amp;"*"&amp;ROUND(S549*(N549/$AO549)/VLOOKUP(M549,职业!$A$3:$E$16,4,FALSE),0),"")</f>
        <v/>
      </c>
      <c r="AI549" t="str">
        <f>IFERROR(O549&amp;"*"&amp;ROUND(S549*(P549/$AO549)/VLOOKUP(O549,职业!$A$3:$E$16,4,FALSE),0),"")</f>
        <v/>
      </c>
      <c r="AK549" t="str">
        <f>IFERROR(T549&amp;"*"&amp;ROUND(X549*(U549/$AP549)/VLOOKUP(T549,商品!$A$4:$D$67,4,FALSE),0),"")</f>
        <v/>
      </c>
      <c r="AL549" t="str">
        <f>IFERROR(V549&amp;"*"&amp;ROUND(X549*(W549/$AP549)/VLOOKUP(V549,商品!$A$4:$D$67,4,FALSE),0),"")</f>
        <v/>
      </c>
      <c r="AN549">
        <f t="shared" si="69"/>
        <v>0</v>
      </c>
      <c r="AO549">
        <f t="shared" si="70"/>
        <v>0</v>
      </c>
      <c r="AP549">
        <f t="shared" si="71"/>
        <v>0</v>
      </c>
    </row>
    <row r="550" customHeight="1" spans="1:42">
      <c r="A550" s="5" t="s">
        <v>389</v>
      </c>
      <c r="C550" s="5">
        <v>3</v>
      </c>
      <c r="D550" s="1" t="s">
        <v>249</v>
      </c>
      <c r="E550" s="1" t="s">
        <v>224</v>
      </c>
      <c r="L550" s="1">
        <f>IFERROR(VLOOKUP($D550&amp;$C550,生产方式定位!$A$2:$E$38,2,FALSE)+VLOOKUP($E550&amp;$C550,生产方式定位!$F$3:$J$38,2,FALSE),0)</f>
        <v>17000</v>
      </c>
      <c r="S550" s="1">
        <f>IFERROR(VLOOKUP($D550&amp;$C550,生产方式定位!$A$2:$E$38,3,FALSE)+VLOOKUP($E550&amp;$C550,生产方式定位!$F$3:$J$38,3,FALSE),0)</f>
        <v>8400</v>
      </c>
      <c r="X550" s="1">
        <f>IFERROR(VLOOKUP($D550&amp;$C550,生产方式定位!$A$2:$E$38,5,FALSE)+VLOOKUP($E550&amp;$C550,生产方式定位!$F$3:$J$38,5,FALSE),"错误")</f>
        <v>12988</v>
      </c>
      <c r="Y550" s="27" t="str">
        <f t="shared" si="64"/>
        <v/>
      </c>
      <c r="Z550" s="37" t="str">
        <f t="shared" si="65"/>
        <v/>
      </c>
      <c r="AA550" s="37" t="str">
        <f t="shared" si="66"/>
        <v/>
      </c>
      <c r="AB550" s="28">
        <f t="shared" si="67"/>
        <v>1.31</v>
      </c>
      <c r="AC550" s="37"/>
      <c r="AD550" s="38">
        <f t="shared" si="68"/>
        <v>3</v>
      </c>
      <c r="AE550" t="str">
        <f>IFERROR(F550&amp;"*"&amp;ROUND(L550*(G550/$AN550)/VLOOKUP(F550,商品!$A$4:$D$67,4,FALSE),0),"")</f>
        <v/>
      </c>
      <c r="AF550" t="str">
        <f>IFERROR(H550&amp;"*"&amp;ROUND(L550*(I550/$AN550)/VLOOKUP(H550,商品!$A$4:$D$67,4,FALSE),0),"")</f>
        <v/>
      </c>
      <c r="AG550" t="str">
        <f>IFERROR(J550&amp;"*"&amp;ROUND(L550*(K550/$AN550)/VLOOKUP(J550,商品!$A$4:$D$67,4,FALSE),0),"")</f>
        <v/>
      </c>
      <c r="AH550" t="str">
        <f>IFERROR(M550&amp;"*"&amp;ROUND(S550*(N550/$AO550)/VLOOKUP(M550,职业!$A$3:$E$16,4,FALSE),0),"")</f>
        <v/>
      </c>
      <c r="AI550" t="str">
        <f>IFERROR(O550&amp;"*"&amp;ROUND(S550*(P550/$AO550)/VLOOKUP(O550,职业!$A$3:$E$16,4,FALSE),0),"")</f>
        <v/>
      </c>
      <c r="AK550" t="str">
        <f>IFERROR(T550&amp;"*"&amp;ROUND(X550*(U550/$AP550)/VLOOKUP(T550,商品!$A$4:$D$67,4,FALSE),0),"")</f>
        <v/>
      </c>
      <c r="AL550" t="str">
        <f>IFERROR(V550&amp;"*"&amp;ROUND(X550*(W550/$AP550)/VLOOKUP(V550,商品!$A$4:$D$67,4,FALSE),0),"")</f>
        <v/>
      </c>
      <c r="AN550">
        <f t="shared" si="69"/>
        <v>0</v>
      </c>
      <c r="AO550">
        <f t="shared" si="70"/>
        <v>0</v>
      </c>
      <c r="AP550">
        <f t="shared" si="71"/>
        <v>0</v>
      </c>
    </row>
    <row r="551" customHeight="1" spans="1:42">
      <c r="A551" s="5" t="s">
        <v>389</v>
      </c>
      <c r="C551" s="5">
        <v>4</v>
      </c>
      <c r="D551" s="1" t="s">
        <v>249</v>
      </c>
      <c r="E551" s="1" t="s">
        <v>224</v>
      </c>
      <c r="L551" s="1">
        <f>IFERROR(VLOOKUP($D551&amp;$C551,生产方式定位!$A$2:$E$38,2,FALSE)+VLOOKUP($E551&amp;$C551,生产方式定位!$F$3:$J$38,2,FALSE),0)</f>
        <v>15500</v>
      </c>
      <c r="S551" s="1">
        <f>IFERROR(VLOOKUP($D551&amp;$C551,生产方式定位!$A$2:$E$38,3,FALSE)+VLOOKUP($E551&amp;$C551,生产方式定位!$F$3:$J$38,3,FALSE),0)</f>
        <v>7600</v>
      </c>
      <c r="X551" s="1">
        <f>IFERROR(VLOOKUP($D551&amp;$C551,生产方式定位!$A$2:$E$38,5,FALSE)+VLOOKUP($E551&amp;$C551,生产方式定位!$F$3:$J$38,5,FALSE),"错误")</f>
        <v>12198</v>
      </c>
      <c r="Y551" s="27" t="str">
        <f t="shared" si="64"/>
        <v/>
      </c>
      <c r="Z551" s="37" t="str">
        <f t="shared" si="65"/>
        <v/>
      </c>
      <c r="AA551" s="37" t="str">
        <f t="shared" si="66"/>
        <v/>
      </c>
      <c r="AB551" s="28">
        <f t="shared" si="67"/>
        <v>1.27</v>
      </c>
      <c r="AC551" s="37"/>
      <c r="AD551" s="38">
        <f t="shared" si="68"/>
        <v>4</v>
      </c>
      <c r="AE551" t="str">
        <f>IFERROR(F551&amp;"*"&amp;ROUND(L551*(G551/$AN551)/VLOOKUP(F551,商品!$A$4:$D$67,4,FALSE),0),"")</f>
        <v/>
      </c>
      <c r="AF551" t="str">
        <f>IFERROR(H551&amp;"*"&amp;ROUND(L551*(I551/$AN551)/VLOOKUP(H551,商品!$A$4:$D$67,4,FALSE),0),"")</f>
        <v/>
      </c>
      <c r="AG551" t="str">
        <f>IFERROR(J551&amp;"*"&amp;ROUND(L551*(K551/$AN551)/VLOOKUP(J551,商品!$A$4:$D$67,4,FALSE),0),"")</f>
        <v/>
      </c>
      <c r="AH551" t="str">
        <f>IFERROR(M551&amp;"*"&amp;ROUND(S551*(N551/$AO551)/VLOOKUP(M551,职业!$A$3:$E$16,4,FALSE),0),"")</f>
        <v/>
      </c>
      <c r="AI551" t="str">
        <f>IFERROR(O551&amp;"*"&amp;ROUND(S551*(P551/$AO551)/VLOOKUP(O551,职业!$A$3:$E$16,4,FALSE),0),"")</f>
        <v/>
      </c>
      <c r="AK551" t="str">
        <f>IFERROR(T551&amp;"*"&amp;ROUND(X551*(U551/$AP551)/VLOOKUP(T551,商品!$A$4:$D$67,4,FALSE),0),"")</f>
        <v/>
      </c>
      <c r="AL551" t="str">
        <f>IFERROR(V551&amp;"*"&amp;ROUND(X551*(W551/$AP551)/VLOOKUP(V551,商品!$A$4:$D$67,4,FALSE),0),"")</f>
        <v/>
      </c>
      <c r="AN551">
        <f t="shared" si="69"/>
        <v>0</v>
      </c>
      <c r="AO551">
        <f t="shared" si="70"/>
        <v>0</v>
      </c>
      <c r="AP551">
        <f t="shared" si="71"/>
        <v>0</v>
      </c>
    </row>
    <row r="552" customHeight="1" spans="1:42">
      <c r="A552" s="5" t="s">
        <v>389</v>
      </c>
      <c r="C552" s="5">
        <v>5</v>
      </c>
      <c r="D552" s="1" t="s">
        <v>249</v>
      </c>
      <c r="E552" s="1" t="s">
        <v>224</v>
      </c>
      <c r="L552" s="1">
        <f>IFERROR(VLOOKUP($D552&amp;$C552,生产方式定位!$A$2:$E$38,2,FALSE)+VLOOKUP($E552&amp;$C552,生产方式定位!$F$3:$J$38,2,FALSE),0)</f>
        <v>14000</v>
      </c>
      <c r="S552" s="1">
        <f>IFERROR(VLOOKUP($D552&amp;$C552,生产方式定位!$A$2:$E$38,3,FALSE)+VLOOKUP($E552&amp;$C552,生产方式定位!$F$3:$J$38,3,FALSE),0)</f>
        <v>6800</v>
      </c>
      <c r="X552" s="1">
        <f>IFERROR(VLOOKUP($D552&amp;$C552,生产方式定位!$A$2:$E$38,5,FALSE)+VLOOKUP($E552&amp;$C552,生产方式定位!$F$3:$J$38,5,FALSE),"错误")</f>
        <v>11600</v>
      </c>
      <c r="Y552" s="27" t="str">
        <f t="shared" si="64"/>
        <v/>
      </c>
      <c r="Z552" s="37" t="str">
        <f t="shared" si="65"/>
        <v/>
      </c>
      <c r="AA552" s="37" t="str">
        <f t="shared" si="66"/>
        <v/>
      </c>
      <c r="AB552" s="28">
        <f t="shared" si="67"/>
        <v>1.21</v>
      </c>
      <c r="AC552" s="37"/>
      <c r="AD552" s="38">
        <f t="shared" si="68"/>
        <v>5</v>
      </c>
      <c r="AE552" t="str">
        <f>IFERROR(F552&amp;"*"&amp;ROUND(L552*(G552/$AN552)/VLOOKUP(F552,商品!$A$4:$D$67,4,FALSE),0),"")</f>
        <v/>
      </c>
      <c r="AF552" t="str">
        <f>IFERROR(H552&amp;"*"&amp;ROUND(L552*(I552/$AN552)/VLOOKUP(H552,商品!$A$4:$D$67,4,FALSE),0),"")</f>
        <v/>
      </c>
      <c r="AG552" t="str">
        <f>IFERROR(J552&amp;"*"&amp;ROUND(L552*(K552/$AN552)/VLOOKUP(J552,商品!$A$4:$D$67,4,FALSE),0),"")</f>
        <v/>
      </c>
      <c r="AH552" t="str">
        <f>IFERROR(M552&amp;"*"&amp;ROUND(S552*(N552/$AO552)/VLOOKUP(M552,职业!$A$3:$E$16,4,FALSE),0),"")</f>
        <v/>
      </c>
      <c r="AI552" t="str">
        <f>IFERROR(O552&amp;"*"&amp;ROUND(S552*(P552/$AO552)/VLOOKUP(O552,职业!$A$3:$E$16,4,FALSE),0),"")</f>
        <v/>
      </c>
      <c r="AK552" t="str">
        <f>IFERROR(T552&amp;"*"&amp;ROUND(X552*(U552/$AP552)/VLOOKUP(T552,商品!$A$4:$D$67,4,FALSE),0),"")</f>
        <v/>
      </c>
      <c r="AL552" t="str">
        <f>IFERROR(V552&amp;"*"&amp;ROUND(X552*(W552/$AP552)/VLOOKUP(V552,商品!$A$4:$D$67,4,FALSE),0),"")</f>
        <v/>
      </c>
      <c r="AN552">
        <f t="shared" si="69"/>
        <v>0</v>
      </c>
      <c r="AO552">
        <f t="shared" si="70"/>
        <v>0</v>
      </c>
      <c r="AP552">
        <f t="shared" si="71"/>
        <v>0</v>
      </c>
    </row>
    <row r="553" customHeight="1" spans="1:42">
      <c r="A553" s="18" t="s">
        <v>390</v>
      </c>
      <c r="C553" s="18">
        <v>1</v>
      </c>
      <c r="D553" s="1" t="s">
        <v>249</v>
      </c>
      <c r="E553" s="1" t="s">
        <v>257</v>
      </c>
      <c r="L553" s="1">
        <f>IFERROR(VLOOKUP($D553&amp;$C553,生产方式定位!$A$2:$E$38,2,FALSE)+VLOOKUP($E553&amp;$C553,生产方式定位!$F$3:$J$38,2,FALSE),0)</f>
        <v>0</v>
      </c>
      <c r="S553" s="1">
        <f>IFERROR(VLOOKUP($D553&amp;$C553,生产方式定位!$A$2:$E$38,3,FALSE)+VLOOKUP($E553&amp;$C553,生产方式定位!$F$3:$J$38,3,FALSE),0)</f>
        <v>0</v>
      </c>
      <c r="X553" s="1" t="str">
        <f>IFERROR(VLOOKUP($D553&amp;$C553,生产方式定位!$A$2:$E$38,5,FALSE)+VLOOKUP($E553&amp;$C553,生产方式定位!$F$3:$J$38,5,FALSE),"错误")</f>
        <v>错误</v>
      </c>
      <c r="Y553" s="27" t="str">
        <f t="shared" si="64"/>
        <v/>
      </c>
      <c r="Z553" s="37" t="str">
        <f t="shared" si="65"/>
        <v/>
      </c>
      <c r="AA553" s="37" t="str">
        <f t="shared" si="66"/>
        <v/>
      </c>
      <c r="AB553" s="28" t="str">
        <f t="shared" si="67"/>
        <v/>
      </c>
      <c r="AC553" s="37"/>
      <c r="AD553" s="38">
        <f t="shared" si="68"/>
        <v>1</v>
      </c>
      <c r="AE553" t="str">
        <f>IFERROR(F553&amp;"*"&amp;ROUND(L553*(G553/$AN553)/VLOOKUP(F553,商品!$A$4:$D$67,4,FALSE),0),"")</f>
        <v/>
      </c>
      <c r="AF553" t="str">
        <f>IFERROR(H553&amp;"*"&amp;ROUND(L553*(I553/$AN553)/VLOOKUP(H553,商品!$A$4:$D$67,4,FALSE),0),"")</f>
        <v/>
      </c>
      <c r="AG553" t="str">
        <f>IFERROR(J553&amp;"*"&amp;ROUND(L553*(K553/$AN553)/VLOOKUP(J553,商品!$A$4:$D$67,4,FALSE),0),"")</f>
        <v/>
      </c>
      <c r="AH553" t="str">
        <f>IFERROR(M553&amp;"*"&amp;ROUND(S553*(N553/$AO553)/VLOOKUP(M553,职业!$A$3:$E$16,4,FALSE),0),"")</f>
        <v/>
      </c>
      <c r="AI553" t="str">
        <f>IFERROR(O553&amp;"*"&amp;ROUND(S553*(P553/$AO553)/VLOOKUP(O553,职业!$A$3:$E$16,4,FALSE),0),"")</f>
        <v/>
      </c>
      <c r="AK553" t="str">
        <f>IFERROR(T553&amp;"*"&amp;ROUND(X553*(U553/$AP553)/VLOOKUP(T553,商品!$A$4:$D$67,4,FALSE),0),"")</f>
        <v/>
      </c>
      <c r="AL553" t="str">
        <f>IFERROR(V553&amp;"*"&amp;ROUND(X553*(W553/$AP553)/VLOOKUP(V553,商品!$A$4:$D$67,4,FALSE),0),"")</f>
        <v/>
      </c>
      <c r="AN553">
        <f t="shared" si="69"/>
        <v>0</v>
      </c>
      <c r="AO553">
        <f t="shared" si="70"/>
        <v>0</v>
      </c>
      <c r="AP553">
        <f t="shared" si="71"/>
        <v>0</v>
      </c>
    </row>
    <row r="554" customHeight="1" spans="1:42">
      <c r="A554" s="18" t="s">
        <v>390</v>
      </c>
      <c r="C554" s="18">
        <v>2</v>
      </c>
      <c r="D554" s="1" t="s">
        <v>249</v>
      </c>
      <c r="E554" s="1" t="s">
        <v>257</v>
      </c>
      <c r="L554" s="1">
        <f>IFERROR(VLOOKUP($D554&amp;$C554,生产方式定位!$A$2:$E$38,2,FALSE)+VLOOKUP($E554&amp;$C554,生产方式定位!$F$3:$J$38,2,FALSE),0)</f>
        <v>0</v>
      </c>
      <c r="S554" s="1">
        <f>IFERROR(VLOOKUP($D554&amp;$C554,生产方式定位!$A$2:$E$38,3,FALSE)+VLOOKUP($E554&amp;$C554,生产方式定位!$F$3:$J$38,3,FALSE),0)</f>
        <v>0</v>
      </c>
      <c r="X554" s="1" t="str">
        <f>IFERROR(VLOOKUP($D554&amp;$C554,生产方式定位!$A$2:$E$38,5,FALSE)+VLOOKUP($E554&amp;$C554,生产方式定位!$F$3:$J$38,5,FALSE),"错误")</f>
        <v>错误</v>
      </c>
      <c r="Y554" s="27" t="str">
        <f t="shared" si="64"/>
        <v/>
      </c>
      <c r="Z554" s="37" t="str">
        <f t="shared" si="65"/>
        <v/>
      </c>
      <c r="AA554" s="37" t="str">
        <f t="shared" si="66"/>
        <v/>
      </c>
      <c r="AB554" s="28" t="str">
        <f t="shared" si="67"/>
        <v/>
      </c>
      <c r="AC554" s="37"/>
      <c r="AD554" s="38">
        <f t="shared" si="68"/>
        <v>2</v>
      </c>
      <c r="AE554" t="str">
        <f>IFERROR(F554&amp;"*"&amp;ROUND(L554*(G554/$AN554)/VLOOKUP(F554,商品!$A$4:$D$67,4,FALSE),0),"")</f>
        <v/>
      </c>
      <c r="AF554" t="str">
        <f>IFERROR(H554&amp;"*"&amp;ROUND(L554*(I554/$AN554)/VLOOKUP(H554,商品!$A$4:$D$67,4,FALSE),0),"")</f>
        <v/>
      </c>
      <c r="AG554" t="str">
        <f>IFERROR(J554&amp;"*"&amp;ROUND(L554*(K554/$AN554)/VLOOKUP(J554,商品!$A$4:$D$67,4,FALSE),0),"")</f>
        <v/>
      </c>
      <c r="AH554" t="str">
        <f>IFERROR(M554&amp;"*"&amp;ROUND(S554*(N554/$AO554)/VLOOKUP(M554,职业!$A$3:$E$16,4,FALSE),0),"")</f>
        <v/>
      </c>
      <c r="AI554" t="str">
        <f>IFERROR(O554&amp;"*"&amp;ROUND(S554*(P554/$AO554)/VLOOKUP(O554,职业!$A$3:$E$16,4,FALSE),0),"")</f>
        <v/>
      </c>
      <c r="AK554" t="str">
        <f>IFERROR(T554&amp;"*"&amp;ROUND(X554*(U554/$AP554)/VLOOKUP(T554,商品!$A$4:$D$67,4,FALSE),0),"")</f>
        <v/>
      </c>
      <c r="AL554" t="str">
        <f>IFERROR(V554&amp;"*"&amp;ROUND(X554*(W554/$AP554)/VLOOKUP(V554,商品!$A$4:$D$67,4,FALSE),0),"")</f>
        <v/>
      </c>
      <c r="AN554">
        <f t="shared" si="69"/>
        <v>0</v>
      </c>
      <c r="AO554">
        <f t="shared" si="70"/>
        <v>0</v>
      </c>
      <c r="AP554">
        <f t="shared" si="71"/>
        <v>0</v>
      </c>
    </row>
    <row r="555" customHeight="1" spans="1:42">
      <c r="A555" s="18" t="s">
        <v>390</v>
      </c>
      <c r="C555" s="18">
        <v>3</v>
      </c>
      <c r="D555" s="1" t="s">
        <v>249</v>
      </c>
      <c r="E555" s="1" t="s">
        <v>257</v>
      </c>
      <c r="L555" s="1">
        <f>IFERROR(VLOOKUP($D555&amp;$C555,生产方式定位!$A$2:$E$38,2,FALSE)+VLOOKUP($E555&amp;$C555,生产方式定位!$F$3:$J$38,2,FALSE),0)</f>
        <v>0</v>
      </c>
      <c r="S555" s="1">
        <f>IFERROR(VLOOKUP($D555&amp;$C555,生产方式定位!$A$2:$E$38,3,FALSE)+VLOOKUP($E555&amp;$C555,生产方式定位!$F$3:$J$38,3,FALSE),0)</f>
        <v>0</v>
      </c>
      <c r="X555" s="1" t="str">
        <f>IFERROR(VLOOKUP($D555&amp;$C555,生产方式定位!$A$2:$E$38,5,FALSE)+VLOOKUP($E555&amp;$C555,生产方式定位!$F$3:$J$38,5,FALSE),"错误")</f>
        <v>错误</v>
      </c>
      <c r="Y555" s="27" t="str">
        <f t="shared" si="64"/>
        <v/>
      </c>
      <c r="Z555" s="37" t="str">
        <f t="shared" si="65"/>
        <v/>
      </c>
      <c r="AA555" s="37" t="str">
        <f t="shared" si="66"/>
        <v/>
      </c>
      <c r="AB555" s="28" t="str">
        <f t="shared" si="67"/>
        <v/>
      </c>
      <c r="AC555" s="37"/>
      <c r="AD555" s="38">
        <f t="shared" si="68"/>
        <v>3</v>
      </c>
      <c r="AE555" t="str">
        <f>IFERROR(F555&amp;"*"&amp;ROUND(L555*(G555/$AN555)/VLOOKUP(F555,商品!$A$4:$D$67,4,FALSE),0),"")</f>
        <v/>
      </c>
      <c r="AF555" t="str">
        <f>IFERROR(H555&amp;"*"&amp;ROUND(L555*(I555/$AN555)/VLOOKUP(H555,商品!$A$4:$D$67,4,FALSE),0),"")</f>
        <v/>
      </c>
      <c r="AG555" t="str">
        <f>IFERROR(J555&amp;"*"&amp;ROUND(L555*(K555/$AN555)/VLOOKUP(J555,商品!$A$4:$D$67,4,FALSE),0),"")</f>
        <v/>
      </c>
      <c r="AH555" t="str">
        <f>IFERROR(M555&amp;"*"&amp;ROUND(S555*(N555/$AO555)/VLOOKUP(M555,职业!$A$3:$E$16,4,FALSE),0),"")</f>
        <v/>
      </c>
      <c r="AI555" t="str">
        <f>IFERROR(O555&amp;"*"&amp;ROUND(S555*(P555/$AO555)/VLOOKUP(O555,职业!$A$3:$E$16,4,FALSE),0),"")</f>
        <v/>
      </c>
      <c r="AK555" t="str">
        <f>IFERROR(T555&amp;"*"&amp;ROUND(X555*(U555/$AP555)/VLOOKUP(T555,商品!$A$4:$D$67,4,FALSE),0),"")</f>
        <v/>
      </c>
      <c r="AL555" t="str">
        <f>IFERROR(V555&amp;"*"&amp;ROUND(X555*(W555/$AP555)/VLOOKUP(V555,商品!$A$4:$D$67,4,FALSE),0),"")</f>
        <v/>
      </c>
      <c r="AN555">
        <f t="shared" si="69"/>
        <v>0</v>
      </c>
      <c r="AO555">
        <f t="shared" si="70"/>
        <v>0</v>
      </c>
      <c r="AP555">
        <f t="shared" si="71"/>
        <v>0</v>
      </c>
    </row>
    <row r="556" customHeight="1" spans="1:42">
      <c r="A556" s="18" t="s">
        <v>390</v>
      </c>
      <c r="C556" s="18">
        <v>4</v>
      </c>
      <c r="D556" s="1" t="s">
        <v>249</v>
      </c>
      <c r="E556" s="1" t="s">
        <v>257</v>
      </c>
      <c r="L556" s="1">
        <f>IFERROR(VLOOKUP($D556&amp;$C556,生产方式定位!$A$2:$E$38,2,FALSE)+VLOOKUP($E556&amp;$C556,生产方式定位!$F$3:$J$38,2,FALSE),0)</f>
        <v>0</v>
      </c>
      <c r="S556" s="1">
        <f>IFERROR(VLOOKUP($D556&amp;$C556,生产方式定位!$A$2:$E$38,3,FALSE)+VLOOKUP($E556&amp;$C556,生产方式定位!$F$3:$J$38,3,FALSE),0)</f>
        <v>0</v>
      </c>
      <c r="X556" s="1" t="str">
        <f>IFERROR(VLOOKUP($D556&amp;$C556,生产方式定位!$A$2:$E$38,5,FALSE)+VLOOKUP($E556&amp;$C556,生产方式定位!$F$3:$J$38,5,FALSE),"错误")</f>
        <v>错误</v>
      </c>
      <c r="Y556" s="27" t="str">
        <f t="shared" si="64"/>
        <v/>
      </c>
      <c r="Z556" s="37" t="str">
        <f t="shared" si="65"/>
        <v/>
      </c>
      <c r="AA556" s="37" t="str">
        <f t="shared" si="66"/>
        <v/>
      </c>
      <c r="AB556" s="28" t="str">
        <f t="shared" si="67"/>
        <v/>
      </c>
      <c r="AC556" s="37"/>
      <c r="AD556" s="38">
        <f t="shared" si="68"/>
        <v>4</v>
      </c>
      <c r="AE556" t="str">
        <f>IFERROR(F556&amp;"*"&amp;ROUND(L556*(G556/$AN556)/VLOOKUP(F556,商品!$A$4:$D$67,4,FALSE),0),"")</f>
        <v/>
      </c>
      <c r="AF556" t="str">
        <f>IFERROR(H556&amp;"*"&amp;ROUND(L556*(I556/$AN556)/VLOOKUP(H556,商品!$A$4:$D$67,4,FALSE),0),"")</f>
        <v/>
      </c>
      <c r="AG556" t="str">
        <f>IFERROR(J556&amp;"*"&amp;ROUND(L556*(K556/$AN556)/VLOOKUP(J556,商品!$A$4:$D$67,4,FALSE),0),"")</f>
        <v/>
      </c>
      <c r="AH556" t="str">
        <f>IFERROR(M556&amp;"*"&amp;ROUND(S556*(N556/$AO556)/VLOOKUP(M556,职业!$A$3:$E$16,4,FALSE),0),"")</f>
        <v/>
      </c>
      <c r="AI556" t="str">
        <f>IFERROR(O556&amp;"*"&amp;ROUND(S556*(P556/$AO556)/VLOOKUP(O556,职业!$A$3:$E$16,4,FALSE),0),"")</f>
        <v/>
      </c>
      <c r="AK556" t="str">
        <f>IFERROR(T556&amp;"*"&amp;ROUND(X556*(U556/$AP556)/VLOOKUP(T556,商品!$A$4:$D$67,4,FALSE),0),"")</f>
        <v/>
      </c>
      <c r="AL556" t="str">
        <f>IFERROR(V556&amp;"*"&amp;ROUND(X556*(W556/$AP556)/VLOOKUP(V556,商品!$A$4:$D$67,4,FALSE),0),"")</f>
        <v/>
      </c>
      <c r="AN556">
        <f t="shared" si="69"/>
        <v>0</v>
      </c>
      <c r="AO556">
        <f t="shared" si="70"/>
        <v>0</v>
      </c>
      <c r="AP556">
        <f t="shared" si="71"/>
        <v>0</v>
      </c>
    </row>
    <row r="557" customHeight="1" spans="1:42">
      <c r="A557" s="18" t="s">
        <v>390</v>
      </c>
      <c r="C557" s="18">
        <v>5</v>
      </c>
      <c r="D557" s="1" t="s">
        <v>249</v>
      </c>
      <c r="E557" s="1" t="s">
        <v>257</v>
      </c>
      <c r="L557" s="1">
        <f>IFERROR(VLOOKUP($D557&amp;$C557,生产方式定位!$A$2:$E$38,2,FALSE)+VLOOKUP($E557&amp;$C557,生产方式定位!$F$3:$J$38,2,FALSE),0)</f>
        <v>0</v>
      </c>
      <c r="S557" s="1">
        <f>IFERROR(VLOOKUP($D557&amp;$C557,生产方式定位!$A$2:$E$38,3,FALSE)+VLOOKUP($E557&amp;$C557,生产方式定位!$F$3:$J$38,3,FALSE),0)</f>
        <v>0</v>
      </c>
      <c r="X557" s="1" t="str">
        <f>IFERROR(VLOOKUP($D557&amp;$C557,生产方式定位!$A$2:$E$38,5,FALSE)+VLOOKUP($E557&amp;$C557,生产方式定位!$F$3:$J$38,5,FALSE),"错误")</f>
        <v>错误</v>
      </c>
      <c r="Y557" s="27" t="str">
        <f t="shared" si="64"/>
        <v/>
      </c>
      <c r="Z557" s="37" t="str">
        <f t="shared" si="65"/>
        <v/>
      </c>
      <c r="AA557" s="37" t="str">
        <f t="shared" si="66"/>
        <v/>
      </c>
      <c r="AB557" s="28" t="str">
        <f t="shared" si="67"/>
        <v/>
      </c>
      <c r="AC557" s="37"/>
      <c r="AD557" s="38">
        <f t="shared" si="68"/>
        <v>5</v>
      </c>
      <c r="AE557" t="str">
        <f>IFERROR(F557&amp;"*"&amp;ROUND(L557*(G557/$AN557)/VLOOKUP(F557,商品!$A$4:$D$67,4,FALSE),0),"")</f>
        <v/>
      </c>
      <c r="AF557" t="str">
        <f>IFERROR(H557&amp;"*"&amp;ROUND(L557*(I557/$AN557)/VLOOKUP(H557,商品!$A$4:$D$67,4,FALSE),0),"")</f>
        <v/>
      </c>
      <c r="AG557" t="str">
        <f>IFERROR(J557&amp;"*"&amp;ROUND(L557*(K557/$AN557)/VLOOKUP(J557,商品!$A$4:$D$67,4,FALSE),0),"")</f>
        <v/>
      </c>
      <c r="AH557" t="str">
        <f>IFERROR(M557&amp;"*"&amp;ROUND(S557*(N557/$AO557)/VLOOKUP(M557,职业!$A$3:$E$16,4,FALSE),0),"")</f>
        <v/>
      </c>
      <c r="AI557" t="str">
        <f>IFERROR(O557&amp;"*"&amp;ROUND(S557*(P557/$AO557)/VLOOKUP(O557,职业!$A$3:$E$16,4,FALSE),0),"")</f>
        <v/>
      </c>
      <c r="AK557" t="str">
        <f>IFERROR(T557&amp;"*"&amp;ROUND(X557*(U557/$AP557)/VLOOKUP(T557,商品!$A$4:$D$67,4,FALSE),0),"")</f>
        <v/>
      </c>
      <c r="AL557" t="str">
        <f>IFERROR(V557&amp;"*"&amp;ROUND(X557*(W557/$AP557)/VLOOKUP(V557,商品!$A$4:$D$67,4,FALSE),0),"")</f>
        <v/>
      </c>
      <c r="AN557">
        <f t="shared" si="69"/>
        <v>0</v>
      </c>
      <c r="AO557">
        <f t="shared" si="70"/>
        <v>0</v>
      </c>
      <c r="AP557">
        <f t="shared" si="71"/>
        <v>0</v>
      </c>
    </row>
    <row r="558" customHeight="1" spans="1:42">
      <c r="A558" s="5" t="s">
        <v>391</v>
      </c>
      <c r="C558" s="5">
        <v>1</v>
      </c>
      <c r="D558" s="1" t="s">
        <v>293</v>
      </c>
      <c r="E558" s="1" t="s">
        <v>227</v>
      </c>
      <c r="L558" s="1">
        <f>IFERROR(VLOOKUP($D558&amp;$C558,生产方式定位!$A$2:$E$38,2,FALSE)+VLOOKUP($E558&amp;$C558,生产方式定位!$F$3:$J$38,2,FALSE),0)</f>
        <v>0</v>
      </c>
      <c r="S558" s="1">
        <f>IFERROR(VLOOKUP($D558&amp;$C558,生产方式定位!$A$2:$E$38,3,FALSE)+VLOOKUP($E558&amp;$C558,生产方式定位!$F$3:$J$38,3,FALSE),0)</f>
        <v>0</v>
      </c>
      <c r="X558" s="1">
        <f>IFERROR(VLOOKUP($D558&amp;$C558,生产方式定位!$A$2:$E$38,5,FALSE)+VLOOKUP($E558&amp;$C558,生产方式定位!$F$3:$J$38,5,FALSE),"错误")</f>
        <v>0</v>
      </c>
      <c r="Y558" s="27" t="str">
        <f t="shared" si="64"/>
        <v/>
      </c>
      <c r="Z558" s="37" t="str">
        <f t="shared" si="65"/>
        <v/>
      </c>
      <c r="AA558" s="37" t="str">
        <f t="shared" si="66"/>
        <v/>
      </c>
      <c r="AB558" s="28" t="str">
        <f t="shared" si="67"/>
        <v/>
      </c>
      <c r="AC558" s="37"/>
      <c r="AD558" s="38">
        <f t="shared" si="68"/>
        <v>1</v>
      </c>
      <c r="AE558" t="str">
        <f>IFERROR(F558&amp;"*"&amp;ROUND(L558*(G558/$AN558)/VLOOKUP(F558,商品!$A$4:$D$67,4,FALSE),0),"")</f>
        <v/>
      </c>
      <c r="AF558" t="str">
        <f>IFERROR(H558&amp;"*"&amp;ROUND(L558*(I558/$AN558)/VLOOKUP(H558,商品!$A$4:$D$67,4,FALSE),0),"")</f>
        <v/>
      </c>
      <c r="AG558" t="str">
        <f>IFERROR(J558&amp;"*"&amp;ROUND(L558*(K558/$AN558)/VLOOKUP(J558,商品!$A$4:$D$67,4,FALSE),0),"")</f>
        <v/>
      </c>
      <c r="AH558" t="str">
        <f>IFERROR(M558&amp;"*"&amp;ROUND(S558*(N558/$AO558)/VLOOKUP(M558,职业!$A$3:$E$16,4,FALSE),0),"")</f>
        <v/>
      </c>
      <c r="AI558" t="str">
        <f>IFERROR(O558&amp;"*"&amp;ROUND(S558*(P558/$AO558)/VLOOKUP(O558,职业!$A$3:$E$16,4,FALSE),0),"")</f>
        <v/>
      </c>
      <c r="AK558" t="str">
        <f>IFERROR(T558&amp;"*"&amp;ROUND(X558*(U558/$AP558)/VLOOKUP(T558,商品!$A$4:$D$67,4,FALSE),0),"")</f>
        <v/>
      </c>
      <c r="AL558" t="str">
        <f>IFERROR(V558&amp;"*"&amp;ROUND(X558*(W558/$AP558)/VLOOKUP(V558,商品!$A$4:$D$67,4,FALSE),0),"")</f>
        <v/>
      </c>
      <c r="AN558">
        <f t="shared" si="69"/>
        <v>0</v>
      </c>
      <c r="AO558">
        <f t="shared" si="70"/>
        <v>0</v>
      </c>
      <c r="AP558">
        <f t="shared" si="71"/>
        <v>0</v>
      </c>
    </row>
    <row r="559" customHeight="1" spans="1:42">
      <c r="A559" s="5" t="s">
        <v>391</v>
      </c>
      <c r="C559" s="5">
        <v>2</v>
      </c>
      <c r="D559" s="1" t="s">
        <v>293</v>
      </c>
      <c r="E559" s="1" t="s">
        <v>227</v>
      </c>
      <c r="L559" s="1">
        <f>IFERROR(VLOOKUP($D559&amp;$C559,生产方式定位!$A$2:$E$38,2,FALSE)+VLOOKUP($E559&amp;$C559,生产方式定位!$F$3:$J$38,2,FALSE),0)</f>
        <v>0</v>
      </c>
      <c r="S559" s="1">
        <f>IFERROR(VLOOKUP($D559&amp;$C559,生产方式定位!$A$2:$E$38,3,FALSE)+VLOOKUP($E559&amp;$C559,生产方式定位!$F$3:$J$38,3,FALSE),0)</f>
        <v>0</v>
      </c>
      <c r="X559" s="1">
        <f>IFERROR(VLOOKUP($D559&amp;$C559,生产方式定位!$A$2:$E$38,5,FALSE)+VLOOKUP($E559&amp;$C559,生产方式定位!$F$3:$J$38,5,FALSE),"错误")</f>
        <v>0</v>
      </c>
      <c r="Y559" s="27" t="str">
        <f t="shared" si="64"/>
        <v/>
      </c>
      <c r="Z559" s="37" t="str">
        <f t="shared" si="65"/>
        <v/>
      </c>
      <c r="AA559" s="37" t="str">
        <f t="shared" si="66"/>
        <v/>
      </c>
      <c r="AB559" s="28" t="str">
        <f t="shared" si="67"/>
        <v/>
      </c>
      <c r="AC559" s="37"/>
      <c r="AD559" s="38">
        <f t="shared" si="68"/>
        <v>2</v>
      </c>
      <c r="AE559" t="str">
        <f>IFERROR(F559&amp;"*"&amp;ROUND(L559*(G559/$AN559)/VLOOKUP(F559,商品!$A$4:$D$67,4,FALSE),0),"")</f>
        <v/>
      </c>
      <c r="AF559" t="str">
        <f>IFERROR(H559&amp;"*"&amp;ROUND(L559*(I559/$AN559)/VLOOKUP(H559,商品!$A$4:$D$67,4,FALSE),0),"")</f>
        <v/>
      </c>
      <c r="AG559" t="str">
        <f>IFERROR(J559&amp;"*"&amp;ROUND(L559*(K559/$AN559)/VLOOKUP(J559,商品!$A$4:$D$67,4,FALSE),0),"")</f>
        <v/>
      </c>
      <c r="AH559" t="str">
        <f>IFERROR(M559&amp;"*"&amp;ROUND(S559*(N559/$AO559)/VLOOKUP(M559,职业!$A$3:$E$16,4,FALSE),0),"")</f>
        <v/>
      </c>
      <c r="AI559" t="str">
        <f>IFERROR(O559&amp;"*"&amp;ROUND(S559*(P559/$AO559)/VLOOKUP(O559,职业!$A$3:$E$16,4,FALSE),0),"")</f>
        <v/>
      </c>
      <c r="AK559" t="str">
        <f>IFERROR(T559&amp;"*"&amp;ROUND(X559*(U559/$AP559)/VLOOKUP(T559,商品!$A$4:$D$67,4,FALSE),0),"")</f>
        <v/>
      </c>
      <c r="AL559" t="str">
        <f>IFERROR(V559&amp;"*"&amp;ROUND(X559*(W559/$AP559)/VLOOKUP(V559,商品!$A$4:$D$67,4,FALSE),0),"")</f>
        <v/>
      </c>
      <c r="AN559">
        <f t="shared" si="69"/>
        <v>0</v>
      </c>
      <c r="AO559">
        <f t="shared" si="70"/>
        <v>0</v>
      </c>
      <c r="AP559">
        <f t="shared" si="71"/>
        <v>0</v>
      </c>
    </row>
    <row r="560" customHeight="1" spans="1:42">
      <c r="A560" s="5" t="s">
        <v>391</v>
      </c>
      <c r="C560" s="5">
        <v>3</v>
      </c>
      <c r="D560" s="1" t="s">
        <v>293</v>
      </c>
      <c r="E560" s="1" t="s">
        <v>227</v>
      </c>
      <c r="L560" s="1">
        <f>IFERROR(VLOOKUP($D560&amp;$C560,生产方式定位!$A$2:$E$38,2,FALSE)+VLOOKUP($E560&amp;$C560,生产方式定位!$F$3:$J$38,2,FALSE),0)</f>
        <v>0</v>
      </c>
      <c r="S560" s="1">
        <f>IFERROR(VLOOKUP($D560&amp;$C560,生产方式定位!$A$2:$E$38,3,FALSE)+VLOOKUP($E560&amp;$C560,生产方式定位!$F$3:$J$38,3,FALSE),0)</f>
        <v>0</v>
      </c>
      <c r="X560" s="1">
        <f>IFERROR(VLOOKUP($D560&amp;$C560,生产方式定位!$A$2:$E$38,5,FALSE)+VLOOKUP($E560&amp;$C560,生产方式定位!$F$3:$J$38,5,FALSE),"错误")</f>
        <v>0</v>
      </c>
      <c r="Y560" s="27" t="str">
        <f t="shared" si="64"/>
        <v/>
      </c>
      <c r="Z560" s="37" t="str">
        <f t="shared" si="65"/>
        <v/>
      </c>
      <c r="AA560" s="37" t="str">
        <f t="shared" si="66"/>
        <v/>
      </c>
      <c r="AB560" s="28" t="str">
        <f t="shared" si="67"/>
        <v/>
      </c>
      <c r="AC560" s="37"/>
      <c r="AD560" s="38">
        <f t="shared" si="68"/>
        <v>3</v>
      </c>
      <c r="AE560" t="str">
        <f>IFERROR(F560&amp;"*"&amp;ROUND(L560*(G560/$AN560)/VLOOKUP(F560,商品!$A$4:$D$67,4,FALSE),0),"")</f>
        <v/>
      </c>
      <c r="AF560" t="str">
        <f>IFERROR(H560&amp;"*"&amp;ROUND(L560*(I560/$AN560)/VLOOKUP(H560,商品!$A$4:$D$67,4,FALSE),0),"")</f>
        <v/>
      </c>
      <c r="AG560" t="str">
        <f>IFERROR(J560&amp;"*"&amp;ROUND(L560*(K560/$AN560)/VLOOKUP(J560,商品!$A$4:$D$67,4,FALSE),0),"")</f>
        <v/>
      </c>
      <c r="AH560" t="str">
        <f>IFERROR(M560&amp;"*"&amp;ROUND(S560*(N560/$AO560)/VLOOKUP(M560,职业!$A$3:$E$16,4,FALSE),0),"")</f>
        <v/>
      </c>
      <c r="AI560" t="str">
        <f>IFERROR(O560&amp;"*"&amp;ROUND(S560*(P560/$AO560)/VLOOKUP(O560,职业!$A$3:$E$16,4,FALSE),0),"")</f>
        <v/>
      </c>
      <c r="AK560" t="str">
        <f>IFERROR(T560&amp;"*"&amp;ROUND(X560*(U560/$AP560)/VLOOKUP(T560,商品!$A$4:$D$67,4,FALSE),0),"")</f>
        <v/>
      </c>
      <c r="AL560" t="str">
        <f>IFERROR(V560&amp;"*"&amp;ROUND(X560*(W560/$AP560)/VLOOKUP(V560,商品!$A$4:$D$67,4,FALSE),0),"")</f>
        <v/>
      </c>
      <c r="AN560">
        <f t="shared" si="69"/>
        <v>0</v>
      </c>
      <c r="AO560">
        <f t="shared" si="70"/>
        <v>0</v>
      </c>
      <c r="AP560">
        <f t="shared" si="71"/>
        <v>0</v>
      </c>
    </row>
    <row r="561" customHeight="1" spans="1:42">
      <c r="A561" s="5" t="s">
        <v>391</v>
      </c>
      <c r="C561" s="5">
        <v>4</v>
      </c>
      <c r="D561" s="1" t="s">
        <v>293</v>
      </c>
      <c r="E561" s="1" t="s">
        <v>227</v>
      </c>
      <c r="L561" s="1">
        <f>IFERROR(VLOOKUP($D561&amp;$C561,生产方式定位!$A$2:$E$38,2,FALSE)+VLOOKUP($E561&amp;$C561,生产方式定位!$F$3:$J$38,2,FALSE),0)</f>
        <v>0</v>
      </c>
      <c r="S561" s="1">
        <f>IFERROR(VLOOKUP($D561&amp;$C561,生产方式定位!$A$2:$E$38,3,FALSE)+VLOOKUP($E561&amp;$C561,生产方式定位!$F$3:$J$38,3,FALSE),0)</f>
        <v>0</v>
      </c>
      <c r="X561" s="1">
        <f>IFERROR(VLOOKUP($D561&amp;$C561,生产方式定位!$A$2:$E$38,5,FALSE)+VLOOKUP($E561&amp;$C561,生产方式定位!$F$3:$J$38,5,FALSE),"错误")</f>
        <v>0</v>
      </c>
      <c r="Y561" s="27" t="str">
        <f t="shared" si="64"/>
        <v/>
      </c>
      <c r="Z561" s="37" t="str">
        <f t="shared" si="65"/>
        <v/>
      </c>
      <c r="AA561" s="37" t="str">
        <f t="shared" si="66"/>
        <v/>
      </c>
      <c r="AB561" s="28" t="str">
        <f t="shared" si="67"/>
        <v/>
      </c>
      <c r="AC561" s="37"/>
      <c r="AD561" s="38">
        <f t="shared" si="68"/>
        <v>4</v>
      </c>
      <c r="AE561" t="str">
        <f>IFERROR(F561&amp;"*"&amp;ROUND(L561*(G561/$AN561)/VLOOKUP(F561,商品!$A$4:$D$67,4,FALSE),0),"")</f>
        <v/>
      </c>
      <c r="AF561" t="str">
        <f>IFERROR(H561&amp;"*"&amp;ROUND(L561*(I561/$AN561)/VLOOKUP(H561,商品!$A$4:$D$67,4,FALSE),0),"")</f>
        <v/>
      </c>
      <c r="AG561" t="str">
        <f>IFERROR(J561&amp;"*"&amp;ROUND(L561*(K561/$AN561)/VLOOKUP(J561,商品!$A$4:$D$67,4,FALSE),0),"")</f>
        <v/>
      </c>
      <c r="AH561" t="str">
        <f>IFERROR(M561&amp;"*"&amp;ROUND(S561*(N561/$AO561)/VLOOKUP(M561,职业!$A$3:$E$16,4,FALSE),0),"")</f>
        <v/>
      </c>
      <c r="AI561" t="str">
        <f>IFERROR(O561&amp;"*"&amp;ROUND(S561*(P561/$AO561)/VLOOKUP(O561,职业!$A$3:$E$16,4,FALSE),0),"")</f>
        <v/>
      </c>
      <c r="AK561" t="str">
        <f>IFERROR(T561&amp;"*"&amp;ROUND(X561*(U561/$AP561)/VLOOKUP(T561,商品!$A$4:$D$67,4,FALSE),0),"")</f>
        <v/>
      </c>
      <c r="AL561" t="str">
        <f>IFERROR(V561&amp;"*"&amp;ROUND(X561*(W561/$AP561)/VLOOKUP(V561,商品!$A$4:$D$67,4,FALSE),0),"")</f>
        <v/>
      </c>
      <c r="AN561">
        <f t="shared" si="69"/>
        <v>0</v>
      </c>
      <c r="AO561">
        <f t="shared" si="70"/>
        <v>0</v>
      </c>
      <c r="AP561">
        <f t="shared" si="71"/>
        <v>0</v>
      </c>
    </row>
    <row r="562" customHeight="1" spans="1:42">
      <c r="A562" s="5" t="s">
        <v>391</v>
      </c>
      <c r="C562" s="5">
        <v>5</v>
      </c>
      <c r="D562" s="1" t="s">
        <v>293</v>
      </c>
      <c r="E562" s="1" t="s">
        <v>227</v>
      </c>
      <c r="L562" s="1">
        <f>IFERROR(VLOOKUP($D562&amp;$C562,生产方式定位!$A$2:$E$38,2,FALSE)+VLOOKUP($E562&amp;$C562,生产方式定位!$F$3:$J$38,2,FALSE),0)</f>
        <v>0</v>
      </c>
      <c r="S562" s="1">
        <f>IFERROR(VLOOKUP($D562&amp;$C562,生产方式定位!$A$2:$E$38,3,FALSE)+VLOOKUP($E562&amp;$C562,生产方式定位!$F$3:$J$38,3,FALSE),0)</f>
        <v>0</v>
      </c>
      <c r="X562" s="1">
        <f>IFERROR(VLOOKUP($D562&amp;$C562,生产方式定位!$A$2:$E$38,5,FALSE)+VLOOKUP($E562&amp;$C562,生产方式定位!$F$3:$J$38,5,FALSE),"错误")</f>
        <v>0</v>
      </c>
      <c r="Y562" s="27" t="str">
        <f t="shared" si="64"/>
        <v/>
      </c>
      <c r="Z562" s="37" t="str">
        <f t="shared" si="65"/>
        <v/>
      </c>
      <c r="AA562" s="37" t="str">
        <f t="shared" si="66"/>
        <v/>
      </c>
      <c r="AB562" s="28" t="str">
        <f t="shared" si="67"/>
        <v/>
      </c>
      <c r="AC562" s="37"/>
      <c r="AD562" s="38">
        <f t="shared" si="68"/>
        <v>5</v>
      </c>
      <c r="AE562" t="str">
        <f>IFERROR(F562&amp;"*"&amp;ROUND(L562*(G562/$AN562)/VLOOKUP(F562,商品!$A$4:$D$67,4,FALSE),0),"")</f>
        <v/>
      </c>
      <c r="AF562" t="str">
        <f>IFERROR(H562&amp;"*"&amp;ROUND(L562*(I562/$AN562)/VLOOKUP(H562,商品!$A$4:$D$67,4,FALSE),0),"")</f>
        <v/>
      </c>
      <c r="AG562" t="str">
        <f>IFERROR(J562&amp;"*"&amp;ROUND(L562*(K562/$AN562)/VLOOKUP(J562,商品!$A$4:$D$67,4,FALSE),0),"")</f>
        <v/>
      </c>
      <c r="AH562" t="str">
        <f>IFERROR(M562&amp;"*"&amp;ROUND(S562*(N562/$AO562)/VLOOKUP(M562,职业!$A$3:$E$16,4,FALSE),0),"")</f>
        <v/>
      </c>
      <c r="AI562" t="str">
        <f>IFERROR(O562&amp;"*"&amp;ROUND(S562*(P562/$AO562)/VLOOKUP(O562,职业!$A$3:$E$16,4,FALSE),0),"")</f>
        <v/>
      </c>
      <c r="AK562" t="str">
        <f>IFERROR(T562&amp;"*"&amp;ROUND(X562*(U562/$AP562)/VLOOKUP(T562,商品!$A$4:$D$67,4,FALSE),0),"")</f>
        <v/>
      </c>
      <c r="AL562" t="str">
        <f>IFERROR(V562&amp;"*"&amp;ROUND(X562*(W562/$AP562)/VLOOKUP(V562,商品!$A$4:$D$67,4,FALSE),0),"")</f>
        <v/>
      </c>
      <c r="AN562">
        <f t="shared" si="69"/>
        <v>0</v>
      </c>
      <c r="AO562">
        <f t="shared" si="70"/>
        <v>0</v>
      </c>
      <c r="AP562">
        <f t="shared" si="71"/>
        <v>0</v>
      </c>
    </row>
    <row r="563" customHeight="1" spans="1:42">
      <c r="A563" s="5" t="s">
        <v>391</v>
      </c>
      <c r="C563" s="5">
        <v>6</v>
      </c>
      <c r="D563" s="1" t="s">
        <v>293</v>
      </c>
      <c r="E563" s="1" t="s">
        <v>227</v>
      </c>
      <c r="L563" s="1">
        <f>IFERROR(VLOOKUP($D563&amp;$C563,生产方式定位!$A$2:$E$38,2,FALSE)+VLOOKUP($E563&amp;$C563,生产方式定位!$F$3:$J$38,2,FALSE),0)</f>
        <v>0</v>
      </c>
      <c r="S563" s="1">
        <f>IFERROR(VLOOKUP($D563&amp;$C563,生产方式定位!$A$2:$E$38,3,FALSE)+VLOOKUP($E563&amp;$C563,生产方式定位!$F$3:$J$38,3,FALSE),0)</f>
        <v>0</v>
      </c>
      <c r="X563" s="1">
        <f>IFERROR(VLOOKUP($D563&amp;$C563,生产方式定位!$A$2:$E$38,5,FALSE)+VLOOKUP($E563&amp;$C563,生产方式定位!$F$3:$J$38,5,FALSE),"错误")</f>
        <v>0</v>
      </c>
      <c r="Y563" s="27" t="str">
        <f t="shared" si="64"/>
        <v/>
      </c>
      <c r="Z563" s="37" t="str">
        <f t="shared" si="65"/>
        <v/>
      </c>
      <c r="AA563" s="37" t="str">
        <f t="shared" si="66"/>
        <v/>
      </c>
      <c r="AB563" s="28" t="str">
        <f t="shared" si="67"/>
        <v/>
      </c>
      <c r="AC563" s="37"/>
      <c r="AD563" s="38">
        <f t="shared" si="68"/>
        <v>6</v>
      </c>
      <c r="AE563" t="str">
        <f>IFERROR(F563&amp;"*"&amp;ROUND(L563*(G563/$AN563)/VLOOKUP(F563,商品!$A$4:$D$67,4,FALSE),0),"")</f>
        <v/>
      </c>
      <c r="AF563" t="str">
        <f>IFERROR(H563&amp;"*"&amp;ROUND(L563*(I563/$AN563)/VLOOKUP(H563,商品!$A$4:$D$67,4,FALSE),0),"")</f>
        <v/>
      </c>
      <c r="AG563" t="str">
        <f>IFERROR(J563&amp;"*"&amp;ROUND(L563*(K563/$AN563)/VLOOKUP(J563,商品!$A$4:$D$67,4,FALSE),0),"")</f>
        <v/>
      </c>
      <c r="AH563" t="str">
        <f>IFERROR(M563&amp;"*"&amp;ROUND(S563*(N563/$AO563)/VLOOKUP(M563,职业!$A$3:$E$16,4,FALSE),0),"")</f>
        <v/>
      </c>
      <c r="AI563" t="str">
        <f>IFERROR(O563&amp;"*"&amp;ROUND(S563*(P563/$AO563)/VLOOKUP(O563,职业!$A$3:$E$16,4,FALSE),0),"")</f>
        <v/>
      </c>
      <c r="AK563" t="str">
        <f>IFERROR(T563&amp;"*"&amp;ROUND(X563*(U563/$AP563)/VLOOKUP(T563,商品!$A$4:$D$67,4,FALSE),0),"")</f>
        <v/>
      </c>
      <c r="AL563" t="str">
        <f>IFERROR(V563&amp;"*"&amp;ROUND(X563*(W563/$AP563)/VLOOKUP(V563,商品!$A$4:$D$67,4,FALSE),0),"")</f>
        <v/>
      </c>
      <c r="AN563">
        <f t="shared" si="69"/>
        <v>0</v>
      </c>
      <c r="AO563">
        <f t="shared" si="70"/>
        <v>0</v>
      </c>
      <c r="AP563">
        <f t="shared" si="71"/>
        <v>0</v>
      </c>
    </row>
    <row r="564" customHeight="1" spans="1:42">
      <c r="A564" s="5" t="s">
        <v>391</v>
      </c>
      <c r="C564" s="5">
        <v>7</v>
      </c>
      <c r="D564" s="1" t="s">
        <v>293</v>
      </c>
      <c r="E564" s="1" t="s">
        <v>227</v>
      </c>
      <c r="L564" s="1">
        <f>IFERROR(VLOOKUP($D564&amp;$C564,生产方式定位!$A$2:$E$38,2,FALSE)+VLOOKUP($E564&amp;$C564,生产方式定位!$F$3:$J$38,2,FALSE),0)</f>
        <v>0</v>
      </c>
      <c r="S564" s="1">
        <f>IFERROR(VLOOKUP($D564&amp;$C564,生产方式定位!$A$2:$E$38,3,FALSE)+VLOOKUP($E564&amp;$C564,生产方式定位!$F$3:$J$38,3,FALSE),0)</f>
        <v>0</v>
      </c>
      <c r="X564" s="1">
        <f>IFERROR(VLOOKUP($D564&amp;$C564,生产方式定位!$A$2:$E$38,5,FALSE)+VLOOKUP($E564&amp;$C564,生产方式定位!$F$3:$J$38,5,FALSE),"错误")</f>
        <v>0</v>
      </c>
      <c r="Y564" s="27" t="str">
        <f t="shared" si="64"/>
        <v/>
      </c>
      <c r="Z564" s="37" t="str">
        <f t="shared" si="65"/>
        <v/>
      </c>
      <c r="AA564" s="37" t="str">
        <f t="shared" si="66"/>
        <v/>
      </c>
      <c r="AB564" s="28" t="str">
        <f t="shared" si="67"/>
        <v/>
      </c>
      <c r="AC564" s="37"/>
      <c r="AD564" s="38">
        <f t="shared" si="68"/>
        <v>7</v>
      </c>
      <c r="AE564" t="str">
        <f>IFERROR(F564&amp;"*"&amp;ROUND(L564*(G564/$AN564)/VLOOKUP(F564,商品!$A$4:$D$67,4,FALSE),0),"")</f>
        <v/>
      </c>
      <c r="AF564" t="str">
        <f>IFERROR(H564&amp;"*"&amp;ROUND(L564*(I564/$AN564)/VLOOKUP(H564,商品!$A$4:$D$67,4,FALSE),0),"")</f>
        <v/>
      </c>
      <c r="AG564" t="str">
        <f>IFERROR(J564&amp;"*"&amp;ROUND(L564*(K564/$AN564)/VLOOKUP(J564,商品!$A$4:$D$67,4,FALSE),0),"")</f>
        <v/>
      </c>
      <c r="AH564" t="str">
        <f>IFERROR(M564&amp;"*"&amp;ROUND(S564*(N564/$AO564)/VLOOKUP(M564,职业!$A$3:$E$16,4,FALSE),0),"")</f>
        <v/>
      </c>
      <c r="AI564" t="str">
        <f>IFERROR(O564&amp;"*"&amp;ROUND(S564*(P564/$AO564)/VLOOKUP(O564,职业!$A$3:$E$16,4,FALSE),0),"")</f>
        <v/>
      </c>
      <c r="AK564" t="str">
        <f>IFERROR(T564&amp;"*"&amp;ROUND(X564*(U564/$AP564)/VLOOKUP(T564,商品!$A$4:$D$67,4,FALSE),0),"")</f>
        <v/>
      </c>
      <c r="AL564" t="str">
        <f>IFERROR(V564&amp;"*"&amp;ROUND(X564*(W564/$AP564)/VLOOKUP(V564,商品!$A$4:$D$67,4,FALSE),0),"")</f>
        <v/>
      </c>
      <c r="AN564">
        <f t="shared" si="69"/>
        <v>0</v>
      </c>
      <c r="AO564">
        <f t="shared" si="70"/>
        <v>0</v>
      </c>
      <c r="AP564">
        <f t="shared" si="71"/>
        <v>0</v>
      </c>
    </row>
    <row r="565" customHeight="1" spans="1:42">
      <c r="A565" s="5" t="s">
        <v>391</v>
      </c>
      <c r="C565" s="5">
        <v>8</v>
      </c>
      <c r="D565" s="1" t="s">
        <v>293</v>
      </c>
      <c r="E565" s="1" t="s">
        <v>227</v>
      </c>
      <c r="L565" s="1">
        <f>IFERROR(VLOOKUP($D565&amp;$C565,生产方式定位!$A$2:$E$38,2,FALSE)+VLOOKUP($E565&amp;$C565,生产方式定位!$F$3:$J$38,2,FALSE),0)</f>
        <v>0</v>
      </c>
      <c r="S565" s="1">
        <f>IFERROR(VLOOKUP($D565&amp;$C565,生产方式定位!$A$2:$E$38,3,FALSE)+VLOOKUP($E565&amp;$C565,生产方式定位!$F$3:$J$38,3,FALSE),0)</f>
        <v>0</v>
      </c>
      <c r="X565" s="1">
        <f>IFERROR(VLOOKUP($D565&amp;$C565,生产方式定位!$A$2:$E$38,5,FALSE)+VLOOKUP($E565&amp;$C565,生产方式定位!$F$3:$J$38,5,FALSE),"错误")</f>
        <v>0</v>
      </c>
      <c r="Y565" s="27" t="str">
        <f t="shared" si="64"/>
        <v/>
      </c>
      <c r="Z565" s="37" t="str">
        <f t="shared" si="65"/>
        <v/>
      </c>
      <c r="AA565" s="37" t="str">
        <f t="shared" si="66"/>
        <v/>
      </c>
      <c r="AB565" s="28" t="str">
        <f t="shared" si="67"/>
        <v/>
      </c>
      <c r="AC565" s="37"/>
      <c r="AD565" s="38">
        <f t="shared" si="68"/>
        <v>8</v>
      </c>
      <c r="AE565" t="str">
        <f>IFERROR(F565&amp;"*"&amp;ROUND(L565*(G565/$AN565)/VLOOKUP(F565,商品!$A$4:$D$67,4,FALSE),0),"")</f>
        <v/>
      </c>
      <c r="AF565" t="str">
        <f>IFERROR(H565&amp;"*"&amp;ROUND(L565*(I565/$AN565)/VLOOKUP(H565,商品!$A$4:$D$67,4,FALSE),0),"")</f>
        <v/>
      </c>
      <c r="AG565" t="str">
        <f>IFERROR(J565&amp;"*"&amp;ROUND(L565*(K565/$AN565)/VLOOKUP(J565,商品!$A$4:$D$67,4,FALSE),0),"")</f>
        <v/>
      </c>
      <c r="AH565" t="str">
        <f>IFERROR(M565&amp;"*"&amp;ROUND(S565*(N565/$AO565)/VLOOKUP(M565,职业!$A$3:$E$16,4,FALSE),0),"")</f>
        <v/>
      </c>
      <c r="AI565" t="str">
        <f>IFERROR(O565&amp;"*"&amp;ROUND(S565*(P565/$AO565)/VLOOKUP(O565,职业!$A$3:$E$16,4,FALSE),0),"")</f>
        <v/>
      </c>
      <c r="AK565" t="str">
        <f>IFERROR(T565&amp;"*"&amp;ROUND(X565*(U565/$AP565)/VLOOKUP(T565,商品!$A$4:$D$67,4,FALSE),0),"")</f>
        <v/>
      </c>
      <c r="AL565" t="str">
        <f>IFERROR(V565&amp;"*"&amp;ROUND(X565*(W565/$AP565)/VLOOKUP(V565,商品!$A$4:$D$67,4,FALSE),0),"")</f>
        <v/>
      </c>
      <c r="AN565">
        <f t="shared" si="69"/>
        <v>0</v>
      </c>
      <c r="AO565">
        <f t="shared" si="70"/>
        <v>0</v>
      </c>
      <c r="AP565">
        <f t="shared" si="71"/>
        <v>0</v>
      </c>
    </row>
    <row r="566" customHeight="1" spans="1:42">
      <c r="A566" s="18" t="s">
        <v>393</v>
      </c>
      <c r="C566" s="18">
        <v>1</v>
      </c>
      <c r="D566" s="1" t="s">
        <v>249</v>
      </c>
      <c r="E566" s="1" t="s">
        <v>224</v>
      </c>
      <c r="L566" s="1">
        <f>IFERROR(VLOOKUP($D566&amp;$C566,生产方式定位!$A$2:$E$38,2,FALSE)+VLOOKUP($E566&amp;$C566,生产方式定位!$F$3:$J$38,2,FALSE),0)</f>
        <v>0</v>
      </c>
      <c r="S566" s="1">
        <f>IFERROR(VLOOKUP($D566&amp;$C566,生产方式定位!$A$2:$E$38,3,FALSE)+VLOOKUP($E566&amp;$C566,生产方式定位!$F$3:$J$38,3,FALSE),0)</f>
        <v>10000</v>
      </c>
      <c r="X566" s="1">
        <f>IFERROR(VLOOKUP($D566&amp;$C566,生产方式定位!$A$2:$E$38,5,FALSE)+VLOOKUP($E566&amp;$C566,生产方式定位!$F$3:$J$38,5,FALSE),"错误")</f>
        <v>15000</v>
      </c>
      <c r="Y566" s="27" t="str">
        <f t="shared" si="64"/>
        <v/>
      </c>
      <c r="Z566" s="37" t="str">
        <f t="shared" si="65"/>
        <v/>
      </c>
      <c r="AA566" s="37" t="str">
        <f t="shared" si="66"/>
        <v/>
      </c>
      <c r="AB566" s="28">
        <f t="shared" si="67"/>
        <v>0</v>
      </c>
      <c r="AC566" s="37"/>
      <c r="AD566" s="38">
        <f t="shared" si="68"/>
        <v>1</v>
      </c>
      <c r="AE566" t="str">
        <f>IFERROR(F566&amp;"*"&amp;ROUND(L566*(G566/$AN566)/VLOOKUP(F566,商品!$A$4:$D$67,4,FALSE),0),"")</f>
        <v/>
      </c>
      <c r="AF566" t="str">
        <f>IFERROR(H566&amp;"*"&amp;ROUND(L566*(I566/$AN566)/VLOOKUP(H566,商品!$A$4:$D$67,4,FALSE),0),"")</f>
        <v/>
      </c>
      <c r="AG566" t="str">
        <f>IFERROR(J566&amp;"*"&amp;ROUND(L566*(K566/$AN566)/VLOOKUP(J566,商品!$A$4:$D$67,4,FALSE),0),"")</f>
        <v/>
      </c>
      <c r="AH566" t="str">
        <f>IFERROR(M566&amp;"*"&amp;ROUND(S566*(N566/$AO566)/VLOOKUP(M566,职业!$A$3:$E$16,4,FALSE),0),"")</f>
        <v/>
      </c>
      <c r="AI566" t="str">
        <f>IFERROR(O566&amp;"*"&amp;ROUND(S566*(P566/$AO566)/VLOOKUP(O566,职业!$A$3:$E$16,4,FALSE),0),"")</f>
        <v/>
      </c>
      <c r="AK566" t="str">
        <f>IFERROR(T566&amp;"*"&amp;ROUND(X566*(U566/$AP566)/VLOOKUP(T566,商品!$A$4:$D$67,4,FALSE),0),"")</f>
        <v/>
      </c>
      <c r="AL566" t="str">
        <f>IFERROR(V566&amp;"*"&amp;ROUND(X566*(W566/$AP566)/VLOOKUP(V566,商品!$A$4:$D$67,4,FALSE),0),"")</f>
        <v/>
      </c>
      <c r="AN566">
        <f t="shared" si="69"/>
        <v>0</v>
      </c>
      <c r="AO566">
        <f t="shared" si="70"/>
        <v>0</v>
      </c>
      <c r="AP566">
        <f t="shared" si="71"/>
        <v>0</v>
      </c>
    </row>
    <row r="567" customHeight="1" spans="1:42">
      <c r="A567" s="18" t="s">
        <v>393</v>
      </c>
      <c r="C567" s="18">
        <v>2</v>
      </c>
      <c r="D567" s="1" t="s">
        <v>249</v>
      </c>
      <c r="E567" s="1" t="s">
        <v>224</v>
      </c>
      <c r="L567" s="1">
        <f>IFERROR(VLOOKUP($D567&amp;$C567,生产方式定位!$A$2:$E$38,2,FALSE)+VLOOKUP($E567&amp;$C567,生产方式定位!$F$3:$J$38,2,FALSE),0)</f>
        <v>18500</v>
      </c>
      <c r="S567" s="1">
        <f>IFERROR(VLOOKUP($D567&amp;$C567,生产方式定位!$A$2:$E$38,3,FALSE)+VLOOKUP($E567&amp;$C567,生产方式定位!$F$3:$J$38,3,FALSE),0)</f>
        <v>9200</v>
      </c>
      <c r="X567" s="1">
        <f>IFERROR(VLOOKUP($D567&amp;$C567,生产方式定位!$A$2:$E$38,5,FALSE)+VLOOKUP($E567&amp;$C567,生产方式定位!$F$3:$J$38,5,FALSE),"错误")</f>
        <v>13922</v>
      </c>
      <c r="Y567" s="27" t="str">
        <f t="shared" si="64"/>
        <v/>
      </c>
      <c r="Z567" s="37" t="str">
        <f t="shared" si="65"/>
        <v/>
      </c>
      <c r="AA567" s="37" t="str">
        <f t="shared" si="66"/>
        <v/>
      </c>
      <c r="AB567" s="28">
        <f t="shared" si="67"/>
        <v>1.33</v>
      </c>
      <c r="AC567" s="37"/>
      <c r="AD567" s="38">
        <f t="shared" si="68"/>
        <v>2</v>
      </c>
      <c r="AE567" t="str">
        <f>IFERROR(F567&amp;"*"&amp;ROUND(L567*(G567/$AN567)/VLOOKUP(F567,商品!$A$4:$D$67,4,FALSE),0),"")</f>
        <v/>
      </c>
      <c r="AF567" t="str">
        <f>IFERROR(H567&amp;"*"&amp;ROUND(L567*(I567/$AN567)/VLOOKUP(H567,商品!$A$4:$D$67,4,FALSE),0),"")</f>
        <v/>
      </c>
      <c r="AG567" t="str">
        <f>IFERROR(J567&amp;"*"&amp;ROUND(L567*(K567/$AN567)/VLOOKUP(J567,商品!$A$4:$D$67,4,FALSE),0),"")</f>
        <v/>
      </c>
      <c r="AH567" t="str">
        <f>IFERROR(M567&amp;"*"&amp;ROUND(S567*(N567/$AO567)/VLOOKUP(M567,职业!$A$3:$E$16,4,FALSE),0),"")</f>
        <v/>
      </c>
      <c r="AI567" t="str">
        <f>IFERROR(O567&amp;"*"&amp;ROUND(S567*(P567/$AO567)/VLOOKUP(O567,职业!$A$3:$E$16,4,FALSE),0),"")</f>
        <v/>
      </c>
      <c r="AK567" t="str">
        <f>IFERROR(T567&amp;"*"&amp;ROUND(X567*(U567/$AP567)/VLOOKUP(T567,商品!$A$4:$D$67,4,FALSE),0),"")</f>
        <v/>
      </c>
      <c r="AL567" t="str">
        <f>IFERROR(V567&amp;"*"&amp;ROUND(X567*(W567/$AP567)/VLOOKUP(V567,商品!$A$4:$D$67,4,FALSE),0),"")</f>
        <v/>
      </c>
      <c r="AN567">
        <f t="shared" si="69"/>
        <v>0</v>
      </c>
      <c r="AO567">
        <f t="shared" si="70"/>
        <v>0</v>
      </c>
      <c r="AP567">
        <f t="shared" si="71"/>
        <v>0</v>
      </c>
    </row>
    <row r="568" customHeight="1" spans="1:42">
      <c r="A568" s="18" t="s">
        <v>393</v>
      </c>
      <c r="C568" s="18">
        <v>3</v>
      </c>
      <c r="D568" s="1" t="s">
        <v>249</v>
      </c>
      <c r="E568" s="1" t="s">
        <v>224</v>
      </c>
      <c r="L568" s="1">
        <f>IFERROR(VLOOKUP($D568&amp;$C568,生产方式定位!$A$2:$E$38,2,FALSE)+VLOOKUP($E568&amp;$C568,生产方式定位!$F$3:$J$38,2,FALSE),0)</f>
        <v>17000</v>
      </c>
      <c r="S568" s="1">
        <f>IFERROR(VLOOKUP($D568&amp;$C568,生产方式定位!$A$2:$E$38,3,FALSE)+VLOOKUP($E568&amp;$C568,生产方式定位!$F$3:$J$38,3,FALSE),0)</f>
        <v>8400</v>
      </c>
      <c r="X568" s="1">
        <f>IFERROR(VLOOKUP($D568&amp;$C568,生产方式定位!$A$2:$E$38,5,FALSE)+VLOOKUP($E568&amp;$C568,生产方式定位!$F$3:$J$38,5,FALSE),"错误")</f>
        <v>12988</v>
      </c>
      <c r="Y568" s="27" t="str">
        <f t="shared" si="64"/>
        <v/>
      </c>
      <c r="Z568" s="37" t="str">
        <f t="shared" si="65"/>
        <v/>
      </c>
      <c r="AA568" s="37" t="str">
        <f t="shared" si="66"/>
        <v/>
      </c>
      <c r="AB568" s="28">
        <f t="shared" si="67"/>
        <v>1.31</v>
      </c>
      <c r="AC568" s="37"/>
      <c r="AD568" s="38">
        <f t="shared" si="68"/>
        <v>3</v>
      </c>
      <c r="AE568" t="str">
        <f>IFERROR(F568&amp;"*"&amp;ROUND(L568*(G568/$AN568)/VLOOKUP(F568,商品!$A$4:$D$67,4,FALSE),0),"")</f>
        <v/>
      </c>
      <c r="AF568" t="str">
        <f>IFERROR(H568&amp;"*"&amp;ROUND(L568*(I568/$AN568)/VLOOKUP(H568,商品!$A$4:$D$67,4,FALSE),0),"")</f>
        <v/>
      </c>
      <c r="AG568" t="str">
        <f>IFERROR(J568&amp;"*"&amp;ROUND(L568*(K568/$AN568)/VLOOKUP(J568,商品!$A$4:$D$67,4,FALSE),0),"")</f>
        <v/>
      </c>
      <c r="AH568" t="str">
        <f>IFERROR(M568&amp;"*"&amp;ROUND(S568*(N568/$AO568)/VLOOKUP(M568,职业!$A$3:$E$16,4,FALSE),0),"")</f>
        <v/>
      </c>
      <c r="AI568" t="str">
        <f>IFERROR(O568&amp;"*"&amp;ROUND(S568*(P568/$AO568)/VLOOKUP(O568,职业!$A$3:$E$16,4,FALSE),0),"")</f>
        <v/>
      </c>
      <c r="AK568" t="str">
        <f>IFERROR(T568&amp;"*"&amp;ROUND(X568*(U568/$AP568)/VLOOKUP(T568,商品!$A$4:$D$67,4,FALSE),0),"")</f>
        <v/>
      </c>
      <c r="AL568" t="str">
        <f>IFERROR(V568&amp;"*"&amp;ROUND(X568*(W568/$AP568)/VLOOKUP(V568,商品!$A$4:$D$67,4,FALSE),0),"")</f>
        <v/>
      </c>
      <c r="AN568">
        <f t="shared" si="69"/>
        <v>0</v>
      </c>
      <c r="AO568">
        <f t="shared" si="70"/>
        <v>0</v>
      </c>
      <c r="AP568">
        <f t="shared" si="71"/>
        <v>0</v>
      </c>
    </row>
    <row r="569" customHeight="1" spans="1:42">
      <c r="A569" s="18" t="s">
        <v>393</v>
      </c>
      <c r="C569" s="18">
        <v>4</v>
      </c>
      <c r="D569" s="1" t="s">
        <v>249</v>
      </c>
      <c r="E569" s="1" t="s">
        <v>224</v>
      </c>
      <c r="L569" s="1">
        <f>IFERROR(VLOOKUP($D569&amp;$C569,生产方式定位!$A$2:$E$38,2,FALSE)+VLOOKUP($E569&amp;$C569,生产方式定位!$F$3:$J$38,2,FALSE),0)</f>
        <v>15500</v>
      </c>
      <c r="S569" s="1">
        <f>IFERROR(VLOOKUP($D569&amp;$C569,生产方式定位!$A$2:$E$38,3,FALSE)+VLOOKUP($E569&amp;$C569,生产方式定位!$F$3:$J$38,3,FALSE),0)</f>
        <v>7600</v>
      </c>
      <c r="X569" s="1">
        <f>IFERROR(VLOOKUP($D569&amp;$C569,生产方式定位!$A$2:$E$38,5,FALSE)+VLOOKUP($E569&amp;$C569,生产方式定位!$F$3:$J$38,5,FALSE),"错误")</f>
        <v>12198</v>
      </c>
      <c r="Y569" s="27" t="str">
        <f t="shared" si="64"/>
        <v/>
      </c>
      <c r="Z569" s="37" t="str">
        <f t="shared" si="65"/>
        <v/>
      </c>
      <c r="AA569" s="37" t="str">
        <f t="shared" si="66"/>
        <v/>
      </c>
      <c r="AB569" s="28">
        <f t="shared" si="67"/>
        <v>1.27</v>
      </c>
      <c r="AC569" s="37"/>
      <c r="AD569" s="38">
        <f t="shared" si="68"/>
        <v>4</v>
      </c>
      <c r="AE569" t="str">
        <f>IFERROR(F569&amp;"*"&amp;ROUND(L569*(G569/$AN569)/VLOOKUP(F569,商品!$A$4:$D$67,4,FALSE),0),"")</f>
        <v/>
      </c>
      <c r="AF569" t="str">
        <f>IFERROR(H569&amp;"*"&amp;ROUND(L569*(I569/$AN569)/VLOOKUP(H569,商品!$A$4:$D$67,4,FALSE),0),"")</f>
        <v/>
      </c>
      <c r="AG569" t="str">
        <f>IFERROR(J569&amp;"*"&amp;ROUND(L569*(K569/$AN569)/VLOOKUP(J569,商品!$A$4:$D$67,4,FALSE),0),"")</f>
        <v/>
      </c>
      <c r="AH569" t="str">
        <f>IFERROR(M569&amp;"*"&amp;ROUND(S569*(N569/$AO569)/VLOOKUP(M569,职业!$A$3:$E$16,4,FALSE),0),"")</f>
        <v/>
      </c>
      <c r="AI569" t="str">
        <f>IFERROR(O569&amp;"*"&amp;ROUND(S569*(P569/$AO569)/VLOOKUP(O569,职业!$A$3:$E$16,4,FALSE),0),"")</f>
        <v/>
      </c>
      <c r="AK569" t="str">
        <f>IFERROR(T569&amp;"*"&amp;ROUND(X569*(U569/$AP569)/VLOOKUP(T569,商品!$A$4:$D$67,4,FALSE),0),"")</f>
        <v/>
      </c>
      <c r="AL569" t="str">
        <f>IFERROR(V569&amp;"*"&amp;ROUND(X569*(W569/$AP569)/VLOOKUP(V569,商品!$A$4:$D$67,4,FALSE),0),"")</f>
        <v/>
      </c>
      <c r="AN569">
        <f t="shared" si="69"/>
        <v>0</v>
      </c>
      <c r="AO569">
        <f t="shared" si="70"/>
        <v>0</v>
      </c>
      <c r="AP569">
        <f t="shared" si="71"/>
        <v>0</v>
      </c>
    </row>
    <row r="570" customHeight="1" spans="1:42">
      <c r="A570" s="18" t="s">
        <v>393</v>
      </c>
      <c r="C570" s="18">
        <v>5</v>
      </c>
      <c r="D570" s="1" t="s">
        <v>249</v>
      </c>
      <c r="E570" s="1" t="s">
        <v>224</v>
      </c>
      <c r="L570" s="1">
        <f>IFERROR(VLOOKUP($D570&amp;$C570,生产方式定位!$A$2:$E$38,2,FALSE)+VLOOKUP($E570&amp;$C570,生产方式定位!$F$3:$J$38,2,FALSE),0)</f>
        <v>14000</v>
      </c>
      <c r="S570" s="1">
        <f>IFERROR(VLOOKUP($D570&amp;$C570,生产方式定位!$A$2:$E$38,3,FALSE)+VLOOKUP($E570&amp;$C570,生产方式定位!$F$3:$J$38,3,FALSE),0)</f>
        <v>6800</v>
      </c>
      <c r="X570" s="1">
        <f>IFERROR(VLOOKUP($D570&amp;$C570,生产方式定位!$A$2:$E$38,5,FALSE)+VLOOKUP($E570&amp;$C570,生产方式定位!$F$3:$J$38,5,FALSE),"错误")</f>
        <v>11600</v>
      </c>
      <c r="Y570" s="27" t="str">
        <f t="shared" si="64"/>
        <v/>
      </c>
      <c r="Z570" s="37" t="str">
        <f t="shared" si="65"/>
        <v/>
      </c>
      <c r="AA570" s="37" t="str">
        <f t="shared" si="66"/>
        <v/>
      </c>
      <c r="AB570" s="28">
        <f t="shared" si="67"/>
        <v>1.21</v>
      </c>
      <c r="AC570" s="37"/>
      <c r="AD570" s="38">
        <f t="shared" si="68"/>
        <v>5</v>
      </c>
      <c r="AE570" t="str">
        <f>IFERROR(F570&amp;"*"&amp;ROUND(L570*(G570/$AN570)/VLOOKUP(F570,商品!$A$4:$D$67,4,FALSE),0),"")</f>
        <v/>
      </c>
      <c r="AF570" t="str">
        <f>IFERROR(H570&amp;"*"&amp;ROUND(L570*(I570/$AN570)/VLOOKUP(H570,商品!$A$4:$D$67,4,FALSE),0),"")</f>
        <v/>
      </c>
      <c r="AG570" t="str">
        <f>IFERROR(J570&amp;"*"&amp;ROUND(L570*(K570/$AN570)/VLOOKUP(J570,商品!$A$4:$D$67,4,FALSE),0),"")</f>
        <v/>
      </c>
      <c r="AH570" t="str">
        <f>IFERROR(M570&amp;"*"&amp;ROUND(S570*(N570/$AO570)/VLOOKUP(M570,职业!$A$3:$E$16,4,FALSE),0),"")</f>
        <v/>
      </c>
      <c r="AI570" t="str">
        <f>IFERROR(O570&amp;"*"&amp;ROUND(S570*(P570/$AO570)/VLOOKUP(O570,职业!$A$3:$E$16,4,FALSE),0),"")</f>
        <v/>
      </c>
      <c r="AK570" t="str">
        <f>IFERROR(T570&amp;"*"&amp;ROUND(X570*(U570/$AP570)/VLOOKUP(T570,商品!$A$4:$D$67,4,FALSE),0),"")</f>
        <v/>
      </c>
      <c r="AL570" t="str">
        <f>IFERROR(V570&amp;"*"&amp;ROUND(X570*(W570/$AP570)/VLOOKUP(V570,商品!$A$4:$D$67,4,FALSE),0),"")</f>
        <v/>
      </c>
      <c r="AN570">
        <f t="shared" si="69"/>
        <v>0</v>
      </c>
      <c r="AO570">
        <f t="shared" si="70"/>
        <v>0</v>
      </c>
      <c r="AP570">
        <f t="shared" si="71"/>
        <v>0</v>
      </c>
    </row>
    <row r="571" customHeight="1" spans="1:42">
      <c r="A571" s="5" t="s">
        <v>395</v>
      </c>
      <c r="C571" s="5">
        <v>1</v>
      </c>
      <c r="D571" s="1" t="s">
        <v>240</v>
      </c>
      <c r="E571" s="1" t="s">
        <v>224</v>
      </c>
      <c r="L571" s="1">
        <f>IFERROR(VLOOKUP($D571&amp;$C571,生产方式定位!$A$2:$E$38,2,FALSE)+VLOOKUP($E571&amp;$C571,生产方式定位!$F$3:$J$38,2,FALSE),0)</f>
        <v>0</v>
      </c>
      <c r="S571" s="1">
        <f>IFERROR(VLOOKUP($D571&amp;$C571,生产方式定位!$A$2:$E$38,3,FALSE)+VLOOKUP($E571&amp;$C571,生产方式定位!$F$3:$J$38,3,FALSE),0)</f>
        <v>8000</v>
      </c>
      <c r="X571" s="1">
        <f>IFERROR(VLOOKUP($D571&amp;$C571,生产方式定位!$A$2:$E$38,5,FALSE)+VLOOKUP($E571&amp;$C571,生产方式定位!$F$3:$J$38,5,FALSE),"错误")</f>
        <v>4000</v>
      </c>
      <c r="Y571" s="27" t="str">
        <f t="shared" si="64"/>
        <v/>
      </c>
      <c r="Z571" s="37" t="str">
        <f t="shared" si="65"/>
        <v/>
      </c>
      <c r="AA571" s="37" t="str">
        <f t="shared" si="66"/>
        <v/>
      </c>
      <c r="AB571" s="28">
        <f t="shared" si="67"/>
        <v>0</v>
      </c>
      <c r="AC571" s="37"/>
      <c r="AD571" s="38">
        <f t="shared" si="68"/>
        <v>1</v>
      </c>
      <c r="AE571" t="str">
        <f>IFERROR(F571&amp;"*"&amp;ROUND(L571*(G571/$AN571)/VLOOKUP(F571,商品!$A$4:$D$67,4,FALSE),0),"")</f>
        <v/>
      </c>
      <c r="AF571" t="str">
        <f>IFERROR(H571&amp;"*"&amp;ROUND(L571*(I571/$AN571)/VLOOKUP(H571,商品!$A$4:$D$67,4,FALSE),0),"")</f>
        <v/>
      </c>
      <c r="AG571" t="str">
        <f>IFERROR(J571&amp;"*"&amp;ROUND(L571*(K571/$AN571)/VLOOKUP(J571,商品!$A$4:$D$67,4,FALSE),0),"")</f>
        <v/>
      </c>
      <c r="AH571" t="str">
        <f>IFERROR(M571&amp;"*"&amp;ROUND(S571*(N571/$AO571)/VLOOKUP(M571,职业!$A$3:$E$16,4,FALSE),0),"")</f>
        <v/>
      </c>
      <c r="AI571" t="str">
        <f>IFERROR(O571&amp;"*"&amp;ROUND(S571*(P571/$AO571)/VLOOKUP(O571,职业!$A$3:$E$16,4,FALSE),0),"")</f>
        <v/>
      </c>
      <c r="AK571" t="str">
        <f>IFERROR(T571&amp;"*"&amp;ROUND(X571*(U571/$AP571)/VLOOKUP(T571,商品!$A$4:$D$67,4,FALSE),0),"")</f>
        <v/>
      </c>
      <c r="AL571" t="str">
        <f>IFERROR(V571&amp;"*"&amp;ROUND(X571*(W571/$AP571)/VLOOKUP(V571,商品!$A$4:$D$67,4,FALSE),0),"")</f>
        <v/>
      </c>
      <c r="AN571">
        <f t="shared" si="69"/>
        <v>0</v>
      </c>
      <c r="AO571">
        <f t="shared" si="70"/>
        <v>0</v>
      </c>
      <c r="AP571">
        <f t="shared" si="71"/>
        <v>0</v>
      </c>
    </row>
    <row r="572" customHeight="1" spans="1:42">
      <c r="A572" s="5" t="s">
        <v>395</v>
      </c>
      <c r="C572" s="5">
        <v>2</v>
      </c>
      <c r="D572" s="1" t="s">
        <v>240</v>
      </c>
      <c r="E572" s="1" t="s">
        <v>224</v>
      </c>
      <c r="L572" s="1">
        <f>IFERROR(VLOOKUP($D572&amp;$C572,生产方式定位!$A$2:$E$38,2,FALSE)+VLOOKUP($E572&amp;$C572,生产方式定位!$F$3:$J$38,2,FALSE),0)</f>
        <v>11000</v>
      </c>
      <c r="S572" s="1">
        <f>IFERROR(VLOOKUP($D572&amp;$C572,生产方式定位!$A$2:$E$38,3,FALSE)+VLOOKUP($E572&amp;$C572,生产方式定位!$F$3:$J$38,3,FALSE),0)</f>
        <v>8700</v>
      </c>
      <c r="X572" s="1">
        <f>IFERROR(VLOOKUP($D572&amp;$C572,生产方式定位!$A$2:$E$38,5,FALSE)+VLOOKUP($E572&amp;$C572,生产方式定位!$F$3:$J$38,5,FALSE),"错误")</f>
        <v>9922</v>
      </c>
      <c r="Y572" s="27" t="str">
        <f t="shared" si="64"/>
        <v/>
      </c>
      <c r="Z572" s="37" t="str">
        <f t="shared" si="65"/>
        <v/>
      </c>
      <c r="AA572" s="37" t="str">
        <f t="shared" si="66"/>
        <v/>
      </c>
      <c r="AB572" s="28">
        <f t="shared" si="67"/>
        <v>1.11</v>
      </c>
      <c r="AC572" s="37"/>
      <c r="AD572" s="38">
        <f t="shared" si="68"/>
        <v>2</v>
      </c>
      <c r="AE572" t="str">
        <f>IFERROR(F572&amp;"*"&amp;ROUND(L572*(G572/$AN572)/VLOOKUP(F572,商品!$A$4:$D$67,4,FALSE),0),"")</f>
        <v/>
      </c>
      <c r="AF572" t="str">
        <f>IFERROR(H572&amp;"*"&amp;ROUND(L572*(I572/$AN572)/VLOOKUP(H572,商品!$A$4:$D$67,4,FALSE),0),"")</f>
        <v/>
      </c>
      <c r="AG572" t="str">
        <f>IFERROR(J572&amp;"*"&amp;ROUND(L572*(K572/$AN572)/VLOOKUP(J572,商品!$A$4:$D$67,4,FALSE),0),"")</f>
        <v/>
      </c>
      <c r="AH572" t="str">
        <f>IFERROR(M572&amp;"*"&amp;ROUND(S572*(N572/$AO572)/VLOOKUP(M572,职业!$A$3:$E$16,4,FALSE),0),"")</f>
        <v/>
      </c>
      <c r="AI572" t="str">
        <f>IFERROR(O572&amp;"*"&amp;ROUND(S572*(P572/$AO572)/VLOOKUP(O572,职业!$A$3:$E$16,4,FALSE),0),"")</f>
        <v/>
      </c>
      <c r="AK572" t="str">
        <f>IFERROR(T572&amp;"*"&amp;ROUND(X572*(U572/$AP572)/VLOOKUP(T572,商品!$A$4:$D$67,4,FALSE),0),"")</f>
        <v/>
      </c>
      <c r="AL572" t="str">
        <f>IFERROR(V572&amp;"*"&amp;ROUND(X572*(W572/$AP572)/VLOOKUP(V572,商品!$A$4:$D$67,4,FALSE),0),"")</f>
        <v/>
      </c>
      <c r="AN572">
        <f t="shared" si="69"/>
        <v>0</v>
      </c>
      <c r="AO572">
        <f t="shared" si="70"/>
        <v>0</v>
      </c>
      <c r="AP572">
        <f t="shared" si="71"/>
        <v>0</v>
      </c>
    </row>
    <row r="573" customHeight="1" spans="1:42">
      <c r="A573" s="5" t="s">
        <v>395</v>
      </c>
      <c r="C573" s="5">
        <v>3</v>
      </c>
      <c r="D573" s="1" t="s">
        <v>240</v>
      </c>
      <c r="E573" s="1" t="s">
        <v>224</v>
      </c>
      <c r="L573" s="1">
        <f>IFERROR(VLOOKUP($D573&amp;$C573,生产方式定位!$A$2:$E$38,2,FALSE)+VLOOKUP($E573&amp;$C573,生产方式定位!$F$3:$J$38,2,FALSE),0)</f>
        <v>11000</v>
      </c>
      <c r="S573" s="1">
        <f>IFERROR(VLOOKUP($D573&amp;$C573,生产方式定位!$A$2:$E$38,3,FALSE)+VLOOKUP($E573&amp;$C573,生产方式定位!$F$3:$J$38,3,FALSE),0)</f>
        <v>9400</v>
      </c>
      <c r="X573" s="1">
        <f>IFERROR(VLOOKUP($D573&amp;$C573,生产方式定位!$A$2:$E$38,5,FALSE)+VLOOKUP($E573&amp;$C573,生产方式定位!$F$3:$J$38,5,FALSE),"错误")</f>
        <v>10488</v>
      </c>
      <c r="Y573" s="27" t="str">
        <f t="shared" si="64"/>
        <v/>
      </c>
      <c r="Z573" s="37" t="str">
        <f t="shared" si="65"/>
        <v/>
      </c>
      <c r="AA573" s="37" t="str">
        <f t="shared" si="66"/>
        <v/>
      </c>
      <c r="AB573" s="28">
        <f t="shared" si="67"/>
        <v>1.05</v>
      </c>
      <c r="AC573" s="37"/>
      <c r="AD573" s="38">
        <f t="shared" si="68"/>
        <v>3</v>
      </c>
      <c r="AE573" t="str">
        <f>IFERROR(F573&amp;"*"&amp;ROUND(L573*(G573/$AN573)/VLOOKUP(F573,商品!$A$4:$D$67,4,FALSE),0),"")</f>
        <v/>
      </c>
      <c r="AF573" t="str">
        <f>IFERROR(H573&amp;"*"&amp;ROUND(L573*(I573/$AN573)/VLOOKUP(H573,商品!$A$4:$D$67,4,FALSE),0),"")</f>
        <v/>
      </c>
      <c r="AG573" t="str">
        <f>IFERROR(J573&amp;"*"&amp;ROUND(L573*(K573/$AN573)/VLOOKUP(J573,商品!$A$4:$D$67,4,FALSE),0),"")</f>
        <v/>
      </c>
      <c r="AH573" t="str">
        <f>IFERROR(M573&amp;"*"&amp;ROUND(S573*(N573/$AO573)/VLOOKUP(M573,职业!$A$3:$E$16,4,FALSE),0),"")</f>
        <v/>
      </c>
      <c r="AI573" t="str">
        <f>IFERROR(O573&amp;"*"&amp;ROUND(S573*(P573/$AO573)/VLOOKUP(O573,职业!$A$3:$E$16,4,FALSE),0),"")</f>
        <v/>
      </c>
      <c r="AK573" t="str">
        <f>IFERROR(T573&amp;"*"&amp;ROUND(X573*(U573/$AP573)/VLOOKUP(T573,商品!$A$4:$D$67,4,FALSE),0),"")</f>
        <v/>
      </c>
      <c r="AL573" t="str">
        <f>IFERROR(V573&amp;"*"&amp;ROUND(X573*(W573/$AP573)/VLOOKUP(V573,商品!$A$4:$D$67,4,FALSE),0),"")</f>
        <v/>
      </c>
      <c r="AN573">
        <f t="shared" si="69"/>
        <v>0</v>
      </c>
      <c r="AO573">
        <f t="shared" si="70"/>
        <v>0</v>
      </c>
      <c r="AP573">
        <f t="shared" si="71"/>
        <v>0</v>
      </c>
    </row>
    <row r="574" customHeight="1" spans="1:42">
      <c r="A574" s="5" t="s">
        <v>395</v>
      </c>
      <c r="C574" s="5">
        <v>4</v>
      </c>
      <c r="D574" s="1" t="s">
        <v>240</v>
      </c>
      <c r="E574" s="1" t="s">
        <v>224</v>
      </c>
      <c r="L574" s="1">
        <f>IFERROR(VLOOKUP($D574&amp;$C574,生产方式定位!$A$2:$E$38,2,FALSE)+VLOOKUP($E574&amp;$C574,生产方式定位!$F$3:$J$38,2,FALSE),0)</f>
        <v>11000</v>
      </c>
      <c r="S574" s="1">
        <f>IFERROR(VLOOKUP($D574&amp;$C574,生产方式定位!$A$2:$E$38,3,FALSE)+VLOOKUP($E574&amp;$C574,生产方式定位!$F$3:$J$38,3,FALSE),0)</f>
        <v>10100</v>
      </c>
      <c r="X574" s="1">
        <f>IFERROR(VLOOKUP($D574&amp;$C574,生产方式定位!$A$2:$E$38,5,FALSE)+VLOOKUP($E574&amp;$C574,生产方式定位!$F$3:$J$38,5,FALSE),"错误")</f>
        <v>11198</v>
      </c>
      <c r="Y574" s="27" t="str">
        <f t="shared" si="64"/>
        <v/>
      </c>
      <c r="Z574" s="37" t="str">
        <f t="shared" si="65"/>
        <v/>
      </c>
      <c r="AA574" s="37" t="str">
        <f t="shared" si="66"/>
        <v/>
      </c>
      <c r="AB574" s="28">
        <f t="shared" si="67"/>
        <v>0.98</v>
      </c>
      <c r="AC574" s="37"/>
      <c r="AD574" s="38">
        <f t="shared" si="68"/>
        <v>4</v>
      </c>
      <c r="AE574" t="str">
        <f>IFERROR(F574&amp;"*"&amp;ROUND(L574*(G574/$AN574)/VLOOKUP(F574,商品!$A$4:$D$67,4,FALSE),0),"")</f>
        <v/>
      </c>
      <c r="AF574" t="str">
        <f>IFERROR(H574&amp;"*"&amp;ROUND(L574*(I574/$AN574)/VLOOKUP(H574,商品!$A$4:$D$67,4,FALSE),0),"")</f>
        <v/>
      </c>
      <c r="AG574" t="str">
        <f>IFERROR(J574&amp;"*"&amp;ROUND(L574*(K574/$AN574)/VLOOKUP(J574,商品!$A$4:$D$67,4,FALSE),0),"")</f>
        <v/>
      </c>
      <c r="AH574" t="str">
        <f>IFERROR(M574&amp;"*"&amp;ROUND(S574*(N574/$AO574)/VLOOKUP(M574,职业!$A$3:$E$16,4,FALSE),0),"")</f>
        <v/>
      </c>
      <c r="AI574" t="str">
        <f>IFERROR(O574&amp;"*"&amp;ROUND(S574*(P574/$AO574)/VLOOKUP(O574,职业!$A$3:$E$16,4,FALSE),0),"")</f>
        <v/>
      </c>
      <c r="AK574" t="str">
        <f>IFERROR(T574&amp;"*"&amp;ROUND(X574*(U574/$AP574)/VLOOKUP(T574,商品!$A$4:$D$67,4,FALSE),0),"")</f>
        <v/>
      </c>
      <c r="AL574" t="str">
        <f>IFERROR(V574&amp;"*"&amp;ROUND(X574*(W574/$AP574)/VLOOKUP(V574,商品!$A$4:$D$67,4,FALSE),0),"")</f>
        <v/>
      </c>
      <c r="AN574">
        <f t="shared" si="69"/>
        <v>0</v>
      </c>
      <c r="AO574">
        <f t="shared" si="70"/>
        <v>0</v>
      </c>
      <c r="AP574">
        <f t="shared" si="71"/>
        <v>0</v>
      </c>
    </row>
    <row r="575" customHeight="1" spans="1:42">
      <c r="A575" s="5" t="s">
        <v>395</v>
      </c>
      <c r="C575" s="5">
        <v>5</v>
      </c>
      <c r="D575" s="1" t="s">
        <v>240</v>
      </c>
      <c r="E575" s="1" t="s">
        <v>224</v>
      </c>
      <c r="L575" s="1">
        <f>IFERROR(VLOOKUP($D575&amp;$C575,生产方式定位!$A$2:$E$38,2,FALSE)+VLOOKUP($E575&amp;$C575,生产方式定位!$F$3:$J$38,2,FALSE),0)</f>
        <v>11000</v>
      </c>
      <c r="S575" s="1">
        <f>IFERROR(VLOOKUP($D575&amp;$C575,生产方式定位!$A$2:$E$38,3,FALSE)+VLOOKUP($E575&amp;$C575,生产方式定位!$F$3:$J$38,3,FALSE),0)</f>
        <v>10800</v>
      </c>
      <c r="X575" s="1">
        <f>IFERROR(VLOOKUP($D575&amp;$C575,生产方式定位!$A$2:$E$38,5,FALSE)+VLOOKUP($E575&amp;$C575,生产方式定位!$F$3:$J$38,5,FALSE),"错误")</f>
        <v>12100</v>
      </c>
      <c r="Y575" s="27" t="str">
        <f t="shared" si="64"/>
        <v/>
      </c>
      <c r="Z575" s="37" t="str">
        <f t="shared" si="65"/>
        <v/>
      </c>
      <c r="AA575" s="37" t="str">
        <f t="shared" si="66"/>
        <v/>
      </c>
      <c r="AB575" s="28">
        <f t="shared" si="67"/>
        <v>0.91</v>
      </c>
      <c r="AC575" s="37"/>
      <c r="AD575" s="38">
        <f t="shared" si="68"/>
        <v>5</v>
      </c>
      <c r="AE575" t="str">
        <f>IFERROR(F575&amp;"*"&amp;ROUND(L575*(G575/$AN575)/VLOOKUP(F575,商品!$A$4:$D$67,4,FALSE),0),"")</f>
        <v/>
      </c>
      <c r="AF575" t="str">
        <f>IFERROR(H575&amp;"*"&amp;ROUND(L575*(I575/$AN575)/VLOOKUP(H575,商品!$A$4:$D$67,4,FALSE),0),"")</f>
        <v/>
      </c>
      <c r="AG575" t="str">
        <f>IFERROR(J575&amp;"*"&amp;ROUND(L575*(K575/$AN575)/VLOOKUP(J575,商品!$A$4:$D$67,4,FALSE),0),"")</f>
        <v/>
      </c>
      <c r="AH575" t="str">
        <f>IFERROR(M575&amp;"*"&amp;ROUND(S575*(N575/$AO575)/VLOOKUP(M575,职业!$A$3:$E$16,4,FALSE),0),"")</f>
        <v/>
      </c>
      <c r="AI575" t="str">
        <f>IFERROR(O575&amp;"*"&amp;ROUND(S575*(P575/$AO575)/VLOOKUP(O575,职业!$A$3:$E$16,4,FALSE),0),"")</f>
        <v/>
      </c>
      <c r="AK575" t="str">
        <f>IFERROR(T575&amp;"*"&amp;ROUND(X575*(U575/$AP575)/VLOOKUP(T575,商品!$A$4:$D$67,4,FALSE),0),"")</f>
        <v/>
      </c>
      <c r="AL575" t="str">
        <f>IFERROR(V575&amp;"*"&amp;ROUND(X575*(W575/$AP575)/VLOOKUP(V575,商品!$A$4:$D$67,4,FALSE),0),"")</f>
        <v/>
      </c>
      <c r="AN575">
        <f t="shared" si="69"/>
        <v>0</v>
      </c>
      <c r="AO575">
        <f t="shared" si="70"/>
        <v>0</v>
      </c>
      <c r="AP575">
        <f t="shared" si="71"/>
        <v>0</v>
      </c>
    </row>
    <row r="576" customHeight="1" spans="1:42">
      <c r="A576" s="18" t="s">
        <v>396</v>
      </c>
      <c r="C576" s="18">
        <v>1</v>
      </c>
      <c r="D576" s="1" t="s">
        <v>293</v>
      </c>
      <c r="E576" s="1" t="s">
        <v>227</v>
      </c>
      <c r="L576" s="1">
        <f>IFERROR(VLOOKUP($D576&amp;$C576,生产方式定位!$A$2:$E$38,2,FALSE)+VLOOKUP($E576&amp;$C576,生产方式定位!$F$3:$J$38,2,FALSE),0)</f>
        <v>0</v>
      </c>
      <c r="S576" s="1">
        <f>IFERROR(VLOOKUP($D576&amp;$C576,生产方式定位!$A$2:$E$38,3,FALSE)+VLOOKUP($E576&amp;$C576,生产方式定位!$F$3:$J$38,3,FALSE),0)</f>
        <v>0</v>
      </c>
      <c r="X576" s="1">
        <f>IFERROR(VLOOKUP($D576&amp;$C576,生产方式定位!$A$2:$E$38,5,FALSE)+VLOOKUP($E576&amp;$C576,生产方式定位!$F$3:$J$38,5,FALSE),"错误")</f>
        <v>0</v>
      </c>
      <c r="Y576" s="27" t="str">
        <f t="shared" si="64"/>
        <v/>
      </c>
      <c r="Z576" s="37" t="str">
        <f t="shared" si="65"/>
        <v/>
      </c>
      <c r="AA576" s="37" t="str">
        <f t="shared" si="66"/>
        <v/>
      </c>
      <c r="AB576" s="28" t="str">
        <f t="shared" si="67"/>
        <v/>
      </c>
      <c r="AC576" s="37"/>
      <c r="AD576" s="38">
        <f t="shared" si="68"/>
        <v>1</v>
      </c>
      <c r="AE576" t="str">
        <f>IFERROR(F576&amp;"*"&amp;ROUND(L576*(G576/$AN576)/VLOOKUP(F576,商品!$A$4:$D$67,4,FALSE),0),"")</f>
        <v/>
      </c>
      <c r="AF576" t="str">
        <f>IFERROR(H576&amp;"*"&amp;ROUND(L576*(I576/$AN576)/VLOOKUP(H576,商品!$A$4:$D$67,4,FALSE),0),"")</f>
        <v/>
      </c>
      <c r="AG576" t="str">
        <f>IFERROR(J576&amp;"*"&amp;ROUND(L576*(K576/$AN576)/VLOOKUP(J576,商品!$A$4:$D$67,4,FALSE),0),"")</f>
        <v/>
      </c>
      <c r="AH576" t="str">
        <f>IFERROR(M576&amp;"*"&amp;ROUND(S576*(N576/$AO576)/VLOOKUP(M576,职业!$A$3:$E$16,4,FALSE),0),"")</f>
        <v/>
      </c>
      <c r="AI576" t="str">
        <f>IFERROR(O576&amp;"*"&amp;ROUND(S576*(P576/$AO576)/VLOOKUP(O576,职业!$A$3:$E$16,4,FALSE),0),"")</f>
        <v/>
      </c>
      <c r="AK576" t="str">
        <f>IFERROR(T576&amp;"*"&amp;ROUND(X576*(U576/$AP576)/VLOOKUP(T576,商品!$A$4:$D$67,4,FALSE),0),"")</f>
        <v/>
      </c>
      <c r="AL576" t="str">
        <f>IFERROR(V576&amp;"*"&amp;ROUND(X576*(W576/$AP576)/VLOOKUP(V576,商品!$A$4:$D$67,4,FALSE),0),"")</f>
        <v/>
      </c>
      <c r="AN576">
        <f t="shared" si="69"/>
        <v>0</v>
      </c>
      <c r="AO576">
        <f t="shared" si="70"/>
        <v>0</v>
      </c>
      <c r="AP576">
        <f t="shared" si="71"/>
        <v>0</v>
      </c>
    </row>
    <row r="577" customHeight="1" spans="1:42">
      <c r="A577" s="18" t="s">
        <v>396</v>
      </c>
      <c r="C577" s="18">
        <v>2</v>
      </c>
      <c r="D577" s="1" t="s">
        <v>293</v>
      </c>
      <c r="E577" s="1" t="s">
        <v>227</v>
      </c>
      <c r="L577" s="1">
        <f>IFERROR(VLOOKUP($D577&amp;$C577,生产方式定位!$A$2:$E$38,2,FALSE)+VLOOKUP($E577&amp;$C577,生产方式定位!$F$3:$J$38,2,FALSE),0)</f>
        <v>0</v>
      </c>
      <c r="S577" s="1">
        <f>IFERROR(VLOOKUP($D577&amp;$C577,生产方式定位!$A$2:$E$38,3,FALSE)+VLOOKUP($E577&amp;$C577,生产方式定位!$F$3:$J$38,3,FALSE),0)</f>
        <v>0</v>
      </c>
      <c r="X577" s="1">
        <f>IFERROR(VLOOKUP($D577&amp;$C577,生产方式定位!$A$2:$E$38,5,FALSE)+VLOOKUP($E577&amp;$C577,生产方式定位!$F$3:$J$38,5,FALSE),"错误")</f>
        <v>0</v>
      </c>
      <c r="Y577" s="27" t="str">
        <f t="shared" si="64"/>
        <v/>
      </c>
      <c r="Z577" s="37" t="str">
        <f t="shared" si="65"/>
        <v/>
      </c>
      <c r="AA577" s="37" t="str">
        <f t="shared" si="66"/>
        <v/>
      </c>
      <c r="AB577" s="28" t="str">
        <f t="shared" si="67"/>
        <v/>
      </c>
      <c r="AC577" s="37"/>
      <c r="AD577" s="38">
        <f t="shared" si="68"/>
        <v>2</v>
      </c>
      <c r="AE577" t="str">
        <f>IFERROR(F577&amp;"*"&amp;ROUND(L577*(G577/$AN577)/VLOOKUP(F577,商品!$A$4:$D$67,4,FALSE),0),"")</f>
        <v/>
      </c>
      <c r="AF577" t="str">
        <f>IFERROR(H577&amp;"*"&amp;ROUND(L577*(I577/$AN577)/VLOOKUP(H577,商品!$A$4:$D$67,4,FALSE),0),"")</f>
        <v/>
      </c>
      <c r="AG577" t="str">
        <f>IFERROR(J577&amp;"*"&amp;ROUND(L577*(K577/$AN577)/VLOOKUP(J577,商品!$A$4:$D$67,4,FALSE),0),"")</f>
        <v/>
      </c>
      <c r="AH577" t="str">
        <f>IFERROR(M577&amp;"*"&amp;ROUND(S577*(N577/$AO577)/VLOOKUP(M577,职业!$A$3:$E$16,4,FALSE),0),"")</f>
        <v/>
      </c>
      <c r="AI577" t="str">
        <f>IFERROR(O577&amp;"*"&amp;ROUND(S577*(P577/$AO577)/VLOOKUP(O577,职业!$A$3:$E$16,4,FALSE),0),"")</f>
        <v/>
      </c>
      <c r="AK577" t="str">
        <f>IFERROR(T577&amp;"*"&amp;ROUND(X577*(U577/$AP577)/VLOOKUP(T577,商品!$A$4:$D$67,4,FALSE),0),"")</f>
        <v/>
      </c>
      <c r="AL577" t="str">
        <f>IFERROR(V577&amp;"*"&amp;ROUND(X577*(W577/$AP577)/VLOOKUP(V577,商品!$A$4:$D$67,4,FALSE),0),"")</f>
        <v/>
      </c>
      <c r="AN577">
        <f t="shared" si="69"/>
        <v>0</v>
      </c>
      <c r="AO577">
        <f t="shared" si="70"/>
        <v>0</v>
      </c>
      <c r="AP577">
        <f t="shared" si="71"/>
        <v>0</v>
      </c>
    </row>
    <row r="578" customHeight="1" spans="1:42">
      <c r="A578" s="18" t="s">
        <v>396</v>
      </c>
      <c r="C578" s="18">
        <v>3</v>
      </c>
      <c r="D578" s="1" t="s">
        <v>293</v>
      </c>
      <c r="E578" s="1" t="s">
        <v>227</v>
      </c>
      <c r="L578" s="1">
        <f>IFERROR(VLOOKUP($D578&amp;$C578,生产方式定位!$A$2:$E$38,2,FALSE)+VLOOKUP($E578&amp;$C578,生产方式定位!$F$3:$J$38,2,FALSE),0)</f>
        <v>0</v>
      </c>
      <c r="S578" s="1">
        <f>IFERROR(VLOOKUP($D578&amp;$C578,生产方式定位!$A$2:$E$38,3,FALSE)+VLOOKUP($E578&amp;$C578,生产方式定位!$F$3:$J$38,3,FALSE),0)</f>
        <v>0</v>
      </c>
      <c r="X578" s="1">
        <f>IFERROR(VLOOKUP($D578&amp;$C578,生产方式定位!$A$2:$E$38,5,FALSE)+VLOOKUP($E578&amp;$C578,生产方式定位!$F$3:$J$38,5,FALSE),"错误")</f>
        <v>0</v>
      </c>
      <c r="Y578" s="27" t="str">
        <f t="shared" si="64"/>
        <v/>
      </c>
      <c r="Z578" s="37" t="str">
        <f t="shared" si="65"/>
        <v/>
      </c>
      <c r="AA578" s="37" t="str">
        <f t="shared" si="66"/>
        <v/>
      </c>
      <c r="AB578" s="28" t="str">
        <f t="shared" si="67"/>
        <v/>
      </c>
      <c r="AC578" s="37"/>
      <c r="AD578" s="38">
        <f t="shared" si="68"/>
        <v>3</v>
      </c>
      <c r="AE578" t="str">
        <f>IFERROR(F578&amp;"*"&amp;ROUND(L578*(G578/$AN578)/VLOOKUP(F578,商品!$A$4:$D$67,4,FALSE),0),"")</f>
        <v/>
      </c>
      <c r="AF578" t="str">
        <f>IFERROR(H578&amp;"*"&amp;ROUND(L578*(I578/$AN578)/VLOOKUP(H578,商品!$A$4:$D$67,4,FALSE),0),"")</f>
        <v/>
      </c>
      <c r="AG578" t="str">
        <f>IFERROR(J578&amp;"*"&amp;ROUND(L578*(K578/$AN578)/VLOOKUP(J578,商品!$A$4:$D$67,4,FALSE),0),"")</f>
        <v/>
      </c>
      <c r="AH578" t="str">
        <f>IFERROR(M578&amp;"*"&amp;ROUND(S578*(N578/$AO578)/VLOOKUP(M578,职业!$A$3:$E$16,4,FALSE),0),"")</f>
        <v/>
      </c>
      <c r="AI578" t="str">
        <f>IFERROR(O578&amp;"*"&amp;ROUND(S578*(P578/$AO578)/VLOOKUP(O578,职业!$A$3:$E$16,4,FALSE),0),"")</f>
        <v/>
      </c>
      <c r="AK578" t="str">
        <f>IFERROR(T578&amp;"*"&amp;ROUND(X578*(U578/$AP578)/VLOOKUP(T578,商品!$A$4:$D$67,4,FALSE),0),"")</f>
        <v/>
      </c>
      <c r="AL578" t="str">
        <f>IFERROR(V578&amp;"*"&amp;ROUND(X578*(W578/$AP578)/VLOOKUP(V578,商品!$A$4:$D$67,4,FALSE),0),"")</f>
        <v/>
      </c>
      <c r="AN578">
        <f t="shared" si="69"/>
        <v>0</v>
      </c>
      <c r="AO578">
        <f t="shared" si="70"/>
        <v>0</v>
      </c>
      <c r="AP578">
        <f t="shared" si="71"/>
        <v>0</v>
      </c>
    </row>
    <row r="579" customHeight="1" spans="1:42">
      <c r="A579" s="18" t="s">
        <v>396</v>
      </c>
      <c r="C579" s="18">
        <v>4</v>
      </c>
      <c r="D579" s="1" t="s">
        <v>293</v>
      </c>
      <c r="E579" s="1" t="s">
        <v>227</v>
      </c>
      <c r="L579" s="1">
        <f>IFERROR(VLOOKUP($D579&amp;$C579,生产方式定位!$A$2:$E$38,2,FALSE)+VLOOKUP($E579&amp;$C579,生产方式定位!$F$3:$J$38,2,FALSE),0)</f>
        <v>0</v>
      </c>
      <c r="S579" s="1">
        <f>IFERROR(VLOOKUP($D579&amp;$C579,生产方式定位!$A$2:$E$38,3,FALSE)+VLOOKUP($E579&amp;$C579,生产方式定位!$F$3:$J$38,3,FALSE),0)</f>
        <v>0</v>
      </c>
      <c r="X579" s="1">
        <f>IFERROR(VLOOKUP($D579&amp;$C579,生产方式定位!$A$2:$E$38,5,FALSE)+VLOOKUP($E579&amp;$C579,生产方式定位!$F$3:$J$38,5,FALSE),"错误")</f>
        <v>0</v>
      </c>
      <c r="Y579" s="27" t="str">
        <f t="shared" si="64"/>
        <v/>
      </c>
      <c r="Z579" s="37" t="str">
        <f t="shared" si="65"/>
        <v/>
      </c>
      <c r="AA579" s="37" t="str">
        <f t="shared" si="66"/>
        <v/>
      </c>
      <c r="AB579" s="28" t="str">
        <f t="shared" si="67"/>
        <v/>
      </c>
      <c r="AC579" s="37"/>
      <c r="AD579" s="38">
        <f t="shared" si="68"/>
        <v>4</v>
      </c>
      <c r="AE579" t="str">
        <f>IFERROR(F579&amp;"*"&amp;ROUND(L579*(G579/$AN579)/VLOOKUP(F579,商品!$A$4:$D$67,4,FALSE),0),"")</f>
        <v/>
      </c>
      <c r="AF579" t="str">
        <f>IFERROR(H579&amp;"*"&amp;ROUND(L579*(I579/$AN579)/VLOOKUP(H579,商品!$A$4:$D$67,4,FALSE),0),"")</f>
        <v/>
      </c>
      <c r="AG579" t="str">
        <f>IFERROR(J579&amp;"*"&amp;ROUND(L579*(K579/$AN579)/VLOOKUP(J579,商品!$A$4:$D$67,4,FALSE),0),"")</f>
        <v/>
      </c>
      <c r="AH579" t="str">
        <f>IFERROR(M579&amp;"*"&amp;ROUND(S579*(N579/$AO579)/VLOOKUP(M579,职业!$A$3:$E$16,4,FALSE),0),"")</f>
        <v/>
      </c>
      <c r="AI579" t="str">
        <f>IFERROR(O579&amp;"*"&amp;ROUND(S579*(P579/$AO579)/VLOOKUP(O579,职业!$A$3:$E$16,4,FALSE),0),"")</f>
        <v/>
      </c>
      <c r="AK579" t="str">
        <f>IFERROR(T579&amp;"*"&amp;ROUND(X579*(U579/$AP579)/VLOOKUP(T579,商品!$A$4:$D$67,4,FALSE),0),"")</f>
        <v/>
      </c>
      <c r="AL579" t="str">
        <f>IFERROR(V579&amp;"*"&amp;ROUND(X579*(W579/$AP579)/VLOOKUP(V579,商品!$A$4:$D$67,4,FALSE),0),"")</f>
        <v/>
      </c>
      <c r="AN579">
        <f t="shared" si="69"/>
        <v>0</v>
      </c>
      <c r="AO579">
        <f t="shared" si="70"/>
        <v>0</v>
      </c>
      <c r="AP579">
        <f t="shared" si="71"/>
        <v>0</v>
      </c>
    </row>
    <row r="580" customHeight="1" spans="1:42">
      <c r="A580" s="18" t="s">
        <v>396</v>
      </c>
      <c r="C580" s="18">
        <v>5</v>
      </c>
      <c r="D580" s="1" t="s">
        <v>293</v>
      </c>
      <c r="E580" s="1" t="s">
        <v>227</v>
      </c>
      <c r="L580" s="1">
        <f>IFERROR(VLOOKUP($D580&amp;$C580,生产方式定位!$A$2:$E$38,2,FALSE)+VLOOKUP($E580&amp;$C580,生产方式定位!$F$3:$J$38,2,FALSE),0)</f>
        <v>0</v>
      </c>
      <c r="S580" s="1">
        <f>IFERROR(VLOOKUP($D580&amp;$C580,生产方式定位!$A$2:$E$38,3,FALSE)+VLOOKUP($E580&amp;$C580,生产方式定位!$F$3:$J$38,3,FALSE),0)</f>
        <v>0</v>
      </c>
      <c r="X580" s="1">
        <f>IFERROR(VLOOKUP($D580&amp;$C580,生产方式定位!$A$2:$E$38,5,FALSE)+VLOOKUP($E580&amp;$C580,生产方式定位!$F$3:$J$38,5,FALSE),"错误")</f>
        <v>0</v>
      </c>
      <c r="Y580" s="27" t="str">
        <f t="shared" si="64"/>
        <v/>
      </c>
      <c r="Z580" s="37" t="str">
        <f t="shared" si="65"/>
        <v/>
      </c>
      <c r="AA580" s="37" t="str">
        <f t="shared" si="66"/>
        <v/>
      </c>
      <c r="AB580" s="28" t="str">
        <f t="shared" si="67"/>
        <v/>
      </c>
      <c r="AC580" s="37"/>
      <c r="AD580" s="38">
        <f t="shared" si="68"/>
        <v>5</v>
      </c>
      <c r="AE580" t="str">
        <f>IFERROR(F580&amp;"*"&amp;ROUND(L580*(G580/$AN580)/VLOOKUP(F580,商品!$A$4:$D$67,4,FALSE),0),"")</f>
        <v/>
      </c>
      <c r="AF580" t="str">
        <f>IFERROR(H580&amp;"*"&amp;ROUND(L580*(I580/$AN580)/VLOOKUP(H580,商品!$A$4:$D$67,4,FALSE),0),"")</f>
        <v/>
      </c>
      <c r="AG580" t="str">
        <f>IFERROR(J580&amp;"*"&amp;ROUND(L580*(K580/$AN580)/VLOOKUP(J580,商品!$A$4:$D$67,4,FALSE),0),"")</f>
        <v/>
      </c>
      <c r="AH580" t="str">
        <f>IFERROR(M580&amp;"*"&amp;ROUND(S580*(N580/$AO580)/VLOOKUP(M580,职业!$A$3:$E$16,4,FALSE),0),"")</f>
        <v/>
      </c>
      <c r="AI580" t="str">
        <f>IFERROR(O580&amp;"*"&amp;ROUND(S580*(P580/$AO580)/VLOOKUP(O580,职业!$A$3:$E$16,4,FALSE),0),"")</f>
        <v/>
      </c>
      <c r="AK580" t="str">
        <f>IFERROR(T580&amp;"*"&amp;ROUND(X580*(U580/$AP580)/VLOOKUP(T580,商品!$A$4:$D$67,4,FALSE),0),"")</f>
        <v/>
      </c>
      <c r="AL580" t="str">
        <f>IFERROR(V580&amp;"*"&amp;ROUND(X580*(W580/$AP580)/VLOOKUP(V580,商品!$A$4:$D$67,4,FALSE),0),"")</f>
        <v/>
      </c>
      <c r="AN580">
        <f t="shared" si="69"/>
        <v>0</v>
      </c>
      <c r="AO580">
        <f t="shared" si="70"/>
        <v>0</v>
      </c>
      <c r="AP580">
        <f t="shared" si="71"/>
        <v>0</v>
      </c>
    </row>
    <row r="581" customHeight="1" spans="1:42">
      <c r="A581" s="18" t="s">
        <v>396</v>
      </c>
      <c r="C581" s="18">
        <v>6</v>
      </c>
      <c r="D581" s="1" t="s">
        <v>293</v>
      </c>
      <c r="E581" s="1" t="s">
        <v>227</v>
      </c>
      <c r="L581" s="1">
        <f>IFERROR(VLOOKUP($D581&amp;$C581,生产方式定位!$A$2:$E$38,2,FALSE)+VLOOKUP($E581&amp;$C581,生产方式定位!$F$3:$J$38,2,FALSE),0)</f>
        <v>0</v>
      </c>
      <c r="S581" s="1">
        <f>IFERROR(VLOOKUP($D581&amp;$C581,生产方式定位!$A$2:$E$38,3,FALSE)+VLOOKUP($E581&amp;$C581,生产方式定位!$F$3:$J$38,3,FALSE),0)</f>
        <v>0</v>
      </c>
      <c r="X581" s="1">
        <f>IFERROR(VLOOKUP($D581&amp;$C581,生产方式定位!$A$2:$E$38,5,FALSE)+VLOOKUP($E581&amp;$C581,生产方式定位!$F$3:$J$38,5,FALSE),"错误")</f>
        <v>0</v>
      </c>
      <c r="Y581" s="27" t="str">
        <f t="shared" ref="Y581:Y644" si="72">IF(AE581="","",AE581)&amp;IF(AF581="","",","&amp;AF581)&amp;IF(AG581="","",","&amp;AG581)</f>
        <v/>
      </c>
      <c r="Z581" s="37" t="str">
        <f t="shared" ref="Z581:Z644" si="73">IF(AH581="","",AH581)&amp;IF(AI581="","",","&amp;AI581)</f>
        <v/>
      </c>
      <c r="AA581" s="37" t="str">
        <f t="shared" ref="AA581:AA644" si="74">IF(AK581="","",AK581)&amp;IF(AL581="","",","&amp;AL581)</f>
        <v/>
      </c>
      <c r="AB581" s="28" t="str">
        <f t="shared" ref="AB581:AB644" si="75">IFERROR(ROUND(L581/X581,2),"")</f>
        <v/>
      </c>
      <c r="AC581" s="37"/>
      <c r="AD581" s="38">
        <f t="shared" ref="AD581:AD644" si="76">C581</f>
        <v>6</v>
      </c>
      <c r="AE581" t="str">
        <f>IFERROR(F581&amp;"*"&amp;ROUND(L581*(G581/$AN581)/VLOOKUP(F581,商品!$A$4:$D$67,4,FALSE),0),"")</f>
        <v/>
      </c>
      <c r="AF581" t="str">
        <f>IFERROR(H581&amp;"*"&amp;ROUND(L581*(I581/$AN581)/VLOOKUP(H581,商品!$A$4:$D$67,4,FALSE),0),"")</f>
        <v/>
      </c>
      <c r="AG581" t="str">
        <f>IFERROR(J581&amp;"*"&amp;ROUND(L581*(K581/$AN581)/VLOOKUP(J581,商品!$A$4:$D$67,4,FALSE),0),"")</f>
        <v/>
      </c>
      <c r="AH581" t="str">
        <f>IFERROR(M581&amp;"*"&amp;ROUND(S581*(N581/$AO581)/VLOOKUP(M581,职业!$A$3:$E$16,4,FALSE),0),"")</f>
        <v/>
      </c>
      <c r="AI581" t="str">
        <f>IFERROR(O581&amp;"*"&amp;ROUND(S581*(P581/$AO581)/VLOOKUP(O581,职业!$A$3:$E$16,4,FALSE),0),"")</f>
        <v/>
      </c>
      <c r="AK581" t="str">
        <f>IFERROR(T581&amp;"*"&amp;ROUND(X581*(U581/$AP581)/VLOOKUP(T581,商品!$A$4:$D$67,4,FALSE),0),"")</f>
        <v/>
      </c>
      <c r="AL581" t="str">
        <f>IFERROR(V581&amp;"*"&amp;ROUND(X581*(W581/$AP581)/VLOOKUP(V581,商品!$A$4:$D$67,4,FALSE),0),"")</f>
        <v/>
      </c>
      <c r="AN581">
        <f t="shared" si="69"/>
        <v>0</v>
      </c>
      <c r="AO581">
        <f t="shared" si="70"/>
        <v>0</v>
      </c>
      <c r="AP581">
        <f t="shared" si="71"/>
        <v>0</v>
      </c>
    </row>
    <row r="582" customHeight="1" spans="1:42">
      <c r="A582" s="18" t="s">
        <v>396</v>
      </c>
      <c r="C582" s="18">
        <v>7</v>
      </c>
      <c r="D582" s="1" t="s">
        <v>293</v>
      </c>
      <c r="E582" s="1" t="s">
        <v>227</v>
      </c>
      <c r="L582" s="1">
        <f>IFERROR(VLOOKUP($D582&amp;$C582,生产方式定位!$A$2:$E$38,2,FALSE)+VLOOKUP($E582&amp;$C582,生产方式定位!$F$3:$J$38,2,FALSE),0)</f>
        <v>0</v>
      </c>
      <c r="S582" s="1">
        <f>IFERROR(VLOOKUP($D582&amp;$C582,生产方式定位!$A$2:$E$38,3,FALSE)+VLOOKUP($E582&amp;$C582,生产方式定位!$F$3:$J$38,3,FALSE),0)</f>
        <v>0</v>
      </c>
      <c r="X582" s="1">
        <f>IFERROR(VLOOKUP($D582&amp;$C582,生产方式定位!$A$2:$E$38,5,FALSE)+VLOOKUP($E582&amp;$C582,生产方式定位!$F$3:$J$38,5,FALSE),"错误")</f>
        <v>0</v>
      </c>
      <c r="Y582" s="27" t="str">
        <f t="shared" si="72"/>
        <v/>
      </c>
      <c r="Z582" s="37" t="str">
        <f t="shared" si="73"/>
        <v/>
      </c>
      <c r="AA582" s="37" t="str">
        <f t="shared" si="74"/>
        <v/>
      </c>
      <c r="AB582" s="28" t="str">
        <f t="shared" si="75"/>
        <v/>
      </c>
      <c r="AC582" s="37"/>
      <c r="AD582" s="38">
        <f t="shared" si="76"/>
        <v>7</v>
      </c>
      <c r="AE582" t="str">
        <f>IFERROR(F582&amp;"*"&amp;ROUND(L582*(G582/$AN582)/VLOOKUP(F582,商品!$A$4:$D$67,4,FALSE),0),"")</f>
        <v/>
      </c>
      <c r="AF582" t="str">
        <f>IFERROR(H582&amp;"*"&amp;ROUND(L582*(I582/$AN582)/VLOOKUP(H582,商品!$A$4:$D$67,4,FALSE),0),"")</f>
        <v/>
      </c>
      <c r="AG582" t="str">
        <f>IFERROR(J582&amp;"*"&amp;ROUND(L582*(K582/$AN582)/VLOOKUP(J582,商品!$A$4:$D$67,4,FALSE),0),"")</f>
        <v/>
      </c>
      <c r="AH582" t="str">
        <f>IFERROR(M582&amp;"*"&amp;ROUND(S582*(N582/$AO582)/VLOOKUP(M582,职业!$A$3:$E$16,4,FALSE),0),"")</f>
        <v/>
      </c>
      <c r="AI582" t="str">
        <f>IFERROR(O582&amp;"*"&amp;ROUND(S582*(P582/$AO582)/VLOOKUP(O582,职业!$A$3:$E$16,4,FALSE),0),"")</f>
        <v/>
      </c>
      <c r="AK582" t="str">
        <f>IFERROR(T582&amp;"*"&amp;ROUND(X582*(U582/$AP582)/VLOOKUP(T582,商品!$A$4:$D$67,4,FALSE),0),"")</f>
        <v/>
      </c>
      <c r="AL582" t="str">
        <f>IFERROR(V582&amp;"*"&amp;ROUND(X582*(W582/$AP582)/VLOOKUP(V582,商品!$A$4:$D$67,4,FALSE),0),"")</f>
        <v/>
      </c>
      <c r="AN582">
        <f t="shared" ref="AN582:AN645" si="77">G582+I582+K582</f>
        <v>0</v>
      </c>
      <c r="AO582">
        <f t="shared" ref="AO582:AO645" si="78">N582+P582+R582</f>
        <v>0</v>
      </c>
      <c r="AP582">
        <f t="shared" ref="AP582:AP645" si="79">U582+W582</f>
        <v>0</v>
      </c>
    </row>
    <row r="583" customHeight="1" spans="1:42">
      <c r="A583" s="18" t="s">
        <v>396</v>
      </c>
      <c r="C583" s="18">
        <v>8</v>
      </c>
      <c r="D583" s="1" t="s">
        <v>293</v>
      </c>
      <c r="E583" s="1" t="s">
        <v>227</v>
      </c>
      <c r="L583" s="1">
        <f>IFERROR(VLOOKUP($D583&amp;$C583,生产方式定位!$A$2:$E$38,2,FALSE)+VLOOKUP($E583&amp;$C583,生产方式定位!$F$3:$J$38,2,FALSE),0)</f>
        <v>0</v>
      </c>
      <c r="S583" s="1">
        <f>IFERROR(VLOOKUP($D583&amp;$C583,生产方式定位!$A$2:$E$38,3,FALSE)+VLOOKUP($E583&amp;$C583,生产方式定位!$F$3:$J$38,3,FALSE),0)</f>
        <v>0</v>
      </c>
      <c r="X583" s="1">
        <f>IFERROR(VLOOKUP($D583&amp;$C583,生产方式定位!$A$2:$E$38,5,FALSE)+VLOOKUP($E583&amp;$C583,生产方式定位!$F$3:$J$38,5,FALSE),"错误")</f>
        <v>0</v>
      </c>
      <c r="Y583" s="27" t="str">
        <f t="shared" si="72"/>
        <v/>
      </c>
      <c r="Z583" s="37" t="str">
        <f t="shared" si="73"/>
        <v/>
      </c>
      <c r="AA583" s="37" t="str">
        <f t="shared" si="74"/>
        <v/>
      </c>
      <c r="AB583" s="28" t="str">
        <f t="shared" si="75"/>
        <v/>
      </c>
      <c r="AC583" s="37"/>
      <c r="AD583" s="38">
        <f t="shared" si="76"/>
        <v>8</v>
      </c>
      <c r="AE583" t="str">
        <f>IFERROR(F583&amp;"*"&amp;ROUND(L583*(G583/$AN583)/VLOOKUP(F583,商品!$A$4:$D$67,4,FALSE),0),"")</f>
        <v/>
      </c>
      <c r="AF583" t="str">
        <f>IFERROR(H583&amp;"*"&amp;ROUND(L583*(I583/$AN583)/VLOOKUP(H583,商品!$A$4:$D$67,4,FALSE),0),"")</f>
        <v/>
      </c>
      <c r="AG583" t="str">
        <f>IFERROR(J583&amp;"*"&amp;ROUND(L583*(K583/$AN583)/VLOOKUP(J583,商品!$A$4:$D$67,4,FALSE),0),"")</f>
        <v/>
      </c>
      <c r="AH583" t="str">
        <f>IFERROR(M583&amp;"*"&amp;ROUND(S583*(N583/$AO583)/VLOOKUP(M583,职业!$A$3:$E$16,4,FALSE),0),"")</f>
        <v/>
      </c>
      <c r="AI583" t="str">
        <f>IFERROR(O583&amp;"*"&amp;ROUND(S583*(P583/$AO583)/VLOOKUP(O583,职业!$A$3:$E$16,4,FALSE),0),"")</f>
        <v/>
      </c>
      <c r="AK583" t="str">
        <f>IFERROR(T583&amp;"*"&amp;ROUND(X583*(U583/$AP583)/VLOOKUP(T583,商品!$A$4:$D$67,4,FALSE),0),"")</f>
        <v/>
      </c>
      <c r="AL583" t="str">
        <f>IFERROR(V583&amp;"*"&amp;ROUND(X583*(W583/$AP583)/VLOOKUP(V583,商品!$A$4:$D$67,4,FALSE),0),"")</f>
        <v/>
      </c>
      <c r="AN583">
        <f t="shared" si="77"/>
        <v>0</v>
      </c>
      <c r="AO583">
        <f t="shared" si="78"/>
        <v>0</v>
      </c>
      <c r="AP583">
        <f t="shared" si="79"/>
        <v>0</v>
      </c>
    </row>
    <row r="584" customHeight="1" spans="1:42">
      <c r="A584" s="5" t="s">
        <v>398</v>
      </c>
      <c r="C584" s="5">
        <v>1</v>
      </c>
      <c r="D584" s="1" t="s">
        <v>240</v>
      </c>
      <c r="E584" s="1" t="s">
        <v>224</v>
      </c>
      <c r="L584" s="1">
        <f>IFERROR(VLOOKUP($D584&amp;$C584,生产方式定位!$A$2:$E$38,2,FALSE)+VLOOKUP($E584&amp;$C584,生产方式定位!$F$3:$J$38,2,FALSE),0)</f>
        <v>0</v>
      </c>
      <c r="S584" s="1">
        <f>IFERROR(VLOOKUP($D584&amp;$C584,生产方式定位!$A$2:$E$38,3,FALSE)+VLOOKUP($E584&amp;$C584,生产方式定位!$F$3:$J$38,3,FALSE),0)</f>
        <v>8000</v>
      </c>
      <c r="X584" s="1">
        <f>IFERROR(VLOOKUP($D584&amp;$C584,生产方式定位!$A$2:$E$38,5,FALSE)+VLOOKUP($E584&amp;$C584,生产方式定位!$F$3:$J$38,5,FALSE),"错误")</f>
        <v>4000</v>
      </c>
      <c r="Y584" s="27" t="str">
        <f t="shared" si="72"/>
        <v/>
      </c>
      <c r="Z584" s="37" t="str">
        <f t="shared" si="73"/>
        <v/>
      </c>
      <c r="AA584" s="37" t="str">
        <f t="shared" si="74"/>
        <v/>
      </c>
      <c r="AB584" s="28">
        <f t="shared" si="75"/>
        <v>0</v>
      </c>
      <c r="AC584" s="37"/>
      <c r="AD584" s="38">
        <f t="shared" si="76"/>
        <v>1</v>
      </c>
      <c r="AE584" t="str">
        <f>IFERROR(F584&amp;"*"&amp;ROUND(L584*(G584/$AN584)/VLOOKUP(F584,商品!$A$4:$D$67,4,FALSE),0),"")</f>
        <v/>
      </c>
      <c r="AF584" t="str">
        <f>IFERROR(H584&amp;"*"&amp;ROUND(L584*(I584/$AN584)/VLOOKUP(H584,商品!$A$4:$D$67,4,FALSE),0),"")</f>
        <v/>
      </c>
      <c r="AG584" t="str">
        <f>IFERROR(J584&amp;"*"&amp;ROUND(L584*(K584/$AN584)/VLOOKUP(J584,商品!$A$4:$D$67,4,FALSE),0),"")</f>
        <v/>
      </c>
      <c r="AH584" t="str">
        <f>IFERROR(M584&amp;"*"&amp;ROUND(S584*(N584/$AO584)/VLOOKUP(M584,职业!$A$3:$E$16,4,FALSE),0),"")</f>
        <v/>
      </c>
      <c r="AI584" t="str">
        <f>IFERROR(O584&amp;"*"&amp;ROUND(S584*(P584/$AO584)/VLOOKUP(O584,职业!$A$3:$E$16,4,FALSE),0),"")</f>
        <v/>
      </c>
      <c r="AK584" t="str">
        <f>IFERROR(T584&amp;"*"&amp;ROUND(X584*(U584/$AP584)/VLOOKUP(T584,商品!$A$4:$D$67,4,FALSE),0),"")</f>
        <v/>
      </c>
      <c r="AL584" t="str">
        <f>IFERROR(V584&amp;"*"&amp;ROUND(X584*(W584/$AP584)/VLOOKUP(V584,商品!$A$4:$D$67,4,FALSE),0),"")</f>
        <v/>
      </c>
      <c r="AN584">
        <f t="shared" si="77"/>
        <v>0</v>
      </c>
      <c r="AO584">
        <f t="shared" si="78"/>
        <v>0</v>
      </c>
      <c r="AP584">
        <f t="shared" si="79"/>
        <v>0</v>
      </c>
    </row>
    <row r="585" customHeight="1" spans="1:42">
      <c r="A585" s="5" t="s">
        <v>398</v>
      </c>
      <c r="C585" s="5">
        <v>2</v>
      </c>
      <c r="D585" s="1" t="s">
        <v>240</v>
      </c>
      <c r="E585" s="1" t="s">
        <v>224</v>
      </c>
      <c r="L585" s="1">
        <f>IFERROR(VLOOKUP($D585&amp;$C585,生产方式定位!$A$2:$E$38,2,FALSE)+VLOOKUP($E585&amp;$C585,生产方式定位!$F$3:$J$38,2,FALSE),0)</f>
        <v>11000</v>
      </c>
      <c r="S585" s="1">
        <f>IFERROR(VLOOKUP($D585&amp;$C585,生产方式定位!$A$2:$E$38,3,FALSE)+VLOOKUP($E585&amp;$C585,生产方式定位!$F$3:$J$38,3,FALSE),0)</f>
        <v>8700</v>
      </c>
      <c r="X585" s="1">
        <f>IFERROR(VLOOKUP($D585&amp;$C585,生产方式定位!$A$2:$E$38,5,FALSE)+VLOOKUP($E585&amp;$C585,生产方式定位!$F$3:$J$38,5,FALSE),"错误")</f>
        <v>9922</v>
      </c>
      <c r="Y585" s="27" t="str">
        <f t="shared" si="72"/>
        <v/>
      </c>
      <c r="Z585" s="37" t="str">
        <f t="shared" si="73"/>
        <v/>
      </c>
      <c r="AA585" s="37" t="str">
        <f t="shared" si="74"/>
        <v/>
      </c>
      <c r="AB585" s="28">
        <f t="shared" si="75"/>
        <v>1.11</v>
      </c>
      <c r="AC585" s="37"/>
      <c r="AD585" s="38">
        <f t="shared" si="76"/>
        <v>2</v>
      </c>
      <c r="AE585" t="str">
        <f>IFERROR(F585&amp;"*"&amp;ROUND(L585*(G585/$AN585)/VLOOKUP(F585,商品!$A$4:$D$67,4,FALSE),0),"")</f>
        <v/>
      </c>
      <c r="AF585" t="str">
        <f>IFERROR(H585&amp;"*"&amp;ROUND(L585*(I585/$AN585)/VLOOKUP(H585,商品!$A$4:$D$67,4,FALSE),0),"")</f>
        <v/>
      </c>
      <c r="AG585" t="str">
        <f>IFERROR(J585&amp;"*"&amp;ROUND(L585*(K585/$AN585)/VLOOKUP(J585,商品!$A$4:$D$67,4,FALSE),0),"")</f>
        <v/>
      </c>
      <c r="AH585" t="str">
        <f>IFERROR(M585&amp;"*"&amp;ROUND(S585*(N585/$AO585)/VLOOKUP(M585,职业!$A$3:$E$16,4,FALSE),0),"")</f>
        <v/>
      </c>
      <c r="AI585" t="str">
        <f>IFERROR(O585&amp;"*"&amp;ROUND(S585*(P585/$AO585)/VLOOKUP(O585,职业!$A$3:$E$16,4,FALSE),0),"")</f>
        <v/>
      </c>
      <c r="AK585" t="str">
        <f>IFERROR(T585&amp;"*"&amp;ROUND(X585*(U585/$AP585)/VLOOKUP(T585,商品!$A$4:$D$67,4,FALSE),0),"")</f>
        <v/>
      </c>
      <c r="AL585" t="str">
        <f>IFERROR(V585&amp;"*"&amp;ROUND(X585*(W585/$AP585)/VLOOKUP(V585,商品!$A$4:$D$67,4,FALSE),0),"")</f>
        <v/>
      </c>
      <c r="AN585">
        <f t="shared" si="77"/>
        <v>0</v>
      </c>
      <c r="AO585">
        <f t="shared" si="78"/>
        <v>0</v>
      </c>
      <c r="AP585">
        <f t="shared" si="79"/>
        <v>0</v>
      </c>
    </row>
    <row r="586" customHeight="1" spans="1:42">
      <c r="A586" s="5" t="s">
        <v>398</v>
      </c>
      <c r="C586" s="5">
        <v>3</v>
      </c>
      <c r="D586" s="1" t="s">
        <v>240</v>
      </c>
      <c r="E586" s="1" t="s">
        <v>224</v>
      </c>
      <c r="L586" s="1">
        <f>IFERROR(VLOOKUP($D586&amp;$C586,生产方式定位!$A$2:$E$38,2,FALSE)+VLOOKUP($E586&amp;$C586,生产方式定位!$F$3:$J$38,2,FALSE),0)</f>
        <v>11000</v>
      </c>
      <c r="S586" s="1">
        <f>IFERROR(VLOOKUP($D586&amp;$C586,生产方式定位!$A$2:$E$38,3,FALSE)+VLOOKUP($E586&amp;$C586,生产方式定位!$F$3:$J$38,3,FALSE),0)</f>
        <v>9400</v>
      </c>
      <c r="X586" s="1">
        <f>IFERROR(VLOOKUP($D586&amp;$C586,生产方式定位!$A$2:$E$38,5,FALSE)+VLOOKUP($E586&amp;$C586,生产方式定位!$F$3:$J$38,5,FALSE),"错误")</f>
        <v>10488</v>
      </c>
      <c r="Y586" s="27" t="str">
        <f t="shared" si="72"/>
        <v/>
      </c>
      <c r="Z586" s="37" t="str">
        <f t="shared" si="73"/>
        <v/>
      </c>
      <c r="AA586" s="37" t="str">
        <f t="shared" si="74"/>
        <v/>
      </c>
      <c r="AB586" s="28">
        <f t="shared" si="75"/>
        <v>1.05</v>
      </c>
      <c r="AC586" s="37"/>
      <c r="AD586" s="38">
        <f t="shared" si="76"/>
        <v>3</v>
      </c>
      <c r="AE586" t="str">
        <f>IFERROR(F586&amp;"*"&amp;ROUND(L586*(G586/$AN586)/VLOOKUP(F586,商品!$A$4:$D$67,4,FALSE),0),"")</f>
        <v/>
      </c>
      <c r="AF586" t="str">
        <f>IFERROR(H586&amp;"*"&amp;ROUND(L586*(I586/$AN586)/VLOOKUP(H586,商品!$A$4:$D$67,4,FALSE),0),"")</f>
        <v/>
      </c>
      <c r="AG586" t="str">
        <f>IFERROR(J586&amp;"*"&amp;ROUND(L586*(K586/$AN586)/VLOOKUP(J586,商品!$A$4:$D$67,4,FALSE),0),"")</f>
        <v/>
      </c>
      <c r="AH586" t="str">
        <f>IFERROR(M586&amp;"*"&amp;ROUND(S586*(N586/$AO586)/VLOOKUP(M586,职业!$A$3:$E$16,4,FALSE),0),"")</f>
        <v/>
      </c>
      <c r="AI586" t="str">
        <f>IFERROR(O586&amp;"*"&amp;ROUND(S586*(P586/$AO586)/VLOOKUP(O586,职业!$A$3:$E$16,4,FALSE),0),"")</f>
        <v/>
      </c>
      <c r="AK586" t="str">
        <f>IFERROR(T586&amp;"*"&amp;ROUND(X586*(U586/$AP586)/VLOOKUP(T586,商品!$A$4:$D$67,4,FALSE),0),"")</f>
        <v/>
      </c>
      <c r="AL586" t="str">
        <f>IFERROR(V586&amp;"*"&amp;ROUND(X586*(W586/$AP586)/VLOOKUP(V586,商品!$A$4:$D$67,4,FALSE),0),"")</f>
        <v/>
      </c>
      <c r="AN586">
        <f t="shared" si="77"/>
        <v>0</v>
      </c>
      <c r="AO586">
        <f t="shared" si="78"/>
        <v>0</v>
      </c>
      <c r="AP586">
        <f t="shared" si="79"/>
        <v>0</v>
      </c>
    </row>
    <row r="587" customHeight="1" spans="1:42">
      <c r="A587" s="5" t="s">
        <v>398</v>
      </c>
      <c r="C587" s="5">
        <v>4</v>
      </c>
      <c r="D587" s="1" t="s">
        <v>240</v>
      </c>
      <c r="E587" s="1" t="s">
        <v>224</v>
      </c>
      <c r="L587" s="1">
        <f>IFERROR(VLOOKUP($D587&amp;$C587,生产方式定位!$A$2:$E$38,2,FALSE)+VLOOKUP($E587&amp;$C587,生产方式定位!$F$3:$J$38,2,FALSE),0)</f>
        <v>11000</v>
      </c>
      <c r="S587" s="1">
        <f>IFERROR(VLOOKUP($D587&amp;$C587,生产方式定位!$A$2:$E$38,3,FALSE)+VLOOKUP($E587&amp;$C587,生产方式定位!$F$3:$J$38,3,FALSE),0)</f>
        <v>10100</v>
      </c>
      <c r="X587" s="1">
        <f>IFERROR(VLOOKUP($D587&amp;$C587,生产方式定位!$A$2:$E$38,5,FALSE)+VLOOKUP($E587&amp;$C587,生产方式定位!$F$3:$J$38,5,FALSE),"错误")</f>
        <v>11198</v>
      </c>
      <c r="Y587" s="27" t="str">
        <f t="shared" si="72"/>
        <v/>
      </c>
      <c r="Z587" s="37" t="str">
        <f t="shared" si="73"/>
        <v/>
      </c>
      <c r="AA587" s="37" t="str">
        <f t="shared" si="74"/>
        <v/>
      </c>
      <c r="AB587" s="28">
        <f t="shared" si="75"/>
        <v>0.98</v>
      </c>
      <c r="AC587" s="37"/>
      <c r="AD587" s="38">
        <f t="shared" si="76"/>
        <v>4</v>
      </c>
      <c r="AE587" t="str">
        <f>IFERROR(F587&amp;"*"&amp;ROUND(L587*(G587/$AN587)/VLOOKUP(F587,商品!$A$4:$D$67,4,FALSE),0),"")</f>
        <v/>
      </c>
      <c r="AF587" t="str">
        <f>IFERROR(H587&amp;"*"&amp;ROUND(L587*(I587/$AN587)/VLOOKUP(H587,商品!$A$4:$D$67,4,FALSE),0),"")</f>
        <v/>
      </c>
      <c r="AG587" t="str">
        <f>IFERROR(J587&amp;"*"&amp;ROUND(L587*(K587/$AN587)/VLOOKUP(J587,商品!$A$4:$D$67,4,FALSE),0),"")</f>
        <v/>
      </c>
      <c r="AH587" t="str">
        <f>IFERROR(M587&amp;"*"&amp;ROUND(S587*(N587/$AO587)/VLOOKUP(M587,职业!$A$3:$E$16,4,FALSE),0),"")</f>
        <v/>
      </c>
      <c r="AI587" t="str">
        <f>IFERROR(O587&amp;"*"&amp;ROUND(S587*(P587/$AO587)/VLOOKUP(O587,职业!$A$3:$E$16,4,FALSE),0),"")</f>
        <v/>
      </c>
      <c r="AK587" t="str">
        <f>IFERROR(T587&amp;"*"&amp;ROUND(X587*(U587/$AP587)/VLOOKUP(T587,商品!$A$4:$D$67,4,FALSE),0),"")</f>
        <v/>
      </c>
      <c r="AL587" t="str">
        <f>IFERROR(V587&amp;"*"&amp;ROUND(X587*(W587/$AP587)/VLOOKUP(V587,商品!$A$4:$D$67,4,FALSE),0),"")</f>
        <v/>
      </c>
      <c r="AN587">
        <f t="shared" si="77"/>
        <v>0</v>
      </c>
      <c r="AO587">
        <f t="shared" si="78"/>
        <v>0</v>
      </c>
      <c r="AP587">
        <f t="shared" si="79"/>
        <v>0</v>
      </c>
    </row>
    <row r="588" customHeight="1" spans="1:42">
      <c r="A588" s="5" t="s">
        <v>398</v>
      </c>
      <c r="C588" s="5">
        <v>5</v>
      </c>
      <c r="D588" s="1" t="s">
        <v>240</v>
      </c>
      <c r="E588" s="1" t="s">
        <v>224</v>
      </c>
      <c r="L588" s="1">
        <f>IFERROR(VLOOKUP($D588&amp;$C588,生产方式定位!$A$2:$E$38,2,FALSE)+VLOOKUP($E588&amp;$C588,生产方式定位!$F$3:$J$38,2,FALSE),0)</f>
        <v>11000</v>
      </c>
      <c r="S588" s="1">
        <f>IFERROR(VLOOKUP($D588&amp;$C588,生产方式定位!$A$2:$E$38,3,FALSE)+VLOOKUP($E588&amp;$C588,生产方式定位!$F$3:$J$38,3,FALSE),0)</f>
        <v>10800</v>
      </c>
      <c r="X588" s="1">
        <f>IFERROR(VLOOKUP($D588&amp;$C588,生产方式定位!$A$2:$E$38,5,FALSE)+VLOOKUP($E588&amp;$C588,生产方式定位!$F$3:$J$38,5,FALSE),"错误")</f>
        <v>12100</v>
      </c>
      <c r="Y588" s="27" t="str">
        <f t="shared" si="72"/>
        <v/>
      </c>
      <c r="Z588" s="37" t="str">
        <f t="shared" si="73"/>
        <v/>
      </c>
      <c r="AA588" s="37" t="str">
        <f t="shared" si="74"/>
        <v/>
      </c>
      <c r="AB588" s="28">
        <f t="shared" si="75"/>
        <v>0.91</v>
      </c>
      <c r="AC588" s="37"/>
      <c r="AD588" s="38">
        <f t="shared" si="76"/>
        <v>5</v>
      </c>
      <c r="AE588" t="str">
        <f>IFERROR(F588&amp;"*"&amp;ROUND(L588*(G588/$AN588)/VLOOKUP(F588,商品!$A$4:$D$67,4,FALSE),0),"")</f>
        <v/>
      </c>
      <c r="AF588" t="str">
        <f>IFERROR(H588&amp;"*"&amp;ROUND(L588*(I588/$AN588)/VLOOKUP(H588,商品!$A$4:$D$67,4,FALSE),0),"")</f>
        <v/>
      </c>
      <c r="AG588" t="str">
        <f>IFERROR(J588&amp;"*"&amp;ROUND(L588*(K588/$AN588)/VLOOKUP(J588,商品!$A$4:$D$67,4,FALSE),0),"")</f>
        <v/>
      </c>
      <c r="AH588" t="str">
        <f>IFERROR(M588&amp;"*"&amp;ROUND(S588*(N588/$AO588)/VLOOKUP(M588,职业!$A$3:$E$16,4,FALSE),0),"")</f>
        <v/>
      </c>
      <c r="AI588" t="str">
        <f>IFERROR(O588&amp;"*"&amp;ROUND(S588*(P588/$AO588)/VLOOKUP(O588,职业!$A$3:$E$16,4,FALSE),0),"")</f>
        <v/>
      </c>
      <c r="AK588" t="str">
        <f>IFERROR(T588&amp;"*"&amp;ROUND(X588*(U588/$AP588)/VLOOKUP(T588,商品!$A$4:$D$67,4,FALSE),0),"")</f>
        <v/>
      </c>
      <c r="AL588" t="str">
        <f>IFERROR(V588&amp;"*"&amp;ROUND(X588*(W588/$AP588)/VLOOKUP(V588,商品!$A$4:$D$67,4,FALSE),0),"")</f>
        <v/>
      </c>
      <c r="AN588">
        <f t="shared" si="77"/>
        <v>0</v>
      </c>
      <c r="AO588">
        <f t="shared" si="78"/>
        <v>0</v>
      </c>
      <c r="AP588">
        <f t="shared" si="79"/>
        <v>0</v>
      </c>
    </row>
    <row r="589" customHeight="1" spans="1:42">
      <c r="A589" s="18" t="s">
        <v>399</v>
      </c>
      <c r="C589" s="18">
        <v>1</v>
      </c>
      <c r="D589" s="1" t="s">
        <v>293</v>
      </c>
      <c r="E589" s="1" t="s">
        <v>227</v>
      </c>
      <c r="L589" s="1">
        <f>IFERROR(VLOOKUP($D589&amp;$C589,生产方式定位!$A$2:$E$38,2,FALSE)+VLOOKUP($E589&amp;$C589,生产方式定位!$F$3:$J$38,2,FALSE),0)</f>
        <v>0</v>
      </c>
      <c r="S589" s="1">
        <f>IFERROR(VLOOKUP($D589&amp;$C589,生产方式定位!$A$2:$E$38,3,FALSE)+VLOOKUP($E589&amp;$C589,生产方式定位!$F$3:$J$38,3,FALSE),0)</f>
        <v>0</v>
      </c>
      <c r="X589" s="1">
        <f>IFERROR(VLOOKUP($D589&amp;$C589,生产方式定位!$A$2:$E$38,5,FALSE)+VLOOKUP($E589&amp;$C589,生产方式定位!$F$3:$J$38,5,FALSE),"错误")</f>
        <v>0</v>
      </c>
      <c r="Y589" s="27" t="str">
        <f t="shared" si="72"/>
        <v/>
      </c>
      <c r="Z589" s="37" t="str">
        <f t="shared" si="73"/>
        <v/>
      </c>
      <c r="AA589" s="37" t="str">
        <f t="shared" si="74"/>
        <v/>
      </c>
      <c r="AB589" s="28" t="str">
        <f t="shared" si="75"/>
        <v/>
      </c>
      <c r="AC589" s="37"/>
      <c r="AD589" s="38">
        <f t="shared" si="76"/>
        <v>1</v>
      </c>
      <c r="AE589" t="str">
        <f>IFERROR(F589&amp;"*"&amp;ROUND(L589*(G589/$AN589)/VLOOKUP(F589,商品!$A$4:$D$67,4,FALSE),0),"")</f>
        <v/>
      </c>
      <c r="AF589" t="str">
        <f>IFERROR(H589&amp;"*"&amp;ROUND(L589*(I589/$AN589)/VLOOKUP(H589,商品!$A$4:$D$67,4,FALSE),0),"")</f>
        <v/>
      </c>
      <c r="AG589" t="str">
        <f>IFERROR(J589&amp;"*"&amp;ROUND(L589*(K589/$AN589)/VLOOKUP(J589,商品!$A$4:$D$67,4,FALSE),0),"")</f>
        <v/>
      </c>
      <c r="AH589" t="str">
        <f>IFERROR(M589&amp;"*"&amp;ROUND(S589*(N589/$AO589)/VLOOKUP(M589,职业!$A$3:$E$16,4,FALSE),0),"")</f>
        <v/>
      </c>
      <c r="AI589" t="str">
        <f>IFERROR(O589&amp;"*"&amp;ROUND(S589*(P589/$AO589)/VLOOKUP(O589,职业!$A$3:$E$16,4,FALSE),0),"")</f>
        <v/>
      </c>
      <c r="AK589" t="str">
        <f>IFERROR(T589&amp;"*"&amp;ROUND(X589*(U589/$AP589)/VLOOKUP(T589,商品!$A$4:$D$67,4,FALSE),0),"")</f>
        <v/>
      </c>
      <c r="AL589" t="str">
        <f>IFERROR(V589&amp;"*"&amp;ROUND(X589*(W589/$AP589)/VLOOKUP(V589,商品!$A$4:$D$67,4,FALSE),0),"")</f>
        <v/>
      </c>
      <c r="AN589">
        <f t="shared" si="77"/>
        <v>0</v>
      </c>
      <c r="AO589">
        <f t="shared" si="78"/>
        <v>0</v>
      </c>
      <c r="AP589">
        <f t="shared" si="79"/>
        <v>0</v>
      </c>
    </row>
    <row r="590" customHeight="1" spans="1:42">
      <c r="A590" s="18" t="s">
        <v>399</v>
      </c>
      <c r="C590" s="18">
        <v>2</v>
      </c>
      <c r="D590" s="1" t="s">
        <v>293</v>
      </c>
      <c r="E590" s="1" t="s">
        <v>227</v>
      </c>
      <c r="L590" s="1">
        <f>IFERROR(VLOOKUP($D590&amp;$C590,生产方式定位!$A$2:$E$38,2,FALSE)+VLOOKUP($E590&amp;$C590,生产方式定位!$F$3:$J$38,2,FALSE),0)</f>
        <v>0</v>
      </c>
      <c r="S590" s="1">
        <f>IFERROR(VLOOKUP($D590&amp;$C590,生产方式定位!$A$2:$E$38,3,FALSE)+VLOOKUP($E590&amp;$C590,生产方式定位!$F$3:$J$38,3,FALSE),0)</f>
        <v>0</v>
      </c>
      <c r="X590" s="1">
        <f>IFERROR(VLOOKUP($D590&amp;$C590,生产方式定位!$A$2:$E$38,5,FALSE)+VLOOKUP($E590&amp;$C590,生产方式定位!$F$3:$J$38,5,FALSE),"错误")</f>
        <v>0</v>
      </c>
      <c r="Y590" s="27" t="str">
        <f t="shared" si="72"/>
        <v/>
      </c>
      <c r="Z590" s="37" t="str">
        <f t="shared" si="73"/>
        <v/>
      </c>
      <c r="AA590" s="37" t="str">
        <f t="shared" si="74"/>
        <v/>
      </c>
      <c r="AB590" s="28" t="str">
        <f t="shared" si="75"/>
        <v/>
      </c>
      <c r="AC590" s="37"/>
      <c r="AD590" s="38">
        <f t="shared" si="76"/>
        <v>2</v>
      </c>
      <c r="AE590" t="str">
        <f>IFERROR(F590&amp;"*"&amp;ROUND(L590*(G590/$AN590)/VLOOKUP(F590,商品!$A$4:$D$67,4,FALSE),0),"")</f>
        <v/>
      </c>
      <c r="AF590" t="str">
        <f>IFERROR(H590&amp;"*"&amp;ROUND(L590*(I590/$AN590)/VLOOKUP(H590,商品!$A$4:$D$67,4,FALSE),0),"")</f>
        <v/>
      </c>
      <c r="AG590" t="str">
        <f>IFERROR(J590&amp;"*"&amp;ROUND(L590*(K590/$AN590)/VLOOKUP(J590,商品!$A$4:$D$67,4,FALSE),0),"")</f>
        <v/>
      </c>
      <c r="AH590" t="str">
        <f>IFERROR(M590&amp;"*"&amp;ROUND(S590*(N590/$AO590)/VLOOKUP(M590,职业!$A$3:$E$16,4,FALSE),0),"")</f>
        <v/>
      </c>
      <c r="AI590" t="str">
        <f>IFERROR(O590&amp;"*"&amp;ROUND(S590*(P590/$AO590)/VLOOKUP(O590,职业!$A$3:$E$16,4,FALSE),0),"")</f>
        <v/>
      </c>
      <c r="AK590" t="str">
        <f>IFERROR(T590&amp;"*"&amp;ROUND(X590*(U590/$AP590)/VLOOKUP(T590,商品!$A$4:$D$67,4,FALSE),0),"")</f>
        <v/>
      </c>
      <c r="AL590" t="str">
        <f>IFERROR(V590&amp;"*"&amp;ROUND(X590*(W590/$AP590)/VLOOKUP(V590,商品!$A$4:$D$67,4,FALSE),0),"")</f>
        <v/>
      </c>
      <c r="AN590">
        <f t="shared" si="77"/>
        <v>0</v>
      </c>
      <c r="AO590">
        <f t="shared" si="78"/>
        <v>0</v>
      </c>
      <c r="AP590">
        <f t="shared" si="79"/>
        <v>0</v>
      </c>
    </row>
    <row r="591" customHeight="1" spans="1:42">
      <c r="A591" s="18" t="s">
        <v>399</v>
      </c>
      <c r="C591" s="18">
        <v>3</v>
      </c>
      <c r="D591" s="1" t="s">
        <v>293</v>
      </c>
      <c r="E591" s="1" t="s">
        <v>227</v>
      </c>
      <c r="L591" s="1">
        <f>IFERROR(VLOOKUP($D591&amp;$C591,生产方式定位!$A$2:$E$38,2,FALSE)+VLOOKUP($E591&amp;$C591,生产方式定位!$F$3:$J$38,2,FALSE),0)</f>
        <v>0</v>
      </c>
      <c r="S591" s="1">
        <f>IFERROR(VLOOKUP($D591&amp;$C591,生产方式定位!$A$2:$E$38,3,FALSE)+VLOOKUP($E591&amp;$C591,生产方式定位!$F$3:$J$38,3,FALSE),0)</f>
        <v>0</v>
      </c>
      <c r="X591" s="1">
        <f>IFERROR(VLOOKUP($D591&amp;$C591,生产方式定位!$A$2:$E$38,5,FALSE)+VLOOKUP($E591&amp;$C591,生产方式定位!$F$3:$J$38,5,FALSE),"错误")</f>
        <v>0</v>
      </c>
      <c r="Y591" s="27" t="str">
        <f t="shared" si="72"/>
        <v/>
      </c>
      <c r="Z591" s="37" t="str">
        <f t="shared" si="73"/>
        <v/>
      </c>
      <c r="AA591" s="37" t="str">
        <f t="shared" si="74"/>
        <v/>
      </c>
      <c r="AB591" s="28" t="str">
        <f t="shared" si="75"/>
        <v/>
      </c>
      <c r="AC591" s="37"/>
      <c r="AD591" s="38">
        <f t="shared" si="76"/>
        <v>3</v>
      </c>
      <c r="AE591" t="str">
        <f>IFERROR(F591&amp;"*"&amp;ROUND(L591*(G591/$AN591)/VLOOKUP(F591,商品!$A$4:$D$67,4,FALSE),0),"")</f>
        <v/>
      </c>
      <c r="AF591" t="str">
        <f>IFERROR(H591&amp;"*"&amp;ROUND(L591*(I591/$AN591)/VLOOKUP(H591,商品!$A$4:$D$67,4,FALSE),0),"")</f>
        <v/>
      </c>
      <c r="AG591" t="str">
        <f>IFERROR(J591&amp;"*"&amp;ROUND(L591*(K591/$AN591)/VLOOKUP(J591,商品!$A$4:$D$67,4,FALSE),0),"")</f>
        <v/>
      </c>
      <c r="AH591" t="str">
        <f>IFERROR(M591&amp;"*"&amp;ROUND(S591*(N591/$AO591)/VLOOKUP(M591,职业!$A$3:$E$16,4,FALSE),0),"")</f>
        <v/>
      </c>
      <c r="AI591" t="str">
        <f>IFERROR(O591&amp;"*"&amp;ROUND(S591*(P591/$AO591)/VLOOKUP(O591,职业!$A$3:$E$16,4,FALSE),0),"")</f>
        <v/>
      </c>
      <c r="AK591" t="str">
        <f>IFERROR(T591&amp;"*"&amp;ROUND(X591*(U591/$AP591)/VLOOKUP(T591,商品!$A$4:$D$67,4,FALSE),0),"")</f>
        <v/>
      </c>
      <c r="AL591" t="str">
        <f>IFERROR(V591&amp;"*"&amp;ROUND(X591*(W591/$AP591)/VLOOKUP(V591,商品!$A$4:$D$67,4,FALSE),0),"")</f>
        <v/>
      </c>
      <c r="AN591">
        <f t="shared" si="77"/>
        <v>0</v>
      </c>
      <c r="AO591">
        <f t="shared" si="78"/>
        <v>0</v>
      </c>
      <c r="AP591">
        <f t="shared" si="79"/>
        <v>0</v>
      </c>
    </row>
    <row r="592" customHeight="1" spans="1:42">
      <c r="A592" s="18" t="s">
        <v>399</v>
      </c>
      <c r="C592" s="18">
        <v>4</v>
      </c>
      <c r="D592" s="1" t="s">
        <v>293</v>
      </c>
      <c r="E592" s="1" t="s">
        <v>227</v>
      </c>
      <c r="L592" s="1">
        <f>IFERROR(VLOOKUP($D592&amp;$C592,生产方式定位!$A$2:$E$38,2,FALSE)+VLOOKUP($E592&amp;$C592,生产方式定位!$F$3:$J$38,2,FALSE),0)</f>
        <v>0</v>
      </c>
      <c r="S592" s="1">
        <f>IFERROR(VLOOKUP($D592&amp;$C592,生产方式定位!$A$2:$E$38,3,FALSE)+VLOOKUP($E592&amp;$C592,生产方式定位!$F$3:$J$38,3,FALSE),0)</f>
        <v>0</v>
      </c>
      <c r="X592" s="1">
        <f>IFERROR(VLOOKUP($D592&amp;$C592,生产方式定位!$A$2:$E$38,5,FALSE)+VLOOKUP($E592&amp;$C592,生产方式定位!$F$3:$J$38,5,FALSE),"错误")</f>
        <v>0</v>
      </c>
      <c r="Y592" s="27" t="str">
        <f t="shared" si="72"/>
        <v/>
      </c>
      <c r="Z592" s="37" t="str">
        <f t="shared" si="73"/>
        <v/>
      </c>
      <c r="AA592" s="37" t="str">
        <f t="shared" si="74"/>
        <v/>
      </c>
      <c r="AB592" s="28" t="str">
        <f t="shared" si="75"/>
        <v/>
      </c>
      <c r="AC592" s="37"/>
      <c r="AD592" s="38">
        <f t="shared" si="76"/>
        <v>4</v>
      </c>
      <c r="AE592" t="str">
        <f>IFERROR(F592&amp;"*"&amp;ROUND(L592*(G592/$AN592)/VLOOKUP(F592,商品!$A$4:$D$67,4,FALSE),0),"")</f>
        <v/>
      </c>
      <c r="AF592" t="str">
        <f>IFERROR(H592&amp;"*"&amp;ROUND(L592*(I592/$AN592)/VLOOKUP(H592,商品!$A$4:$D$67,4,FALSE),0),"")</f>
        <v/>
      </c>
      <c r="AG592" t="str">
        <f>IFERROR(J592&amp;"*"&amp;ROUND(L592*(K592/$AN592)/VLOOKUP(J592,商品!$A$4:$D$67,4,FALSE),0),"")</f>
        <v/>
      </c>
      <c r="AH592" t="str">
        <f>IFERROR(M592&amp;"*"&amp;ROUND(S592*(N592/$AO592)/VLOOKUP(M592,职业!$A$3:$E$16,4,FALSE),0),"")</f>
        <v/>
      </c>
      <c r="AI592" t="str">
        <f>IFERROR(O592&amp;"*"&amp;ROUND(S592*(P592/$AO592)/VLOOKUP(O592,职业!$A$3:$E$16,4,FALSE),0),"")</f>
        <v/>
      </c>
      <c r="AK592" t="str">
        <f>IFERROR(T592&amp;"*"&amp;ROUND(X592*(U592/$AP592)/VLOOKUP(T592,商品!$A$4:$D$67,4,FALSE),0),"")</f>
        <v/>
      </c>
      <c r="AL592" t="str">
        <f>IFERROR(V592&amp;"*"&amp;ROUND(X592*(W592/$AP592)/VLOOKUP(V592,商品!$A$4:$D$67,4,FALSE),0),"")</f>
        <v/>
      </c>
      <c r="AN592">
        <f t="shared" si="77"/>
        <v>0</v>
      </c>
      <c r="AO592">
        <f t="shared" si="78"/>
        <v>0</v>
      </c>
      <c r="AP592">
        <f t="shared" si="79"/>
        <v>0</v>
      </c>
    </row>
    <row r="593" customHeight="1" spans="1:42">
      <c r="A593" s="18" t="s">
        <v>399</v>
      </c>
      <c r="C593" s="18">
        <v>5</v>
      </c>
      <c r="D593" s="1" t="s">
        <v>293</v>
      </c>
      <c r="E593" s="1" t="s">
        <v>227</v>
      </c>
      <c r="L593" s="1">
        <f>IFERROR(VLOOKUP($D593&amp;$C593,生产方式定位!$A$2:$E$38,2,FALSE)+VLOOKUP($E593&amp;$C593,生产方式定位!$F$3:$J$38,2,FALSE),0)</f>
        <v>0</v>
      </c>
      <c r="S593" s="1">
        <f>IFERROR(VLOOKUP($D593&amp;$C593,生产方式定位!$A$2:$E$38,3,FALSE)+VLOOKUP($E593&amp;$C593,生产方式定位!$F$3:$J$38,3,FALSE),0)</f>
        <v>0</v>
      </c>
      <c r="X593" s="1">
        <f>IFERROR(VLOOKUP($D593&amp;$C593,生产方式定位!$A$2:$E$38,5,FALSE)+VLOOKUP($E593&amp;$C593,生产方式定位!$F$3:$J$38,5,FALSE),"错误")</f>
        <v>0</v>
      </c>
      <c r="Y593" s="27" t="str">
        <f t="shared" si="72"/>
        <v/>
      </c>
      <c r="Z593" s="37" t="str">
        <f t="shared" si="73"/>
        <v/>
      </c>
      <c r="AA593" s="37" t="str">
        <f t="shared" si="74"/>
        <v/>
      </c>
      <c r="AB593" s="28" t="str">
        <f t="shared" si="75"/>
        <v/>
      </c>
      <c r="AC593" s="37"/>
      <c r="AD593" s="38">
        <f t="shared" si="76"/>
        <v>5</v>
      </c>
      <c r="AE593" t="str">
        <f>IFERROR(F593&amp;"*"&amp;ROUND(L593*(G593/$AN593)/VLOOKUP(F593,商品!$A$4:$D$67,4,FALSE),0),"")</f>
        <v/>
      </c>
      <c r="AF593" t="str">
        <f>IFERROR(H593&amp;"*"&amp;ROUND(L593*(I593/$AN593)/VLOOKUP(H593,商品!$A$4:$D$67,4,FALSE),0),"")</f>
        <v/>
      </c>
      <c r="AG593" t="str">
        <f>IFERROR(J593&amp;"*"&amp;ROUND(L593*(K593/$AN593)/VLOOKUP(J593,商品!$A$4:$D$67,4,FALSE),0),"")</f>
        <v/>
      </c>
      <c r="AH593" t="str">
        <f>IFERROR(M593&amp;"*"&amp;ROUND(S593*(N593/$AO593)/VLOOKUP(M593,职业!$A$3:$E$16,4,FALSE),0),"")</f>
        <v/>
      </c>
      <c r="AI593" t="str">
        <f>IFERROR(O593&amp;"*"&amp;ROUND(S593*(P593/$AO593)/VLOOKUP(O593,职业!$A$3:$E$16,4,FALSE),0),"")</f>
        <v/>
      </c>
      <c r="AK593" t="str">
        <f>IFERROR(T593&amp;"*"&amp;ROUND(X593*(U593/$AP593)/VLOOKUP(T593,商品!$A$4:$D$67,4,FALSE),0),"")</f>
        <v/>
      </c>
      <c r="AL593" t="str">
        <f>IFERROR(V593&amp;"*"&amp;ROUND(X593*(W593/$AP593)/VLOOKUP(V593,商品!$A$4:$D$67,4,FALSE),0),"")</f>
        <v/>
      </c>
      <c r="AN593">
        <f t="shared" si="77"/>
        <v>0</v>
      </c>
      <c r="AO593">
        <f t="shared" si="78"/>
        <v>0</v>
      </c>
      <c r="AP593">
        <f t="shared" si="79"/>
        <v>0</v>
      </c>
    </row>
    <row r="594" customHeight="1" spans="1:42">
      <c r="A594" s="18" t="s">
        <v>399</v>
      </c>
      <c r="C594" s="18">
        <v>6</v>
      </c>
      <c r="D594" s="1" t="s">
        <v>293</v>
      </c>
      <c r="E594" s="1" t="s">
        <v>227</v>
      </c>
      <c r="L594" s="1">
        <f>IFERROR(VLOOKUP($D594&amp;$C594,生产方式定位!$A$2:$E$38,2,FALSE)+VLOOKUP($E594&amp;$C594,生产方式定位!$F$3:$J$38,2,FALSE),0)</f>
        <v>0</v>
      </c>
      <c r="S594" s="1">
        <f>IFERROR(VLOOKUP($D594&amp;$C594,生产方式定位!$A$2:$E$38,3,FALSE)+VLOOKUP($E594&amp;$C594,生产方式定位!$F$3:$J$38,3,FALSE),0)</f>
        <v>0</v>
      </c>
      <c r="X594" s="1">
        <f>IFERROR(VLOOKUP($D594&amp;$C594,生产方式定位!$A$2:$E$38,5,FALSE)+VLOOKUP($E594&amp;$C594,生产方式定位!$F$3:$J$38,5,FALSE),"错误")</f>
        <v>0</v>
      </c>
      <c r="Y594" s="27" t="str">
        <f t="shared" si="72"/>
        <v/>
      </c>
      <c r="Z594" s="37" t="str">
        <f t="shared" si="73"/>
        <v/>
      </c>
      <c r="AA594" s="37" t="str">
        <f t="shared" si="74"/>
        <v/>
      </c>
      <c r="AB594" s="28" t="str">
        <f t="shared" si="75"/>
        <v/>
      </c>
      <c r="AC594" s="37"/>
      <c r="AD594" s="38">
        <f t="shared" si="76"/>
        <v>6</v>
      </c>
      <c r="AE594" t="str">
        <f>IFERROR(F594&amp;"*"&amp;ROUND(L594*(G594/$AN594)/VLOOKUP(F594,商品!$A$4:$D$67,4,FALSE),0),"")</f>
        <v/>
      </c>
      <c r="AF594" t="str">
        <f>IFERROR(H594&amp;"*"&amp;ROUND(L594*(I594/$AN594)/VLOOKUP(H594,商品!$A$4:$D$67,4,FALSE),0),"")</f>
        <v/>
      </c>
      <c r="AG594" t="str">
        <f>IFERROR(J594&amp;"*"&amp;ROUND(L594*(K594/$AN594)/VLOOKUP(J594,商品!$A$4:$D$67,4,FALSE),0),"")</f>
        <v/>
      </c>
      <c r="AH594" t="str">
        <f>IFERROR(M594&amp;"*"&amp;ROUND(S594*(N594/$AO594)/VLOOKUP(M594,职业!$A$3:$E$16,4,FALSE),0),"")</f>
        <v/>
      </c>
      <c r="AI594" t="str">
        <f>IFERROR(O594&amp;"*"&amp;ROUND(S594*(P594/$AO594)/VLOOKUP(O594,职业!$A$3:$E$16,4,FALSE),0),"")</f>
        <v/>
      </c>
      <c r="AK594" t="str">
        <f>IFERROR(T594&amp;"*"&amp;ROUND(X594*(U594/$AP594)/VLOOKUP(T594,商品!$A$4:$D$67,4,FALSE),0),"")</f>
        <v/>
      </c>
      <c r="AL594" t="str">
        <f>IFERROR(V594&amp;"*"&amp;ROUND(X594*(W594/$AP594)/VLOOKUP(V594,商品!$A$4:$D$67,4,FALSE),0),"")</f>
        <v/>
      </c>
      <c r="AN594">
        <f t="shared" si="77"/>
        <v>0</v>
      </c>
      <c r="AO594">
        <f t="shared" si="78"/>
        <v>0</v>
      </c>
      <c r="AP594">
        <f t="shared" si="79"/>
        <v>0</v>
      </c>
    </row>
    <row r="595" customHeight="1" spans="1:42">
      <c r="A595" s="18" t="s">
        <v>399</v>
      </c>
      <c r="C595" s="18">
        <v>7</v>
      </c>
      <c r="D595" s="1" t="s">
        <v>293</v>
      </c>
      <c r="E595" s="1" t="s">
        <v>227</v>
      </c>
      <c r="L595" s="1">
        <f>IFERROR(VLOOKUP($D595&amp;$C595,生产方式定位!$A$2:$E$38,2,FALSE)+VLOOKUP($E595&amp;$C595,生产方式定位!$F$3:$J$38,2,FALSE),0)</f>
        <v>0</v>
      </c>
      <c r="S595" s="1">
        <f>IFERROR(VLOOKUP($D595&amp;$C595,生产方式定位!$A$2:$E$38,3,FALSE)+VLOOKUP($E595&amp;$C595,生产方式定位!$F$3:$J$38,3,FALSE),0)</f>
        <v>0</v>
      </c>
      <c r="X595" s="1">
        <f>IFERROR(VLOOKUP($D595&amp;$C595,生产方式定位!$A$2:$E$38,5,FALSE)+VLOOKUP($E595&amp;$C595,生产方式定位!$F$3:$J$38,5,FALSE),"错误")</f>
        <v>0</v>
      </c>
      <c r="Y595" s="27" t="str">
        <f t="shared" si="72"/>
        <v/>
      </c>
      <c r="Z595" s="37" t="str">
        <f t="shared" si="73"/>
        <v/>
      </c>
      <c r="AA595" s="37" t="str">
        <f t="shared" si="74"/>
        <v/>
      </c>
      <c r="AB595" s="28" t="str">
        <f t="shared" si="75"/>
        <v/>
      </c>
      <c r="AC595" s="37"/>
      <c r="AD595" s="38">
        <f t="shared" si="76"/>
        <v>7</v>
      </c>
      <c r="AE595" t="str">
        <f>IFERROR(F595&amp;"*"&amp;ROUND(L595*(G595/$AN595)/VLOOKUP(F595,商品!$A$4:$D$67,4,FALSE),0),"")</f>
        <v/>
      </c>
      <c r="AF595" t="str">
        <f>IFERROR(H595&amp;"*"&amp;ROUND(L595*(I595/$AN595)/VLOOKUP(H595,商品!$A$4:$D$67,4,FALSE),0),"")</f>
        <v/>
      </c>
      <c r="AG595" t="str">
        <f>IFERROR(J595&amp;"*"&amp;ROUND(L595*(K595/$AN595)/VLOOKUP(J595,商品!$A$4:$D$67,4,FALSE),0),"")</f>
        <v/>
      </c>
      <c r="AH595" t="str">
        <f>IFERROR(M595&amp;"*"&amp;ROUND(S595*(N595/$AO595)/VLOOKUP(M595,职业!$A$3:$E$16,4,FALSE),0),"")</f>
        <v/>
      </c>
      <c r="AI595" t="str">
        <f>IFERROR(O595&amp;"*"&amp;ROUND(S595*(P595/$AO595)/VLOOKUP(O595,职业!$A$3:$E$16,4,FALSE),0),"")</f>
        <v/>
      </c>
      <c r="AK595" t="str">
        <f>IFERROR(T595&amp;"*"&amp;ROUND(X595*(U595/$AP595)/VLOOKUP(T595,商品!$A$4:$D$67,4,FALSE),0),"")</f>
        <v/>
      </c>
      <c r="AL595" t="str">
        <f>IFERROR(V595&amp;"*"&amp;ROUND(X595*(W595/$AP595)/VLOOKUP(V595,商品!$A$4:$D$67,4,FALSE),0),"")</f>
        <v/>
      </c>
      <c r="AN595">
        <f t="shared" si="77"/>
        <v>0</v>
      </c>
      <c r="AO595">
        <f t="shared" si="78"/>
        <v>0</v>
      </c>
      <c r="AP595">
        <f t="shared" si="79"/>
        <v>0</v>
      </c>
    </row>
    <row r="596" customHeight="1" spans="1:42">
      <c r="A596" s="18" t="s">
        <v>399</v>
      </c>
      <c r="C596" s="18">
        <v>8</v>
      </c>
      <c r="D596" s="1" t="s">
        <v>293</v>
      </c>
      <c r="E596" s="1" t="s">
        <v>227</v>
      </c>
      <c r="L596" s="1">
        <f>IFERROR(VLOOKUP($D596&amp;$C596,生产方式定位!$A$2:$E$38,2,FALSE)+VLOOKUP($E596&amp;$C596,生产方式定位!$F$3:$J$38,2,FALSE),0)</f>
        <v>0</v>
      </c>
      <c r="S596" s="1">
        <f>IFERROR(VLOOKUP($D596&amp;$C596,生产方式定位!$A$2:$E$38,3,FALSE)+VLOOKUP($E596&amp;$C596,生产方式定位!$F$3:$J$38,3,FALSE),0)</f>
        <v>0</v>
      </c>
      <c r="X596" s="1">
        <f>IFERROR(VLOOKUP($D596&amp;$C596,生产方式定位!$A$2:$E$38,5,FALSE)+VLOOKUP($E596&amp;$C596,生产方式定位!$F$3:$J$38,5,FALSE),"错误")</f>
        <v>0</v>
      </c>
      <c r="Y596" s="27" t="str">
        <f t="shared" si="72"/>
        <v/>
      </c>
      <c r="Z596" s="37" t="str">
        <f t="shared" si="73"/>
        <v/>
      </c>
      <c r="AA596" s="37" t="str">
        <f t="shared" si="74"/>
        <v/>
      </c>
      <c r="AB596" s="28" t="str">
        <f t="shared" si="75"/>
        <v/>
      </c>
      <c r="AC596" s="37"/>
      <c r="AD596" s="38">
        <f t="shared" si="76"/>
        <v>8</v>
      </c>
      <c r="AE596" t="str">
        <f>IFERROR(F596&amp;"*"&amp;ROUND(L596*(G596/$AN596)/VLOOKUP(F596,商品!$A$4:$D$67,4,FALSE),0),"")</f>
        <v/>
      </c>
      <c r="AF596" t="str">
        <f>IFERROR(H596&amp;"*"&amp;ROUND(L596*(I596/$AN596)/VLOOKUP(H596,商品!$A$4:$D$67,4,FALSE),0),"")</f>
        <v/>
      </c>
      <c r="AG596" t="str">
        <f>IFERROR(J596&amp;"*"&amp;ROUND(L596*(K596/$AN596)/VLOOKUP(J596,商品!$A$4:$D$67,4,FALSE),0),"")</f>
        <v/>
      </c>
      <c r="AH596" t="str">
        <f>IFERROR(M596&amp;"*"&amp;ROUND(S596*(N596/$AO596)/VLOOKUP(M596,职业!$A$3:$E$16,4,FALSE),0),"")</f>
        <v/>
      </c>
      <c r="AI596" t="str">
        <f>IFERROR(O596&amp;"*"&amp;ROUND(S596*(P596/$AO596)/VLOOKUP(O596,职业!$A$3:$E$16,4,FALSE),0),"")</f>
        <v/>
      </c>
      <c r="AK596" t="str">
        <f>IFERROR(T596&amp;"*"&amp;ROUND(X596*(U596/$AP596)/VLOOKUP(T596,商品!$A$4:$D$67,4,FALSE),0),"")</f>
        <v/>
      </c>
      <c r="AL596" t="str">
        <f>IFERROR(V596&amp;"*"&amp;ROUND(X596*(W596/$AP596)/VLOOKUP(V596,商品!$A$4:$D$67,4,FALSE),0),"")</f>
        <v/>
      </c>
      <c r="AN596">
        <f t="shared" si="77"/>
        <v>0</v>
      </c>
      <c r="AO596">
        <f t="shared" si="78"/>
        <v>0</v>
      </c>
      <c r="AP596">
        <f t="shared" si="79"/>
        <v>0</v>
      </c>
    </row>
    <row r="597" customHeight="1" spans="1:42">
      <c r="A597" s="5" t="s">
        <v>399</v>
      </c>
      <c r="C597" s="5">
        <v>1</v>
      </c>
      <c r="D597" s="1" t="s">
        <v>293</v>
      </c>
      <c r="E597" s="1" t="s">
        <v>227</v>
      </c>
      <c r="L597" s="1">
        <f>IFERROR(VLOOKUP($D597&amp;$C597,生产方式定位!$A$2:$E$38,2,FALSE)+VLOOKUP($E597&amp;$C597,生产方式定位!$F$3:$J$38,2,FALSE),0)</f>
        <v>0</v>
      </c>
      <c r="S597" s="1">
        <f>IFERROR(VLOOKUP($D597&amp;$C597,生产方式定位!$A$2:$E$38,3,FALSE)+VLOOKUP($E597&amp;$C597,生产方式定位!$F$3:$J$38,3,FALSE),0)</f>
        <v>0</v>
      </c>
      <c r="X597" s="1">
        <f>IFERROR(VLOOKUP($D597&amp;$C597,生产方式定位!$A$2:$E$38,5,FALSE)+VLOOKUP($E597&amp;$C597,生产方式定位!$F$3:$J$38,5,FALSE),"错误")</f>
        <v>0</v>
      </c>
      <c r="Y597" s="27" t="str">
        <f t="shared" si="72"/>
        <v/>
      </c>
      <c r="Z597" s="37" t="str">
        <f t="shared" si="73"/>
        <v/>
      </c>
      <c r="AA597" s="37" t="str">
        <f t="shared" si="74"/>
        <v/>
      </c>
      <c r="AB597" s="28" t="str">
        <f t="shared" si="75"/>
        <v/>
      </c>
      <c r="AC597" s="37"/>
      <c r="AD597" s="38">
        <f t="shared" si="76"/>
        <v>1</v>
      </c>
      <c r="AE597" t="str">
        <f>IFERROR(F597&amp;"*"&amp;ROUND(L597*(G597/$AN597)/VLOOKUP(F597,商品!$A$4:$D$67,4,FALSE),0),"")</f>
        <v/>
      </c>
      <c r="AF597" t="str">
        <f>IFERROR(H597&amp;"*"&amp;ROUND(L597*(I597/$AN597)/VLOOKUP(H597,商品!$A$4:$D$67,4,FALSE),0),"")</f>
        <v/>
      </c>
      <c r="AG597" t="str">
        <f>IFERROR(J597&amp;"*"&amp;ROUND(L597*(K597/$AN597)/VLOOKUP(J597,商品!$A$4:$D$67,4,FALSE),0),"")</f>
        <v/>
      </c>
      <c r="AH597" t="str">
        <f>IFERROR(M597&amp;"*"&amp;ROUND(S597*(N597/$AO597)/VLOOKUP(M597,职业!$A$3:$E$16,4,FALSE),0),"")</f>
        <v/>
      </c>
      <c r="AI597" t="str">
        <f>IFERROR(O597&amp;"*"&amp;ROUND(S597*(P597/$AO597)/VLOOKUP(O597,职业!$A$3:$E$16,4,FALSE),0),"")</f>
        <v/>
      </c>
      <c r="AK597" t="str">
        <f>IFERROR(T597&amp;"*"&amp;ROUND(X597*(U597/$AP597)/VLOOKUP(T597,商品!$A$4:$D$67,4,FALSE),0),"")</f>
        <v/>
      </c>
      <c r="AL597" t="str">
        <f>IFERROR(V597&amp;"*"&amp;ROUND(X597*(W597/$AP597)/VLOOKUP(V597,商品!$A$4:$D$67,4,FALSE),0),"")</f>
        <v/>
      </c>
      <c r="AN597">
        <f t="shared" si="77"/>
        <v>0</v>
      </c>
      <c r="AO597">
        <f t="shared" si="78"/>
        <v>0</v>
      </c>
      <c r="AP597">
        <f t="shared" si="79"/>
        <v>0</v>
      </c>
    </row>
    <row r="598" customHeight="1" spans="1:42">
      <c r="A598" s="5" t="s">
        <v>399</v>
      </c>
      <c r="C598" s="5">
        <v>2</v>
      </c>
      <c r="D598" s="1" t="s">
        <v>293</v>
      </c>
      <c r="E598" s="1" t="s">
        <v>227</v>
      </c>
      <c r="L598" s="1">
        <f>IFERROR(VLOOKUP($D598&amp;$C598,生产方式定位!$A$2:$E$38,2,FALSE)+VLOOKUP($E598&amp;$C598,生产方式定位!$F$3:$J$38,2,FALSE),0)</f>
        <v>0</v>
      </c>
      <c r="S598" s="1">
        <f>IFERROR(VLOOKUP($D598&amp;$C598,生产方式定位!$A$2:$E$38,3,FALSE)+VLOOKUP($E598&amp;$C598,生产方式定位!$F$3:$J$38,3,FALSE),0)</f>
        <v>0</v>
      </c>
      <c r="X598" s="1">
        <f>IFERROR(VLOOKUP($D598&amp;$C598,生产方式定位!$A$2:$E$38,5,FALSE)+VLOOKUP($E598&amp;$C598,生产方式定位!$F$3:$J$38,5,FALSE),"错误")</f>
        <v>0</v>
      </c>
      <c r="Y598" s="27" t="str">
        <f t="shared" si="72"/>
        <v/>
      </c>
      <c r="Z598" s="37" t="str">
        <f t="shared" si="73"/>
        <v/>
      </c>
      <c r="AA598" s="37" t="str">
        <f t="shared" si="74"/>
        <v/>
      </c>
      <c r="AB598" s="28" t="str">
        <f t="shared" si="75"/>
        <v/>
      </c>
      <c r="AC598" s="37"/>
      <c r="AD598" s="38">
        <f t="shared" si="76"/>
        <v>2</v>
      </c>
      <c r="AE598" t="str">
        <f>IFERROR(F598&amp;"*"&amp;ROUND(L598*(G598/$AN598)/VLOOKUP(F598,商品!$A$4:$D$67,4,FALSE),0),"")</f>
        <v/>
      </c>
      <c r="AF598" t="str">
        <f>IFERROR(H598&amp;"*"&amp;ROUND(L598*(I598/$AN598)/VLOOKUP(H598,商品!$A$4:$D$67,4,FALSE),0),"")</f>
        <v/>
      </c>
      <c r="AG598" t="str">
        <f>IFERROR(J598&amp;"*"&amp;ROUND(L598*(K598/$AN598)/VLOOKUP(J598,商品!$A$4:$D$67,4,FALSE),0),"")</f>
        <v/>
      </c>
      <c r="AH598" t="str">
        <f>IFERROR(M598&amp;"*"&amp;ROUND(S598*(N598/$AO598)/VLOOKUP(M598,职业!$A$3:$E$16,4,FALSE),0),"")</f>
        <v/>
      </c>
      <c r="AI598" t="str">
        <f>IFERROR(O598&amp;"*"&amp;ROUND(S598*(P598/$AO598)/VLOOKUP(O598,职业!$A$3:$E$16,4,FALSE),0),"")</f>
        <v/>
      </c>
      <c r="AK598" t="str">
        <f>IFERROR(T598&amp;"*"&amp;ROUND(X598*(U598/$AP598)/VLOOKUP(T598,商品!$A$4:$D$67,4,FALSE),0),"")</f>
        <v/>
      </c>
      <c r="AL598" t="str">
        <f>IFERROR(V598&amp;"*"&amp;ROUND(X598*(W598/$AP598)/VLOOKUP(V598,商品!$A$4:$D$67,4,FALSE),0),"")</f>
        <v/>
      </c>
      <c r="AN598">
        <f t="shared" si="77"/>
        <v>0</v>
      </c>
      <c r="AO598">
        <f t="shared" si="78"/>
        <v>0</v>
      </c>
      <c r="AP598">
        <f t="shared" si="79"/>
        <v>0</v>
      </c>
    </row>
    <row r="599" customHeight="1" spans="1:42">
      <c r="A599" s="5" t="s">
        <v>399</v>
      </c>
      <c r="C599" s="5">
        <v>3</v>
      </c>
      <c r="D599" s="1" t="s">
        <v>293</v>
      </c>
      <c r="E599" s="1" t="s">
        <v>227</v>
      </c>
      <c r="L599" s="1">
        <f>IFERROR(VLOOKUP($D599&amp;$C599,生产方式定位!$A$2:$E$38,2,FALSE)+VLOOKUP($E599&amp;$C599,生产方式定位!$F$3:$J$38,2,FALSE),0)</f>
        <v>0</v>
      </c>
      <c r="S599" s="1">
        <f>IFERROR(VLOOKUP($D599&amp;$C599,生产方式定位!$A$2:$E$38,3,FALSE)+VLOOKUP($E599&amp;$C599,生产方式定位!$F$3:$J$38,3,FALSE),0)</f>
        <v>0</v>
      </c>
      <c r="X599" s="1">
        <f>IFERROR(VLOOKUP($D599&amp;$C599,生产方式定位!$A$2:$E$38,5,FALSE)+VLOOKUP($E599&amp;$C599,生产方式定位!$F$3:$J$38,5,FALSE),"错误")</f>
        <v>0</v>
      </c>
      <c r="Y599" s="27" t="str">
        <f t="shared" si="72"/>
        <v/>
      </c>
      <c r="Z599" s="37" t="str">
        <f t="shared" si="73"/>
        <v/>
      </c>
      <c r="AA599" s="37" t="str">
        <f t="shared" si="74"/>
        <v/>
      </c>
      <c r="AB599" s="28" t="str">
        <f t="shared" si="75"/>
        <v/>
      </c>
      <c r="AC599" s="37"/>
      <c r="AD599" s="38">
        <f t="shared" si="76"/>
        <v>3</v>
      </c>
      <c r="AE599" t="str">
        <f>IFERROR(F599&amp;"*"&amp;ROUND(L599*(G599/$AN599)/VLOOKUP(F599,商品!$A$4:$D$67,4,FALSE),0),"")</f>
        <v/>
      </c>
      <c r="AF599" t="str">
        <f>IFERROR(H599&amp;"*"&amp;ROUND(L599*(I599/$AN599)/VLOOKUP(H599,商品!$A$4:$D$67,4,FALSE),0),"")</f>
        <v/>
      </c>
      <c r="AG599" t="str">
        <f>IFERROR(J599&amp;"*"&amp;ROUND(L599*(K599/$AN599)/VLOOKUP(J599,商品!$A$4:$D$67,4,FALSE),0),"")</f>
        <v/>
      </c>
      <c r="AH599" t="str">
        <f>IFERROR(M599&amp;"*"&amp;ROUND(S599*(N599/$AO599)/VLOOKUP(M599,职业!$A$3:$E$16,4,FALSE),0),"")</f>
        <v/>
      </c>
      <c r="AI599" t="str">
        <f>IFERROR(O599&amp;"*"&amp;ROUND(S599*(P599/$AO599)/VLOOKUP(O599,职业!$A$3:$E$16,4,FALSE),0),"")</f>
        <v/>
      </c>
      <c r="AK599" t="str">
        <f>IFERROR(T599&amp;"*"&amp;ROUND(X599*(U599/$AP599)/VLOOKUP(T599,商品!$A$4:$D$67,4,FALSE),0),"")</f>
        <v/>
      </c>
      <c r="AL599" t="str">
        <f>IFERROR(V599&amp;"*"&amp;ROUND(X599*(W599/$AP599)/VLOOKUP(V599,商品!$A$4:$D$67,4,FALSE),0),"")</f>
        <v/>
      </c>
      <c r="AN599">
        <f t="shared" si="77"/>
        <v>0</v>
      </c>
      <c r="AO599">
        <f t="shared" si="78"/>
        <v>0</v>
      </c>
      <c r="AP599">
        <f t="shared" si="79"/>
        <v>0</v>
      </c>
    </row>
    <row r="600" customHeight="1" spans="1:42">
      <c r="A600" s="5" t="s">
        <v>399</v>
      </c>
      <c r="C600" s="5">
        <v>4</v>
      </c>
      <c r="D600" s="1" t="s">
        <v>293</v>
      </c>
      <c r="E600" s="1" t="s">
        <v>227</v>
      </c>
      <c r="L600" s="1">
        <f>IFERROR(VLOOKUP($D600&amp;$C600,生产方式定位!$A$2:$E$38,2,FALSE)+VLOOKUP($E600&amp;$C600,生产方式定位!$F$3:$J$38,2,FALSE),0)</f>
        <v>0</v>
      </c>
      <c r="S600" s="1">
        <f>IFERROR(VLOOKUP($D600&amp;$C600,生产方式定位!$A$2:$E$38,3,FALSE)+VLOOKUP($E600&amp;$C600,生产方式定位!$F$3:$J$38,3,FALSE),0)</f>
        <v>0</v>
      </c>
      <c r="X600" s="1">
        <f>IFERROR(VLOOKUP($D600&amp;$C600,生产方式定位!$A$2:$E$38,5,FALSE)+VLOOKUP($E600&amp;$C600,生产方式定位!$F$3:$J$38,5,FALSE),"错误")</f>
        <v>0</v>
      </c>
      <c r="Y600" s="27" t="str">
        <f t="shared" si="72"/>
        <v/>
      </c>
      <c r="Z600" s="37" t="str">
        <f t="shared" si="73"/>
        <v/>
      </c>
      <c r="AA600" s="37" t="str">
        <f t="shared" si="74"/>
        <v/>
      </c>
      <c r="AB600" s="28" t="str">
        <f t="shared" si="75"/>
        <v/>
      </c>
      <c r="AC600" s="37"/>
      <c r="AD600" s="38">
        <f t="shared" si="76"/>
        <v>4</v>
      </c>
      <c r="AE600" t="str">
        <f>IFERROR(F600&amp;"*"&amp;ROUND(L600*(G600/$AN600)/VLOOKUP(F600,商品!$A$4:$D$67,4,FALSE),0),"")</f>
        <v/>
      </c>
      <c r="AF600" t="str">
        <f>IFERROR(H600&amp;"*"&amp;ROUND(L600*(I600/$AN600)/VLOOKUP(H600,商品!$A$4:$D$67,4,FALSE),0),"")</f>
        <v/>
      </c>
      <c r="AG600" t="str">
        <f>IFERROR(J600&amp;"*"&amp;ROUND(L600*(K600/$AN600)/VLOOKUP(J600,商品!$A$4:$D$67,4,FALSE),0),"")</f>
        <v/>
      </c>
      <c r="AH600" t="str">
        <f>IFERROR(M600&amp;"*"&amp;ROUND(S600*(N600/$AO600)/VLOOKUP(M600,职业!$A$3:$E$16,4,FALSE),0),"")</f>
        <v/>
      </c>
      <c r="AI600" t="str">
        <f>IFERROR(O600&amp;"*"&amp;ROUND(S600*(P600/$AO600)/VLOOKUP(O600,职业!$A$3:$E$16,4,FALSE),0),"")</f>
        <v/>
      </c>
      <c r="AK600" t="str">
        <f>IFERROR(T600&amp;"*"&amp;ROUND(X600*(U600/$AP600)/VLOOKUP(T600,商品!$A$4:$D$67,4,FALSE),0),"")</f>
        <v/>
      </c>
      <c r="AL600" t="str">
        <f>IFERROR(V600&amp;"*"&amp;ROUND(X600*(W600/$AP600)/VLOOKUP(V600,商品!$A$4:$D$67,4,FALSE),0),"")</f>
        <v/>
      </c>
      <c r="AN600">
        <f t="shared" si="77"/>
        <v>0</v>
      </c>
      <c r="AO600">
        <f t="shared" si="78"/>
        <v>0</v>
      </c>
      <c r="AP600">
        <f t="shared" si="79"/>
        <v>0</v>
      </c>
    </row>
    <row r="601" customHeight="1" spans="1:42">
      <c r="A601" s="5" t="s">
        <v>399</v>
      </c>
      <c r="C601" s="5">
        <v>5</v>
      </c>
      <c r="D601" s="1" t="s">
        <v>293</v>
      </c>
      <c r="E601" s="1" t="s">
        <v>227</v>
      </c>
      <c r="L601" s="1">
        <f>IFERROR(VLOOKUP($D601&amp;$C601,生产方式定位!$A$2:$E$38,2,FALSE)+VLOOKUP($E601&amp;$C601,生产方式定位!$F$3:$J$38,2,FALSE),0)</f>
        <v>0</v>
      </c>
      <c r="S601" s="1">
        <f>IFERROR(VLOOKUP($D601&amp;$C601,生产方式定位!$A$2:$E$38,3,FALSE)+VLOOKUP($E601&amp;$C601,生产方式定位!$F$3:$J$38,3,FALSE),0)</f>
        <v>0</v>
      </c>
      <c r="X601" s="1">
        <f>IFERROR(VLOOKUP($D601&amp;$C601,生产方式定位!$A$2:$E$38,5,FALSE)+VLOOKUP($E601&amp;$C601,生产方式定位!$F$3:$J$38,5,FALSE),"错误")</f>
        <v>0</v>
      </c>
      <c r="Y601" s="27" t="str">
        <f t="shared" si="72"/>
        <v/>
      </c>
      <c r="Z601" s="37" t="str">
        <f t="shared" si="73"/>
        <v/>
      </c>
      <c r="AA601" s="37" t="str">
        <f t="shared" si="74"/>
        <v/>
      </c>
      <c r="AB601" s="28" t="str">
        <f t="shared" si="75"/>
        <v/>
      </c>
      <c r="AC601" s="37"/>
      <c r="AD601" s="38">
        <f t="shared" si="76"/>
        <v>5</v>
      </c>
      <c r="AE601" t="str">
        <f>IFERROR(F601&amp;"*"&amp;ROUND(L601*(G601/$AN601)/VLOOKUP(F601,商品!$A$4:$D$67,4,FALSE),0),"")</f>
        <v/>
      </c>
      <c r="AF601" t="str">
        <f>IFERROR(H601&amp;"*"&amp;ROUND(L601*(I601/$AN601)/VLOOKUP(H601,商品!$A$4:$D$67,4,FALSE),0),"")</f>
        <v/>
      </c>
      <c r="AG601" t="str">
        <f>IFERROR(J601&amp;"*"&amp;ROUND(L601*(K601/$AN601)/VLOOKUP(J601,商品!$A$4:$D$67,4,FALSE),0),"")</f>
        <v/>
      </c>
      <c r="AH601" t="str">
        <f>IFERROR(M601&amp;"*"&amp;ROUND(S601*(N601/$AO601)/VLOOKUP(M601,职业!$A$3:$E$16,4,FALSE),0),"")</f>
        <v/>
      </c>
      <c r="AI601" t="str">
        <f>IFERROR(O601&amp;"*"&amp;ROUND(S601*(P601/$AO601)/VLOOKUP(O601,职业!$A$3:$E$16,4,FALSE),0),"")</f>
        <v/>
      </c>
      <c r="AK601" t="str">
        <f>IFERROR(T601&amp;"*"&amp;ROUND(X601*(U601/$AP601)/VLOOKUP(T601,商品!$A$4:$D$67,4,FALSE),0),"")</f>
        <v/>
      </c>
      <c r="AL601" t="str">
        <f>IFERROR(V601&amp;"*"&amp;ROUND(X601*(W601/$AP601)/VLOOKUP(V601,商品!$A$4:$D$67,4,FALSE),0),"")</f>
        <v/>
      </c>
      <c r="AN601">
        <f t="shared" si="77"/>
        <v>0</v>
      </c>
      <c r="AO601">
        <f t="shared" si="78"/>
        <v>0</v>
      </c>
      <c r="AP601">
        <f t="shared" si="79"/>
        <v>0</v>
      </c>
    </row>
    <row r="602" customHeight="1" spans="1:42">
      <c r="A602" s="5" t="s">
        <v>399</v>
      </c>
      <c r="C602" s="5">
        <v>6</v>
      </c>
      <c r="D602" s="1" t="s">
        <v>293</v>
      </c>
      <c r="E602" s="1" t="s">
        <v>227</v>
      </c>
      <c r="L602" s="1">
        <f>IFERROR(VLOOKUP($D602&amp;$C602,生产方式定位!$A$2:$E$38,2,FALSE)+VLOOKUP($E602&amp;$C602,生产方式定位!$F$3:$J$38,2,FALSE),0)</f>
        <v>0</v>
      </c>
      <c r="S602" s="1">
        <f>IFERROR(VLOOKUP($D602&amp;$C602,生产方式定位!$A$2:$E$38,3,FALSE)+VLOOKUP($E602&amp;$C602,生产方式定位!$F$3:$J$38,3,FALSE),0)</f>
        <v>0</v>
      </c>
      <c r="X602" s="1">
        <f>IFERROR(VLOOKUP($D602&amp;$C602,生产方式定位!$A$2:$E$38,5,FALSE)+VLOOKUP($E602&amp;$C602,生产方式定位!$F$3:$J$38,5,FALSE),"错误")</f>
        <v>0</v>
      </c>
      <c r="Y602" s="27" t="str">
        <f t="shared" si="72"/>
        <v/>
      </c>
      <c r="Z602" s="37" t="str">
        <f t="shared" si="73"/>
        <v/>
      </c>
      <c r="AA602" s="37" t="str">
        <f t="shared" si="74"/>
        <v/>
      </c>
      <c r="AB602" s="28" t="str">
        <f t="shared" si="75"/>
        <v/>
      </c>
      <c r="AC602" s="37"/>
      <c r="AD602" s="38">
        <f t="shared" si="76"/>
        <v>6</v>
      </c>
      <c r="AE602" t="str">
        <f>IFERROR(F602&amp;"*"&amp;ROUND(L602*(G602/$AN602)/VLOOKUP(F602,商品!$A$4:$D$67,4,FALSE),0),"")</f>
        <v/>
      </c>
      <c r="AF602" t="str">
        <f>IFERROR(H602&amp;"*"&amp;ROUND(L602*(I602/$AN602)/VLOOKUP(H602,商品!$A$4:$D$67,4,FALSE),0),"")</f>
        <v/>
      </c>
      <c r="AG602" t="str">
        <f>IFERROR(J602&amp;"*"&amp;ROUND(L602*(K602/$AN602)/VLOOKUP(J602,商品!$A$4:$D$67,4,FALSE),0),"")</f>
        <v/>
      </c>
      <c r="AH602" t="str">
        <f>IFERROR(M602&amp;"*"&amp;ROUND(S602*(N602/$AO602)/VLOOKUP(M602,职业!$A$3:$E$16,4,FALSE),0),"")</f>
        <v/>
      </c>
      <c r="AI602" t="str">
        <f>IFERROR(O602&amp;"*"&amp;ROUND(S602*(P602/$AO602)/VLOOKUP(O602,职业!$A$3:$E$16,4,FALSE),0),"")</f>
        <v/>
      </c>
      <c r="AK602" t="str">
        <f>IFERROR(T602&amp;"*"&amp;ROUND(X602*(U602/$AP602)/VLOOKUP(T602,商品!$A$4:$D$67,4,FALSE),0),"")</f>
        <v/>
      </c>
      <c r="AL602" t="str">
        <f>IFERROR(V602&amp;"*"&amp;ROUND(X602*(W602/$AP602)/VLOOKUP(V602,商品!$A$4:$D$67,4,FALSE),0),"")</f>
        <v/>
      </c>
      <c r="AN602">
        <f t="shared" si="77"/>
        <v>0</v>
      </c>
      <c r="AO602">
        <f t="shared" si="78"/>
        <v>0</v>
      </c>
      <c r="AP602">
        <f t="shared" si="79"/>
        <v>0</v>
      </c>
    </row>
    <row r="603" customHeight="1" spans="1:42">
      <c r="A603" s="5" t="s">
        <v>399</v>
      </c>
      <c r="C603" s="5">
        <v>7</v>
      </c>
      <c r="D603" s="1" t="s">
        <v>293</v>
      </c>
      <c r="E603" s="1" t="s">
        <v>227</v>
      </c>
      <c r="L603" s="1">
        <f>IFERROR(VLOOKUP($D603&amp;$C603,生产方式定位!$A$2:$E$38,2,FALSE)+VLOOKUP($E603&amp;$C603,生产方式定位!$F$3:$J$38,2,FALSE),0)</f>
        <v>0</v>
      </c>
      <c r="S603" s="1">
        <f>IFERROR(VLOOKUP($D603&amp;$C603,生产方式定位!$A$2:$E$38,3,FALSE)+VLOOKUP($E603&amp;$C603,生产方式定位!$F$3:$J$38,3,FALSE),0)</f>
        <v>0</v>
      </c>
      <c r="X603" s="1">
        <f>IFERROR(VLOOKUP($D603&amp;$C603,生产方式定位!$A$2:$E$38,5,FALSE)+VLOOKUP($E603&amp;$C603,生产方式定位!$F$3:$J$38,5,FALSE),"错误")</f>
        <v>0</v>
      </c>
      <c r="Y603" s="27" t="str">
        <f t="shared" si="72"/>
        <v/>
      </c>
      <c r="Z603" s="37" t="str">
        <f t="shared" si="73"/>
        <v/>
      </c>
      <c r="AA603" s="37" t="str">
        <f t="shared" si="74"/>
        <v/>
      </c>
      <c r="AB603" s="28" t="str">
        <f t="shared" si="75"/>
        <v/>
      </c>
      <c r="AC603" s="37"/>
      <c r="AD603" s="38">
        <f t="shared" si="76"/>
        <v>7</v>
      </c>
      <c r="AE603" t="str">
        <f>IFERROR(F603&amp;"*"&amp;ROUND(L603*(G603/$AN603)/VLOOKUP(F603,商品!$A$4:$D$67,4,FALSE),0),"")</f>
        <v/>
      </c>
      <c r="AF603" t="str">
        <f>IFERROR(H603&amp;"*"&amp;ROUND(L603*(I603/$AN603)/VLOOKUP(H603,商品!$A$4:$D$67,4,FALSE),0),"")</f>
        <v/>
      </c>
      <c r="AG603" t="str">
        <f>IFERROR(J603&amp;"*"&amp;ROUND(L603*(K603/$AN603)/VLOOKUP(J603,商品!$A$4:$D$67,4,FALSE),0),"")</f>
        <v/>
      </c>
      <c r="AH603" t="str">
        <f>IFERROR(M603&amp;"*"&amp;ROUND(S603*(N603/$AO603)/VLOOKUP(M603,职业!$A$3:$E$16,4,FALSE),0),"")</f>
        <v/>
      </c>
      <c r="AI603" t="str">
        <f>IFERROR(O603&amp;"*"&amp;ROUND(S603*(P603/$AO603)/VLOOKUP(O603,职业!$A$3:$E$16,4,FALSE),0),"")</f>
        <v/>
      </c>
      <c r="AK603" t="str">
        <f>IFERROR(T603&amp;"*"&amp;ROUND(X603*(U603/$AP603)/VLOOKUP(T603,商品!$A$4:$D$67,4,FALSE),0),"")</f>
        <v/>
      </c>
      <c r="AL603" t="str">
        <f>IFERROR(V603&amp;"*"&amp;ROUND(X603*(W603/$AP603)/VLOOKUP(V603,商品!$A$4:$D$67,4,FALSE),0),"")</f>
        <v/>
      </c>
      <c r="AN603">
        <f t="shared" si="77"/>
        <v>0</v>
      </c>
      <c r="AO603">
        <f t="shared" si="78"/>
        <v>0</v>
      </c>
      <c r="AP603">
        <f t="shared" si="79"/>
        <v>0</v>
      </c>
    </row>
    <row r="604" customHeight="1" spans="1:42">
      <c r="A604" s="5" t="s">
        <v>399</v>
      </c>
      <c r="C604" s="5">
        <v>8</v>
      </c>
      <c r="D604" s="1" t="s">
        <v>293</v>
      </c>
      <c r="E604" s="1" t="s">
        <v>227</v>
      </c>
      <c r="L604" s="1">
        <f>IFERROR(VLOOKUP($D604&amp;$C604,生产方式定位!$A$2:$E$38,2,FALSE)+VLOOKUP($E604&amp;$C604,生产方式定位!$F$3:$J$38,2,FALSE),0)</f>
        <v>0</v>
      </c>
      <c r="S604" s="1">
        <f>IFERROR(VLOOKUP($D604&amp;$C604,生产方式定位!$A$2:$E$38,3,FALSE)+VLOOKUP($E604&amp;$C604,生产方式定位!$F$3:$J$38,3,FALSE),0)</f>
        <v>0</v>
      </c>
      <c r="X604" s="1">
        <f>IFERROR(VLOOKUP($D604&amp;$C604,生产方式定位!$A$2:$E$38,5,FALSE)+VLOOKUP($E604&amp;$C604,生产方式定位!$F$3:$J$38,5,FALSE),"错误")</f>
        <v>0</v>
      </c>
      <c r="Y604" s="27" t="str">
        <f t="shared" si="72"/>
        <v/>
      </c>
      <c r="Z604" s="37" t="str">
        <f t="shared" si="73"/>
        <v/>
      </c>
      <c r="AA604" s="37" t="str">
        <f t="shared" si="74"/>
        <v/>
      </c>
      <c r="AB604" s="28" t="str">
        <f t="shared" si="75"/>
        <v/>
      </c>
      <c r="AC604" s="37"/>
      <c r="AD604" s="38">
        <f t="shared" si="76"/>
        <v>8</v>
      </c>
      <c r="AE604" t="str">
        <f>IFERROR(F604&amp;"*"&amp;ROUND(L604*(G604/$AN604)/VLOOKUP(F604,商品!$A$4:$D$67,4,FALSE),0),"")</f>
        <v/>
      </c>
      <c r="AF604" t="str">
        <f>IFERROR(H604&amp;"*"&amp;ROUND(L604*(I604/$AN604)/VLOOKUP(H604,商品!$A$4:$D$67,4,FALSE),0),"")</f>
        <v/>
      </c>
      <c r="AG604" t="str">
        <f>IFERROR(J604&amp;"*"&amp;ROUND(L604*(K604/$AN604)/VLOOKUP(J604,商品!$A$4:$D$67,4,FALSE),0),"")</f>
        <v/>
      </c>
      <c r="AH604" t="str">
        <f>IFERROR(M604&amp;"*"&amp;ROUND(S604*(N604/$AO604)/VLOOKUP(M604,职业!$A$3:$E$16,4,FALSE),0),"")</f>
        <v/>
      </c>
      <c r="AI604" t="str">
        <f>IFERROR(O604&amp;"*"&amp;ROUND(S604*(P604/$AO604)/VLOOKUP(O604,职业!$A$3:$E$16,4,FALSE),0),"")</f>
        <v/>
      </c>
      <c r="AK604" t="str">
        <f>IFERROR(T604&amp;"*"&amp;ROUND(X604*(U604/$AP604)/VLOOKUP(T604,商品!$A$4:$D$67,4,FALSE),0),"")</f>
        <v/>
      </c>
      <c r="AL604" t="str">
        <f>IFERROR(V604&amp;"*"&amp;ROUND(X604*(W604/$AP604)/VLOOKUP(V604,商品!$A$4:$D$67,4,FALSE),0),"")</f>
        <v/>
      </c>
      <c r="AN604">
        <f t="shared" si="77"/>
        <v>0</v>
      </c>
      <c r="AO604">
        <f t="shared" si="78"/>
        <v>0</v>
      </c>
      <c r="AP604">
        <f t="shared" si="79"/>
        <v>0</v>
      </c>
    </row>
    <row r="605" customHeight="1" spans="1:42">
      <c r="A605" s="18" t="s">
        <v>401</v>
      </c>
      <c r="C605" s="18">
        <v>1</v>
      </c>
      <c r="D605" s="1" t="s">
        <v>240</v>
      </c>
      <c r="E605" s="1" t="s">
        <v>224</v>
      </c>
      <c r="L605" s="1">
        <f>IFERROR(VLOOKUP($D605&amp;$C605,生产方式定位!$A$2:$E$38,2,FALSE)+VLOOKUP($E605&amp;$C605,生产方式定位!$F$3:$J$38,2,FALSE),0)</f>
        <v>0</v>
      </c>
      <c r="S605" s="1">
        <f>IFERROR(VLOOKUP($D605&amp;$C605,生产方式定位!$A$2:$E$38,3,FALSE)+VLOOKUP($E605&amp;$C605,生产方式定位!$F$3:$J$38,3,FALSE),0)</f>
        <v>8000</v>
      </c>
      <c r="X605" s="1">
        <f>IFERROR(VLOOKUP($D605&amp;$C605,生产方式定位!$A$2:$E$38,5,FALSE)+VLOOKUP($E605&amp;$C605,生产方式定位!$F$3:$J$38,5,FALSE),"错误")</f>
        <v>4000</v>
      </c>
      <c r="Y605" s="27" t="str">
        <f t="shared" si="72"/>
        <v/>
      </c>
      <c r="Z605" s="37" t="str">
        <f t="shared" si="73"/>
        <v/>
      </c>
      <c r="AA605" s="37" t="str">
        <f t="shared" si="74"/>
        <v/>
      </c>
      <c r="AB605" s="28">
        <f t="shared" si="75"/>
        <v>0</v>
      </c>
      <c r="AC605" s="37"/>
      <c r="AD605" s="38">
        <f t="shared" si="76"/>
        <v>1</v>
      </c>
      <c r="AE605" t="str">
        <f>IFERROR(F605&amp;"*"&amp;ROUND(L605*(G605/$AN605)/VLOOKUP(F605,商品!$A$4:$D$67,4,FALSE),0),"")</f>
        <v/>
      </c>
      <c r="AF605" t="str">
        <f>IFERROR(H605&amp;"*"&amp;ROUND(L605*(I605/$AN605)/VLOOKUP(H605,商品!$A$4:$D$67,4,FALSE),0),"")</f>
        <v/>
      </c>
      <c r="AG605" t="str">
        <f>IFERROR(J605&amp;"*"&amp;ROUND(L605*(K605/$AN605)/VLOOKUP(J605,商品!$A$4:$D$67,4,FALSE),0),"")</f>
        <v/>
      </c>
      <c r="AH605" t="str">
        <f>IFERROR(M605&amp;"*"&amp;ROUND(S605*(N605/$AO605)/VLOOKUP(M605,职业!$A$3:$E$16,4,FALSE),0),"")</f>
        <v/>
      </c>
      <c r="AI605" t="str">
        <f>IFERROR(O605&amp;"*"&amp;ROUND(S605*(P605/$AO605)/VLOOKUP(O605,职业!$A$3:$E$16,4,FALSE),0),"")</f>
        <v/>
      </c>
      <c r="AK605" t="str">
        <f>IFERROR(T605&amp;"*"&amp;ROUND(X605*(U605/$AP605)/VLOOKUP(T605,商品!$A$4:$D$67,4,FALSE),0),"")</f>
        <v/>
      </c>
      <c r="AL605" t="str">
        <f>IFERROR(V605&amp;"*"&amp;ROUND(X605*(W605/$AP605)/VLOOKUP(V605,商品!$A$4:$D$67,4,FALSE),0),"")</f>
        <v/>
      </c>
      <c r="AN605">
        <f t="shared" si="77"/>
        <v>0</v>
      </c>
      <c r="AO605">
        <f t="shared" si="78"/>
        <v>0</v>
      </c>
      <c r="AP605">
        <f t="shared" si="79"/>
        <v>0</v>
      </c>
    </row>
    <row r="606" customHeight="1" spans="1:42">
      <c r="A606" s="18" t="s">
        <v>401</v>
      </c>
      <c r="C606" s="18">
        <v>2</v>
      </c>
      <c r="D606" s="1" t="s">
        <v>240</v>
      </c>
      <c r="E606" s="1" t="s">
        <v>224</v>
      </c>
      <c r="L606" s="1">
        <f>IFERROR(VLOOKUP($D606&amp;$C606,生产方式定位!$A$2:$E$38,2,FALSE)+VLOOKUP($E606&amp;$C606,生产方式定位!$F$3:$J$38,2,FALSE),0)</f>
        <v>11000</v>
      </c>
      <c r="S606" s="1">
        <f>IFERROR(VLOOKUP($D606&amp;$C606,生产方式定位!$A$2:$E$38,3,FALSE)+VLOOKUP($E606&amp;$C606,生产方式定位!$F$3:$J$38,3,FALSE),0)</f>
        <v>8700</v>
      </c>
      <c r="X606" s="1">
        <f>IFERROR(VLOOKUP($D606&amp;$C606,生产方式定位!$A$2:$E$38,5,FALSE)+VLOOKUP($E606&amp;$C606,生产方式定位!$F$3:$J$38,5,FALSE),"错误")</f>
        <v>9922</v>
      </c>
      <c r="Y606" s="27" t="str">
        <f t="shared" si="72"/>
        <v/>
      </c>
      <c r="Z606" s="37" t="str">
        <f t="shared" si="73"/>
        <v/>
      </c>
      <c r="AA606" s="37" t="str">
        <f t="shared" si="74"/>
        <v/>
      </c>
      <c r="AB606" s="28">
        <f t="shared" si="75"/>
        <v>1.11</v>
      </c>
      <c r="AC606" s="37"/>
      <c r="AD606" s="38">
        <f t="shared" si="76"/>
        <v>2</v>
      </c>
      <c r="AE606" t="str">
        <f>IFERROR(F606&amp;"*"&amp;ROUND(L606*(G606/$AN606)/VLOOKUP(F606,商品!$A$4:$D$67,4,FALSE),0),"")</f>
        <v/>
      </c>
      <c r="AF606" t="str">
        <f>IFERROR(H606&amp;"*"&amp;ROUND(L606*(I606/$AN606)/VLOOKUP(H606,商品!$A$4:$D$67,4,FALSE),0),"")</f>
        <v/>
      </c>
      <c r="AG606" t="str">
        <f>IFERROR(J606&amp;"*"&amp;ROUND(L606*(K606/$AN606)/VLOOKUP(J606,商品!$A$4:$D$67,4,FALSE),0),"")</f>
        <v/>
      </c>
      <c r="AH606" t="str">
        <f>IFERROR(M606&amp;"*"&amp;ROUND(S606*(N606/$AO606)/VLOOKUP(M606,职业!$A$3:$E$16,4,FALSE),0),"")</f>
        <v/>
      </c>
      <c r="AI606" t="str">
        <f>IFERROR(O606&amp;"*"&amp;ROUND(S606*(P606/$AO606)/VLOOKUP(O606,职业!$A$3:$E$16,4,FALSE),0),"")</f>
        <v/>
      </c>
      <c r="AK606" t="str">
        <f>IFERROR(T606&amp;"*"&amp;ROUND(X606*(U606/$AP606)/VLOOKUP(T606,商品!$A$4:$D$67,4,FALSE),0),"")</f>
        <v/>
      </c>
      <c r="AL606" t="str">
        <f>IFERROR(V606&amp;"*"&amp;ROUND(X606*(W606/$AP606)/VLOOKUP(V606,商品!$A$4:$D$67,4,FALSE),0),"")</f>
        <v/>
      </c>
      <c r="AN606">
        <f t="shared" si="77"/>
        <v>0</v>
      </c>
      <c r="AO606">
        <f t="shared" si="78"/>
        <v>0</v>
      </c>
      <c r="AP606">
        <f t="shared" si="79"/>
        <v>0</v>
      </c>
    </row>
    <row r="607" customHeight="1" spans="1:42">
      <c r="A607" s="18" t="s">
        <v>401</v>
      </c>
      <c r="C607" s="18">
        <v>3</v>
      </c>
      <c r="D607" s="1" t="s">
        <v>240</v>
      </c>
      <c r="E607" s="1" t="s">
        <v>224</v>
      </c>
      <c r="L607" s="1">
        <f>IFERROR(VLOOKUP($D607&amp;$C607,生产方式定位!$A$2:$E$38,2,FALSE)+VLOOKUP($E607&amp;$C607,生产方式定位!$F$3:$J$38,2,FALSE),0)</f>
        <v>11000</v>
      </c>
      <c r="S607" s="1">
        <f>IFERROR(VLOOKUP($D607&amp;$C607,生产方式定位!$A$2:$E$38,3,FALSE)+VLOOKUP($E607&amp;$C607,生产方式定位!$F$3:$J$38,3,FALSE),0)</f>
        <v>9400</v>
      </c>
      <c r="X607" s="1">
        <f>IFERROR(VLOOKUP($D607&amp;$C607,生产方式定位!$A$2:$E$38,5,FALSE)+VLOOKUP($E607&amp;$C607,生产方式定位!$F$3:$J$38,5,FALSE),"错误")</f>
        <v>10488</v>
      </c>
      <c r="Y607" s="27" t="str">
        <f t="shared" si="72"/>
        <v/>
      </c>
      <c r="Z607" s="37" t="str">
        <f t="shared" si="73"/>
        <v/>
      </c>
      <c r="AA607" s="37" t="str">
        <f t="shared" si="74"/>
        <v/>
      </c>
      <c r="AB607" s="28">
        <f t="shared" si="75"/>
        <v>1.05</v>
      </c>
      <c r="AC607" s="37"/>
      <c r="AD607" s="38">
        <f t="shared" si="76"/>
        <v>3</v>
      </c>
      <c r="AE607" t="str">
        <f>IFERROR(F607&amp;"*"&amp;ROUND(L607*(G607/$AN607)/VLOOKUP(F607,商品!$A$4:$D$67,4,FALSE),0),"")</f>
        <v/>
      </c>
      <c r="AF607" t="str">
        <f>IFERROR(H607&amp;"*"&amp;ROUND(L607*(I607/$AN607)/VLOOKUP(H607,商品!$A$4:$D$67,4,FALSE),0),"")</f>
        <v/>
      </c>
      <c r="AG607" t="str">
        <f>IFERROR(J607&amp;"*"&amp;ROUND(L607*(K607/$AN607)/VLOOKUP(J607,商品!$A$4:$D$67,4,FALSE),0),"")</f>
        <v/>
      </c>
      <c r="AH607" t="str">
        <f>IFERROR(M607&amp;"*"&amp;ROUND(S607*(N607/$AO607)/VLOOKUP(M607,职业!$A$3:$E$16,4,FALSE),0),"")</f>
        <v/>
      </c>
      <c r="AI607" t="str">
        <f>IFERROR(O607&amp;"*"&amp;ROUND(S607*(P607/$AO607)/VLOOKUP(O607,职业!$A$3:$E$16,4,FALSE),0),"")</f>
        <v/>
      </c>
      <c r="AK607" t="str">
        <f>IFERROR(T607&amp;"*"&amp;ROUND(X607*(U607/$AP607)/VLOOKUP(T607,商品!$A$4:$D$67,4,FALSE),0),"")</f>
        <v/>
      </c>
      <c r="AL607" t="str">
        <f>IFERROR(V607&amp;"*"&amp;ROUND(X607*(W607/$AP607)/VLOOKUP(V607,商品!$A$4:$D$67,4,FALSE),0),"")</f>
        <v/>
      </c>
      <c r="AN607">
        <f t="shared" si="77"/>
        <v>0</v>
      </c>
      <c r="AO607">
        <f t="shared" si="78"/>
        <v>0</v>
      </c>
      <c r="AP607">
        <f t="shared" si="79"/>
        <v>0</v>
      </c>
    </row>
    <row r="608" customHeight="1" spans="1:42">
      <c r="A608" s="18" t="s">
        <v>401</v>
      </c>
      <c r="C608" s="18">
        <v>4</v>
      </c>
      <c r="D608" s="1" t="s">
        <v>240</v>
      </c>
      <c r="E608" s="1" t="s">
        <v>224</v>
      </c>
      <c r="L608" s="1">
        <f>IFERROR(VLOOKUP($D608&amp;$C608,生产方式定位!$A$2:$E$38,2,FALSE)+VLOOKUP($E608&amp;$C608,生产方式定位!$F$3:$J$38,2,FALSE),0)</f>
        <v>11000</v>
      </c>
      <c r="S608" s="1">
        <f>IFERROR(VLOOKUP($D608&amp;$C608,生产方式定位!$A$2:$E$38,3,FALSE)+VLOOKUP($E608&amp;$C608,生产方式定位!$F$3:$J$38,3,FALSE),0)</f>
        <v>10100</v>
      </c>
      <c r="X608" s="1">
        <f>IFERROR(VLOOKUP($D608&amp;$C608,生产方式定位!$A$2:$E$38,5,FALSE)+VLOOKUP($E608&amp;$C608,生产方式定位!$F$3:$J$38,5,FALSE),"错误")</f>
        <v>11198</v>
      </c>
      <c r="Y608" s="27" t="str">
        <f t="shared" si="72"/>
        <v/>
      </c>
      <c r="Z608" s="37" t="str">
        <f t="shared" si="73"/>
        <v/>
      </c>
      <c r="AA608" s="37" t="str">
        <f t="shared" si="74"/>
        <v/>
      </c>
      <c r="AB608" s="28">
        <f t="shared" si="75"/>
        <v>0.98</v>
      </c>
      <c r="AC608" s="37"/>
      <c r="AD608" s="38">
        <f t="shared" si="76"/>
        <v>4</v>
      </c>
      <c r="AE608" t="str">
        <f>IFERROR(F608&amp;"*"&amp;ROUND(L608*(G608/$AN608)/VLOOKUP(F608,商品!$A$4:$D$67,4,FALSE),0),"")</f>
        <v/>
      </c>
      <c r="AF608" t="str">
        <f>IFERROR(H608&amp;"*"&amp;ROUND(L608*(I608/$AN608)/VLOOKUP(H608,商品!$A$4:$D$67,4,FALSE),0),"")</f>
        <v/>
      </c>
      <c r="AG608" t="str">
        <f>IFERROR(J608&amp;"*"&amp;ROUND(L608*(K608/$AN608)/VLOOKUP(J608,商品!$A$4:$D$67,4,FALSE),0),"")</f>
        <v/>
      </c>
      <c r="AH608" t="str">
        <f>IFERROR(M608&amp;"*"&amp;ROUND(S608*(N608/$AO608)/VLOOKUP(M608,职业!$A$3:$E$16,4,FALSE),0),"")</f>
        <v/>
      </c>
      <c r="AI608" t="str">
        <f>IFERROR(O608&amp;"*"&amp;ROUND(S608*(P608/$AO608)/VLOOKUP(O608,职业!$A$3:$E$16,4,FALSE),0),"")</f>
        <v/>
      </c>
      <c r="AK608" t="str">
        <f>IFERROR(T608&amp;"*"&amp;ROUND(X608*(U608/$AP608)/VLOOKUP(T608,商品!$A$4:$D$67,4,FALSE),0),"")</f>
        <v/>
      </c>
      <c r="AL608" t="str">
        <f>IFERROR(V608&amp;"*"&amp;ROUND(X608*(W608/$AP608)/VLOOKUP(V608,商品!$A$4:$D$67,4,FALSE),0),"")</f>
        <v/>
      </c>
      <c r="AN608">
        <f t="shared" si="77"/>
        <v>0</v>
      </c>
      <c r="AO608">
        <f t="shared" si="78"/>
        <v>0</v>
      </c>
      <c r="AP608">
        <f t="shared" si="79"/>
        <v>0</v>
      </c>
    </row>
    <row r="609" customHeight="1" spans="1:42">
      <c r="A609" s="18" t="s">
        <v>401</v>
      </c>
      <c r="C609" s="18">
        <v>5</v>
      </c>
      <c r="D609" s="1" t="s">
        <v>240</v>
      </c>
      <c r="E609" s="1" t="s">
        <v>224</v>
      </c>
      <c r="L609" s="1">
        <f>IFERROR(VLOOKUP($D609&amp;$C609,生产方式定位!$A$2:$E$38,2,FALSE)+VLOOKUP($E609&amp;$C609,生产方式定位!$F$3:$J$38,2,FALSE),0)</f>
        <v>11000</v>
      </c>
      <c r="S609" s="1">
        <f>IFERROR(VLOOKUP($D609&amp;$C609,生产方式定位!$A$2:$E$38,3,FALSE)+VLOOKUP($E609&amp;$C609,生产方式定位!$F$3:$J$38,3,FALSE),0)</f>
        <v>10800</v>
      </c>
      <c r="X609" s="1">
        <f>IFERROR(VLOOKUP($D609&amp;$C609,生产方式定位!$A$2:$E$38,5,FALSE)+VLOOKUP($E609&amp;$C609,生产方式定位!$F$3:$J$38,5,FALSE),"错误")</f>
        <v>12100</v>
      </c>
      <c r="Y609" s="27" t="str">
        <f t="shared" si="72"/>
        <v/>
      </c>
      <c r="Z609" s="37" t="str">
        <f t="shared" si="73"/>
        <v/>
      </c>
      <c r="AA609" s="37" t="str">
        <f t="shared" si="74"/>
        <v/>
      </c>
      <c r="AB609" s="28">
        <f t="shared" si="75"/>
        <v>0.91</v>
      </c>
      <c r="AC609" s="37"/>
      <c r="AD609" s="38">
        <f t="shared" si="76"/>
        <v>5</v>
      </c>
      <c r="AE609" t="str">
        <f>IFERROR(F609&amp;"*"&amp;ROUND(L609*(G609/$AN609)/VLOOKUP(F609,商品!$A$4:$D$67,4,FALSE),0),"")</f>
        <v/>
      </c>
      <c r="AF609" t="str">
        <f>IFERROR(H609&amp;"*"&amp;ROUND(L609*(I609/$AN609)/VLOOKUP(H609,商品!$A$4:$D$67,4,FALSE),0),"")</f>
        <v/>
      </c>
      <c r="AG609" t="str">
        <f>IFERROR(J609&amp;"*"&amp;ROUND(L609*(K609/$AN609)/VLOOKUP(J609,商品!$A$4:$D$67,4,FALSE),0),"")</f>
        <v/>
      </c>
      <c r="AH609" t="str">
        <f>IFERROR(M609&amp;"*"&amp;ROUND(S609*(N609/$AO609)/VLOOKUP(M609,职业!$A$3:$E$16,4,FALSE),0),"")</f>
        <v/>
      </c>
      <c r="AI609" t="str">
        <f>IFERROR(O609&amp;"*"&amp;ROUND(S609*(P609/$AO609)/VLOOKUP(O609,职业!$A$3:$E$16,4,FALSE),0),"")</f>
        <v/>
      </c>
      <c r="AK609" t="str">
        <f>IFERROR(T609&amp;"*"&amp;ROUND(X609*(U609/$AP609)/VLOOKUP(T609,商品!$A$4:$D$67,4,FALSE),0),"")</f>
        <v/>
      </c>
      <c r="AL609" t="str">
        <f>IFERROR(V609&amp;"*"&amp;ROUND(X609*(W609/$AP609)/VLOOKUP(V609,商品!$A$4:$D$67,4,FALSE),0),"")</f>
        <v/>
      </c>
      <c r="AN609">
        <f t="shared" si="77"/>
        <v>0</v>
      </c>
      <c r="AO609">
        <f t="shared" si="78"/>
        <v>0</v>
      </c>
      <c r="AP609">
        <f t="shared" si="79"/>
        <v>0</v>
      </c>
    </row>
    <row r="610" customHeight="1" spans="1:42">
      <c r="A610" s="5" t="s">
        <v>402</v>
      </c>
      <c r="C610" s="5">
        <v>1</v>
      </c>
      <c r="D610" s="1" t="s">
        <v>293</v>
      </c>
      <c r="E610" s="1" t="s">
        <v>227</v>
      </c>
      <c r="L610" s="1">
        <f>IFERROR(VLOOKUP($D610&amp;$C610,生产方式定位!$A$2:$E$38,2,FALSE)+VLOOKUP($E610&amp;$C610,生产方式定位!$F$3:$J$38,2,FALSE),0)</f>
        <v>0</v>
      </c>
      <c r="S610" s="1">
        <f>IFERROR(VLOOKUP($D610&amp;$C610,生产方式定位!$A$2:$E$38,3,FALSE)+VLOOKUP($E610&amp;$C610,生产方式定位!$F$3:$J$38,3,FALSE),0)</f>
        <v>0</v>
      </c>
      <c r="X610" s="1">
        <f>IFERROR(VLOOKUP($D610&amp;$C610,生产方式定位!$A$2:$E$38,5,FALSE)+VLOOKUP($E610&amp;$C610,生产方式定位!$F$3:$J$38,5,FALSE),"错误")</f>
        <v>0</v>
      </c>
      <c r="Y610" s="27" t="str">
        <f t="shared" si="72"/>
        <v/>
      </c>
      <c r="Z610" s="37" t="str">
        <f t="shared" si="73"/>
        <v/>
      </c>
      <c r="AA610" s="37" t="str">
        <f t="shared" si="74"/>
        <v/>
      </c>
      <c r="AB610" s="28" t="str">
        <f t="shared" si="75"/>
        <v/>
      </c>
      <c r="AC610" s="37"/>
      <c r="AD610" s="38">
        <f t="shared" si="76"/>
        <v>1</v>
      </c>
      <c r="AE610" t="str">
        <f>IFERROR(F610&amp;"*"&amp;ROUND(L610*(G610/$AN610)/VLOOKUP(F610,商品!$A$4:$D$67,4,FALSE),0),"")</f>
        <v/>
      </c>
      <c r="AF610" t="str">
        <f>IFERROR(H610&amp;"*"&amp;ROUND(L610*(I610/$AN610)/VLOOKUP(H610,商品!$A$4:$D$67,4,FALSE),0),"")</f>
        <v/>
      </c>
      <c r="AG610" t="str">
        <f>IFERROR(J610&amp;"*"&amp;ROUND(L610*(K610/$AN610)/VLOOKUP(J610,商品!$A$4:$D$67,4,FALSE),0),"")</f>
        <v/>
      </c>
      <c r="AH610" t="str">
        <f>IFERROR(M610&amp;"*"&amp;ROUND(S610*(N610/$AO610)/VLOOKUP(M610,职业!$A$3:$E$16,4,FALSE),0),"")</f>
        <v/>
      </c>
      <c r="AI610" t="str">
        <f>IFERROR(O610&amp;"*"&amp;ROUND(S610*(P610/$AO610)/VLOOKUP(O610,职业!$A$3:$E$16,4,FALSE),0),"")</f>
        <v/>
      </c>
      <c r="AK610" t="str">
        <f>IFERROR(T610&amp;"*"&amp;ROUND(X610*(U610/$AP610)/VLOOKUP(T610,商品!$A$4:$D$67,4,FALSE),0),"")</f>
        <v/>
      </c>
      <c r="AL610" t="str">
        <f>IFERROR(V610&amp;"*"&amp;ROUND(X610*(W610/$AP610)/VLOOKUP(V610,商品!$A$4:$D$67,4,FALSE),0),"")</f>
        <v/>
      </c>
      <c r="AN610">
        <f t="shared" si="77"/>
        <v>0</v>
      </c>
      <c r="AO610">
        <f t="shared" si="78"/>
        <v>0</v>
      </c>
      <c r="AP610">
        <f t="shared" si="79"/>
        <v>0</v>
      </c>
    </row>
    <row r="611" customHeight="1" spans="1:42">
      <c r="A611" s="5" t="s">
        <v>402</v>
      </c>
      <c r="C611" s="5">
        <v>2</v>
      </c>
      <c r="D611" s="1" t="s">
        <v>293</v>
      </c>
      <c r="E611" s="1" t="s">
        <v>227</v>
      </c>
      <c r="L611" s="1">
        <f>IFERROR(VLOOKUP($D611&amp;$C611,生产方式定位!$A$2:$E$38,2,FALSE)+VLOOKUP($E611&amp;$C611,生产方式定位!$F$3:$J$38,2,FALSE),0)</f>
        <v>0</v>
      </c>
      <c r="S611" s="1">
        <f>IFERROR(VLOOKUP($D611&amp;$C611,生产方式定位!$A$2:$E$38,3,FALSE)+VLOOKUP($E611&amp;$C611,生产方式定位!$F$3:$J$38,3,FALSE),0)</f>
        <v>0</v>
      </c>
      <c r="X611" s="1">
        <f>IFERROR(VLOOKUP($D611&amp;$C611,生产方式定位!$A$2:$E$38,5,FALSE)+VLOOKUP($E611&amp;$C611,生产方式定位!$F$3:$J$38,5,FALSE),"错误")</f>
        <v>0</v>
      </c>
      <c r="Y611" s="27" t="str">
        <f t="shared" si="72"/>
        <v/>
      </c>
      <c r="Z611" s="37" t="str">
        <f t="shared" si="73"/>
        <v/>
      </c>
      <c r="AA611" s="37" t="str">
        <f t="shared" si="74"/>
        <v/>
      </c>
      <c r="AB611" s="28" t="str">
        <f t="shared" si="75"/>
        <v/>
      </c>
      <c r="AC611" s="37"/>
      <c r="AD611" s="38">
        <f t="shared" si="76"/>
        <v>2</v>
      </c>
      <c r="AE611" t="str">
        <f>IFERROR(F611&amp;"*"&amp;ROUND(L611*(G611/$AN611)/VLOOKUP(F611,商品!$A$4:$D$67,4,FALSE),0),"")</f>
        <v/>
      </c>
      <c r="AF611" t="str">
        <f>IFERROR(H611&amp;"*"&amp;ROUND(L611*(I611/$AN611)/VLOOKUP(H611,商品!$A$4:$D$67,4,FALSE),0),"")</f>
        <v/>
      </c>
      <c r="AG611" t="str">
        <f>IFERROR(J611&amp;"*"&amp;ROUND(L611*(K611/$AN611)/VLOOKUP(J611,商品!$A$4:$D$67,4,FALSE),0),"")</f>
        <v/>
      </c>
      <c r="AH611" t="str">
        <f>IFERROR(M611&amp;"*"&amp;ROUND(S611*(N611/$AO611)/VLOOKUP(M611,职业!$A$3:$E$16,4,FALSE),0),"")</f>
        <v/>
      </c>
      <c r="AI611" t="str">
        <f>IFERROR(O611&amp;"*"&amp;ROUND(S611*(P611/$AO611)/VLOOKUP(O611,职业!$A$3:$E$16,4,FALSE),0),"")</f>
        <v/>
      </c>
      <c r="AK611" t="str">
        <f>IFERROR(T611&amp;"*"&amp;ROUND(X611*(U611/$AP611)/VLOOKUP(T611,商品!$A$4:$D$67,4,FALSE),0),"")</f>
        <v/>
      </c>
      <c r="AL611" t="str">
        <f>IFERROR(V611&amp;"*"&amp;ROUND(X611*(W611/$AP611)/VLOOKUP(V611,商品!$A$4:$D$67,4,FALSE),0),"")</f>
        <v/>
      </c>
      <c r="AN611">
        <f t="shared" si="77"/>
        <v>0</v>
      </c>
      <c r="AO611">
        <f t="shared" si="78"/>
        <v>0</v>
      </c>
      <c r="AP611">
        <f t="shared" si="79"/>
        <v>0</v>
      </c>
    </row>
    <row r="612" customHeight="1" spans="1:42">
      <c r="A612" s="5" t="s">
        <v>402</v>
      </c>
      <c r="C612" s="5">
        <v>3</v>
      </c>
      <c r="D612" s="1" t="s">
        <v>293</v>
      </c>
      <c r="E612" s="1" t="s">
        <v>227</v>
      </c>
      <c r="L612" s="1">
        <f>IFERROR(VLOOKUP($D612&amp;$C612,生产方式定位!$A$2:$E$38,2,FALSE)+VLOOKUP($E612&amp;$C612,生产方式定位!$F$3:$J$38,2,FALSE),0)</f>
        <v>0</v>
      </c>
      <c r="S612" s="1">
        <f>IFERROR(VLOOKUP($D612&amp;$C612,生产方式定位!$A$2:$E$38,3,FALSE)+VLOOKUP($E612&amp;$C612,生产方式定位!$F$3:$J$38,3,FALSE),0)</f>
        <v>0</v>
      </c>
      <c r="X612" s="1">
        <f>IFERROR(VLOOKUP($D612&amp;$C612,生产方式定位!$A$2:$E$38,5,FALSE)+VLOOKUP($E612&amp;$C612,生产方式定位!$F$3:$J$38,5,FALSE),"错误")</f>
        <v>0</v>
      </c>
      <c r="Y612" s="27" t="str">
        <f t="shared" si="72"/>
        <v/>
      </c>
      <c r="Z612" s="37" t="str">
        <f t="shared" si="73"/>
        <v/>
      </c>
      <c r="AA612" s="37" t="str">
        <f t="shared" si="74"/>
        <v/>
      </c>
      <c r="AB612" s="28" t="str">
        <f t="shared" si="75"/>
        <v/>
      </c>
      <c r="AC612" s="37"/>
      <c r="AD612" s="38">
        <f t="shared" si="76"/>
        <v>3</v>
      </c>
      <c r="AE612" t="str">
        <f>IFERROR(F612&amp;"*"&amp;ROUND(L612*(G612/$AN612)/VLOOKUP(F612,商品!$A$4:$D$67,4,FALSE),0),"")</f>
        <v/>
      </c>
      <c r="AF612" t="str">
        <f>IFERROR(H612&amp;"*"&amp;ROUND(L612*(I612/$AN612)/VLOOKUP(H612,商品!$A$4:$D$67,4,FALSE),0),"")</f>
        <v/>
      </c>
      <c r="AG612" t="str">
        <f>IFERROR(J612&amp;"*"&amp;ROUND(L612*(K612/$AN612)/VLOOKUP(J612,商品!$A$4:$D$67,4,FALSE),0),"")</f>
        <v/>
      </c>
      <c r="AH612" t="str">
        <f>IFERROR(M612&amp;"*"&amp;ROUND(S612*(N612/$AO612)/VLOOKUP(M612,职业!$A$3:$E$16,4,FALSE),0),"")</f>
        <v/>
      </c>
      <c r="AI612" t="str">
        <f>IFERROR(O612&amp;"*"&amp;ROUND(S612*(P612/$AO612)/VLOOKUP(O612,职业!$A$3:$E$16,4,FALSE),0),"")</f>
        <v/>
      </c>
      <c r="AK612" t="str">
        <f>IFERROR(T612&amp;"*"&amp;ROUND(X612*(U612/$AP612)/VLOOKUP(T612,商品!$A$4:$D$67,4,FALSE),0),"")</f>
        <v/>
      </c>
      <c r="AL612" t="str">
        <f>IFERROR(V612&amp;"*"&amp;ROUND(X612*(W612/$AP612)/VLOOKUP(V612,商品!$A$4:$D$67,4,FALSE),0),"")</f>
        <v/>
      </c>
      <c r="AN612">
        <f t="shared" si="77"/>
        <v>0</v>
      </c>
      <c r="AO612">
        <f t="shared" si="78"/>
        <v>0</v>
      </c>
      <c r="AP612">
        <f t="shared" si="79"/>
        <v>0</v>
      </c>
    </row>
    <row r="613" customHeight="1" spans="1:42">
      <c r="A613" s="5" t="s">
        <v>402</v>
      </c>
      <c r="C613" s="5">
        <v>4</v>
      </c>
      <c r="D613" s="1" t="s">
        <v>293</v>
      </c>
      <c r="E613" s="1" t="s">
        <v>227</v>
      </c>
      <c r="L613" s="1">
        <f>IFERROR(VLOOKUP($D613&amp;$C613,生产方式定位!$A$2:$E$38,2,FALSE)+VLOOKUP($E613&amp;$C613,生产方式定位!$F$3:$J$38,2,FALSE),0)</f>
        <v>0</v>
      </c>
      <c r="S613" s="1">
        <f>IFERROR(VLOOKUP($D613&amp;$C613,生产方式定位!$A$2:$E$38,3,FALSE)+VLOOKUP($E613&amp;$C613,生产方式定位!$F$3:$J$38,3,FALSE),0)</f>
        <v>0</v>
      </c>
      <c r="X613" s="1">
        <f>IFERROR(VLOOKUP($D613&amp;$C613,生产方式定位!$A$2:$E$38,5,FALSE)+VLOOKUP($E613&amp;$C613,生产方式定位!$F$3:$J$38,5,FALSE),"错误")</f>
        <v>0</v>
      </c>
      <c r="Y613" s="27" t="str">
        <f t="shared" si="72"/>
        <v/>
      </c>
      <c r="Z613" s="37" t="str">
        <f t="shared" si="73"/>
        <v/>
      </c>
      <c r="AA613" s="37" t="str">
        <f t="shared" si="74"/>
        <v/>
      </c>
      <c r="AB613" s="28" t="str">
        <f t="shared" si="75"/>
        <v/>
      </c>
      <c r="AC613" s="37"/>
      <c r="AD613" s="38">
        <f t="shared" si="76"/>
        <v>4</v>
      </c>
      <c r="AE613" t="str">
        <f>IFERROR(F613&amp;"*"&amp;ROUND(L613*(G613/$AN613)/VLOOKUP(F613,商品!$A$4:$D$67,4,FALSE),0),"")</f>
        <v/>
      </c>
      <c r="AF613" t="str">
        <f>IFERROR(H613&amp;"*"&amp;ROUND(L613*(I613/$AN613)/VLOOKUP(H613,商品!$A$4:$D$67,4,FALSE),0),"")</f>
        <v/>
      </c>
      <c r="AG613" t="str">
        <f>IFERROR(J613&amp;"*"&amp;ROUND(L613*(K613/$AN613)/VLOOKUP(J613,商品!$A$4:$D$67,4,FALSE),0),"")</f>
        <v/>
      </c>
      <c r="AH613" t="str">
        <f>IFERROR(M613&amp;"*"&amp;ROUND(S613*(N613/$AO613)/VLOOKUP(M613,职业!$A$3:$E$16,4,FALSE),0),"")</f>
        <v/>
      </c>
      <c r="AI613" t="str">
        <f>IFERROR(O613&amp;"*"&amp;ROUND(S613*(P613/$AO613)/VLOOKUP(O613,职业!$A$3:$E$16,4,FALSE),0),"")</f>
        <v/>
      </c>
      <c r="AK613" t="str">
        <f>IFERROR(T613&amp;"*"&amp;ROUND(X613*(U613/$AP613)/VLOOKUP(T613,商品!$A$4:$D$67,4,FALSE),0),"")</f>
        <v/>
      </c>
      <c r="AL613" t="str">
        <f>IFERROR(V613&amp;"*"&amp;ROUND(X613*(W613/$AP613)/VLOOKUP(V613,商品!$A$4:$D$67,4,FALSE),0),"")</f>
        <v/>
      </c>
      <c r="AN613">
        <f t="shared" si="77"/>
        <v>0</v>
      </c>
      <c r="AO613">
        <f t="shared" si="78"/>
        <v>0</v>
      </c>
      <c r="AP613">
        <f t="shared" si="79"/>
        <v>0</v>
      </c>
    </row>
    <row r="614" customHeight="1" spans="1:42">
      <c r="A614" s="5" t="s">
        <v>402</v>
      </c>
      <c r="C614" s="5">
        <v>5</v>
      </c>
      <c r="D614" s="1" t="s">
        <v>293</v>
      </c>
      <c r="E614" s="1" t="s">
        <v>227</v>
      </c>
      <c r="L614" s="1">
        <f>IFERROR(VLOOKUP($D614&amp;$C614,生产方式定位!$A$2:$E$38,2,FALSE)+VLOOKUP($E614&amp;$C614,生产方式定位!$F$3:$J$38,2,FALSE),0)</f>
        <v>0</v>
      </c>
      <c r="S614" s="1">
        <f>IFERROR(VLOOKUP($D614&amp;$C614,生产方式定位!$A$2:$E$38,3,FALSE)+VLOOKUP($E614&amp;$C614,生产方式定位!$F$3:$J$38,3,FALSE),0)</f>
        <v>0</v>
      </c>
      <c r="X614" s="1">
        <f>IFERROR(VLOOKUP($D614&amp;$C614,生产方式定位!$A$2:$E$38,5,FALSE)+VLOOKUP($E614&amp;$C614,生产方式定位!$F$3:$J$38,5,FALSE),"错误")</f>
        <v>0</v>
      </c>
      <c r="Y614" s="27" t="str">
        <f t="shared" si="72"/>
        <v/>
      </c>
      <c r="Z614" s="37" t="str">
        <f t="shared" si="73"/>
        <v/>
      </c>
      <c r="AA614" s="37" t="str">
        <f t="shared" si="74"/>
        <v/>
      </c>
      <c r="AB614" s="28" t="str">
        <f t="shared" si="75"/>
        <v/>
      </c>
      <c r="AC614" s="37"/>
      <c r="AD614" s="38">
        <f t="shared" si="76"/>
        <v>5</v>
      </c>
      <c r="AE614" t="str">
        <f>IFERROR(F614&amp;"*"&amp;ROUND(L614*(G614/$AN614)/VLOOKUP(F614,商品!$A$4:$D$67,4,FALSE),0),"")</f>
        <v/>
      </c>
      <c r="AF614" t="str">
        <f>IFERROR(H614&amp;"*"&amp;ROUND(L614*(I614/$AN614)/VLOOKUP(H614,商品!$A$4:$D$67,4,FALSE),0),"")</f>
        <v/>
      </c>
      <c r="AG614" t="str">
        <f>IFERROR(J614&amp;"*"&amp;ROUND(L614*(K614/$AN614)/VLOOKUP(J614,商品!$A$4:$D$67,4,FALSE),0),"")</f>
        <v/>
      </c>
      <c r="AH614" t="str">
        <f>IFERROR(M614&amp;"*"&amp;ROUND(S614*(N614/$AO614)/VLOOKUP(M614,职业!$A$3:$E$16,4,FALSE),0),"")</f>
        <v/>
      </c>
      <c r="AI614" t="str">
        <f>IFERROR(O614&amp;"*"&amp;ROUND(S614*(P614/$AO614)/VLOOKUP(O614,职业!$A$3:$E$16,4,FALSE),0),"")</f>
        <v/>
      </c>
      <c r="AK614" t="str">
        <f>IFERROR(T614&amp;"*"&amp;ROUND(X614*(U614/$AP614)/VLOOKUP(T614,商品!$A$4:$D$67,4,FALSE),0),"")</f>
        <v/>
      </c>
      <c r="AL614" t="str">
        <f>IFERROR(V614&amp;"*"&amp;ROUND(X614*(W614/$AP614)/VLOOKUP(V614,商品!$A$4:$D$67,4,FALSE),0),"")</f>
        <v/>
      </c>
      <c r="AN614">
        <f t="shared" si="77"/>
        <v>0</v>
      </c>
      <c r="AO614">
        <f t="shared" si="78"/>
        <v>0</v>
      </c>
      <c r="AP614">
        <f t="shared" si="79"/>
        <v>0</v>
      </c>
    </row>
    <row r="615" customHeight="1" spans="1:42">
      <c r="A615" s="5" t="s">
        <v>402</v>
      </c>
      <c r="C615" s="5">
        <v>6</v>
      </c>
      <c r="D615" s="1" t="s">
        <v>293</v>
      </c>
      <c r="E615" s="1" t="s">
        <v>227</v>
      </c>
      <c r="L615" s="1">
        <f>IFERROR(VLOOKUP($D615&amp;$C615,生产方式定位!$A$2:$E$38,2,FALSE)+VLOOKUP($E615&amp;$C615,生产方式定位!$F$3:$J$38,2,FALSE),0)</f>
        <v>0</v>
      </c>
      <c r="S615" s="1">
        <f>IFERROR(VLOOKUP($D615&amp;$C615,生产方式定位!$A$2:$E$38,3,FALSE)+VLOOKUP($E615&amp;$C615,生产方式定位!$F$3:$J$38,3,FALSE),0)</f>
        <v>0</v>
      </c>
      <c r="X615" s="1">
        <f>IFERROR(VLOOKUP($D615&amp;$C615,生产方式定位!$A$2:$E$38,5,FALSE)+VLOOKUP($E615&amp;$C615,生产方式定位!$F$3:$J$38,5,FALSE),"错误")</f>
        <v>0</v>
      </c>
      <c r="Y615" s="27" t="str">
        <f t="shared" si="72"/>
        <v/>
      </c>
      <c r="Z615" s="37" t="str">
        <f t="shared" si="73"/>
        <v/>
      </c>
      <c r="AA615" s="37" t="str">
        <f t="shared" si="74"/>
        <v/>
      </c>
      <c r="AB615" s="28" t="str">
        <f t="shared" si="75"/>
        <v/>
      </c>
      <c r="AC615" s="37"/>
      <c r="AD615" s="38">
        <f t="shared" si="76"/>
        <v>6</v>
      </c>
      <c r="AE615" t="str">
        <f>IFERROR(F615&amp;"*"&amp;ROUND(L615*(G615/$AN615)/VLOOKUP(F615,商品!$A$4:$D$67,4,FALSE),0),"")</f>
        <v/>
      </c>
      <c r="AF615" t="str">
        <f>IFERROR(H615&amp;"*"&amp;ROUND(L615*(I615/$AN615)/VLOOKUP(H615,商品!$A$4:$D$67,4,FALSE),0),"")</f>
        <v/>
      </c>
      <c r="AG615" t="str">
        <f>IFERROR(J615&amp;"*"&amp;ROUND(L615*(K615/$AN615)/VLOOKUP(J615,商品!$A$4:$D$67,4,FALSE),0),"")</f>
        <v/>
      </c>
      <c r="AH615" t="str">
        <f>IFERROR(M615&amp;"*"&amp;ROUND(S615*(N615/$AO615)/VLOOKUP(M615,职业!$A$3:$E$16,4,FALSE),0),"")</f>
        <v/>
      </c>
      <c r="AI615" t="str">
        <f>IFERROR(O615&amp;"*"&amp;ROUND(S615*(P615/$AO615)/VLOOKUP(O615,职业!$A$3:$E$16,4,FALSE),0),"")</f>
        <v/>
      </c>
      <c r="AK615" t="str">
        <f>IFERROR(T615&amp;"*"&amp;ROUND(X615*(U615/$AP615)/VLOOKUP(T615,商品!$A$4:$D$67,4,FALSE),0),"")</f>
        <v/>
      </c>
      <c r="AL615" t="str">
        <f>IFERROR(V615&amp;"*"&amp;ROUND(X615*(W615/$AP615)/VLOOKUP(V615,商品!$A$4:$D$67,4,FALSE),0),"")</f>
        <v/>
      </c>
      <c r="AN615">
        <f t="shared" si="77"/>
        <v>0</v>
      </c>
      <c r="AO615">
        <f t="shared" si="78"/>
        <v>0</v>
      </c>
      <c r="AP615">
        <f t="shared" si="79"/>
        <v>0</v>
      </c>
    </row>
    <row r="616" customHeight="1" spans="1:42">
      <c r="A616" s="5" t="s">
        <v>402</v>
      </c>
      <c r="C616" s="5">
        <v>7</v>
      </c>
      <c r="D616" s="1" t="s">
        <v>293</v>
      </c>
      <c r="E616" s="1" t="s">
        <v>227</v>
      </c>
      <c r="L616" s="1">
        <f>IFERROR(VLOOKUP($D616&amp;$C616,生产方式定位!$A$2:$E$38,2,FALSE)+VLOOKUP($E616&amp;$C616,生产方式定位!$F$3:$J$38,2,FALSE),0)</f>
        <v>0</v>
      </c>
      <c r="S616" s="1">
        <f>IFERROR(VLOOKUP($D616&amp;$C616,生产方式定位!$A$2:$E$38,3,FALSE)+VLOOKUP($E616&amp;$C616,生产方式定位!$F$3:$J$38,3,FALSE),0)</f>
        <v>0</v>
      </c>
      <c r="X616" s="1">
        <f>IFERROR(VLOOKUP($D616&amp;$C616,生产方式定位!$A$2:$E$38,5,FALSE)+VLOOKUP($E616&amp;$C616,生产方式定位!$F$3:$J$38,5,FALSE),"错误")</f>
        <v>0</v>
      </c>
      <c r="Y616" s="27" t="str">
        <f t="shared" si="72"/>
        <v/>
      </c>
      <c r="Z616" s="37" t="str">
        <f t="shared" si="73"/>
        <v/>
      </c>
      <c r="AA616" s="37" t="str">
        <f t="shared" si="74"/>
        <v/>
      </c>
      <c r="AB616" s="28" t="str">
        <f t="shared" si="75"/>
        <v/>
      </c>
      <c r="AC616" s="37"/>
      <c r="AD616" s="38">
        <f t="shared" si="76"/>
        <v>7</v>
      </c>
      <c r="AE616" t="str">
        <f>IFERROR(F616&amp;"*"&amp;ROUND(L616*(G616/$AN616)/VLOOKUP(F616,商品!$A$4:$D$67,4,FALSE),0),"")</f>
        <v/>
      </c>
      <c r="AF616" t="str">
        <f>IFERROR(H616&amp;"*"&amp;ROUND(L616*(I616/$AN616)/VLOOKUP(H616,商品!$A$4:$D$67,4,FALSE),0),"")</f>
        <v/>
      </c>
      <c r="AG616" t="str">
        <f>IFERROR(J616&amp;"*"&amp;ROUND(L616*(K616/$AN616)/VLOOKUP(J616,商品!$A$4:$D$67,4,FALSE),0),"")</f>
        <v/>
      </c>
      <c r="AH616" t="str">
        <f>IFERROR(M616&amp;"*"&amp;ROUND(S616*(N616/$AO616)/VLOOKUP(M616,职业!$A$3:$E$16,4,FALSE),0),"")</f>
        <v/>
      </c>
      <c r="AI616" t="str">
        <f>IFERROR(O616&amp;"*"&amp;ROUND(S616*(P616/$AO616)/VLOOKUP(O616,职业!$A$3:$E$16,4,FALSE),0),"")</f>
        <v/>
      </c>
      <c r="AK616" t="str">
        <f>IFERROR(T616&amp;"*"&amp;ROUND(X616*(U616/$AP616)/VLOOKUP(T616,商品!$A$4:$D$67,4,FALSE),0),"")</f>
        <v/>
      </c>
      <c r="AL616" t="str">
        <f>IFERROR(V616&amp;"*"&amp;ROUND(X616*(W616/$AP616)/VLOOKUP(V616,商品!$A$4:$D$67,4,FALSE),0),"")</f>
        <v/>
      </c>
      <c r="AN616">
        <f t="shared" si="77"/>
        <v>0</v>
      </c>
      <c r="AO616">
        <f t="shared" si="78"/>
        <v>0</v>
      </c>
      <c r="AP616">
        <f t="shared" si="79"/>
        <v>0</v>
      </c>
    </row>
    <row r="617" customHeight="1" spans="1:42">
      <c r="A617" s="5" t="s">
        <v>402</v>
      </c>
      <c r="C617" s="5">
        <v>8</v>
      </c>
      <c r="D617" s="1" t="s">
        <v>293</v>
      </c>
      <c r="E617" s="1" t="s">
        <v>227</v>
      </c>
      <c r="L617" s="1">
        <f>IFERROR(VLOOKUP($D617&amp;$C617,生产方式定位!$A$2:$E$38,2,FALSE)+VLOOKUP($E617&amp;$C617,生产方式定位!$F$3:$J$38,2,FALSE),0)</f>
        <v>0</v>
      </c>
      <c r="S617" s="1">
        <f>IFERROR(VLOOKUP($D617&amp;$C617,生产方式定位!$A$2:$E$38,3,FALSE)+VLOOKUP($E617&amp;$C617,生产方式定位!$F$3:$J$38,3,FALSE),0)</f>
        <v>0</v>
      </c>
      <c r="X617" s="1">
        <f>IFERROR(VLOOKUP($D617&amp;$C617,生产方式定位!$A$2:$E$38,5,FALSE)+VLOOKUP($E617&amp;$C617,生产方式定位!$F$3:$J$38,5,FALSE),"错误")</f>
        <v>0</v>
      </c>
      <c r="Y617" s="27" t="str">
        <f t="shared" si="72"/>
        <v/>
      </c>
      <c r="Z617" s="37" t="str">
        <f t="shared" si="73"/>
        <v/>
      </c>
      <c r="AA617" s="37" t="str">
        <f t="shared" si="74"/>
        <v/>
      </c>
      <c r="AB617" s="28" t="str">
        <f t="shared" si="75"/>
        <v/>
      </c>
      <c r="AC617" s="37"/>
      <c r="AD617" s="38">
        <f t="shared" si="76"/>
        <v>8</v>
      </c>
      <c r="AE617" t="str">
        <f>IFERROR(F617&amp;"*"&amp;ROUND(L617*(G617/$AN617)/VLOOKUP(F617,商品!$A$4:$D$67,4,FALSE),0),"")</f>
        <v/>
      </c>
      <c r="AF617" t="str">
        <f>IFERROR(H617&amp;"*"&amp;ROUND(L617*(I617/$AN617)/VLOOKUP(H617,商品!$A$4:$D$67,4,FALSE),0),"")</f>
        <v/>
      </c>
      <c r="AG617" t="str">
        <f>IFERROR(J617&amp;"*"&amp;ROUND(L617*(K617/$AN617)/VLOOKUP(J617,商品!$A$4:$D$67,4,FALSE),0),"")</f>
        <v/>
      </c>
      <c r="AH617" t="str">
        <f>IFERROR(M617&amp;"*"&amp;ROUND(S617*(N617/$AO617)/VLOOKUP(M617,职业!$A$3:$E$16,4,FALSE),0),"")</f>
        <v/>
      </c>
      <c r="AI617" t="str">
        <f>IFERROR(O617&amp;"*"&amp;ROUND(S617*(P617/$AO617)/VLOOKUP(O617,职业!$A$3:$E$16,4,FALSE),0),"")</f>
        <v/>
      </c>
      <c r="AK617" t="str">
        <f>IFERROR(T617&amp;"*"&amp;ROUND(X617*(U617/$AP617)/VLOOKUP(T617,商品!$A$4:$D$67,4,FALSE),0),"")</f>
        <v/>
      </c>
      <c r="AL617" t="str">
        <f>IFERROR(V617&amp;"*"&amp;ROUND(X617*(W617/$AP617)/VLOOKUP(V617,商品!$A$4:$D$67,4,FALSE),0),"")</f>
        <v/>
      </c>
      <c r="AN617">
        <f t="shared" si="77"/>
        <v>0</v>
      </c>
      <c r="AO617">
        <f t="shared" si="78"/>
        <v>0</v>
      </c>
      <c r="AP617">
        <f t="shared" si="79"/>
        <v>0</v>
      </c>
    </row>
    <row r="618" customHeight="1" spans="1:42">
      <c r="A618" s="18" t="s">
        <v>402</v>
      </c>
      <c r="C618" s="18">
        <v>1</v>
      </c>
      <c r="D618" s="1" t="s">
        <v>293</v>
      </c>
      <c r="E618" s="1" t="s">
        <v>227</v>
      </c>
      <c r="L618" s="1">
        <f>IFERROR(VLOOKUP($D618&amp;$C618,生产方式定位!$A$2:$E$38,2,FALSE)+VLOOKUP($E618&amp;$C618,生产方式定位!$F$3:$J$38,2,FALSE),0)</f>
        <v>0</v>
      </c>
      <c r="S618" s="1">
        <f>IFERROR(VLOOKUP($D618&amp;$C618,生产方式定位!$A$2:$E$38,3,FALSE)+VLOOKUP($E618&amp;$C618,生产方式定位!$F$3:$J$38,3,FALSE),0)</f>
        <v>0</v>
      </c>
      <c r="X618" s="1">
        <f>IFERROR(VLOOKUP($D618&amp;$C618,生产方式定位!$A$2:$E$38,5,FALSE)+VLOOKUP($E618&amp;$C618,生产方式定位!$F$3:$J$38,5,FALSE),"错误")</f>
        <v>0</v>
      </c>
      <c r="Y618" s="27" t="str">
        <f t="shared" si="72"/>
        <v/>
      </c>
      <c r="Z618" s="37" t="str">
        <f t="shared" si="73"/>
        <v/>
      </c>
      <c r="AA618" s="37" t="str">
        <f t="shared" si="74"/>
        <v/>
      </c>
      <c r="AB618" s="28" t="str">
        <f t="shared" si="75"/>
        <v/>
      </c>
      <c r="AC618" s="37"/>
      <c r="AD618" s="38">
        <f t="shared" si="76"/>
        <v>1</v>
      </c>
      <c r="AE618" t="str">
        <f>IFERROR(F618&amp;"*"&amp;ROUND(L618*(G618/$AN618)/VLOOKUP(F618,商品!$A$4:$D$67,4,FALSE),0),"")</f>
        <v/>
      </c>
      <c r="AF618" t="str">
        <f>IFERROR(H618&amp;"*"&amp;ROUND(L618*(I618/$AN618)/VLOOKUP(H618,商品!$A$4:$D$67,4,FALSE),0),"")</f>
        <v/>
      </c>
      <c r="AG618" t="str">
        <f>IFERROR(J618&amp;"*"&amp;ROUND(L618*(K618/$AN618)/VLOOKUP(J618,商品!$A$4:$D$67,4,FALSE),0),"")</f>
        <v/>
      </c>
      <c r="AH618" t="str">
        <f>IFERROR(M618&amp;"*"&amp;ROUND(S618*(N618/$AO618)/VLOOKUP(M618,职业!$A$3:$E$16,4,FALSE),0),"")</f>
        <v/>
      </c>
      <c r="AI618" t="str">
        <f>IFERROR(O618&amp;"*"&amp;ROUND(S618*(P618/$AO618)/VLOOKUP(O618,职业!$A$3:$E$16,4,FALSE),0),"")</f>
        <v/>
      </c>
      <c r="AK618" t="str">
        <f>IFERROR(T618&amp;"*"&amp;ROUND(X618*(U618/$AP618)/VLOOKUP(T618,商品!$A$4:$D$67,4,FALSE),0),"")</f>
        <v/>
      </c>
      <c r="AL618" t="str">
        <f>IFERROR(V618&amp;"*"&amp;ROUND(X618*(W618/$AP618)/VLOOKUP(V618,商品!$A$4:$D$67,4,FALSE),0),"")</f>
        <v/>
      </c>
      <c r="AN618">
        <f t="shared" si="77"/>
        <v>0</v>
      </c>
      <c r="AO618">
        <f t="shared" si="78"/>
        <v>0</v>
      </c>
      <c r="AP618">
        <f t="shared" si="79"/>
        <v>0</v>
      </c>
    </row>
    <row r="619" customHeight="1" spans="1:42">
      <c r="A619" s="18" t="s">
        <v>402</v>
      </c>
      <c r="C619" s="18">
        <v>2</v>
      </c>
      <c r="D619" s="1" t="s">
        <v>293</v>
      </c>
      <c r="E619" s="1" t="s">
        <v>227</v>
      </c>
      <c r="L619" s="1">
        <f>IFERROR(VLOOKUP($D619&amp;$C619,生产方式定位!$A$2:$E$38,2,FALSE)+VLOOKUP($E619&amp;$C619,生产方式定位!$F$3:$J$38,2,FALSE),0)</f>
        <v>0</v>
      </c>
      <c r="S619" s="1">
        <f>IFERROR(VLOOKUP($D619&amp;$C619,生产方式定位!$A$2:$E$38,3,FALSE)+VLOOKUP($E619&amp;$C619,生产方式定位!$F$3:$J$38,3,FALSE),0)</f>
        <v>0</v>
      </c>
      <c r="X619" s="1">
        <f>IFERROR(VLOOKUP($D619&amp;$C619,生产方式定位!$A$2:$E$38,5,FALSE)+VLOOKUP($E619&amp;$C619,生产方式定位!$F$3:$J$38,5,FALSE),"错误")</f>
        <v>0</v>
      </c>
      <c r="Y619" s="27" t="str">
        <f t="shared" si="72"/>
        <v/>
      </c>
      <c r="Z619" s="37" t="str">
        <f t="shared" si="73"/>
        <v/>
      </c>
      <c r="AA619" s="37" t="str">
        <f t="shared" si="74"/>
        <v/>
      </c>
      <c r="AB619" s="28" t="str">
        <f t="shared" si="75"/>
        <v/>
      </c>
      <c r="AC619" s="37"/>
      <c r="AD619" s="38">
        <f t="shared" si="76"/>
        <v>2</v>
      </c>
      <c r="AE619" t="str">
        <f>IFERROR(F619&amp;"*"&amp;ROUND(L619*(G619/$AN619)/VLOOKUP(F619,商品!$A$4:$D$67,4,FALSE),0),"")</f>
        <v/>
      </c>
      <c r="AF619" t="str">
        <f>IFERROR(H619&amp;"*"&amp;ROUND(L619*(I619/$AN619)/VLOOKUP(H619,商品!$A$4:$D$67,4,FALSE),0),"")</f>
        <v/>
      </c>
      <c r="AG619" t="str">
        <f>IFERROR(J619&amp;"*"&amp;ROUND(L619*(K619/$AN619)/VLOOKUP(J619,商品!$A$4:$D$67,4,FALSE),0),"")</f>
        <v/>
      </c>
      <c r="AH619" t="str">
        <f>IFERROR(M619&amp;"*"&amp;ROUND(S619*(N619/$AO619)/VLOOKUP(M619,职业!$A$3:$E$16,4,FALSE),0),"")</f>
        <v/>
      </c>
      <c r="AI619" t="str">
        <f>IFERROR(O619&amp;"*"&amp;ROUND(S619*(P619/$AO619)/VLOOKUP(O619,职业!$A$3:$E$16,4,FALSE),0),"")</f>
        <v/>
      </c>
      <c r="AK619" t="str">
        <f>IFERROR(T619&amp;"*"&amp;ROUND(X619*(U619/$AP619)/VLOOKUP(T619,商品!$A$4:$D$67,4,FALSE),0),"")</f>
        <v/>
      </c>
      <c r="AL619" t="str">
        <f>IFERROR(V619&amp;"*"&amp;ROUND(X619*(W619/$AP619)/VLOOKUP(V619,商品!$A$4:$D$67,4,FALSE),0),"")</f>
        <v/>
      </c>
      <c r="AN619">
        <f t="shared" si="77"/>
        <v>0</v>
      </c>
      <c r="AO619">
        <f t="shared" si="78"/>
        <v>0</v>
      </c>
      <c r="AP619">
        <f t="shared" si="79"/>
        <v>0</v>
      </c>
    </row>
    <row r="620" customHeight="1" spans="1:42">
      <c r="A620" s="18" t="s">
        <v>402</v>
      </c>
      <c r="C620" s="18">
        <v>3</v>
      </c>
      <c r="D620" s="1" t="s">
        <v>293</v>
      </c>
      <c r="E620" s="1" t="s">
        <v>227</v>
      </c>
      <c r="L620" s="1">
        <f>IFERROR(VLOOKUP($D620&amp;$C620,生产方式定位!$A$2:$E$38,2,FALSE)+VLOOKUP($E620&amp;$C620,生产方式定位!$F$3:$J$38,2,FALSE),0)</f>
        <v>0</v>
      </c>
      <c r="S620" s="1">
        <f>IFERROR(VLOOKUP($D620&amp;$C620,生产方式定位!$A$2:$E$38,3,FALSE)+VLOOKUP($E620&amp;$C620,生产方式定位!$F$3:$J$38,3,FALSE),0)</f>
        <v>0</v>
      </c>
      <c r="X620" s="1">
        <f>IFERROR(VLOOKUP($D620&amp;$C620,生产方式定位!$A$2:$E$38,5,FALSE)+VLOOKUP($E620&amp;$C620,生产方式定位!$F$3:$J$38,5,FALSE),"错误")</f>
        <v>0</v>
      </c>
      <c r="Y620" s="27" t="str">
        <f t="shared" si="72"/>
        <v/>
      </c>
      <c r="Z620" s="37" t="str">
        <f t="shared" si="73"/>
        <v/>
      </c>
      <c r="AA620" s="37" t="str">
        <f t="shared" si="74"/>
        <v/>
      </c>
      <c r="AB620" s="28" t="str">
        <f t="shared" si="75"/>
        <v/>
      </c>
      <c r="AC620" s="37"/>
      <c r="AD620" s="38">
        <f t="shared" si="76"/>
        <v>3</v>
      </c>
      <c r="AE620" t="str">
        <f>IFERROR(F620&amp;"*"&amp;ROUND(L620*(G620/$AN620)/VLOOKUP(F620,商品!$A$4:$D$67,4,FALSE),0),"")</f>
        <v/>
      </c>
      <c r="AF620" t="str">
        <f>IFERROR(H620&amp;"*"&amp;ROUND(L620*(I620/$AN620)/VLOOKUP(H620,商品!$A$4:$D$67,4,FALSE),0),"")</f>
        <v/>
      </c>
      <c r="AG620" t="str">
        <f>IFERROR(J620&amp;"*"&amp;ROUND(L620*(K620/$AN620)/VLOOKUP(J620,商品!$A$4:$D$67,4,FALSE),0),"")</f>
        <v/>
      </c>
      <c r="AH620" t="str">
        <f>IFERROR(M620&amp;"*"&amp;ROUND(S620*(N620/$AO620)/VLOOKUP(M620,职业!$A$3:$E$16,4,FALSE),0),"")</f>
        <v/>
      </c>
      <c r="AI620" t="str">
        <f>IFERROR(O620&amp;"*"&amp;ROUND(S620*(P620/$AO620)/VLOOKUP(O620,职业!$A$3:$E$16,4,FALSE),0),"")</f>
        <v/>
      </c>
      <c r="AK620" t="str">
        <f>IFERROR(T620&amp;"*"&amp;ROUND(X620*(U620/$AP620)/VLOOKUP(T620,商品!$A$4:$D$67,4,FALSE),0),"")</f>
        <v/>
      </c>
      <c r="AL620" t="str">
        <f>IFERROR(V620&amp;"*"&amp;ROUND(X620*(W620/$AP620)/VLOOKUP(V620,商品!$A$4:$D$67,4,FALSE),0),"")</f>
        <v/>
      </c>
      <c r="AN620">
        <f t="shared" si="77"/>
        <v>0</v>
      </c>
      <c r="AO620">
        <f t="shared" si="78"/>
        <v>0</v>
      </c>
      <c r="AP620">
        <f t="shared" si="79"/>
        <v>0</v>
      </c>
    </row>
    <row r="621" customHeight="1" spans="1:42">
      <c r="A621" s="18" t="s">
        <v>402</v>
      </c>
      <c r="C621" s="18">
        <v>4</v>
      </c>
      <c r="D621" s="1" t="s">
        <v>293</v>
      </c>
      <c r="E621" s="1" t="s">
        <v>227</v>
      </c>
      <c r="L621" s="1">
        <f>IFERROR(VLOOKUP($D621&amp;$C621,生产方式定位!$A$2:$E$38,2,FALSE)+VLOOKUP($E621&amp;$C621,生产方式定位!$F$3:$J$38,2,FALSE),0)</f>
        <v>0</v>
      </c>
      <c r="S621" s="1">
        <f>IFERROR(VLOOKUP($D621&amp;$C621,生产方式定位!$A$2:$E$38,3,FALSE)+VLOOKUP($E621&amp;$C621,生产方式定位!$F$3:$J$38,3,FALSE),0)</f>
        <v>0</v>
      </c>
      <c r="X621" s="1">
        <f>IFERROR(VLOOKUP($D621&amp;$C621,生产方式定位!$A$2:$E$38,5,FALSE)+VLOOKUP($E621&amp;$C621,生产方式定位!$F$3:$J$38,5,FALSE),"错误")</f>
        <v>0</v>
      </c>
      <c r="Y621" s="27" t="str">
        <f t="shared" si="72"/>
        <v/>
      </c>
      <c r="Z621" s="37" t="str">
        <f t="shared" si="73"/>
        <v/>
      </c>
      <c r="AA621" s="37" t="str">
        <f t="shared" si="74"/>
        <v/>
      </c>
      <c r="AB621" s="28" t="str">
        <f t="shared" si="75"/>
        <v/>
      </c>
      <c r="AC621" s="37"/>
      <c r="AD621" s="38">
        <f t="shared" si="76"/>
        <v>4</v>
      </c>
      <c r="AE621" t="str">
        <f>IFERROR(F621&amp;"*"&amp;ROUND(L621*(G621/$AN621)/VLOOKUP(F621,商品!$A$4:$D$67,4,FALSE),0),"")</f>
        <v/>
      </c>
      <c r="AF621" t="str">
        <f>IFERROR(H621&amp;"*"&amp;ROUND(L621*(I621/$AN621)/VLOOKUP(H621,商品!$A$4:$D$67,4,FALSE),0),"")</f>
        <v/>
      </c>
      <c r="AG621" t="str">
        <f>IFERROR(J621&amp;"*"&amp;ROUND(L621*(K621/$AN621)/VLOOKUP(J621,商品!$A$4:$D$67,4,FALSE),0),"")</f>
        <v/>
      </c>
      <c r="AH621" t="str">
        <f>IFERROR(M621&amp;"*"&amp;ROUND(S621*(N621/$AO621)/VLOOKUP(M621,职业!$A$3:$E$16,4,FALSE),0),"")</f>
        <v/>
      </c>
      <c r="AI621" t="str">
        <f>IFERROR(O621&amp;"*"&amp;ROUND(S621*(P621/$AO621)/VLOOKUP(O621,职业!$A$3:$E$16,4,FALSE),0),"")</f>
        <v/>
      </c>
      <c r="AK621" t="str">
        <f>IFERROR(T621&amp;"*"&amp;ROUND(X621*(U621/$AP621)/VLOOKUP(T621,商品!$A$4:$D$67,4,FALSE),0),"")</f>
        <v/>
      </c>
      <c r="AL621" t="str">
        <f>IFERROR(V621&amp;"*"&amp;ROUND(X621*(W621/$AP621)/VLOOKUP(V621,商品!$A$4:$D$67,4,FALSE),0),"")</f>
        <v/>
      </c>
      <c r="AN621">
        <f t="shared" si="77"/>
        <v>0</v>
      </c>
      <c r="AO621">
        <f t="shared" si="78"/>
        <v>0</v>
      </c>
      <c r="AP621">
        <f t="shared" si="79"/>
        <v>0</v>
      </c>
    </row>
    <row r="622" customHeight="1" spans="1:42">
      <c r="A622" s="18" t="s">
        <v>402</v>
      </c>
      <c r="C622" s="18">
        <v>5</v>
      </c>
      <c r="D622" s="1" t="s">
        <v>293</v>
      </c>
      <c r="E622" s="1" t="s">
        <v>227</v>
      </c>
      <c r="L622" s="1">
        <f>IFERROR(VLOOKUP($D622&amp;$C622,生产方式定位!$A$2:$E$38,2,FALSE)+VLOOKUP($E622&amp;$C622,生产方式定位!$F$3:$J$38,2,FALSE),0)</f>
        <v>0</v>
      </c>
      <c r="S622" s="1">
        <f>IFERROR(VLOOKUP($D622&amp;$C622,生产方式定位!$A$2:$E$38,3,FALSE)+VLOOKUP($E622&amp;$C622,生产方式定位!$F$3:$J$38,3,FALSE),0)</f>
        <v>0</v>
      </c>
      <c r="X622" s="1">
        <f>IFERROR(VLOOKUP($D622&amp;$C622,生产方式定位!$A$2:$E$38,5,FALSE)+VLOOKUP($E622&amp;$C622,生产方式定位!$F$3:$J$38,5,FALSE),"错误")</f>
        <v>0</v>
      </c>
      <c r="Y622" s="27" t="str">
        <f t="shared" si="72"/>
        <v/>
      </c>
      <c r="Z622" s="37" t="str">
        <f t="shared" si="73"/>
        <v/>
      </c>
      <c r="AA622" s="37" t="str">
        <f t="shared" si="74"/>
        <v/>
      </c>
      <c r="AB622" s="28" t="str">
        <f t="shared" si="75"/>
        <v/>
      </c>
      <c r="AC622" s="37"/>
      <c r="AD622" s="38">
        <f t="shared" si="76"/>
        <v>5</v>
      </c>
      <c r="AE622" t="str">
        <f>IFERROR(F622&amp;"*"&amp;ROUND(L622*(G622/$AN622)/VLOOKUP(F622,商品!$A$4:$D$67,4,FALSE),0),"")</f>
        <v/>
      </c>
      <c r="AF622" t="str">
        <f>IFERROR(H622&amp;"*"&amp;ROUND(L622*(I622/$AN622)/VLOOKUP(H622,商品!$A$4:$D$67,4,FALSE),0),"")</f>
        <v/>
      </c>
      <c r="AG622" t="str">
        <f>IFERROR(J622&amp;"*"&amp;ROUND(L622*(K622/$AN622)/VLOOKUP(J622,商品!$A$4:$D$67,4,FALSE),0),"")</f>
        <v/>
      </c>
      <c r="AH622" t="str">
        <f>IFERROR(M622&amp;"*"&amp;ROUND(S622*(N622/$AO622)/VLOOKUP(M622,职业!$A$3:$E$16,4,FALSE),0),"")</f>
        <v/>
      </c>
      <c r="AI622" t="str">
        <f>IFERROR(O622&amp;"*"&amp;ROUND(S622*(P622/$AO622)/VLOOKUP(O622,职业!$A$3:$E$16,4,FALSE),0),"")</f>
        <v/>
      </c>
      <c r="AK622" t="str">
        <f>IFERROR(T622&amp;"*"&amp;ROUND(X622*(U622/$AP622)/VLOOKUP(T622,商品!$A$4:$D$67,4,FALSE),0),"")</f>
        <v/>
      </c>
      <c r="AL622" t="str">
        <f>IFERROR(V622&amp;"*"&amp;ROUND(X622*(W622/$AP622)/VLOOKUP(V622,商品!$A$4:$D$67,4,FALSE),0),"")</f>
        <v/>
      </c>
      <c r="AN622">
        <f t="shared" si="77"/>
        <v>0</v>
      </c>
      <c r="AO622">
        <f t="shared" si="78"/>
        <v>0</v>
      </c>
      <c r="AP622">
        <f t="shared" si="79"/>
        <v>0</v>
      </c>
    </row>
    <row r="623" customHeight="1" spans="1:42">
      <c r="A623" s="18" t="s">
        <v>402</v>
      </c>
      <c r="C623" s="18">
        <v>6</v>
      </c>
      <c r="D623" s="1" t="s">
        <v>293</v>
      </c>
      <c r="E623" s="1" t="s">
        <v>227</v>
      </c>
      <c r="L623" s="1">
        <f>IFERROR(VLOOKUP($D623&amp;$C623,生产方式定位!$A$2:$E$38,2,FALSE)+VLOOKUP($E623&amp;$C623,生产方式定位!$F$3:$J$38,2,FALSE),0)</f>
        <v>0</v>
      </c>
      <c r="S623" s="1">
        <f>IFERROR(VLOOKUP($D623&amp;$C623,生产方式定位!$A$2:$E$38,3,FALSE)+VLOOKUP($E623&amp;$C623,生产方式定位!$F$3:$J$38,3,FALSE),0)</f>
        <v>0</v>
      </c>
      <c r="X623" s="1">
        <f>IFERROR(VLOOKUP($D623&amp;$C623,生产方式定位!$A$2:$E$38,5,FALSE)+VLOOKUP($E623&amp;$C623,生产方式定位!$F$3:$J$38,5,FALSE),"错误")</f>
        <v>0</v>
      </c>
      <c r="Y623" s="27" t="str">
        <f t="shared" si="72"/>
        <v/>
      </c>
      <c r="Z623" s="37" t="str">
        <f t="shared" si="73"/>
        <v/>
      </c>
      <c r="AA623" s="37" t="str">
        <f t="shared" si="74"/>
        <v/>
      </c>
      <c r="AB623" s="28" t="str">
        <f t="shared" si="75"/>
        <v/>
      </c>
      <c r="AC623" s="37"/>
      <c r="AD623" s="38">
        <f t="shared" si="76"/>
        <v>6</v>
      </c>
      <c r="AE623" t="str">
        <f>IFERROR(F623&amp;"*"&amp;ROUND(L623*(G623/$AN623)/VLOOKUP(F623,商品!$A$4:$D$67,4,FALSE),0),"")</f>
        <v/>
      </c>
      <c r="AF623" t="str">
        <f>IFERROR(H623&amp;"*"&amp;ROUND(L623*(I623/$AN623)/VLOOKUP(H623,商品!$A$4:$D$67,4,FALSE),0),"")</f>
        <v/>
      </c>
      <c r="AG623" t="str">
        <f>IFERROR(J623&amp;"*"&amp;ROUND(L623*(K623/$AN623)/VLOOKUP(J623,商品!$A$4:$D$67,4,FALSE),0),"")</f>
        <v/>
      </c>
      <c r="AH623" t="str">
        <f>IFERROR(M623&amp;"*"&amp;ROUND(S623*(N623/$AO623)/VLOOKUP(M623,职业!$A$3:$E$16,4,FALSE),0),"")</f>
        <v/>
      </c>
      <c r="AI623" t="str">
        <f>IFERROR(O623&amp;"*"&amp;ROUND(S623*(P623/$AO623)/VLOOKUP(O623,职业!$A$3:$E$16,4,FALSE),0),"")</f>
        <v/>
      </c>
      <c r="AK623" t="str">
        <f>IFERROR(T623&amp;"*"&amp;ROUND(X623*(U623/$AP623)/VLOOKUP(T623,商品!$A$4:$D$67,4,FALSE),0),"")</f>
        <v/>
      </c>
      <c r="AL623" t="str">
        <f>IFERROR(V623&amp;"*"&amp;ROUND(X623*(W623/$AP623)/VLOOKUP(V623,商品!$A$4:$D$67,4,FALSE),0),"")</f>
        <v/>
      </c>
      <c r="AN623">
        <f t="shared" si="77"/>
        <v>0</v>
      </c>
      <c r="AO623">
        <f t="shared" si="78"/>
        <v>0</v>
      </c>
      <c r="AP623">
        <f t="shared" si="79"/>
        <v>0</v>
      </c>
    </row>
    <row r="624" customHeight="1" spans="1:42">
      <c r="A624" s="18" t="s">
        <v>402</v>
      </c>
      <c r="C624" s="18">
        <v>7</v>
      </c>
      <c r="D624" s="1" t="s">
        <v>293</v>
      </c>
      <c r="E624" s="1" t="s">
        <v>227</v>
      </c>
      <c r="L624" s="1">
        <f>IFERROR(VLOOKUP($D624&amp;$C624,生产方式定位!$A$2:$E$38,2,FALSE)+VLOOKUP($E624&amp;$C624,生产方式定位!$F$3:$J$38,2,FALSE),0)</f>
        <v>0</v>
      </c>
      <c r="S624" s="1">
        <f>IFERROR(VLOOKUP($D624&amp;$C624,生产方式定位!$A$2:$E$38,3,FALSE)+VLOOKUP($E624&amp;$C624,生产方式定位!$F$3:$J$38,3,FALSE),0)</f>
        <v>0</v>
      </c>
      <c r="X624" s="1">
        <f>IFERROR(VLOOKUP($D624&amp;$C624,生产方式定位!$A$2:$E$38,5,FALSE)+VLOOKUP($E624&amp;$C624,生产方式定位!$F$3:$J$38,5,FALSE),"错误")</f>
        <v>0</v>
      </c>
      <c r="Y624" s="27" t="str">
        <f t="shared" si="72"/>
        <v/>
      </c>
      <c r="Z624" s="37" t="str">
        <f t="shared" si="73"/>
        <v/>
      </c>
      <c r="AA624" s="37" t="str">
        <f t="shared" si="74"/>
        <v/>
      </c>
      <c r="AB624" s="28" t="str">
        <f t="shared" si="75"/>
        <v/>
      </c>
      <c r="AC624" s="37"/>
      <c r="AD624" s="38">
        <f t="shared" si="76"/>
        <v>7</v>
      </c>
      <c r="AE624" t="str">
        <f>IFERROR(F624&amp;"*"&amp;ROUND(L624*(G624/$AN624)/VLOOKUP(F624,商品!$A$4:$D$67,4,FALSE),0),"")</f>
        <v/>
      </c>
      <c r="AF624" t="str">
        <f>IFERROR(H624&amp;"*"&amp;ROUND(L624*(I624/$AN624)/VLOOKUP(H624,商品!$A$4:$D$67,4,FALSE),0),"")</f>
        <v/>
      </c>
      <c r="AG624" t="str">
        <f>IFERROR(J624&amp;"*"&amp;ROUND(L624*(K624/$AN624)/VLOOKUP(J624,商品!$A$4:$D$67,4,FALSE),0),"")</f>
        <v/>
      </c>
      <c r="AH624" t="str">
        <f>IFERROR(M624&amp;"*"&amp;ROUND(S624*(N624/$AO624)/VLOOKUP(M624,职业!$A$3:$E$16,4,FALSE),0),"")</f>
        <v/>
      </c>
      <c r="AI624" t="str">
        <f>IFERROR(O624&amp;"*"&amp;ROUND(S624*(P624/$AO624)/VLOOKUP(O624,职业!$A$3:$E$16,4,FALSE),0),"")</f>
        <v/>
      </c>
      <c r="AK624" t="str">
        <f>IFERROR(T624&amp;"*"&amp;ROUND(X624*(U624/$AP624)/VLOOKUP(T624,商品!$A$4:$D$67,4,FALSE),0),"")</f>
        <v/>
      </c>
      <c r="AL624" t="str">
        <f>IFERROR(V624&amp;"*"&amp;ROUND(X624*(W624/$AP624)/VLOOKUP(V624,商品!$A$4:$D$67,4,FALSE),0),"")</f>
        <v/>
      </c>
      <c r="AN624">
        <f t="shared" si="77"/>
        <v>0</v>
      </c>
      <c r="AO624">
        <f t="shared" si="78"/>
        <v>0</v>
      </c>
      <c r="AP624">
        <f t="shared" si="79"/>
        <v>0</v>
      </c>
    </row>
    <row r="625" customHeight="1" spans="1:42">
      <c r="A625" s="18" t="s">
        <v>402</v>
      </c>
      <c r="C625" s="18">
        <v>8</v>
      </c>
      <c r="D625" s="1" t="s">
        <v>293</v>
      </c>
      <c r="E625" s="1" t="s">
        <v>227</v>
      </c>
      <c r="L625" s="1">
        <f>IFERROR(VLOOKUP($D625&amp;$C625,生产方式定位!$A$2:$E$38,2,FALSE)+VLOOKUP($E625&amp;$C625,生产方式定位!$F$3:$J$38,2,FALSE),0)</f>
        <v>0</v>
      </c>
      <c r="S625" s="1">
        <f>IFERROR(VLOOKUP($D625&amp;$C625,生产方式定位!$A$2:$E$38,3,FALSE)+VLOOKUP($E625&amp;$C625,生产方式定位!$F$3:$J$38,3,FALSE),0)</f>
        <v>0</v>
      </c>
      <c r="X625" s="1">
        <f>IFERROR(VLOOKUP($D625&amp;$C625,生产方式定位!$A$2:$E$38,5,FALSE)+VLOOKUP($E625&amp;$C625,生产方式定位!$F$3:$J$38,5,FALSE),"错误")</f>
        <v>0</v>
      </c>
      <c r="Y625" s="27" t="str">
        <f t="shared" si="72"/>
        <v/>
      </c>
      <c r="Z625" s="37" t="str">
        <f t="shared" si="73"/>
        <v/>
      </c>
      <c r="AA625" s="37" t="str">
        <f t="shared" si="74"/>
        <v/>
      </c>
      <c r="AB625" s="28" t="str">
        <f t="shared" si="75"/>
        <v/>
      </c>
      <c r="AC625" s="37"/>
      <c r="AD625" s="38">
        <f t="shared" si="76"/>
        <v>8</v>
      </c>
      <c r="AE625" t="str">
        <f>IFERROR(F625&amp;"*"&amp;ROUND(L625*(G625/$AN625)/VLOOKUP(F625,商品!$A$4:$D$67,4,FALSE),0),"")</f>
        <v/>
      </c>
      <c r="AF625" t="str">
        <f>IFERROR(H625&amp;"*"&amp;ROUND(L625*(I625/$AN625)/VLOOKUP(H625,商品!$A$4:$D$67,4,FALSE),0),"")</f>
        <v/>
      </c>
      <c r="AG625" t="str">
        <f>IFERROR(J625&amp;"*"&amp;ROUND(L625*(K625/$AN625)/VLOOKUP(J625,商品!$A$4:$D$67,4,FALSE),0),"")</f>
        <v/>
      </c>
      <c r="AH625" t="str">
        <f>IFERROR(M625&amp;"*"&amp;ROUND(S625*(N625/$AO625)/VLOOKUP(M625,职业!$A$3:$E$16,4,FALSE),0),"")</f>
        <v/>
      </c>
      <c r="AI625" t="str">
        <f>IFERROR(O625&amp;"*"&amp;ROUND(S625*(P625/$AO625)/VLOOKUP(O625,职业!$A$3:$E$16,4,FALSE),0),"")</f>
        <v/>
      </c>
      <c r="AK625" t="str">
        <f>IFERROR(T625&amp;"*"&amp;ROUND(X625*(U625/$AP625)/VLOOKUP(T625,商品!$A$4:$D$67,4,FALSE),0),"")</f>
        <v/>
      </c>
      <c r="AL625" t="str">
        <f>IFERROR(V625&amp;"*"&amp;ROUND(X625*(W625/$AP625)/VLOOKUP(V625,商品!$A$4:$D$67,4,FALSE),0),"")</f>
        <v/>
      </c>
      <c r="AN625">
        <f t="shared" si="77"/>
        <v>0</v>
      </c>
      <c r="AO625">
        <f t="shared" si="78"/>
        <v>0</v>
      </c>
      <c r="AP625">
        <f t="shared" si="79"/>
        <v>0</v>
      </c>
    </row>
    <row r="626" customHeight="1" spans="1:42">
      <c r="A626" s="5" t="s">
        <v>404</v>
      </c>
      <c r="C626" s="5">
        <v>1</v>
      </c>
      <c r="D626" s="1" t="s">
        <v>262</v>
      </c>
      <c r="E626" s="1" t="s">
        <v>224</v>
      </c>
      <c r="L626" s="1">
        <f>IFERROR(VLOOKUP($D626&amp;$C626,生产方式定位!$A$2:$E$38,2,FALSE)+VLOOKUP($E626&amp;$C626,生产方式定位!$F$3:$J$38,2,FALSE),0)</f>
        <v>0</v>
      </c>
      <c r="S626" s="1">
        <f>IFERROR(VLOOKUP($D626&amp;$C626,生产方式定位!$A$2:$E$38,3,FALSE)+VLOOKUP($E626&amp;$C626,生产方式定位!$F$3:$J$38,3,FALSE),0)</f>
        <v>3000</v>
      </c>
      <c r="X626" s="1">
        <f>IFERROR(VLOOKUP($D626&amp;$C626,生产方式定位!$A$2:$E$38,5,FALSE)+VLOOKUP($E626&amp;$C626,生产方式定位!$F$3:$J$38,5,FALSE),"错误")</f>
        <v>1500</v>
      </c>
      <c r="Y626" s="27" t="str">
        <f t="shared" si="72"/>
        <v/>
      </c>
      <c r="Z626" s="37" t="str">
        <f t="shared" si="73"/>
        <v/>
      </c>
      <c r="AA626" s="37" t="str">
        <f t="shared" si="74"/>
        <v/>
      </c>
      <c r="AB626" s="28">
        <f t="shared" si="75"/>
        <v>0</v>
      </c>
      <c r="AC626" s="37"/>
      <c r="AD626" s="38">
        <f t="shared" si="76"/>
        <v>1</v>
      </c>
      <c r="AE626" t="str">
        <f>IFERROR(F626&amp;"*"&amp;ROUND(L626*(G626/$AN626)/VLOOKUP(F626,商品!$A$4:$D$67,4,FALSE),0),"")</f>
        <v/>
      </c>
      <c r="AF626" t="str">
        <f>IFERROR(H626&amp;"*"&amp;ROUND(L626*(I626/$AN626)/VLOOKUP(H626,商品!$A$4:$D$67,4,FALSE),0),"")</f>
        <v/>
      </c>
      <c r="AG626" t="str">
        <f>IFERROR(J626&amp;"*"&amp;ROUND(L626*(K626/$AN626)/VLOOKUP(J626,商品!$A$4:$D$67,4,FALSE),0),"")</f>
        <v/>
      </c>
      <c r="AH626" t="str">
        <f>IFERROR(M626&amp;"*"&amp;ROUND(S626*(N626/$AO626)/VLOOKUP(M626,职业!$A$3:$E$16,4,FALSE),0),"")</f>
        <v/>
      </c>
      <c r="AI626" t="str">
        <f>IFERROR(O626&amp;"*"&amp;ROUND(S626*(P626/$AO626)/VLOOKUP(O626,职业!$A$3:$E$16,4,FALSE),0),"")</f>
        <v/>
      </c>
      <c r="AK626" t="str">
        <f>IFERROR(T626&amp;"*"&amp;ROUND(X626*(U626/$AP626)/VLOOKUP(T626,商品!$A$4:$D$67,4,FALSE),0),"")</f>
        <v/>
      </c>
      <c r="AL626" t="str">
        <f>IFERROR(V626&amp;"*"&amp;ROUND(X626*(W626/$AP626)/VLOOKUP(V626,商品!$A$4:$D$67,4,FALSE),0),"")</f>
        <v/>
      </c>
      <c r="AN626">
        <f t="shared" si="77"/>
        <v>0</v>
      </c>
      <c r="AO626">
        <f t="shared" si="78"/>
        <v>0</v>
      </c>
      <c r="AP626">
        <f t="shared" si="79"/>
        <v>0</v>
      </c>
    </row>
    <row r="627" customHeight="1" spans="1:42">
      <c r="A627" s="5" t="s">
        <v>404</v>
      </c>
      <c r="C627" s="5">
        <v>2</v>
      </c>
      <c r="D627" s="1" t="s">
        <v>262</v>
      </c>
      <c r="E627" s="1" t="s">
        <v>224</v>
      </c>
      <c r="L627" s="1">
        <f>IFERROR(VLOOKUP($D627&amp;$C627,生产方式定位!$A$2:$E$38,2,FALSE)+VLOOKUP($E627&amp;$C627,生产方式定位!$F$3:$J$38,2,FALSE),0)</f>
        <v>1500</v>
      </c>
      <c r="S627" s="1">
        <f>IFERROR(VLOOKUP($D627&amp;$C627,生产方式定位!$A$2:$E$38,3,FALSE)+VLOOKUP($E627&amp;$C627,生产方式定位!$F$3:$J$38,3,FALSE),0)</f>
        <v>3000</v>
      </c>
      <c r="X627" s="1">
        <f>IFERROR(VLOOKUP($D627&amp;$C627,生产方式定位!$A$2:$E$38,5,FALSE)+VLOOKUP($E627&amp;$C627,生产方式定位!$F$3:$J$38,5,FALSE),"错误")</f>
        <v>2322</v>
      </c>
      <c r="Y627" s="27" t="str">
        <f t="shared" si="72"/>
        <v/>
      </c>
      <c r="Z627" s="37" t="str">
        <f t="shared" si="73"/>
        <v/>
      </c>
      <c r="AA627" s="37" t="str">
        <f t="shared" si="74"/>
        <v/>
      </c>
      <c r="AB627" s="28">
        <f t="shared" si="75"/>
        <v>0.65</v>
      </c>
      <c r="AC627" s="37"/>
      <c r="AD627" s="38">
        <f t="shared" si="76"/>
        <v>2</v>
      </c>
      <c r="AE627" t="str">
        <f>IFERROR(F627&amp;"*"&amp;ROUND(L627*(G627/$AN627)/VLOOKUP(F627,商品!$A$4:$D$67,4,FALSE),0),"")</f>
        <v/>
      </c>
      <c r="AF627" t="str">
        <f>IFERROR(H627&amp;"*"&amp;ROUND(L627*(I627/$AN627)/VLOOKUP(H627,商品!$A$4:$D$67,4,FALSE),0),"")</f>
        <v/>
      </c>
      <c r="AG627" t="str">
        <f>IFERROR(J627&amp;"*"&amp;ROUND(L627*(K627/$AN627)/VLOOKUP(J627,商品!$A$4:$D$67,4,FALSE),0),"")</f>
        <v/>
      </c>
      <c r="AH627" t="str">
        <f>IFERROR(M627&amp;"*"&amp;ROUND(S627*(N627/$AO627)/VLOOKUP(M627,职业!$A$3:$E$16,4,FALSE),0),"")</f>
        <v/>
      </c>
      <c r="AI627" t="str">
        <f>IFERROR(O627&amp;"*"&amp;ROUND(S627*(P627/$AO627)/VLOOKUP(O627,职业!$A$3:$E$16,4,FALSE),0),"")</f>
        <v/>
      </c>
      <c r="AK627" t="str">
        <f>IFERROR(T627&amp;"*"&amp;ROUND(X627*(U627/$AP627)/VLOOKUP(T627,商品!$A$4:$D$67,4,FALSE),0),"")</f>
        <v/>
      </c>
      <c r="AL627" t="str">
        <f>IFERROR(V627&amp;"*"&amp;ROUND(X627*(W627/$AP627)/VLOOKUP(V627,商品!$A$4:$D$67,4,FALSE),0),"")</f>
        <v/>
      </c>
      <c r="AN627">
        <f t="shared" si="77"/>
        <v>0</v>
      </c>
      <c r="AO627">
        <f t="shared" si="78"/>
        <v>0</v>
      </c>
      <c r="AP627">
        <f t="shared" si="79"/>
        <v>0</v>
      </c>
    </row>
    <row r="628" customHeight="1" spans="1:42">
      <c r="A628" s="5" t="s">
        <v>404</v>
      </c>
      <c r="C628" s="5">
        <v>3</v>
      </c>
      <c r="D628" s="1" t="s">
        <v>262</v>
      </c>
      <c r="E628" s="1" t="s">
        <v>224</v>
      </c>
      <c r="L628" s="1">
        <f>IFERROR(VLOOKUP($D628&amp;$C628,生产方式定位!$A$2:$E$38,2,FALSE)+VLOOKUP($E628&amp;$C628,生产方式定位!$F$3:$J$38,2,FALSE),0)</f>
        <v>3000</v>
      </c>
      <c r="S628" s="1">
        <f>IFERROR(VLOOKUP($D628&amp;$C628,生产方式定位!$A$2:$E$38,3,FALSE)+VLOOKUP($E628&amp;$C628,生产方式定位!$F$3:$J$38,3,FALSE),0)</f>
        <v>3000</v>
      </c>
      <c r="X628" s="1">
        <f>IFERROR(VLOOKUP($D628&amp;$C628,生产方式定位!$A$2:$E$38,5,FALSE)+VLOOKUP($E628&amp;$C628,生产方式定位!$F$3:$J$38,5,FALSE),"错误")</f>
        <v>3288</v>
      </c>
      <c r="Y628" s="27" t="str">
        <f t="shared" si="72"/>
        <v/>
      </c>
      <c r="Z628" s="37" t="str">
        <f t="shared" si="73"/>
        <v/>
      </c>
      <c r="AA628" s="37" t="str">
        <f t="shared" si="74"/>
        <v/>
      </c>
      <c r="AB628" s="28">
        <f t="shared" si="75"/>
        <v>0.91</v>
      </c>
      <c r="AC628" s="37"/>
      <c r="AD628" s="38">
        <f t="shared" si="76"/>
        <v>3</v>
      </c>
      <c r="AE628" t="str">
        <f>IFERROR(F628&amp;"*"&amp;ROUND(L628*(G628/$AN628)/VLOOKUP(F628,商品!$A$4:$D$67,4,FALSE),0),"")</f>
        <v/>
      </c>
      <c r="AF628" t="str">
        <f>IFERROR(H628&amp;"*"&amp;ROUND(L628*(I628/$AN628)/VLOOKUP(H628,商品!$A$4:$D$67,4,FALSE),0),"")</f>
        <v/>
      </c>
      <c r="AG628" t="str">
        <f>IFERROR(J628&amp;"*"&amp;ROUND(L628*(K628/$AN628)/VLOOKUP(J628,商品!$A$4:$D$67,4,FALSE),0),"")</f>
        <v/>
      </c>
      <c r="AH628" t="str">
        <f>IFERROR(M628&amp;"*"&amp;ROUND(S628*(N628/$AO628)/VLOOKUP(M628,职业!$A$3:$E$16,4,FALSE),0),"")</f>
        <v/>
      </c>
      <c r="AI628" t="str">
        <f>IFERROR(O628&amp;"*"&amp;ROUND(S628*(P628/$AO628)/VLOOKUP(O628,职业!$A$3:$E$16,4,FALSE),0),"")</f>
        <v/>
      </c>
      <c r="AK628" t="str">
        <f>IFERROR(T628&amp;"*"&amp;ROUND(X628*(U628/$AP628)/VLOOKUP(T628,商品!$A$4:$D$67,4,FALSE),0),"")</f>
        <v/>
      </c>
      <c r="AL628" t="str">
        <f>IFERROR(V628&amp;"*"&amp;ROUND(X628*(W628/$AP628)/VLOOKUP(V628,商品!$A$4:$D$67,4,FALSE),0),"")</f>
        <v/>
      </c>
      <c r="AN628">
        <f t="shared" si="77"/>
        <v>0</v>
      </c>
      <c r="AO628">
        <f t="shared" si="78"/>
        <v>0</v>
      </c>
      <c r="AP628">
        <f t="shared" si="79"/>
        <v>0</v>
      </c>
    </row>
    <row r="629" customHeight="1" spans="1:42">
      <c r="A629" s="5" t="s">
        <v>404</v>
      </c>
      <c r="C629" s="5">
        <v>4</v>
      </c>
      <c r="D629" s="1" t="s">
        <v>262</v>
      </c>
      <c r="E629" s="1" t="s">
        <v>224</v>
      </c>
      <c r="L629" s="1">
        <f>IFERROR(VLOOKUP($D629&amp;$C629,生产方式定位!$A$2:$E$38,2,FALSE)+VLOOKUP($E629&amp;$C629,生产方式定位!$F$3:$J$38,2,FALSE),0)</f>
        <v>4500</v>
      </c>
      <c r="S629" s="1">
        <f>IFERROR(VLOOKUP($D629&amp;$C629,生产方式定位!$A$2:$E$38,3,FALSE)+VLOOKUP($E629&amp;$C629,生产方式定位!$F$3:$J$38,3,FALSE),0)</f>
        <v>3000</v>
      </c>
      <c r="X629" s="1">
        <f>IFERROR(VLOOKUP($D629&amp;$C629,生产方式定位!$A$2:$E$38,5,FALSE)+VLOOKUP($E629&amp;$C629,生产方式定位!$F$3:$J$38,5,FALSE),"错误")</f>
        <v>4398</v>
      </c>
      <c r="Y629" s="27" t="str">
        <f t="shared" si="72"/>
        <v/>
      </c>
      <c r="Z629" s="37" t="str">
        <f t="shared" si="73"/>
        <v/>
      </c>
      <c r="AA629" s="37" t="str">
        <f t="shared" si="74"/>
        <v/>
      </c>
      <c r="AB629" s="28">
        <f t="shared" si="75"/>
        <v>1.02</v>
      </c>
      <c r="AC629" s="37"/>
      <c r="AD629" s="38">
        <f t="shared" si="76"/>
        <v>4</v>
      </c>
      <c r="AE629" t="str">
        <f>IFERROR(F629&amp;"*"&amp;ROUND(L629*(G629/$AN629)/VLOOKUP(F629,商品!$A$4:$D$67,4,FALSE),0),"")</f>
        <v/>
      </c>
      <c r="AF629" t="str">
        <f>IFERROR(H629&amp;"*"&amp;ROUND(L629*(I629/$AN629)/VLOOKUP(H629,商品!$A$4:$D$67,4,FALSE),0),"")</f>
        <v/>
      </c>
      <c r="AG629" t="str">
        <f>IFERROR(J629&amp;"*"&amp;ROUND(L629*(K629/$AN629)/VLOOKUP(J629,商品!$A$4:$D$67,4,FALSE),0),"")</f>
        <v/>
      </c>
      <c r="AH629" t="str">
        <f>IFERROR(M629&amp;"*"&amp;ROUND(S629*(N629/$AO629)/VLOOKUP(M629,职业!$A$3:$E$16,4,FALSE),0),"")</f>
        <v/>
      </c>
      <c r="AI629" t="str">
        <f>IFERROR(O629&amp;"*"&amp;ROUND(S629*(P629/$AO629)/VLOOKUP(O629,职业!$A$3:$E$16,4,FALSE),0),"")</f>
        <v/>
      </c>
      <c r="AK629" t="str">
        <f>IFERROR(T629&amp;"*"&amp;ROUND(X629*(U629/$AP629)/VLOOKUP(T629,商品!$A$4:$D$67,4,FALSE),0),"")</f>
        <v/>
      </c>
      <c r="AL629" t="str">
        <f>IFERROR(V629&amp;"*"&amp;ROUND(X629*(W629/$AP629)/VLOOKUP(V629,商品!$A$4:$D$67,4,FALSE),0),"")</f>
        <v/>
      </c>
      <c r="AN629">
        <f t="shared" si="77"/>
        <v>0</v>
      </c>
      <c r="AO629">
        <f t="shared" si="78"/>
        <v>0</v>
      </c>
      <c r="AP629">
        <f t="shared" si="79"/>
        <v>0</v>
      </c>
    </row>
    <row r="630" customHeight="1" spans="1:42">
      <c r="A630" s="5" t="s">
        <v>404</v>
      </c>
      <c r="C630" s="5">
        <v>5</v>
      </c>
      <c r="D630" s="1" t="s">
        <v>262</v>
      </c>
      <c r="E630" s="1" t="s">
        <v>224</v>
      </c>
      <c r="L630" s="1">
        <f>IFERROR(VLOOKUP($D630&amp;$C630,生产方式定位!$A$2:$E$38,2,FALSE)+VLOOKUP($E630&amp;$C630,生产方式定位!$F$3:$J$38,2,FALSE),0)</f>
        <v>6000</v>
      </c>
      <c r="S630" s="1">
        <f>IFERROR(VLOOKUP($D630&amp;$C630,生产方式定位!$A$2:$E$38,3,FALSE)+VLOOKUP($E630&amp;$C630,生产方式定位!$F$3:$J$38,3,FALSE),0)</f>
        <v>3000</v>
      </c>
      <c r="X630" s="1">
        <f>IFERROR(VLOOKUP($D630&amp;$C630,生产方式定位!$A$2:$E$38,5,FALSE)+VLOOKUP($E630&amp;$C630,生产方式定位!$F$3:$J$38,5,FALSE),"错误")</f>
        <v>5700</v>
      </c>
      <c r="Y630" s="27" t="str">
        <f t="shared" si="72"/>
        <v/>
      </c>
      <c r="Z630" s="37" t="str">
        <f t="shared" si="73"/>
        <v/>
      </c>
      <c r="AA630" s="37" t="str">
        <f t="shared" si="74"/>
        <v/>
      </c>
      <c r="AB630" s="28">
        <f t="shared" si="75"/>
        <v>1.05</v>
      </c>
      <c r="AC630" s="37"/>
      <c r="AD630" s="38">
        <f t="shared" si="76"/>
        <v>5</v>
      </c>
      <c r="AE630" t="str">
        <f>IFERROR(F630&amp;"*"&amp;ROUND(L630*(G630/$AN630)/VLOOKUP(F630,商品!$A$4:$D$67,4,FALSE),0),"")</f>
        <v/>
      </c>
      <c r="AF630" t="str">
        <f>IFERROR(H630&amp;"*"&amp;ROUND(L630*(I630/$AN630)/VLOOKUP(H630,商品!$A$4:$D$67,4,FALSE),0),"")</f>
        <v/>
      </c>
      <c r="AG630" t="str">
        <f>IFERROR(J630&amp;"*"&amp;ROUND(L630*(K630/$AN630)/VLOOKUP(J630,商品!$A$4:$D$67,4,FALSE),0),"")</f>
        <v/>
      </c>
      <c r="AH630" t="str">
        <f>IFERROR(M630&amp;"*"&amp;ROUND(S630*(N630/$AO630)/VLOOKUP(M630,职业!$A$3:$E$16,4,FALSE),0),"")</f>
        <v/>
      </c>
      <c r="AI630" t="str">
        <f>IFERROR(O630&amp;"*"&amp;ROUND(S630*(P630/$AO630)/VLOOKUP(O630,职业!$A$3:$E$16,4,FALSE),0),"")</f>
        <v/>
      </c>
      <c r="AK630" t="str">
        <f>IFERROR(T630&amp;"*"&amp;ROUND(X630*(U630/$AP630)/VLOOKUP(T630,商品!$A$4:$D$67,4,FALSE),0),"")</f>
        <v/>
      </c>
      <c r="AL630" t="str">
        <f>IFERROR(V630&amp;"*"&amp;ROUND(X630*(W630/$AP630)/VLOOKUP(V630,商品!$A$4:$D$67,4,FALSE),0),"")</f>
        <v/>
      </c>
      <c r="AN630">
        <f t="shared" si="77"/>
        <v>0</v>
      </c>
      <c r="AO630">
        <f t="shared" si="78"/>
        <v>0</v>
      </c>
      <c r="AP630">
        <f t="shared" si="79"/>
        <v>0</v>
      </c>
    </row>
    <row r="631" customHeight="1" spans="1:42">
      <c r="A631" s="18" t="s">
        <v>405</v>
      </c>
      <c r="C631" s="18">
        <v>1</v>
      </c>
      <c r="D631" s="1" t="s">
        <v>262</v>
      </c>
      <c r="E631" s="1" t="s">
        <v>225</v>
      </c>
      <c r="L631" s="1">
        <f>IFERROR(VLOOKUP($D631&amp;$C631,生产方式定位!$A$2:$E$38,2,FALSE)+VLOOKUP($E631&amp;$C631,生产方式定位!$F$3:$J$38,2,FALSE),0)</f>
        <v>0</v>
      </c>
      <c r="S631" s="1">
        <f>IFERROR(VLOOKUP($D631&amp;$C631,生产方式定位!$A$2:$E$38,3,FALSE)+VLOOKUP($E631&amp;$C631,生产方式定位!$F$3:$J$38,3,FALSE),0)</f>
        <v>3000</v>
      </c>
      <c r="X631" s="1">
        <f>IFERROR(VLOOKUP($D631&amp;$C631,生产方式定位!$A$2:$E$38,5,FALSE)+VLOOKUP($E631&amp;$C631,生产方式定位!$F$3:$J$38,5,FALSE),"错误")</f>
        <v>1500</v>
      </c>
      <c r="Y631" s="27" t="str">
        <f t="shared" si="72"/>
        <v/>
      </c>
      <c r="Z631" s="37" t="str">
        <f t="shared" si="73"/>
        <v/>
      </c>
      <c r="AA631" s="37" t="str">
        <f t="shared" si="74"/>
        <v/>
      </c>
      <c r="AB631" s="28">
        <f t="shared" si="75"/>
        <v>0</v>
      </c>
      <c r="AC631" s="37"/>
      <c r="AD631" s="38">
        <f t="shared" si="76"/>
        <v>1</v>
      </c>
      <c r="AE631" t="str">
        <f>IFERROR(F631&amp;"*"&amp;ROUND(L631*(G631/$AN631)/VLOOKUP(F631,商品!$A$4:$D$67,4,FALSE),0),"")</f>
        <v/>
      </c>
      <c r="AF631" t="str">
        <f>IFERROR(H631&amp;"*"&amp;ROUND(L631*(I631/$AN631)/VLOOKUP(H631,商品!$A$4:$D$67,4,FALSE),0),"")</f>
        <v/>
      </c>
      <c r="AG631" t="str">
        <f>IFERROR(J631&amp;"*"&amp;ROUND(L631*(K631/$AN631)/VLOOKUP(J631,商品!$A$4:$D$67,4,FALSE),0),"")</f>
        <v/>
      </c>
      <c r="AH631" t="str">
        <f>IFERROR(M631&amp;"*"&amp;ROUND(S631*(N631/$AO631)/VLOOKUP(M631,职业!$A$3:$E$16,4,FALSE),0),"")</f>
        <v/>
      </c>
      <c r="AI631" t="str">
        <f>IFERROR(O631&amp;"*"&amp;ROUND(S631*(P631/$AO631)/VLOOKUP(O631,职业!$A$3:$E$16,4,FALSE),0),"")</f>
        <v/>
      </c>
      <c r="AK631" t="str">
        <f>IFERROR(T631&amp;"*"&amp;ROUND(X631*(U631/$AP631)/VLOOKUP(T631,商品!$A$4:$D$67,4,FALSE),0),"")</f>
        <v/>
      </c>
      <c r="AL631" t="str">
        <f>IFERROR(V631&amp;"*"&amp;ROUND(X631*(W631/$AP631)/VLOOKUP(V631,商品!$A$4:$D$67,4,FALSE),0),"")</f>
        <v/>
      </c>
      <c r="AN631">
        <f t="shared" si="77"/>
        <v>0</v>
      </c>
      <c r="AO631">
        <f t="shared" si="78"/>
        <v>0</v>
      </c>
      <c r="AP631">
        <f t="shared" si="79"/>
        <v>0</v>
      </c>
    </row>
    <row r="632" customHeight="1" spans="1:42">
      <c r="A632" s="18" t="s">
        <v>405</v>
      </c>
      <c r="C632" s="18">
        <v>2</v>
      </c>
      <c r="D632" s="1" t="s">
        <v>262</v>
      </c>
      <c r="E632" s="1" t="s">
        <v>225</v>
      </c>
      <c r="L632" s="1">
        <f>IFERROR(VLOOKUP($D632&amp;$C632,生产方式定位!$A$2:$E$38,2,FALSE)+VLOOKUP($E632&amp;$C632,生产方式定位!$F$3:$J$38,2,FALSE),0)</f>
        <v>1500</v>
      </c>
      <c r="S632" s="1">
        <f>IFERROR(VLOOKUP($D632&amp;$C632,生产方式定位!$A$2:$E$38,3,FALSE)+VLOOKUP($E632&amp;$C632,生产方式定位!$F$3:$J$38,3,FALSE),0)</f>
        <v>4800</v>
      </c>
      <c r="X632" s="1">
        <f>IFERROR(VLOOKUP($D632&amp;$C632,生产方式定位!$A$2:$E$38,5,FALSE)+VLOOKUP($E632&amp;$C632,生产方式定位!$F$3:$J$38,5,FALSE),"错误")</f>
        <v>3195</v>
      </c>
      <c r="Y632" s="27" t="str">
        <f t="shared" si="72"/>
        <v/>
      </c>
      <c r="Z632" s="37" t="str">
        <f t="shared" si="73"/>
        <v/>
      </c>
      <c r="AA632" s="37" t="str">
        <f t="shared" si="74"/>
        <v/>
      </c>
      <c r="AB632" s="28">
        <f t="shared" si="75"/>
        <v>0.47</v>
      </c>
      <c r="AC632" s="37"/>
      <c r="AD632" s="38">
        <f t="shared" si="76"/>
        <v>2</v>
      </c>
      <c r="AE632" t="str">
        <f>IFERROR(F632&amp;"*"&amp;ROUND(L632*(G632/$AN632)/VLOOKUP(F632,商品!$A$4:$D$67,4,FALSE),0),"")</f>
        <v/>
      </c>
      <c r="AF632" t="str">
        <f>IFERROR(H632&amp;"*"&amp;ROUND(L632*(I632/$AN632)/VLOOKUP(H632,商品!$A$4:$D$67,4,FALSE),0),"")</f>
        <v/>
      </c>
      <c r="AG632" t="str">
        <f>IFERROR(J632&amp;"*"&amp;ROUND(L632*(K632/$AN632)/VLOOKUP(J632,商品!$A$4:$D$67,4,FALSE),0),"")</f>
        <v/>
      </c>
      <c r="AH632" t="str">
        <f>IFERROR(M632&amp;"*"&amp;ROUND(S632*(N632/$AO632)/VLOOKUP(M632,职业!$A$3:$E$16,4,FALSE),0),"")</f>
        <v/>
      </c>
      <c r="AI632" t="str">
        <f>IFERROR(O632&amp;"*"&amp;ROUND(S632*(P632/$AO632)/VLOOKUP(O632,职业!$A$3:$E$16,4,FALSE),0),"")</f>
        <v/>
      </c>
      <c r="AK632" t="str">
        <f>IFERROR(T632&amp;"*"&amp;ROUND(X632*(U632/$AP632)/VLOOKUP(T632,商品!$A$4:$D$67,4,FALSE),0),"")</f>
        <v/>
      </c>
      <c r="AL632" t="str">
        <f>IFERROR(V632&amp;"*"&amp;ROUND(X632*(W632/$AP632)/VLOOKUP(V632,商品!$A$4:$D$67,4,FALSE),0),"")</f>
        <v/>
      </c>
      <c r="AN632">
        <f t="shared" si="77"/>
        <v>0</v>
      </c>
      <c r="AO632">
        <f t="shared" si="78"/>
        <v>0</v>
      </c>
      <c r="AP632">
        <f t="shared" si="79"/>
        <v>0</v>
      </c>
    </row>
    <row r="633" customHeight="1" spans="1:42">
      <c r="A633" s="18" t="s">
        <v>405</v>
      </c>
      <c r="C633" s="18">
        <v>3</v>
      </c>
      <c r="D633" s="1" t="s">
        <v>262</v>
      </c>
      <c r="E633" s="1" t="s">
        <v>225</v>
      </c>
      <c r="L633" s="1">
        <f>IFERROR(VLOOKUP($D633&amp;$C633,生产方式定位!$A$2:$E$38,2,FALSE)+VLOOKUP($E633&amp;$C633,生产方式定位!$F$3:$J$38,2,FALSE),0)</f>
        <v>3000</v>
      </c>
      <c r="S633" s="1">
        <f>IFERROR(VLOOKUP($D633&amp;$C633,生产方式定位!$A$2:$E$38,3,FALSE)+VLOOKUP($E633&amp;$C633,生产方式定位!$F$3:$J$38,3,FALSE),0)</f>
        <v>5600</v>
      </c>
      <c r="X633" s="1">
        <f>IFERROR(VLOOKUP($D633&amp;$C633,生产方式定位!$A$2:$E$38,5,FALSE)+VLOOKUP($E633&amp;$C633,生产方式定位!$F$3:$J$38,5,FALSE),"错误")</f>
        <v>4450</v>
      </c>
      <c r="Y633" s="27" t="str">
        <f t="shared" si="72"/>
        <v/>
      </c>
      <c r="Z633" s="37" t="str">
        <f t="shared" si="73"/>
        <v/>
      </c>
      <c r="AA633" s="37" t="str">
        <f t="shared" si="74"/>
        <v/>
      </c>
      <c r="AB633" s="28">
        <f t="shared" si="75"/>
        <v>0.67</v>
      </c>
      <c r="AC633" s="37"/>
      <c r="AD633" s="38">
        <f t="shared" si="76"/>
        <v>3</v>
      </c>
      <c r="AE633" t="str">
        <f>IFERROR(F633&amp;"*"&amp;ROUND(L633*(G633/$AN633)/VLOOKUP(F633,商品!$A$4:$D$67,4,FALSE),0),"")</f>
        <v/>
      </c>
      <c r="AF633" t="str">
        <f>IFERROR(H633&amp;"*"&amp;ROUND(L633*(I633/$AN633)/VLOOKUP(H633,商品!$A$4:$D$67,4,FALSE),0),"")</f>
        <v/>
      </c>
      <c r="AG633" t="str">
        <f>IFERROR(J633&amp;"*"&amp;ROUND(L633*(K633/$AN633)/VLOOKUP(J633,商品!$A$4:$D$67,4,FALSE),0),"")</f>
        <v/>
      </c>
      <c r="AH633" t="str">
        <f>IFERROR(M633&amp;"*"&amp;ROUND(S633*(N633/$AO633)/VLOOKUP(M633,职业!$A$3:$E$16,4,FALSE),0),"")</f>
        <v/>
      </c>
      <c r="AI633" t="str">
        <f>IFERROR(O633&amp;"*"&amp;ROUND(S633*(P633/$AO633)/VLOOKUP(O633,职业!$A$3:$E$16,4,FALSE),0),"")</f>
        <v/>
      </c>
      <c r="AK633" t="str">
        <f>IFERROR(T633&amp;"*"&amp;ROUND(X633*(U633/$AP633)/VLOOKUP(T633,商品!$A$4:$D$67,4,FALSE),0),"")</f>
        <v/>
      </c>
      <c r="AL633" t="str">
        <f>IFERROR(V633&amp;"*"&amp;ROUND(X633*(W633/$AP633)/VLOOKUP(V633,商品!$A$4:$D$67,4,FALSE),0),"")</f>
        <v/>
      </c>
      <c r="AN633">
        <f t="shared" si="77"/>
        <v>0</v>
      </c>
      <c r="AO633">
        <f t="shared" si="78"/>
        <v>0</v>
      </c>
      <c r="AP633">
        <f t="shared" si="79"/>
        <v>0</v>
      </c>
    </row>
    <row r="634" customHeight="1" spans="1:42">
      <c r="A634" s="18" t="s">
        <v>405</v>
      </c>
      <c r="C634" s="18">
        <v>4</v>
      </c>
      <c r="D634" s="1" t="s">
        <v>262</v>
      </c>
      <c r="E634" s="1" t="s">
        <v>225</v>
      </c>
      <c r="L634" s="1">
        <f>IFERROR(VLOOKUP($D634&amp;$C634,生产方式定位!$A$2:$E$38,2,FALSE)+VLOOKUP($E634&amp;$C634,生产方式定位!$F$3:$J$38,2,FALSE),0)</f>
        <v>4500</v>
      </c>
      <c r="S634" s="1">
        <f>IFERROR(VLOOKUP($D634&amp;$C634,生产方式定位!$A$2:$E$38,3,FALSE)+VLOOKUP($E634&amp;$C634,生产方式定位!$F$3:$J$38,3,FALSE),0)</f>
        <v>6400</v>
      </c>
      <c r="X634" s="1">
        <f>IFERROR(VLOOKUP($D634&amp;$C634,生产方式定位!$A$2:$E$38,5,FALSE)+VLOOKUP($E634&amp;$C634,生产方式定位!$F$3:$J$38,5,FALSE),"错误")</f>
        <v>5765</v>
      </c>
      <c r="Y634" s="27" t="str">
        <f t="shared" si="72"/>
        <v/>
      </c>
      <c r="Z634" s="37" t="str">
        <f t="shared" si="73"/>
        <v/>
      </c>
      <c r="AA634" s="37" t="str">
        <f t="shared" si="74"/>
        <v/>
      </c>
      <c r="AB634" s="28">
        <f t="shared" si="75"/>
        <v>0.78</v>
      </c>
      <c r="AC634" s="37"/>
      <c r="AD634" s="38">
        <f t="shared" si="76"/>
        <v>4</v>
      </c>
      <c r="AE634" t="str">
        <f>IFERROR(F634&amp;"*"&amp;ROUND(L634*(G634/$AN634)/VLOOKUP(F634,商品!$A$4:$D$67,4,FALSE),0),"")</f>
        <v/>
      </c>
      <c r="AF634" t="str">
        <f>IFERROR(H634&amp;"*"&amp;ROUND(L634*(I634/$AN634)/VLOOKUP(H634,商品!$A$4:$D$67,4,FALSE),0),"")</f>
        <v/>
      </c>
      <c r="AG634" t="str">
        <f>IFERROR(J634&amp;"*"&amp;ROUND(L634*(K634/$AN634)/VLOOKUP(J634,商品!$A$4:$D$67,4,FALSE),0),"")</f>
        <v/>
      </c>
      <c r="AH634" t="str">
        <f>IFERROR(M634&amp;"*"&amp;ROUND(S634*(N634/$AO634)/VLOOKUP(M634,职业!$A$3:$E$16,4,FALSE),0),"")</f>
        <v/>
      </c>
      <c r="AI634" t="str">
        <f>IFERROR(O634&amp;"*"&amp;ROUND(S634*(P634/$AO634)/VLOOKUP(O634,职业!$A$3:$E$16,4,FALSE),0),"")</f>
        <v/>
      </c>
      <c r="AK634" t="str">
        <f>IFERROR(T634&amp;"*"&amp;ROUND(X634*(U634/$AP634)/VLOOKUP(T634,商品!$A$4:$D$67,4,FALSE),0),"")</f>
        <v/>
      </c>
      <c r="AL634" t="str">
        <f>IFERROR(V634&amp;"*"&amp;ROUND(X634*(W634/$AP634)/VLOOKUP(V634,商品!$A$4:$D$67,4,FALSE),0),"")</f>
        <v/>
      </c>
      <c r="AN634">
        <f t="shared" si="77"/>
        <v>0</v>
      </c>
      <c r="AO634">
        <f t="shared" si="78"/>
        <v>0</v>
      </c>
      <c r="AP634">
        <f t="shared" si="79"/>
        <v>0</v>
      </c>
    </row>
    <row r="635" customHeight="1" spans="1:42">
      <c r="A635" s="18" t="s">
        <v>405</v>
      </c>
      <c r="C635" s="18">
        <v>5</v>
      </c>
      <c r="D635" s="1" t="s">
        <v>262</v>
      </c>
      <c r="E635" s="1" t="s">
        <v>225</v>
      </c>
      <c r="L635" s="1">
        <f>IFERROR(VLOOKUP($D635&amp;$C635,生产方式定位!$A$2:$E$38,2,FALSE)+VLOOKUP($E635&amp;$C635,生产方式定位!$F$3:$J$38,2,FALSE),0)</f>
        <v>6000</v>
      </c>
      <c r="S635" s="1">
        <f>IFERROR(VLOOKUP($D635&amp;$C635,生产方式定位!$A$2:$E$38,3,FALSE)+VLOOKUP($E635&amp;$C635,生产方式定位!$F$3:$J$38,3,FALSE),0)</f>
        <v>7200</v>
      </c>
      <c r="X635" s="1">
        <f>IFERROR(VLOOKUP($D635&amp;$C635,生产方式定位!$A$2:$E$38,5,FALSE)+VLOOKUP($E635&amp;$C635,生产方式定位!$F$3:$J$38,5,FALSE),"错误")</f>
        <v>7163</v>
      </c>
      <c r="Y635" s="27" t="str">
        <f t="shared" si="72"/>
        <v/>
      </c>
      <c r="Z635" s="37" t="str">
        <f t="shared" si="73"/>
        <v/>
      </c>
      <c r="AA635" s="37" t="str">
        <f t="shared" si="74"/>
        <v/>
      </c>
      <c r="AB635" s="28">
        <f t="shared" si="75"/>
        <v>0.84</v>
      </c>
      <c r="AC635" s="37"/>
      <c r="AD635" s="38">
        <f t="shared" si="76"/>
        <v>5</v>
      </c>
      <c r="AE635" t="str">
        <f>IFERROR(F635&amp;"*"&amp;ROUND(L635*(G635/$AN635)/VLOOKUP(F635,商品!$A$4:$D$67,4,FALSE),0),"")</f>
        <v/>
      </c>
      <c r="AF635" t="str">
        <f>IFERROR(H635&amp;"*"&amp;ROUND(L635*(I635/$AN635)/VLOOKUP(H635,商品!$A$4:$D$67,4,FALSE),0),"")</f>
        <v/>
      </c>
      <c r="AG635" t="str">
        <f>IFERROR(J635&amp;"*"&amp;ROUND(L635*(K635/$AN635)/VLOOKUP(J635,商品!$A$4:$D$67,4,FALSE),0),"")</f>
        <v/>
      </c>
      <c r="AH635" t="str">
        <f>IFERROR(M635&amp;"*"&amp;ROUND(S635*(N635/$AO635)/VLOOKUP(M635,职业!$A$3:$E$16,4,FALSE),0),"")</f>
        <v/>
      </c>
      <c r="AI635" t="str">
        <f>IFERROR(O635&amp;"*"&amp;ROUND(S635*(P635/$AO635)/VLOOKUP(O635,职业!$A$3:$E$16,4,FALSE),0),"")</f>
        <v/>
      </c>
      <c r="AK635" t="str">
        <f>IFERROR(T635&amp;"*"&amp;ROUND(X635*(U635/$AP635)/VLOOKUP(T635,商品!$A$4:$D$67,4,FALSE),0),"")</f>
        <v/>
      </c>
      <c r="AL635" t="str">
        <f>IFERROR(V635&amp;"*"&amp;ROUND(X635*(W635/$AP635)/VLOOKUP(V635,商品!$A$4:$D$67,4,FALSE),0),"")</f>
        <v/>
      </c>
      <c r="AN635">
        <f t="shared" si="77"/>
        <v>0</v>
      </c>
      <c r="AO635">
        <f t="shared" si="78"/>
        <v>0</v>
      </c>
      <c r="AP635">
        <f t="shared" si="79"/>
        <v>0</v>
      </c>
    </row>
    <row r="636" customHeight="1" spans="1:42">
      <c r="A636" s="5" t="s">
        <v>406</v>
      </c>
      <c r="C636" s="5">
        <v>1</v>
      </c>
      <c r="D636" s="1" t="s">
        <v>262</v>
      </c>
      <c r="E636" s="1" t="s">
        <v>226</v>
      </c>
      <c r="L636" s="1">
        <f>IFERROR(VLOOKUP($D636&amp;$C636,生产方式定位!$A$2:$E$38,2,FALSE)+VLOOKUP($E636&amp;$C636,生产方式定位!$F$3:$J$38,2,FALSE),0)</f>
        <v>0</v>
      </c>
      <c r="S636" s="1">
        <f>IFERROR(VLOOKUP($D636&amp;$C636,生产方式定位!$A$2:$E$38,3,FALSE)+VLOOKUP($E636&amp;$C636,生产方式定位!$F$3:$J$38,3,FALSE),0)</f>
        <v>3000</v>
      </c>
      <c r="X636" s="1">
        <f>IFERROR(VLOOKUP($D636&amp;$C636,生产方式定位!$A$2:$E$38,5,FALSE)+VLOOKUP($E636&amp;$C636,生产方式定位!$F$3:$J$38,5,FALSE),"错误")</f>
        <v>1500</v>
      </c>
      <c r="Y636" s="27" t="str">
        <f t="shared" si="72"/>
        <v/>
      </c>
      <c r="Z636" s="37" t="str">
        <f t="shared" si="73"/>
        <v/>
      </c>
      <c r="AA636" s="37" t="str">
        <f t="shared" si="74"/>
        <v/>
      </c>
      <c r="AB636" s="28">
        <f t="shared" si="75"/>
        <v>0</v>
      </c>
      <c r="AC636" s="37"/>
      <c r="AD636" s="38">
        <f t="shared" si="76"/>
        <v>1</v>
      </c>
      <c r="AE636" t="str">
        <f>IFERROR(F636&amp;"*"&amp;ROUND(L636*(G636/$AN636)/VLOOKUP(F636,商品!$A$4:$D$67,4,FALSE),0),"")</f>
        <v/>
      </c>
      <c r="AF636" t="str">
        <f>IFERROR(H636&amp;"*"&amp;ROUND(L636*(I636/$AN636)/VLOOKUP(H636,商品!$A$4:$D$67,4,FALSE),0),"")</f>
        <v/>
      </c>
      <c r="AG636" t="str">
        <f>IFERROR(J636&amp;"*"&amp;ROUND(L636*(K636/$AN636)/VLOOKUP(J636,商品!$A$4:$D$67,4,FALSE),0),"")</f>
        <v/>
      </c>
      <c r="AH636" t="str">
        <f>IFERROR(M636&amp;"*"&amp;ROUND(S636*(N636/$AO636)/VLOOKUP(M636,职业!$A$3:$E$16,4,FALSE),0),"")</f>
        <v/>
      </c>
      <c r="AI636" t="str">
        <f>IFERROR(O636&amp;"*"&amp;ROUND(S636*(P636/$AO636)/VLOOKUP(O636,职业!$A$3:$E$16,4,FALSE),0),"")</f>
        <v/>
      </c>
      <c r="AK636" t="str">
        <f>IFERROR(T636&amp;"*"&amp;ROUND(X636*(U636/$AP636)/VLOOKUP(T636,商品!$A$4:$D$67,4,FALSE),0),"")</f>
        <v/>
      </c>
      <c r="AL636" t="str">
        <f>IFERROR(V636&amp;"*"&amp;ROUND(X636*(W636/$AP636)/VLOOKUP(V636,商品!$A$4:$D$67,4,FALSE),0),"")</f>
        <v/>
      </c>
      <c r="AN636">
        <f t="shared" si="77"/>
        <v>0</v>
      </c>
      <c r="AO636">
        <f t="shared" si="78"/>
        <v>0</v>
      </c>
      <c r="AP636">
        <f t="shared" si="79"/>
        <v>0</v>
      </c>
    </row>
    <row r="637" customHeight="1" spans="1:42">
      <c r="A637" s="5" t="s">
        <v>406</v>
      </c>
      <c r="C637" s="5">
        <v>2</v>
      </c>
      <c r="D637" s="1" t="s">
        <v>262</v>
      </c>
      <c r="E637" s="1" t="s">
        <v>226</v>
      </c>
      <c r="L637" s="1">
        <f>IFERROR(VLOOKUP($D637&amp;$C637,生产方式定位!$A$2:$E$38,2,FALSE)+VLOOKUP($E637&amp;$C637,生产方式定位!$F$3:$J$38,2,FALSE),0)</f>
        <v>2500</v>
      </c>
      <c r="S637" s="1">
        <f>IFERROR(VLOOKUP($D637&amp;$C637,生产方式定位!$A$2:$E$38,3,FALSE)+VLOOKUP($E637&amp;$C637,生产方式定位!$F$3:$J$38,3,FALSE),0)</f>
        <v>2600</v>
      </c>
      <c r="X637" s="1">
        <f>IFERROR(VLOOKUP($D637&amp;$C637,生产方式定位!$A$2:$E$38,5,FALSE)+VLOOKUP($E637&amp;$C637,生产方式定位!$F$3:$J$38,5,FALSE),"错误")</f>
        <v>2640</v>
      </c>
      <c r="Y637" s="27" t="str">
        <f t="shared" si="72"/>
        <v/>
      </c>
      <c r="Z637" s="37" t="str">
        <f t="shared" si="73"/>
        <v/>
      </c>
      <c r="AA637" s="37" t="str">
        <f t="shared" si="74"/>
        <v/>
      </c>
      <c r="AB637" s="28">
        <f t="shared" si="75"/>
        <v>0.95</v>
      </c>
      <c r="AC637" s="37"/>
      <c r="AD637" s="38">
        <f t="shared" si="76"/>
        <v>2</v>
      </c>
      <c r="AE637" t="str">
        <f>IFERROR(F637&amp;"*"&amp;ROUND(L637*(G637/$AN637)/VLOOKUP(F637,商品!$A$4:$D$67,4,FALSE),0),"")</f>
        <v/>
      </c>
      <c r="AF637" t="str">
        <f>IFERROR(H637&amp;"*"&amp;ROUND(L637*(I637/$AN637)/VLOOKUP(H637,商品!$A$4:$D$67,4,FALSE),0),"")</f>
        <v/>
      </c>
      <c r="AG637" t="str">
        <f>IFERROR(J637&amp;"*"&amp;ROUND(L637*(K637/$AN637)/VLOOKUP(J637,商品!$A$4:$D$67,4,FALSE),0),"")</f>
        <v/>
      </c>
      <c r="AH637" t="str">
        <f>IFERROR(M637&amp;"*"&amp;ROUND(S637*(N637/$AO637)/VLOOKUP(M637,职业!$A$3:$E$16,4,FALSE),0),"")</f>
        <v/>
      </c>
      <c r="AI637" t="str">
        <f>IFERROR(O637&amp;"*"&amp;ROUND(S637*(P637/$AO637)/VLOOKUP(O637,职业!$A$3:$E$16,4,FALSE),0),"")</f>
        <v/>
      </c>
      <c r="AK637" t="str">
        <f>IFERROR(T637&amp;"*"&amp;ROUND(X637*(U637/$AP637)/VLOOKUP(T637,商品!$A$4:$D$67,4,FALSE),0),"")</f>
        <v/>
      </c>
      <c r="AL637" t="str">
        <f>IFERROR(V637&amp;"*"&amp;ROUND(X637*(W637/$AP637)/VLOOKUP(V637,商品!$A$4:$D$67,4,FALSE),0),"")</f>
        <v/>
      </c>
      <c r="AN637">
        <f t="shared" si="77"/>
        <v>0</v>
      </c>
      <c r="AO637">
        <f t="shared" si="78"/>
        <v>0</v>
      </c>
      <c r="AP637">
        <f t="shared" si="79"/>
        <v>0</v>
      </c>
    </row>
    <row r="638" customHeight="1" spans="1:42">
      <c r="A638" s="5" t="s">
        <v>406</v>
      </c>
      <c r="C638" s="5">
        <v>3</v>
      </c>
      <c r="D638" s="1" t="s">
        <v>262</v>
      </c>
      <c r="E638" s="1" t="s">
        <v>226</v>
      </c>
      <c r="L638" s="1">
        <f>IFERROR(VLOOKUP($D638&amp;$C638,生产方式定位!$A$2:$E$38,2,FALSE)+VLOOKUP($E638&amp;$C638,生产方式定位!$F$3:$J$38,2,FALSE),0)</f>
        <v>4000</v>
      </c>
      <c r="S638" s="1">
        <f>IFERROR(VLOOKUP($D638&amp;$C638,生产方式定位!$A$2:$E$38,3,FALSE)+VLOOKUP($E638&amp;$C638,生产方式定位!$F$3:$J$38,3,FALSE),0)</f>
        <v>2200</v>
      </c>
      <c r="X638" s="1">
        <f>IFERROR(VLOOKUP($D638&amp;$C638,生产方式定位!$A$2:$E$38,5,FALSE)+VLOOKUP($E638&amp;$C638,生产方式定位!$F$3:$J$38,5,FALSE),"错误")</f>
        <v>3360</v>
      </c>
      <c r="Y638" s="27" t="str">
        <f t="shared" si="72"/>
        <v/>
      </c>
      <c r="Z638" s="37" t="str">
        <f t="shared" si="73"/>
        <v/>
      </c>
      <c r="AA638" s="37" t="str">
        <f t="shared" si="74"/>
        <v/>
      </c>
      <c r="AB638" s="28">
        <f t="shared" si="75"/>
        <v>1.19</v>
      </c>
      <c r="AC638" s="37"/>
      <c r="AD638" s="38">
        <f t="shared" si="76"/>
        <v>3</v>
      </c>
      <c r="AE638" t="str">
        <f>IFERROR(F638&amp;"*"&amp;ROUND(L638*(G638/$AN638)/VLOOKUP(F638,商品!$A$4:$D$67,4,FALSE),0),"")</f>
        <v/>
      </c>
      <c r="AF638" t="str">
        <f>IFERROR(H638&amp;"*"&amp;ROUND(L638*(I638/$AN638)/VLOOKUP(H638,商品!$A$4:$D$67,4,FALSE),0),"")</f>
        <v/>
      </c>
      <c r="AG638" t="str">
        <f>IFERROR(J638&amp;"*"&amp;ROUND(L638*(K638/$AN638)/VLOOKUP(J638,商品!$A$4:$D$67,4,FALSE),0),"")</f>
        <v/>
      </c>
      <c r="AH638" t="str">
        <f>IFERROR(M638&amp;"*"&amp;ROUND(S638*(N638/$AO638)/VLOOKUP(M638,职业!$A$3:$E$16,4,FALSE),0),"")</f>
        <v/>
      </c>
      <c r="AI638" t="str">
        <f>IFERROR(O638&amp;"*"&amp;ROUND(S638*(P638/$AO638)/VLOOKUP(O638,职业!$A$3:$E$16,4,FALSE),0),"")</f>
        <v/>
      </c>
      <c r="AK638" t="str">
        <f>IFERROR(T638&amp;"*"&amp;ROUND(X638*(U638/$AP638)/VLOOKUP(T638,商品!$A$4:$D$67,4,FALSE),0),"")</f>
        <v/>
      </c>
      <c r="AL638" t="str">
        <f>IFERROR(V638&amp;"*"&amp;ROUND(X638*(W638/$AP638)/VLOOKUP(V638,商品!$A$4:$D$67,4,FALSE),0),"")</f>
        <v/>
      </c>
      <c r="AN638">
        <f t="shared" si="77"/>
        <v>0</v>
      </c>
      <c r="AO638">
        <f t="shared" si="78"/>
        <v>0</v>
      </c>
      <c r="AP638">
        <f t="shared" si="79"/>
        <v>0</v>
      </c>
    </row>
    <row r="639" customHeight="1" spans="1:42">
      <c r="A639" s="5" t="s">
        <v>406</v>
      </c>
      <c r="C639" s="5">
        <v>4</v>
      </c>
      <c r="D639" s="1" t="s">
        <v>262</v>
      </c>
      <c r="E639" s="1" t="s">
        <v>226</v>
      </c>
      <c r="L639" s="1">
        <f>IFERROR(VLOOKUP($D639&amp;$C639,生产方式定位!$A$2:$E$38,2,FALSE)+VLOOKUP($E639&amp;$C639,生产方式定位!$F$3:$J$38,2,FALSE),0)</f>
        <v>5500</v>
      </c>
      <c r="S639" s="1">
        <f>IFERROR(VLOOKUP($D639&amp;$C639,生产方式定位!$A$2:$E$38,3,FALSE)+VLOOKUP($E639&amp;$C639,生产方式定位!$F$3:$J$38,3,FALSE),0)</f>
        <v>1800</v>
      </c>
      <c r="X639" s="1">
        <f>IFERROR(VLOOKUP($D639&amp;$C639,生产方式定位!$A$2:$E$38,5,FALSE)+VLOOKUP($E639&amp;$C639,生产方式定位!$F$3:$J$38,5,FALSE),"错误")</f>
        <v>4160</v>
      </c>
      <c r="Y639" s="27" t="str">
        <f t="shared" si="72"/>
        <v/>
      </c>
      <c r="Z639" s="37" t="str">
        <f t="shared" si="73"/>
        <v/>
      </c>
      <c r="AA639" s="37" t="str">
        <f t="shared" si="74"/>
        <v/>
      </c>
      <c r="AB639" s="28">
        <f t="shared" si="75"/>
        <v>1.32</v>
      </c>
      <c r="AC639" s="37"/>
      <c r="AD639" s="38">
        <f t="shared" si="76"/>
        <v>4</v>
      </c>
      <c r="AE639" t="str">
        <f>IFERROR(F639&amp;"*"&amp;ROUND(L639*(G639/$AN639)/VLOOKUP(F639,商品!$A$4:$D$67,4,FALSE),0),"")</f>
        <v/>
      </c>
      <c r="AF639" t="str">
        <f>IFERROR(H639&amp;"*"&amp;ROUND(L639*(I639/$AN639)/VLOOKUP(H639,商品!$A$4:$D$67,4,FALSE),0),"")</f>
        <v/>
      </c>
      <c r="AG639" t="str">
        <f>IFERROR(J639&amp;"*"&amp;ROUND(L639*(K639/$AN639)/VLOOKUP(J639,商品!$A$4:$D$67,4,FALSE),0),"")</f>
        <v/>
      </c>
      <c r="AH639" t="str">
        <f>IFERROR(M639&amp;"*"&amp;ROUND(S639*(N639/$AO639)/VLOOKUP(M639,职业!$A$3:$E$16,4,FALSE),0),"")</f>
        <v/>
      </c>
      <c r="AI639" t="str">
        <f>IFERROR(O639&amp;"*"&amp;ROUND(S639*(P639/$AO639)/VLOOKUP(O639,职业!$A$3:$E$16,4,FALSE),0),"")</f>
        <v/>
      </c>
      <c r="AK639" t="str">
        <f>IFERROR(T639&amp;"*"&amp;ROUND(X639*(U639/$AP639)/VLOOKUP(T639,商品!$A$4:$D$67,4,FALSE),0),"")</f>
        <v/>
      </c>
      <c r="AL639" t="str">
        <f>IFERROR(V639&amp;"*"&amp;ROUND(X639*(W639/$AP639)/VLOOKUP(V639,商品!$A$4:$D$67,4,FALSE),0),"")</f>
        <v/>
      </c>
      <c r="AN639">
        <f t="shared" si="77"/>
        <v>0</v>
      </c>
      <c r="AO639">
        <f t="shared" si="78"/>
        <v>0</v>
      </c>
      <c r="AP639">
        <f t="shared" si="79"/>
        <v>0</v>
      </c>
    </row>
    <row r="640" customHeight="1" spans="1:42">
      <c r="A640" s="5" t="s">
        <v>406</v>
      </c>
      <c r="C640" s="5">
        <v>5</v>
      </c>
      <c r="D640" s="1" t="s">
        <v>262</v>
      </c>
      <c r="E640" s="1" t="s">
        <v>226</v>
      </c>
      <c r="L640" s="1">
        <f>IFERROR(VLOOKUP($D640&amp;$C640,生产方式定位!$A$2:$E$38,2,FALSE)+VLOOKUP($E640&amp;$C640,生产方式定位!$F$3:$J$38,2,FALSE),0)</f>
        <v>7000</v>
      </c>
      <c r="S640" s="1">
        <f>IFERROR(VLOOKUP($D640&amp;$C640,生产方式定位!$A$2:$E$38,3,FALSE)+VLOOKUP($E640&amp;$C640,生产方式定位!$F$3:$J$38,3,FALSE),0)</f>
        <v>1400</v>
      </c>
      <c r="X640" s="1">
        <f>IFERROR(VLOOKUP($D640&amp;$C640,生产方式定位!$A$2:$E$38,5,FALSE)+VLOOKUP($E640&amp;$C640,生产方式定位!$F$3:$J$38,5,FALSE),"错误")</f>
        <v>5040</v>
      </c>
      <c r="Y640" s="27" t="str">
        <f t="shared" si="72"/>
        <v/>
      </c>
      <c r="Z640" s="37" t="str">
        <f t="shared" si="73"/>
        <v/>
      </c>
      <c r="AA640" s="37" t="str">
        <f t="shared" si="74"/>
        <v/>
      </c>
      <c r="AB640" s="28">
        <f t="shared" si="75"/>
        <v>1.39</v>
      </c>
      <c r="AC640" s="37"/>
      <c r="AD640" s="38">
        <f t="shared" si="76"/>
        <v>5</v>
      </c>
      <c r="AE640" t="str">
        <f>IFERROR(F640&amp;"*"&amp;ROUND(L640*(G640/$AN640)/VLOOKUP(F640,商品!$A$4:$D$67,4,FALSE),0),"")</f>
        <v/>
      </c>
      <c r="AF640" t="str">
        <f>IFERROR(H640&amp;"*"&amp;ROUND(L640*(I640/$AN640)/VLOOKUP(H640,商品!$A$4:$D$67,4,FALSE),0),"")</f>
        <v/>
      </c>
      <c r="AG640" t="str">
        <f>IFERROR(J640&amp;"*"&amp;ROUND(L640*(K640/$AN640)/VLOOKUP(J640,商品!$A$4:$D$67,4,FALSE),0),"")</f>
        <v/>
      </c>
      <c r="AH640" t="str">
        <f>IFERROR(M640&amp;"*"&amp;ROUND(S640*(N640/$AO640)/VLOOKUP(M640,职业!$A$3:$E$16,4,FALSE),0),"")</f>
        <v/>
      </c>
      <c r="AI640" t="str">
        <f>IFERROR(O640&amp;"*"&amp;ROUND(S640*(P640/$AO640)/VLOOKUP(O640,职业!$A$3:$E$16,4,FALSE),0),"")</f>
        <v/>
      </c>
      <c r="AK640" t="str">
        <f>IFERROR(T640&amp;"*"&amp;ROUND(X640*(U640/$AP640)/VLOOKUP(T640,商品!$A$4:$D$67,4,FALSE),0),"")</f>
        <v/>
      </c>
      <c r="AL640" t="str">
        <f>IFERROR(V640&amp;"*"&amp;ROUND(X640*(W640/$AP640)/VLOOKUP(V640,商品!$A$4:$D$67,4,FALSE),0),"")</f>
        <v/>
      </c>
      <c r="AN640">
        <f t="shared" si="77"/>
        <v>0</v>
      </c>
      <c r="AO640">
        <f t="shared" si="78"/>
        <v>0</v>
      </c>
      <c r="AP640">
        <f t="shared" si="79"/>
        <v>0</v>
      </c>
    </row>
    <row r="641" customHeight="1" spans="1:42">
      <c r="A641" s="18" t="s">
        <v>406</v>
      </c>
      <c r="C641" s="18">
        <v>1</v>
      </c>
      <c r="D641" s="1" t="s">
        <v>262</v>
      </c>
      <c r="E641" s="1" t="s">
        <v>226</v>
      </c>
      <c r="L641" s="1">
        <f>IFERROR(VLOOKUP($D641&amp;$C641,生产方式定位!$A$2:$E$38,2,FALSE)+VLOOKUP($E641&amp;$C641,生产方式定位!$F$3:$J$38,2,FALSE),0)</f>
        <v>0</v>
      </c>
      <c r="S641" s="1">
        <f>IFERROR(VLOOKUP($D641&amp;$C641,生产方式定位!$A$2:$E$38,3,FALSE)+VLOOKUP($E641&amp;$C641,生产方式定位!$F$3:$J$38,3,FALSE),0)</f>
        <v>3000</v>
      </c>
      <c r="X641" s="1">
        <f>IFERROR(VLOOKUP($D641&amp;$C641,生产方式定位!$A$2:$E$38,5,FALSE)+VLOOKUP($E641&amp;$C641,生产方式定位!$F$3:$J$38,5,FALSE),"错误")</f>
        <v>1500</v>
      </c>
      <c r="Y641" s="27" t="str">
        <f t="shared" si="72"/>
        <v/>
      </c>
      <c r="Z641" s="37" t="str">
        <f t="shared" si="73"/>
        <v/>
      </c>
      <c r="AA641" s="37" t="str">
        <f t="shared" si="74"/>
        <v/>
      </c>
      <c r="AB641" s="28">
        <f t="shared" si="75"/>
        <v>0</v>
      </c>
      <c r="AC641" s="37"/>
      <c r="AD641" s="38">
        <f t="shared" si="76"/>
        <v>1</v>
      </c>
      <c r="AE641" t="str">
        <f>IFERROR(F641&amp;"*"&amp;ROUND(L641*(G641/$AN641)/VLOOKUP(F641,商品!$A$4:$D$67,4,FALSE),0),"")</f>
        <v/>
      </c>
      <c r="AF641" t="str">
        <f>IFERROR(H641&amp;"*"&amp;ROUND(L641*(I641/$AN641)/VLOOKUP(H641,商品!$A$4:$D$67,4,FALSE),0),"")</f>
        <v/>
      </c>
      <c r="AG641" t="str">
        <f>IFERROR(J641&amp;"*"&amp;ROUND(L641*(K641/$AN641)/VLOOKUP(J641,商品!$A$4:$D$67,4,FALSE),0),"")</f>
        <v/>
      </c>
      <c r="AH641" t="str">
        <f>IFERROR(M641&amp;"*"&amp;ROUND(S641*(N641/$AO641)/VLOOKUP(M641,职业!$A$3:$E$16,4,FALSE),0),"")</f>
        <v/>
      </c>
      <c r="AI641" t="str">
        <f>IFERROR(O641&amp;"*"&amp;ROUND(S641*(P641/$AO641)/VLOOKUP(O641,职业!$A$3:$E$16,4,FALSE),0),"")</f>
        <v/>
      </c>
      <c r="AK641" t="str">
        <f>IFERROR(T641&amp;"*"&amp;ROUND(X641*(U641/$AP641)/VLOOKUP(T641,商品!$A$4:$D$67,4,FALSE),0),"")</f>
        <v/>
      </c>
      <c r="AL641" t="str">
        <f>IFERROR(V641&amp;"*"&amp;ROUND(X641*(W641/$AP641)/VLOOKUP(V641,商品!$A$4:$D$67,4,FALSE),0),"")</f>
        <v/>
      </c>
      <c r="AN641">
        <f t="shared" si="77"/>
        <v>0</v>
      </c>
      <c r="AO641">
        <f t="shared" si="78"/>
        <v>0</v>
      </c>
      <c r="AP641">
        <f t="shared" si="79"/>
        <v>0</v>
      </c>
    </row>
    <row r="642" customHeight="1" spans="1:42">
      <c r="A642" s="18" t="s">
        <v>406</v>
      </c>
      <c r="C642" s="18">
        <v>2</v>
      </c>
      <c r="D642" s="1" t="s">
        <v>262</v>
      </c>
      <c r="E642" s="1" t="s">
        <v>226</v>
      </c>
      <c r="L642" s="1">
        <f>IFERROR(VLOOKUP($D642&amp;$C642,生产方式定位!$A$2:$E$38,2,FALSE)+VLOOKUP($E642&amp;$C642,生产方式定位!$F$3:$J$38,2,FALSE),0)</f>
        <v>2500</v>
      </c>
      <c r="S642" s="1">
        <f>IFERROR(VLOOKUP($D642&amp;$C642,生产方式定位!$A$2:$E$38,3,FALSE)+VLOOKUP($E642&amp;$C642,生产方式定位!$F$3:$J$38,3,FALSE),0)</f>
        <v>2600</v>
      </c>
      <c r="X642" s="1">
        <f>IFERROR(VLOOKUP($D642&amp;$C642,生产方式定位!$A$2:$E$38,5,FALSE)+VLOOKUP($E642&amp;$C642,生产方式定位!$F$3:$J$38,5,FALSE),"错误")</f>
        <v>2640</v>
      </c>
      <c r="Y642" s="27" t="str">
        <f t="shared" si="72"/>
        <v/>
      </c>
      <c r="Z642" s="37" t="str">
        <f t="shared" si="73"/>
        <v/>
      </c>
      <c r="AA642" s="37" t="str">
        <f t="shared" si="74"/>
        <v/>
      </c>
      <c r="AB642" s="28">
        <f t="shared" si="75"/>
        <v>0.95</v>
      </c>
      <c r="AC642" s="37"/>
      <c r="AD642" s="38">
        <f t="shared" si="76"/>
        <v>2</v>
      </c>
      <c r="AE642" t="str">
        <f>IFERROR(F642&amp;"*"&amp;ROUND(L642*(G642/$AN642)/VLOOKUP(F642,商品!$A$4:$D$67,4,FALSE),0),"")</f>
        <v/>
      </c>
      <c r="AF642" t="str">
        <f>IFERROR(H642&amp;"*"&amp;ROUND(L642*(I642/$AN642)/VLOOKUP(H642,商品!$A$4:$D$67,4,FALSE),0),"")</f>
        <v/>
      </c>
      <c r="AG642" t="str">
        <f>IFERROR(J642&amp;"*"&amp;ROUND(L642*(K642/$AN642)/VLOOKUP(J642,商品!$A$4:$D$67,4,FALSE),0),"")</f>
        <v/>
      </c>
      <c r="AH642" t="str">
        <f>IFERROR(M642&amp;"*"&amp;ROUND(S642*(N642/$AO642)/VLOOKUP(M642,职业!$A$3:$E$16,4,FALSE),0),"")</f>
        <v/>
      </c>
      <c r="AI642" t="str">
        <f>IFERROR(O642&amp;"*"&amp;ROUND(S642*(P642/$AO642)/VLOOKUP(O642,职业!$A$3:$E$16,4,FALSE),0),"")</f>
        <v/>
      </c>
      <c r="AK642" t="str">
        <f>IFERROR(T642&amp;"*"&amp;ROUND(X642*(U642/$AP642)/VLOOKUP(T642,商品!$A$4:$D$67,4,FALSE),0),"")</f>
        <v/>
      </c>
      <c r="AL642" t="str">
        <f>IFERROR(V642&amp;"*"&amp;ROUND(X642*(W642/$AP642)/VLOOKUP(V642,商品!$A$4:$D$67,4,FALSE),0),"")</f>
        <v/>
      </c>
      <c r="AN642">
        <f t="shared" si="77"/>
        <v>0</v>
      </c>
      <c r="AO642">
        <f t="shared" si="78"/>
        <v>0</v>
      </c>
      <c r="AP642">
        <f t="shared" si="79"/>
        <v>0</v>
      </c>
    </row>
    <row r="643" customHeight="1" spans="1:42">
      <c r="A643" s="18" t="s">
        <v>406</v>
      </c>
      <c r="C643" s="18">
        <v>3</v>
      </c>
      <c r="D643" s="1" t="s">
        <v>262</v>
      </c>
      <c r="E643" s="1" t="s">
        <v>226</v>
      </c>
      <c r="L643" s="1">
        <f>IFERROR(VLOOKUP($D643&amp;$C643,生产方式定位!$A$2:$E$38,2,FALSE)+VLOOKUP($E643&amp;$C643,生产方式定位!$F$3:$J$38,2,FALSE),0)</f>
        <v>4000</v>
      </c>
      <c r="S643" s="1">
        <f>IFERROR(VLOOKUP($D643&amp;$C643,生产方式定位!$A$2:$E$38,3,FALSE)+VLOOKUP($E643&amp;$C643,生产方式定位!$F$3:$J$38,3,FALSE),0)</f>
        <v>2200</v>
      </c>
      <c r="X643" s="1">
        <f>IFERROR(VLOOKUP($D643&amp;$C643,生产方式定位!$A$2:$E$38,5,FALSE)+VLOOKUP($E643&amp;$C643,生产方式定位!$F$3:$J$38,5,FALSE),"错误")</f>
        <v>3360</v>
      </c>
      <c r="Y643" s="27" t="str">
        <f t="shared" si="72"/>
        <v/>
      </c>
      <c r="Z643" s="37" t="str">
        <f t="shared" si="73"/>
        <v/>
      </c>
      <c r="AA643" s="37" t="str">
        <f t="shared" si="74"/>
        <v/>
      </c>
      <c r="AB643" s="28">
        <f t="shared" si="75"/>
        <v>1.19</v>
      </c>
      <c r="AC643" s="37"/>
      <c r="AD643" s="38">
        <f t="shared" si="76"/>
        <v>3</v>
      </c>
      <c r="AE643" t="str">
        <f>IFERROR(F643&amp;"*"&amp;ROUND(L643*(G643/$AN643)/VLOOKUP(F643,商品!$A$4:$D$67,4,FALSE),0),"")</f>
        <v/>
      </c>
      <c r="AF643" t="str">
        <f>IFERROR(H643&amp;"*"&amp;ROUND(L643*(I643/$AN643)/VLOOKUP(H643,商品!$A$4:$D$67,4,FALSE),0),"")</f>
        <v/>
      </c>
      <c r="AG643" t="str">
        <f>IFERROR(J643&amp;"*"&amp;ROUND(L643*(K643/$AN643)/VLOOKUP(J643,商品!$A$4:$D$67,4,FALSE),0),"")</f>
        <v/>
      </c>
      <c r="AH643" t="str">
        <f>IFERROR(M643&amp;"*"&amp;ROUND(S643*(N643/$AO643)/VLOOKUP(M643,职业!$A$3:$E$16,4,FALSE),0),"")</f>
        <v/>
      </c>
      <c r="AI643" t="str">
        <f>IFERROR(O643&amp;"*"&amp;ROUND(S643*(P643/$AO643)/VLOOKUP(O643,职业!$A$3:$E$16,4,FALSE),0),"")</f>
        <v/>
      </c>
      <c r="AK643" t="str">
        <f>IFERROR(T643&amp;"*"&amp;ROUND(X643*(U643/$AP643)/VLOOKUP(T643,商品!$A$4:$D$67,4,FALSE),0),"")</f>
        <v/>
      </c>
      <c r="AL643" t="str">
        <f>IFERROR(V643&amp;"*"&amp;ROUND(X643*(W643/$AP643)/VLOOKUP(V643,商品!$A$4:$D$67,4,FALSE),0),"")</f>
        <v/>
      </c>
      <c r="AN643">
        <f t="shared" si="77"/>
        <v>0</v>
      </c>
      <c r="AO643">
        <f t="shared" si="78"/>
        <v>0</v>
      </c>
      <c r="AP643">
        <f t="shared" si="79"/>
        <v>0</v>
      </c>
    </row>
    <row r="644" customHeight="1" spans="1:42">
      <c r="A644" s="18" t="s">
        <v>406</v>
      </c>
      <c r="C644" s="18">
        <v>4</v>
      </c>
      <c r="D644" s="1" t="s">
        <v>262</v>
      </c>
      <c r="E644" s="1" t="s">
        <v>226</v>
      </c>
      <c r="L644" s="1">
        <f>IFERROR(VLOOKUP($D644&amp;$C644,生产方式定位!$A$2:$E$38,2,FALSE)+VLOOKUP($E644&amp;$C644,生产方式定位!$F$3:$J$38,2,FALSE),0)</f>
        <v>5500</v>
      </c>
      <c r="S644" s="1">
        <f>IFERROR(VLOOKUP($D644&amp;$C644,生产方式定位!$A$2:$E$38,3,FALSE)+VLOOKUP($E644&amp;$C644,生产方式定位!$F$3:$J$38,3,FALSE),0)</f>
        <v>1800</v>
      </c>
      <c r="X644" s="1">
        <f>IFERROR(VLOOKUP($D644&amp;$C644,生产方式定位!$A$2:$E$38,5,FALSE)+VLOOKUP($E644&amp;$C644,生产方式定位!$F$3:$J$38,5,FALSE),"错误")</f>
        <v>4160</v>
      </c>
      <c r="Y644" s="27" t="str">
        <f t="shared" si="72"/>
        <v/>
      </c>
      <c r="Z644" s="37" t="str">
        <f t="shared" si="73"/>
        <v/>
      </c>
      <c r="AA644" s="37" t="str">
        <f t="shared" si="74"/>
        <v/>
      </c>
      <c r="AB644" s="28">
        <f t="shared" si="75"/>
        <v>1.32</v>
      </c>
      <c r="AC644" s="37"/>
      <c r="AD644" s="38">
        <f t="shared" si="76"/>
        <v>4</v>
      </c>
      <c r="AE644" t="str">
        <f>IFERROR(F644&amp;"*"&amp;ROUND(L644*(G644/$AN644)/VLOOKUP(F644,商品!$A$4:$D$67,4,FALSE),0),"")</f>
        <v/>
      </c>
      <c r="AF644" t="str">
        <f>IFERROR(H644&amp;"*"&amp;ROUND(L644*(I644/$AN644)/VLOOKUP(H644,商品!$A$4:$D$67,4,FALSE),0),"")</f>
        <v/>
      </c>
      <c r="AG644" t="str">
        <f>IFERROR(J644&amp;"*"&amp;ROUND(L644*(K644/$AN644)/VLOOKUP(J644,商品!$A$4:$D$67,4,FALSE),0),"")</f>
        <v/>
      </c>
      <c r="AH644" t="str">
        <f>IFERROR(M644&amp;"*"&amp;ROUND(S644*(N644/$AO644)/VLOOKUP(M644,职业!$A$3:$E$16,4,FALSE),0),"")</f>
        <v/>
      </c>
      <c r="AI644" t="str">
        <f>IFERROR(O644&amp;"*"&amp;ROUND(S644*(P644/$AO644)/VLOOKUP(O644,职业!$A$3:$E$16,4,FALSE),0),"")</f>
        <v/>
      </c>
      <c r="AK644" t="str">
        <f>IFERROR(T644&amp;"*"&amp;ROUND(X644*(U644/$AP644)/VLOOKUP(T644,商品!$A$4:$D$67,4,FALSE),0),"")</f>
        <v/>
      </c>
      <c r="AL644" t="str">
        <f>IFERROR(V644&amp;"*"&amp;ROUND(X644*(W644/$AP644)/VLOOKUP(V644,商品!$A$4:$D$67,4,FALSE),0),"")</f>
        <v/>
      </c>
      <c r="AN644">
        <f t="shared" si="77"/>
        <v>0</v>
      </c>
      <c r="AO644">
        <f t="shared" si="78"/>
        <v>0</v>
      </c>
      <c r="AP644">
        <f t="shared" si="79"/>
        <v>0</v>
      </c>
    </row>
    <row r="645" customHeight="1" spans="1:42">
      <c r="A645" s="18" t="s">
        <v>406</v>
      </c>
      <c r="C645" s="18">
        <v>5</v>
      </c>
      <c r="D645" s="1" t="s">
        <v>262</v>
      </c>
      <c r="E645" s="1" t="s">
        <v>226</v>
      </c>
      <c r="L645" s="1">
        <f>IFERROR(VLOOKUP($D645&amp;$C645,生产方式定位!$A$2:$E$38,2,FALSE)+VLOOKUP($E645&amp;$C645,生产方式定位!$F$3:$J$38,2,FALSE),0)</f>
        <v>7000</v>
      </c>
      <c r="S645" s="1">
        <f>IFERROR(VLOOKUP($D645&amp;$C645,生产方式定位!$A$2:$E$38,3,FALSE)+VLOOKUP($E645&amp;$C645,生产方式定位!$F$3:$J$38,3,FALSE),0)</f>
        <v>1400</v>
      </c>
      <c r="X645" s="1">
        <f>IFERROR(VLOOKUP($D645&amp;$C645,生产方式定位!$A$2:$E$38,5,FALSE)+VLOOKUP($E645&amp;$C645,生产方式定位!$F$3:$J$38,5,FALSE),"错误")</f>
        <v>5040</v>
      </c>
      <c r="Y645" s="27" t="str">
        <f t="shared" ref="Y645:Y708" si="80">IF(AE645="","",AE645)&amp;IF(AF645="","",","&amp;AF645)&amp;IF(AG645="","",","&amp;AG645)</f>
        <v/>
      </c>
      <c r="Z645" s="37" t="str">
        <f t="shared" ref="Z645:Z708" si="81">IF(AH645="","",AH645)&amp;IF(AI645="","",","&amp;AI645)</f>
        <v/>
      </c>
      <c r="AA645" s="37" t="str">
        <f t="shared" ref="AA645:AA708" si="82">IF(AK645="","",AK645)&amp;IF(AL645="","",","&amp;AL645)</f>
        <v/>
      </c>
      <c r="AB645" s="28">
        <f t="shared" ref="AB645:AB708" si="83">IFERROR(ROUND(L645/X645,2),"")</f>
        <v>1.39</v>
      </c>
      <c r="AC645" s="37"/>
      <c r="AD645" s="38">
        <f t="shared" ref="AD645:AD708" si="84">C645</f>
        <v>5</v>
      </c>
      <c r="AE645" t="str">
        <f>IFERROR(F645&amp;"*"&amp;ROUND(L645*(G645/$AN645)/VLOOKUP(F645,商品!$A$4:$D$67,4,FALSE),0),"")</f>
        <v/>
      </c>
      <c r="AF645" t="str">
        <f>IFERROR(H645&amp;"*"&amp;ROUND(L645*(I645/$AN645)/VLOOKUP(H645,商品!$A$4:$D$67,4,FALSE),0),"")</f>
        <v/>
      </c>
      <c r="AG645" t="str">
        <f>IFERROR(J645&amp;"*"&amp;ROUND(L645*(K645/$AN645)/VLOOKUP(J645,商品!$A$4:$D$67,4,FALSE),0),"")</f>
        <v/>
      </c>
      <c r="AH645" t="str">
        <f>IFERROR(M645&amp;"*"&amp;ROUND(S645*(N645/$AO645)/VLOOKUP(M645,职业!$A$3:$E$16,4,FALSE),0),"")</f>
        <v/>
      </c>
      <c r="AI645" t="str">
        <f>IFERROR(O645&amp;"*"&amp;ROUND(S645*(P645/$AO645)/VLOOKUP(O645,职业!$A$3:$E$16,4,FALSE),0),"")</f>
        <v/>
      </c>
      <c r="AK645" t="str">
        <f>IFERROR(T645&amp;"*"&amp;ROUND(X645*(U645/$AP645)/VLOOKUP(T645,商品!$A$4:$D$67,4,FALSE),0),"")</f>
        <v/>
      </c>
      <c r="AL645" t="str">
        <f>IFERROR(V645&amp;"*"&amp;ROUND(X645*(W645/$AP645)/VLOOKUP(V645,商品!$A$4:$D$67,4,FALSE),0),"")</f>
        <v/>
      </c>
      <c r="AN645">
        <f t="shared" si="77"/>
        <v>0</v>
      </c>
      <c r="AO645">
        <f t="shared" si="78"/>
        <v>0</v>
      </c>
      <c r="AP645">
        <f t="shared" si="79"/>
        <v>0</v>
      </c>
    </row>
    <row r="646" customHeight="1" spans="1:42">
      <c r="A646" s="5" t="s">
        <v>407</v>
      </c>
      <c r="C646" s="5">
        <v>1</v>
      </c>
      <c r="D646" s="1" t="s">
        <v>293</v>
      </c>
      <c r="E646" s="1" t="s">
        <v>227</v>
      </c>
      <c r="L646" s="1">
        <f>IFERROR(VLOOKUP($D646&amp;$C646,生产方式定位!$A$2:$E$38,2,FALSE)+VLOOKUP($E646&amp;$C646,生产方式定位!$F$3:$J$38,2,FALSE),0)</f>
        <v>0</v>
      </c>
      <c r="S646" s="1">
        <f>IFERROR(VLOOKUP($D646&amp;$C646,生产方式定位!$A$2:$E$38,3,FALSE)+VLOOKUP($E646&amp;$C646,生产方式定位!$F$3:$J$38,3,FALSE),0)</f>
        <v>0</v>
      </c>
      <c r="X646" s="1">
        <f>IFERROR(VLOOKUP($D646&amp;$C646,生产方式定位!$A$2:$E$38,5,FALSE)+VLOOKUP($E646&amp;$C646,生产方式定位!$F$3:$J$38,5,FALSE),"错误")</f>
        <v>0</v>
      </c>
      <c r="Y646" s="27" t="str">
        <f t="shared" si="80"/>
        <v/>
      </c>
      <c r="Z646" s="37" t="str">
        <f t="shared" si="81"/>
        <v/>
      </c>
      <c r="AA646" s="37" t="str">
        <f t="shared" si="82"/>
        <v/>
      </c>
      <c r="AB646" s="28" t="str">
        <f t="shared" si="83"/>
        <v/>
      </c>
      <c r="AC646" s="37"/>
      <c r="AD646" s="38">
        <f t="shared" si="84"/>
        <v>1</v>
      </c>
      <c r="AE646" t="str">
        <f>IFERROR(F646&amp;"*"&amp;ROUND(L646*(G646/$AN646)/VLOOKUP(F646,商品!$A$4:$D$67,4,FALSE),0),"")</f>
        <v/>
      </c>
      <c r="AF646" t="str">
        <f>IFERROR(H646&amp;"*"&amp;ROUND(L646*(I646/$AN646)/VLOOKUP(H646,商品!$A$4:$D$67,4,FALSE),0),"")</f>
        <v/>
      </c>
      <c r="AG646" t="str">
        <f>IFERROR(J646&amp;"*"&amp;ROUND(L646*(K646/$AN646)/VLOOKUP(J646,商品!$A$4:$D$67,4,FALSE),0),"")</f>
        <v/>
      </c>
      <c r="AH646" t="str">
        <f>IFERROR(M646&amp;"*"&amp;ROUND(S646*(N646/$AO646)/VLOOKUP(M646,职业!$A$3:$E$16,4,FALSE),0),"")</f>
        <v/>
      </c>
      <c r="AI646" t="str">
        <f>IFERROR(O646&amp;"*"&amp;ROUND(S646*(P646/$AO646)/VLOOKUP(O646,职业!$A$3:$E$16,4,FALSE),0),"")</f>
        <v/>
      </c>
      <c r="AK646" t="str">
        <f>IFERROR(T646&amp;"*"&amp;ROUND(X646*(U646/$AP646)/VLOOKUP(T646,商品!$A$4:$D$67,4,FALSE),0),"")</f>
        <v/>
      </c>
      <c r="AL646" t="str">
        <f>IFERROR(V646&amp;"*"&amp;ROUND(X646*(W646/$AP646)/VLOOKUP(V646,商品!$A$4:$D$67,4,FALSE),0),"")</f>
        <v/>
      </c>
      <c r="AN646">
        <f t="shared" ref="AN646:AN709" si="85">G646+I646+K646</f>
        <v>0</v>
      </c>
      <c r="AO646">
        <f t="shared" ref="AO646:AO709" si="86">N646+P646+R646</f>
        <v>0</v>
      </c>
      <c r="AP646">
        <f t="shared" ref="AP646:AP709" si="87">U646+W646</f>
        <v>0</v>
      </c>
    </row>
    <row r="647" customHeight="1" spans="1:42">
      <c r="A647" s="5" t="s">
        <v>407</v>
      </c>
      <c r="C647" s="5">
        <v>2</v>
      </c>
      <c r="D647" s="1" t="s">
        <v>293</v>
      </c>
      <c r="E647" s="1" t="s">
        <v>227</v>
      </c>
      <c r="L647" s="1">
        <f>IFERROR(VLOOKUP($D647&amp;$C647,生产方式定位!$A$2:$E$38,2,FALSE)+VLOOKUP($E647&amp;$C647,生产方式定位!$F$3:$J$38,2,FALSE),0)</f>
        <v>0</v>
      </c>
      <c r="S647" s="1">
        <f>IFERROR(VLOOKUP($D647&amp;$C647,生产方式定位!$A$2:$E$38,3,FALSE)+VLOOKUP($E647&amp;$C647,生产方式定位!$F$3:$J$38,3,FALSE),0)</f>
        <v>0</v>
      </c>
      <c r="X647" s="1">
        <f>IFERROR(VLOOKUP($D647&amp;$C647,生产方式定位!$A$2:$E$38,5,FALSE)+VLOOKUP($E647&amp;$C647,生产方式定位!$F$3:$J$38,5,FALSE),"错误")</f>
        <v>0</v>
      </c>
      <c r="Y647" s="27" t="str">
        <f t="shared" si="80"/>
        <v/>
      </c>
      <c r="Z647" s="37" t="str">
        <f t="shared" si="81"/>
        <v/>
      </c>
      <c r="AA647" s="37" t="str">
        <f t="shared" si="82"/>
        <v/>
      </c>
      <c r="AB647" s="28" t="str">
        <f t="shared" si="83"/>
        <v/>
      </c>
      <c r="AC647" s="37"/>
      <c r="AD647" s="38">
        <f t="shared" si="84"/>
        <v>2</v>
      </c>
      <c r="AE647" t="str">
        <f>IFERROR(F647&amp;"*"&amp;ROUND(L647*(G647/$AN647)/VLOOKUP(F647,商品!$A$4:$D$67,4,FALSE),0),"")</f>
        <v/>
      </c>
      <c r="AF647" t="str">
        <f>IFERROR(H647&amp;"*"&amp;ROUND(L647*(I647/$AN647)/VLOOKUP(H647,商品!$A$4:$D$67,4,FALSE),0),"")</f>
        <v/>
      </c>
      <c r="AG647" t="str">
        <f>IFERROR(J647&amp;"*"&amp;ROUND(L647*(K647/$AN647)/VLOOKUP(J647,商品!$A$4:$D$67,4,FALSE),0),"")</f>
        <v/>
      </c>
      <c r="AH647" t="str">
        <f>IFERROR(M647&amp;"*"&amp;ROUND(S647*(N647/$AO647)/VLOOKUP(M647,职业!$A$3:$E$16,4,FALSE),0),"")</f>
        <v/>
      </c>
      <c r="AI647" t="str">
        <f>IFERROR(O647&amp;"*"&amp;ROUND(S647*(P647/$AO647)/VLOOKUP(O647,职业!$A$3:$E$16,4,FALSE),0),"")</f>
        <v/>
      </c>
      <c r="AK647" t="str">
        <f>IFERROR(T647&amp;"*"&amp;ROUND(X647*(U647/$AP647)/VLOOKUP(T647,商品!$A$4:$D$67,4,FALSE),0),"")</f>
        <v/>
      </c>
      <c r="AL647" t="str">
        <f>IFERROR(V647&amp;"*"&amp;ROUND(X647*(W647/$AP647)/VLOOKUP(V647,商品!$A$4:$D$67,4,FALSE),0),"")</f>
        <v/>
      </c>
      <c r="AN647">
        <f t="shared" si="85"/>
        <v>0</v>
      </c>
      <c r="AO647">
        <f t="shared" si="86"/>
        <v>0</v>
      </c>
      <c r="AP647">
        <f t="shared" si="87"/>
        <v>0</v>
      </c>
    </row>
    <row r="648" customHeight="1" spans="1:42">
      <c r="A648" s="5" t="s">
        <v>407</v>
      </c>
      <c r="C648" s="5">
        <v>3</v>
      </c>
      <c r="D648" s="1" t="s">
        <v>293</v>
      </c>
      <c r="E648" s="1" t="s">
        <v>227</v>
      </c>
      <c r="L648" s="1">
        <f>IFERROR(VLOOKUP($D648&amp;$C648,生产方式定位!$A$2:$E$38,2,FALSE)+VLOOKUP($E648&amp;$C648,生产方式定位!$F$3:$J$38,2,FALSE),0)</f>
        <v>0</v>
      </c>
      <c r="S648" s="1">
        <f>IFERROR(VLOOKUP($D648&amp;$C648,生产方式定位!$A$2:$E$38,3,FALSE)+VLOOKUP($E648&amp;$C648,生产方式定位!$F$3:$J$38,3,FALSE),0)</f>
        <v>0</v>
      </c>
      <c r="X648" s="1">
        <f>IFERROR(VLOOKUP($D648&amp;$C648,生产方式定位!$A$2:$E$38,5,FALSE)+VLOOKUP($E648&amp;$C648,生产方式定位!$F$3:$J$38,5,FALSE),"错误")</f>
        <v>0</v>
      </c>
      <c r="Y648" s="27" t="str">
        <f t="shared" si="80"/>
        <v/>
      </c>
      <c r="Z648" s="37" t="str">
        <f t="shared" si="81"/>
        <v/>
      </c>
      <c r="AA648" s="37" t="str">
        <f t="shared" si="82"/>
        <v/>
      </c>
      <c r="AB648" s="28" t="str">
        <f t="shared" si="83"/>
        <v/>
      </c>
      <c r="AC648" s="37"/>
      <c r="AD648" s="38">
        <f t="shared" si="84"/>
        <v>3</v>
      </c>
      <c r="AE648" t="str">
        <f>IFERROR(F648&amp;"*"&amp;ROUND(L648*(G648/$AN648)/VLOOKUP(F648,商品!$A$4:$D$67,4,FALSE),0),"")</f>
        <v/>
      </c>
      <c r="AF648" t="str">
        <f>IFERROR(H648&amp;"*"&amp;ROUND(L648*(I648/$AN648)/VLOOKUP(H648,商品!$A$4:$D$67,4,FALSE),0),"")</f>
        <v/>
      </c>
      <c r="AG648" t="str">
        <f>IFERROR(J648&amp;"*"&amp;ROUND(L648*(K648/$AN648)/VLOOKUP(J648,商品!$A$4:$D$67,4,FALSE),0),"")</f>
        <v/>
      </c>
      <c r="AH648" t="str">
        <f>IFERROR(M648&amp;"*"&amp;ROUND(S648*(N648/$AO648)/VLOOKUP(M648,职业!$A$3:$E$16,4,FALSE),0),"")</f>
        <v/>
      </c>
      <c r="AI648" t="str">
        <f>IFERROR(O648&amp;"*"&amp;ROUND(S648*(P648/$AO648)/VLOOKUP(O648,职业!$A$3:$E$16,4,FALSE),0),"")</f>
        <v/>
      </c>
      <c r="AK648" t="str">
        <f>IFERROR(T648&amp;"*"&amp;ROUND(X648*(U648/$AP648)/VLOOKUP(T648,商品!$A$4:$D$67,4,FALSE),0),"")</f>
        <v/>
      </c>
      <c r="AL648" t="str">
        <f>IFERROR(V648&amp;"*"&amp;ROUND(X648*(W648/$AP648)/VLOOKUP(V648,商品!$A$4:$D$67,4,FALSE),0),"")</f>
        <v/>
      </c>
      <c r="AN648">
        <f t="shared" si="85"/>
        <v>0</v>
      </c>
      <c r="AO648">
        <f t="shared" si="86"/>
        <v>0</v>
      </c>
      <c r="AP648">
        <f t="shared" si="87"/>
        <v>0</v>
      </c>
    </row>
    <row r="649" customHeight="1" spans="1:42">
      <c r="A649" s="5" t="s">
        <v>407</v>
      </c>
      <c r="C649" s="5">
        <v>4</v>
      </c>
      <c r="D649" s="1" t="s">
        <v>293</v>
      </c>
      <c r="E649" s="1" t="s">
        <v>227</v>
      </c>
      <c r="L649" s="1">
        <f>IFERROR(VLOOKUP($D649&amp;$C649,生产方式定位!$A$2:$E$38,2,FALSE)+VLOOKUP($E649&amp;$C649,生产方式定位!$F$3:$J$38,2,FALSE),0)</f>
        <v>0</v>
      </c>
      <c r="S649" s="1">
        <f>IFERROR(VLOOKUP($D649&amp;$C649,生产方式定位!$A$2:$E$38,3,FALSE)+VLOOKUP($E649&amp;$C649,生产方式定位!$F$3:$J$38,3,FALSE),0)</f>
        <v>0</v>
      </c>
      <c r="X649" s="1">
        <f>IFERROR(VLOOKUP($D649&amp;$C649,生产方式定位!$A$2:$E$38,5,FALSE)+VLOOKUP($E649&amp;$C649,生产方式定位!$F$3:$J$38,5,FALSE),"错误")</f>
        <v>0</v>
      </c>
      <c r="Y649" s="27" t="str">
        <f t="shared" si="80"/>
        <v/>
      </c>
      <c r="Z649" s="37" t="str">
        <f t="shared" si="81"/>
        <v/>
      </c>
      <c r="AA649" s="37" t="str">
        <f t="shared" si="82"/>
        <v/>
      </c>
      <c r="AB649" s="28" t="str">
        <f t="shared" si="83"/>
        <v/>
      </c>
      <c r="AC649" s="37"/>
      <c r="AD649" s="38">
        <f t="shared" si="84"/>
        <v>4</v>
      </c>
      <c r="AE649" t="str">
        <f>IFERROR(F649&amp;"*"&amp;ROUND(L649*(G649/$AN649)/VLOOKUP(F649,商品!$A$4:$D$67,4,FALSE),0),"")</f>
        <v/>
      </c>
      <c r="AF649" t="str">
        <f>IFERROR(H649&amp;"*"&amp;ROUND(L649*(I649/$AN649)/VLOOKUP(H649,商品!$A$4:$D$67,4,FALSE),0),"")</f>
        <v/>
      </c>
      <c r="AG649" t="str">
        <f>IFERROR(J649&amp;"*"&amp;ROUND(L649*(K649/$AN649)/VLOOKUP(J649,商品!$A$4:$D$67,4,FALSE),0),"")</f>
        <v/>
      </c>
      <c r="AH649" t="str">
        <f>IFERROR(M649&amp;"*"&amp;ROUND(S649*(N649/$AO649)/VLOOKUP(M649,职业!$A$3:$E$16,4,FALSE),0),"")</f>
        <v/>
      </c>
      <c r="AI649" t="str">
        <f>IFERROR(O649&amp;"*"&amp;ROUND(S649*(P649/$AO649)/VLOOKUP(O649,职业!$A$3:$E$16,4,FALSE),0),"")</f>
        <v/>
      </c>
      <c r="AK649" t="str">
        <f>IFERROR(T649&amp;"*"&amp;ROUND(X649*(U649/$AP649)/VLOOKUP(T649,商品!$A$4:$D$67,4,FALSE),0),"")</f>
        <v/>
      </c>
      <c r="AL649" t="str">
        <f>IFERROR(V649&amp;"*"&amp;ROUND(X649*(W649/$AP649)/VLOOKUP(V649,商品!$A$4:$D$67,4,FALSE),0),"")</f>
        <v/>
      </c>
      <c r="AN649">
        <f t="shared" si="85"/>
        <v>0</v>
      </c>
      <c r="AO649">
        <f t="shared" si="86"/>
        <v>0</v>
      </c>
      <c r="AP649">
        <f t="shared" si="87"/>
        <v>0</v>
      </c>
    </row>
    <row r="650" customHeight="1" spans="1:42">
      <c r="A650" s="5" t="s">
        <v>407</v>
      </c>
      <c r="C650" s="5">
        <v>5</v>
      </c>
      <c r="D650" s="1" t="s">
        <v>293</v>
      </c>
      <c r="E650" s="1" t="s">
        <v>227</v>
      </c>
      <c r="L650" s="1">
        <f>IFERROR(VLOOKUP($D650&amp;$C650,生产方式定位!$A$2:$E$38,2,FALSE)+VLOOKUP($E650&amp;$C650,生产方式定位!$F$3:$J$38,2,FALSE),0)</f>
        <v>0</v>
      </c>
      <c r="S650" s="1">
        <f>IFERROR(VLOOKUP($D650&amp;$C650,生产方式定位!$A$2:$E$38,3,FALSE)+VLOOKUP($E650&amp;$C650,生产方式定位!$F$3:$J$38,3,FALSE),0)</f>
        <v>0</v>
      </c>
      <c r="X650" s="1">
        <f>IFERROR(VLOOKUP($D650&amp;$C650,生产方式定位!$A$2:$E$38,5,FALSE)+VLOOKUP($E650&amp;$C650,生产方式定位!$F$3:$J$38,5,FALSE),"错误")</f>
        <v>0</v>
      </c>
      <c r="Y650" s="27" t="str">
        <f t="shared" si="80"/>
        <v/>
      </c>
      <c r="Z650" s="37" t="str">
        <f t="shared" si="81"/>
        <v/>
      </c>
      <c r="AA650" s="37" t="str">
        <f t="shared" si="82"/>
        <v/>
      </c>
      <c r="AB650" s="28" t="str">
        <f t="shared" si="83"/>
        <v/>
      </c>
      <c r="AC650" s="37"/>
      <c r="AD650" s="38">
        <f t="shared" si="84"/>
        <v>5</v>
      </c>
      <c r="AE650" t="str">
        <f>IFERROR(F650&amp;"*"&amp;ROUND(L650*(G650/$AN650)/VLOOKUP(F650,商品!$A$4:$D$67,4,FALSE),0),"")</f>
        <v/>
      </c>
      <c r="AF650" t="str">
        <f>IFERROR(H650&amp;"*"&amp;ROUND(L650*(I650/$AN650)/VLOOKUP(H650,商品!$A$4:$D$67,4,FALSE),0),"")</f>
        <v/>
      </c>
      <c r="AG650" t="str">
        <f>IFERROR(J650&amp;"*"&amp;ROUND(L650*(K650/$AN650)/VLOOKUP(J650,商品!$A$4:$D$67,4,FALSE),0),"")</f>
        <v/>
      </c>
      <c r="AH650" t="str">
        <f>IFERROR(M650&amp;"*"&amp;ROUND(S650*(N650/$AO650)/VLOOKUP(M650,职业!$A$3:$E$16,4,FALSE),0),"")</f>
        <v/>
      </c>
      <c r="AI650" t="str">
        <f>IFERROR(O650&amp;"*"&amp;ROUND(S650*(P650/$AO650)/VLOOKUP(O650,职业!$A$3:$E$16,4,FALSE),0),"")</f>
        <v/>
      </c>
      <c r="AK650" t="str">
        <f>IFERROR(T650&amp;"*"&amp;ROUND(X650*(U650/$AP650)/VLOOKUP(T650,商品!$A$4:$D$67,4,FALSE),0),"")</f>
        <v/>
      </c>
      <c r="AL650" t="str">
        <f>IFERROR(V650&amp;"*"&amp;ROUND(X650*(W650/$AP650)/VLOOKUP(V650,商品!$A$4:$D$67,4,FALSE),0),"")</f>
        <v/>
      </c>
      <c r="AN650">
        <f t="shared" si="85"/>
        <v>0</v>
      </c>
      <c r="AO650">
        <f t="shared" si="86"/>
        <v>0</v>
      </c>
      <c r="AP650">
        <f t="shared" si="87"/>
        <v>0</v>
      </c>
    </row>
    <row r="651" customHeight="1" spans="1:42">
      <c r="A651" s="5" t="s">
        <v>407</v>
      </c>
      <c r="C651" s="5">
        <v>6</v>
      </c>
      <c r="D651" s="1" t="s">
        <v>293</v>
      </c>
      <c r="E651" s="1" t="s">
        <v>227</v>
      </c>
      <c r="L651" s="1">
        <f>IFERROR(VLOOKUP($D651&amp;$C651,生产方式定位!$A$2:$E$38,2,FALSE)+VLOOKUP($E651&amp;$C651,生产方式定位!$F$3:$J$38,2,FALSE),0)</f>
        <v>0</v>
      </c>
      <c r="S651" s="1">
        <f>IFERROR(VLOOKUP($D651&amp;$C651,生产方式定位!$A$2:$E$38,3,FALSE)+VLOOKUP($E651&amp;$C651,生产方式定位!$F$3:$J$38,3,FALSE),0)</f>
        <v>0</v>
      </c>
      <c r="X651" s="1">
        <f>IFERROR(VLOOKUP($D651&amp;$C651,生产方式定位!$A$2:$E$38,5,FALSE)+VLOOKUP($E651&amp;$C651,生产方式定位!$F$3:$J$38,5,FALSE),"错误")</f>
        <v>0</v>
      </c>
      <c r="Y651" s="27" t="str">
        <f t="shared" si="80"/>
        <v/>
      </c>
      <c r="Z651" s="37" t="str">
        <f t="shared" si="81"/>
        <v/>
      </c>
      <c r="AA651" s="37" t="str">
        <f t="shared" si="82"/>
        <v/>
      </c>
      <c r="AB651" s="28" t="str">
        <f t="shared" si="83"/>
        <v/>
      </c>
      <c r="AC651" s="37"/>
      <c r="AD651" s="38">
        <f t="shared" si="84"/>
        <v>6</v>
      </c>
      <c r="AE651" t="str">
        <f>IFERROR(F651&amp;"*"&amp;ROUND(L651*(G651/$AN651)/VLOOKUP(F651,商品!$A$4:$D$67,4,FALSE),0),"")</f>
        <v/>
      </c>
      <c r="AF651" t="str">
        <f>IFERROR(H651&amp;"*"&amp;ROUND(L651*(I651/$AN651)/VLOOKUP(H651,商品!$A$4:$D$67,4,FALSE),0),"")</f>
        <v/>
      </c>
      <c r="AG651" t="str">
        <f>IFERROR(J651&amp;"*"&amp;ROUND(L651*(K651/$AN651)/VLOOKUP(J651,商品!$A$4:$D$67,4,FALSE),0),"")</f>
        <v/>
      </c>
      <c r="AH651" t="str">
        <f>IFERROR(M651&amp;"*"&amp;ROUND(S651*(N651/$AO651)/VLOOKUP(M651,职业!$A$3:$E$16,4,FALSE),0),"")</f>
        <v/>
      </c>
      <c r="AI651" t="str">
        <f>IFERROR(O651&amp;"*"&amp;ROUND(S651*(P651/$AO651)/VLOOKUP(O651,职业!$A$3:$E$16,4,FALSE),0),"")</f>
        <v/>
      </c>
      <c r="AK651" t="str">
        <f>IFERROR(T651&amp;"*"&amp;ROUND(X651*(U651/$AP651)/VLOOKUP(T651,商品!$A$4:$D$67,4,FALSE),0),"")</f>
        <v/>
      </c>
      <c r="AL651" t="str">
        <f>IFERROR(V651&amp;"*"&amp;ROUND(X651*(W651/$AP651)/VLOOKUP(V651,商品!$A$4:$D$67,4,FALSE),0),"")</f>
        <v/>
      </c>
      <c r="AN651">
        <f t="shared" si="85"/>
        <v>0</v>
      </c>
      <c r="AO651">
        <f t="shared" si="86"/>
        <v>0</v>
      </c>
      <c r="AP651">
        <f t="shared" si="87"/>
        <v>0</v>
      </c>
    </row>
    <row r="652" customHeight="1" spans="1:42">
      <c r="A652" s="5" t="s">
        <v>407</v>
      </c>
      <c r="C652" s="5">
        <v>7</v>
      </c>
      <c r="D652" s="1" t="s">
        <v>293</v>
      </c>
      <c r="E652" s="1" t="s">
        <v>227</v>
      </c>
      <c r="L652" s="1">
        <f>IFERROR(VLOOKUP($D652&amp;$C652,生产方式定位!$A$2:$E$38,2,FALSE)+VLOOKUP($E652&amp;$C652,生产方式定位!$F$3:$J$38,2,FALSE),0)</f>
        <v>0</v>
      </c>
      <c r="S652" s="1">
        <f>IFERROR(VLOOKUP($D652&amp;$C652,生产方式定位!$A$2:$E$38,3,FALSE)+VLOOKUP($E652&amp;$C652,生产方式定位!$F$3:$J$38,3,FALSE),0)</f>
        <v>0</v>
      </c>
      <c r="X652" s="1">
        <f>IFERROR(VLOOKUP($D652&amp;$C652,生产方式定位!$A$2:$E$38,5,FALSE)+VLOOKUP($E652&amp;$C652,生产方式定位!$F$3:$J$38,5,FALSE),"错误")</f>
        <v>0</v>
      </c>
      <c r="Y652" s="27" t="str">
        <f t="shared" si="80"/>
        <v/>
      </c>
      <c r="Z652" s="37" t="str">
        <f t="shared" si="81"/>
        <v/>
      </c>
      <c r="AA652" s="37" t="str">
        <f t="shared" si="82"/>
        <v/>
      </c>
      <c r="AB652" s="28" t="str">
        <f t="shared" si="83"/>
        <v/>
      </c>
      <c r="AC652" s="37"/>
      <c r="AD652" s="38">
        <f t="shared" si="84"/>
        <v>7</v>
      </c>
      <c r="AE652" t="str">
        <f>IFERROR(F652&amp;"*"&amp;ROUND(L652*(G652/$AN652)/VLOOKUP(F652,商品!$A$4:$D$67,4,FALSE),0),"")</f>
        <v/>
      </c>
      <c r="AF652" t="str">
        <f>IFERROR(H652&amp;"*"&amp;ROUND(L652*(I652/$AN652)/VLOOKUP(H652,商品!$A$4:$D$67,4,FALSE),0),"")</f>
        <v/>
      </c>
      <c r="AG652" t="str">
        <f>IFERROR(J652&amp;"*"&amp;ROUND(L652*(K652/$AN652)/VLOOKUP(J652,商品!$A$4:$D$67,4,FALSE),0),"")</f>
        <v/>
      </c>
      <c r="AH652" t="str">
        <f>IFERROR(M652&amp;"*"&amp;ROUND(S652*(N652/$AO652)/VLOOKUP(M652,职业!$A$3:$E$16,4,FALSE),0),"")</f>
        <v/>
      </c>
      <c r="AI652" t="str">
        <f>IFERROR(O652&amp;"*"&amp;ROUND(S652*(P652/$AO652)/VLOOKUP(O652,职业!$A$3:$E$16,4,FALSE),0),"")</f>
        <v/>
      </c>
      <c r="AK652" t="str">
        <f>IFERROR(T652&amp;"*"&amp;ROUND(X652*(U652/$AP652)/VLOOKUP(T652,商品!$A$4:$D$67,4,FALSE),0),"")</f>
        <v/>
      </c>
      <c r="AL652" t="str">
        <f>IFERROR(V652&amp;"*"&amp;ROUND(X652*(W652/$AP652)/VLOOKUP(V652,商品!$A$4:$D$67,4,FALSE),0),"")</f>
        <v/>
      </c>
      <c r="AN652">
        <f t="shared" si="85"/>
        <v>0</v>
      </c>
      <c r="AO652">
        <f t="shared" si="86"/>
        <v>0</v>
      </c>
      <c r="AP652">
        <f t="shared" si="87"/>
        <v>0</v>
      </c>
    </row>
    <row r="653" customHeight="1" spans="1:42">
      <c r="A653" s="5" t="s">
        <v>407</v>
      </c>
      <c r="C653" s="5">
        <v>8</v>
      </c>
      <c r="D653" s="1" t="s">
        <v>293</v>
      </c>
      <c r="E653" s="1" t="s">
        <v>227</v>
      </c>
      <c r="L653" s="1">
        <f>IFERROR(VLOOKUP($D653&amp;$C653,生产方式定位!$A$2:$E$38,2,FALSE)+VLOOKUP($E653&amp;$C653,生产方式定位!$F$3:$J$38,2,FALSE),0)</f>
        <v>0</v>
      </c>
      <c r="S653" s="1">
        <f>IFERROR(VLOOKUP($D653&amp;$C653,生产方式定位!$A$2:$E$38,3,FALSE)+VLOOKUP($E653&amp;$C653,生产方式定位!$F$3:$J$38,3,FALSE),0)</f>
        <v>0</v>
      </c>
      <c r="X653" s="1">
        <f>IFERROR(VLOOKUP($D653&amp;$C653,生产方式定位!$A$2:$E$38,5,FALSE)+VLOOKUP($E653&amp;$C653,生产方式定位!$F$3:$J$38,5,FALSE),"错误")</f>
        <v>0</v>
      </c>
      <c r="Y653" s="27" t="str">
        <f t="shared" si="80"/>
        <v/>
      </c>
      <c r="Z653" s="37" t="str">
        <f t="shared" si="81"/>
        <v/>
      </c>
      <c r="AA653" s="37" t="str">
        <f t="shared" si="82"/>
        <v/>
      </c>
      <c r="AB653" s="28" t="str">
        <f t="shared" si="83"/>
        <v/>
      </c>
      <c r="AC653" s="37"/>
      <c r="AD653" s="38">
        <f t="shared" si="84"/>
        <v>8</v>
      </c>
      <c r="AE653" t="str">
        <f>IFERROR(F653&amp;"*"&amp;ROUND(L653*(G653/$AN653)/VLOOKUP(F653,商品!$A$4:$D$67,4,FALSE),0),"")</f>
        <v/>
      </c>
      <c r="AF653" t="str">
        <f>IFERROR(H653&amp;"*"&amp;ROUND(L653*(I653/$AN653)/VLOOKUP(H653,商品!$A$4:$D$67,4,FALSE),0),"")</f>
        <v/>
      </c>
      <c r="AG653" t="str">
        <f>IFERROR(J653&amp;"*"&amp;ROUND(L653*(K653/$AN653)/VLOOKUP(J653,商品!$A$4:$D$67,4,FALSE),0),"")</f>
        <v/>
      </c>
      <c r="AH653" t="str">
        <f>IFERROR(M653&amp;"*"&amp;ROUND(S653*(N653/$AO653)/VLOOKUP(M653,职业!$A$3:$E$16,4,FALSE),0),"")</f>
        <v/>
      </c>
      <c r="AI653" t="str">
        <f>IFERROR(O653&amp;"*"&amp;ROUND(S653*(P653/$AO653)/VLOOKUP(O653,职业!$A$3:$E$16,4,FALSE),0),"")</f>
        <v/>
      </c>
      <c r="AK653" t="str">
        <f>IFERROR(T653&amp;"*"&amp;ROUND(X653*(U653/$AP653)/VLOOKUP(T653,商品!$A$4:$D$67,4,FALSE),0),"")</f>
        <v/>
      </c>
      <c r="AL653" t="str">
        <f>IFERROR(V653&amp;"*"&amp;ROUND(X653*(W653/$AP653)/VLOOKUP(V653,商品!$A$4:$D$67,4,FALSE),0),"")</f>
        <v/>
      </c>
      <c r="AN653">
        <f t="shared" si="85"/>
        <v>0</v>
      </c>
      <c r="AO653">
        <f t="shared" si="86"/>
        <v>0</v>
      </c>
      <c r="AP653">
        <f t="shared" si="87"/>
        <v>0</v>
      </c>
    </row>
    <row r="654" customHeight="1" spans="1:42">
      <c r="A654" s="18" t="s">
        <v>409</v>
      </c>
      <c r="C654" s="18">
        <v>1</v>
      </c>
      <c r="D654" s="1" t="s">
        <v>262</v>
      </c>
      <c r="E654" s="1" t="s">
        <v>224</v>
      </c>
      <c r="L654" s="1">
        <f>IFERROR(VLOOKUP($D654&amp;$C654,生产方式定位!$A$2:$E$38,2,FALSE)+VLOOKUP($E654&amp;$C654,生产方式定位!$F$3:$J$38,2,FALSE),0)</f>
        <v>0</v>
      </c>
      <c r="S654" s="1">
        <f>IFERROR(VLOOKUP($D654&amp;$C654,生产方式定位!$A$2:$E$38,3,FALSE)+VLOOKUP($E654&amp;$C654,生产方式定位!$F$3:$J$38,3,FALSE),0)</f>
        <v>3000</v>
      </c>
      <c r="X654" s="1">
        <f>IFERROR(VLOOKUP($D654&amp;$C654,生产方式定位!$A$2:$E$38,5,FALSE)+VLOOKUP($E654&amp;$C654,生产方式定位!$F$3:$J$38,5,FALSE),"错误")</f>
        <v>1500</v>
      </c>
      <c r="Y654" s="27" t="str">
        <f t="shared" si="80"/>
        <v/>
      </c>
      <c r="Z654" s="37" t="str">
        <f t="shared" si="81"/>
        <v/>
      </c>
      <c r="AA654" s="37" t="str">
        <f t="shared" si="82"/>
        <v/>
      </c>
      <c r="AB654" s="28">
        <f t="shared" si="83"/>
        <v>0</v>
      </c>
      <c r="AC654" s="37"/>
      <c r="AD654" s="38">
        <f t="shared" si="84"/>
        <v>1</v>
      </c>
      <c r="AE654" t="str">
        <f>IFERROR(F654&amp;"*"&amp;ROUND(L654*(G654/$AN654)/VLOOKUP(F654,商品!$A$4:$D$67,4,FALSE),0),"")</f>
        <v/>
      </c>
      <c r="AF654" t="str">
        <f>IFERROR(H654&amp;"*"&amp;ROUND(L654*(I654/$AN654)/VLOOKUP(H654,商品!$A$4:$D$67,4,FALSE),0),"")</f>
        <v/>
      </c>
      <c r="AG654" t="str">
        <f>IFERROR(J654&amp;"*"&amp;ROUND(L654*(K654/$AN654)/VLOOKUP(J654,商品!$A$4:$D$67,4,FALSE),0),"")</f>
        <v/>
      </c>
      <c r="AH654" t="str">
        <f>IFERROR(M654&amp;"*"&amp;ROUND(S654*(N654/$AO654)/VLOOKUP(M654,职业!$A$3:$E$16,4,FALSE),0),"")</f>
        <v/>
      </c>
      <c r="AI654" t="str">
        <f>IFERROR(O654&amp;"*"&amp;ROUND(S654*(P654/$AO654)/VLOOKUP(O654,职业!$A$3:$E$16,4,FALSE),0),"")</f>
        <v/>
      </c>
      <c r="AK654" t="str">
        <f>IFERROR(T654&amp;"*"&amp;ROUND(X654*(U654/$AP654)/VLOOKUP(T654,商品!$A$4:$D$67,4,FALSE),0),"")</f>
        <v/>
      </c>
      <c r="AL654" t="str">
        <f>IFERROR(V654&amp;"*"&amp;ROUND(X654*(W654/$AP654)/VLOOKUP(V654,商品!$A$4:$D$67,4,FALSE),0),"")</f>
        <v/>
      </c>
      <c r="AN654">
        <f t="shared" si="85"/>
        <v>0</v>
      </c>
      <c r="AO654">
        <f t="shared" si="86"/>
        <v>0</v>
      </c>
      <c r="AP654">
        <f t="shared" si="87"/>
        <v>0</v>
      </c>
    </row>
    <row r="655" customHeight="1" spans="1:42">
      <c r="A655" s="18" t="s">
        <v>409</v>
      </c>
      <c r="C655" s="18">
        <v>2</v>
      </c>
      <c r="D655" s="1" t="s">
        <v>262</v>
      </c>
      <c r="E655" s="1" t="s">
        <v>224</v>
      </c>
      <c r="L655" s="1">
        <f>IFERROR(VLOOKUP($D655&amp;$C655,生产方式定位!$A$2:$E$38,2,FALSE)+VLOOKUP($E655&amp;$C655,生产方式定位!$F$3:$J$38,2,FALSE),0)</f>
        <v>1500</v>
      </c>
      <c r="S655" s="1">
        <f>IFERROR(VLOOKUP($D655&amp;$C655,生产方式定位!$A$2:$E$38,3,FALSE)+VLOOKUP($E655&amp;$C655,生产方式定位!$F$3:$J$38,3,FALSE),0)</f>
        <v>3000</v>
      </c>
      <c r="X655" s="1">
        <f>IFERROR(VLOOKUP($D655&amp;$C655,生产方式定位!$A$2:$E$38,5,FALSE)+VLOOKUP($E655&amp;$C655,生产方式定位!$F$3:$J$38,5,FALSE),"错误")</f>
        <v>2322</v>
      </c>
      <c r="Y655" s="27" t="str">
        <f t="shared" si="80"/>
        <v/>
      </c>
      <c r="Z655" s="37" t="str">
        <f t="shared" si="81"/>
        <v/>
      </c>
      <c r="AA655" s="37" t="str">
        <f t="shared" si="82"/>
        <v/>
      </c>
      <c r="AB655" s="28">
        <f t="shared" si="83"/>
        <v>0.65</v>
      </c>
      <c r="AC655" s="37"/>
      <c r="AD655" s="38">
        <f t="shared" si="84"/>
        <v>2</v>
      </c>
      <c r="AE655" t="str">
        <f>IFERROR(F655&amp;"*"&amp;ROUND(L655*(G655/$AN655)/VLOOKUP(F655,商品!$A$4:$D$67,4,FALSE),0),"")</f>
        <v/>
      </c>
      <c r="AF655" t="str">
        <f>IFERROR(H655&amp;"*"&amp;ROUND(L655*(I655/$AN655)/VLOOKUP(H655,商品!$A$4:$D$67,4,FALSE),0),"")</f>
        <v/>
      </c>
      <c r="AG655" t="str">
        <f>IFERROR(J655&amp;"*"&amp;ROUND(L655*(K655/$AN655)/VLOOKUP(J655,商品!$A$4:$D$67,4,FALSE),0),"")</f>
        <v/>
      </c>
      <c r="AH655" t="str">
        <f>IFERROR(M655&amp;"*"&amp;ROUND(S655*(N655/$AO655)/VLOOKUP(M655,职业!$A$3:$E$16,4,FALSE),0),"")</f>
        <v/>
      </c>
      <c r="AI655" t="str">
        <f>IFERROR(O655&amp;"*"&amp;ROUND(S655*(P655/$AO655)/VLOOKUP(O655,职业!$A$3:$E$16,4,FALSE),0),"")</f>
        <v/>
      </c>
      <c r="AK655" t="str">
        <f>IFERROR(T655&amp;"*"&amp;ROUND(X655*(U655/$AP655)/VLOOKUP(T655,商品!$A$4:$D$67,4,FALSE),0),"")</f>
        <v/>
      </c>
      <c r="AL655" t="str">
        <f>IFERROR(V655&amp;"*"&amp;ROUND(X655*(W655/$AP655)/VLOOKUP(V655,商品!$A$4:$D$67,4,FALSE),0),"")</f>
        <v/>
      </c>
      <c r="AN655">
        <f t="shared" si="85"/>
        <v>0</v>
      </c>
      <c r="AO655">
        <f t="shared" si="86"/>
        <v>0</v>
      </c>
      <c r="AP655">
        <f t="shared" si="87"/>
        <v>0</v>
      </c>
    </row>
    <row r="656" customHeight="1" spans="1:42">
      <c r="A656" s="18" t="s">
        <v>409</v>
      </c>
      <c r="C656" s="18">
        <v>3</v>
      </c>
      <c r="D656" s="1" t="s">
        <v>262</v>
      </c>
      <c r="E656" s="1" t="s">
        <v>224</v>
      </c>
      <c r="L656" s="1">
        <f>IFERROR(VLOOKUP($D656&amp;$C656,生产方式定位!$A$2:$E$38,2,FALSE)+VLOOKUP($E656&amp;$C656,生产方式定位!$F$3:$J$38,2,FALSE),0)</f>
        <v>3000</v>
      </c>
      <c r="S656" s="1">
        <f>IFERROR(VLOOKUP($D656&amp;$C656,生产方式定位!$A$2:$E$38,3,FALSE)+VLOOKUP($E656&amp;$C656,生产方式定位!$F$3:$J$38,3,FALSE),0)</f>
        <v>3000</v>
      </c>
      <c r="X656" s="1">
        <f>IFERROR(VLOOKUP($D656&amp;$C656,生产方式定位!$A$2:$E$38,5,FALSE)+VLOOKUP($E656&amp;$C656,生产方式定位!$F$3:$J$38,5,FALSE),"错误")</f>
        <v>3288</v>
      </c>
      <c r="Y656" s="27" t="str">
        <f t="shared" si="80"/>
        <v/>
      </c>
      <c r="Z656" s="37" t="str">
        <f t="shared" si="81"/>
        <v/>
      </c>
      <c r="AA656" s="37" t="str">
        <f t="shared" si="82"/>
        <v/>
      </c>
      <c r="AB656" s="28">
        <f t="shared" si="83"/>
        <v>0.91</v>
      </c>
      <c r="AC656" s="37"/>
      <c r="AD656" s="38">
        <f t="shared" si="84"/>
        <v>3</v>
      </c>
      <c r="AE656" t="str">
        <f>IFERROR(F656&amp;"*"&amp;ROUND(L656*(G656/$AN656)/VLOOKUP(F656,商品!$A$4:$D$67,4,FALSE),0),"")</f>
        <v/>
      </c>
      <c r="AF656" t="str">
        <f>IFERROR(H656&amp;"*"&amp;ROUND(L656*(I656/$AN656)/VLOOKUP(H656,商品!$A$4:$D$67,4,FALSE),0),"")</f>
        <v/>
      </c>
      <c r="AG656" t="str">
        <f>IFERROR(J656&amp;"*"&amp;ROUND(L656*(K656/$AN656)/VLOOKUP(J656,商品!$A$4:$D$67,4,FALSE),0),"")</f>
        <v/>
      </c>
      <c r="AH656" t="str">
        <f>IFERROR(M656&amp;"*"&amp;ROUND(S656*(N656/$AO656)/VLOOKUP(M656,职业!$A$3:$E$16,4,FALSE),0),"")</f>
        <v/>
      </c>
      <c r="AI656" t="str">
        <f>IFERROR(O656&amp;"*"&amp;ROUND(S656*(P656/$AO656)/VLOOKUP(O656,职业!$A$3:$E$16,4,FALSE),0),"")</f>
        <v/>
      </c>
      <c r="AK656" t="str">
        <f>IFERROR(T656&amp;"*"&amp;ROUND(X656*(U656/$AP656)/VLOOKUP(T656,商品!$A$4:$D$67,4,FALSE),0),"")</f>
        <v/>
      </c>
      <c r="AL656" t="str">
        <f>IFERROR(V656&amp;"*"&amp;ROUND(X656*(W656/$AP656)/VLOOKUP(V656,商品!$A$4:$D$67,4,FALSE),0),"")</f>
        <v/>
      </c>
      <c r="AN656">
        <f t="shared" si="85"/>
        <v>0</v>
      </c>
      <c r="AO656">
        <f t="shared" si="86"/>
        <v>0</v>
      </c>
      <c r="AP656">
        <f t="shared" si="87"/>
        <v>0</v>
      </c>
    </row>
    <row r="657" customHeight="1" spans="1:42">
      <c r="A657" s="18" t="s">
        <v>409</v>
      </c>
      <c r="C657" s="18">
        <v>4</v>
      </c>
      <c r="D657" s="1" t="s">
        <v>262</v>
      </c>
      <c r="E657" s="1" t="s">
        <v>224</v>
      </c>
      <c r="L657" s="1">
        <f>IFERROR(VLOOKUP($D657&amp;$C657,生产方式定位!$A$2:$E$38,2,FALSE)+VLOOKUP($E657&amp;$C657,生产方式定位!$F$3:$J$38,2,FALSE),0)</f>
        <v>4500</v>
      </c>
      <c r="S657" s="1">
        <f>IFERROR(VLOOKUP($D657&amp;$C657,生产方式定位!$A$2:$E$38,3,FALSE)+VLOOKUP($E657&amp;$C657,生产方式定位!$F$3:$J$38,3,FALSE),0)</f>
        <v>3000</v>
      </c>
      <c r="X657" s="1">
        <f>IFERROR(VLOOKUP($D657&amp;$C657,生产方式定位!$A$2:$E$38,5,FALSE)+VLOOKUP($E657&amp;$C657,生产方式定位!$F$3:$J$38,5,FALSE),"错误")</f>
        <v>4398</v>
      </c>
      <c r="Y657" s="27" t="str">
        <f t="shared" si="80"/>
        <v/>
      </c>
      <c r="Z657" s="37" t="str">
        <f t="shared" si="81"/>
        <v/>
      </c>
      <c r="AA657" s="37" t="str">
        <f t="shared" si="82"/>
        <v/>
      </c>
      <c r="AB657" s="28">
        <f t="shared" si="83"/>
        <v>1.02</v>
      </c>
      <c r="AC657" s="37"/>
      <c r="AD657" s="38">
        <f t="shared" si="84"/>
        <v>4</v>
      </c>
      <c r="AE657" t="str">
        <f>IFERROR(F657&amp;"*"&amp;ROUND(L657*(G657/$AN657)/VLOOKUP(F657,商品!$A$4:$D$67,4,FALSE),0),"")</f>
        <v/>
      </c>
      <c r="AF657" t="str">
        <f>IFERROR(H657&amp;"*"&amp;ROUND(L657*(I657/$AN657)/VLOOKUP(H657,商品!$A$4:$D$67,4,FALSE),0),"")</f>
        <v/>
      </c>
      <c r="AG657" t="str">
        <f>IFERROR(J657&amp;"*"&amp;ROUND(L657*(K657/$AN657)/VLOOKUP(J657,商品!$A$4:$D$67,4,FALSE),0),"")</f>
        <v/>
      </c>
      <c r="AH657" t="str">
        <f>IFERROR(M657&amp;"*"&amp;ROUND(S657*(N657/$AO657)/VLOOKUP(M657,职业!$A$3:$E$16,4,FALSE),0),"")</f>
        <v/>
      </c>
      <c r="AI657" t="str">
        <f>IFERROR(O657&amp;"*"&amp;ROUND(S657*(P657/$AO657)/VLOOKUP(O657,职业!$A$3:$E$16,4,FALSE),0),"")</f>
        <v/>
      </c>
      <c r="AK657" t="str">
        <f>IFERROR(T657&amp;"*"&amp;ROUND(X657*(U657/$AP657)/VLOOKUP(T657,商品!$A$4:$D$67,4,FALSE),0),"")</f>
        <v/>
      </c>
      <c r="AL657" t="str">
        <f>IFERROR(V657&amp;"*"&amp;ROUND(X657*(W657/$AP657)/VLOOKUP(V657,商品!$A$4:$D$67,4,FALSE),0),"")</f>
        <v/>
      </c>
      <c r="AN657">
        <f t="shared" si="85"/>
        <v>0</v>
      </c>
      <c r="AO657">
        <f t="shared" si="86"/>
        <v>0</v>
      </c>
      <c r="AP657">
        <f t="shared" si="87"/>
        <v>0</v>
      </c>
    </row>
    <row r="658" customHeight="1" spans="1:42">
      <c r="A658" s="18" t="s">
        <v>409</v>
      </c>
      <c r="C658" s="18">
        <v>5</v>
      </c>
      <c r="D658" s="1" t="s">
        <v>262</v>
      </c>
      <c r="E658" s="1" t="s">
        <v>224</v>
      </c>
      <c r="L658" s="1">
        <f>IFERROR(VLOOKUP($D658&amp;$C658,生产方式定位!$A$2:$E$38,2,FALSE)+VLOOKUP($E658&amp;$C658,生产方式定位!$F$3:$J$38,2,FALSE),0)</f>
        <v>6000</v>
      </c>
      <c r="S658" s="1">
        <f>IFERROR(VLOOKUP($D658&amp;$C658,生产方式定位!$A$2:$E$38,3,FALSE)+VLOOKUP($E658&amp;$C658,生产方式定位!$F$3:$J$38,3,FALSE),0)</f>
        <v>3000</v>
      </c>
      <c r="X658" s="1">
        <f>IFERROR(VLOOKUP($D658&amp;$C658,生产方式定位!$A$2:$E$38,5,FALSE)+VLOOKUP($E658&amp;$C658,生产方式定位!$F$3:$J$38,5,FALSE),"错误")</f>
        <v>5700</v>
      </c>
      <c r="Y658" s="27" t="str">
        <f t="shared" si="80"/>
        <v/>
      </c>
      <c r="Z658" s="37" t="str">
        <f t="shared" si="81"/>
        <v/>
      </c>
      <c r="AA658" s="37" t="str">
        <f t="shared" si="82"/>
        <v/>
      </c>
      <c r="AB658" s="28">
        <f t="shared" si="83"/>
        <v>1.05</v>
      </c>
      <c r="AC658" s="37"/>
      <c r="AD658" s="38">
        <f t="shared" si="84"/>
        <v>5</v>
      </c>
      <c r="AE658" t="str">
        <f>IFERROR(F658&amp;"*"&amp;ROUND(L658*(G658/$AN658)/VLOOKUP(F658,商品!$A$4:$D$67,4,FALSE),0),"")</f>
        <v/>
      </c>
      <c r="AF658" t="str">
        <f>IFERROR(H658&amp;"*"&amp;ROUND(L658*(I658/$AN658)/VLOOKUP(H658,商品!$A$4:$D$67,4,FALSE),0),"")</f>
        <v/>
      </c>
      <c r="AG658" t="str">
        <f>IFERROR(J658&amp;"*"&amp;ROUND(L658*(K658/$AN658)/VLOOKUP(J658,商品!$A$4:$D$67,4,FALSE),0),"")</f>
        <v/>
      </c>
      <c r="AH658" t="str">
        <f>IFERROR(M658&amp;"*"&amp;ROUND(S658*(N658/$AO658)/VLOOKUP(M658,职业!$A$3:$E$16,4,FALSE),0),"")</f>
        <v/>
      </c>
      <c r="AI658" t="str">
        <f>IFERROR(O658&amp;"*"&amp;ROUND(S658*(P658/$AO658)/VLOOKUP(O658,职业!$A$3:$E$16,4,FALSE),0),"")</f>
        <v/>
      </c>
      <c r="AK658" t="str">
        <f>IFERROR(T658&amp;"*"&amp;ROUND(X658*(U658/$AP658)/VLOOKUP(T658,商品!$A$4:$D$67,4,FALSE),0),"")</f>
        <v/>
      </c>
      <c r="AL658" t="str">
        <f>IFERROR(V658&amp;"*"&amp;ROUND(X658*(W658/$AP658)/VLOOKUP(V658,商品!$A$4:$D$67,4,FALSE),0),"")</f>
        <v/>
      </c>
      <c r="AN658">
        <f t="shared" si="85"/>
        <v>0</v>
      </c>
      <c r="AO658">
        <f t="shared" si="86"/>
        <v>0</v>
      </c>
      <c r="AP658">
        <f t="shared" si="87"/>
        <v>0</v>
      </c>
    </row>
    <row r="659" customHeight="1" spans="1:42">
      <c r="A659" s="5" t="s">
        <v>410</v>
      </c>
      <c r="C659" s="5">
        <v>1</v>
      </c>
      <c r="D659" s="1" t="s">
        <v>262</v>
      </c>
      <c r="E659" s="1" t="s">
        <v>225</v>
      </c>
      <c r="L659" s="1">
        <f>IFERROR(VLOOKUP($D659&amp;$C659,生产方式定位!$A$2:$E$38,2,FALSE)+VLOOKUP($E659&amp;$C659,生产方式定位!$F$3:$J$38,2,FALSE),0)</f>
        <v>0</v>
      </c>
      <c r="S659" s="1">
        <f>IFERROR(VLOOKUP($D659&amp;$C659,生产方式定位!$A$2:$E$38,3,FALSE)+VLOOKUP($E659&amp;$C659,生产方式定位!$F$3:$J$38,3,FALSE),0)</f>
        <v>3000</v>
      </c>
      <c r="X659" s="1">
        <f>IFERROR(VLOOKUP($D659&amp;$C659,生产方式定位!$A$2:$E$38,5,FALSE)+VLOOKUP($E659&amp;$C659,生产方式定位!$F$3:$J$38,5,FALSE),"错误")</f>
        <v>1500</v>
      </c>
      <c r="Y659" s="27" t="str">
        <f t="shared" si="80"/>
        <v/>
      </c>
      <c r="Z659" s="37" t="str">
        <f t="shared" si="81"/>
        <v/>
      </c>
      <c r="AA659" s="37" t="str">
        <f t="shared" si="82"/>
        <v/>
      </c>
      <c r="AB659" s="28">
        <f t="shared" si="83"/>
        <v>0</v>
      </c>
      <c r="AC659" s="37"/>
      <c r="AD659" s="38">
        <f t="shared" si="84"/>
        <v>1</v>
      </c>
      <c r="AE659" t="str">
        <f>IFERROR(F659&amp;"*"&amp;ROUND(L659*(G659/$AN659)/VLOOKUP(F659,商品!$A$4:$D$67,4,FALSE),0),"")</f>
        <v/>
      </c>
      <c r="AF659" t="str">
        <f>IFERROR(H659&amp;"*"&amp;ROUND(L659*(I659/$AN659)/VLOOKUP(H659,商品!$A$4:$D$67,4,FALSE),0),"")</f>
        <v/>
      </c>
      <c r="AG659" t="str">
        <f>IFERROR(J659&amp;"*"&amp;ROUND(L659*(K659/$AN659)/VLOOKUP(J659,商品!$A$4:$D$67,4,FALSE),0),"")</f>
        <v/>
      </c>
      <c r="AH659" t="str">
        <f>IFERROR(M659&amp;"*"&amp;ROUND(S659*(N659/$AO659)/VLOOKUP(M659,职业!$A$3:$E$16,4,FALSE),0),"")</f>
        <v/>
      </c>
      <c r="AI659" t="str">
        <f>IFERROR(O659&amp;"*"&amp;ROUND(S659*(P659/$AO659)/VLOOKUP(O659,职业!$A$3:$E$16,4,FALSE),0),"")</f>
        <v/>
      </c>
      <c r="AK659" t="str">
        <f>IFERROR(T659&amp;"*"&amp;ROUND(X659*(U659/$AP659)/VLOOKUP(T659,商品!$A$4:$D$67,4,FALSE),0),"")</f>
        <v/>
      </c>
      <c r="AL659" t="str">
        <f>IFERROR(V659&amp;"*"&amp;ROUND(X659*(W659/$AP659)/VLOOKUP(V659,商品!$A$4:$D$67,4,FALSE),0),"")</f>
        <v/>
      </c>
      <c r="AN659">
        <f t="shared" si="85"/>
        <v>0</v>
      </c>
      <c r="AO659">
        <f t="shared" si="86"/>
        <v>0</v>
      </c>
      <c r="AP659">
        <f t="shared" si="87"/>
        <v>0</v>
      </c>
    </row>
    <row r="660" customHeight="1" spans="1:42">
      <c r="A660" s="5" t="s">
        <v>410</v>
      </c>
      <c r="C660" s="5">
        <v>2</v>
      </c>
      <c r="D660" s="1" t="s">
        <v>262</v>
      </c>
      <c r="E660" s="1" t="s">
        <v>225</v>
      </c>
      <c r="L660" s="1">
        <f>IFERROR(VLOOKUP($D660&amp;$C660,生产方式定位!$A$2:$E$38,2,FALSE)+VLOOKUP($E660&amp;$C660,生产方式定位!$F$3:$J$38,2,FALSE),0)</f>
        <v>1500</v>
      </c>
      <c r="S660" s="1">
        <f>IFERROR(VLOOKUP($D660&amp;$C660,生产方式定位!$A$2:$E$38,3,FALSE)+VLOOKUP($E660&amp;$C660,生产方式定位!$F$3:$J$38,3,FALSE),0)</f>
        <v>4800</v>
      </c>
      <c r="X660" s="1">
        <f>IFERROR(VLOOKUP($D660&amp;$C660,生产方式定位!$A$2:$E$38,5,FALSE)+VLOOKUP($E660&amp;$C660,生产方式定位!$F$3:$J$38,5,FALSE),"错误")</f>
        <v>3195</v>
      </c>
      <c r="Y660" s="27" t="str">
        <f t="shared" si="80"/>
        <v/>
      </c>
      <c r="Z660" s="37" t="str">
        <f t="shared" si="81"/>
        <v/>
      </c>
      <c r="AA660" s="37" t="str">
        <f t="shared" si="82"/>
        <v/>
      </c>
      <c r="AB660" s="28">
        <f t="shared" si="83"/>
        <v>0.47</v>
      </c>
      <c r="AC660" s="37"/>
      <c r="AD660" s="38">
        <f t="shared" si="84"/>
        <v>2</v>
      </c>
      <c r="AE660" t="str">
        <f>IFERROR(F660&amp;"*"&amp;ROUND(L660*(G660/$AN660)/VLOOKUP(F660,商品!$A$4:$D$67,4,FALSE),0),"")</f>
        <v/>
      </c>
      <c r="AF660" t="str">
        <f>IFERROR(H660&amp;"*"&amp;ROUND(L660*(I660/$AN660)/VLOOKUP(H660,商品!$A$4:$D$67,4,FALSE),0),"")</f>
        <v/>
      </c>
      <c r="AG660" t="str">
        <f>IFERROR(J660&amp;"*"&amp;ROUND(L660*(K660/$AN660)/VLOOKUP(J660,商品!$A$4:$D$67,4,FALSE),0),"")</f>
        <v/>
      </c>
      <c r="AH660" t="str">
        <f>IFERROR(M660&amp;"*"&amp;ROUND(S660*(N660/$AO660)/VLOOKUP(M660,职业!$A$3:$E$16,4,FALSE),0),"")</f>
        <v/>
      </c>
      <c r="AI660" t="str">
        <f>IFERROR(O660&amp;"*"&amp;ROUND(S660*(P660/$AO660)/VLOOKUP(O660,职业!$A$3:$E$16,4,FALSE),0),"")</f>
        <v/>
      </c>
      <c r="AK660" t="str">
        <f>IFERROR(T660&amp;"*"&amp;ROUND(X660*(U660/$AP660)/VLOOKUP(T660,商品!$A$4:$D$67,4,FALSE),0),"")</f>
        <v/>
      </c>
      <c r="AL660" t="str">
        <f>IFERROR(V660&amp;"*"&amp;ROUND(X660*(W660/$AP660)/VLOOKUP(V660,商品!$A$4:$D$67,4,FALSE),0),"")</f>
        <v/>
      </c>
      <c r="AN660">
        <f t="shared" si="85"/>
        <v>0</v>
      </c>
      <c r="AO660">
        <f t="shared" si="86"/>
        <v>0</v>
      </c>
      <c r="AP660">
        <f t="shared" si="87"/>
        <v>0</v>
      </c>
    </row>
    <row r="661" customHeight="1" spans="1:42">
      <c r="A661" s="5" t="s">
        <v>410</v>
      </c>
      <c r="C661" s="5">
        <v>3</v>
      </c>
      <c r="D661" s="1" t="s">
        <v>262</v>
      </c>
      <c r="E661" s="1" t="s">
        <v>225</v>
      </c>
      <c r="L661" s="1">
        <f>IFERROR(VLOOKUP($D661&amp;$C661,生产方式定位!$A$2:$E$38,2,FALSE)+VLOOKUP($E661&amp;$C661,生产方式定位!$F$3:$J$38,2,FALSE),0)</f>
        <v>3000</v>
      </c>
      <c r="S661" s="1">
        <f>IFERROR(VLOOKUP($D661&amp;$C661,生产方式定位!$A$2:$E$38,3,FALSE)+VLOOKUP($E661&amp;$C661,生产方式定位!$F$3:$J$38,3,FALSE),0)</f>
        <v>5600</v>
      </c>
      <c r="X661" s="1">
        <f>IFERROR(VLOOKUP($D661&amp;$C661,生产方式定位!$A$2:$E$38,5,FALSE)+VLOOKUP($E661&amp;$C661,生产方式定位!$F$3:$J$38,5,FALSE),"错误")</f>
        <v>4450</v>
      </c>
      <c r="Y661" s="27" t="str">
        <f t="shared" si="80"/>
        <v/>
      </c>
      <c r="Z661" s="37" t="str">
        <f t="shared" si="81"/>
        <v/>
      </c>
      <c r="AA661" s="37" t="str">
        <f t="shared" si="82"/>
        <v/>
      </c>
      <c r="AB661" s="28">
        <f t="shared" si="83"/>
        <v>0.67</v>
      </c>
      <c r="AC661" s="37"/>
      <c r="AD661" s="38">
        <f t="shared" si="84"/>
        <v>3</v>
      </c>
      <c r="AE661" t="str">
        <f>IFERROR(F661&amp;"*"&amp;ROUND(L661*(G661/$AN661)/VLOOKUP(F661,商品!$A$4:$D$67,4,FALSE),0),"")</f>
        <v/>
      </c>
      <c r="AF661" t="str">
        <f>IFERROR(H661&amp;"*"&amp;ROUND(L661*(I661/$AN661)/VLOOKUP(H661,商品!$A$4:$D$67,4,FALSE),0),"")</f>
        <v/>
      </c>
      <c r="AG661" t="str">
        <f>IFERROR(J661&amp;"*"&amp;ROUND(L661*(K661/$AN661)/VLOOKUP(J661,商品!$A$4:$D$67,4,FALSE),0),"")</f>
        <v/>
      </c>
      <c r="AH661" t="str">
        <f>IFERROR(M661&amp;"*"&amp;ROUND(S661*(N661/$AO661)/VLOOKUP(M661,职业!$A$3:$E$16,4,FALSE),0),"")</f>
        <v/>
      </c>
      <c r="AI661" t="str">
        <f>IFERROR(O661&amp;"*"&amp;ROUND(S661*(P661/$AO661)/VLOOKUP(O661,职业!$A$3:$E$16,4,FALSE),0),"")</f>
        <v/>
      </c>
      <c r="AK661" t="str">
        <f>IFERROR(T661&amp;"*"&amp;ROUND(X661*(U661/$AP661)/VLOOKUP(T661,商品!$A$4:$D$67,4,FALSE),0),"")</f>
        <v/>
      </c>
      <c r="AL661" t="str">
        <f>IFERROR(V661&amp;"*"&amp;ROUND(X661*(W661/$AP661)/VLOOKUP(V661,商品!$A$4:$D$67,4,FALSE),0),"")</f>
        <v/>
      </c>
      <c r="AN661">
        <f t="shared" si="85"/>
        <v>0</v>
      </c>
      <c r="AO661">
        <f t="shared" si="86"/>
        <v>0</v>
      </c>
      <c r="AP661">
        <f t="shared" si="87"/>
        <v>0</v>
      </c>
    </row>
    <row r="662" customHeight="1" spans="1:42">
      <c r="A662" s="5" t="s">
        <v>410</v>
      </c>
      <c r="C662" s="5">
        <v>4</v>
      </c>
      <c r="D662" s="1" t="s">
        <v>262</v>
      </c>
      <c r="E662" s="1" t="s">
        <v>225</v>
      </c>
      <c r="L662" s="1">
        <f>IFERROR(VLOOKUP($D662&amp;$C662,生产方式定位!$A$2:$E$38,2,FALSE)+VLOOKUP($E662&amp;$C662,生产方式定位!$F$3:$J$38,2,FALSE),0)</f>
        <v>4500</v>
      </c>
      <c r="S662" s="1">
        <f>IFERROR(VLOOKUP($D662&amp;$C662,生产方式定位!$A$2:$E$38,3,FALSE)+VLOOKUP($E662&amp;$C662,生产方式定位!$F$3:$J$38,3,FALSE),0)</f>
        <v>6400</v>
      </c>
      <c r="X662" s="1">
        <f>IFERROR(VLOOKUP($D662&amp;$C662,生产方式定位!$A$2:$E$38,5,FALSE)+VLOOKUP($E662&amp;$C662,生产方式定位!$F$3:$J$38,5,FALSE),"错误")</f>
        <v>5765</v>
      </c>
      <c r="Y662" s="27" t="str">
        <f t="shared" si="80"/>
        <v/>
      </c>
      <c r="Z662" s="37" t="str">
        <f t="shared" si="81"/>
        <v/>
      </c>
      <c r="AA662" s="37" t="str">
        <f t="shared" si="82"/>
        <v/>
      </c>
      <c r="AB662" s="28">
        <f t="shared" si="83"/>
        <v>0.78</v>
      </c>
      <c r="AC662" s="37"/>
      <c r="AD662" s="38">
        <f t="shared" si="84"/>
        <v>4</v>
      </c>
      <c r="AE662" t="str">
        <f>IFERROR(F662&amp;"*"&amp;ROUND(L662*(G662/$AN662)/VLOOKUP(F662,商品!$A$4:$D$67,4,FALSE),0),"")</f>
        <v/>
      </c>
      <c r="AF662" t="str">
        <f>IFERROR(H662&amp;"*"&amp;ROUND(L662*(I662/$AN662)/VLOOKUP(H662,商品!$A$4:$D$67,4,FALSE),0),"")</f>
        <v/>
      </c>
      <c r="AG662" t="str">
        <f>IFERROR(J662&amp;"*"&amp;ROUND(L662*(K662/$AN662)/VLOOKUP(J662,商品!$A$4:$D$67,4,FALSE),0),"")</f>
        <v/>
      </c>
      <c r="AH662" t="str">
        <f>IFERROR(M662&amp;"*"&amp;ROUND(S662*(N662/$AO662)/VLOOKUP(M662,职业!$A$3:$E$16,4,FALSE),0),"")</f>
        <v/>
      </c>
      <c r="AI662" t="str">
        <f>IFERROR(O662&amp;"*"&amp;ROUND(S662*(P662/$AO662)/VLOOKUP(O662,职业!$A$3:$E$16,4,FALSE),0),"")</f>
        <v/>
      </c>
      <c r="AK662" t="str">
        <f>IFERROR(T662&amp;"*"&amp;ROUND(X662*(U662/$AP662)/VLOOKUP(T662,商品!$A$4:$D$67,4,FALSE),0),"")</f>
        <v/>
      </c>
      <c r="AL662" t="str">
        <f>IFERROR(V662&amp;"*"&amp;ROUND(X662*(W662/$AP662)/VLOOKUP(V662,商品!$A$4:$D$67,4,FALSE),0),"")</f>
        <v/>
      </c>
      <c r="AN662">
        <f t="shared" si="85"/>
        <v>0</v>
      </c>
      <c r="AO662">
        <f t="shared" si="86"/>
        <v>0</v>
      </c>
      <c r="AP662">
        <f t="shared" si="87"/>
        <v>0</v>
      </c>
    </row>
    <row r="663" customHeight="1" spans="1:42">
      <c r="A663" s="5" t="s">
        <v>410</v>
      </c>
      <c r="C663" s="5">
        <v>5</v>
      </c>
      <c r="D663" s="1" t="s">
        <v>262</v>
      </c>
      <c r="E663" s="1" t="s">
        <v>225</v>
      </c>
      <c r="L663" s="1">
        <f>IFERROR(VLOOKUP($D663&amp;$C663,生产方式定位!$A$2:$E$38,2,FALSE)+VLOOKUP($E663&amp;$C663,生产方式定位!$F$3:$J$38,2,FALSE),0)</f>
        <v>6000</v>
      </c>
      <c r="S663" s="1">
        <f>IFERROR(VLOOKUP($D663&amp;$C663,生产方式定位!$A$2:$E$38,3,FALSE)+VLOOKUP($E663&amp;$C663,生产方式定位!$F$3:$J$38,3,FALSE),0)</f>
        <v>7200</v>
      </c>
      <c r="X663" s="1">
        <f>IFERROR(VLOOKUP($D663&amp;$C663,生产方式定位!$A$2:$E$38,5,FALSE)+VLOOKUP($E663&amp;$C663,生产方式定位!$F$3:$J$38,5,FALSE),"错误")</f>
        <v>7163</v>
      </c>
      <c r="Y663" s="27" t="str">
        <f t="shared" si="80"/>
        <v/>
      </c>
      <c r="Z663" s="37" t="str">
        <f t="shared" si="81"/>
        <v/>
      </c>
      <c r="AA663" s="37" t="str">
        <f t="shared" si="82"/>
        <v/>
      </c>
      <c r="AB663" s="28">
        <f t="shared" si="83"/>
        <v>0.84</v>
      </c>
      <c r="AC663" s="37"/>
      <c r="AD663" s="38">
        <f t="shared" si="84"/>
        <v>5</v>
      </c>
      <c r="AE663" t="str">
        <f>IFERROR(F663&amp;"*"&amp;ROUND(L663*(G663/$AN663)/VLOOKUP(F663,商品!$A$4:$D$67,4,FALSE),0),"")</f>
        <v/>
      </c>
      <c r="AF663" t="str">
        <f>IFERROR(H663&amp;"*"&amp;ROUND(L663*(I663/$AN663)/VLOOKUP(H663,商品!$A$4:$D$67,4,FALSE),0),"")</f>
        <v/>
      </c>
      <c r="AG663" t="str">
        <f>IFERROR(J663&amp;"*"&amp;ROUND(L663*(K663/$AN663)/VLOOKUP(J663,商品!$A$4:$D$67,4,FALSE),0),"")</f>
        <v/>
      </c>
      <c r="AH663" t="str">
        <f>IFERROR(M663&amp;"*"&amp;ROUND(S663*(N663/$AO663)/VLOOKUP(M663,职业!$A$3:$E$16,4,FALSE),0),"")</f>
        <v/>
      </c>
      <c r="AI663" t="str">
        <f>IFERROR(O663&amp;"*"&amp;ROUND(S663*(P663/$AO663)/VLOOKUP(O663,职业!$A$3:$E$16,4,FALSE),0),"")</f>
        <v/>
      </c>
      <c r="AK663" t="str">
        <f>IFERROR(T663&amp;"*"&amp;ROUND(X663*(U663/$AP663)/VLOOKUP(T663,商品!$A$4:$D$67,4,FALSE),0),"")</f>
        <v/>
      </c>
      <c r="AL663" t="str">
        <f>IFERROR(V663&amp;"*"&amp;ROUND(X663*(W663/$AP663)/VLOOKUP(V663,商品!$A$4:$D$67,4,FALSE),0),"")</f>
        <v/>
      </c>
      <c r="AN663">
        <f t="shared" si="85"/>
        <v>0</v>
      </c>
      <c r="AO663">
        <f t="shared" si="86"/>
        <v>0</v>
      </c>
      <c r="AP663">
        <f t="shared" si="87"/>
        <v>0</v>
      </c>
    </row>
    <row r="664" customHeight="1" spans="1:42">
      <c r="A664" s="18" t="s">
        <v>411</v>
      </c>
      <c r="C664" s="18">
        <v>1</v>
      </c>
      <c r="D664" s="1" t="s">
        <v>262</v>
      </c>
      <c r="E664" s="1" t="s">
        <v>226</v>
      </c>
      <c r="L664" s="1">
        <f>IFERROR(VLOOKUP($D664&amp;$C664,生产方式定位!$A$2:$E$38,2,FALSE)+VLOOKUP($E664&amp;$C664,生产方式定位!$F$3:$J$38,2,FALSE),0)</f>
        <v>0</v>
      </c>
      <c r="S664" s="1">
        <f>IFERROR(VLOOKUP($D664&amp;$C664,生产方式定位!$A$2:$E$38,3,FALSE)+VLOOKUP($E664&amp;$C664,生产方式定位!$F$3:$J$38,3,FALSE),0)</f>
        <v>3000</v>
      </c>
      <c r="X664" s="1">
        <f>IFERROR(VLOOKUP($D664&amp;$C664,生产方式定位!$A$2:$E$38,5,FALSE)+VLOOKUP($E664&amp;$C664,生产方式定位!$F$3:$J$38,5,FALSE),"错误")</f>
        <v>1500</v>
      </c>
      <c r="Y664" s="27" t="str">
        <f t="shared" si="80"/>
        <v/>
      </c>
      <c r="Z664" s="37" t="str">
        <f t="shared" si="81"/>
        <v/>
      </c>
      <c r="AA664" s="37" t="str">
        <f t="shared" si="82"/>
        <v/>
      </c>
      <c r="AB664" s="28">
        <f t="shared" si="83"/>
        <v>0</v>
      </c>
      <c r="AC664" s="37"/>
      <c r="AD664" s="38">
        <f t="shared" si="84"/>
        <v>1</v>
      </c>
      <c r="AE664" t="str">
        <f>IFERROR(F664&amp;"*"&amp;ROUND(L664*(G664/$AN664)/VLOOKUP(F664,商品!$A$4:$D$67,4,FALSE),0),"")</f>
        <v/>
      </c>
      <c r="AF664" t="str">
        <f>IFERROR(H664&amp;"*"&amp;ROUND(L664*(I664/$AN664)/VLOOKUP(H664,商品!$A$4:$D$67,4,FALSE),0),"")</f>
        <v/>
      </c>
      <c r="AG664" t="str">
        <f>IFERROR(J664&amp;"*"&amp;ROUND(L664*(K664/$AN664)/VLOOKUP(J664,商品!$A$4:$D$67,4,FALSE),0),"")</f>
        <v/>
      </c>
      <c r="AH664" t="str">
        <f>IFERROR(M664&amp;"*"&amp;ROUND(S664*(N664/$AO664)/VLOOKUP(M664,职业!$A$3:$E$16,4,FALSE),0),"")</f>
        <v/>
      </c>
      <c r="AI664" t="str">
        <f>IFERROR(O664&amp;"*"&amp;ROUND(S664*(P664/$AO664)/VLOOKUP(O664,职业!$A$3:$E$16,4,FALSE),0),"")</f>
        <v/>
      </c>
      <c r="AK664" t="str">
        <f>IFERROR(T664&amp;"*"&amp;ROUND(X664*(U664/$AP664)/VLOOKUP(T664,商品!$A$4:$D$67,4,FALSE),0),"")</f>
        <v/>
      </c>
      <c r="AL664" t="str">
        <f>IFERROR(V664&amp;"*"&amp;ROUND(X664*(W664/$AP664)/VLOOKUP(V664,商品!$A$4:$D$67,4,FALSE),0),"")</f>
        <v/>
      </c>
      <c r="AN664">
        <f t="shared" si="85"/>
        <v>0</v>
      </c>
      <c r="AO664">
        <f t="shared" si="86"/>
        <v>0</v>
      </c>
      <c r="AP664">
        <f t="shared" si="87"/>
        <v>0</v>
      </c>
    </row>
    <row r="665" customHeight="1" spans="1:42">
      <c r="A665" s="18" t="s">
        <v>411</v>
      </c>
      <c r="C665" s="18">
        <v>2</v>
      </c>
      <c r="D665" s="1" t="s">
        <v>262</v>
      </c>
      <c r="E665" s="1" t="s">
        <v>226</v>
      </c>
      <c r="L665" s="1">
        <f>IFERROR(VLOOKUP($D665&amp;$C665,生产方式定位!$A$2:$E$38,2,FALSE)+VLOOKUP($E665&amp;$C665,生产方式定位!$F$3:$J$38,2,FALSE),0)</f>
        <v>2500</v>
      </c>
      <c r="S665" s="1">
        <f>IFERROR(VLOOKUP($D665&amp;$C665,生产方式定位!$A$2:$E$38,3,FALSE)+VLOOKUP($E665&amp;$C665,生产方式定位!$F$3:$J$38,3,FALSE),0)</f>
        <v>2600</v>
      </c>
      <c r="X665" s="1">
        <f>IFERROR(VLOOKUP($D665&amp;$C665,生产方式定位!$A$2:$E$38,5,FALSE)+VLOOKUP($E665&amp;$C665,生产方式定位!$F$3:$J$38,5,FALSE),"错误")</f>
        <v>2640</v>
      </c>
      <c r="Y665" s="27" t="str">
        <f t="shared" si="80"/>
        <v/>
      </c>
      <c r="Z665" s="37" t="str">
        <f t="shared" si="81"/>
        <v/>
      </c>
      <c r="AA665" s="37" t="str">
        <f t="shared" si="82"/>
        <v/>
      </c>
      <c r="AB665" s="28">
        <f t="shared" si="83"/>
        <v>0.95</v>
      </c>
      <c r="AC665" s="37"/>
      <c r="AD665" s="38">
        <f t="shared" si="84"/>
        <v>2</v>
      </c>
      <c r="AE665" t="str">
        <f>IFERROR(F665&amp;"*"&amp;ROUND(L665*(G665/$AN665)/VLOOKUP(F665,商品!$A$4:$D$67,4,FALSE),0),"")</f>
        <v/>
      </c>
      <c r="AF665" t="str">
        <f>IFERROR(H665&amp;"*"&amp;ROUND(L665*(I665/$AN665)/VLOOKUP(H665,商品!$A$4:$D$67,4,FALSE),0),"")</f>
        <v/>
      </c>
      <c r="AG665" t="str">
        <f>IFERROR(J665&amp;"*"&amp;ROUND(L665*(K665/$AN665)/VLOOKUP(J665,商品!$A$4:$D$67,4,FALSE),0),"")</f>
        <v/>
      </c>
      <c r="AH665" t="str">
        <f>IFERROR(M665&amp;"*"&amp;ROUND(S665*(N665/$AO665)/VLOOKUP(M665,职业!$A$3:$E$16,4,FALSE),0),"")</f>
        <v/>
      </c>
      <c r="AI665" t="str">
        <f>IFERROR(O665&amp;"*"&amp;ROUND(S665*(P665/$AO665)/VLOOKUP(O665,职业!$A$3:$E$16,4,FALSE),0),"")</f>
        <v/>
      </c>
      <c r="AK665" t="str">
        <f>IFERROR(T665&amp;"*"&amp;ROUND(X665*(U665/$AP665)/VLOOKUP(T665,商品!$A$4:$D$67,4,FALSE),0),"")</f>
        <v/>
      </c>
      <c r="AL665" t="str">
        <f>IFERROR(V665&amp;"*"&amp;ROUND(X665*(W665/$AP665)/VLOOKUP(V665,商品!$A$4:$D$67,4,FALSE),0),"")</f>
        <v/>
      </c>
      <c r="AN665">
        <f t="shared" si="85"/>
        <v>0</v>
      </c>
      <c r="AO665">
        <f t="shared" si="86"/>
        <v>0</v>
      </c>
      <c r="AP665">
        <f t="shared" si="87"/>
        <v>0</v>
      </c>
    </row>
    <row r="666" customHeight="1" spans="1:42">
      <c r="A666" s="18" t="s">
        <v>411</v>
      </c>
      <c r="C666" s="18">
        <v>3</v>
      </c>
      <c r="D666" s="1" t="s">
        <v>262</v>
      </c>
      <c r="E666" s="1" t="s">
        <v>226</v>
      </c>
      <c r="L666" s="1">
        <f>IFERROR(VLOOKUP($D666&amp;$C666,生产方式定位!$A$2:$E$38,2,FALSE)+VLOOKUP($E666&amp;$C666,生产方式定位!$F$3:$J$38,2,FALSE),0)</f>
        <v>4000</v>
      </c>
      <c r="S666" s="1">
        <f>IFERROR(VLOOKUP($D666&amp;$C666,生产方式定位!$A$2:$E$38,3,FALSE)+VLOOKUP($E666&amp;$C666,生产方式定位!$F$3:$J$38,3,FALSE),0)</f>
        <v>2200</v>
      </c>
      <c r="X666" s="1">
        <f>IFERROR(VLOOKUP($D666&amp;$C666,生产方式定位!$A$2:$E$38,5,FALSE)+VLOOKUP($E666&amp;$C666,生产方式定位!$F$3:$J$38,5,FALSE),"错误")</f>
        <v>3360</v>
      </c>
      <c r="Y666" s="27" t="str">
        <f t="shared" si="80"/>
        <v/>
      </c>
      <c r="Z666" s="37" t="str">
        <f t="shared" si="81"/>
        <v/>
      </c>
      <c r="AA666" s="37" t="str">
        <f t="shared" si="82"/>
        <v/>
      </c>
      <c r="AB666" s="28">
        <f t="shared" si="83"/>
        <v>1.19</v>
      </c>
      <c r="AC666" s="37"/>
      <c r="AD666" s="38">
        <f t="shared" si="84"/>
        <v>3</v>
      </c>
      <c r="AE666" t="str">
        <f>IFERROR(F666&amp;"*"&amp;ROUND(L666*(G666/$AN666)/VLOOKUP(F666,商品!$A$4:$D$67,4,FALSE),0),"")</f>
        <v/>
      </c>
      <c r="AF666" t="str">
        <f>IFERROR(H666&amp;"*"&amp;ROUND(L666*(I666/$AN666)/VLOOKUP(H666,商品!$A$4:$D$67,4,FALSE),0),"")</f>
        <v/>
      </c>
      <c r="AG666" t="str">
        <f>IFERROR(J666&amp;"*"&amp;ROUND(L666*(K666/$AN666)/VLOOKUP(J666,商品!$A$4:$D$67,4,FALSE),0),"")</f>
        <v/>
      </c>
      <c r="AH666" t="str">
        <f>IFERROR(M666&amp;"*"&amp;ROUND(S666*(N666/$AO666)/VLOOKUP(M666,职业!$A$3:$E$16,4,FALSE),0),"")</f>
        <v/>
      </c>
      <c r="AI666" t="str">
        <f>IFERROR(O666&amp;"*"&amp;ROUND(S666*(P666/$AO666)/VLOOKUP(O666,职业!$A$3:$E$16,4,FALSE),0),"")</f>
        <v/>
      </c>
      <c r="AK666" t="str">
        <f>IFERROR(T666&amp;"*"&amp;ROUND(X666*(U666/$AP666)/VLOOKUP(T666,商品!$A$4:$D$67,4,FALSE),0),"")</f>
        <v/>
      </c>
      <c r="AL666" t="str">
        <f>IFERROR(V666&amp;"*"&amp;ROUND(X666*(W666/$AP666)/VLOOKUP(V666,商品!$A$4:$D$67,4,FALSE),0),"")</f>
        <v/>
      </c>
      <c r="AN666">
        <f t="shared" si="85"/>
        <v>0</v>
      </c>
      <c r="AO666">
        <f t="shared" si="86"/>
        <v>0</v>
      </c>
      <c r="AP666">
        <f t="shared" si="87"/>
        <v>0</v>
      </c>
    </row>
    <row r="667" customHeight="1" spans="1:42">
      <c r="A667" s="18" t="s">
        <v>411</v>
      </c>
      <c r="C667" s="18">
        <v>4</v>
      </c>
      <c r="D667" s="1" t="s">
        <v>262</v>
      </c>
      <c r="E667" s="1" t="s">
        <v>226</v>
      </c>
      <c r="L667" s="1">
        <f>IFERROR(VLOOKUP($D667&amp;$C667,生产方式定位!$A$2:$E$38,2,FALSE)+VLOOKUP($E667&amp;$C667,生产方式定位!$F$3:$J$38,2,FALSE),0)</f>
        <v>5500</v>
      </c>
      <c r="S667" s="1">
        <f>IFERROR(VLOOKUP($D667&amp;$C667,生产方式定位!$A$2:$E$38,3,FALSE)+VLOOKUP($E667&amp;$C667,生产方式定位!$F$3:$J$38,3,FALSE),0)</f>
        <v>1800</v>
      </c>
      <c r="X667" s="1">
        <f>IFERROR(VLOOKUP($D667&amp;$C667,生产方式定位!$A$2:$E$38,5,FALSE)+VLOOKUP($E667&amp;$C667,生产方式定位!$F$3:$J$38,5,FALSE),"错误")</f>
        <v>4160</v>
      </c>
      <c r="Y667" s="27" t="str">
        <f t="shared" si="80"/>
        <v/>
      </c>
      <c r="Z667" s="37" t="str">
        <f t="shared" si="81"/>
        <v/>
      </c>
      <c r="AA667" s="37" t="str">
        <f t="shared" si="82"/>
        <v/>
      </c>
      <c r="AB667" s="28">
        <f t="shared" si="83"/>
        <v>1.32</v>
      </c>
      <c r="AC667" s="37"/>
      <c r="AD667" s="38">
        <f t="shared" si="84"/>
        <v>4</v>
      </c>
      <c r="AE667" t="str">
        <f>IFERROR(F667&amp;"*"&amp;ROUND(L667*(G667/$AN667)/VLOOKUP(F667,商品!$A$4:$D$67,4,FALSE),0),"")</f>
        <v/>
      </c>
      <c r="AF667" t="str">
        <f>IFERROR(H667&amp;"*"&amp;ROUND(L667*(I667/$AN667)/VLOOKUP(H667,商品!$A$4:$D$67,4,FALSE),0),"")</f>
        <v/>
      </c>
      <c r="AG667" t="str">
        <f>IFERROR(J667&amp;"*"&amp;ROUND(L667*(K667/$AN667)/VLOOKUP(J667,商品!$A$4:$D$67,4,FALSE),0),"")</f>
        <v/>
      </c>
      <c r="AH667" t="str">
        <f>IFERROR(M667&amp;"*"&amp;ROUND(S667*(N667/$AO667)/VLOOKUP(M667,职业!$A$3:$E$16,4,FALSE),0),"")</f>
        <v/>
      </c>
      <c r="AI667" t="str">
        <f>IFERROR(O667&amp;"*"&amp;ROUND(S667*(P667/$AO667)/VLOOKUP(O667,职业!$A$3:$E$16,4,FALSE),0),"")</f>
        <v/>
      </c>
      <c r="AK667" t="str">
        <f>IFERROR(T667&amp;"*"&amp;ROUND(X667*(U667/$AP667)/VLOOKUP(T667,商品!$A$4:$D$67,4,FALSE),0),"")</f>
        <v/>
      </c>
      <c r="AL667" t="str">
        <f>IFERROR(V667&amp;"*"&amp;ROUND(X667*(W667/$AP667)/VLOOKUP(V667,商品!$A$4:$D$67,4,FALSE),0),"")</f>
        <v/>
      </c>
      <c r="AN667">
        <f t="shared" si="85"/>
        <v>0</v>
      </c>
      <c r="AO667">
        <f t="shared" si="86"/>
        <v>0</v>
      </c>
      <c r="AP667">
        <f t="shared" si="87"/>
        <v>0</v>
      </c>
    </row>
    <row r="668" customHeight="1" spans="1:42">
      <c r="A668" s="18" t="s">
        <v>411</v>
      </c>
      <c r="C668" s="18">
        <v>5</v>
      </c>
      <c r="D668" s="1" t="s">
        <v>262</v>
      </c>
      <c r="E668" s="1" t="s">
        <v>226</v>
      </c>
      <c r="L668" s="1">
        <f>IFERROR(VLOOKUP($D668&amp;$C668,生产方式定位!$A$2:$E$38,2,FALSE)+VLOOKUP($E668&amp;$C668,生产方式定位!$F$3:$J$38,2,FALSE),0)</f>
        <v>7000</v>
      </c>
      <c r="S668" s="1">
        <f>IFERROR(VLOOKUP($D668&amp;$C668,生产方式定位!$A$2:$E$38,3,FALSE)+VLOOKUP($E668&amp;$C668,生产方式定位!$F$3:$J$38,3,FALSE),0)</f>
        <v>1400</v>
      </c>
      <c r="X668" s="1">
        <f>IFERROR(VLOOKUP($D668&amp;$C668,生产方式定位!$A$2:$E$38,5,FALSE)+VLOOKUP($E668&amp;$C668,生产方式定位!$F$3:$J$38,5,FALSE),"错误")</f>
        <v>5040</v>
      </c>
      <c r="Y668" s="27" t="str">
        <f t="shared" si="80"/>
        <v/>
      </c>
      <c r="Z668" s="37" t="str">
        <f t="shared" si="81"/>
        <v/>
      </c>
      <c r="AA668" s="37" t="str">
        <f t="shared" si="82"/>
        <v/>
      </c>
      <c r="AB668" s="28">
        <f t="shared" si="83"/>
        <v>1.39</v>
      </c>
      <c r="AC668" s="37"/>
      <c r="AD668" s="38">
        <f t="shared" si="84"/>
        <v>5</v>
      </c>
      <c r="AE668" t="str">
        <f>IFERROR(F668&amp;"*"&amp;ROUND(L668*(G668/$AN668)/VLOOKUP(F668,商品!$A$4:$D$67,4,FALSE),0),"")</f>
        <v/>
      </c>
      <c r="AF668" t="str">
        <f>IFERROR(H668&amp;"*"&amp;ROUND(L668*(I668/$AN668)/VLOOKUP(H668,商品!$A$4:$D$67,4,FALSE),0),"")</f>
        <v/>
      </c>
      <c r="AG668" t="str">
        <f>IFERROR(J668&amp;"*"&amp;ROUND(L668*(K668/$AN668)/VLOOKUP(J668,商品!$A$4:$D$67,4,FALSE),0),"")</f>
        <v/>
      </c>
      <c r="AH668" t="str">
        <f>IFERROR(M668&amp;"*"&amp;ROUND(S668*(N668/$AO668)/VLOOKUP(M668,职业!$A$3:$E$16,4,FALSE),0),"")</f>
        <v/>
      </c>
      <c r="AI668" t="str">
        <f>IFERROR(O668&amp;"*"&amp;ROUND(S668*(P668/$AO668)/VLOOKUP(O668,职业!$A$3:$E$16,4,FALSE),0),"")</f>
        <v/>
      </c>
      <c r="AK668" t="str">
        <f>IFERROR(T668&amp;"*"&amp;ROUND(X668*(U668/$AP668)/VLOOKUP(T668,商品!$A$4:$D$67,4,FALSE),0),"")</f>
        <v/>
      </c>
      <c r="AL668" t="str">
        <f>IFERROR(V668&amp;"*"&amp;ROUND(X668*(W668/$AP668)/VLOOKUP(V668,商品!$A$4:$D$67,4,FALSE),0),"")</f>
        <v/>
      </c>
      <c r="AN668">
        <f t="shared" si="85"/>
        <v>0</v>
      </c>
      <c r="AO668">
        <f t="shared" si="86"/>
        <v>0</v>
      </c>
      <c r="AP668">
        <f t="shared" si="87"/>
        <v>0</v>
      </c>
    </row>
    <row r="669" customHeight="1" spans="1:42">
      <c r="A669" s="5" t="s">
        <v>411</v>
      </c>
      <c r="C669" s="5">
        <v>1</v>
      </c>
      <c r="D669" s="1" t="s">
        <v>262</v>
      </c>
      <c r="E669" s="1" t="s">
        <v>226</v>
      </c>
      <c r="L669" s="1">
        <f>IFERROR(VLOOKUP($D669&amp;$C669,生产方式定位!$A$2:$E$38,2,FALSE)+VLOOKUP($E669&amp;$C669,生产方式定位!$F$3:$J$38,2,FALSE),0)</f>
        <v>0</v>
      </c>
      <c r="S669" s="1">
        <f>IFERROR(VLOOKUP($D669&amp;$C669,生产方式定位!$A$2:$E$38,3,FALSE)+VLOOKUP($E669&amp;$C669,生产方式定位!$F$3:$J$38,3,FALSE),0)</f>
        <v>3000</v>
      </c>
      <c r="X669" s="1">
        <f>IFERROR(VLOOKUP($D669&amp;$C669,生产方式定位!$A$2:$E$38,5,FALSE)+VLOOKUP($E669&amp;$C669,生产方式定位!$F$3:$J$38,5,FALSE),"错误")</f>
        <v>1500</v>
      </c>
      <c r="Y669" s="27" t="str">
        <f t="shared" si="80"/>
        <v/>
      </c>
      <c r="Z669" s="37" t="str">
        <f t="shared" si="81"/>
        <v/>
      </c>
      <c r="AA669" s="37" t="str">
        <f t="shared" si="82"/>
        <v/>
      </c>
      <c r="AB669" s="28">
        <f t="shared" si="83"/>
        <v>0</v>
      </c>
      <c r="AC669" s="37"/>
      <c r="AD669" s="38">
        <f t="shared" si="84"/>
        <v>1</v>
      </c>
      <c r="AE669" t="str">
        <f>IFERROR(F669&amp;"*"&amp;ROUND(L669*(G669/$AN669)/VLOOKUP(F669,商品!$A$4:$D$67,4,FALSE),0),"")</f>
        <v/>
      </c>
      <c r="AF669" t="str">
        <f>IFERROR(H669&amp;"*"&amp;ROUND(L669*(I669/$AN669)/VLOOKUP(H669,商品!$A$4:$D$67,4,FALSE),0),"")</f>
        <v/>
      </c>
      <c r="AG669" t="str">
        <f>IFERROR(J669&amp;"*"&amp;ROUND(L669*(K669/$AN669)/VLOOKUP(J669,商品!$A$4:$D$67,4,FALSE),0),"")</f>
        <v/>
      </c>
      <c r="AH669" t="str">
        <f>IFERROR(M669&amp;"*"&amp;ROUND(S669*(N669/$AO669)/VLOOKUP(M669,职业!$A$3:$E$16,4,FALSE),0),"")</f>
        <v/>
      </c>
      <c r="AI669" t="str">
        <f>IFERROR(O669&amp;"*"&amp;ROUND(S669*(P669/$AO669)/VLOOKUP(O669,职业!$A$3:$E$16,4,FALSE),0),"")</f>
        <v/>
      </c>
      <c r="AK669" t="str">
        <f>IFERROR(T669&amp;"*"&amp;ROUND(X669*(U669/$AP669)/VLOOKUP(T669,商品!$A$4:$D$67,4,FALSE),0),"")</f>
        <v/>
      </c>
      <c r="AL669" t="str">
        <f>IFERROR(V669&amp;"*"&amp;ROUND(X669*(W669/$AP669)/VLOOKUP(V669,商品!$A$4:$D$67,4,FALSE),0),"")</f>
        <v/>
      </c>
      <c r="AN669">
        <f t="shared" si="85"/>
        <v>0</v>
      </c>
      <c r="AO669">
        <f t="shared" si="86"/>
        <v>0</v>
      </c>
      <c r="AP669">
        <f t="shared" si="87"/>
        <v>0</v>
      </c>
    </row>
    <row r="670" customHeight="1" spans="1:42">
      <c r="A670" s="5" t="s">
        <v>411</v>
      </c>
      <c r="C670" s="5">
        <v>2</v>
      </c>
      <c r="D670" s="1" t="s">
        <v>262</v>
      </c>
      <c r="E670" s="1" t="s">
        <v>226</v>
      </c>
      <c r="L670" s="1">
        <f>IFERROR(VLOOKUP($D670&amp;$C670,生产方式定位!$A$2:$E$38,2,FALSE)+VLOOKUP($E670&amp;$C670,生产方式定位!$F$3:$J$38,2,FALSE),0)</f>
        <v>2500</v>
      </c>
      <c r="S670" s="1">
        <f>IFERROR(VLOOKUP($D670&amp;$C670,生产方式定位!$A$2:$E$38,3,FALSE)+VLOOKUP($E670&amp;$C670,生产方式定位!$F$3:$J$38,3,FALSE),0)</f>
        <v>2600</v>
      </c>
      <c r="X670" s="1">
        <f>IFERROR(VLOOKUP($D670&amp;$C670,生产方式定位!$A$2:$E$38,5,FALSE)+VLOOKUP($E670&amp;$C670,生产方式定位!$F$3:$J$38,5,FALSE),"错误")</f>
        <v>2640</v>
      </c>
      <c r="Y670" s="27" t="str">
        <f t="shared" si="80"/>
        <v/>
      </c>
      <c r="Z670" s="37" t="str">
        <f t="shared" si="81"/>
        <v/>
      </c>
      <c r="AA670" s="37" t="str">
        <f t="shared" si="82"/>
        <v/>
      </c>
      <c r="AB670" s="28">
        <f t="shared" si="83"/>
        <v>0.95</v>
      </c>
      <c r="AC670" s="37"/>
      <c r="AD670" s="38">
        <f t="shared" si="84"/>
        <v>2</v>
      </c>
      <c r="AE670" t="str">
        <f>IFERROR(F670&amp;"*"&amp;ROUND(L670*(G670/$AN670)/VLOOKUP(F670,商品!$A$4:$D$67,4,FALSE),0),"")</f>
        <v/>
      </c>
      <c r="AF670" t="str">
        <f>IFERROR(H670&amp;"*"&amp;ROUND(L670*(I670/$AN670)/VLOOKUP(H670,商品!$A$4:$D$67,4,FALSE),0),"")</f>
        <v/>
      </c>
      <c r="AG670" t="str">
        <f>IFERROR(J670&amp;"*"&amp;ROUND(L670*(K670/$AN670)/VLOOKUP(J670,商品!$A$4:$D$67,4,FALSE),0),"")</f>
        <v/>
      </c>
      <c r="AH670" t="str">
        <f>IFERROR(M670&amp;"*"&amp;ROUND(S670*(N670/$AO670)/VLOOKUP(M670,职业!$A$3:$E$16,4,FALSE),0),"")</f>
        <v/>
      </c>
      <c r="AI670" t="str">
        <f>IFERROR(O670&amp;"*"&amp;ROUND(S670*(P670/$AO670)/VLOOKUP(O670,职业!$A$3:$E$16,4,FALSE),0),"")</f>
        <v/>
      </c>
      <c r="AK670" t="str">
        <f>IFERROR(T670&amp;"*"&amp;ROUND(X670*(U670/$AP670)/VLOOKUP(T670,商品!$A$4:$D$67,4,FALSE),0),"")</f>
        <v/>
      </c>
      <c r="AL670" t="str">
        <f>IFERROR(V670&amp;"*"&amp;ROUND(X670*(W670/$AP670)/VLOOKUP(V670,商品!$A$4:$D$67,4,FALSE),0),"")</f>
        <v/>
      </c>
      <c r="AN670">
        <f t="shared" si="85"/>
        <v>0</v>
      </c>
      <c r="AO670">
        <f t="shared" si="86"/>
        <v>0</v>
      </c>
      <c r="AP670">
        <f t="shared" si="87"/>
        <v>0</v>
      </c>
    </row>
    <row r="671" customHeight="1" spans="1:42">
      <c r="A671" s="5" t="s">
        <v>411</v>
      </c>
      <c r="C671" s="5">
        <v>3</v>
      </c>
      <c r="D671" s="1" t="s">
        <v>262</v>
      </c>
      <c r="E671" s="1" t="s">
        <v>226</v>
      </c>
      <c r="L671" s="1">
        <f>IFERROR(VLOOKUP($D671&amp;$C671,生产方式定位!$A$2:$E$38,2,FALSE)+VLOOKUP($E671&amp;$C671,生产方式定位!$F$3:$J$38,2,FALSE),0)</f>
        <v>4000</v>
      </c>
      <c r="S671" s="1">
        <f>IFERROR(VLOOKUP($D671&amp;$C671,生产方式定位!$A$2:$E$38,3,FALSE)+VLOOKUP($E671&amp;$C671,生产方式定位!$F$3:$J$38,3,FALSE),0)</f>
        <v>2200</v>
      </c>
      <c r="X671" s="1">
        <f>IFERROR(VLOOKUP($D671&amp;$C671,生产方式定位!$A$2:$E$38,5,FALSE)+VLOOKUP($E671&amp;$C671,生产方式定位!$F$3:$J$38,5,FALSE),"错误")</f>
        <v>3360</v>
      </c>
      <c r="Y671" s="27" t="str">
        <f t="shared" si="80"/>
        <v/>
      </c>
      <c r="Z671" s="37" t="str">
        <f t="shared" si="81"/>
        <v/>
      </c>
      <c r="AA671" s="37" t="str">
        <f t="shared" si="82"/>
        <v/>
      </c>
      <c r="AB671" s="28">
        <f t="shared" si="83"/>
        <v>1.19</v>
      </c>
      <c r="AC671" s="37"/>
      <c r="AD671" s="38">
        <f t="shared" si="84"/>
        <v>3</v>
      </c>
      <c r="AE671" t="str">
        <f>IFERROR(F671&amp;"*"&amp;ROUND(L671*(G671/$AN671)/VLOOKUP(F671,商品!$A$4:$D$67,4,FALSE),0),"")</f>
        <v/>
      </c>
      <c r="AF671" t="str">
        <f>IFERROR(H671&amp;"*"&amp;ROUND(L671*(I671/$AN671)/VLOOKUP(H671,商品!$A$4:$D$67,4,FALSE),0),"")</f>
        <v/>
      </c>
      <c r="AG671" t="str">
        <f>IFERROR(J671&amp;"*"&amp;ROUND(L671*(K671/$AN671)/VLOOKUP(J671,商品!$A$4:$D$67,4,FALSE),0),"")</f>
        <v/>
      </c>
      <c r="AH671" t="str">
        <f>IFERROR(M671&amp;"*"&amp;ROUND(S671*(N671/$AO671)/VLOOKUP(M671,职业!$A$3:$E$16,4,FALSE),0),"")</f>
        <v/>
      </c>
      <c r="AI671" t="str">
        <f>IFERROR(O671&amp;"*"&amp;ROUND(S671*(P671/$AO671)/VLOOKUP(O671,职业!$A$3:$E$16,4,FALSE),0),"")</f>
        <v/>
      </c>
      <c r="AK671" t="str">
        <f>IFERROR(T671&amp;"*"&amp;ROUND(X671*(U671/$AP671)/VLOOKUP(T671,商品!$A$4:$D$67,4,FALSE),0),"")</f>
        <v/>
      </c>
      <c r="AL671" t="str">
        <f>IFERROR(V671&amp;"*"&amp;ROUND(X671*(W671/$AP671)/VLOOKUP(V671,商品!$A$4:$D$67,4,FALSE),0),"")</f>
        <v/>
      </c>
      <c r="AN671">
        <f t="shared" si="85"/>
        <v>0</v>
      </c>
      <c r="AO671">
        <f t="shared" si="86"/>
        <v>0</v>
      </c>
      <c r="AP671">
        <f t="shared" si="87"/>
        <v>0</v>
      </c>
    </row>
    <row r="672" customHeight="1" spans="1:42">
      <c r="A672" s="5" t="s">
        <v>411</v>
      </c>
      <c r="C672" s="5">
        <v>4</v>
      </c>
      <c r="D672" s="1" t="s">
        <v>262</v>
      </c>
      <c r="E672" s="1" t="s">
        <v>226</v>
      </c>
      <c r="L672" s="1">
        <f>IFERROR(VLOOKUP($D672&amp;$C672,生产方式定位!$A$2:$E$38,2,FALSE)+VLOOKUP($E672&amp;$C672,生产方式定位!$F$3:$J$38,2,FALSE),0)</f>
        <v>5500</v>
      </c>
      <c r="S672" s="1">
        <f>IFERROR(VLOOKUP($D672&amp;$C672,生产方式定位!$A$2:$E$38,3,FALSE)+VLOOKUP($E672&amp;$C672,生产方式定位!$F$3:$J$38,3,FALSE),0)</f>
        <v>1800</v>
      </c>
      <c r="X672" s="1">
        <f>IFERROR(VLOOKUP($D672&amp;$C672,生产方式定位!$A$2:$E$38,5,FALSE)+VLOOKUP($E672&amp;$C672,生产方式定位!$F$3:$J$38,5,FALSE),"错误")</f>
        <v>4160</v>
      </c>
      <c r="Y672" s="27" t="str">
        <f t="shared" si="80"/>
        <v/>
      </c>
      <c r="Z672" s="37" t="str">
        <f t="shared" si="81"/>
        <v/>
      </c>
      <c r="AA672" s="37" t="str">
        <f t="shared" si="82"/>
        <v/>
      </c>
      <c r="AB672" s="28">
        <f t="shared" si="83"/>
        <v>1.32</v>
      </c>
      <c r="AC672" s="37"/>
      <c r="AD672" s="38">
        <f t="shared" si="84"/>
        <v>4</v>
      </c>
      <c r="AE672" t="str">
        <f>IFERROR(F672&amp;"*"&amp;ROUND(L672*(G672/$AN672)/VLOOKUP(F672,商品!$A$4:$D$67,4,FALSE),0),"")</f>
        <v/>
      </c>
      <c r="AF672" t="str">
        <f>IFERROR(H672&amp;"*"&amp;ROUND(L672*(I672/$AN672)/VLOOKUP(H672,商品!$A$4:$D$67,4,FALSE),0),"")</f>
        <v/>
      </c>
      <c r="AG672" t="str">
        <f>IFERROR(J672&amp;"*"&amp;ROUND(L672*(K672/$AN672)/VLOOKUP(J672,商品!$A$4:$D$67,4,FALSE),0),"")</f>
        <v/>
      </c>
      <c r="AH672" t="str">
        <f>IFERROR(M672&amp;"*"&amp;ROUND(S672*(N672/$AO672)/VLOOKUP(M672,职业!$A$3:$E$16,4,FALSE),0),"")</f>
        <v/>
      </c>
      <c r="AI672" t="str">
        <f>IFERROR(O672&amp;"*"&amp;ROUND(S672*(P672/$AO672)/VLOOKUP(O672,职业!$A$3:$E$16,4,FALSE),0),"")</f>
        <v/>
      </c>
      <c r="AK672" t="str">
        <f>IFERROR(T672&amp;"*"&amp;ROUND(X672*(U672/$AP672)/VLOOKUP(T672,商品!$A$4:$D$67,4,FALSE),0),"")</f>
        <v/>
      </c>
      <c r="AL672" t="str">
        <f>IFERROR(V672&amp;"*"&amp;ROUND(X672*(W672/$AP672)/VLOOKUP(V672,商品!$A$4:$D$67,4,FALSE),0),"")</f>
        <v/>
      </c>
      <c r="AN672">
        <f t="shared" si="85"/>
        <v>0</v>
      </c>
      <c r="AO672">
        <f t="shared" si="86"/>
        <v>0</v>
      </c>
      <c r="AP672">
        <f t="shared" si="87"/>
        <v>0</v>
      </c>
    </row>
    <row r="673" customHeight="1" spans="1:42">
      <c r="A673" s="5" t="s">
        <v>411</v>
      </c>
      <c r="C673" s="5">
        <v>5</v>
      </c>
      <c r="D673" s="1" t="s">
        <v>262</v>
      </c>
      <c r="E673" s="1" t="s">
        <v>226</v>
      </c>
      <c r="L673" s="1">
        <f>IFERROR(VLOOKUP($D673&amp;$C673,生产方式定位!$A$2:$E$38,2,FALSE)+VLOOKUP($E673&amp;$C673,生产方式定位!$F$3:$J$38,2,FALSE),0)</f>
        <v>7000</v>
      </c>
      <c r="S673" s="1">
        <f>IFERROR(VLOOKUP($D673&amp;$C673,生产方式定位!$A$2:$E$38,3,FALSE)+VLOOKUP($E673&amp;$C673,生产方式定位!$F$3:$J$38,3,FALSE),0)</f>
        <v>1400</v>
      </c>
      <c r="X673" s="1">
        <f>IFERROR(VLOOKUP($D673&amp;$C673,生产方式定位!$A$2:$E$38,5,FALSE)+VLOOKUP($E673&amp;$C673,生产方式定位!$F$3:$J$38,5,FALSE),"错误")</f>
        <v>5040</v>
      </c>
      <c r="Y673" s="27" t="str">
        <f t="shared" si="80"/>
        <v/>
      </c>
      <c r="Z673" s="37" t="str">
        <f t="shared" si="81"/>
        <v/>
      </c>
      <c r="AA673" s="37" t="str">
        <f t="shared" si="82"/>
        <v/>
      </c>
      <c r="AB673" s="28">
        <f t="shared" si="83"/>
        <v>1.39</v>
      </c>
      <c r="AC673" s="37"/>
      <c r="AD673" s="38">
        <f t="shared" si="84"/>
        <v>5</v>
      </c>
      <c r="AE673" t="str">
        <f>IFERROR(F673&amp;"*"&amp;ROUND(L673*(G673/$AN673)/VLOOKUP(F673,商品!$A$4:$D$67,4,FALSE),0),"")</f>
        <v/>
      </c>
      <c r="AF673" t="str">
        <f>IFERROR(H673&amp;"*"&amp;ROUND(L673*(I673/$AN673)/VLOOKUP(H673,商品!$A$4:$D$67,4,FALSE),0),"")</f>
        <v/>
      </c>
      <c r="AG673" t="str">
        <f>IFERROR(J673&amp;"*"&amp;ROUND(L673*(K673/$AN673)/VLOOKUP(J673,商品!$A$4:$D$67,4,FALSE),0),"")</f>
        <v/>
      </c>
      <c r="AH673" t="str">
        <f>IFERROR(M673&amp;"*"&amp;ROUND(S673*(N673/$AO673)/VLOOKUP(M673,职业!$A$3:$E$16,4,FALSE),0),"")</f>
        <v/>
      </c>
      <c r="AI673" t="str">
        <f>IFERROR(O673&amp;"*"&amp;ROUND(S673*(P673/$AO673)/VLOOKUP(O673,职业!$A$3:$E$16,4,FALSE),0),"")</f>
        <v/>
      </c>
      <c r="AK673" t="str">
        <f>IFERROR(T673&amp;"*"&amp;ROUND(X673*(U673/$AP673)/VLOOKUP(T673,商品!$A$4:$D$67,4,FALSE),0),"")</f>
        <v/>
      </c>
      <c r="AL673" t="str">
        <f>IFERROR(V673&amp;"*"&amp;ROUND(X673*(W673/$AP673)/VLOOKUP(V673,商品!$A$4:$D$67,4,FALSE),0),"")</f>
        <v/>
      </c>
      <c r="AN673">
        <f t="shared" si="85"/>
        <v>0</v>
      </c>
      <c r="AO673">
        <f t="shared" si="86"/>
        <v>0</v>
      </c>
      <c r="AP673">
        <f t="shared" si="87"/>
        <v>0</v>
      </c>
    </row>
    <row r="674" customHeight="1" spans="1:42">
      <c r="A674" s="18" t="s">
        <v>412</v>
      </c>
      <c r="C674" s="18">
        <v>1</v>
      </c>
      <c r="D674" s="1" t="s">
        <v>293</v>
      </c>
      <c r="E674" s="1" t="s">
        <v>227</v>
      </c>
      <c r="L674" s="1">
        <f>IFERROR(VLOOKUP($D674&amp;$C674,生产方式定位!$A$2:$E$38,2,FALSE)+VLOOKUP($E674&amp;$C674,生产方式定位!$F$3:$J$38,2,FALSE),0)</f>
        <v>0</v>
      </c>
      <c r="S674" s="1">
        <f>IFERROR(VLOOKUP($D674&amp;$C674,生产方式定位!$A$2:$E$38,3,FALSE)+VLOOKUP($E674&amp;$C674,生产方式定位!$F$3:$J$38,3,FALSE),0)</f>
        <v>0</v>
      </c>
      <c r="X674" s="1">
        <f>IFERROR(VLOOKUP($D674&amp;$C674,生产方式定位!$A$2:$E$38,5,FALSE)+VLOOKUP($E674&amp;$C674,生产方式定位!$F$3:$J$38,5,FALSE),"错误")</f>
        <v>0</v>
      </c>
      <c r="Y674" s="27" t="str">
        <f t="shared" si="80"/>
        <v/>
      </c>
      <c r="Z674" s="37" t="str">
        <f t="shared" si="81"/>
        <v/>
      </c>
      <c r="AA674" s="37" t="str">
        <f t="shared" si="82"/>
        <v/>
      </c>
      <c r="AB674" s="28" t="str">
        <f t="shared" si="83"/>
        <v/>
      </c>
      <c r="AC674" s="37"/>
      <c r="AD674" s="38">
        <f t="shared" si="84"/>
        <v>1</v>
      </c>
      <c r="AE674" t="str">
        <f>IFERROR(F674&amp;"*"&amp;ROUND(L674*(G674/$AN674)/VLOOKUP(F674,商品!$A$4:$D$67,4,FALSE),0),"")</f>
        <v/>
      </c>
      <c r="AF674" t="str">
        <f>IFERROR(H674&amp;"*"&amp;ROUND(L674*(I674/$AN674)/VLOOKUP(H674,商品!$A$4:$D$67,4,FALSE),0),"")</f>
        <v/>
      </c>
      <c r="AG674" t="str">
        <f>IFERROR(J674&amp;"*"&amp;ROUND(L674*(K674/$AN674)/VLOOKUP(J674,商品!$A$4:$D$67,4,FALSE),0),"")</f>
        <v/>
      </c>
      <c r="AH674" t="str">
        <f>IFERROR(M674&amp;"*"&amp;ROUND(S674*(N674/$AO674)/VLOOKUP(M674,职业!$A$3:$E$16,4,FALSE),0),"")</f>
        <v/>
      </c>
      <c r="AI674" t="str">
        <f>IFERROR(O674&amp;"*"&amp;ROUND(S674*(P674/$AO674)/VLOOKUP(O674,职业!$A$3:$E$16,4,FALSE),0),"")</f>
        <v/>
      </c>
      <c r="AK674" t="str">
        <f>IFERROR(T674&amp;"*"&amp;ROUND(X674*(U674/$AP674)/VLOOKUP(T674,商品!$A$4:$D$67,4,FALSE),0),"")</f>
        <v/>
      </c>
      <c r="AL674" t="str">
        <f>IFERROR(V674&amp;"*"&amp;ROUND(X674*(W674/$AP674)/VLOOKUP(V674,商品!$A$4:$D$67,4,FALSE),0),"")</f>
        <v/>
      </c>
      <c r="AN674">
        <f t="shared" si="85"/>
        <v>0</v>
      </c>
      <c r="AO674">
        <f t="shared" si="86"/>
        <v>0</v>
      </c>
      <c r="AP674">
        <f t="shared" si="87"/>
        <v>0</v>
      </c>
    </row>
    <row r="675" customHeight="1" spans="1:42">
      <c r="A675" s="18" t="s">
        <v>412</v>
      </c>
      <c r="C675" s="18">
        <v>2</v>
      </c>
      <c r="D675" s="1" t="s">
        <v>293</v>
      </c>
      <c r="E675" s="1" t="s">
        <v>227</v>
      </c>
      <c r="L675" s="1">
        <f>IFERROR(VLOOKUP($D675&amp;$C675,生产方式定位!$A$2:$E$38,2,FALSE)+VLOOKUP($E675&amp;$C675,生产方式定位!$F$3:$J$38,2,FALSE),0)</f>
        <v>0</v>
      </c>
      <c r="S675" s="1">
        <f>IFERROR(VLOOKUP($D675&amp;$C675,生产方式定位!$A$2:$E$38,3,FALSE)+VLOOKUP($E675&amp;$C675,生产方式定位!$F$3:$J$38,3,FALSE),0)</f>
        <v>0</v>
      </c>
      <c r="X675" s="1">
        <f>IFERROR(VLOOKUP($D675&amp;$C675,生产方式定位!$A$2:$E$38,5,FALSE)+VLOOKUP($E675&amp;$C675,生产方式定位!$F$3:$J$38,5,FALSE),"错误")</f>
        <v>0</v>
      </c>
      <c r="Y675" s="27" t="str">
        <f t="shared" si="80"/>
        <v/>
      </c>
      <c r="Z675" s="37" t="str">
        <f t="shared" si="81"/>
        <v/>
      </c>
      <c r="AA675" s="37" t="str">
        <f t="shared" si="82"/>
        <v/>
      </c>
      <c r="AB675" s="28" t="str">
        <f t="shared" si="83"/>
        <v/>
      </c>
      <c r="AC675" s="37"/>
      <c r="AD675" s="38">
        <f t="shared" si="84"/>
        <v>2</v>
      </c>
      <c r="AE675" t="str">
        <f>IFERROR(F675&amp;"*"&amp;ROUND(L675*(G675/$AN675)/VLOOKUP(F675,商品!$A$4:$D$67,4,FALSE),0),"")</f>
        <v/>
      </c>
      <c r="AF675" t="str">
        <f>IFERROR(H675&amp;"*"&amp;ROUND(L675*(I675/$AN675)/VLOOKUP(H675,商品!$A$4:$D$67,4,FALSE),0),"")</f>
        <v/>
      </c>
      <c r="AG675" t="str">
        <f>IFERROR(J675&amp;"*"&amp;ROUND(L675*(K675/$AN675)/VLOOKUP(J675,商品!$A$4:$D$67,4,FALSE),0),"")</f>
        <v/>
      </c>
      <c r="AH675" t="str">
        <f>IFERROR(M675&amp;"*"&amp;ROUND(S675*(N675/$AO675)/VLOOKUP(M675,职业!$A$3:$E$16,4,FALSE),0),"")</f>
        <v/>
      </c>
      <c r="AI675" t="str">
        <f>IFERROR(O675&amp;"*"&amp;ROUND(S675*(P675/$AO675)/VLOOKUP(O675,职业!$A$3:$E$16,4,FALSE),0),"")</f>
        <v/>
      </c>
      <c r="AK675" t="str">
        <f>IFERROR(T675&amp;"*"&amp;ROUND(X675*(U675/$AP675)/VLOOKUP(T675,商品!$A$4:$D$67,4,FALSE),0),"")</f>
        <v/>
      </c>
      <c r="AL675" t="str">
        <f>IFERROR(V675&amp;"*"&amp;ROUND(X675*(W675/$AP675)/VLOOKUP(V675,商品!$A$4:$D$67,4,FALSE),0),"")</f>
        <v/>
      </c>
      <c r="AN675">
        <f t="shared" si="85"/>
        <v>0</v>
      </c>
      <c r="AO675">
        <f t="shared" si="86"/>
        <v>0</v>
      </c>
      <c r="AP675">
        <f t="shared" si="87"/>
        <v>0</v>
      </c>
    </row>
    <row r="676" customHeight="1" spans="1:42">
      <c r="A676" s="18" t="s">
        <v>412</v>
      </c>
      <c r="C676" s="18">
        <v>3</v>
      </c>
      <c r="D676" s="1" t="s">
        <v>293</v>
      </c>
      <c r="E676" s="1" t="s">
        <v>227</v>
      </c>
      <c r="L676" s="1">
        <f>IFERROR(VLOOKUP($D676&amp;$C676,生产方式定位!$A$2:$E$38,2,FALSE)+VLOOKUP($E676&amp;$C676,生产方式定位!$F$3:$J$38,2,FALSE),0)</f>
        <v>0</v>
      </c>
      <c r="S676" s="1">
        <f>IFERROR(VLOOKUP($D676&amp;$C676,生产方式定位!$A$2:$E$38,3,FALSE)+VLOOKUP($E676&amp;$C676,生产方式定位!$F$3:$J$38,3,FALSE),0)</f>
        <v>0</v>
      </c>
      <c r="X676" s="1">
        <f>IFERROR(VLOOKUP($D676&amp;$C676,生产方式定位!$A$2:$E$38,5,FALSE)+VLOOKUP($E676&amp;$C676,生产方式定位!$F$3:$J$38,5,FALSE),"错误")</f>
        <v>0</v>
      </c>
      <c r="Y676" s="27" t="str">
        <f t="shared" si="80"/>
        <v/>
      </c>
      <c r="Z676" s="37" t="str">
        <f t="shared" si="81"/>
        <v/>
      </c>
      <c r="AA676" s="37" t="str">
        <f t="shared" si="82"/>
        <v/>
      </c>
      <c r="AB676" s="28" t="str">
        <f t="shared" si="83"/>
        <v/>
      </c>
      <c r="AC676" s="37"/>
      <c r="AD676" s="38">
        <f t="shared" si="84"/>
        <v>3</v>
      </c>
      <c r="AE676" t="str">
        <f>IFERROR(F676&amp;"*"&amp;ROUND(L676*(G676/$AN676)/VLOOKUP(F676,商品!$A$4:$D$67,4,FALSE),0),"")</f>
        <v/>
      </c>
      <c r="AF676" t="str">
        <f>IFERROR(H676&amp;"*"&amp;ROUND(L676*(I676/$AN676)/VLOOKUP(H676,商品!$A$4:$D$67,4,FALSE),0),"")</f>
        <v/>
      </c>
      <c r="AG676" t="str">
        <f>IFERROR(J676&amp;"*"&amp;ROUND(L676*(K676/$AN676)/VLOOKUP(J676,商品!$A$4:$D$67,4,FALSE),0),"")</f>
        <v/>
      </c>
      <c r="AH676" t="str">
        <f>IFERROR(M676&amp;"*"&amp;ROUND(S676*(N676/$AO676)/VLOOKUP(M676,职业!$A$3:$E$16,4,FALSE),0),"")</f>
        <v/>
      </c>
      <c r="AI676" t="str">
        <f>IFERROR(O676&amp;"*"&amp;ROUND(S676*(P676/$AO676)/VLOOKUP(O676,职业!$A$3:$E$16,4,FALSE),0),"")</f>
        <v/>
      </c>
      <c r="AK676" t="str">
        <f>IFERROR(T676&amp;"*"&amp;ROUND(X676*(U676/$AP676)/VLOOKUP(T676,商品!$A$4:$D$67,4,FALSE),0),"")</f>
        <v/>
      </c>
      <c r="AL676" t="str">
        <f>IFERROR(V676&amp;"*"&amp;ROUND(X676*(W676/$AP676)/VLOOKUP(V676,商品!$A$4:$D$67,4,FALSE),0),"")</f>
        <v/>
      </c>
      <c r="AN676">
        <f t="shared" si="85"/>
        <v>0</v>
      </c>
      <c r="AO676">
        <f t="shared" si="86"/>
        <v>0</v>
      </c>
      <c r="AP676">
        <f t="shared" si="87"/>
        <v>0</v>
      </c>
    </row>
    <row r="677" customHeight="1" spans="1:42">
      <c r="A677" s="18" t="s">
        <v>412</v>
      </c>
      <c r="C677" s="18">
        <v>4</v>
      </c>
      <c r="D677" s="1" t="s">
        <v>293</v>
      </c>
      <c r="E677" s="1" t="s">
        <v>227</v>
      </c>
      <c r="L677" s="1">
        <f>IFERROR(VLOOKUP($D677&amp;$C677,生产方式定位!$A$2:$E$38,2,FALSE)+VLOOKUP($E677&amp;$C677,生产方式定位!$F$3:$J$38,2,FALSE),0)</f>
        <v>0</v>
      </c>
      <c r="S677" s="1">
        <f>IFERROR(VLOOKUP($D677&amp;$C677,生产方式定位!$A$2:$E$38,3,FALSE)+VLOOKUP($E677&amp;$C677,生产方式定位!$F$3:$J$38,3,FALSE),0)</f>
        <v>0</v>
      </c>
      <c r="X677" s="1">
        <f>IFERROR(VLOOKUP($D677&amp;$C677,生产方式定位!$A$2:$E$38,5,FALSE)+VLOOKUP($E677&amp;$C677,生产方式定位!$F$3:$J$38,5,FALSE),"错误")</f>
        <v>0</v>
      </c>
      <c r="Y677" s="27" t="str">
        <f t="shared" si="80"/>
        <v/>
      </c>
      <c r="Z677" s="37" t="str">
        <f t="shared" si="81"/>
        <v/>
      </c>
      <c r="AA677" s="37" t="str">
        <f t="shared" si="82"/>
        <v/>
      </c>
      <c r="AB677" s="28" t="str">
        <f t="shared" si="83"/>
        <v/>
      </c>
      <c r="AC677" s="37"/>
      <c r="AD677" s="38">
        <f t="shared" si="84"/>
        <v>4</v>
      </c>
      <c r="AE677" t="str">
        <f>IFERROR(F677&amp;"*"&amp;ROUND(L677*(G677/$AN677)/VLOOKUP(F677,商品!$A$4:$D$67,4,FALSE),0),"")</f>
        <v/>
      </c>
      <c r="AF677" t="str">
        <f>IFERROR(H677&amp;"*"&amp;ROUND(L677*(I677/$AN677)/VLOOKUP(H677,商品!$A$4:$D$67,4,FALSE),0),"")</f>
        <v/>
      </c>
      <c r="AG677" t="str">
        <f>IFERROR(J677&amp;"*"&amp;ROUND(L677*(K677/$AN677)/VLOOKUP(J677,商品!$A$4:$D$67,4,FALSE),0),"")</f>
        <v/>
      </c>
      <c r="AH677" t="str">
        <f>IFERROR(M677&amp;"*"&amp;ROUND(S677*(N677/$AO677)/VLOOKUP(M677,职业!$A$3:$E$16,4,FALSE),0),"")</f>
        <v/>
      </c>
      <c r="AI677" t="str">
        <f>IFERROR(O677&amp;"*"&amp;ROUND(S677*(P677/$AO677)/VLOOKUP(O677,职业!$A$3:$E$16,4,FALSE),0),"")</f>
        <v/>
      </c>
      <c r="AK677" t="str">
        <f>IFERROR(T677&amp;"*"&amp;ROUND(X677*(U677/$AP677)/VLOOKUP(T677,商品!$A$4:$D$67,4,FALSE),0),"")</f>
        <v/>
      </c>
      <c r="AL677" t="str">
        <f>IFERROR(V677&amp;"*"&amp;ROUND(X677*(W677/$AP677)/VLOOKUP(V677,商品!$A$4:$D$67,4,FALSE),0),"")</f>
        <v/>
      </c>
      <c r="AN677">
        <f t="shared" si="85"/>
        <v>0</v>
      </c>
      <c r="AO677">
        <f t="shared" si="86"/>
        <v>0</v>
      </c>
      <c r="AP677">
        <f t="shared" si="87"/>
        <v>0</v>
      </c>
    </row>
    <row r="678" customHeight="1" spans="1:42">
      <c r="A678" s="18" t="s">
        <v>412</v>
      </c>
      <c r="C678" s="18">
        <v>5</v>
      </c>
      <c r="D678" s="1" t="s">
        <v>293</v>
      </c>
      <c r="E678" s="1" t="s">
        <v>227</v>
      </c>
      <c r="L678" s="1">
        <f>IFERROR(VLOOKUP($D678&amp;$C678,生产方式定位!$A$2:$E$38,2,FALSE)+VLOOKUP($E678&amp;$C678,生产方式定位!$F$3:$J$38,2,FALSE),0)</f>
        <v>0</v>
      </c>
      <c r="S678" s="1">
        <f>IFERROR(VLOOKUP($D678&amp;$C678,生产方式定位!$A$2:$E$38,3,FALSE)+VLOOKUP($E678&amp;$C678,生产方式定位!$F$3:$J$38,3,FALSE),0)</f>
        <v>0</v>
      </c>
      <c r="X678" s="1">
        <f>IFERROR(VLOOKUP($D678&amp;$C678,生产方式定位!$A$2:$E$38,5,FALSE)+VLOOKUP($E678&amp;$C678,生产方式定位!$F$3:$J$38,5,FALSE),"错误")</f>
        <v>0</v>
      </c>
      <c r="Y678" s="27" t="str">
        <f t="shared" si="80"/>
        <v/>
      </c>
      <c r="Z678" s="37" t="str">
        <f t="shared" si="81"/>
        <v/>
      </c>
      <c r="AA678" s="37" t="str">
        <f t="shared" si="82"/>
        <v/>
      </c>
      <c r="AB678" s="28" t="str">
        <f t="shared" si="83"/>
        <v/>
      </c>
      <c r="AC678" s="37"/>
      <c r="AD678" s="38">
        <f t="shared" si="84"/>
        <v>5</v>
      </c>
      <c r="AE678" t="str">
        <f>IFERROR(F678&amp;"*"&amp;ROUND(L678*(G678/$AN678)/VLOOKUP(F678,商品!$A$4:$D$67,4,FALSE),0),"")</f>
        <v/>
      </c>
      <c r="AF678" t="str">
        <f>IFERROR(H678&amp;"*"&amp;ROUND(L678*(I678/$AN678)/VLOOKUP(H678,商品!$A$4:$D$67,4,FALSE),0),"")</f>
        <v/>
      </c>
      <c r="AG678" t="str">
        <f>IFERROR(J678&amp;"*"&amp;ROUND(L678*(K678/$AN678)/VLOOKUP(J678,商品!$A$4:$D$67,4,FALSE),0),"")</f>
        <v/>
      </c>
      <c r="AH678" t="str">
        <f>IFERROR(M678&amp;"*"&amp;ROUND(S678*(N678/$AO678)/VLOOKUP(M678,职业!$A$3:$E$16,4,FALSE),0),"")</f>
        <v/>
      </c>
      <c r="AI678" t="str">
        <f>IFERROR(O678&amp;"*"&amp;ROUND(S678*(P678/$AO678)/VLOOKUP(O678,职业!$A$3:$E$16,4,FALSE),0),"")</f>
        <v/>
      </c>
      <c r="AK678" t="str">
        <f>IFERROR(T678&amp;"*"&amp;ROUND(X678*(U678/$AP678)/VLOOKUP(T678,商品!$A$4:$D$67,4,FALSE),0),"")</f>
        <v/>
      </c>
      <c r="AL678" t="str">
        <f>IFERROR(V678&amp;"*"&amp;ROUND(X678*(W678/$AP678)/VLOOKUP(V678,商品!$A$4:$D$67,4,FALSE),0),"")</f>
        <v/>
      </c>
      <c r="AN678">
        <f t="shared" si="85"/>
        <v>0</v>
      </c>
      <c r="AO678">
        <f t="shared" si="86"/>
        <v>0</v>
      </c>
      <c r="AP678">
        <f t="shared" si="87"/>
        <v>0</v>
      </c>
    </row>
    <row r="679" customHeight="1" spans="1:42">
      <c r="A679" s="18" t="s">
        <v>412</v>
      </c>
      <c r="C679" s="18">
        <v>6</v>
      </c>
      <c r="D679" s="1" t="s">
        <v>293</v>
      </c>
      <c r="E679" s="1" t="s">
        <v>227</v>
      </c>
      <c r="L679" s="1">
        <f>IFERROR(VLOOKUP($D679&amp;$C679,生产方式定位!$A$2:$E$38,2,FALSE)+VLOOKUP($E679&amp;$C679,生产方式定位!$F$3:$J$38,2,FALSE),0)</f>
        <v>0</v>
      </c>
      <c r="S679" s="1">
        <f>IFERROR(VLOOKUP($D679&amp;$C679,生产方式定位!$A$2:$E$38,3,FALSE)+VLOOKUP($E679&amp;$C679,生产方式定位!$F$3:$J$38,3,FALSE),0)</f>
        <v>0</v>
      </c>
      <c r="X679" s="1">
        <f>IFERROR(VLOOKUP($D679&amp;$C679,生产方式定位!$A$2:$E$38,5,FALSE)+VLOOKUP($E679&amp;$C679,生产方式定位!$F$3:$J$38,5,FALSE),"错误")</f>
        <v>0</v>
      </c>
      <c r="Y679" s="27" t="str">
        <f t="shared" si="80"/>
        <v/>
      </c>
      <c r="Z679" s="37" t="str">
        <f t="shared" si="81"/>
        <v/>
      </c>
      <c r="AA679" s="37" t="str">
        <f t="shared" si="82"/>
        <v/>
      </c>
      <c r="AB679" s="28" t="str">
        <f t="shared" si="83"/>
        <v/>
      </c>
      <c r="AC679" s="37"/>
      <c r="AD679" s="38">
        <f t="shared" si="84"/>
        <v>6</v>
      </c>
      <c r="AE679" t="str">
        <f>IFERROR(F679&amp;"*"&amp;ROUND(L679*(G679/$AN679)/VLOOKUP(F679,商品!$A$4:$D$67,4,FALSE),0),"")</f>
        <v/>
      </c>
      <c r="AF679" t="str">
        <f>IFERROR(H679&amp;"*"&amp;ROUND(L679*(I679/$AN679)/VLOOKUP(H679,商品!$A$4:$D$67,4,FALSE),0),"")</f>
        <v/>
      </c>
      <c r="AG679" t="str">
        <f>IFERROR(J679&amp;"*"&amp;ROUND(L679*(K679/$AN679)/VLOOKUP(J679,商品!$A$4:$D$67,4,FALSE),0),"")</f>
        <v/>
      </c>
      <c r="AH679" t="str">
        <f>IFERROR(M679&amp;"*"&amp;ROUND(S679*(N679/$AO679)/VLOOKUP(M679,职业!$A$3:$E$16,4,FALSE),0),"")</f>
        <v/>
      </c>
      <c r="AI679" t="str">
        <f>IFERROR(O679&amp;"*"&amp;ROUND(S679*(P679/$AO679)/VLOOKUP(O679,职业!$A$3:$E$16,4,FALSE),0),"")</f>
        <v/>
      </c>
      <c r="AK679" t="str">
        <f>IFERROR(T679&amp;"*"&amp;ROUND(X679*(U679/$AP679)/VLOOKUP(T679,商品!$A$4:$D$67,4,FALSE),0),"")</f>
        <v/>
      </c>
      <c r="AL679" t="str">
        <f>IFERROR(V679&amp;"*"&amp;ROUND(X679*(W679/$AP679)/VLOOKUP(V679,商品!$A$4:$D$67,4,FALSE),0),"")</f>
        <v/>
      </c>
      <c r="AN679">
        <f t="shared" si="85"/>
        <v>0</v>
      </c>
      <c r="AO679">
        <f t="shared" si="86"/>
        <v>0</v>
      </c>
      <c r="AP679">
        <f t="shared" si="87"/>
        <v>0</v>
      </c>
    </row>
    <row r="680" customHeight="1" spans="1:42">
      <c r="A680" s="18" t="s">
        <v>412</v>
      </c>
      <c r="C680" s="18">
        <v>7</v>
      </c>
      <c r="D680" s="1" t="s">
        <v>293</v>
      </c>
      <c r="E680" s="1" t="s">
        <v>227</v>
      </c>
      <c r="L680" s="1">
        <f>IFERROR(VLOOKUP($D680&amp;$C680,生产方式定位!$A$2:$E$38,2,FALSE)+VLOOKUP($E680&amp;$C680,生产方式定位!$F$3:$J$38,2,FALSE),0)</f>
        <v>0</v>
      </c>
      <c r="S680" s="1">
        <f>IFERROR(VLOOKUP($D680&amp;$C680,生产方式定位!$A$2:$E$38,3,FALSE)+VLOOKUP($E680&amp;$C680,生产方式定位!$F$3:$J$38,3,FALSE),0)</f>
        <v>0</v>
      </c>
      <c r="X680" s="1">
        <f>IFERROR(VLOOKUP($D680&amp;$C680,生产方式定位!$A$2:$E$38,5,FALSE)+VLOOKUP($E680&amp;$C680,生产方式定位!$F$3:$J$38,5,FALSE),"错误")</f>
        <v>0</v>
      </c>
      <c r="Y680" s="27" t="str">
        <f t="shared" si="80"/>
        <v/>
      </c>
      <c r="Z680" s="37" t="str">
        <f t="shared" si="81"/>
        <v/>
      </c>
      <c r="AA680" s="37" t="str">
        <f t="shared" si="82"/>
        <v/>
      </c>
      <c r="AB680" s="28" t="str">
        <f t="shared" si="83"/>
        <v/>
      </c>
      <c r="AC680" s="37"/>
      <c r="AD680" s="38">
        <f t="shared" si="84"/>
        <v>7</v>
      </c>
      <c r="AE680" t="str">
        <f>IFERROR(F680&amp;"*"&amp;ROUND(L680*(G680/$AN680)/VLOOKUP(F680,商品!$A$4:$D$67,4,FALSE),0),"")</f>
        <v/>
      </c>
      <c r="AF680" t="str">
        <f>IFERROR(H680&amp;"*"&amp;ROUND(L680*(I680/$AN680)/VLOOKUP(H680,商品!$A$4:$D$67,4,FALSE),0),"")</f>
        <v/>
      </c>
      <c r="AG680" t="str">
        <f>IFERROR(J680&amp;"*"&amp;ROUND(L680*(K680/$AN680)/VLOOKUP(J680,商品!$A$4:$D$67,4,FALSE),0),"")</f>
        <v/>
      </c>
      <c r="AH680" t="str">
        <f>IFERROR(M680&amp;"*"&amp;ROUND(S680*(N680/$AO680)/VLOOKUP(M680,职业!$A$3:$E$16,4,FALSE),0),"")</f>
        <v/>
      </c>
      <c r="AI680" t="str">
        <f>IFERROR(O680&amp;"*"&amp;ROUND(S680*(P680/$AO680)/VLOOKUP(O680,职业!$A$3:$E$16,4,FALSE),0),"")</f>
        <v/>
      </c>
      <c r="AK680" t="str">
        <f>IFERROR(T680&amp;"*"&amp;ROUND(X680*(U680/$AP680)/VLOOKUP(T680,商品!$A$4:$D$67,4,FALSE),0),"")</f>
        <v/>
      </c>
      <c r="AL680" t="str">
        <f>IFERROR(V680&amp;"*"&amp;ROUND(X680*(W680/$AP680)/VLOOKUP(V680,商品!$A$4:$D$67,4,FALSE),0),"")</f>
        <v/>
      </c>
      <c r="AN680">
        <f t="shared" si="85"/>
        <v>0</v>
      </c>
      <c r="AO680">
        <f t="shared" si="86"/>
        <v>0</v>
      </c>
      <c r="AP680">
        <f t="shared" si="87"/>
        <v>0</v>
      </c>
    </row>
    <row r="681" customHeight="1" spans="1:42">
      <c r="A681" s="18" t="s">
        <v>412</v>
      </c>
      <c r="C681" s="18">
        <v>8</v>
      </c>
      <c r="D681" s="1" t="s">
        <v>293</v>
      </c>
      <c r="E681" s="1" t="s">
        <v>227</v>
      </c>
      <c r="L681" s="1">
        <f>IFERROR(VLOOKUP($D681&amp;$C681,生产方式定位!$A$2:$E$38,2,FALSE)+VLOOKUP($E681&amp;$C681,生产方式定位!$F$3:$J$38,2,FALSE),0)</f>
        <v>0</v>
      </c>
      <c r="S681" s="1">
        <f>IFERROR(VLOOKUP($D681&amp;$C681,生产方式定位!$A$2:$E$38,3,FALSE)+VLOOKUP($E681&amp;$C681,生产方式定位!$F$3:$J$38,3,FALSE),0)</f>
        <v>0</v>
      </c>
      <c r="X681" s="1">
        <f>IFERROR(VLOOKUP($D681&amp;$C681,生产方式定位!$A$2:$E$38,5,FALSE)+VLOOKUP($E681&amp;$C681,生产方式定位!$F$3:$J$38,5,FALSE),"错误")</f>
        <v>0</v>
      </c>
      <c r="Y681" s="27" t="str">
        <f t="shared" si="80"/>
        <v/>
      </c>
      <c r="Z681" s="37" t="str">
        <f t="shared" si="81"/>
        <v/>
      </c>
      <c r="AA681" s="37" t="str">
        <f t="shared" si="82"/>
        <v/>
      </c>
      <c r="AB681" s="28" t="str">
        <f t="shared" si="83"/>
        <v/>
      </c>
      <c r="AC681" s="37"/>
      <c r="AD681" s="38">
        <f t="shared" si="84"/>
        <v>8</v>
      </c>
      <c r="AE681" t="str">
        <f>IFERROR(F681&amp;"*"&amp;ROUND(L681*(G681/$AN681)/VLOOKUP(F681,商品!$A$4:$D$67,4,FALSE),0),"")</f>
        <v/>
      </c>
      <c r="AF681" t="str">
        <f>IFERROR(H681&amp;"*"&amp;ROUND(L681*(I681/$AN681)/VLOOKUP(H681,商品!$A$4:$D$67,4,FALSE),0),"")</f>
        <v/>
      </c>
      <c r="AG681" t="str">
        <f>IFERROR(J681&amp;"*"&amp;ROUND(L681*(K681/$AN681)/VLOOKUP(J681,商品!$A$4:$D$67,4,FALSE),0),"")</f>
        <v/>
      </c>
      <c r="AH681" t="str">
        <f>IFERROR(M681&amp;"*"&amp;ROUND(S681*(N681/$AO681)/VLOOKUP(M681,职业!$A$3:$E$16,4,FALSE),0),"")</f>
        <v/>
      </c>
      <c r="AI681" t="str">
        <f>IFERROR(O681&amp;"*"&amp;ROUND(S681*(P681/$AO681)/VLOOKUP(O681,职业!$A$3:$E$16,4,FALSE),0),"")</f>
        <v/>
      </c>
      <c r="AK681" t="str">
        <f>IFERROR(T681&amp;"*"&amp;ROUND(X681*(U681/$AP681)/VLOOKUP(T681,商品!$A$4:$D$67,4,FALSE),0),"")</f>
        <v/>
      </c>
      <c r="AL681" t="str">
        <f>IFERROR(V681&amp;"*"&amp;ROUND(X681*(W681/$AP681)/VLOOKUP(V681,商品!$A$4:$D$67,4,FALSE),0),"")</f>
        <v/>
      </c>
      <c r="AN681">
        <f t="shared" si="85"/>
        <v>0</v>
      </c>
      <c r="AO681">
        <f t="shared" si="86"/>
        <v>0</v>
      </c>
      <c r="AP681">
        <f t="shared" si="87"/>
        <v>0</v>
      </c>
    </row>
    <row r="682" customHeight="1" spans="1:42">
      <c r="A682" s="5" t="s">
        <v>414</v>
      </c>
      <c r="C682" s="5">
        <v>1</v>
      </c>
      <c r="D682" s="1" t="s">
        <v>262</v>
      </c>
      <c r="E682" s="1" t="s">
        <v>224</v>
      </c>
      <c r="L682" s="1">
        <f>IFERROR(VLOOKUP($D682&amp;$C682,生产方式定位!$A$2:$E$38,2,FALSE)+VLOOKUP($E682&amp;$C682,生产方式定位!$F$3:$J$38,2,FALSE),0)</f>
        <v>0</v>
      </c>
      <c r="S682" s="1">
        <f>IFERROR(VLOOKUP($D682&amp;$C682,生产方式定位!$A$2:$E$38,3,FALSE)+VLOOKUP($E682&amp;$C682,生产方式定位!$F$3:$J$38,3,FALSE),0)</f>
        <v>3000</v>
      </c>
      <c r="X682" s="1">
        <f>IFERROR(VLOOKUP($D682&amp;$C682,生产方式定位!$A$2:$E$38,5,FALSE)+VLOOKUP($E682&amp;$C682,生产方式定位!$F$3:$J$38,5,FALSE),"错误")</f>
        <v>1500</v>
      </c>
      <c r="Y682" s="27" t="str">
        <f t="shared" si="80"/>
        <v/>
      </c>
      <c r="Z682" s="37" t="str">
        <f t="shared" si="81"/>
        <v/>
      </c>
      <c r="AA682" s="37" t="str">
        <f t="shared" si="82"/>
        <v/>
      </c>
      <c r="AB682" s="28">
        <f t="shared" si="83"/>
        <v>0</v>
      </c>
      <c r="AC682" s="37"/>
      <c r="AD682" s="38">
        <f t="shared" si="84"/>
        <v>1</v>
      </c>
      <c r="AE682" t="str">
        <f>IFERROR(F682&amp;"*"&amp;ROUND(L682*(G682/$AN682)/VLOOKUP(F682,商品!$A$4:$D$67,4,FALSE),0),"")</f>
        <v/>
      </c>
      <c r="AF682" t="str">
        <f>IFERROR(H682&amp;"*"&amp;ROUND(L682*(I682/$AN682)/VLOOKUP(H682,商品!$A$4:$D$67,4,FALSE),0),"")</f>
        <v/>
      </c>
      <c r="AG682" t="str">
        <f>IFERROR(J682&amp;"*"&amp;ROUND(L682*(K682/$AN682)/VLOOKUP(J682,商品!$A$4:$D$67,4,FALSE),0),"")</f>
        <v/>
      </c>
      <c r="AH682" t="str">
        <f>IFERROR(M682&amp;"*"&amp;ROUND(S682*(N682/$AO682)/VLOOKUP(M682,职业!$A$3:$E$16,4,FALSE),0),"")</f>
        <v/>
      </c>
      <c r="AI682" t="str">
        <f>IFERROR(O682&amp;"*"&amp;ROUND(S682*(P682/$AO682)/VLOOKUP(O682,职业!$A$3:$E$16,4,FALSE),0),"")</f>
        <v/>
      </c>
      <c r="AK682" t="str">
        <f>IFERROR(T682&amp;"*"&amp;ROUND(X682*(U682/$AP682)/VLOOKUP(T682,商品!$A$4:$D$67,4,FALSE),0),"")</f>
        <v/>
      </c>
      <c r="AL682" t="str">
        <f>IFERROR(V682&amp;"*"&amp;ROUND(X682*(W682/$AP682)/VLOOKUP(V682,商品!$A$4:$D$67,4,FALSE),0),"")</f>
        <v/>
      </c>
      <c r="AN682">
        <f t="shared" si="85"/>
        <v>0</v>
      </c>
      <c r="AO682">
        <f t="shared" si="86"/>
        <v>0</v>
      </c>
      <c r="AP682">
        <f t="shared" si="87"/>
        <v>0</v>
      </c>
    </row>
    <row r="683" customHeight="1" spans="1:42">
      <c r="A683" s="5" t="s">
        <v>414</v>
      </c>
      <c r="C683" s="5">
        <v>2</v>
      </c>
      <c r="D683" s="1" t="s">
        <v>262</v>
      </c>
      <c r="E683" s="1" t="s">
        <v>224</v>
      </c>
      <c r="L683" s="1">
        <f>IFERROR(VLOOKUP($D683&amp;$C683,生产方式定位!$A$2:$E$38,2,FALSE)+VLOOKUP($E683&amp;$C683,生产方式定位!$F$3:$J$38,2,FALSE),0)</f>
        <v>1500</v>
      </c>
      <c r="S683" s="1">
        <f>IFERROR(VLOOKUP($D683&amp;$C683,生产方式定位!$A$2:$E$38,3,FALSE)+VLOOKUP($E683&amp;$C683,生产方式定位!$F$3:$J$38,3,FALSE),0)</f>
        <v>3000</v>
      </c>
      <c r="X683" s="1">
        <f>IFERROR(VLOOKUP($D683&amp;$C683,生产方式定位!$A$2:$E$38,5,FALSE)+VLOOKUP($E683&amp;$C683,生产方式定位!$F$3:$J$38,5,FALSE),"错误")</f>
        <v>2322</v>
      </c>
      <c r="Y683" s="27" t="str">
        <f t="shared" si="80"/>
        <v/>
      </c>
      <c r="Z683" s="37" t="str">
        <f t="shared" si="81"/>
        <v/>
      </c>
      <c r="AA683" s="37" t="str">
        <f t="shared" si="82"/>
        <v/>
      </c>
      <c r="AB683" s="28">
        <f t="shared" si="83"/>
        <v>0.65</v>
      </c>
      <c r="AC683" s="37"/>
      <c r="AD683" s="38">
        <f t="shared" si="84"/>
        <v>2</v>
      </c>
      <c r="AE683" t="str">
        <f>IFERROR(F683&amp;"*"&amp;ROUND(L683*(G683/$AN683)/VLOOKUP(F683,商品!$A$4:$D$67,4,FALSE),0),"")</f>
        <v/>
      </c>
      <c r="AF683" t="str">
        <f>IFERROR(H683&amp;"*"&amp;ROUND(L683*(I683/$AN683)/VLOOKUP(H683,商品!$A$4:$D$67,4,FALSE),0),"")</f>
        <v/>
      </c>
      <c r="AG683" t="str">
        <f>IFERROR(J683&amp;"*"&amp;ROUND(L683*(K683/$AN683)/VLOOKUP(J683,商品!$A$4:$D$67,4,FALSE),0),"")</f>
        <v/>
      </c>
      <c r="AH683" t="str">
        <f>IFERROR(M683&amp;"*"&amp;ROUND(S683*(N683/$AO683)/VLOOKUP(M683,职业!$A$3:$E$16,4,FALSE),0),"")</f>
        <v/>
      </c>
      <c r="AI683" t="str">
        <f>IFERROR(O683&amp;"*"&amp;ROUND(S683*(P683/$AO683)/VLOOKUP(O683,职业!$A$3:$E$16,4,FALSE),0),"")</f>
        <v/>
      </c>
      <c r="AK683" t="str">
        <f>IFERROR(T683&amp;"*"&amp;ROUND(X683*(U683/$AP683)/VLOOKUP(T683,商品!$A$4:$D$67,4,FALSE),0),"")</f>
        <v/>
      </c>
      <c r="AL683" t="str">
        <f>IFERROR(V683&amp;"*"&amp;ROUND(X683*(W683/$AP683)/VLOOKUP(V683,商品!$A$4:$D$67,4,FALSE),0),"")</f>
        <v/>
      </c>
      <c r="AN683">
        <f t="shared" si="85"/>
        <v>0</v>
      </c>
      <c r="AO683">
        <f t="shared" si="86"/>
        <v>0</v>
      </c>
      <c r="AP683">
        <f t="shared" si="87"/>
        <v>0</v>
      </c>
    </row>
    <row r="684" customHeight="1" spans="1:42">
      <c r="A684" s="5" t="s">
        <v>414</v>
      </c>
      <c r="C684" s="5">
        <v>3</v>
      </c>
      <c r="D684" s="1" t="s">
        <v>262</v>
      </c>
      <c r="E684" s="1" t="s">
        <v>224</v>
      </c>
      <c r="L684" s="1">
        <f>IFERROR(VLOOKUP($D684&amp;$C684,生产方式定位!$A$2:$E$38,2,FALSE)+VLOOKUP($E684&amp;$C684,生产方式定位!$F$3:$J$38,2,FALSE),0)</f>
        <v>3000</v>
      </c>
      <c r="S684" s="1">
        <f>IFERROR(VLOOKUP($D684&amp;$C684,生产方式定位!$A$2:$E$38,3,FALSE)+VLOOKUP($E684&amp;$C684,生产方式定位!$F$3:$J$38,3,FALSE),0)</f>
        <v>3000</v>
      </c>
      <c r="X684" s="1">
        <f>IFERROR(VLOOKUP($D684&amp;$C684,生产方式定位!$A$2:$E$38,5,FALSE)+VLOOKUP($E684&amp;$C684,生产方式定位!$F$3:$J$38,5,FALSE),"错误")</f>
        <v>3288</v>
      </c>
      <c r="Y684" s="27" t="str">
        <f t="shared" si="80"/>
        <v/>
      </c>
      <c r="Z684" s="37" t="str">
        <f t="shared" si="81"/>
        <v/>
      </c>
      <c r="AA684" s="37" t="str">
        <f t="shared" si="82"/>
        <v/>
      </c>
      <c r="AB684" s="28">
        <f t="shared" si="83"/>
        <v>0.91</v>
      </c>
      <c r="AC684" s="37"/>
      <c r="AD684" s="38">
        <f t="shared" si="84"/>
        <v>3</v>
      </c>
      <c r="AE684" t="str">
        <f>IFERROR(F684&amp;"*"&amp;ROUND(L684*(G684/$AN684)/VLOOKUP(F684,商品!$A$4:$D$67,4,FALSE),0),"")</f>
        <v/>
      </c>
      <c r="AF684" t="str">
        <f>IFERROR(H684&amp;"*"&amp;ROUND(L684*(I684/$AN684)/VLOOKUP(H684,商品!$A$4:$D$67,4,FALSE),0),"")</f>
        <v/>
      </c>
      <c r="AG684" t="str">
        <f>IFERROR(J684&amp;"*"&amp;ROUND(L684*(K684/$AN684)/VLOOKUP(J684,商品!$A$4:$D$67,4,FALSE),0),"")</f>
        <v/>
      </c>
      <c r="AH684" t="str">
        <f>IFERROR(M684&amp;"*"&amp;ROUND(S684*(N684/$AO684)/VLOOKUP(M684,职业!$A$3:$E$16,4,FALSE),0),"")</f>
        <v/>
      </c>
      <c r="AI684" t="str">
        <f>IFERROR(O684&amp;"*"&amp;ROUND(S684*(P684/$AO684)/VLOOKUP(O684,职业!$A$3:$E$16,4,FALSE),0),"")</f>
        <v/>
      </c>
      <c r="AK684" t="str">
        <f>IFERROR(T684&amp;"*"&amp;ROUND(X684*(U684/$AP684)/VLOOKUP(T684,商品!$A$4:$D$67,4,FALSE),0),"")</f>
        <v/>
      </c>
      <c r="AL684" t="str">
        <f>IFERROR(V684&amp;"*"&amp;ROUND(X684*(W684/$AP684)/VLOOKUP(V684,商品!$A$4:$D$67,4,FALSE),0),"")</f>
        <v/>
      </c>
      <c r="AN684">
        <f t="shared" si="85"/>
        <v>0</v>
      </c>
      <c r="AO684">
        <f t="shared" si="86"/>
        <v>0</v>
      </c>
      <c r="AP684">
        <f t="shared" si="87"/>
        <v>0</v>
      </c>
    </row>
    <row r="685" customHeight="1" spans="1:42">
      <c r="A685" s="5" t="s">
        <v>414</v>
      </c>
      <c r="C685" s="5">
        <v>4</v>
      </c>
      <c r="D685" s="1" t="s">
        <v>262</v>
      </c>
      <c r="E685" s="1" t="s">
        <v>224</v>
      </c>
      <c r="L685" s="1">
        <f>IFERROR(VLOOKUP($D685&amp;$C685,生产方式定位!$A$2:$E$38,2,FALSE)+VLOOKUP($E685&amp;$C685,生产方式定位!$F$3:$J$38,2,FALSE),0)</f>
        <v>4500</v>
      </c>
      <c r="S685" s="1">
        <f>IFERROR(VLOOKUP($D685&amp;$C685,生产方式定位!$A$2:$E$38,3,FALSE)+VLOOKUP($E685&amp;$C685,生产方式定位!$F$3:$J$38,3,FALSE),0)</f>
        <v>3000</v>
      </c>
      <c r="X685" s="1">
        <f>IFERROR(VLOOKUP($D685&amp;$C685,生产方式定位!$A$2:$E$38,5,FALSE)+VLOOKUP($E685&amp;$C685,生产方式定位!$F$3:$J$38,5,FALSE),"错误")</f>
        <v>4398</v>
      </c>
      <c r="Y685" s="27" t="str">
        <f t="shared" si="80"/>
        <v/>
      </c>
      <c r="Z685" s="37" t="str">
        <f t="shared" si="81"/>
        <v/>
      </c>
      <c r="AA685" s="37" t="str">
        <f t="shared" si="82"/>
        <v/>
      </c>
      <c r="AB685" s="28">
        <f t="shared" si="83"/>
        <v>1.02</v>
      </c>
      <c r="AC685" s="37"/>
      <c r="AD685" s="38">
        <f t="shared" si="84"/>
        <v>4</v>
      </c>
      <c r="AE685" t="str">
        <f>IFERROR(F685&amp;"*"&amp;ROUND(L685*(G685/$AN685)/VLOOKUP(F685,商品!$A$4:$D$67,4,FALSE),0),"")</f>
        <v/>
      </c>
      <c r="AF685" t="str">
        <f>IFERROR(H685&amp;"*"&amp;ROUND(L685*(I685/$AN685)/VLOOKUP(H685,商品!$A$4:$D$67,4,FALSE),0),"")</f>
        <v/>
      </c>
      <c r="AG685" t="str">
        <f>IFERROR(J685&amp;"*"&amp;ROUND(L685*(K685/$AN685)/VLOOKUP(J685,商品!$A$4:$D$67,4,FALSE),0),"")</f>
        <v/>
      </c>
      <c r="AH685" t="str">
        <f>IFERROR(M685&amp;"*"&amp;ROUND(S685*(N685/$AO685)/VLOOKUP(M685,职业!$A$3:$E$16,4,FALSE),0),"")</f>
        <v/>
      </c>
      <c r="AI685" t="str">
        <f>IFERROR(O685&amp;"*"&amp;ROUND(S685*(P685/$AO685)/VLOOKUP(O685,职业!$A$3:$E$16,4,FALSE),0),"")</f>
        <v/>
      </c>
      <c r="AK685" t="str">
        <f>IFERROR(T685&amp;"*"&amp;ROUND(X685*(U685/$AP685)/VLOOKUP(T685,商品!$A$4:$D$67,4,FALSE),0),"")</f>
        <v/>
      </c>
      <c r="AL685" t="str">
        <f>IFERROR(V685&amp;"*"&amp;ROUND(X685*(W685/$AP685)/VLOOKUP(V685,商品!$A$4:$D$67,4,FALSE),0),"")</f>
        <v/>
      </c>
      <c r="AN685">
        <f t="shared" si="85"/>
        <v>0</v>
      </c>
      <c r="AO685">
        <f t="shared" si="86"/>
        <v>0</v>
      </c>
      <c r="AP685">
        <f t="shared" si="87"/>
        <v>0</v>
      </c>
    </row>
    <row r="686" customHeight="1" spans="1:42">
      <c r="A686" s="5" t="s">
        <v>414</v>
      </c>
      <c r="C686" s="5">
        <v>5</v>
      </c>
      <c r="D686" s="1" t="s">
        <v>262</v>
      </c>
      <c r="E686" s="1" t="s">
        <v>224</v>
      </c>
      <c r="L686" s="1">
        <f>IFERROR(VLOOKUP($D686&amp;$C686,生产方式定位!$A$2:$E$38,2,FALSE)+VLOOKUP($E686&amp;$C686,生产方式定位!$F$3:$J$38,2,FALSE),0)</f>
        <v>6000</v>
      </c>
      <c r="S686" s="1">
        <f>IFERROR(VLOOKUP($D686&amp;$C686,生产方式定位!$A$2:$E$38,3,FALSE)+VLOOKUP($E686&amp;$C686,生产方式定位!$F$3:$J$38,3,FALSE),0)</f>
        <v>3000</v>
      </c>
      <c r="X686" s="1">
        <f>IFERROR(VLOOKUP($D686&amp;$C686,生产方式定位!$A$2:$E$38,5,FALSE)+VLOOKUP($E686&amp;$C686,生产方式定位!$F$3:$J$38,5,FALSE),"错误")</f>
        <v>5700</v>
      </c>
      <c r="Y686" s="27" t="str">
        <f t="shared" si="80"/>
        <v/>
      </c>
      <c r="Z686" s="37" t="str">
        <f t="shared" si="81"/>
        <v/>
      </c>
      <c r="AA686" s="37" t="str">
        <f t="shared" si="82"/>
        <v/>
      </c>
      <c r="AB686" s="28">
        <f t="shared" si="83"/>
        <v>1.05</v>
      </c>
      <c r="AC686" s="37"/>
      <c r="AD686" s="38">
        <f t="shared" si="84"/>
        <v>5</v>
      </c>
      <c r="AE686" t="str">
        <f>IFERROR(F686&amp;"*"&amp;ROUND(L686*(G686/$AN686)/VLOOKUP(F686,商品!$A$4:$D$67,4,FALSE),0),"")</f>
        <v/>
      </c>
      <c r="AF686" t="str">
        <f>IFERROR(H686&amp;"*"&amp;ROUND(L686*(I686/$AN686)/VLOOKUP(H686,商品!$A$4:$D$67,4,FALSE),0),"")</f>
        <v/>
      </c>
      <c r="AG686" t="str">
        <f>IFERROR(J686&amp;"*"&amp;ROUND(L686*(K686/$AN686)/VLOOKUP(J686,商品!$A$4:$D$67,4,FALSE),0),"")</f>
        <v/>
      </c>
      <c r="AH686" t="str">
        <f>IFERROR(M686&amp;"*"&amp;ROUND(S686*(N686/$AO686)/VLOOKUP(M686,职业!$A$3:$E$16,4,FALSE),0),"")</f>
        <v/>
      </c>
      <c r="AI686" t="str">
        <f>IFERROR(O686&amp;"*"&amp;ROUND(S686*(P686/$AO686)/VLOOKUP(O686,职业!$A$3:$E$16,4,FALSE),0),"")</f>
        <v/>
      </c>
      <c r="AK686" t="str">
        <f>IFERROR(T686&amp;"*"&amp;ROUND(X686*(U686/$AP686)/VLOOKUP(T686,商品!$A$4:$D$67,4,FALSE),0),"")</f>
        <v/>
      </c>
      <c r="AL686" t="str">
        <f>IFERROR(V686&amp;"*"&amp;ROUND(X686*(W686/$AP686)/VLOOKUP(V686,商品!$A$4:$D$67,4,FALSE),0),"")</f>
        <v/>
      </c>
      <c r="AN686">
        <f t="shared" si="85"/>
        <v>0</v>
      </c>
      <c r="AO686">
        <f t="shared" si="86"/>
        <v>0</v>
      </c>
      <c r="AP686">
        <f t="shared" si="87"/>
        <v>0</v>
      </c>
    </row>
    <row r="687" customHeight="1" spans="1:42">
      <c r="A687" s="18" t="s">
        <v>415</v>
      </c>
      <c r="C687" s="18">
        <v>1</v>
      </c>
      <c r="D687" s="1" t="s">
        <v>262</v>
      </c>
      <c r="E687" s="1" t="s">
        <v>225</v>
      </c>
      <c r="L687" s="1">
        <f>IFERROR(VLOOKUP($D687&amp;$C687,生产方式定位!$A$2:$E$38,2,FALSE)+VLOOKUP($E687&amp;$C687,生产方式定位!$F$3:$J$38,2,FALSE),0)</f>
        <v>0</v>
      </c>
      <c r="S687" s="1">
        <f>IFERROR(VLOOKUP($D687&amp;$C687,生产方式定位!$A$2:$E$38,3,FALSE)+VLOOKUP($E687&amp;$C687,生产方式定位!$F$3:$J$38,3,FALSE),0)</f>
        <v>3000</v>
      </c>
      <c r="X687" s="1">
        <f>IFERROR(VLOOKUP($D687&amp;$C687,生产方式定位!$A$2:$E$38,5,FALSE)+VLOOKUP($E687&amp;$C687,生产方式定位!$F$3:$J$38,5,FALSE),"错误")</f>
        <v>1500</v>
      </c>
      <c r="Y687" s="27" t="str">
        <f t="shared" si="80"/>
        <v/>
      </c>
      <c r="Z687" s="37" t="str">
        <f t="shared" si="81"/>
        <v/>
      </c>
      <c r="AA687" s="37" t="str">
        <f t="shared" si="82"/>
        <v/>
      </c>
      <c r="AB687" s="28">
        <f t="shared" si="83"/>
        <v>0</v>
      </c>
      <c r="AC687" s="37"/>
      <c r="AD687" s="38">
        <f t="shared" si="84"/>
        <v>1</v>
      </c>
      <c r="AE687" t="str">
        <f>IFERROR(F687&amp;"*"&amp;ROUND(L687*(G687/$AN687)/VLOOKUP(F687,商品!$A$4:$D$67,4,FALSE),0),"")</f>
        <v/>
      </c>
      <c r="AF687" t="str">
        <f>IFERROR(H687&amp;"*"&amp;ROUND(L687*(I687/$AN687)/VLOOKUP(H687,商品!$A$4:$D$67,4,FALSE),0),"")</f>
        <v/>
      </c>
      <c r="AG687" t="str">
        <f>IFERROR(J687&amp;"*"&amp;ROUND(L687*(K687/$AN687)/VLOOKUP(J687,商品!$A$4:$D$67,4,FALSE),0),"")</f>
        <v/>
      </c>
      <c r="AH687" t="str">
        <f>IFERROR(M687&amp;"*"&amp;ROUND(S687*(N687/$AO687)/VLOOKUP(M687,职业!$A$3:$E$16,4,FALSE),0),"")</f>
        <v/>
      </c>
      <c r="AI687" t="str">
        <f>IFERROR(O687&amp;"*"&amp;ROUND(S687*(P687/$AO687)/VLOOKUP(O687,职业!$A$3:$E$16,4,FALSE),0),"")</f>
        <v/>
      </c>
      <c r="AK687" t="str">
        <f>IFERROR(T687&amp;"*"&amp;ROUND(X687*(U687/$AP687)/VLOOKUP(T687,商品!$A$4:$D$67,4,FALSE),0),"")</f>
        <v/>
      </c>
      <c r="AL687" t="str">
        <f>IFERROR(V687&amp;"*"&amp;ROUND(X687*(W687/$AP687)/VLOOKUP(V687,商品!$A$4:$D$67,4,FALSE),0),"")</f>
        <v/>
      </c>
      <c r="AN687">
        <f t="shared" si="85"/>
        <v>0</v>
      </c>
      <c r="AO687">
        <f t="shared" si="86"/>
        <v>0</v>
      </c>
      <c r="AP687">
        <f t="shared" si="87"/>
        <v>0</v>
      </c>
    </row>
    <row r="688" customHeight="1" spans="1:42">
      <c r="A688" s="18" t="s">
        <v>415</v>
      </c>
      <c r="C688" s="18">
        <v>2</v>
      </c>
      <c r="D688" s="1" t="s">
        <v>262</v>
      </c>
      <c r="E688" s="1" t="s">
        <v>225</v>
      </c>
      <c r="L688" s="1">
        <f>IFERROR(VLOOKUP($D688&amp;$C688,生产方式定位!$A$2:$E$38,2,FALSE)+VLOOKUP($E688&amp;$C688,生产方式定位!$F$3:$J$38,2,FALSE),0)</f>
        <v>1500</v>
      </c>
      <c r="S688" s="1">
        <f>IFERROR(VLOOKUP($D688&amp;$C688,生产方式定位!$A$2:$E$38,3,FALSE)+VLOOKUP($E688&amp;$C688,生产方式定位!$F$3:$J$38,3,FALSE),0)</f>
        <v>4800</v>
      </c>
      <c r="X688" s="1">
        <f>IFERROR(VLOOKUP($D688&amp;$C688,生产方式定位!$A$2:$E$38,5,FALSE)+VLOOKUP($E688&amp;$C688,生产方式定位!$F$3:$J$38,5,FALSE),"错误")</f>
        <v>3195</v>
      </c>
      <c r="Y688" s="27" t="str">
        <f t="shared" si="80"/>
        <v/>
      </c>
      <c r="Z688" s="37" t="str">
        <f t="shared" si="81"/>
        <v/>
      </c>
      <c r="AA688" s="37" t="str">
        <f t="shared" si="82"/>
        <v/>
      </c>
      <c r="AB688" s="28">
        <f t="shared" si="83"/>
        <v>0.47</v>
      </c>
      <c r="AC688" s="37"/>
      <c r="AD688" s="38">
        <f t="shared" si="84"/>
        <v>2</v>
      </c>
      <c r="AE688" t="str">
        <f>IFERROR(F688&amp;"*"&amp;ROUND(L688*(G688/$AN688)/VLOOKUP(F688,商品!$A$4:$D$67,4,FALSE),0),"")</f>
        <v/>
      </c>
      <c r="AF688" t="str">
        <f>IFERROR(H688&amp;"*"&amp;ROUND(L688*(I688/$AN688)/VLOOKUP(H688,商品!$A$4:$D$67,4,FALSE),0),"")</f>
        <v/>
      </c>
      <c r="AG688" t="str">
        <f>IFERROR(J688&amp;"*"&amp;ROUND(L688*(K688/$AN688)/VLOOKUP(J688,商品!$A$4:$D$67,4,FALSE),0),"")</f>
        <v/>
      </c>
      <c r="AH688" t="str">
        <f>IFERROR(M688&amp;"*"&amp;ROUND(S688*(N688/$AO688)/VLOOKUP(M688,职业!$A$3:$E$16,4,FALSE),0),"")</f>
        <v/>
      </c>
      <c r="AI688" t="str">
        <f>IFERROR(O688&amp;"*"&amp;ROUND(S688*(P688/$AO688)/VLOOKUP(O688,职业!$A$3:$E$16,4,FALSE),0),"")</f>
        <v/>
      </c>
      <c r="AK688" t="str">
        <f>IFERROR(T688&amp;"*"&amp;ROUND(X688*(U688/$AP688)/VLOOKUP(T688,商品!$A$4:$D$67,4,FALSE),0),"")</f>
        <v/>
      </c>
      <c r="AL688" t="str">
        <f>IFERROR(V688&amp;"*"&amp;ROUND(X688*(W688/$AP688)/VLOOKUP(V688,商品!$A$4:$D$67,4,FALSE),0),"")</f>
        <v/>
      </c>
      <c r="AN688">
        <f t="shared" si="85"/>
        <v>0</v>
      </c>
      <c r="AO688">
        <f t="shared" si="86"/>
        <v>0</v>
      </c>
      <c r="AP688">
        <f t="shared" si="87"/>
        <v>0</v>
      </c>
    </row>
    <row r="689" customHeight="1" spans="1:42">
      <c r="A689" s="18" t="s">
        <v>415</v>
      </c>
      <c r="C689" s="18">
        <v>3</v>
      </c>
      <c r="D689" s="1" t="s">
        <v>262</v>
      </c>
      <c r="E689" s="1" t="s">
        <v>225</v>
      </c>
      <c r="L689" s="1">
        <f>IFERROR(VLOOKUP($D689&amp;$C689,生产方式定位!$A$2:$E$38,2,FALSE)+VLOOKUP($E689&amp;$C689,生产方式定位!$F$3:$J$38,2,FALSE),0)</f>
        <v>3000</v>
      </c>
      <c r="S689" s="1">
        <f>IFERROR(VLOOKUP($D689&amp;$C689,生产方式定位!$A$2:$E$38,3,FALSE)+VLOOKUP($E689&amp;$C689,生产方式定位!$F$3:$J$38,3,FALSE),0)</f>
        <v>5600</v>
      </c>
      <c r="X689" s="1">
        <f>IFERROR(VLOOKUP($D689&amp;$C689,生产方式定位!$A$2:$E$38,5,FALSE)+VLOOKUP($E689&amp;$C689,生产方式定位!$F$3:$J$38,5,FALSE),"错误")</f>
        <v>4450</v>
      </c>
      <c r="Y689" s="27" t="str">
        <f t="shared" si="80"/>
        <v/>
      </c>
      <c r="Z689" s="37" t="str">
        <f t="shared" si="81"/>
        <v/>
      </c>
      <c r="AA689" s="37" t="str">
        <f t="shared" si="82"/>
        <v/>
      </c>
      <c r="AB689" s="28">
        <f t="shared" si="83"/>
        <v>0.67</v>
      </c>
      <c r="AC689" s="37"/>
      <c r="AD689" s="38">
        <f t="shared" si="84"/>
        <v>3</v>
      </c>
      <c r="AE689" t="str">
        <f>IFERROR(F689&amp;"*"&amp;ROUND(L689*(G689/$AN689)/VLOOKUP(F689,商品!$A$4:$D$67,4,FALSE),0),"")</f>
        <v/>
      </c>
      <c r="AF689" t="str">
        <f>IFERROR(H689&amp;"*"&amp;ROUND(L689*(I689/$AN689)/VLOOKUP(H689,商品!$A$4:$D$67,4,FALSE),0),"")</f>
        <v/>
      </c>
      <c r="AG689" t="str">
        <f>IFERROR(J689&amp;"*"&amp;ROUND(L689*(K689/$AN689)/VLOOKUP(J689,商品!$A$4:$D$67,4,FALSE),0),"")</f>
        <v/>
      </c>
      <c r="AH689" t="str">
        <f>IFERROR(M689&amp;"*"&amp;ROUND(S689*(N689/$AO689)/VLOOKUP(M689,职业!$A$3:$E$16,4,FALSE),0),"")</f>
        <v/>
      </c>
      <c r="AI689" t="str">
        <f>IFERROR(O689&amp;"*"&amp;ROUND(S689*(P689/$AO689)/VLOOKUP(O689,职业!$A$3:$E$16,4,FALSE),0),"")</f>
        <v/>
      </c>
      <c r="AK689" t="str">
        <f>IFERROR(T689&amp;"*"&amp;ROUND(X689*(U689/$AP689)/VLOOKUP(T689,商品!$A$4:$D$67,4,FALSE),0),"")</f>
        <v/>
      </c>
      <c r="AL689" t="str">
        <f>IFERROR(V689&amp;"*"&amp;ROUND(X689*(W689/$AP689)/VLOOKUP(V689,商品!$A$4:$D$67,4,FALSE),0),"")</f>
        <v/>
      </c>
      <c r="AN689">
        <f t="shared" si="85"/>
        <v>0</v>
      </c>
      <c r="AO689">
        <f t="shared" si="86"/>
        <v>0</v>
      </c>
      <c r="AP689">
        <f t="shared" si="87"/>
        <v>0</v>
      </c>
    </row>
    <row r="690" customHeight="1" spans="1:42">
      <c r="A690" s="18" t="s">
        <v>415</v>
      </c>
      <c r="C690" s="18">
        <v>4</v>
      </c>
      <c r="D690" s="1" t="s">
        <v>262</v>
      </c>
      <c r="E690" s="1" t="s">
        <v>225</v>
      </c>
      <c r="L690" s="1">
        <f>IFERROR(VLOOKUP($D690&amp;$C690,生产方式定位!$A$2:$E$38,2,FALSE)+VLOOKUP($E690&amp;$C690,生产方式定位!$F$3:$J$38,2,FALSE),0)</f>
        <v>4500</v>
      </c>
      <c r="S690" s="1">
        <f>IFERROR(VLOOKUP($D690&amp;$C690,生产方式定位!$A$2:$E$38,3,FALSE)+VLOOKUP($E690&amp;$C690,生产方式定位!$F$3:$J$38,3,FALSE),0)</f>
        <v>6400</v>
      </c>
      <c r="X690" s="1">
        <f>IFERROR(VLOOKUP($D690&amp;$C690,生产方式定位!$A$2:$E$38,5,FALSE)+VLOOKUP($E690&amp;$C690,生产方式定位!$F$3:$J$38,5,FALSE),"错误")</f>
        <v>5765</v>
      </c>
      <c r="Y690" s="27" t="str">
        <f t="shared" si="80"/>
        <v/>
      </c>
      <c r="Z690" s="37" t="str">
        <f t="shared" si="81"/>
        <v/>
      </c>
      <c r="AA690" s="37" t="str">
        <f t="shared" si="82"/>
        <v/>
      </c>
      <c r="AB690" s="28">
        <f t="shared" si="83"/>
        <v>0.78</v>
      </c>
      <c r="AC690" s="37"/>
      <c r="AD690" s="38">
        <f t="shared" si="84"/>
        <v>4</v>
      </c>
      <c r="AE690" t="str">
        <f>IFERROR(F690&amp;"*"&amp;ROUND(L690*(G690/$AN690)/VLOOKUP(F690,商品!$A$4:$D$67,4,FALSE),0),"")</f>
        <v/>
      </c>
      <c r="AF690" t="str">
        <f>IFERROR(H690&amp;"*"&amp;ROUND(L690*(I690/$AN690)/VLOOKUP(H690,商品!$A$4:$D$67,4,FALSE),0),"")</f>
        <v/>
      </c>
      <c r="AG690" t="str">
        <f>IFERROR(J690&amp;"*"&amp;ROUND(L690*(K690/$AN690)/VLOOKUP(J690,商品!$A$4:$D$67,4,FALSE),0),"")</f>
        <v/>
      </c>
      <c r="AH690" t="str">
        <f>IFERROR(M690&amp;"*"&amp;ROUND(S690*(N690/$AO690)/VLOOKUP(M690,职业!$A$3:$E$16,4,FALSE),0),"")</f>
        <v/>
      </c>
      <c r="AI690" t="str">
        <f>IFERROR(O690&amp;"*"&amp;ROUND(S690*(P690/$AO690)/VLOOKUP(O690,职业!$A$3:$E$16,4,FALSE),0),"")</f>
        <v/>
      </c>
      <c r="AK690" t="str">
        <f>IFERROR(T690&amp;"*"&amp;ROUND(X690*(U690/$AP690)/VLOOKUP(T690,商品!$A$4:$D$67,4,FALSE),0),"")</f>
        <v/>
      </c>
      <c r="AL690" t="str">
        <f>IFERROR(V690&amp;"*"&amp;ROUND(X690*(W690/$AP690)/VLOOKUP(V690,商品!$A$4:$D$67,4,FALSE),0),"")</f>
        <v/>
      </c>
      <c r="AN690">
        <f t="shared" si="85"/>
        <v>0</v>
      </c>
      <c r="AO690">
        <f t="shared" si="86"/>
        <v>0</v>
      </c>
      <c r="AP690">
        <f t="shared" si="87"/>
        <v>0</v>
      </c>
    </row>
    <row r="691" customHeight="1" spans="1:42">
      <c r="A691" s="18" t="s">
        <v>415</v>
      </c>
      <c r="C691" s="18">
        <v>5</v>
      </c>
      <c r="D691" s="1" t="s">
        <v>262</v>
      </c>
      <c r="E691" s="1" t="s">
        <v>225</v>
      </c>
      <c r="L691" s="1">
        <f>IFERROR(VLOOKUP($D691&amp;$C691,生产方式定位!$A$2:$E$38,2,FALSE)+VLOOKUP($E691&amp;$C691,生产方式定位!$F$3:$J$38,2,FALSE),0)</f>
        <v>6000</v>
      </c>
      <c r="S691" s="1">
        <f>IFERROR(VLOOKUP($D691&amp;$C691,生产方式定位!$A$2:$E$38,3,FALSE)+VLOOKUP($E691&amp;$C691,生产方式定位!$F$3:$J$38,3,FALSE),0)</f>
        <v>7200</v>
      </c>
      <c r="X691" s="1">
        <f>IFERROR(VLOOKUP($D691&amp;$C691,生产方式定位!$A$2:$E$38,5,FALSE)+VLOOKUP($E691&amp;$C691,生产方式定位!$F$3:$J$38,5,FALSE),"错误")</f>
        <v>7163</v>
      </c>
      <c r="Y691" s="27" t="str">
        <f t="shared" si="80"/>
        <v/>
      </c>
      <c r="Z691" s="37" t="str">
        <f t="shared" si="81"/>
        <v/>
      </c>
      <c r="AA691" s="37" t="str">
        <f t="shared" si="82"/>
        <v/>
      </c>
      <c r="AB691" s="28">
        <f t="shared" si="83"/>
        <v>0.84</v>
      </c>
      <c r="AC691" s="37"/>
      <c r="AD691" s="38">
        <f t="shared" si="84"/>
        <v>5</v>
      </c>
      <c r="AE691" t="str">
        <f>IFERROR(F691&amp;"*"&amp;ROUND(L691*(G691/$AN691)/VLOOKUP(F691,商品!$A$4:$D$67,4,FALSE),0),"")</f>
        <v/>
      </c>
      <c r="AF691" t="str">
        <f>IFERROR(H691&amp;"*"&amp;ROUND(L691*(I691/$AN691)/VLOOKUP(H691,商品!$A$4:$D$67,4,FALSE),0),"")</f>
        <v/>
      </c>
      <c r="AG691" t="str">
        <f>IFERROR(J691&amp;"*"&amp;ROUND(L691*(K691/$AN691)/VLOOKUP(J691,商品!$A$4:$D$67,4,FALSE),0),"")</f>
        <v/>
      </c>
      <c r="AH691" t="str">
        <f>IFERROR(M691&amp;"*"&amp;ROUND(S691*(N691/$AO691)/VLOOKUP(M691,职业!$A$3:$E$16,4,FALSE),0),"")</f>
        <v/>
      </c>
      <c r="AI691" t="str">
        <f>IFERROR(O691&amp;"*"&amp;ROUND(S691*(P691/$AO691)/VLOOKUP(O691,职业!$A$3:$E$16,4,FALSE),0),"")</f>
        <v/>
      </c>
      <c r="AK691" t="str">
        <f>IFERROR(T691&amp;"*"&amp;ROUND(X691*(U691/$AP691)/VLOOKUP(T691,商品!$A$4:$D$67,4,FALSE),0),"")</f>
        <v/>
      </c>
      <c r="AL691" t="str">
        <f>IFERROR(V691&amp;"*"&amp;ROUND(X691*(W691/$AP691)/VLOOKUP(V691,商品!$A$4:$D$67,4,FALSE),0),"")</f>
        <v/>
      </c>
      <c r="AN691">
        <f t="shared" si="85"/>
        <v>0</v>
      </c>
      <c r="AO691">
        <f t="shared" si="86"/>
        <v>0</v>
      </c>
      <c r="AP691">
        <f t="shared" si="87"/>
        <v>0</v>
      </c>
    </row>
    <row r="692" customHeight="1" spans="1:42">
      <c r="A692" s="5" t="s">
        <v>416</v>
      </c>
      <c r="C692" s="5">
        <v>1</v>
      </c>
      <c r="D692" s="1" t="s">
        <v>262</v>
      </c>
      <c r="E692" s="1" t="s">
        <v>226</v>
      </c>
      <c r="L692" s="1">
        <f>IFERROR(VLOOKUP($D692&amp;$C692,生产方式定位!$A$2:$E$38,2,FALSE)+VLOOKUP($E692&amp;$C692,生产方式定位!$F$3:$J$38,2,FALSE),0)</f>
        <v>0</v>
      </c>
      <c r="S692" s="1">
        <f>IFERROR(VLOOKUP($D692&amp;$C692,生产方式定位!$A$2:$E$38,3,FALSE)+VLOOKUP($E692&amp;$C692,生产方式定位!$F$3:$J$38,3,FALSE),0)</f>
        <v>3000</v>
      </c>
      <c r="X692" s="1">
        <f>IFERROR(VLOOKUP($D692&amp;$C692,生产方式定位!$A$2:$E$38,5,FALSE)+VLOOKUP($E692&amp;$C692,生产方式定位!$F$3:$J$38,5,FALSE),"错误")</f>
        <v>1500</v>
      </c>
      <c r="Y692" s="27" t="str">
        <f t="shared" si="80"/>
        <v/>
      </c>
      <c r="Z692" s="37" t="str">
        <f t="shared" si="81"/>
        <v/>
      </c>
      <c r="AA692" s="37" t="str">
        <f t="shared" si="82"/>
        <v/>
      </c>
      <c r="AB692" s="28">
        <f t="shared" si="83"/>
        <v>0</v>
      </c>
      <c r="AC692" s="37"/>
      <c r="AD692" s="38">
        <f t="shared" si="84"/>
        <v>1</v>
      </c>
      <c r="AE692" t="str">
        <f>IFERROR(F692&amp;"*"&amp;ROUND(L692*(G692/$AN692)/VLOOKUP(F692,商品!$A$4:$D$67,4,FALSE),0),"")</f>
        <v/>
      </c>
      <c r="AF692" t="str">
        <f>IFERROR(H692&amp;"*"&amp;ROUND(L692*(I692/$AN692)/VLOOKUP(H692,商品!$A$4:$D$67,4,FALSE),0),"")</f>
        <v/>
      </c>
      <c r="AG692" t="str">
        <f>IFERROR(J692&amp;"*"&amp;ROUND(L692*(K692/$AN692)/VLOOKUP(J692,商品!$A$4:$D$67,4,FALSE),0),"")</f>
        <v/>
      </c>
      <c r="AH692" t="str">
        <f>IFERROR(M692&amp;"*"&amp;ROUND(S692*(N692/$AO692)/VLOOKUP(M692,职业!$A$3:$E$16,4,FALSE),0),"")</f>
        <v/>
      </c>
      <c r="AI692" t="str">
        <f>IFERROR(O692&amp;"*"&amp;ROUND(S692*(P692/$AO692)/VLOOKUP(O692,职业!$A$3:$E$16,4,FALSE),0),"")</f>
        <v/>
      </c>
      <c r="AK692" t="str">
        <f>IFERROR(T692&amp;"*"&amp;ROUND(X692*(U692/$AP692)/VLOOKUP(T692,商品!$A$4:$D$67,4,FALSE),0),"")</f>
        <v/>
      </c>
      <c r="AL692" t="str">
        <f>IFERROR(V692&amp;"*"&amp;ROUND(X692*(W692/$AP692)/VLOOKUP(V692,商品!$A$4:$D$67,4,FALSE),0),"")</f>
        <v/>
      </c>
      <c r="AN692">
        <f t="shared" si="85"/>
        <v>0</v>
      </c>
      <c r="AO692">
        <f t="shared" si="86"/>
        <v>0</v>
      </c>
      <c r="AP692">
        <f t="shared" si="87"/>
        <v>0</v>
      </c>
    </row>
    <row r="693" customHeight="1" spans="1:42">
      <c r="A693" s="5" t="s">
        <v>416</v>
      </c>
      <c r="C693" s="5">
        <v>2</v>
      </c>
      <c r="D693" s="1" t="s">
        <v>262</v>
      </c>
      <c r="E693" s="1" t="s">
        <v>226</v>
      </c>
      <c r="L693" s="1">
        <f>IFERROR(VLOOKUP($D693&amp;$C693,生产方式定位!$A$2:$E$38,2,FALSE)+VLOOKUP($E693&amp;$C693,生产方式定位!$F$3:$J$38,2,FALSE),0)</f>
        <v>2500</v>
      </c>
      <c r="S693" s="1">
        <f>IFERROR(VLOOKUP($D693&amp;$C693,生产方式定位!$A$2:$E$38,3,FALSE)+VLOOKUP($E693&amp;$C693,生产方式定位!$F$3:$J$38,3,FALSE),0)</f>
        <v>2600</v>
      </c>
      <c r="X693" s="1">
        <f>IFERROR(VLOOKUP($D693&amp;$C693,生产方式定位!$A$2:$E$38,5,FALSE)+VLOOKUP($E693&amp;$C693,生产方式定位!$F$3:$J$38,5,FALSE),"错误")</f>
        <v>2640</v>
      </c>
      <c r="Y693" s="27" t="str">
        <f t="shared" si="80"/>
        <v/>
      </c>
      <c r="Z693" s="37" t="str">
        <f t="shared" si="81"/>
        <v/>
      </c>
      <c r="AA693" s="37" t="str">
        <f t="shared" si="82"/>
        <v/>
      </c>
      <c r="AB693" s="28">
        <f t="shared" si="83"/>
        <v>0.95</v>
      </c>
      <c r="AC693" s="37"/>
      <c r="AD693" s="38">
        <f t="shared" si="84"/>
        <v>2</v>
      </c>
      <c r="AE693" t="str">
        <f>IFERROR(F693&amp;"*"&amp;ROUND(L693*(G693/$AN693)/VLOOKUP(F693,商品!$A$4:$D$67,4,FALSE),0),"")</f>
        <v/>
      </c>
      <c r="AF693" t="str">
        <f>IFERROR(H693&amp;"*"&amp;ROUND(L693*(I693/$AN693)/VLOOKUP(H693,商品!$A$4:$D$67,4,FALSE),0),"")</f>
        <v/>
      </c>
      <c r="AG693" t="str">
        <f>IFERROR(J693&amp;"*"&amp;ROUND(L693*(K693/$AN693)/VLOOKUP(J693,商品!$A$4:$D$67,4,FALSE),0),"")</f>
        <v/>
      </c>
      <c r="AH693" t="str">
        <f>IFERROR(M693&amp;"*"&amp;ROUND(S693*(N693/$AO693)/VLOOKUP(M693,职业!$A$3:$E$16,4,FALSE),0),"")</f>
        <v/>
      </c>
      <c r="AI693" t="str">
        <f>IFERROR(O693&amp;"*"&amp;ROUND(S693*(P693/$AO693)/VLOOKUP(O693,职业!$A$3:$E$16,4,FALSE),0),"")</f>
        <v/>
      </c>
      <c r="AK693" t="str">
        <f>IFERROR(T693&amp;"*"&amp;ROUND(X693*(U693/$AP693)/VLOOKUP(T693,商品!$A$4:$D$67,4,FALSE),0),"")</f>
        <v/>
      </c>
      <c r="AL693" t="str">
        <f>IFERROR(V693&amp;"*"&amp;ROUND(X693*(W693/$AP693)/VLOOKUP(V693,商品!$A$4:$D$67,4,FALSE),0),"")</f>
        <v/>
      </c>
      <c r="AN693">
        <f t="shared" si="85"/>
        <v>0</v>
      </c>
      <c r="AO693">
        <f t="shared" si="86"/>
        <v>0</v>
      </c>
      <c r="AP693">
        <f t="shared" si="87"/>
        <v>0</v>
      </c>
    </row>
    <row r="694" customHeight="1" spans="1:42">
      <c r="A694" s="5" t="s">
        <v>416</v>
      </c>
      <c r="C694" s="5">
        <v>3</v>
      </c>
      <c r="D694" s="1" t="s">
        <v>262</v>
      </c>
      <c r="E694" s="1" t="s">
        <v>226</v>
      </c>
      <c r="L694" s="1">
        <f>IFERROR(VLOOKUP($D694&amp;$C694,生产方式定位!$A$2:$E$38,2,FALSE)+VLOOKUP($E694&amp;$C694,生产方式定位!$F$3:$J$38,2,FALSE),0)</f>
        <v>4000</v>
      </c>
      <c r="S694" s="1">
        <f>IFERROR(VLOOKUP($D694&amp;$C694,生产方式定位!$A$2:$E$38,3,FALSE)+VLOOKUP($E694&amp;$C694,生产方式定位!$F$3:$J$38,3,FALSE),0)</f>
        <v>2200</v>
      </c>
      <c r="X694" s="1">
        <f>IFERROR(VLOOKUP($D694&amp;$C694,生产方式定位!$A$2:$E$38,5,FALSE)+VLOOKUP($E694&amp;$C694,生产方式定位!$F$3:$J$38,5,FALSE),"错误")</f>
        <v>3360</v>
      </c>
      <c r="Y694" s="27" t="str">
        <f t="shared" si="80"/>
        <v/>
      </c>
      <c r="Z694" s="37" t="str">
        <f t="shared" si="81"/>
        <v/>
      </c>
      <c r="AA694" s="37" t="str">
        <f t="shared" si="82"/>
        <v/>
      </c>
      <c r="AB694" s="28">
        <f t="shared" si="83"/>
        <v>1.19</v>
      </c>
      <c r="AC694" s="37"/>
      <c r="AD694" s="38">
        <f t="shared" si="84"/>
        <v>3</v>
      </c>
      <c r="AE694" t="str">
        <f>IFERROR(F694&amp;"*"&amp;ROUND(L694*(G694/$AN694)/VLOOKUP(F694,商品!$A$4:$D$67,4,FALSE),0),"")</f>
        <v/>
      </c>
      <c r="AF694" t="str">
        <f>IFERROR(H694&amp;"*"&amp;ROUND(L694*(I694/$AN694)/VLOOKUP(H694,商品!$A$4:$D$67,4,FALSE),0),"")</f>
        <v/>
      </c>
      <c r="AG694" t="str">
        <f>IFERROR(J694&amp;"*"&amp;ROUND(L694*(K694/$AN694)/VLOOKUP(J694,商品!$A$4:$D$67,4,FALSE),0),"")</f>
        <v/>
      </c>
      <c r="AH694" t="str">
        <f>IFERROR(M694&amp;"*"&amp;ROUND(S694*(N694/$AO694)/VLOOKUP(M694,职业!$A$3:$E$16,4,FALSE),0),"")</f>
        <v/>
      </c>
      <c r="AI694" t="str">
        <f>IFERROR(O694&amp;"*"&amp;ROUND(S694*(P694/$AO694)/VLOOKUP(O694,职业!$A$3:$E$16,4,FALSE),0),"")</f>
        <v/>
      </c>
      <c r="AK694" t="str">
        <f>IFERROR(T694&amp;"*"&amp;ROUND(X694*(U694/$AP694)/VLOOKUP(T694,商品!$A$4:$D$67,4,FALSE),0),"")</f>
        <v/>
      </c>
      <c r="AL694" t="str">
        <f>IFERROR(V694&amp;"*"&amp;ROUND(X694*(W694/$AP694)/VLOOKUP(V694,商品!$A$4:$D$67,4,FALSE),0),"")</f>
        <v/>
      </c>
      <c r="AN694">
        <f t="shared" si="85"/>
        <v>0</v>
      </c>
      <c r="AO694">
        <f t="shared" si="86"/>
        <v>0</v>
      </c>
      <c r="AP694">
        <f t="shared" si="87"/>
        <v>0</v>
      </c>
    </row>
    <row r="695" customHeight="1" spans="1:42">
      <c r="A695" s="5" t="s">
        <v>416</v>
      </c>
      <c r="C695" s="5">
        <v>4</v>
      </c>
      <c r="D695" s="1" t="s">
        <v>262</v>
      </c>
      <c r="E695" s="1" t="s">
        <v>226</v>
      </c>
      <c r="L695" s="1">
        <f>IFERROR(VLOOKUP($D695&amp;$C695,生产方式定位!$A$2:$E$38,2,FALSE)+VLOOKUP($E695&amp;$C695,生产方式定位!$F$3:$J$38,2,FALSE),0)</f>
        <v>5500</v>
      </c>
      <c r="S695" s="1">
        <f>IFERROR(VLOOKUP($D695&amp;$C695,生产方式定位!$A$2:$E$38,3,FALSE)+VLOOKUP($E695&amp;$C695,生产方式定位!$F$3:$J$38,3,FALSE),0)</f>
        <v>1800</v>
      </c>
      <c r="X695" s="1">
        <f>IFERROR(VLOOKUP($D695&amp;$C695,生产方式定位!$A$2:$E$38,5,FALSE)+VLOOKUP($E695&amp;$C695,生产方式定位!$F$3:$J$38,5,FALSE),"错误")</f>
        <v>4160</v>
      </c>
      <c r="Y695" s="27" t="str">
        <f t="shared" si="80"/>
        <v/>
      </c>
      <c r="Z695" s="37" t="str">
        <f t="shared" si="81"/>
        <v/>
      </c>
      <c r="AA695" s="37" t="str">
        <f t="shared" si="82"/>
        <v/>
      </c>
      <c r="AB695" s="28">
        <f t="shared" si="83"/>
        <v>1.32</v>
      </c>
      <c r="AC695" s="37"/>
      <c r="AD695" s="38">
        <f t="shared" si="84"/>
        <v>4</v>
      </c>
      <c r="AE695" t="str">
        <f>IFERROR(F695&amp;"*"&amp;ROUND(L695*(G695/$AN695)/VLOOKUP(F695,商品!$A$4:$D$67,4,FALSE),0),"")</f>
        <v/>
      </c>
      <c r="AF695" t="str">
        <f>IFERROR(H695&amp;"*"&amp;ROUND(L695*(I695/$AN695)/VLOOKUP(H695,商品!$A$4:$D$67,4,FALSE),0),"")</f>
        <v/>
      </c>
      <c r="AG695" t="str">
        <f>IFERROR(J695&amp;"*"&amp;ROUND(L695*(K695/$AN695)/VLOOKUP(J695,商品!$A$4:$D$67,4,FALSE),0),"")</f>
        <v/>
      </c>
      <c r="AH695" t="str">
        <f>IFERROR(M695&amp;"*"&amp;ROUND(S695*(N695/$AO695)/VLOOKUP(M695,职业!$A$3:$E$16,4,FALSE),0),"")</f>
        <v/>
      </c>
      <c r="AI695" t="str">
        <f>IFERROR(O695&amp;"*"&amp;ROUND(S695*(P695/$AO695)/VLOOKUP(O695,职业!$A$3:$E$16,4,FALSE),0),"")</f>
        <v/>
      </c>
      <c r="AK695" t="str">
        <f>IFERROR(T695&amp;"*"&amp;ROUND(X695*(U695/$AP695)/VLOOKUP(T695,商品!$A$4:$D$67,4,FALSE),0),"")</f>
        <v/>
      </c>
      <c r="AL695" t="str">
        <f>IFERROR(V695&amp;"*"&amp;ROUND(X695*(W695/$AP695)/VLOOKUP(V695,商品!$A$4:$D$67,4,FALSE),0),"")</f>
        <v/>
      </c>
      <c r="AN695">
        <f t="shared" si="85"/>
        <v>0</v>
      </c>
      <c r="AO695">
        <f t="shared" si="86"/>
        <v>0</v>
      </c>
      <c r="AP695">
        <f t="shared" si="87"/>
        <v>0</v>
      </c>
    </row>
    <row r="696" customHeight="1" spans="1:42">
      <c r="A696" s="5" t="s">
        <v>416</v>
      </c>
      <c r="C696" s="5">
        <v>5</v>
      </c>
      <c r="D696" s="1" t="s">
        <v>262</v>
      </c>
      <c r="E696" s="1" t="s">
        <v>226</v>
      </c>
      <c r="L696" s="1">
        <f>IFERROR(VLOOKUP($D696&amp;$C696,生产方式定位!$A$2:$E$38,2,FALSE)+VLOOKUP($E696&amp;$C696,生产方式定位!$F$3:$J$38,2,FALSE),0)</f>
        <v>7000</v>
      </c>
      <c r="S696" s="1">
        <f>IFERROR(VLOOKUP($D696&amp;$C696,生产方式定位!$A$2:$E$38,3,FALSE)+VLOOKUP($E696&amp;$C696,生产方式定位!$F$3:$J$38,3,FALSE),0)</f>
        <v>1400</v>
      </c>
      <c r="X696" s="1">
        <f>IFERROR(VLOOKUP($D696&amp;$C696,生产方式定位!$A$2:$E$38,5,FALSE)+VLOOKUP($E696&amp;$C696,生产方式定位!$F$3:$J$38,5,FALSE),"错误")</f>
        <v>5040</v>
      </c>
      <c r="Y696" s="27" t="str">
        <f t="shared" si="80"/>
        <v/>
      </c>
      <c r="Z696" s="37" t="str">
        <f t="shared" si="81"/>
        <v/>
      </c>
      <c r="AA696" s="37" t="str">
        <f t="shared" si="82"/>
        <v/>
      </c>
      <c r="AB696" s="28">
        <f t="shared" si="83"/>
        <v>1.39</v>
      </c>
      <c r="AC696" s="37"/>
      <c r="AD696" s="38">
        <f t="shared" si="84"/>
        <v>5</v>
      </c>
      <c r="AE696" t="str">
        <f>IFERROR(F696&amp;"*"&amp;ROUND(L696*(G696/$AN696)/VLOOKUP(F696,商品!$A$4:$D$67,4,FALSE),0),"")</f>
        <v/>
      </c>
      <c r="AF696" t="str">
        <f>IFERROR(H696&amp;"*"&amp;ROUND(L696*(I696/$AN696)/VLOOKUP(H696,商品!$A$4:$D$67,4,FALSE),0),"")</f>
        <v/>
      </c>
      <c r="AG696" t="str">
        <f>IFERROR(J696&amp;"*"&amp;ROUND(L696*(K696/$AN696)/VLOOKUP(J696,商品!$A$4:$D$67,4,FALSE),0),"")</f>
        <v/>
      </c>
      <c r="AH696" t="str">
        <f>IFERROR(M696&amp;"*"&amp;ROUND(S696*(N696/$AO696)/VLOOKUP(M696,职业!$A$3:$E$16,4,FALSE),0),"")</f>
        <v/>
      </c>
      <c r="AI696" t="str">
        <f>IFERROR(O696&amp;"*"&amp;ROUND(S696*(P696/$AO696)/VLOOKUP(O696,职业!$A$3:$E$16,4,FALSE),0),"")</f>
        <v/>
      </c>
      <c r="AK696" t="str">
        <f>IFERROR(T696&amp;"*"&amp;ROUND(X696*(U696/$AP696)/VLOOKUP(T696,商品!$A$4:$D$67,4,FALSE),0),"")</f>
        <v/>
      </c>
      <c r="AL696" t="str">
        <f>IFERROR(V696&amp;"*"&amp;ROUND(X696*(W696/$AP696)/VLOOKUP(V696,商品!$A$4:$D$67,4,FALSE),0),"")</f>
        <v/>
      </c>
      <c r="AN696">
        <f t="shared" si="85"/>
        <v>0</v>
      </c>
      <c r="AO696">
        <f t="shared" si="86"/>
        <v>0</v>
      </c>
      <c r="AP696">
        <f t="shared" si="87"/>
        <v>0</v>
      </c>
    </row>
    <row r="697" customHeight="1" spans="1:42">
      <c r="A697" s="18" t="s">
        <v>416</v>
      </c>
      <c r="C697" s="18">
        <v>1</v>
      </c>
      <c r="D697" s="1" t="s">
        <v>262</v>
      </c>
      <c r="E697" s="1" t="s">
        <v>226</v>
      </c>
      <c r="L697" s="1">
        <f>IFERROR(VLOOKUP($D697&amp;$C697,生产方式定位!$A$2:$E$38,2,FALSE)+VLOOKUP($E697&amp;$C697,生产方式定位!$F$3:$J$38,2,FALSE),0)</f>
        <v>0</v>
      </c>
      <c r="S697" s="1">
        <f>IFERROR(VLOOKUP($D697&amp;$C697,生产方式定位!$A$2:$E$38,3,FALSE)+VLOOKUP($E697&amp;$C697,生产方式定位!$F$3:$J$38,3,FALSE),0)</f>
        <v>3000</v>
      </c>
      <c r="X697" s="1">
        <f>IFERROR(VLOOKUP($D697&amp;$C697,生产方式定位!$A$2:$E$38,5,FALSE)+VLOOKUP($E697&amp;$C697,生产方式定位!$F$3:$J$38,5,FALSE),"错误")</f>
        <v>1500</v>
      </c>
      <c r="Y697" s="27" t="str">
        <f t="shared" si="80"/>
        <v/>
      </c>
      <c r="Z697" s="37" t="str">
        <f t="shared" si="81"/>
        <v/>
      </c>
      <c r="AA697" s="37" t="str">
        <f t="shared" si="82"/>
        <v/>
      </c>
      <c r="AB697" s="28">
        <f t="shared" si="83"/>
        <v>0</v>
      </c>
      <c r="AC697" s="37"/>
      <c r="AD697" s="38">
        <f t="shared" si="84"/>
        <v>1</v>
      </c>
      <c r="AE697" t="str">
        <f>IFERROR(F697&amp;"*"&amp;ROUND(L697*(G697/$AN697)/VLOOKUP(F697,商品!$A$4:$D$67,4,FALSE),0),"")</f>
        <v/>
      </c>
      <c r="AF697" t="str">
        <f>IFERROR(H697&amp;"*"&amp;ROUND(L697*(I697/$AN697)/VLOOKUP(H697,商品!$A$4:$D$67,4,FALSE),0),"")</f>
        <v/>
      </c>
      <c r="AG697" t="str">
        <f>IFERROR(J697&amp;"*"&amp;ROUND(L697*(K697/$AN697)/VLOOKUP(J697,商品!$A$4:$D$67,4,FALSE),0),"")</f>
        <v/>
      </c>
      <c r="AH697" t="str">
        <f>IFERROR(M697&amp;"*"&amp;ROUND(S697*(N697/$AO697)/VLOOKUP(M697,职业!$A$3:$E$16,4,FALSE),0),"")</f>
        <v/>
      </c>
      <c r="AI697" t="str">
        <f>IFERROR(O697&amp;"*"&amp;ROUND(S697*(P697/$AO697)/VLOOKUP(O697,职业!$A$3:$E$16,4,FALSE),0),"")</f>
        <v/>
      </c>
      <c r="AK697" t="str">
        <f>IFERROR(T697&amp;"*"&amp;ROUND(X697*(U697/$AP697)/VLOOKUP(T697,商品!$A$4:$D$67,4,FALSE),0),"")</f>
        <v/>
      </c>
      <c r="AL697" t="str">
        <f>IFERROR(V697&amp;"*"&amp;ROUND(X697*(W697/$AP697)/VLOOKUP(V697,商品!$A$4:$D$67,4,FALSE),0),"")</f>
        <v/>
      </c>
      <c r="AN697">
        <f t="shared" si="85"/>
        <v>0</v>
      </c>
      <c r="AO697">
        <f t="shared" si="86"/>
        <v>0</v>
      </c>
      <c r="AP697">
        <f t="shared" si="87"/>
        <v>0</v>
      </c>
    </row>
    <row r="698" customHeight="1" spans="1:42">
      <c r="A698" s="18" t="s">
        <v>416</v>
      </c>
      <c r="C698" s="18">
        <v>2</v>
      </c>
      <c r="D698" s="1" t="s">
        <v>262</v>
      </c>
      <c r="E698" s="1" t="s">
        <v>226</v>
      </c>
      <c r="L698" s="1">
        <f>IFERROR(VLOOKUP($D698&amp;$C698,生产方式定位!$A$2:$E$38,2,FALSE)+VLOOKUP($E698&amp;$C698,生产方式定位!$F$3:$J$38,2,FALSE),0)</f>
        <v>2500</v>
      </c>
      <c r="S698" s="1">
        <f>IFERROR(VLOOKUP($D698&amp;$C698,生产方式定位!$A$2:$E$38,3,FALSE)+VLOOKUP($E698&amp;$C698,生产方式定位!$F$3:$J$38,3,FALSE),0)</f>
        <v>2600</v>
      </c>
      <c r="X698" s="1">
        <f>IFERROR(VLOOKUP($D698&amp;$C698,生产方式定位!$A$2:$E$38,5,FALSE)+VLOOKUP($E698&amp;$C698,生产方式定位!$F$3:$J$38,5,FALSE),"错误")</f>
        <v>2640</v>
      </c>
      <c r="Y698" s="27" t="str">
        <f t="shared" si="80"/>
        <v/>
      </c>
      <c r="Z698" s="37" t="str">
        <f t="shared" si="81"/>
        <v/>
      </c>
      <c r="AA698" s="37" t="str">
        <f t="shared" si="82"/>
        <v/>
      </c>
      <c r="AB698" s="28">
        <f t="shared" si="83"/>
        <v>0.95</v>
      </c>
      <c r="AC698" s="37"/>
      <c r="AD698" s="38">
        <f t="shared" si="84"/>
        <v>2</v>
      </c>
      <c r="AE698" t="str">
        <f>IFERROR(F698&amp;"*"&amp;ROUND(L698*(G698/$AN698)/VLOOKUP(F698,商品!$A$4:$D$67,4,FALSE),0),"")</f>
        <v/>
      </c>
      <c r="AF698" t="str">
        <f>IFERROR(H698&amp;"*"&amp;ROUND(L698*(I698/$AN698)/VLOOKUP(H698,商品!$A$4:$D$67,4,FALSE),0),"")</f>
        <v/>
      </c>
      <c r="AG698" t="str">
        <f>IFERROR(J698&amp;"*"&amp;ROUND(L698*(K698/$AN698)/VLOOKUP(J698,商品!$A$4:$D$67,4,FALSE),0),"")</f>
        <v/>
      </c>
      <c r="AH698" t="str">
        <f>IFERROR(M698&amp;"*"&amp;ROUND(S698*(N698/$AO698)/VLOOKUP(M698,职业!$A$3:$E$16,4,FALSE),0),"")</f>
        <v/>
      </c>
      <c r="AI698" t="str">
        <f>IFERROR(O698&amp;"*"&amp;ROUND(S698*(P698/$AO698)/VLOOKUP(O698,职业!$A$3:$E$16,4,FALSE),0),"")</f>
        <v/>
      </c>
      <c r="AK698" t="str">
        <f>IFERROR(T698&amp;"*"&amp;ROUND(X698*(U698/$AP698)/VLOOKUP(T698,商品!$A$4:$D$67,4,FALSE),0),"")</f>
        <v/>
      </c>
      <c r="AL698" t="str">
        <f>IFERROR(V698&amp;"*"&amp;ROUND(X698*(W698/$AP698)/VLOOKUP(V698,商品!$A$4:$D$67,4,FALSE),0),"")</f>
        <v/>
      </c>
      <c r="AN698">
        <f t="shared" si="85"/>
        <v>0</v>
      </c>
      <c r="AO698">
        <f t="shared" si="86"/>
        <v>0</v>
      </c>
      <c r="AP698">
        <f t="shared" si="87"/>
        <v>0</v>
      </c>
    </row>
    <row r="699" customHeight="1" spans="1:42">
      <c r="A699" s="18" t="s">
        <v>416</v>
      </c>
      <c r="C699" s="18">
        <v>3</v>
      </c>
      <c r="D699" s="1" t="s">
        <v>262</v>
      </c>
      <c r="E699" s="1" t="s">
        <v>226</v>
      </c>
      <c r="L699" s="1">
        <f>IFERROR(VLOOKUP($D699&amp;$C699,生产方式定位!$A$2:$E$38,2,FALSE)+VLOOKUP($E699&amp;$C699,生产方式定位!$F$3:$J$38,2,FALSE),0)</f>
        <v>4000</v>
      </c>
      <c r="S699" s="1">
        <f>IFERROR(VLOOKUP($D699&amp;$C699,生产方式定位!$A$2:$E$38,3,FALSE)+VLOOKUP($E699&amp;$C699,生产方式定位!$F$3:$J$38,3,FALSE),0)</f>
        <v>2200</v>
      </c>
      <c r="X699" s="1">
        <f>IFERROR(VLOOKUP($D699&amp;$C699,生产方式定位!$A$2:$E$38,5,FALSE)+VLOOKUP($E699&amp;$C699,生产方式定位!$F$3:$J$38,5,FALSE),"错误")</f>
        <v>3360</v>
      </c>
      <c r="Y699" s="27" t="str">
        <f t="shared" si="80"/>
        <v/>
      </c>
      <c r="Z699" s="37" t="str">
        <f t="shared" si="81"/>
        <v/>
      </c>
      <c r="AA699" s="37" t="str">
        <f t="shared" si="82"/>
        <v/>
      </c>
      <c r="AB699" s="28">
        <f t="shared" si="83"/>
        <v>1.19</v>
      </c>
      <c r="AC699" s="37"/>
      <c r="AD699" s="38">
        <f t="shared" si="84"/>
        <v>3</v>
      </c>
      <c r="AE699" t="str">
        <f>IFERROR(F699&amp;"*"&amp;ROUND(L699*(G699/$AN699)/VLOOKUP(F699,商品!$A$4:$D$67,4,FALSE),0),"")</f>
        <v/>
      </c>
      <c r="AF699" t="str">
        <f>IFERROR(H699&amp;"*"&amp;ROUND(L699*(I699/$AN699)/VLOOKUP(H699,商品!$A$4:$D$67,4,FALSE),0),"")</f>
        <v/>
      </c>
      <c r="AG699" t="str">
        <f>IFERROR(J699&amp;"*"&amp;ROUND(L699*(K699/$AN699)/VLOOKUP(J699,商品!$A$4:$D$67,4,FALSE),0),"")</f>
        <v/>
      </c>
      <c r="AH699" t="str">
        <f>IFERROR(M699&amp;"*"&amp;ROUND(S699*(N699/$AO699)/VLOOKUP(M699,职业!$A$3:$E$16,4,FALSE),0),"")</f>
        <v/>
      </c>
      <c r="AI699" t="str">
        <f>IFERROR(O699&amp;"*"&amp;ROUND(S699*(P699/$AO699)/VLOOKUP(O699,职业!$A$3:$E$16,4,FALSE),0),"")</f>
        <v/>
      </c>
      <c r="AK699" t="str">
        <f>IFERROR(T699&amp;"*"&amp;ROUND(X699*(U699/$AP699)/VLOOKUP(T699,商品!$A$4:$D$67,4,FALSE),0),"")</f>
        <v/>
      </c>
      <c r="AL699" t="str">
        <f>IFERROR(V699&amp;"*"&amp;ROUND(X699*(W699/$AP699)/VLOOKUP(V699,商品!$A$4:$D$67,4,FALSE),0),"")</f>
        <v/>
      </c>
      <c r="AN699">
        <f t="shared" si="85"/>
        <v>0</v>
      </c>
      <c r="AO699">
        <f t="shared" si="86"/>
        <v>0</v>
      </c>
      <c r="AP699">
        <f t="shared" si="87"/>
        <v>0</v>
      </c>
    </row>
    <row r="700" customHeight="1" spans="1:42">
      <c r="A700" s="18" t="s">
        <v>416</v>
      </c>
      <c r="C700" s="18">
        <v>4</v>
      </c>
      <c r="D700" s="1" t="s">
        <v>262</v>
      </c>
      <c r="E700" s="1" t="s">
        <v>226</v>
      </c>
      <c r="L700" s="1">
        <f>IFERROR(VLOOKUP($D700&amp;$C700,生产方式定位!$A$2:$E$38,2,FALSE)+VLOOKUP($E700&amp;$C700,生产方式定位!$F$3:$J$38,2,FALSE),0)</f>
        <v>5500</v>
      </c>
      <c r="S700" s="1">
        <f>IFERROR(VLOOKUP($D700&amp;$C700,生产方式定位!$A$2:$E$38,3,FALSE)+VLOOKUP($E700&amp;$C700,生产方式定位!$F$3:$J$38,3,FALSE),0)</f>
        <v>1800</v>
      </c>
      <c r="X700" s="1">
        <f>IFERROR(VLOOKUP($D700&amp;$C700,生产方式定位!$A$2:$E$38,5,FALSE)+VLOOKUP($E700&amp;$C700,生产方式定位!$F$3:$J$38,5,FALSE),"错误")</f>
        <v>4160</v>
      </c>
      <c r="Y700" s="27" t="str">
        <f t="shared" si="80"/>
        <v/>
      </c>
      <c r="Z700" s="37" t="str">
        <f t="shared" si="81"/>
        <v/>
      </c>
      <c r="AA700" s="37" t="str">
        <f t="shared" si="82"/>
        <v/>
      </c>
      <c r="AB700" s="28">
        <f t="shared" si="83"/>
        <v>1.32</v>
      </c>
      <c r="AC700" s="37"/>
      <c r="AD700" s="38">
        <f t="shared" si="84"/>
        <v>4</v>
      </c>
      <c r="AE700" t="str">
        <f>IFERROR(F700&amp;"*"&amp;ROUND(L700*(G700/$AN700)/VLOOKUP(F700,商品!$A$4:$D$67,4,FALSE),0),"")</f>
        <v/>
      </c>
      <c r="AF700" t="str">
        <f>IFERROR(H700&amp;"*"&amp;ROUND(L700*(I700/$AN700)/VLOOKUP(H700,商品!$A$4:$D$67,4,FALSE),0),"")</f>
        <v/>
      </c>
      <c r="AG700" t="str">
        <f>IFERROR(J700&amp;"*"&amp;ROUND(L700*(K700/$AN700)/VLOOKUP(J700,商品!$A$4:$D$67,4,FALSE),0),"")</f>
        <v/>
      </c>
      <c r="AH700" t="str">
        <f>IFERROR(M700&amp;"*"&amp;ROUND(S700*(N700/$AO700)/VLOOKUP(M700,职业!$A$3:$E$16,4,FALSE),0),"")</f>
        <v/>
      </c>
      <c r="AI700" t="str">
        <f>IFERROR(O700&amp;"*"&amp;ROUND(S700*(P700/$AO700)/VLOOKUP(O700,职业!$A$3:$E$16,4,FALSE),0),"")</f>
        <v/>
      </c>
      <c r="AK700" t="str">
        <f>IFERROR(T700&amp;"*"&amp;ROUND(X700*(U700/$AP700)/VLOOKUP(T700,商品!$A$4:$D$67,4,FALSE),0),"")</f>
        <v/>
      </c>
      <c r="AL700" t="str">
        <f>IFERROR(V700&amp;"*"&amp;ROUND(X700*(W700/$AP700)/VLOOKUP(V700,商品!$A$4:$D$67,4,FALSE),0),"")</f>
        <v/>
      </c>
      <c r="AN700">
        <f t="shared" si="85"/>
        <v>0</v>
      </c>
      <c r="AO700">
        <f t="shared" si="86"/>
        <v>0</v>
      </c>
      <c r="AP700">
        <f t="shared" si="87"/>
        <v>0</v>
      </c>
    </row>
    <row r="701" customHeight="1" spans="1:42">
      <c r="A701" s="18" t="s">
        <v>416</v>
      </c>
      <c r="C701" s="18">
        <v>5</v>
      </c>
      <c r="D701" s="1" t="s">
        <v>262</v>
      </c>
      <c r="E701" s="1" t="s">
        <v>226</v>
      </c>
      <c r="L701" s="1">
        <f>IFERROR(VLOOKUP($D701&amp;$C701,生产方式定位!$A$2:$E$38,2,FALSE)+VLOOKUP($E701&amp;$C701,生产方式定位!$F$3:$J$38,2,FALSE),0)</f>
        <v>7000</v>
      </c>
      <c r="S701" s="1">
        <f>IFERROR(VLOOKUP($D701&amp;$C701,生产方式定位!$A$2:$E$38,3,FALSE)+VLOOKUP($E701&amp;$C701,生产方式定位!$F$3:$J$38,3,FALSE),0)</f>
        <v>1400</v>
      </c>
      <c r="X701" s="1">
        <f>IFERROR(VLOOKUP($D701&amp;$C701,生产方式定位!$A$2:$E$38,5,FALSE)+VLOOKUP($E701&amp;$C701,生产方式定位!$F$3:$J$38,5,FALSE),"错误")</f>
        <v>5040</v>
      </c>
      <c r="Y701" s="27" t="str">
        <f t="shared" si="80"/>
        <v/>
      </c>
      <c r="Z701" s="37" t="str">
        <f t="shared" si="81"/>
        <v/>
      </c>
      <c r="AA701" s="37" t="str">
        <f t="shared" si="82"/>
        <v/>
      </c>
      <c r="AB701" s="28">
        <f t="shared" si="83"/>
        <v>1.39</v>
      </c>
      <c r="AC701" s="37"/>
      <c r="AD701" s="38">
        <f t="shared" si="84"/>
        <v>5</v>
      </c>
      <c r="AE701" t="str">
        <f>IFERROR(F701&amp;"*"&amp;ROUND(L701*(G701/$AN701)/VLOOKUP(F701,商品!$A$4:$D$67,4,FALSE),0),"")</f>
        <v/>
      </c>
      <c r="AF701" t="str">
        <f>IFERROR(H701&amp;"*"&amp;ROUND(L701*(I701/$AN701)/VLOOKUP(H701,商品!$A$4:$D$67,4,FALSE),0),"")</f>
        <v/>
      </c>
      <c r="AG701" t="str">
        <f>IFERROR(J701&amp;"*"&amp;ROUND(L701*(K701/$AN701)/VLOOKUP(J701,商品!$A$4:$D$67,4,FALSE),0),"")</f>
        <v/>
      </c>
      <c r="AH701" t="str">
        <f>IFERROR(M701&amp;"*"&amp;ROUND(S701*(N701/$AO701)/VLOOKUP(M701,职业!$A$3:$E$16,4,FALSE),0),"")</f>
        <v/>
      </c>
      <c r="AI701" t="str">
        <f>IFERROR(O701&amp;"*"&amp;ROUND(S701*(P701/$AO701)/VLOOKUP(O701,职业!$A$3:$E$16,4,FALSE),0),"")</f>
        <v/>
      </c>
      <c r="AK701" t="str">
        <f>IFERROR(T701&amp;"*"&amp;ROUND(X701*(U701/$AP701)/VLOOKUP(T701,商品!$A$4:$D$67,4,FALSE),0),"")</f>
        <v/>
      </c>
      <c r="AL701" t="str">
        <f>IFERROR(V701&amp;"*"&amp;ROUND(X701*(W701/$AP701)/VLOOKUP(V701,商品!$A$4:$D$67,4,FALSE),0),"")</f>
        <v/>
      </c>
      <c r="AN701">
        <f t="shared" si="85"/>
        <v>0</v>
      </c>
      <c r="AO701">
        <f t="shared" si="86"/>
        <v>0</v>
      </c>
      <c r="AP701">
        <f t="shared" si="87"/>
        <v>0</v>
      </c>
    </row>
    <row r="702" customHeight="1" spans="1:42">
      <c r="A702" s="5" t="s">
        <v>417</v>
      </c>
      <c r="C702" s="5">
        <v>1</v>
      </c>
      <c r="D702" s="1" t="s">
        <v>293</v>
      </c>
      <c r="E702" s="1" t="s">
        <v>227</v>
      </c>
      <c r="L702" s="1">
        <f>IFERROR(VLOOKUP($D702&amp;$C702,生产方式定位!$A$2:$E$38,2,FALSE)+VLOOKUP($E702&amp;$C702,生产方式定位!$F$3:$J$38,2,FALSE),0)</f>
        <v>0</v>
      </c>
      <c r="S702" s="1">
        <f>IFERROR(VLOOKUP($D702&amp;$C702,生产方式定位!$A$2:$E$38,3,FALSE)+VLOOKUP($E702&amp;$C702,生产方式定位!$F$3:$J$38,3,FALSE),0)</f>
        <v>0</v>
      </c>
      <c r="X702" s="1">
        <f>IFERROR(VLOOKUP($D702&amp;$C702,生产方式定位!$A$2:$E$38,5,FALSE)+VLOOKUP($E702&amp;$C702,生产方式定位!$F$3:$J$38,5,FALSE),"错误")</f>
        <v>0</v>
      </c>
      <c r="Y702" s="27" t="str">
        <f t="shared" si="80"/>
        <v/>
      </c>
      <c r="Z702" s="37" t="str">
        <f t="shared" si="81"/>
        <v/>
      </c>
      <c r="AA702" s="37" t="str">
        <f t="shared" si="82"/>
        <v/>
      </c>
      <c r="AB702" s="28" t="str">
        <f t="shared" si="83"/>
        <v/>
      </c>
      <c r="AC702" s="37"/>
      <c r="AD702" s="38">
        <f t="shared" si="84"/>
        <v>1</v>
      </c>
      <c r="AE702" t="str">
        <f>IFERROR(F702&amp;"*"&amp;ROUND(L702*(G702/$AN702)/VLOOKUP(F702,商品!$A$4:$D$67,4,FALSE),0),"")</f>
        <v/>
      </c>
      <c r="AF702" t="str">
        <f>IFERROR(H702&amp;"*"&amp;ROUND(L702*(I702/$AN702)/VLOOKUP(H702,商品!$A$4:$D$67,4,FALSE),0),"")</f>
        <v/>
      </c>
      <c r="AG702" t="str">
        <f>IFERROR(J702&amp;"*"&amp;ROUND(L702*(K702/$AN702)/VLOOKUP(J702,商品!$A$4:$D$67,4,FALSE),0),"")</f>
        <v/>
      </c>
      <c r="AH702" t="str">
        <f>IFERROR(M702&amp;"*"&amp;ROUND(S702*(N702/$AO702)/VLOOKUP(M702,职业!$A$3:$E$16,4,FALSE),0),"")</f>
        <v/>
      </c>
      <c r="AI702" t="str">
        <f>IFERROR(O702&amp;"*"&amp;ROUND(S702*(P702/$AO702)/VLOOKUP(O702,职业!$A$3:$E$16,4,FALSE),0),"")</f>
        <v/>
      </c>
      <c r="AK702" t="str">
        <f>IFERROR(T702&amp;"*"&amp;ROUND(X702*(U702/$AP702)/VLOOKUP(T702,商品!$A$4:$D$67,4,FALSE),0),"")</f>
        <v/>
      </c>
      <c r="AL702" t="str">
        <f>IFERROR(V702&amp;"*"&amp;ROUND(X702*(W702/$AP702)/VLOOKUP(V702,商品!$A$4:$D$67,4,FALSE),0),"")</f>
        <v/>
      </c>
      <c r="AN702">
        <f t="shared" si="85"/>
        <v>0</v>
      </c>
      <c r="AO702">
        <f t="shared" si="86"/>
        <v>0</v>
      </c>
      <c r="AP702">
        <f t="shared" si="87"/>
        <v>0</v>
      </c>
    </row>
    <row r="703" customHeight="1" spans="1:42">
      <c r="A703" s="5" t="s">
        <v>417</v>
      </c>
      <c r="C703" s="5">
        <v>2</v>
      </c>
      <c r="D703" s="1" t="s">
        <v>293</v>
      </c>
      <c r="E703" s="1" t="s">
        <v>227</v>
      </c>
      <c r="L703" s="1">
        <f>IFERROR(VLOOKUP($D703&amp;$C703,生产方式定位!$A$2:$E$38,2,FALSE)+VLOOKUP($E703&amp;$C703,生产方式定位!$F$3:$J$38,2,FALSE),0)</f>
        <v>0</v>
      </c>
      <c r="S703" s="1">
        <f>IFERROR(VLOOKUP($D703&amp;$C703,生产方式定位!$A$2:$E$38,3,FALSE)+VLOOKUP($E703&amp;$C703,生产方式定位!$F$3:$J$38,3,FALSE),0)</f>
        <v>0</v>
      </c>
      <c r="X703" s="1">
        <f>IFERROR(VLOOKUP($D703&amp;$C703,生产方式定位!$A$2:$E$38,5,FALSE)+VLOOKUP($E703&amp;$C703,生产方式定位!$F$3:$J$38,5,FALSE),"错误")</f>
        <v>0</v>
      </c>
      <c r="Y703" s="27" t="str">
        <f t="shared" si="80"/>
        <v/>
      </c>
      <c r="Z703" s="37" t="str">
        <f t="shared" si="81"/>
        <v/>
      </c>
      <c r="AA703" s="37" t="str">
        <f t="shared" si="82"/>
        <v/>
      </c>
      <c r="AB703" s="28" t="str">
        <f t="shared" si="83"/>
        <v/>
      </c>
      <c r="AC703" s="37"/>
      <c r="AD703" s="38">
        <f t="shared" si="84"/>
        <v>2</v>
      </c>
      <c r="AE703" t="str">
        <f>IFERROR(F703&amp;"*"&amp;ROUND(L703*(G703/$AN703)/VLOOKUP(F703,商品!$A$4:$D$67,4,FALSE),0),"")</f>
        <v/>
      </c>
      <c r="AF703" t="str">
        <f>IFERROR(H703&amp;"*"&amp;ROUND(L703*(I703/$AN703)/VLOOKUP(H703,商品!$A$4:$D$67,4,FALSE),0),"")</f>
        <v/>
      </c>
      <c r="AG703" t="str">
        <f>IFERROR(J703&amp;"*"&amp;ROUND(L703*(K703/$AN703)/VLOOKUP(J703,商品!$A$4:$D$67,4,FALSE),0),"")</f>
        <v/>
      </c>
      <c r="AH703" t="str">
        <f>IFERROR(M703&amp;"*"&amp;ROUND(S703*(N703/$AO703)/VLOOKUP(M703,职业!$A$3:$E$16,4,FALSE),0),"")</f>
        <v/>
      </c>
      <c r="AI703" t="str">
        <f>IFERROR(O703&amp;"*"&amp;ROUND(S703*(P703/$AO703)/VLOOKUP(O703,职业!$A$3:$E$16,4,FALSE),0),"")</f>
        <v/>
      </c>
      <c r="AK703" t="str">
        <f>IFERROR(T703&amp;"*"&amp;ROUND(X703*(U703/$AP703)/VLOOKUP(T703,商品!$A$4:$D$67,4,FALSE),0),"")</f>
        <v/>
      </c>
      <c r="AL703" t="str">
        <f>IFERROR(V703&amp;"*"&amp;ROUND(X703*(W703/$AP703)/VLOOKUP(V703,商品!$A$4:$D$67,4,FALSE),0),"")</f>
        <v/>
      </c>
      <c r="AN703">
        <f t="shared" si="85"/>
        <v>0</v>
      </c>
      <c r="AO703">
        <f t="shared" si="86"/>
        <v>0</v>
      </c>
      <c r="AP703">
        <f t="shared" si="87"/>
        <v>0</v>
      </c>
    </row>
    <row r="704" customHeight="1" spans="1:42">
      <c r="A704" s="5" t="s">
        <v>417</v>
      </c>
      <c r="C704" s="5">
        <v>3</v>
      </c>
      <c r="D704" s="1" t="s">
        <v>293</v>
      </c>
      <c r="E704" s="1" t="s">
        <v>227</v>
      </c>
      <c r="L704" s="1">
        <f>IFERROR(VLOOKUP($D704&amp;$C704,生产方式定位!$A$2:$E$38,2,FALSE)+VLOOKUP($E704&amp;$C704,生产方式定位!$F$3:$J$38,2,FALSE),0)</f>
        <v>0</v>
      </c>
      <c r="S704" s="1">
        <f>IFERROR(VLOOKUP($D704&amp;$C704,生产方式定位!$A$2:$E$38,3,FALSE)+VLOOKUP($E704&amp;$C704,生产方式定位!$F$3:$J$38,3,FALSE),0)</f>
        <v>0</v>
      </c>
      <c r="X704" s="1">
        <f>IFERROR(VLOOKUP($D704&amp;$C704,生产方式定位!$A$2:$E$38,5,FALSE)+VLOOKUP($E704&amp;$C704,生产方式定位!$F$3:$J$38,5,FALSE),"错误")</f>
        <v>0</v>
      </c>
      <c r="Y704" s="27" t="str">
        <f t="shared" si="80"/>
        <v/>
      </c>
      <c r="Z704" s="37" t="str">
        <f t="shared" si="81"/>
        <v/>
      </c>
      <c r="AA704" s="37" t="str">
        <f t="shared" si="82"/>
        <v/>
      </c>
      <c r="AB704" s="28" t="str">
        <f t="shared" si="83"/>
        <v/>
      </c>
      <c r="AC704" s="37"/>
      <c r="AD704" s="38">
        <f t="shared" si="84"/>
        <v>3</v>
      </c>
      <c r="AE704" t="str">
        <f>IFERROR(F704&amp;"*"&amp;ROUND(L704*(G704/$AN704)/VLOOKUP(F704,商品!$A$4:$D$67,4,FALSE),0),"")</f>
        <v/>
      </c>
      <c r="AF704" t="str">
        <f>IFERROR(H704&amp;"*"&amp;ROUND(L704*(I704/$AN704)/VLOOKUP(H704,商品!$A$4:$D$67,4,FALSE),0),"")</f>
        <v/>
      </c>
      <c r="AG704" t="str">
        <f>IFERROR(J704&amp;"*"&amp;ROUND(L704*(K704/$AN704)/VLOOKUP(J704,商品!$A$4:$D$67,4,FALSE),0),"")</f>
        <v/>
      </c>
      <c r="AH704" t="str">
        <f>IFERROR(M704&amp;"*"&amp;ROUND(S704*(N704/$AO704)/VLOOKUP(M704,职业!$A$3:$E$16,4,FALSE),0),"")</f>
        <v/>
      </c>
      <c r="AI704" t="str">
        <f>IFERROR(O704&amp;"*"&amp;ROUND(S704*(P704/$AO704)/VLOOKUP(O704,职业!$A$3:$E$16,4,FALSE),0),"")</f>
        <v/>
      </c>
      <c r="AK704" t="str">
        <f>IFERROR(T704&amp;"*"&amp;ROUND(X704*(U704/$AP704)/VLOOKUP(T704,商品!$A$4:$D$67,4,FALSE),0),"")</f>
        <v/>
      </c>
      <c r="AL704" t="str">
        <f>IFERROR(V704&amp;"*"&amp;ROUND(X704*(W704/$AP704)/VLOOKUP(V704,商品!$A$4:$D$67,4,FALSE),0),"")</f>
        <v/>
      </c>
      <c r="AN704">
        <f t="shared" si="85"/>
        <v>0</v>
      </c>
      <c r="AO704">
        <f t="shared" si="86"/>
        <v>0</v>
      </c>
      <c r="AP704">
        <f t="shared" si="87"/>
        <v>0</v>
      </c>
    </row>
    <row r="705" customHeight="1" spans="1:42">
      <c r="A705" s="5" t="s">
        <v>417</v>
      </c>
      <c r="C705" s="5">
        <v>4</v>
      </c>
      <c r="D705" s="1" t="s">
        <v>293</v>
      </c>
      <c r="E705" s="1" t="s">
        <v>227</v>
      </c>
      <c r="L705" s="1">
        <f>IFERROR(VLOOKUP($D705&amp;$C705,生产方式定位!$A$2:$E$38,2,FALSE)+VLOOKUP($E705&amp;$C705,生产方式定位!$F$3:$J$38,2,FALSE),0)</f>
        <v>0</v>
      </c>
      <c r="S705" s="1">
        <f>IFERROR(VLOOKUP($D705&amp;$C705,生产方式定位!$A$2:$E$38,3,FALSE)+VLOOKUP($E705&amp;$C705,生产方式定位!$F$3:$J$38,3,FALSE),0)</f>
        <v>0</v>
      </c>
      <c r="X705" s="1">
        <f>IFERROR(VLOOKUP($D705&amp;$C705,生产方式定位!$A$2:$E$38,5,FALSE)+VLOOKUP($E705&amp;$C705,生产方式定位!$F$3:$J$38,5,FALSE),"错误")</f>
        <v>0</v>
      </c>
      <c r="Y705" s="27" t="str">
        <f t="shared" si="80"/>
        <v/>
      </c>
      <c r="Z705" s="37" t="str">
        <f t="shared" si="81"/>
        <v/>
      </c>
      <c r="AA705" s="37" t="str">
        <f t="shared" si="82"/>
        <v/>
      </c>
      <c r="AB705" s="28" t="str">
        <f t="shared" si="83"/>
        <v/>
      </c>
      <c r="AC705" s="37"/>
      <c r="AD705" s="38">
        <f t="shared" si="84"/>
        <v>4</v>
      </c>
      <c r="AE705" t="str">
        <f>IFERROR(F705&amp;"*"&amp;ROUND(L705*(G705/$AN705)/VLOOKUP(F705,商品!$A$4:$D$67,4,FALSE),0),"")</f>
        <v/>
      </c>
      <c r="AF705" t="str">
        <f>IFERROR(H705&amp;"*"&amp;ROUND(L705*(I705/$AN705)/VLOOKUP(H705,商品!$A$4:$D$67,4,FALSE),0),"")</f>
        <v/>
      </c>
      <c r="AG705" t="str">
        <f>IFERROR(J705&amp;"*"&amp;ROUND(L705*(K705/$AN705)/VLOOKUP(J705,商品!$A$4:$D$67,4,FALSE),0),"")</f>
        <v/>
      </c>
      <c r="AH705" t="str">
        <f>IFERROR(M705&amp;"*"&amp;ROUND(S705*(N705/$AO705)/VLOOKUP(M705,职业!$A$3:$E$16,4,FALSE),0),"")</f>
        <v/>
      </c>
      <c r="AI705" t="str">
        <f>IFERROR(O705&amp;"*"&amp;ROUND(S705*(P705/$AO705)/VLOOKUP(O705,职业!$A$3:$E$16,4,FALSE),0),"")</f>
        <v/>
      </c>
      <c r="AK705" t="str">
        <f>IFERROR(T705&amp;"*"&amp;ROUND(X705*(U705/$AP705)/VLOOKUP(T705,商品!$A$4:$D$67,4,FALSE),0),"")</f>
        <v/>
      </c>
      <c r="AL705" t="str">
        <f>IFERROR(V705&amp;"*"&amp;ROUND(X705*(W705/$AP705)/VLOOKUP(V705,商品!$A$4:$D$67,4,FALSE),0),"")</f>
        <v/>
      </c>
      <c r="AN705">
        <f t="shared" si="85"/>
        <v>0</v>
      </c>
      <c r="AO705">
        <f t="shared" si="86"/>
        <v>0</v>
      </c>
      <c r="AP705">
        <f t="shared" si="87"/>
        <v>0</v>
      </c>
    </row>
    <row r="706" customHeight="1" spans="1:42">
      <c r="A706" s="5" t="s">
        <v>417</v>
      </c>
      <c r="C706" s="5">
        <v>5</v>
      </c>
      <c r="D706" s="1" t="s">
        <v>293</v>
      </c>
      <c r="E706" s="1" t="s">
        <v>227</v>
      </c>
      <c r="L706" s="1">
        <f>IFERROR(VLOOKUP($D706&amp;$C706,生产方式定位!$A$2:$E$38,2,FALSE)+VLOOKUP($E706&amp;$C706,生产方式定位!$F$3:$J$38,2,FALSE),0)</f>
        <v>0</v>
      </c>
      <c r="S706" s="1">
        <f>IFERROR(VLOOKUP($D706&amp;$C706,生产方式定位!$A$2:$E$38,3,FALSE)+VLOOKUP($E706&amp;$C706,生产方式定位!$F$3:$J$38,3,FALSE),0)</f>
        <v>0</v>
      </c>
      <c r="X706" s="1">
        <f>IFERROR(VLOOKUP($D706&amp;$C706,生产方式定位!$A$2:$E$38,5,FALSE)+VLOOKUP($E706&amp;$C706,生产方式定位!$F$3:$J$38,5,FALSE),"错误")</f>
        <v>0</v>
      </c>
      <c r="Y706" s="27" t="str">
        <f t="shared" si="80"/>
        <v/>
      </c>
      <c r="Z706" s="37" t="str">
        <f t="shared" si="81"/>
        <v/>
      </c>
      <c r="AA706" s="37" t="str">
        <f t="shared" si="82"/>
        <v/>
      </c>
      <c r="AB706" s="28" t="str">
        <f t="shared" si="83"/>
        <v/>
      </c>
      <c r="AC706" s="37"/>
      <c r="AD706" s="38">
        <f t="shared" si="84"/>
        <v>5</v>
      </c>
      <c r="AE706" t="str">
        <f>IFERROR(F706&amp;"*"&amp;ROUND(L706*(G706/$AN706)/VLOOKUP(F706,商品!$A$4:$D$67,4,FALSE),0),"")</f>
        <v/>
      </c>
      <c r="AF706" t="str">
        <f>IFERROR(H706&amp;"*"&amp;ROUND(L706*(I706/$AN706)/VLOOKUP(H706,商品!$A$4:$D$67,4,FALSE),0),"")</f>
        <v/>
      </c>
      <c r="AG706" t="str">
        <f>IFERROR(J706&amp;"*"&amp;ROUND(L706*(K706/$AN706)/VLOOKUP(J706,商品!$A$4:$D$67,4,FALSE),0),"")</f>
        <v/>
      </c>
      <c r="AH706" t="str">
        <f>IFERROR(M706&amp;"*"&amp;ROUND(S706*(N706/$AO706)/VLOOKUP(M706,职业!$A$3:$E$16,4,FALSE),0),"")</f>
        <v/>
      </c>
      <c r="AI706" t="str">
        <f>IFERROR(O706&amp;"*"&amp;ROUND(S706*(P706/$AO706)/VLOOKUP(O706,职业!$A$3:$E$16,4,FALSE),0),"")</f>
        <v/>
      </c>
      <c r="AK706" t="str">
        <f>IFERROR(T706&amp;"*"&amp;ROUND(X706*(U706/$AP706)/VLOOKUP(T706,商品!$A$4:$D$67,4,FALSE),0),"")</f>
        <v/>
      </c>
      <c r="AL706" t="str">
        <f>IFERROR(V706&amp;"*"&amp;ROUND(X706*(W706/$AP706)/VLOOKUP(V706,商品!$A$4:$D$67,4,FALSE),0),"")</f>
        <v/>
      </c>
      <c r="AN706">
        <f t="shared" si="85"/>
        <v>0</v>
      </c>
      <c r="AO706">
        <f t="shared" si="86"/>
        <v>0</v>
      </c>
      <c r="AP706">
        <f t="shared" si="87"/>
        <v>0</v>
      </c>
    </row>
    <row r="707" customHeight="1" spans="1:42">
      <c r="A707" s="5" t="s">
        <v>417</v>
      </c>
      <c r="C707" s="5">
        <v>6</v>
      </c>
      <c r="D707" s="1" t="s">
        <v>293</v>
      </c>
      <c r="E707" s="1" t="s">
        <v>227</v>
      </c>
      <c r="L707" s="1">
        <f>IFERROR(VLOOKUP($D707&amp;$C707,生产方式定位!$A$2:$E$38,2,FALSE)+VLOOKUP($E707&amp;$C707,生产方式定位!$F$3:$J$38,2,FALSE),0)</f>
        <v>0</v>
      </c>
      <c r="S707" s="1">
        <f>IFERROR(VLOOKUP($D707&amp;$C707,生产方式定位!$A$2:$E$38,3,FALSE)+VLOOKUP($E707&amp;$C707,生产方式定位!$F$3:$J$38,3,FALSE),0)</f>
        <v>0</v>
      </c>
      <c r="X707" s="1">
        <f>IFERROR(VLOOKUP($D707&amp;$C707,生产方式定位!$A$2:$E$38,5,FALSE)+VLOOKUP($E707&amp;$C707,生产方式定位!$F$3:$J$38,5,FALSE),"错误")</f>
        <v>0</v>
      </c>
      <c r="Y707" s="27" t="str">
        <f t="shared" si="80"/>
        <v/>
      </c>
      <c r="Z707" s="37" t="str">
        <f t="shared" si="81"/>
        <v/>
      </c>
      <c r="AA707" s="37" t="str">
        <f t="shared" si="82"/>
        <v/>
      </c>
      <c r="AB707" s="28" t="str">
        <f t="shared" si="83"/>
        <v/>
      </c>
      <c r="AC707" s="37"/>
      <c r="AD707" s="38">
        <f t="shared" si="84"/>
        <v>6</v>
      </c>
      <c r="AE707" t="str">
        <f>IFERROR(F707&amp;"*"&amp;ROUND(L707*(G707/$AN707)/VLOOKUP(F707,商品!$A$4:$D$67,4,FALSE),0),"")</f>
        <v/>
      </c>
      <c r="AF707" t="str">
        <f>IFERROR(H707&amp;"*"&amp;ROUND(L707*(I707/$AN707)/VLOOKUP(H707,商品!$A$4:$D$67,4,FALSE),0),"")</f>
        <v/>
      </c>
      <c r="AG707" t="str">
        <f>IFERROR(J707&amp;"*"&amp;ROUND(L707*(K707/$AN707)/VLOOKUP(J707,商品!$A$4:$D$67,4,FALSE),0),"")</f>
        <v/>
      </c>
      <c r="AH707" t="str">
        <f>IFERROR(M707&amp;"*"&amp;ROUND(S707*(N707/$AO707)/VLOOKUP(M707,职业!$A$3:$E$16,4,FALSE),0),"")</f>
        <v/>
      </c>
      <c r="AI707" t="str">
        <f>IFERROR(O707&amp;"*"&amp;ROUND(S707*(P707/$AO707)/VLOOKUP(O707,职业!$A$3:$E$16,4,FALSE),0),"")</f>
        <v/>
      </c>
      <c r="AK707" t="str">
        <f>IFERROR(T707&amp;"*"&amp;ROUND(X707*(U707/$AP707)/VLOOKUP(T707,商品!$A$4:$D$67,4,FALSE),0),"")</f>
        <v/>
      </c>
      <c r="AL707" t="str">
        <f>IFERROR(V707&amp;"*"&amp;ROUND(X707*(W707/$AP707)/VLOOKUP(V707,商品!$A$4:$D$67,4,FALSE),0),"")</f>
        <v/>
      </c>
      <c r="AN707">
        <f t="shared" si="85"/>
        <v>0</v>
      </c>
      <c r="AO707">
        <f t="shared" si="86"/>
        <v>0</v>
      </c>
      <c r="AP707">
        <f t="shared" si="87"/>
        <v>0</v>
      </c>
    </row>
    <row r="708" customHeight="1" spans="1:42">
      <c r="A708" s="5" t="s">
        <v>417</v>
      </c>
      <c r="C708" s="5">
        <v>7</v>
      </c>
      <c r="D708" s="1" t="s">
        <v>293</v>
      </c>
      <c r="E708" s="1" t="s">
        <v>227</v>
      </c>
      <c r="L708" s="1">
        <f>IFERROR(VLOOKUP($D708&amp;$C708,生产方式定位!$A$2:$E$38,2,FALSE)+VLOOKUP($E708&amp;$C708,生产方式定位!$F$3:$J$38,2,FALSE),0)</f>
        <v>0</v>
      </c>
      <c r="S708" s="1">
        <f>IFERROR(VLOOKUP($D708&amp;$C708,生产方式定位!$A$2:$E$38,3,FALSE)+VLOOKUP($E708&amp;$C708,生产方式定位!$F$3:$J$38,3,FALSE),0)</f>
        <v>0</v>
      </c>
      <c r="X708" s="1">
        <f>IFERROR(VLOOKUP($D708&amp;$C708,生产方式定位!$A$2:$E$38,5,FALSE)+VLOOKUP($E708&amp;$C708,生产方式定位!$F$3:$J$38,5,FALSE),"错误")</f>
        <v>0</v>
      </c>
      <c r="Y708" s="27" t="str">
        <f t="shared" si="80"/>
        <v/>
      </c>
      <c r="Z708" s="37" t="str">
        <f t="shared" si="81"/>
        <v/>
      </c>
      <c r="AA708" s="37" t="str">
        <f t="shared" si="82"/>
        <v/>
      </c>
      <c r="AB708" s="28" t="str">
        <f t="shared" si="83"/>
        <v/>
      </c>
      <c r="AC708" s="37"/>
      <c r="AD708" s="38">
        <f t="shared" si="84"/>
        <v>7</v>
      </c>
      <c r="AE708" t="str">
        <f>IFERROR(F708&amp;"*"&amp;ROUND(L708*(G708/$AN708)/VLOOKUP(F708,商品!$A$4:$D$67,4,FALSE),0),"")</f>
        <v/>
      </c>
      <c r="AF708" t="str">
        <f>IFERROR(H708&amp;"*"&amp;ROUND(L708*(I708/$AN708)/VLOOKUP(H708,商品!$A$4:$D$67,4,FALSE),0),"")</f>
        <v/>
      </c>
      <c r="AG708" t="str">
        <f>IFERROR(J708&amp;"*"&amp;ROUND(L708*(K708/$AN708)/VLOOKUP(J708,商品!$A$4:$D$67,4,FALSE),0),"")</f>
        <v/>
      </c>
      <c r="AH708" t="str">
        <f>IFERROR(M708&amp;"*"&amp;ROUND(S708*(N708/$AO708)/VLOOKUP(M708,职业!$A$3:$E$16,4,FALSE),0),"")</f>
        <v/>
      </c>
      <c r="AI708" t="str">
        <f>IFERROR(O708&amp;"*"&amp;ROUND(S708*(P708/$AO708)/VLOOKUP(O708,职业!$A$3:$E$16,4,FALSE),0),"")</f>
        <v/>
      </c>
      <c r="AK708" t="str">
        <f>IFERROR(T708&amp;"*"&amp;ROUND(X708*(U708/$AP708)/VLOOKUP(T708,商品!$A$4:$D$67,4,FALSE),0),"")</f>
        <v/>
      </c>
      <c r="AL708" t="str">
        <f>IFERROR(V708&amp;"*"&amp;ROUND(X708*(W708/$AP708)/VLOOKUP(V708,商品!$A$4:$D$67,4,FALSE),0),"")</f>
        <v/>
      </c>
      <c r="AN708">
        <f t="shared" si="85"/>
        <v>0</v>
      </c>
      <c r="AO708">
        <f t="shared" si="86"/>
        <v>0</v>
      </c>
      <c r="AP708">
        <f t="shared" si="87"/>
        <v>0</v>
      </c>
    </row>
    <row r="709" customHeight="1" spans="1:42">
      <c r="A709" s="5" t="s">
        <v>417</v>
      </c>
      <c r="C709" s="5">
        <v>8</v>
      </c>
      <c r="D709" s="1" t="s">
        <v>293</v>
      </c>
      <c r="E709" s="1" t="s">
        <v>227</v>
      </c>
      <c r="L709" s="1">
        <f>IFERROR(VLOOKUP($D709&amp;$C709,生产方式定位!$A$2:$E$38,2,FALSE)+VLOOKUP($E709&amp;$C709,生产方式定位!$F$3:$J$38,2,FALSE),0)</f>
        <v>0</v>
      </c>
      <c r="S709" s="1">
        <f>IFERROR(VLOOKUP($D709&amp;$C709,生产方式定位!$A$2:$E$38,3,FALSE)+VLOOKUP($E709&amp;$C709,生产方式定位!$F$3:$J$38,3,FALSE),0)</f>
        <v>0</v>
      </c>
      <c r="X709" s="1">
        <f>IFERROR(VLOOKUP($D709&amp;$C709,生产方式定位!$A$2:$E$38,5,FALSE)+VLOOKUP($E709&amp;$C709,生产方式定位!$F$3:$J$38,5,FALSE),"错误")</f>
        <v>0</v>
      </c>
      <c r="Y709" s="27" t="str">
        <f t="shared" ref="Y709:Y772" si="88">IF(AE709="","",AE709)&amp;IF(AF709="","",","&amp;AF709)&amp;IF(AG709="","",","&amp;AG709)</f>
        <v/>
      </c>
      <c r="Z709" s="37" t="str">
        <f t="shared" ref="Z709:Z772" si="89">IF(AH709="","",AH709)&amp;IF(AI709="","",","&amp;AI709)</f>
        <v/>
      </c>
      <c r="AA709" s="37" t="str">
        <f t="shared" ref="AA709:AA772" si="90">IF(AK709="","",AK709)&amp;IF(AL709="","",","&amp;AL709)</f>
        <v/>
      </c>
      <c r="AB709" s="28" t="str">
        <f t="shared" ref="AB709:AB772" si="91">IFERROR(ROUND(L709/X709,2),"")</f>
        <v/>
      </c>
      <c r="AC709" s="37"/>
      <c r="AD709" s="38">
        <f t="shared" ref="AD709:AD772" si="92">C709</f>
        <v>8</v>
      </c>
      <c r="AE709" t="str">
        <f>IFERROR(F709&amp;"*"&amp;ROUND(L709*(G709/$AN709)/VLOOKUP(F709,商品!$A$4:$D$67,4,FALSE),0),"")</f>
        <v/>
      </c>
      <c r="AF709" t="str">
        <f>IFERROR(H709&amp;"*"&amp;ROUND(L709*(I709/$AN709)/VLOOKUP(H709,商品!$A$4:$D$67,4,FALSE),0),"")</f>
        <v/>
      </c>
      <c r="AG709" t="str">
        <f>IFERROR(J709&amp;"*"&amp;ROUND(L709*(K709/$AN709)/VLOOKUP(J709,商品!$A$4:$D$67,4,FALSE),0),"")</f>
        <v/>
      </c>
      <c r="AH709" t="str">
        <f>IFERROR(M709&amp;"*"&amp;ROUND(S709*(N709/$AO709)/VLOOKUP(M709,职业!$A$3:$E$16,4,FALSE),0),"")</f>
        <v/>
      </c>
      <c r="AI709" t="str">
        <f>IFERROR(O709&amp;"*"&amp;ROUND(S709*(P709/$AO709)/VLOOKUP(O709,职业!$A$3:$E$16,4,FALSE),0),"")</f>
        <v/>
      </c>
      <c r="AK709" t="str">
        <f>IFERROR(T709&amp;"*"&amp;ROUND(X709*(U709/$AP709)/VLOOKUP(T709,商品!$A$4:$D$67,4,FALSE),0),"")</f>
        <v/>
      </c>
      <c r="AL709" t="str">
        <f>IFERROR(V709&amp;"*"&amp;ROUND(X709*(W709/$AP709)/VLOOKUP(V709,商品!$A$4:$D$67,4,FALSE),0),"")</f>
        <v/>
      </c>
      <c r="AN709">
        <f t="shared" si="85"/>
        <v>0</v>
      </c>
      <c r="AO709">
        <f t="shared" si="86"/>
        <v>0</v>
      </c>
      <c r="AP709">
        <f t="shared" si="87"/>
        <v>0</v>
      </c>
    </row>
    <row r="710" customHeight="1" spans="1:42">
      <c r="A710" s="18" t="s">
        <v>419</v>
      </c>
      <c r="C710" s="18">
        <v>1</v>
      </c>
      <c r="D710" s="1" t="s">
        <v>262</v>
      </c>
      <c r="E710" s="1" t="s">
        <v>224</v>
      </c>
      <c r="L710" s="1">
        <f>IFERROR(VLOOKUP($D710&amp;$C710,生产方式定位!$A$2:$E$38,2,FALSE)+VLOOKUP($E710&amp;$C710,生产方式定位!$F$3:$J$38,2,FALSE),0)</f>
        <v>0</v>
      </c>
      <c r="S710" s="1">
        <f>IFERROR(VLOOKUP($D710&amp;$C710,生产方式定位!$A$2:$E$38,3,FALSE)+VLOOKUP($E710&amp;$C710,生产方式定位!$F$3:$J$38,3,FALSE),0)</f>
        <v>3000</v>
      </c>
      <c r="X710" s="1">
        <f>IFERROR(VLOOKUP($D710&amp;$C710,生产方式定位!$A$2:$E$38,5,FALSE)+VLOOKUP($E710&amp;$C710,生产方式定位!$F$3:$J$38,5,FALSE),"错误")</f>
        <v>1500</v>
      </c>
      <c r="Y710" s="27" t="str">
        <f t="shared" si="88"/>
        <v/>
      </c>
      <c r="Z710" s="37" t="str">
        <f t="shared" si="89"/>
        <v/>
      </c>
      <c r="AA710" s="37" t="str">
        <f t="shared" si="90"/>
        <v/>
      </c>
      <c r="AB710" s="28">
        <f t="shared" si="91"/>
        <v>0</v>
      </c>
      <c r="AC710" s="37"/>
      <c r="AD710" s="38">
        <f t="shared" si="92"/>
        <v>1</v>
      </c>
      <c r="AE710" t="str">
        <f>IFERROR(F710&amp;"*"&amp;ROUND(L710*(G710/$AN710)/VLOOKUP(F710,商品!$A$4:$D$67,4,FALSE),0),"")</f>
        <v/>
      </c>
      <c r="AF710" t="str">
        <f>IFERROR(H710&amp;"*"&amp;ROUND(L710*(I710/$AN710)/VLOOKUP(H710,商品!$A$4:$D$67,4,FALSE),0),"")</f>
        <v/>
      </c>
      <c r="AG710" t="str">
        <f>IFERROR(J710&amp;"*"&amp;ROUND(L710*(K710/$AN710)/VLOOKUP(J710,商品!$A$4:$D$67,4,FALSE),0),"")</f>
        <v/>
      </c>
      <c r="AH710" t="str">
        <f>IFERROR(M710&amp;"*"&amp;ROUND(S710*(N710/$AO710)/VLOOKUP(M710,职业!$A$3:$E$16,4,FALSE),0),"")</f>
        <v/>
      </c>
      <c r="AI710" t="str">
        <f>IFERROR(O710&amp;"*"&amp;ROUND(S710*(P710/$AO710)/VLOOKUP(O710,职业!$A$3:$E$16,4,FALSE),0),"")</f>
        <v/>
      </c>
      <c r="AK710" t="str">
        <f>IFERROR(T710&amp;"*"&amp;ROUND(X710*(U710/$AP710)/VLOOKUP(T710,商品!$A$4:$D$67,4,FALSE),0),"")</f>
        <v/>
      </c>
      <c r="AL710" t="str">
        <f>IFERROR(V710&amp;"*"&amp;ROUND(X710*(W710/$AP710)/VLOOKUP(V710,商品!$A$4:$D$67,4,FALSE),0),"")</f>
        <v/>
      </c>
      <c r="AN710">
        <f t="shared" ref="AN710:AN773" si="93">G710+I710+K710</f>
        <v>0</v>
      </c>
      <c r="AO710">
        <f t="shared" ref="AO710:AO773" si="94">N710+P710+R710</f>
        <v>0</v>
      </c>
      <c r="AP710">
        <f t="shared" ref="AP710:AP773" si="95">U710+W710</f>
        <v>0</v>
      </c>
    </row>
    <row r="711" customHeight="1" spans="1:42">
      <c r="A711" s="18" t="s">
        <v>419</v>
      </c>
      <c r="C711" s="18">
        <v>2</v>
      </c>
      <c r="D711" s="1" t="s">
        <v>262</v>
      </c>
      <c r="E711" s="1" t="s">
        <v>224</v>
      </c>
      <c r="L711" s="1">
        <f>IFERROR(VLOOKUP($D711&amp;$C711,生产方式定位!$A$2:$E$38,2,FALSE)+VLOOKUP($E711&amp;$C711,生产方式定位!$F$3:$J$38,2,FALSE),0)</f>
        <v>1500</v>
      </c>
      <c r="S711" s="1">
        <f>IFERROR(VLOOKUP($D711&amp;$C711,生产方式定位!$A$2:$E$38,3,FALSE)+VLOOKUP($E711&amp;$C711,生产方式定位!$F$3:$J$38,3,FALSE),0)</f>
        <v>3000</v>
      </c>
      <c r="X711" s="1">
        <f>IFERROR(VLOOKUP($D711&amp;$C711,生产方式定位!$A$2:$E$38,5,FALSE)+VLOOKUP($E711&amp;$C711,生产方式定位!$F$3:$J$38,5,FALSE),"错误")</f>
        <v>2322</v>
      </c>
      <c r="Y711" s="27" t="str">
        <f t="shared" si="88"/>
        <v/>
      </c>
      <c r="Z711" s="37" t="str">
        <f t="shared" si="89"/>
        <v/>
      </c>
      <c r="AA711" s="37" t="str">
        <f t="shared" si="90"/>
        <v/>
      </c>
      <c r="AB711" s="28">
        <f t="shared" si="91"/>
        <v>0.65</v>
      </c>
      <c r="AC711" s="37"/>
      <c r="AD711" s="38">
        <f t="shared" si="92"/>
        <v>2</v>
      </c>
      <c r="AE711" t="str">
        <f>IFERROR(F711&amp;"*"&amp;ROUND(L711*(G711/$AN711)/VLOOKUP(F711,商品!$A$4:$D$67,4,FALSE),0),"")</f>
        <v/>
      </c>
      <c r="AF711" t="str">
        <f>IFERROR(H711&amp;"*"&amp;ROUND(L711*(I711/$AN711)/VLOOKUP(H711,商品!$A$4:$D$67,4,FALSE),0),"")</f>
        <v/>
      </c>
      <c r="AG711" t="str">
        <f>IFERROR(J711&amp;"*"&amp;ROUND(L711*(K711/$AN711)/VLOOKUP(J711,商品!$A$4:$D$67,4,FALSE),0),"")</f>
        <v/>
      </c>
      <c r="AH711" t="str">
        <f>IFERROR(M711&amp;"*"&amp;ROUND(S711*(N711/$AO711)/VLOOKUP(M711,职业!$A$3:$E$16,4,FALSE),0),"")</f>
        <v/>
      </c>
      <c r="AI711" t="str">
        <f>IFERROR(O711&amp;"*"&amp;ROUND(S711*(P711/$AO711)/VLOOKUP(O711,职业!$A$3:$E$16,4,FALSE),0),"")</f>
        <v/>
      </c>
      <c r="AK711" t="str">
        <f>IFERROR(T711&amp;"*"&amp;ROUND(X711*(U711/$AP711)/VLOOKUP(T711,商品!$A$4:$D$67,4,FALSE),0),"")</f>
        <v/>
      </c>
      <c r="AL711" t="str">
        <f>IFERROR(V711&amp;"*"&amp;ROUND(X711*(W711/$AP711)/VLOOKUP(V711,商品!$A$4:$D$67,4,FALSE),0),"")</f>
        <v/>
      </c>
      <c r="AN711">
        <f t="shared" si="93"/>
        <v>0</v>
      </c>
      <c r="AO711">
        <f t="shared" si="94"/>
        <v>0</v>
      </c>
      <c r="AP711">
        <f t="shared" si="95"/>
        <v>0</v>
      </c>
    </row>
    <row r="712" customHeight="1" spans="1:42">
      <c r="A712" s="18" t="s">
        <v>419</v>
      </c>
      <c r="C712" s="18">
        <v>3</v>
      </c>
      <c r="D712" s="1" t="s">
        <v>262</v>
      </c>
      <c r="E712" s="1" t="s">
        <v>224</v>
      </c>
      <c r="L712" s="1">
        <f>IFERROR(VLOOKUP($D712&amp;$C712,生产方式定位!$A$2:$E$38,2,FALSE)+VLOOKUP($E712&amp;$C712,生产方式定位!$F$3:$J$38,2,FALSE),0)</f>
        <v>3000</v>
      </c>
      <c r="S712" s="1">
        <f>IFERROR(VLOOKUP($D712&amp;$C712,生产方式定位!$A$2:$E$38,3,FALSE)+VLOOKUP($E712&amp;$C712,生产方式定位!$F$3:$J$38,3,FALSE),0)</f>
        <v>3000</v>
      </c>
      <c r="X712" s="1">
        <f>IFERROR(VLOOKUP($D712&amp;$C712,生产方式定位!$A$2:$E$38,5,FALSE)+VLOOKUP($E712&amp;$C712,生产方式定位!$F$3:$J$38,5,FALSE),"错误")</f>
        <v>3288</v>
      </c>
      <c r="Y712" s="27" t="str">
        <f t="shared" si="88"/>
        <v/>
      </c>
      <c r="Z712" s="37" t="str">
        <f t="shared" si="89"/>
        <v/>
      </c>
      <c r="AA712" s="37" t="str">
        <f t="shared" si="90"/>
        <v/>
      </c>
      <c r="AB712" s="28">
        <f t="shared" si="91"/>
        <v>0.91</v>
      </c>
      <c r="AC712" s="37"/>
      <c r="AD712" s="38">
        <f t="shared" si="92"/>
        <v>3</v>
      </c>
      <c r="AE712" t="str">
        <f>IFERROR(F712&amp;"*"&amp;ROUND(L712*(G712/$AN712)/VLOOKUP(F712,商品!$A$4:$D$67,4,FALSE),0),"")</f>
        <v/>
      </c>
      <c r="AF712" t="str">
        <f>IFERROR(H712&amp;"*"&amp;ROUND(L712*(I712/$AN712)/VLOOKUP(H712,商品!$A$4:$D$67,4,FALSE),0),"")</f>
        <v/>
      </c>
      <c r="AG712" t="str">
        <f>IFERROR(J712&amp;"*"&amp;ROUND(L712*(K712/$AN712)/VLOOKUP(J712,商品!$A$4:$D$67,4,FALSE),0),"")</f>
        <v/>
      </c>
      <c r="AH712" t="str">
        <f>IFERROR(M712&amp;"*"&amp;ROUND(S712*(N712/$AO712)/VLOOKUP(M712,职业!$A$3:$E$16,4,FALSE),0),"")</f>
        <v/>
      </c>
      <c r="AI712" t="str">
        <f>IFERROR(O712&amp;"*"&amp;ROUND(S712*(P712/$AO712)/VLOOKUP(O712,职业!$A$3:$E$16,4,FALSE),0),"")</f>
        <v/>
      </c>
      <c r="AK712" t="str">
        <f>IFERROR(T712&amp;"*"&amp;ROUND(X712*(U712/$AP712)/VLOOKUP(T712,商品!$A$4:$D$67,4,FALSE),0),"")</f>
        <v/>
      </c>
      <c r="AL712" t="str">
        <f>IFERROR(V712&amp;"*"&amp;ROUND(X712*(W712/$AP712)/VLOOKUP(V712,商品!$A$4:$D$67,4,FALSE),0),"")</f>
        <v/>
      </c>
      <c r="AN712">
        <f t="shared" si="93"/>
        <v>0</v>
      </c>
      <c r="AO712">
        <f t="shared" si="94"/>
        <v>0</v>
      </c>
      <c r="AP712">
        <f t="shared" si="95"/>
        <v>0</v>
      </c>
    </row>
    <row r="713" customHeight="1" spans="1:42">
      <c r="A713" s="18" t="s">
        <v>419</v>
      </c>
      <c r="C713" s="18">
        <v>4</v>
      </c>
      <c r="D713" s="1" t="s">
        <v>262</v>
      </c>
      <c r="E713" s="1" t="s">
        <v>224</v>
      </c>
      <c r="L713" s="1">
        <f>IFERROR(VLOOKUP($D713&amp;$C713,生产方式定位!$A$2:$E$38,2,FALSE)+VLOOKUP($E713&amp;$C713,生产方式定位!$F$3:$J$38,2,FALSE),0)</f>
        <v>4500</v>
      </c>
      <c r="S713" s="1">
        <f>IFERROR(VLOOKUP($D713&amp;$C713,生产方式定位!$A$2:$E$38,3,FALSE)+VLOOKUP($E713&amp;$C713,生产方式定位!$F$3:$J$38,3,FALSE),0)</f>
        <v>3000</v>
      </c>
      <c r="X713" s="1">
        <f>IFERROR(VLOOKUP($D713&amp;$C713,生产方式定位!$A$2:$E$38,5,FALSE)+VLOOKUP($E713&amp;$C713,生产方式定位!$F$3:$J$38,5,FALSE),"错误")</f>
        <v>4398</v>
      </c>
      <c r="Y713" s="27" t="str">
        <f t="shared" si="88"/>
        <v/>
      </c>
      <c r="Z713" s="37" t="str">
        <f t="shared" si="89"/>
        <v/>
      </c>
      <c r="AA713" s="37" t="str">
        <f t="shared" si="90"/>
        <v/>
      </c>
      <c r="AB713" s="28">
        <f t="shared" si="91"/>
        <v>1.02</v>
      </c>
      <c r="AC713" s="37"/>
      <c r="AD713" s="38">
        <f t="shared" si="92"/>
        <v>4</v>
      </c>
      <c r="AE713" t="str">
        <f>IFERROR(F713&amp;"*"&amp;ROUND(L713*(G713/$AN713)/VLOOKUP(F713,商品!$A$4:$D$67,4,FALSE),0),"")</f>
        <v/>
      </c>
      <c r="AF713" t="str">
        <f>IFERROR(H713&amp;"*"&amp;ROUND(L713*(I713/$AN713)/VLOOKUP(H713,商品!$A$4:$D$67,4,FALSE),0),"")</f>
        <v/>
      </c>
      <c r="AG713" t="str">
        <f>IFERROR(J713&amp;"*"&amp;ROUND(L713*(K713/$AN713)/VLOOKUP(J713,商品!$A$4:$D$67,4,FALSE),0),"")</f>
        <v/>
      </c>
      <c r="AH713" t="str">
        <f>IFERROR(M713&amp;"*"&amp;ROUND(S713*(N713/$AO713)/VLOOKUP(M713,职业!$A$3:$E$16,4,FALSE),0),"")</f>
        <v/>
      </c>
      <c r="AI713" t="str">
        <f>IFERROR(O713&amp;"*"&amp;ROUND(S713*(P713/$AO713)/VLOOKUP(O713,职业!$A$3:$E$16,4,FALSE),0),"")</f>
        <v/>
      </c>
      <c r="AK713" t="str">
        <f>IFERROR(T713&amp;"*"&amp;ROUND(X713*(U713/$AP713)/VLOOKUP(T713,商品!$A$4:$D$67,4,FALSE),0),"")</f>
        <v/>
      </c>
      <c r="AL713" t="str">
        <f>IFERROR(V713&amp;"*"&amp;ROUND(X713*(W713/$AP713)/VLOOKUP(V713,商品!$A$4:$D$67,4,FALSE),0),"")</f>
        <v/>
      </c>
      <c r="AN713">
        <f t="shared" si="93"/>
        <v>0</v>
      </c>
      <c r="AO713">
        <f t="shared" si="94"/>
        <v>0</v>
      </c>
      <c r="AP713">
        <f t="shared" si="95"/>
        <v>0</v>
      </c>
    </row>
    <row r="714" customHeight="1" spans="1:42">
      <c r="A714" s="18" t="s">
        <v>419</v>
      </c>
      <c r="C714" s="18">
        <v>5</v>
      </c>
      <c r="D714" s="1" t="s">
        <v>262</v>
      </c>
      <c r="E714" s="1" t="s">
        <v>224</v>
      </c>
      <c r="L714" s="1">
        <f>IFERROR(VLOOKUP($D714&amp;$C714,生产方式定位!$A$2:$E$38,2,FALSE)+VLOOKUP($E714&amp;$C714,生产方式定位!$F$3:$J$38,2,FALSE),0)</f>
        <v>6000</v>
      </c>
      <c r="S714" s="1">
        <f>IFERROR(VLOOKUP($D714&amp;$C714,生产方式定位!$A$2:$E$38,3,FALSE)+VLOOKUP($E714&amp;$C714,生产方式定位!$F$3:$J$38,3,FALSE),0)</f>
        <v>3000</v>
      </c>
      <c r="X714" s="1">
        <f>IFERROR(VLOOKUP($D714&amp;$C714,生产方式定位!$A$2:$E$38,5,FALSE)+VLOOKUP($E714&amp;$C714,生产方式定位!$F$3:$J$38,5,FALSE),"错误")</f>
        <v>5700</v>
      </c>
      <c r="Y714" s="27" t="str">
        <f t="shared" si="88"/>
        <v/>
      </c>
      <c r="Z714" s="37" t="str">
        <f t="shared" si="89"/>
        <v/>
      </c>
      <c r="AA714" s="37" t="str">
        <f t="shared" si="90"/>
        <v/>
      </c>
      <c r="AB714" s="28">
        <f t="shared" si="91"/>
        <v>1.05</v>
      </c>
      <c r="AC714" s="37"/>
      <c r="AD714" s="38">
        <f t="shared" si="92"/>
        <v>5</v>
      </c>
      <c r="AE714" t="str">
        <f>IFERROR(F714&amp;"*"&amp;ROUND(L714*(G714/$AN714)/VLOOKUP(F714,商品!$A$4:$D$67,4,FALSE),0),"")</f>
        <v/>
      </c>
      <c r="AF714" t="str">
        <f>IFERROR(H714&amp;"*"&amp;ROUND(L714*(I714/$AN714)/VLOOKUP(H714,商品!$A$4:$D$67,4,FALSE),0),"")</f>
        <v/>
      </c>
      <c r="AG714" t="str">
        <f>IFERROR(J714&amp;"*"&amp;ROUND(L714*(K714/$AN714)/VLOOKUP(J714,商品!$A$4:$D$67,4,FALSE),0),"")</f>
        <v/>
      </c>
      <c r="AH714" t="str">
        <f>IFERROR(M714&amp;"*"&amp;ROUND(S714*(N714/$AO714)/VLOOKUP(M714,职业!$A$3:$E$16,4,FALSE),0),"")</f>
        <v/>
      </c>
      <c r="AI714" t="str">
        <f>IFERROR(O714&amp;"*"&amp;ROUND(S714*(P714/$AO714)/VLOOKUP(O714,职业!$A$3:$E$16,4,FALSE),0),"")</f>
        <v/>
      </c>
      <c r="AK714" t="str">
        <f>IFERROR(T714&amp;"*"&amp;ROUND(X714*(U714/$AP714)/VLOOKUP(T714,商品!$A$4:$D$67,4,FALSE),0),"")</f>
        <v/>
      </c>
      <c r="AL714" t="str">
        <f>IFERROR(V714&amp;"*"&amp;ROUND(X714*(W714/$AP714)/VLOOKUP(V714,商品!$A$4:$D$67,4,FALSE),0),"")</f>
        <v/>
      </c>
      <c r="AN714">
        <f t="shared" si="93"/>
        <v>0</v>
      </c>
      <c r="AO714">
        <f t="shared" si="94"/>
        <v>0</v>
      </c>
      <c r="AP714">
        <f t="shared" si="95"/>
        <v>0</v>
      </c>
    </row>
    <row r="715" customHeight="1" spans="1:42">
      <c r="A715" s="5" t="s">
        <v>420</v>
      </c>
      <c r="C715" s="5">
        <v>1</v>
      </c>
      <c r="D715" s="1" t="s">
        <v>262</v>
      </c>
      <c r="E715" s="1" t="s">
        <v>225</v>
      </c>
      <c r="L715" s="1">
        <f>IFERROR(VLOOKUP($D715&amp;$C715,生产方式定位!$A$2:$E$38,2,FALSE)+VLOOKUP($E715&amp;$C715,生产方式定位!$F$3:$J$38,2,FALSE),0)</f>
        <v>0</v>
      </c>
      <c r="S715" s="1">
        <f>IFERROR(VLOOKUP($D715&amp;$C715,生产方式定位!$A$2:$E$38,3,FALSE)+VLOOKUP($E715&amp;$C715,生产方式定位!$F$3:$J$38,3,FALSE),0)</f>
        <v>3000</v>
      </c>
      <c r="X715" s="1">
        <f>IFERROR(VLOOKUP($D715&amp;$C715,生产方式定位!$A$2:$E$38,5,FALSE)+VLOOKUP($E715&amp;$C715,生产方式定位!$F$3:$J$38,5,FALSE),"错误")</f>
        <v>1500</v>
      </c>
      <c r="Y715" s="27" t="str">
        <f t="shared" si="88"/>
        <v/>
      </c>
      <c r="Z715" s="37" t="str">
        <f t="shared" si="89"/>
        <v/>
      </c>
      <c r="AA715" s="37" t="str">
        <f t="shared" si="90"/>
        <v/>
      </c>
      <c r="AB715" s="28">
        <f t="shared" si="91"/>
        <v>0</v>
      </c>
      <c r="AC715" s="37"/>
      <c r="AD715" s="38">
        <f t="shared" si="92"/>
        <v>1</v>
      </c>
      <c r="AE715" t="str">
        <f>IFERROR(F715&amp;"*"&amp;ROUND(L715*(G715/$AN715)/VLOOKUP(F715,商品!$A$4:$D$67,4,FALSE),0),"")</f>
        <v/>
      </c>
      <c r="AF715" t="str">
        <f>IFERROR(H715&amp;"*"&amp;ROUND(L715*(I715/$AN715)/VLOOKUP(H715,商品!$A$4:$D$67,4,FALSE),0),"")</f>
        <v/>
      </c>
      <c r="AG715" t="str">
        <f>IFERROR(J715&amp;"*"&amp;ROUND(L715*(K715/$AN715)/VLOOKUP(J715,商品!$A$4:$D$67,4,FALSE),0),"")</f>
        <v/>
      </c>
      <c r="AH715" t="str">
        <f>IFERROR(M715&amp;"*"&amp;ROUND(S715*(N715/$AO715)/VLOOKUP(M715,职业!$A$3:$E$16,4,FALSE),0),"")</f>
        <v/>
      </c>
      <c r="AI715" t="str">
        <f>IFERROR(O715&amp;"*"&amp;ROUND(S715*(P715/$AO715)/VLOOKUP(O715,职业!$A$3:$E$16,4,FALSE),0),"")</f>
        <v/>
      </c>
      <c r="AK715" t="str">
        <f>IFERROR(T715&amp;"*"&amp;ROUND(X715*(U715/$AP715)/VLOOKUP(T715,商品!$A$4:$D$67,4,FALSE),0),"")</f>
        <v/>
      </c>
      <c r="AL715" t="str">
        <f>IFERROR(V715&amp;"*"&amp;ROUND(X715*(W715/$AP715)/VLOOKUP(V715,商品!$A$4:$D$67,4,FALSE),0),"")</f>
        <v/>
      </c>
      <c r="AN715">
        <f t="shared" si="93"/>
        <v>0</v>
      </c>
      <c r="AO715">
        <f t="shared" si="94"/>
        <v>0</v>
      </c>
      <c r="AP715">
        <f t="shared" si="95"/>
        <v>0</v>
      </c>
    </row>
    <row r="716" customHeight="1" spans="1:42">
      <c r="A716" s="5" t="s">
        <v>420</v>
      </c>
      <c r="C716" s="5">
        <v>2</v>
      </c>
      <c r="D716" s="1" t="s">
        <v>262</v>
      </c>
      <c r="E716" s="1" t="s">
        <v>225</v>
      </c>
      <c r="L716" s="1">
        <f>IFERROR(VLOOKUP($D716&amp;$C716,生产方式定位!$A$2:$E$38,2,FALSE)+VLOOKUP($E716&amp;$C716,生产方式定位!$F$3:$J$38,2,FALSE),0)</f>
        <v>1500</v>
      </c>
      <c r="S716" s="1">
        <f>IFERROR(VLOOKUP($D716&amp;$C716,生产方式定位!$A$2:$E$38,3,FALSE)+VLOOKUP($E716&amp;$C716,生产方式定位!$F$3:$J$38,3,FALSE),0)</f>
        <v>4800</v>
      </c>
      <c r="X716" s="1">
        <f>IFERROR(VLOOKUP($D716&amp;$C716,生产方式定位!$A$2:$E$38,5,FALSE)+VLOOKUP($E716&amp;$C716,生产方式定位!$F$3:$J$38,5,FALSE),"错误")</f>
        <v>3195</v>
      </c>
      <c r="Y716" s="27" t="str">
        <f t="shared" si="88"/>
        <v/>
      </c>
      <c r="Z716" s="37" t="str">
        <f t="shared" si="89"/>
        <v/>
      </c>
      <c r="AA716" s="37" t="str">
        <f t="shared" si="90"/>
        <v/>
      </c>
      <c r="AB716" s="28">
        <f t="shared" si="91"/>
        <v>0.47</v>
      </c>
      <c r="AC716" s="37"/>
      <c r="AD716" s="38">
        <f t="shared" si="92"/>
        <v>2</v>
      </c>
      <c r="AE716" t="str">
        <f>IFERROR(F716&amp;"*"&amp;ROUND(L716*(G716/$AN716)/VLOOKUP(F716,商品!$A$4:$D$67,4,FALSE),0),"")</f>
        <v/>
      </c>
      <c r="AF716" t="str">
        <f>IFERROR(H716&amp;"*"&amp;ROUND(L716*(I716/$AN716)/VLOOKUP(H716,商品!$A$4:$D$67,4,FALSE),0),"")</f>
        <v/>
      </c>
      <c r="AG716" t="str">
        <f>IFERROR(J716&amp;"*"&amp;ROUND(L716*(K716/$AN716)/VLOOKUP(J716,商品!$A$4:$D$67,4,FALSE),0),"")</f>
        <v/>
      </c>
      <c r="AH716" t="str">
        <f>IFERROR(M716&amp;"*"&amp;ROUND(S716*(N716/$AO716)/VLOOKUP(M716,职业!$A$3:$E$16,4,FALSE),0),"")</f>
        <v/>
      </c>
      <c r="AI716" t="str">
        <f>IFERROR(O716&amp;"*"&amp;ROUND(S716*(P716/$AO716)/VLOOKUP(O716,职业!$A$3:$E$16,4,FALSE),0),"")</f>
        <v/>
      </c>
      <c r="AK716" t="str">
        <f>IFERROR(T716&amp;"*"&amp;ROUND(X716*(U716/$AP716)/VLOOKUP(T716,商品!$A$4:$D$67,4,FALSE),0),"")</f>
        <v/>
      </c>
      <c r="AL716" t="str">
        <f>IFERROR(V716&amp;"*"&amp;ROUND(X716*(W716/$AP716)/VLOOKUP(V716,商品!$A$4:$D$67,4,FALSE),0),"")</f>
        <v/>
      </c>
      <c r="AN716">
        <f t="shared" si="93"/>
        <v>0</v>
      </c>
      <c r="AO716">
        <f t="shared" si="94"/>
        <v>0</v>
      </c>
      <c r="AP716">
        <f t="shared" si="95"/>
        <v>0</v>
      </c>
    </row>
    <row r="717" customHeight="1" spans="1:42">
      <c r="A717" s="5" t="s">
        <v>420</v>
      </c>
      <c r="C717" s="5">
        <v>3</v>
      </c>
      <c r="D717" s="1" t="s">
        <v>262</v>
      </c>
      <c r="E717" s="1" t="s">
        <v>225</v>
      </c>
      <c r="L717" s="1">
        <f>IFERROR(VLOOKUP($D717&amp;$C717,生产方式定位!$A$2:$E$38,2,FALSE)+VLOOKUP($E717&amp;$C717,生产方式定位!$F$3:$J$38,2,FALSE),0)</f>
        <v>3000</v>
      </c>
      <c r="S717" s="1">
        <f>IFERROR(VLOOKUP($D717&amp;$C717,生产方式定位!$A$2:$E$38,3,FALSE)+VLOOKUP($E717&amp;$C717,生产方式定位!$F$3:$J$38,3,FALSE),0)</f>
        <v>5600</v>
      </c>
      <c r="X717" s="1">
        <f>IFERROR(VLOOKUP($D717&amp;$C717,生产方式定位!$A$2:$E$38,5,FALSE)+VLOOKUP($E717&amp;$C717,生产方式定位!$F$3:$J$38,5,FALSE),"错误")</f>
        <v>4450</v>
      </c>
      <c r="Y717" s="27" t="str">
        <f t="shared" si="88"/>
        <v/>
      </c>
      <c r="Z717" s="37" t="str">
        <f t="shared" si="89"/>
        <v/>
      </c>
      <c r="AA717" s="37" t="str">
        <f t="shared" si="90"/>
        <v/>
      </c>
      <c r="AB717" s="28">
        <f t="shared" si="91"/>
        <v>0.67</v>
      </c>
      <c r="AC717" s="37"/>
      <c r="AD717" s="38">
        <f t="shared" si="92"/>
        <v>3</v>
      </c>
      <c r="AE717" t="str">
        <f>IFERROR(F717&amp;"*"&amp;ROUND(L717*(G717/$AN717)/VLOOKUP(F717,商品!$A$4:$D$67,4,FALSE),0),"")</f>
        <v/>
      </c>
      <c r="AF717" t="str">
        <f>IFERROR(H717&amp;"*"&amp;ROUND(L717*(I717/$AN717)/VLOOKUP(H717,商品!$A$4:$D$67,4,FALSE),0),"")</f>
        <v/>
      </c>
      <c r="AG717" t="str">
        <f>IFERROR(J717&amp;"*"&amp;ROUND(L717*(K717/$AN717)/VLOOKUP(J717,商品!$A$4:$D$67,4,FALSE),0),"")</f>
        <v/>
      </c>
      <c r="AH717" t="str">
        <f>IFERROR(M717&amp;"*"&amp;ROUND(S717*(N717/$AO717)/VLOOKUP(M717,职业!$A$3:$E$16,4,FALSE),0),"")</f>
        <v/>
      </c>
      <c r="AI717" t="str">
        <f>IFERROR(O717&amp;"*"&amp;ROUND(S717*(P717/$AO717)/VLOOKUP(O717,职业!$A$3:$E$16,4,FALSE),0),"")</f>
        <v/>
      </c>
      <c r="AK717" t="str">
        <f>IFERROR(T717&amp;"*"&amp;ROUND(X717*(U717/$AP717)/VLOOKUP(T717,商品!$A$4:$D$67,4,FALSE),0),"")</f>
        <v/>
      </c>
      <c r="AL717" t="str">
        <f>IFERROR(V717&amp;"*"&amp;ROUND(X717*(W717/$AP717)/VLOOKUP(V717,商品!$A$4:$D$67,4,FALSE),0),"")</f>
        <v/>
      </c>
      <c r="AN717">
        <f t="shared" si="93"/>
        <v>0</v>
      </c>
      <c r="AO717">
        <f t="shared" si="94"/>
        <v>0</v>
      </c>
      <c r="AP717">
        <f t="shared" si="95"/>
        <v>0</v>
      </c>
    </row>
    <row r="718" customHeight="1" spans="1:42">
      <c r="A718" s="5" t="s">
        <v>420</v>
      </c>
      <c r="C718" s="5">
        <v>4</v>
      </c>
      <c r="D718" s="1" t="s">
        <v>262</v>
      </c>
      <c r="E718" s="1" t="s">
        <v>225</v>
      </c>
      <c r="L718" s="1">
        <f>IFERROR(VLOOKUP($D718&amp;$C718,生产方式定位!$A$2:$E$38,2,FALSE)+VLOOKUP($E718&amp;$C718,生产方式定位!$F$3:$J$38,2,FALSE),0)</f>
        <v>4500</v>
      </c>
      <c r="S718" s="1">
        <f>IFERROR(VLOOKUP($D718&amp;$C718,生产方式定位!$A$2:$E$38,3,FALSE)+VLOOKUP($E718&amp;$C718,生产方式定位!$F$3:$J$38,3,FALSE),0)</f>
        <v>6400</v>
      </c>
      <c r="X718" s="1">
        <f>IFERROR(VLOOKUP($D718&amp;$C718,生产方式定位!$A$2:$E$38,5,FALSE)+VLOOKUP($E718&amp;$C718,生产方式定位!$F$3:$J$38,5,FALSE),"错误")</f>
        <v>5765</v>
      </c>
      <c r="Y718" s="27" t="str">
        <f t="shared" si="88"/>
        <v/>
      </c>
      <c r="Z718" s="37" t="str">
        <f t="shared" si="89"/>
        <v/>
      </c>
      <c r="AA718" s="37" t="str">
        <f t="shared" si="90"/>
        <v/>
      </c>
      <c r="AB718" s="28">
        <f t="shared" si="91"/>
        <v>0.78</v>
      </c>
      <c r="AC718" s="37"/>
      <c r="AD718" s="38">
        <f t="shared" si="92"/>
        <v>4</v>
      </c>
      <c r="AE718" t="str">
        <f>IFERROR(F718&amp;"*"&amp;ROUND(L718*(G718/$AN718)/VLOOKUP(F718,商品!$A$4:$D$67,4,FALSE),0),"")</f>
        <v/>
      </c>
      <c r="AF718" t="str">
        <f>IFERROR(H718&amp;"*"&amp;ROUND(L718*(I718/$AN718)/VLOOKUP(H718,商品!$A$4:$D$67,4,FALSE),0),"")</f>
        <v/>
      </c>
      <c r="AG718" t="str">
        <f>IFERROR(J718&amp;"*"&amp;ROUND(L718*(K718/$AN718)/VLOOKUP(J718,商品!$A$4:$D$67,4,FALSE),0),"")</f>
        <v/>
      </c>
      <c r="AH718" t="str">
        <f>IFERROR(M718&amp;"*"&amp;ROUND(S718*(N718/$AO718)/VLOOKUP(M718,职业!$A$3:$E$16,4,FALSE),0),"")</f>
        <v/>
      </c>
      <c r="AI718" t="str">
        <f>IFERROR(O718&amp;"*"&amp;ROUND(S718*(P718/$AO718)/VLOOKUP(O718,职业!$A$3:$E$16,4,FALSE),0),"")</f>
        <v/>
      </c>
      <c r="AK718" t="str">
        <f>IFERROR(T718&amp;"*"&amp;ROUND(X718*(U718/$AP718)/VLOOKUP(T718,商品!$A$4:$D$67,4,FALSE),0),"")</f>
        <v/>
      </c>
      <c r="AL718" t="str">
        <f>IFERROR(V718&amp;"*"&amp;ROUND(X718*(W718/$AP718)/VLOOKUP(V718,商品!$A$4:$D$67,4,FALSE),0),"")</f>
        <v/>
      </c>
      <c r="AN718">
        <f t="shared" si="93"/>
        <v>0</v>
      </c>
      <c r="AO718">
        <f t="shared" si="94"/>
        <v>0</v>
      </c>
      <c r="AP718">
        <f t="shared" si="95"/>
        <v>0</v>
      </c>
    </row>
    <row r="719" customHeight="1" spans="1:42">
      <c r="A719" s="5" t="s">
        <v>420</v>
      </c>
      <c r="C719" s="5">
        <v>5</v>
      </c>
      <c r="D719" s="1" t="s">
        <v>262</v>
      </c>
      <c r="E719" s="1" t="s">
        <v>225</v>
      </c>
      <c r="L719" s="1">
        <f>IFERROR(VLOOKUP($D719&amp;$C719,生产方式定位!$A$2:$E$38,2,FALSE)+VLOOKUP($E719&amp;$C719,生产方式定位!$F$3:$J$38,2,FALSE),0)</f>
        <v>6000</v>
      </c>
      <c r="S719" s="1">
        <f>IFERROR(VLOOKUP($D719&amp;$C719,生产方式定位!$A$2:$E$38,3,FALSE)+VLOOKUP($E719&amp;$C719,生产方式定位!$F$3:$J$38,3,FALSE),0)</f>
        <v>7200</v>
      </c>
      <c r="X719" s="1">
        <f>IFERROR(VLOOKUP($D719&amp;$C719,生产方式定位!$A$2:$E$38,5,FALSE)+VLOOKUP($E719&amp;$C719,生产方式定位!$F$3:$J$38,5,FALSE),"错误")</f>
        <v>7163</v>
      </c>
      <c r="Y719" s="27" t="str">
        <f t="shared" si="88"/>
        <v/>
      </c>
      <c r="Z719" s="37" t="str">
        <f t="shared" si="89"/>
        <v/>
      </c>
      <c r="AA719" s="37" t="str">
        <f t="shared" si="90"/>
        <v/>
      </c>
      <c r="AB719" s="28">
        <f t="shared" si="91"/>
        <v>0.84</v>
      </c>
      <c r="AC719" s="37"/>
      <c r="AD719" s="38">
        <f t="shared" si="92"/>
        <v>5</v>
      </c>
      <c r="AE719" t="str">
        <f>IFERROR(F719&amp;"*"&amp;ROUND(L719*(G719/$AN719)/VLOOKUP(F719,商品!$A$4:$D$67,4,FALSE),0),"")</f>
        <v/>
      </c>
      <c r="AF719" t="str">
        <f>IFERROR(H719&amp;"*"&amp;ROUND(L719*(I719/$AN719)/VLOOKUP(H719,商品!$A$4:$D$67,4,FALSE),0),"")</f>
        <v/>
      </c>
      <c r="AG719" t="str">
        <f>IFERROR(J719&amp;"*"&amp;ROUND(L719*(K719/$AN719)/VLOOKUP(J719,商品!$A$4:$D$67,4,FALSE),0),"")</f>
        <v/>
      </c>
      <c r="AH719" t="str">
        <f>IFERROR(M719&amp;"*"&amp;ROUND(S719*(N719/$AO719)/VLOOKUP(M719,职业!$A$3:$E$16,4,FALSE),0),"")</f>
        <v/>
      </c>
      <c r="AI719" t="str">
        <f>IFERROR(O719&amp;"*"&amp;ROUND(S719*(P719/$AO719)/VLOOKUP(O719,职业!$A$3:$E$16,4,FALSE),0),"")</f>
        <v/>
      </c>
      <c r="AK719" t="str">
        <f>IFERROR(T719&amp;"*"&amp;ROUND(X719*(U719/$AP719)/VLOOKUP(T719,商品!$A$4:$D$67,4,FALSE),0),"")</f>
        <v/>
      </c>
      <c r="AL719" t="str">
        <f>IFERROR(V719&amp;"*"&amp;ROUND(X719*(W719/$AP719)/VLOOKUP(V719,商品!$A$4:$D$67,4,FALSE),0),"")</f>
        <v/>
      </c>
      <c r="AN719">
        <f t="shared" si="93"/>
        <v>0</v>
      </c>
      <c r="AO719">
        <f t="shared" si="94"/>
        <v>0</v>
      </c>
      <c r="AP719">
        <f t="shared" si="95"/>
        <v>0</v>
      </c>
    </row>
    <row r="720" customHeight="1" spans="1:42">
      <c r="A720" s="18" t="s">
        <v>421</v>
      </c>
      <c r="C720" s="18">
        <v>1</v>
      </c>
      <c r="D720" s="1" t="s">
        <v>262</v>
      </c>
      <c r="E720" s="1" t="s">
        <v>226</v>
      </c>
      <c r="L720" s="1">
        <f>IFERROR(VLOOKUP($D720&amp;$C720,生产方式定位!$A$2:$E$38,2,FALSE)+VLOOKUP($E720&amp;$C720,生产方式定位!$F$3:$J$38,2,FALSE),0)</f>
        <v>0</v>
      </c>
      <c r="S720" s="1">
        <f>IFERROR(VLOOKUP($D720&amp;$C720,生产方式定位!$A$2:$E$38,3,FALSE)+VLOOKUP($E720&amp;$C720,生产方式定位!$F$3:$J$38,3,FALSE),0)</f>
        <v>3000</v>
      </c>
      <c r="X720" s="1">
        <f>IFERROR(VLOOKUP($D720&amp;$C720,生产方式定位!$A$2:$E$38,5,FALSE)+VLOOKUP($E720&amp;$C720,生产方式定位!$F$3:$J$38,5,FALSE),"错误")</f>
        <v>1500</v>
      </c>
      <c r="Y720" s="27" t="str">
        <f t="shared" si="88"/>
        <v/>
      </c>
      <c r="Z720" s="37" t="str">
        <f t="shared" si="89"/>
        <v/>
      </c>
      <c r="AA720" s="37" t="str">
        <f t="shared" si="90"/>
        <v/>
      </c>
      <c r="AB720" s="28">
        <f t="shared" si="91"/>
        <v>0</v>
      </c>
      <c r="AC720" s="37"/>
      <c r="AD720" s="38">
        <f t="shared" si="92"/>
        <v>1</v>
      </c>
      <c r="AE720" t="str">
        <f>IFERROR(F720&amp;"*"&amp;ROUND(L720*(G720/$AN720)/VLOOKUP(F720,商品!$A$4:$D$67,4,FALSE),0),"")</f>
        <v/>
      </c>
      <c r="AF720" t="str">
        <f>IFERROR(H720&amp;"*"&amp;ROUND(L720*(I720/$AN720)/VLOOKUP(H720,商品!$A$4:$D$67,4,FALSE),0),"")</f>
        <v/>
      </c>
      <c r="AG720" t="str">
        <f>IFERROR(J720&amp;"*"&amp;ROUND(L720*(K720/$AN720)/VLOOKUP(J720,商品!$A$4:$D$67,4,FALSE),0),"")</f>
        <v/>
      </c>
      <c r="AH720" t="str">
        <f>IFERROR(M720&amp;"*"&amp;ROUND(S720*(N720/$AO720)/VLOOKUP(M720,职业!$A$3:$E$16,4,FALSE),0),"")</f>
        <v/>
      </c>
      <c r="AI720" t="str">
        <f>IFERROR(O720&amp;"*"&amp;ROUND(S720*(P720/$AO720)/VLOOKUP(O720,职业!$A$3:$E$16,4,FALSE),0),"")</f>
        <v/>
      </c>
      <c r="AK720" t="str">
        <f>IFERROR(T720&amp;"*"&amp;ROUND(X720*(U720/$AP720)/VLOOKUP(T720,商品!$A$4:$D$67,4,FALSE),0),"")</f>
        <v/>
      </c>
      <c r="AL720" t="str">
        <f>IFERROR(V720&amp;"*"&amp;ROUND(X720*(W720/$AP720)/VLOOKUP(V720,商品!$A$4:$D$67,4,FALSE),0),"")</f>
        <v/>
      </c>
      <c r="AN720">
        <f t="shared" si="93"/>
        <v>0</v>
      </c>
      <c r="AO720">
        <f t="shared" si="94"/>
        <v>0</v>
      </c>
      <c r="AP720">
        <f t="shared" si="95"/>
        <v>0</v>
      </c>
    </row>
    <row r="721" customHeight="1" spans="1:42">
      <c r="A721" s="18" t="s">
        <v>421</v>
      </c>
      <c r="C721" s="18">
        <v>2</v>
      </c>
      <c r="D721" s="1" t="s">
        <v>262</v>
      </c>
      <c r="E721" s="1" t="s">
        <v>226</v>
      </c>
      <c r="L721" s="1">
        <f>IFERROR(VLOOKUP($D721&amp;$C721,生产方式定位!$A$2:$E$38,2,FALSE)+VLOOKUP($E721&amp;$C721,生产方式定位!$F$3:$J$38,2,FALSE),0)</f>
        <v>2500</v>
      </c>
      <c r="S721" s="1">
        <f>IFERROR(VLOOKUP($D721&amp;$C721,生产方式定位!$A$2:$E$38,3,FALSE)+VLOOKUP($E721&amp;$C721,生产方式定位!$F$3:$J$38,3,FALSE),0)</f>
        <v>2600</v>
      </c>
      <c r="X721" s="1">
        <f>IFERROR(VLOOKUP($D721&amp;$C721,生产方式定位!$A$2:$E$38,5,FALSE)+VLOOKUP($E721&amp;$C721,生产方式定位!$F$3:$J$38,5,FALSE),"错误")</f>
        <v>2640</v>
      </c>
      <c r="Y721" s="27" t="str">
        <f t="shared" si="88"/>
        <v/>
      </c>
      <c r="Z721" s="37" t="str">
        <f t="shared" si="89"/>
        <v/>
      </c>
      <c r="AA721" s="37" t="str">
        <f t="shared" si="90"/>
        <v/>
      </c>
      <c r="AB721" s="28">
        <f t="shared" si="91"/>
        <v>0.95</v>
      </c>
      <c r="AC721" s="37"/>
      <c r="AD721" s="38">
        <f t="shared" si="92"/>
        <v>2</v>
      </c>
      <c r="AE721" t="str">
        <f>IFERROR(F721&amp;"*"&amp;ROUND(L721*(G721/$AN721)/VLOOKUP(F721,商品!$A$4:$D$67,4,FALSE),0),"")</f>
        <v/>
      </c>
      <c r="AF721" t="str">
        <f>IFERROR(H721&amp;"*"&amp;ROUND(L721*(I721/$AN721)/VLOOKUP(H721,商品!$A$4:$D$67,4,FALSE),0),"")</f>
        <v/>
      </c>
      <c r="AG721" t="str">
        <f>IFERROR(J721&amp;"*"&amp;ROUND(L721*(K721/$AN721)/VLOOKUP(J721,商品!$A$4:$D$67,4,FALSE),0),"")</f>
        <v/>
      </c>
      <c r="AH721" t="str">
        <f>IFERROR(M721&amp;"*"&amp;ROUND(S721*(N721/$AO721)/VLOOKUP(M721,职业!$A$3:$E$16,4,FALSE),0),"")</f>
        <v/>
      </c>
      <c r="AI721" t="str">
        <f>IFERROR(O721&amp;"*"&amp;ROUND(S721*(P721/$AO721)/VLOOKUP(O721,职业!$A$3:$E$16,4,FALSE),0),"")</f>
        <v/>
      </c>
      <c r="AK721" t="str">
        <f>IFERROR(T721&amp;"*"&amp;ROUND(X721*(U721/$AP721)/VLOOKUP(T721,商品!$A$4:$D$67,4,FALSE),0),"")</f>
        <v/>
      </c>
      <c r="AL721" t="str">
        <f>IFERROR(V721&amp;"*"&amp;ROUND(X721*(W721/$AP721)/VLOOKUP(V721,商品!$A$4:$D$67,4,FALSE),0),"")</f>
        <v/>
      </c>
      <c r="AN721">
        <f t="shared" si="93"/>
        <v>0</v>
      </c>
      <c r="AO721">
        <f t="shared" si="94"/>
        <v>0</v>
      </c>
      <c r="AP721">
        <f t="shared" si="95"/>
        <v>0</v>
      </c>
    </row>
    <row r="722" customHeight="1" spans="1:42">
      <c r="A722" s="18" t="s">
        <v>421</v>
      </c>
      <c r="C722" s="18">
        <v>3</v>
      </c>
      <c r="D722" s="1" t="s">
        <v>262</v>
      </c>
      <c r="E722" s="1" t="s">
        <v>226</v>
      </c>
      <c r="L722" s="1">
        <f>IFERROR(VLOOKUP($D722&amp;$C722,生产方式定位!$A$2:$E$38,2,FALSE)+VLOOKUP($E722&amp;$C722,生产方式定位!$F$3:$J$38,2,FALSE),0)</f>
        <v>4000</v>
      </c>
      <c r="S722" s="1">
        <f>IFERROR(VLOOKUP($D722&amp;$C722,生产方式定位!$A$2:$E$38,3,FALSE)+VLOOKUP($E722&amp;$C722,生产方式定位!$F$3:$J$38,3,FALSE),0)</f>
        <v>2200</v>
      </c>
      <c r="X722" s="1">
        <f>IFERROR(VLOOKUP($D722&amp;$C722,生产方式定位!$A$2:$E$38,5,FALSE)+VLOOKUP($E722&amp;$C722,生产方式定位!$F$3:$J$38,5,FALSE),"错误")</f>
        <v>3360</v>
      </c>
      <c r="Y722" s="27" t="str">
        <f t="shared" si="88"/>
        <v/>
      </c>
      <c r="Z722" s="37" t="str">
        <f t="shared" si="89"/>
        <v/>
      </c>
      <c r="AA722" s="37" t="str">
        <f t="shared" si="90"/>
        <v/>
      </c>
      <c r="AB722" s="28">
        <f t="shared" si="91"/>
        <v>1.19</v>
      </c>
      <c r="AC722" s="37"/>
      <c r="AD722" s="38">
        <f t="shared" si="92"/>
        <v>3</v>
      </c>
      <c r="AE722" t="str">
        <f>IFERROR(F722&amp;"*"&amp;ROUND(L722*(G722/$AN722)/VLOOKUP(F722,商品!$A$4:$D$67,4,FALSE),0),"")</f>
        <v/>
      </c>
      <c r="AF722" t="str">
        <f>IFERROR(H722&amp;"*"&amp;ROUND(L722*(I722/$AN722)/VLOOKUP(H722,商品!$A$4:$D$67,4,FALSE),0),"")</f>
        <v/>
      </c>
      <c r="AG722" t="str">
        <f>IFERROR(J722&amp;"*"&amp;ROUND(L722*(K722/$AN722)/VLOOKUP(J722,商品!$A$4:$D$67,4,FALSE),0),"")</f>
        <v/>
      </c>
      <c r="AH722" t="str">
        <f>IFERROR(M722&amp;"*"&amp;ROUND(S722*(N722/$AO722)/VLOOKUP(M722,职业!$A$3:$E$16,4,FALSE),0),"")</f>
        <v/>
      </c>
      <c r="AI722" t="str">
        <f>IFERROR(O722&amp;"*"&amp;ROUND(S722*(P722/$AO722)/VLOOKUP(O722,职业!$A$3:$E$16,4,FALSE),0),"")</f>
        <v/>
      </c>
      <c r="AK722" t="str">
        <f>IFERROR(T722&amp;"*"&amp;ROUND(X722*(U722/$AP722)/VLOOKUP(T722,商品!$A$4:$D$67,4,FALSE),0),"")</f>
        <v/>
      </c>
      <c r="AL722" t="str">
        <f>IFERROR(V722&amp;"*"&amp;ROUND(X722*(W722/$AP722)/VLOOKUP(V722,商品!$A$4:$D$67,4,FALSE),0),"")</f>
        <v/>
      </c>
      <c r="AN722">
        <f t="shared" si="93"/>
        <v>0</v>
      </c>
      <c r="AO722">
        <f t="shared" si="94"/>
        <v>0</v>
      </c>
      <c r="AP722">
        <f t="shared" si="95"/>
        <v>0</v>
      </c>
    </row>
    <row r="723" customHeight="1" spans="1:42">
      <c r="A723" s="18" t="s">
        <v>421</v>
      </c>
      <c r="C723" s="18">
        <v>4</v>
      </c>
      <c r="D723" s="1" t="s">
        <v>262</v>
      </c>
      <c r="E723" s="1" t="s">
        <v>226</v>
      </c>
      <c r="L723" s="1">
        <f>IFERROR(VLOOKUP($D723&amp;$C723,生产方式定位!$A$2:$E$38,2,FALSE)+VLOOKUP($E723&amp;$C723,生产方式定位!$F$3:$J$38,2,FALSE),0)</f>
        <v>5500</v>
      </c>
      <c r="S723" s="1">
        <f>IFERROR(VLOOKUP($D723&amp;$C723,生产方式定位!$A$2:$E$38,3,FALSE)+VLOOKUP($E723&amp;$C723,生产方式定位!$F$3:$J$38,3,FALSE),0)</f>
        <v>1800</v>
      </c>
      <c r="X723" s="1">
        <f>IFERROR(VLOOKUP($D723&amp;$C723,生产方式定位!$A$2:$E$38,5,FALSE)+VLOOKUP($E723&amp;$C723,生产方式定位!$F$3:$J$38,5,FALSE),"错误")</f>
        <v>4160</v>
      </c>
      <c r="Y723" s="27" t="str">
        <f t="shared" si="88"/>
        <v/>
      </c>
      <c r="Z723" s="37" t="str">
        <f t="shared" si="89"/>
        <v/>
      </c>
      <c r="AA723" s="37" t="str">
        <f t="shared" si="90"/>
        <v/>
      </c>
      <c r="AB723" s="28">
        <f t="shared" si="91"/>
        <v>1.32</v>
      </c>
      <c r="AC723" s="37"/>
      <c r="AD723" s="38">
        <f t="shared" si="92"/>
        <v>4</v>
      </c>
      <c r="AE723" t="str">
        <f>IFERROR(F723&amp;"*"&amp;ROUND(L723*(G723/$AN723)/VLOOKUP(F723,商品!$A$4:$D$67,4,FALSE),0),"")</f>
        <v/>
      </c>
      <c r="AF723" t="str">
        <f>IFERROR(H723&amp;"*"&amp;ROUND(L723*(I723/$AN723)/VLOOKUP(H723,商品!$A$4:$D$67,4,FALSE),0),"")</f>
        <v/>
      </c>
      <c r="AG723" t="str">
        <f>IFERROR(J723&amp;"*"&amp;ROUND(L723*(K723/$AN723)/VLOOKUP(J723,商品!$A$4:$D$67,4,FALSE),0),"")</f>
        <v/>
      </c>
      <c r="AH723" t="str">
        <f>IFERROR(M723&amp;"*"&amp;ROUND(S723*(N723/$AO723)/VLOOKUP(M723,职业!$A$3:$E$16,4,FALSE),0),"")</f>
        <v/>
      </c>
      <c r="AI723" t="str">
        <f>IFERROR(O723&amp;"*"&amp;ROUND(S723*(P723/$AO723)/VLOOKUP(O723,职业!$A$3:$E$16,4,FALSE),0),"")</f>
        <v/>
      </c>
      <c r="AK723" t="str">
        <f>IFERROR(T723&amp;"*"&amp;ROUND(X723*(U723/$AP723)/VLOOKUP(T723,商品!$A$4:$D$67,4,FALSE),0),"")</f>
        <v/>
      </c>
      <c r="AL723" t="str">
        <f>IFERROR(V723&amp;"*"&amp;ROUND(X723*(W723/$AP723)/VLOOKUP(V723,商品!$A$4:$D$67,4,FALSE),0),"")</f>
        <v/>
      </c>
      <c r="AN723">
        <f t="shared" si="93"/>
        <v>0</v>
      </c>
      <c r="AO723">
        <f t="shared" si="94"/>
        <v>0</v>
      </c>
      <c r="AP723">
        <f t="shared" si="95"/>
        <v>0</v>
      </c>
    </row>
    <row r="724" customHeight="1" spans="1:42">
      <c r="A724" s="18" t="s">
        <v>421</v>
      </c>
      <c r="C724" s="18">
        <v>5</v>
      </c>
      <c r="D724" s="1" t="s">
        <v>262</v>
      </c>
      <c r="E724" s="1" t="s">
        <v>226</v>
      </c>
      <c r="L724" s="1">
        <f>IFERROR(VLOOKUP($D724&amp;$C724,生产方式定位!$A$2:$E$38,2,FALSE)+VLOOKUP($E724&amp;$C724,生产方式定位!$F$3:$J$38,2,FALSE),0)</f>
        <v>7000</v>
      </c>
      <c r="S724" s="1">
        <f>IFERROR(VLOOKUP($D724&amp;$C724,生产方式定位!$A$2:$E$38,3,FALSE)+VLOOKUP($E724&amp;$C724,生产方式定位!$F$3:$J$38,3,FALSE),0)</f>
        <v>1400</v>
      </c>
      <c r="X724" s="1">
        <f>IFERROR(VLOOKUP($D724&amp;$C724,生产方式定位!$A$2:$E$38,5,FALSE)+VLOOKUP($E724&amp;$C724,生产方式定位!$F$3:$J$38,5,FALSE),"错误")</f>
        <v>5040</v>
      </c>
      <c r="Y724" s="27" t="str">
        <f t="shared" si="88"/>
        <v/>
      </c>
      <c r="Z724" s="37" t="str">
        <f t="shared" si="89"/>
        <v/>
      </c>
      <c r="AA724" s="37" t="str">
        <f t="shared" si="90"/>
        <v/>
      </c>
      <c r="AB724" s="28">
        <f t="shared" si="91"/>
        <v>1.39</v>
      </c>
      <c r="AC724" s="37"/>
      <c r="AD724" s="38">
        <f t="shared" si="92"/>
        <v>5</v>
      </c>
      <c r="AE724" t="str">
        <f>IFERROR(F724&amp;"*"&amp;ROUND(L724*(G724/$AN724)/VLOOKUP(F724,商品!$A$4:$D$67,4,FALSE),0),"")</f>
        <v/>
      </c>
      <c r="AF724" t="str">
        <f>IFERROR(H724&amp;"*"&amp;ROUND(L724*(I724/$AN724)/VLOOKUP(H724,商品!$A$4:$D$67,4,FALSE),0),"")</f>
        <v/>
      </c>
      <c r="AG724" t="str">
        <f>IFERROR(J724&amp;"*"&amp;ROUND(L724*(K724/$AN724)/VLOOKUP(J724,商品!$A$4:$D$67,4,FALSE),0),"")</f>
        <v/>
      </c>
      <c r="AH724" t="str">
        <f>IFERROR(M724&amp;"*"&amp;ROUND(S724*(N724/$AO724)/VLOOKUP(M724,职业!$A$3:$E$16,4,FALSE),0),"")</f>
        <v/>
      </c>
      <c r="AI724" t="str">
        <f>IFERROR(O724&amp;"*"&amp;ROUND(S724*(P724/$AO724)/VLOOKUP(O724,职业!$A$3:$E$16,4,FALSE),0),"")</f>
        <v/>
      </c>
      <c r="AK724" t="str">
        <f>IFERROR(T724&amp;"*"&amp;ROUND(X724*(U724/$AP724)/VLOOKUP(T724,商品!$A$4:$D$67,4,FALSE),0),"")</f>
        <v/>
      </c>
      <c r="AL724" t="str">
        <f>IFERROR(V724&amp;"*"&amp;ROUND(X724*(W724/$AP724)/VLOOKUP(V724,商品!$A$4:$D$67,4,FALSE),0),"")</f>
        <v/>
      </c>
      <c r="AN724">
        <f t="shared" si="93"/>
        <v>0</v>
      </c>
      <c r="AO724">
        <f t="shared" si="94"/>
        <v>0</v>
      </c>
      <c r="AP724">
        <f t="shared" si="95"/>
        <v>0</v>
      </c>
    </row>
    <row r="725" customHeight="1" spans="1:42">
      <c r="A725" s="5" t="s">
        <v>421</v>
      </c>
      <c r="C725" s="5">
        <v>1</v>
      </c>
      <c r="D725" s="1" t="s">
        <v>262</v>
      </c>
      <c r="E725" s="1" t="s">
        <v>226</v>
      </c>
      <c r="L725" s="1">
        <f>IFERROR(VLOOKUP($D725&amp;$C725,生产方式定位!$A$2:$E$38,2,FALSE)+VLOOKUP($E725&amp;$C725,生产方式定位!$F$3:$J$38,2,FALSE),0)</f>
        <v>0</v>
      </c>
      <c r="S725" s="1">
        <f>IFERROR(VLOOKUP($D725&amp;$C725,生产方式定位!$A$2:$E$38,3,FALSE)+VLOOKUP($E725&amp;$C725,生产方式定位!$F$3:$J$38,3,FALSE),0)</f>
        <v>3000</v>
      </c>
      <c r="X725" s="1">
        <f>IFERROR(VLOOKUP($D725&amp;$C725,生产方式定位!$A$2:$E$38,5,FALSE)+VLOOKUP($E725&amp;$C725,生产方式定位!$F$3:$J$38,5,FALSE),"错误")</f>
        <v>1500</v>
      </c>
      <c r="Y725" s="27" t="str">
        <f t="shared" si="88"/>
        <v/>
      </c>
      <c r="Z725" s="37" t="str">
        <f t="shared" si="89"/>
        <v/>
      </c>
      <c r="AA725" s="37" t="str">
        <f t="shared" si="90"/>
        <v/>
      </c>
      <c r="AB725" s="28">
        <f t="shared" si="91"/>
        <v>0</v>
      </c>
      <c r="AC725" s="37"/>
      <c r="AD725" s="38">
        <f t="shared" si="92"/>
        <v>1</v>
      </c>
      <c r="AE725" t="str">
        <f>IFERROR(F725&amp;"*"&amp;ROUND(L725*(G725/$AN725)/VLOOKUP(F725,商品!$A$4:$D$67,4,FALSE),0),"")</f>
        <v/>
      </c>
      <c r="AF725" t="str">
        <f>IFERROR(H725&amp;"*"&amp;ROUND(L725*(I725/$AN725)/VLOOKUP(H725,商品!$A$4:$D$67,4,FALSE),0),"")</f>
        <v/>
      </c>
      <c r="AG725" t="str">
        <f>IFERROR(J725&amp;"*"&amp;ROUND(L725*(K725/$AN725)/VLOOKUP(J725,商品!$A$4:$D$67,4,FALSE),0),"")</f>
        <v/>
      </c>
      <c r="AH725" t="str">
        <f>IFERROR(M725&amp;"*"&amp;ROUND(S725*(N725/$AO725)/VLOOKUP(M725,职业!$A$3:$E$16,4,FALSE),0),"")</f>
        <v/>
      </c>
      <c r="AI725" t="str">
        <f>IFERROR(O725&amp;"*"&amp;ROUND(S725*(P725/$AO725)/VLOOKUP(O725,职业!$A$3:$E$16,4,FALSE),0),"")</f>
        <v/>
      </c>
      <c r="AK725" t="str">
        <f>IFERROR(T725&amp;"*"&amp;ROUND(X725*(U725/$AP725)/VLOOKUP(T725,商品!$A$4:$D$67,4,FALSE),0),"")</f>
        <v/>
      </c>
      <c r="AL725" t="str">
        <f>IFERROR(V725&amp;"*"&amp;ROUND(X725*(W725/$AP725)/VLOOKUP(V725,商品!$A$4:$D$67,4,FALSE),0),"")</f>
        <v/>
      </c>
      <c r="AN725">
        <f t="shared" si="93"/>
        <v>0</v>
      </c>
      <c r="AO725">
        <f t="shared" si="94"/>
        <v>0</v>
      </c>
      <c r="AP725">
        <f t="shared" si="95"/>
        <v>0</v>
      </c>
    </row>
    <row r="726" customHeight="1" spans="1:42">
      <c r="A726" s="5" t="s">
        <v>421</v>
      </c>
      <c r="C726" s="5">
        <v>2</v>
      </c>
      <c r="D726" s="1" t="s">
        <v>262</v>
      </c>
      <c r="E726" s="1" t="s">
        <v>226</v>
      </c>
      <c r="L726" s="1">
        <f>IFERROR(VLOOKUP($D726&amp;$C726,生产方式定位!$A$2:$E$38,2,FALSE)+VLOOKUP($E726&amp;$C726,生产方式定位!$F$3:$J$38,2,FALSE),0)</f>
        <v>2500</v>
      </c>
      <c r="S726" s="1">
        <f>IFERROR(VLOOKUP($D726&amp;$C726,生产方式定位!$A$2:$E$38,3,FALSE)+VLOOKUP($E726&amp;$C726,生产方式定位!$F$3:$J$38,3,FALSE),0)</f>
        <v>2600</v>
      </c>
      <c r="X726" s="1">
        <f>IFERROR(VLOOKUP($D726&amp;$C726,生产方式定位!$A$2:$E$38,5,FALSE)+VLOOKUP($E726&amp;$C726,生产方式定位!$F$3:$J$38,5,FALSE),"错误")</f>
        <v>2640</v>
      </c>
      <c r="Y726" s="27" t="str">
        <f t="shared" si="88"/>
        <v/>
      </c>
      <c r="Z726" s="37" t="str">
        <f t="shared" si="89"/>
        <v/>
      </c>
      <c r="AA726" s="37" t="str">
        <f t="shared" si="90"/>
        <v/>
      </c>
      <c r="AB726" s="28">
        <f t="shared" si="91"/>
        <v>0.95</v>
      </c>
      <c r="AC726" s="37"/>
      <c r="AD726" s="38">
        <f t="shared" si="92"/>
        <v>2</v>
      </c>
      <c r="AE726" t="str">
        <f>IFERROR(F726&amp;"*"&amp;ROUND(L726*(G726/$AN726)/VLOOKUP(F726,商品!$A$4:$D$67,4,FALSE),0),"")</f>
        <v/>
      </c>
      <c r="AF726" t="str">
        <f>IFERROR(H726&amp;"*"&amp;ROUND(L726*(I726/$AN726)/VLOOKUP(H726,商品!$A$4:$D$67,4,FALSE),0),"")</f>
        <v/>
      </c>
      <c r="AG726" t="str">
        <f>IFERROR(J726&amp;"*"&amp;ROUND(L726*(K726/$AN726)/VLOOKUP(J726,商品!$A$4:$D$67,4,FALSE),0),"")</f>
        <v/>
      </c>
      <c r="AH726" t="str">
        <f>IFERROR(M726&amp;"*"&amp;ROUND(S726*(N726/$AO726)/VLOOKUP(M726,职业!$A$3:$E$16,4,FALSE),0),"")</f>
        <v/>
      </c>
      <c r="AI726" t="str">
        <f>IFERROR(O726&amp;"*"&amp;ROUND(S726*(P726/$AO726)/VLOOKUP(O726,职业!$A$3:$E$16,4,FALSE),0),"")</f>
        <v/>
      </c>
      <c r="AK726" t="str">
        <f>IFERROR(T726&amp;"*"&amp;ROUND(X726*(U726/$AP726)/VLOOKUP(T726,商品!$A$4:$D$67,4,FALSE),0),"")</f>
        <v/>
      </c>
      <c r="AL726" t="str">
        <f>IFERROR(V726&amp;"*"&amp;ROUND(X726*(W726/$AP726)/VLOOKUP(V726,商品!$A$4:$D$67,4,FALSE),0),"")</f>
        <v/>
      </c>
      <c r="AN726">
        <f t="shared" si="93"/>
        <v>0</v>
      </c>
      <c r="AO726">
        <f t="shared" si="94"/>
        <v>0</v>
      </c>
      <c r="AP726">
        <f t="shared" si="95"/>
        <v>0</v>
      </c>
    </row>
    <row r="727" customHeight="1" spans="1:42">
      <c r="A727" s="5" t="s">
        <v>421</v>
      </c>
      <c r="C727" s="5">
        <v>3</v>
      </c>
      <c r="D727" s="1" t="s">
        <v>262</v>
      </c>
      <c r="E727" s="1" t="s">
        <v>226</v>
      </c>
      <c r="L727" s="1">
        <f>IFERROR(VLOOKUP($D727&amp;$C727,生产方式定位!$A$2:$E$38,2,FALSE)+VLOOKUP($E727&amp;$C727,生产方式定位!$F$3:$J$38,2,FALSE),0)</f>
        <v>4000</v>
      </c>
      <c r="S727" s="1">
        <f>IFERROR(VLOOKUP($D727&amp;$C727,生产方式定位!$A$2:$E$38,3,FALSE)+VLOOKUP($E727&amp;$C727,生产方式定位!$F$3:$J$38,3,FALSE),0)</f>
        <v>2200</v>
      </c>
      <c r="X727" s="1">
        <f>IFERROR(VLOOKUP($D727&amp;$C727,生产方式定位!$A$2:$E$38,5,FALSE)+VLOOKUP($E727&amp;$C727,生产方式定位!$F$3:$J$38,5,FALSE),"错误")</f>
        <v>3360</v>
      </c>
      <c r="Y727" s="27" t="str">
        <f t="shared" si="88"/>
        <v/>
      </c>
      <c r="Z727" s="37" t="str">
        <f t="shared" si="89"/>
        <v/>
      </c>
      <c r="AA727" s="37" t="str">
        <f t="shared" si="90"/>
        <v/>
      </c>
      <c r="AB727" s="28">
        <f t="shared" si="91"/>
        <v>1.19</v>
      </c>
      <c r="AC727" s="37"/>
      <c r="AD727" s="38">
        <f t="shared" si="92"/>
        <v>3</v>
      </c>
      <c r="AE727" t="str">
        <f>IFERROR(F727&amp;"*"&amp;ROUND(L727*(G727/$AN727)/VLOOKUP(F727,商品!$A$4:$D$67,4,FALSE),0),"")</f>
        <v/>
      </c>
      <c r="AF727" t="str">
        <f>IFERROR(H727&amp;"*"&amp;ROUND(L727*(I727/$AN727)/VLOOKUP(H727,商品!$A$4:$D$67,4,FALSE),0),"")</f>
        <v/>
      </c>
      <c r="AG727" t="str">
        <f>IFERROR(J727&amp;"*"&amp;ROUND(L727*(K727/$AN727)/VLOOKUP(J727,商品!$A$4:$D$67,4,FALSE),0),"")</f>
        <v/>
      </c>
      <c r="AH727" t="str">
        <f>IFERROR(M727&amp;"*"&amp;ROUND(S727*(N727/$AO727)/VLOOKUP(M727,职业!$A$3:$E$16,4,FALSE),0),"")</f>
        <v/>
      </c>
      <c r="AI727" t="str">
        <f>IFERROR(O727&amp;"*"&amp;ROUND(S727*(P727/$AO727)/VLOOKUP(O727,职业!$A$3:$E$16,4,FALSE),0),"")</f>
        <v/>
      </c>
      <c r="AK727" t="str">
        <f>IFERROR(T727&amp;"*"&amp;ROUND(X727*(U727/$AP727)/VLOOKUP(T727,商品!$A$4:$D$67,4,FALSE),0),"")</f>
        <v/>
      </c>
      <c r="AL727" t="str">
        <f>IFERROR(V727&amp;"*"&amp;ROUND(X727*(W727/$AP727)/VLOOKUP(V727,商品!$A$4:$D$67,4,FALSE),0),"")</f>
        <v/>
      </c>
      <c r="AN727">
        <f t="shared" si="93"/>
        <v>0</v>
      </c>
      <c r="AO727">
        <f t="shared" si="94"/>
        <v>0</v>
      </c>
      <c r="AP727">
        <f t="shared" si="95"/>
        <v>0</v>
      </c>
    </row>
    <row r="728" customHeight="1" spans="1:42">
      <c r="A728" s="5" t="s">
        <v>421</v>
      </c>
      <c r="C728" s="5">
        <v>4</v>
      </c>
      <c r="D728" s="1" t="s">
        <v>262</v>
      </c>
      <c r="E728" s="1" t="s">
        <v>226</v>
      </c>
      <c r="L728" s="1">
        <f>IFERROR(VLOOKUP($D728&amp;$C728,生产方式定位!$A$2:$E$38,2,FALSE)+VLOOKUP($E728&amp;$C728,生产方式定位!$F$3:$J$38,2,FALSE),0)</f>
        <v>5500</v>
      </c>
      <c r="S728" s="1">
        <f>IFERROR(VLOOKUP($D728&amp;$C728,生产方式定位!$A$2:$E$38,3,FALSE)+VLOOKUP($E728&amp;$C728,生产方式定位!$F$3:$J$38,3,FALSE),0)</f>
        <v>1800</v>
      </c>
      <c r="X728" s="1">
        <f>IFERROR(VLOOKUP($D728&amp;$C728,生产方式定位!$A$2:$E$38,5,FALSE)+VLOOKUP($E728&amp;$C728,生产方式定位!$F$3:$J$38,5,FALSE),"错误")</f>
        <v>4160</v>
      </c>
      <c r="Y728" s="27" t="str">
        <f t="shared" si="88"/>
        <v/>
      </c>
      <c r="Z728" s="37" t="str">
        <f t="shared" si="89"/>
        <v/>
      </c>
      <c r="AA728" s="37" t="str">
        <f t="shared" si="90"/>
        <v/>
      </c>
      <c r="AB728" s="28">
        <f t="shared" si="91"/>
        <v>1.32</v>
      </c>
      <c r="AC728" s="37"/>
      <c r="AD728" s="38">
        <f t="shared" si="92"/>
        <v>4</v>
      </c>
      <c r="AE728" t="str">
        <f>IFERROR(F728&amp;"*"&amp;ROUND(L728*(G728/$AN728)/VLOOKUP(F728,商品!$A$4:$D$67,4,FALSE),0),"")</f>
        <v/>
      </c>
      <c r="AF728" t="str">
        <f>IFERROR(H728&amp;"*"&amp;ROUND(L728*(I728/$AN728)/VLOOKUP(H728,商品!$A$4:$D$67,4,FALSE),0),"")</f>
        <v/>
      </c>
      <c r="AG728" t="str">
        <f>IFERROR(J728&amp;"*"&amp;ROUND(L728*(K728/$AN728)/VLOOKUP(J728,商品!$A$4:$D$67,4,FALSE),0),"")</f>
        <v/>
      </c>
      <c r="AH728" t="str">
        <f>IFERROR(M728&amp;"*"&amp;ROUND(S728*(N728/$AO728)/VLOOKUP(M728,职业!$A$3:$E$16,4,FALSE),0),"")</f>
        <v/>
      </c>
      <c r="AI728" t="str">
        <f>IFERROR(O728&amp;"*"&amp;ROUND(S728*(P728/$AO728)/VLOOKUP(O728,职业!$A$3:$E$16,4,FALSE),0),"")</f>
        <v/>
      </c>
      <c r="AK728" t="str">
        <f>IFERROR(T728&amp;"*"&amp;ROUND(X728*(U728/$AP728)/VLOOKUP(T728,商品!$A$4:$D$67,4,FALSE),0),"")</f>
        <v/>
      </c>
      <c r="AL728" t="str">
        <f>IFERROR(V728&amp;"*"&amp;ROUND(X728*(W728/$AP728)/VLOOKUP(V728,商品!$A$4:$D$67,4,FALSE),0),"")</f>
        <v/>
      </c>
      <c r="AN728">
        <f t="shared" si="93"/>
        <v>0</v>
      </c>
      <c r="AO728">
        <f t="shared" si="94"/>
        <v>0</v>
      </c>
      <c r="AP728">
        <f t="shared" si="95"/>
        <v>0</v>
      </c>
    </row>
    <row r="729" customHeight="1" spans="1:42">
      <c r="A729" s="5" t="s">
        <v>421</v>
      </c>
      <c r="C729" s="5">
        <v>5</v>
      </c>
      <c r="D729" s="1" t="s">
        <v>262</v>
      </c>
      <c r="E729" s="1" t="s">
        <v>226</v>
      </c>
      <c r="L729" s="1">
        <f>IFERROR(VLOOKUP($D729&amp;$C729,生产方式定位!$A$2:$E$38,2,FALSE)+VLOOKUP($E729&amp;$C729,生产方式定位!$F$3:$J$38,2,FALSE),0)</f>
        <v>7000</v>
      </c>
      <c r="S729" s="1">
        <f>IFERROR(VLOOKUP($D729&amp;$C729,生产方式定位!$A$2:$E$38,3,FALSE)+VLOOKUP($E729&amp;$C729,生产方式定位!$F$3:$J$38,3,FALSE),0)</f>
        <v>1400</v>
      </c>
      <c r="X729" s="1">
        <f>IFERROR(VLOOKUP($D729&amp;$C729,生产方式定位!$A$2:$E$38,5,FALSE)+VLOOKUP($E729&amp;$C729,生产方式定位!$F$3:$J$38,5,FALSE),"错误")</f>
        <v>5040</v>
      </c>
      <c r="Y729" s="27" t="str">
        <f t="shared" si="88"/>
        <v/>
      </c>
      <c r="Z729" s="37" t="str">
        <f t="shared" si="89"/>
        <v/>
      </c>
      <c r="AA729" s="37" t="str">
        <f t="shared" si="90"/>
        <v/>
      </c>
      <c r="AB729" s="28">
        <f t="shared" si="91"/>
        <v>1.39</v>
      </c>
      <c r="AC729" s="37"/>
      <c r="AD729" s="38">
        <f t="shared" si="92"/>
        <v>5</v>
      </c>
      <c r="AE729" t="str">
        <f>IFERROR(F729&amp;"*"&amp;ROUND(L729*(G729/$AN729)/VLOOKUP(F729,商品!$A$4:$D$67,4,FALSE),0),"")</f>
        <v/>
      </c>
      <c r="AF729" t="str">
        <f>IFERROR(H729&amp;"*"&amp;ROUND(L729*(I729/$AN729)/VLOOKUP(H729,商品!$A$4:$D$67,4,FALSE),0),"")</f>
        <v/>
      </c>
      <c r="AG729" t="str">
        <f>IFERROR(J729&amp;"*"&amp;ROUND(L729*(K729/$AN729)/VLOOKUP(J729,商品!$A$4:$D$67,4,FALSE),0),"")</f>
        <v/>
      </c>
      <c r="AH729" t="str">
        <f>IFERROR(M729&amp;"*"&amp;ROUND(S729*(N729/$AO729)/VLOOKUP(M729,职业!$A$3:$E$16,4,FALSE),0),"")</f>
        <v/>
      </c>
      <c r="AI729" t="str">
        <f>IFERROR(O729&amp;"*"&amp;ROUND(S729*(P729/$AO729)/VLOOKUP(O729,职业!$A$3:$E$16,4,FALSE),0),"")</f>
        <v/>
      </c>
      <c r="AK729" t="str">
        <f>IFERROR(T729&amp;"*"&amp;ROUND(X729*(U729/$AP729)/VLOOKUP(T729,商品!$A$4:$D$67,4,FALSE),0),"")</f>
        <v/>
      </c>
      <c r="AL729" t="str">
        <f>IFERROR(V729&amp;"*"&amp;ROUND(X729*(W729/$AP729)/VLOOKUP(V729,商品!$A$4:$D$67,4,FALSE),0),"")</f>
        <v/>
      </c>
      <c r="AN729">
        <f t="shared" si="93"/>
        <v>0</v>
      </c>
      <c r="AO729">
        <f t="shared" si="94"/>
        <v>0</v>
      </c>
      <c r="AP729">
        <f t="shared" si="95"/>
        <v>0</v>
      </c>
    </row>
    <row r="730" customHeight="1" spans="1:42">
      <c r="A730" s="18" t="s">
        <v>422</v>
      </c>
      <c r="C730" s="18">
        <v>1</v>
      </c>
      <c r="D730" s="1" t="s">
        <v>293</v>
      </c>
      <c r="E730" s="1" t="s">
        <v>227</v>
      </c>
      <c r="L730" s="1">
        <f>IFERROR(VLOOKUP($D730&amp;$C730,生产方式定位!$A$2:$E$38,2,FALSE)+VLOOKUP($E730&amp;$C730,生产方式定位!$F$3:$J$38,2,FALSE),0)</f>
        <v>0</v>
      </c>
      <c r="S730" s="1">
        <f>IFERROR(VLOOKUP($D730&amp;$C730,生产方式定位!$A$2:$E$38,3,FALSE)+VLOOKUP($E730&amp;$C730,生产方式定位!$F$3:$J$38,3,FALSE),0)</f>
        <v>0</v>
      </c>
      <c r="X730" s="1">
        <f>IFERROR(VLOOKUP($D730&amp;$C730,生产方式定位!$A$2:$E$38,5,FALSE)+VLOOKUP($E730&amp;$C730,生产方式定位!$F$3:$J$38,5,FALSE),"错误")</f>
        <v>0</v>
      </c>
      <c r="Y730" s="27" t="str">
        <f t="shared" si="88"/>
        <v/>
      </c>
      <c r="Z730" s="37" t="str">
        <f t="shared" si="89"/>
        <v/>
      </c>
      <c r="AA730" s="37" t="str">
        <f t="shared" si="90"/>
        <v/>
      </c>
      <c r="AB730" s="28" t="str">
        <f t="shared" si="91"/>
        <v/>
      </c>
      <c r="AC730" s="37"/>
      <c r="AD730" s="38">
        <f t="shared" si="92"/>
        <v>1</v>
      </c>
      <c r="AE730" t="str">
        <f>IFERROR(F730&amp;"*"&amp;ROUND(L730*(G730/$AN730)/VLOOKUP(F730,商品!$A$4:$D$67,4,FALSE),0),"")</f>
        <v/>
      </c>
      <c r="AF730" t="str">
        <f>IFERROR(H730&amp;"*"&amp;ROUND(L730*(I730/$AN730)/VLOOKUP(H730,商品!$A$4:$D$67,4,FALSE),0),"")</f>
        <v/>
      </c>
      <c r="AG730" t="str">
        <f>IFERROR(J730&amp;"*"&amp;ROUND(L730*(K730/$AN730)/VLOOKUP(J730,商品!$A$4:$D$67,4,FALSE),0),"")</f>
        <v/>
      </c>
      <c r="AH730" t="str">
        <f>IFERROR(M730&amp;"*"&amp;ROUND(S730*(N730/$AO730)/VLOOKUP(M730,职业!$A$3:$E$16,4,FALSE),0),"")</f>
        <v/>
      </c>
      <c r="AI730" t="str">
        <f>IFERROR(O730&amp;"*"&amp;ROUND(S730*(P730/$AO730)/VLOOKUP(O730,职业!$A$3:$E$16,4,FALSE),0),"")</f>
        <v/>
      </c>
      <c r="AK730" t="str">
        <f>IFERROR(T730&amp;"*"&amp;ROUND(X730*(U730/$AP730)/VLOOKUP(T730,商品!$A$4:$D$67,4,FALSE),0),"")</f>
        <v/>
      </c>
      <c r="AL730" t="str">
        <f>IFERROR(V730&amp;"*"&amp;ROUND(X730*(W730/$AP730)/VLOOKUP(V730,商品!$A$4:$D$67,4,FALSE),0),"")</f>
        <v/>
      </c>
      <c r="AN730">
        <f t="shared" si="93"/>
        <v>0</v>
      </c>
      <c r="AO730">
        <f t="shared" si="94"/>
        <v>0</v>
      </c>
      <c r="AP730">
        <f t="shared" si="95"/>
        <v>0</v>
      </c>
    </row>
    <row r="731" customHeight="1" spans="1:42">
      <c r="A731" s="18" t="s">
        <v>422</v>
      </c>
      <c r="C731" s="18">
        <v>2</v>
      </c>
      <c r="D731" s="1" t="s">
        <v>293</v>
      </c>
      <c r="E731" s="1" t="s">
        <v>227</v>
      </c>
      <c r="L731" s="1">
        <f>IFERROR(VLOOKUP($D731&amp;$C731,生产方式定位!$A$2:$E$38,2,FALSE)+VLOOKUP($E731&amp;$C731,生产方式定位!$F$3:$J$38,2,FALSE),0)</f>
        <v>0</v>
      </c>
      <c r="S731" s="1">
        <f>IFERROR(VLOOKUP($D731&amp;$C731,生产方式定位!$A$2:$E$38,3,FALSE)+VLOOKUP($E731&amp;$C731,生产方式定位!$F$3:$J$38,3,FALSE),0)</f>
        <v>0</v>
      </c>
      <c r="X731" s="1">
        <f>IFERROR(VLOOKUP($D731&amp;$C731,生产方式定位!$A$2:$E$38,5,FALSE)+VLOOKUP($E731&amp;$C731,生产方式定位!$F$3:$J$38,5,FALSE),"错误")</f>
        <v>0</v>
      </c>
      <c r="Y731" s="27" t="str">
        <f t="shared" si="88"/>
        <v/>
      </c>
      <c r="Z731" s="37" t="str">
        <f t="shared" si="89"/>
        <v/>
      </c>
      <c r="AA731" s="37" t="str">
        <f t="shared" si="90"/>
        <v/>
      </c>
      <c r="AB731" s="28" t="str">
        <f t="shared" si="91"/>
        <v/>
      </c>
      <c r="AC731" s="37"/>
      <c r="AD731" s="38">
        <f t="shared" si="92"/>
        <v>2</v>
      </c>
      <c r="AE731" t="str">
        <f>IFERROR(F731&amp;"*"&amp;ROUND(L731*(G731/$AN731)/VLOOKUP(F731,商品!$A$4:$D$67,4,FALSE),0),"")</f>
        <v/>
      </c>
      <c r="AF731" t="str">
        <f>IFERROR(H731&amp;"*"&amp;ROUND(L731*(I731/$AN731)/VLOOKUP(H731,商品!$A$4:$D$67,4,FALSE),0),"")</f>
        <v/>
      </c>
      <c r="AG731" t="str">
        <f>IFERROR(J731&amp;"*"&amp;ROUND(L731*(K731/$AN731)/VLOOKUP(J731,商品!$A$4:$D$67,4,FALSE),0),"")</f>
        <v/>
      </c>
      <c r="AH731" t="str">
        <f>IFERROR(M731&amp;"*"&amp;ROUND(S731*(N731/$AO731)/VLOOKUP(M731,职业!$A$3:$E$16,4,FALSE),0),"")</f>
        <v/>
      </c>
      <c r="AI731" t="str">
        <f>IFERROR(O731&amp;"*"&amp;ROUND(S731*(P731/$AO731)/VLOOKUP(O731,职业!$A$3:$E$16,4,FALSE),0),"")</f>
        <v/>
      </c>
      <c r="AK731" t="str">
        <f>IFERROR(T731&amp;"*"&amp;ROUND(X731*(U731/$AP731)/VLOOKUP(T731,商品!$A$4:$D$67,4,FALSE),0),"")</f>
        <v/>
      </c>
      <c r="AL731" t="str">
        <f>IFERROR(V731&amp;"*"&amp;ROUND(X731*(W731/$AP731)/VLOOKUP(V731,商品!$A$4:$D$67,4,FALSE),0),"")</f>
        <v/>
      </c>
      <c r="AN731">
        <f t="shared" si="93"/>
        <v>0</v>
      </c>
      <c r="AO731">
        <f t="shared" si="94"/>
        <v>0</v>
      </c>
      <c r="AP731">
        <f t="shared" si="95"/>
        <v>0</v>
      </c>
    </row>
    <row r="732" customHeight="1" spans="1:42">
      <c r="A732" s="18" t="s">
        <v>422</v>
      </c>
      <c r="C732" s="18">
        <v>3</v>
      </c>
      <c r="D732" s="1" t="s">
        <v>293</v>
      </c>
      <c r="E732" s="1" t="s">
        <v>227</v>
      </c>
      <c r="L732" s="1">
        <f>IFERROR(VLOOKUP($D732&amp;$C732,生产方式定位!$A$2:$E$38,2,FALSE)+VLOOKUP($E732&amp;$C732,生产方式定位!$F$3:$J$38,2,FALSE),0)</f>
        <v>0</v>
      </c>
      <c r="S732" s="1">
        <f>IFERROR(VLOOKUP($D732&amp;$C732,生产方式定位!$A$2:$E$38,3,FALSE)+VLOOKUP($E732&amp;$C732,生产方式定位!$F$3:$J$38,3,FALSE),0)</f>
        <v>0</v>
      </c>
      <c r="X732" s="1">
        <f>IFERROR(VLOOKUP($D732&amp;$C732,生产方式定位!$A$2:$E$38,5,FALSE)+VLOOKUP($E732&amp;$C732,生产方式定位!$F$3:$J$38,5,FALSE),"错误")</f>
        <v>0</v>
      </c>
      <c r="Y732" s="27" t="str">
        <f t="shared" si="88"/>
        <v/>
      </c>
      <c r="Z732" s="37" t="str">
        <f t="shared" si="89"/>
        <v/>
      </c>
      <c r="AA732" s="37" t="str">
        <f t="shared" si="90"/>
        <v/>
      </c>
      <c r="AB732" s="28" t="str">
        <f t="shared" si="91"/>
        <v/>
      </c>
      <c r="AC732" s="37"/>
      <c r="AD732" s="38">
        <f t="shared" si="92"/>
        <v>3</v>
      </c>
      <c r="AE732" t="str">
        <f>IFERROR(F732&amp;"*"&amp;ROUND(L732*(G732/$AN732)/VLOOKUP(F732,商品!$A$4:$D$67,4,FALSE),0),"")</f>
        <v/>
      </c>
      <c r="AF732" t="str">
        <f>IFERROR(H732&amp;"*"&amp;ROUND(L732*(I732/$AN732)/VLOOKUP(H732,商品!$A$4:$D$67,4,FALSE),0),"")</f>
        <v/>
      </c>
      <c r="AG732" t="str">
        <f>IFERROR(J732&amp;"*"&amp;ROUND(L732*(K732/$AN732)/VLOOKUP(J732,商品!$A$4:$D$67,4,FALSE),0),"")</f>
        <v/>
      </c>
      <c r="AH732" t="str">
        <f>IFERROR(M732&amp;"*"&amp;ROUND(S732*(N732/$AO732)/VLOOKUP(M732,职业!$A$3:$E$16,4,FALSE),0),"")</f>
        <v/>
      </c>
      <c r="AI732" t="str">
        <f>IFERROR(O732&amp;"*"&amp;ROUND(S732*(P732/$AO732)/VLOOKUP(O732,职业!$A$3:$E$16,4,FALSE),0),"")</f>
        <v/>
      </c>
      <c r="AK732" t="str">
        <f>IFERROR(T732&amp;"*"&amp;ROUND(X732*(U732/$AP732)/VLOOKUP(T732,商品!$A$4:$D$67,4,FALSE),0),"")</f>
        <v/>
      </c>
      <c r="AL732" t="str">
        <f>IFERROR(V732&amp;"*"&amp;ROUND(X732*(W732/$AP732)/VLOOKUP(V732,商品!$A$4:$D$67,4,FALSE),0),"")</f>
        <v/>
      </c>
      <c r="AN732">
        <f t="shared" si="93"/>
        <v>0</v>
      </c>
      <c r="AO732">
        <f t="shared" si="94"/>
        <v>0</v>
      </c>
      <c r="AP732">
        <f t="shared" si="95"/>
        <v>0</v>
      </c>
    </row>
    <row r="733" customHeight="1" spans="1:42">
      <c r="A733" s="18" t="s">
        <v>422</v>
      </c>
      <c r="C733" s="18">
        <v>4</v>
      </c>
      <c r="D733" s="1" t="s">
        <v>293</v>
      </c>
      <c r="E733" s="1" t="s">
        <v>227</v>
      </c>
      <c r="L733" s="1">
        <f>IFERROR(VLOOKUP($D733&amp;$C733,生产方式定位!$A$2:$E$38,2,FALSE)+VLOOKUP($E733&amp;$C733,生产方式定位!$F$3:$J$38,2,FALSE),0)</f>
        <v>0</v>
      </c>
      <c r="S733" s="1">
        <f>IFERROR(VLOOKUP($D733&amp;$C733,生产方式定位!$A$2:$E$38,3,FALSE)+VLOOKUP($E733&amp;$C733,生产方式定位!$F$3:$J$38,3,FALSE),0)</f>
        <v>0</v>
      </c>
      <c r="X733" s="1">
        <f>IFERROR(VLOOKUP($D733&amp;$C733,生产方式定位!$A$2:$E$38,5,FALSE)+VLOOKUP($E733&amp;$C733,生产方式定位!$F$3:$J$38,5,FALSE),"错误")</f>
        <v>0</v>
      </c>
      <c r="Y733" s="27" t="str">
        <f t="shared" si="88"/>
        <v/>
      </c>
      <c r="Z733" s="37" t="str">
        <f t="shared" si="89"/>
        <v/>
      </c>
      <c r="AA733" s="37" t="str">
        <f t="shared" si="90"/>
        <v/>
      </c>
      <c r="AB733" s="28" t="str">
        <f t="shared" si="91"/>
        <v/>
      </c>
      <c r="AC733" s="37"/>
      <c r="AD733" s="38">
        <f t="shared" si="92"/>
        <v>4</v>
      </c>
      <c r="AE733" t="str">
        <f>IFERROR(F733&amp;"*"&amp;ROUND(L733*(G733/$AN733)/VLOOKUP(F733,商品!$A$4:$D$67,4,FALSE),0),"")</f>
        <v/>
      </c>
      <c r="AF733" t="str">
        <f>IFERROR(H733&amp;"*"&amp;ROUND(L733*(I733/$AN733)/VLOOKUP(H733,商品!$A$4:$D$67,4,FALSE),0),"")</f>
        <v/>
      </c>
      <c r="AG733" t="str">
        <f>IFERROR(J733&amp;"*"&amp;ROUND(L733*(K733/$AN733)/VLOOKUP(J733,商品!$A$4:$D$67,4,FALSE),0),"")</f>
        <v/>
      </c>
      <c r="AH733" t="str">
        <f>IFERROR(M733&amp;"*"&amp;ROUND(S733*(N733/$AO733)/VLOOKUP(M733,职业!$A$3:$E$16,4,FALSE),0),"")</f>
        <v/>
      </c>
      <c r="AI733" t="str">
        <f>IFERROR(O733&amp;"*"&amp;ROUND(S733*(P733/$AO733)/VLOOKUP(O733,职业!$A$3:$E$16,4,FALSE),0),"")</f>
        <v/>
      </c>
      <c r="AK733" t="str">
        <f>IFERROR(T733&amp;"*"&amp;ROUND(X733*(U733/$AP733)/VLOOKUP(T733,商品!$A$4:$D$67,4,FALSE),0),"")</f>
        <v/>
      </c>
      <c r="AL733" t="str">
        <f>IFERROR(V733&amp;"*"&amp;ROUND(X733*(W733/$AP733)/VLOOKUP(V733,商品!$A$4:$D$67,4,FALSE),0),"")</f>
        <v/>
      </c>
      <c r="AN733">
        <f t="shared" si="93"/>
        <v>0</v>
      </c>
      <c r="AO733">
        <f t="shared" si="94"/>
        <v>0</v>
      </c>
      <c r="AP733">
        <f t="shared" si="95"/>
        <v>0</v>
      </c>
    </row>
    <row r="734" customHeight="1" spans="1:42">
      <c r="A734" s="18" t="s">
        <v>422</v>
      </c>
      <c r="C734" s="18">
        <v>5</v>
      </c>
      <c r="D734" s="1" t="s">
        <v>293</v>
      </c>
      <c r="E734" s="1" t="s">
        <v>227</v>
      </c>
      <c r="L734" s="1">
        <f>IFERROR(VLOOKUP($D734&amp;$C734,生产方式定位!$A$2:$E$38,2,FALSE)+VLOOKUP($E734&amp;$C734,生产方式定位!$F$3:$J$38,2,FALSE),0)</f>
        <v>0</v>
      </c>
      <c r="S734" s="1">
        <f>IFERROR(VLOOKUP($D734&amp;$C734,生产方式定位!$A$2:$E$38,3,FALSE)+VLOOKUP($E734&amp;$C734,生产方式定位!$F$3:$J$38,3,FALSE),0)</f>
        <v>0</v>
      </c>
      <c r="X734" s="1">
        <f>IFERROR(VLOOKUP($D734&amp;$C734,生产方式定位!$A$2:$E$38,5,FALSE)+VLOOKUP($E734&amp;$C734,生产方式定位!$F$3:$J$38,5,FALSE),"错误")</f>
        <v>0</v>
      </c>
      <c r="Y734" s="27" t="str">
        <f t="shared" si="88"/>
        <v/>
      </c>
      <c r="Z734" s="37" t="str">
        <f t="shared" si="89"/>
        <v/>
      </c>
      <c r="AA734" s="37" t="str">
        <f t="shared" si="90"/>
        <v/>
      </c>
      <c r="AB734" s="28" t="str">
        <f t="shared" si="91"/>
        <v/>
      </c>
      <c r="AC734" s="37"/>
      <c r="AD734" s="38">
        <f t="shared" si="92"/>
        <v>5</v>
      </c>
      <c r="AE734" t="str">
        <f>IFERROR(F734&amp;"*"&amp;ROUND(L734*(G734/$AN734)/VLOOKUP(F734,商品!$A$4:$D$67,4,FALSE),0),"")</f>
        <v/>
      </c>
      <c r="AF734" t="str">
        <f>IFERROR(H734&amp;"*"&amp;ROUND(L734*(I734/$AN734)/VLOOKUP(H734,商品!$A$4:$D$67,4,FALSE),0),"")</f>
        <v/>
      </c>
      <c r="AG734" t="str">
        <f>IFERROR(J734&amp;"*"&amp;ROUND(L734*(K734/$AN734)/VLOOKUP(J734,商品!$A$4:$D$67,4,FALSE),0),"")</f>
        <v/>
      </c>
      <c r="AH734" t="str">
        <f>IFERROR(M734&amp;"*"&amp;ROUND(S734*(N734/$AO734)/VLOOKUP(M734,职业!$A$3:$E$16,4,FALSE),0),"")</f>
        <v/>
      </c>
      <c r="AI734" t="str">
        <f>IFERROR(O734&amp;"*"&amp;ROUND(S734*(P734/$AO734)/VLOOKUP(O734,职业!$A$3:$E$16,4,FALSE),0),"")</f>
        <v/>
      </c>
      <c r="AK734" t="str">
        <f>IFERROR(T734&amp;"*"&amp;ROUND(X734*(U734/$AP734)/VLOOKUP(T734,商品!$A$4:$D$67,4,FALSE),0),"")</f>
        <v/>
      </c>
      <c r="AL734" t="str">
        <f>IFERROR(V734&amp;"*"&amp;ROUND(X734*(W734/$AP734)/VLOOKUP(V734,商品!$A$4:$D$67,4,FALSE),0),"")</f>
        <v/>
      </c>
      <c r="AN734">
        <f t="shared" si="93"/>
        <v>0</v>
      </c>
      <c r="AO734">
        <f t="shared" si="94"/>
        <v>0</v>
      </c>
      <c r="AP734">
        <f t="shared" si="95"/>
        <v>0</v>
      </c>
    </row>
    <row r="735" customHeight="1" spans="1:42">
      <c r="A735" s="18" t="s">
        <v>422</v>
      </c>
      <c r="C735" s="18">
        <v>6</v>
      </c>
      <c r="D735" s="1" t="s">
        <v>293</v>
      </c>
      <c r="E735" s="1" t="s">
        <v>227</v>
      </c>
      <c r="L735" s="1">
        <f>IFERROR(VLOOKUP($D735&amp;$C735,生产方式定位!$A$2:$E$38,2,FALSE)+VLOOKUP($E735&amp;$C735,生产方式定位!$F$3:$J$38,2,FALSE),0)</f>
        <v>0</v>
      </c>
      <c r="S735" s="1">
        <f>IFERROR(VLOOKUP($D735&amp;$C735,生产方式定位!$A$2:$E$38,3,FALSE)+VLOOKUP($E735&amp;$C735,生产方式定位!$F$3:$J$38,3,FALSE),0)</f>
        <v>0</v>
      </c>
      <c r="X735" s="1">
        <f>IFERROR(VLOOKUP($D735&amp;$C735,生产方式定位!$A$2:$E$38,5,FALSE)+VLOOKUP($E735&amp;$C735,生产方式定位!$F$3:$J$38,5,FALSE),"错误")</f>
        <v>0</v>
      </c>
      <c r="Y735" s="27" t="str">
        <f t="shared" si="88"/>
        <v/>
      </c>
      <c r="Z735" s="37" t="str">
        <f t="shared" si="89"/>
        <v/>
      </c>
      <c r="AA735" s="37" t="str">
        <f t="shared" si="90"/>
        <v/>
      </c>
      <c r="AB735" s="28" t="str">
        <f t="shared" si="91"/>
        <v/>
      </c>
      <c r="AC735" s="37"/>
      <c r="AD735" s="38">
        <f t="shared" si="92"/>
        <v>6</v>
      </c>
      <c r="AE735" t="str">
        <f>IFERROR(F735&amp;"*"&amp;ROUND(L735*(G735/$AN735)/VLOOKUP(F735,商品!$A$4:$D$67,4,FALSE),0),"")</f>
        <v/>
      </c>
      <c r="AF735" t="str">
        <f>IFERROR(H735&amp;"*"&amp;ROUND(L735*(I735/$AN735)/VLOOKUP(H735,商品!$A$4:$D$67,4,FALSE),0),"")</f>
        <v/>
      </c>
      <c r="AG735" t="str">
        <f>IFERROR(J735&amp;"*"&amp;ROUND(L735*(K735/$AN735)/VLOOKUP(J735,商品!$A$4:$D$67,4,FALSE),0),"")</f>
        <v/>
      </c>
      <c r="AH735" t="str">
        <f>IFERROR(M735&amp;"*"&amp;ROUND(S735*(N735/$AO735)/VLOOKUP(M735,职业!$A$3:$E$16,4,FALSE),0),"")</f>
        <v/>
      </c>
      <c r="AI735" t="str">
        <f>IFERROR(O735&amp;"*"&amp;ROUND(S735*(P735/$AO735)/VLOOKUP(O735,职业!$A$3:$E$16,4,FALSE),0),"")</f>
        <v/>
      </c>
      <c r="AK735" t="str">
        <f>IFERROR(T735&amp;"*"&amp;ROUND(X735*(U735/$AP735)/VLOOKUP(T735,商品!$A$4:$D$67,4,FALSE),0),"")</f>
        <v/>
      </c>
      <c r="AL735" t="str">
        <f>IFERROR(V735&amp;"*"&amp;ROUND(X735*(W735/$AP735)/VLOOKUP(V735,商品!$A$4:$D$67,4,FALSE),0),"")</f>
        <v/>
      </c>
      <c r="AN735">
        <f t="shared" si="93"/>
        <v>0</v>
      </c>
      <c r="AO735">
        <f t="shared" si="94"/>
        <v>0</v>
      </c>
      <c r="AP735">
        <f t="shared" si="95"/>
        <v>0</v>
      </c>
    </row>
    <row r="736" customHeight="1" spans="1:42">
      <c r="A736" s="18" t="s">
        <v>422</v>
      </c>
      <c r="C736" s="18">
        <v>7</v>
      </c>
      <c r="D736" s="1" t="s">
        <v>293</v>
      </c>
      <c r="E736" s="1" t="s">
        <v>227</v>
      </c>
      <c r="L736" s="1">
        <f>IFERROR(VLOOKUP($D736&amp;$C736,生产方式定位!$A$2:$E$38,2,FALSE)+VLOOKUP($E736&amp;$C736,生产方式定位!$F$3:$J$38,2,FALSE),0)</f>
        <v>0</v>
      </c>
      <c r="S736" s="1">
        <f>IFERROR(VLOOKUP($D736&amp;$C736,生产方式定位!$A$2:$E$38,3,FALSE)+VLOOKUP($E736&amp;$C736,生产方式定位!$F$3:$J$38,3,FALSE),0)</f>
        <v>0</v>
      </c>
      <c r="X736" s="1">
        <f>IFERROR(VLOOKUP($D736&amp;$C736,生产方式定位!$A$2:$E$38,5,FALSE)+VLOOKUP($E736&amp;$C736,生产方式定位!$F$3:$J$38,5,FALSE),"错误")</f>
        <v>0</v>
      </c>
      <c r="Y736" s="27" t="str">
        <f t="shared" si="88"/>
        <v/>
      </c>
      <c r="Z736" s="37" t="str">
        <f t="shared" si="89"/>
        <v/>
      </c>
      <c r="AA736" s="37" t="str">
        <f t="shared" si="90"/>
        <v/>
      </c>
      <c r="AB736" s="28" t="str">
        <f t="shared" si="91"/>
        <v/>
      </c>
      <c r="AC736" s="37"/>
      <c r="AD736" s="38">
        <f t="shared" si="92"/>
        <v>7</v>
      </c>
      <c r="AE736" t="str">
        <f>IFERROR(F736&amp;"*"&amp;ROUND(L736*(G736/$AN736)/VLOOKUP(F736,商品!$A$4:$D$67,4,FALSE),0),"")</f>
        <v/>
      </c>
      <c r="AF736" t="str">
        <f>IFERROR(H736&amp;"*"&amp;ROUND(L736*(I736/$AN736)/VLOOKUP(H736,商品!$A$4:$D$67,4,FALSE),0),"")</f>
        <v/>
      </c>
      <c r="AG736" t="str">
        <f>IFERROR(J736&amp;"*"&amp;ROUND(L736*(K736/$AN736)/VLOOKUP(J736,商品!$A$4:$D$67,4,FALSE),0),"")</f>
        <v/>
      </c>
      <c r="AH736" t="str">
        <f>IFERROR(M736&amp;"*"&amp;ROUND(S736*(N736/$AO736)/VLOOKUP(M736,职业!$A$3:$E$16,4,FALSE),0),"")</f>
        <v/>
      </c>
      <c r="AI736" t="str">
        <f>IFERROR(O736&amp;"*"&amp;ROUND(S736*(P736/$AO736)/VLOOKUP(O736,职业!$A$3:$E$16,4,FALSE),0),"")</f>
        <v/>
      </c>
      <c r="AK736" t="str">
        <f>IFERROR(T736&amp;"*"&amp;ROUND(X736*(U736/$AP736)/VLOOKUP(T736,商品!$A$4:$D$67,4,FALSE),0),"")</f>
        <v/>
      </c>
      <c r="AL736" t="str">
        <f>IFERROR(V736&amp;"*"&amp;ROUND(X736*(W736/$AP736)/VLOOKUP(V736,商品!$A$4:$D$67,4,FALSE),0),"")</f>
        <v/>
      </c>
      <c r="AN736">
        <f t="shared" si="93"/>
        <v>0</v>
      </c>
      <c r="AO736">
        <f t="shared" si="94"/>
        <v>0</v>
      </c>
      <c r="AP736">
        <f t="shared" si="95"/>
        <v>0</v>
      </c>
    </row>
    <row r="737" customHeight="1" spans="1:42">
      <c r="A737" s="18" t="s">
        <v>422</v>
      </c>
      <c r="C737" s="18">
        <v>8</v>
      </c>
      <c r="D737" s="1" t="s">
        <v>293</v>
      </c>
      <c r="E737" s="1" t="s">
        <v>227</v>
      </c>
      <c r="L737" s="1">
        <f>IFERROR(VLOOKUP($D737&amp;$C737,生产方式定位!$A$2:$E$38,2,FALSE)+VLOOKUP($E737&amp;$C737,生产方式定位!$F$3:$J$38,2,FALSE),0)</f>
        <v>0</v>
      </c>
      <c r="S737" s="1">
        <f>IFERROR(VLOOKUP($D737&amp;$C737,生产方式定位!$A$2:$E$38,3,FALSE)+VLOOKUP($E737&amp;$C737,生产方式定位!$F$3:$J$38,3,FALSE),0)</f>
        <v>0</v>
      </c>
      <c r="X737" s="1">
        <f>IFERROR(VLOOKUP($D737&amp;$C737,生产方式定位!$A$2:$E$38,5,FALSE)+VLOOKUP($E737&amp;$C737,生产方式定位!$F$3:$J$38,5,FALSE),"错误")</f>
        <v>0</v>
      </c>
      <c r="Y737" s="27" t="str">
        <f t="shared" si="88"/>
        <v/>
      </c>
      <c r="Z737" s="37" t="str">
        <f t="shared" si="89"/>
        <v/>
      </c>
      <c r="AA737" s="37" t="str">
        <f t="shared" si="90"/>
        <v/>
      </c>
      <c r="AB737" s="28" t="str">
        <f t="shared" si="91"/>
        <v/>
      </c>
      <c r="AC737" s="37"/>
      <c r="AD737" s="38">
        <f t="shared" si="92"/>
        <v>8</v>
      </c>
      <c r="AE737" t="str">
        <f>IFERROR(F737&amp;"*"&amp;ROUND(L737*(G737/$AN737)/VLOOKUP(F737,商品!$A$4:$D$67,4,FALSE),0),"")</f>
        <v/>
      </c>
      <c r="AF737" t="str">
        <f>IFERROR(H737&amp;"*"&amp;ROUND(L737*(I737/$AN737)/VLOOKUP(H737,商品!$A$4:$D$67,4,FALSE),0),"")</f>
        <v/>
      </c>
      <c r="AG737" t="str">
        <f>IFERROR(J737&amp;"*"&amp;ROUND(L737*(K737/$AN737)/VLOOKUP(J737,商品!$A$4:$D$67,4,FALSE),0),"")</f>
        <v/>
      </c>
      <c r="AH737" t="str">
        <f>IFERROR(M737&amp;"*"&amp;ROUND(S737*(N737/$AO737)/VLOOKUP(M737,职业!$A$3:$E$16,4,FALSE),0),"")</f>
        <v/>
      </c>
      <c r="AI737" t="str">
        <f>IFERROR(O737&amp;"*"&amp;ROUND(S737*(P737/$AO737)/VLOOKUP(O737,职业!$A$3:$E$16,4,FALSE),0),"")</f>
        <v/>
      </c>
      <c r="AK737" t="str">
        <f>IFERROR(T737&amp;"*"&amp;ROUND(X737*(U737/$AP737)/VLOOKUP(T737,商品!$A$4:$D$67,4,FALSE),0),"")</f>
        <v/>
      </c>
      <c r="AL737" t="str">
        <f>IFERROR(V737&amp;"*"&amp;ROUND(X737*(W737/$AP737)/VLOOKUP(V737,商品!$A$4:$D$67,4,FALSE),0),"")</f>
        <v/>
      </c>
      <c r="AN737">
        <f t="shared" si="93"/>
        <v>0</v>
      </c>
      <c r="AO737">
        <f t="shared" si="94"/>
        <v>0</v>
      </c>
      <c r="AP737">
        <f t="shared" si="95"/>
        <v>0</v>
      </c>
    </row>
    <row r="738" customHeight="1" spans="1:42">
      <c r="A738" s="5" t="s">
        <v>424</v>
      </c>
      <c r="C738" s="5">
        <v>1</v>
      </c>
      <c r="D738" s="1" t="s">
        <v>262</v>
      </c>
      <c r="E738" s="1" t="s">
        <v>224</v>
      </c>
      <c r="L738" s="1">
        <f>IFERROR(VLOOKUP($D738&amp;$C738,生产方式定位!$A$2:$E$38,2,FALSE)+VLOOKUP($E738&amp;$C738,生产方式定位!$F$3:$J$38,2,FALSE),0)</f>
        <v>0</v>
      </c>
      <c r="S738" s="1">
        <f>IFERROR(VLOOKUP($D738&amp;$C738,生产方式定位!$A$2:$E$38,3,FALSE)+VLOOKUP($E738&amp;$C738,生产方式定位!$F$3:$J$38,3,FALSE),0)</f>
        <v>3000</v>
      </c>
      <c r="X738" s="1">
        <f>IFERROR(VLOOKUP($D738&amp;$C738,生产方式定位!$A$2:$E$38,5,FALSE)+VLOOKUP($E738&amp;$C738,生产方式定位!$F$3:$J$38,5,FALSE),"错误")</f>
        <v>1500</v>
      </c>
      <c r="Y738" s="27" t="str">
        <f t="shared" si="88"/>
        <v/>
      </c>
      <c r="Z738" s="37" t="str">
        <f t="shared" si="89"/>
        <v/>
      </c>
      <c r="AA738" s="37" t="str">
        <f t="shared" si="90"/>
        <v/>
      </c>
      <c r="AB738" s="28">
        <f t="shared" si="91"/>
        <v>0</v>
      </c>
      <c r="AC738" s="37"/>
      <c r="AD738" s="38">
        <f t="shared" si="92"/>
        <v>1</v>
      </c>
      <c r="AE738" t="str">
        <f>IFERROR(F738&amp;"*"&amp;ROUND(L738*(G738/$AN738)/VLOOKUP(F738,商品!$A$4:$D$67,4,FALSE),0),"")</f>
        <v/>
      </c>
      <c r="AF738" t="str">
        <f>IFERROR(H738&amp;"*"&amp;ROUND(L738*(I738/$AN738)/VLOOKUP(H738,商品!$A$4:$D$67,4,FALSE),0),"")</f>
        <v/>
      </c>
      <c r="AG738" t="str">
        <f>IFERROR(J738&amp;"*"&amp;ROUND(L738*(K738/$AN738)/VLOOKUP(J738,商品!$A$4:$D$67,4,FALSE),0),"")</f>
        <v/>
      </c>
      <c r="AH738" t="str">
        <f>IFERROR(M738&amp;"*"&amp;ROUND(S738*(N738/$AO738)/VLOOKUP(M738,职业!$A$3:$E$16,4,FALSE),0),"")</f>
        <v/>
      </c>
      <c r="AI738" t="str">
        <f>IFERROR(O738&amp;"*"&amp;ROUND(S738*(P738/$AO738)/VLOOKUP(O738,职业!$A$3:$E$16,4,FALSE),0),"")</f>
        <v/>
      </c>
      <c r="AK738" t="str">
        <f>IFERROR(T738&amp;"*"&amp;ROUND(X738*(U738/$AP738)/VLOOKUP(T738,商品!$A$4:$D$67,4,FALSE),0),"")</f>
        <v/>
      </c>
      <c r="AL738" t="str">
        <f>IFERROR(V738&amp;"*"&amp;ROUND(X738*(W738/$AP738)/VLOOKUP(V738,商品!$A$4:$D$67,4,FALSE),0),"")</f>
        <v/>
      </c>
      <c r="AN738">
        <f t="shared" si="93"/>
        <v>0</v>
      </c>
      <c r="AO738">
        <f t="shared" si="94"/>
        <v>0</v>
      </c>
      <c r="AP738">
        <f t="shared" si="95"/>
        <v>0</v>
      </c>
    </row>
    <row r="739" customHeight="1" spans="1:42">
      <c r="A739" s="5" t="s">
        <v>424</v>
      </c>
      <c r="C739" s="5">
        <v>2</v>
      </c>
      <c r="D739" s="1" t="s">
        <v>262</v>
      </c>
      <c r="E739" s="1" t="s">
        <v>224</v>
      </c>
      <c r="L739" s="1">
        <f>IFERROR(VLOOKUP($D739&amp;$C739,生产方式定位!$A$2:$E$38,2,FALSE)+VLOOKUP($E739&amp;$C739,生产方式定位!$F$3:$J$38,2,FALSE),0)</f>
        <v>1500</v>
      </c>
      <c r="S739" s="1">
        <f>IFERROR(VLOOKUP($D739&amp;$C739,生产方式定位!$A$2:$E$38,3,FALSE)+VLOOKUP($E739&amp;$C739,生产方式定位!$F$3:$J$38,3,FALSE),0)</f>
        <v>3000</v>
      </c>
      <c r="X739" s="1">
        <f>IFERROR(VLOOKUP($D739&amp;$C739,生产方式定位!$A$2:$E$38,5,FALSE)+VLOOKUP($E739&amp;$C739,生产方式定位!$F$3:$J$38,5,FALSE),"错误")</f>
        <v>2322</v>
      </c>
      <c r="Y739" s="27" t="str">
        <f t="shared" si="88"/>
        <v/>
      </c>
      <c r="Z739" s="37" t="str">
        <f t="shared" si="89"/>
        <v/>
      </c>
      <c r="AA739" s="37" t="str">
        <f t="shared" si="90"/>
        <v/>
      </c>
      <c r="AB739" s="28">
        <f t="shared" si="91"/>
        <v>0.65</v>
      </c>
      <c r="AC739" s="37"/>
      <c r="AD739" s="38">
        <f t="shared" si="92"/>
        <v>2</v>
      </c>
      <c r="AE739" t="str">
        <f>IFERROR(F739&amp;"*"&amp;ROUND(L739*(G739/$AN739)/VLOOKUP(F739,商品!$A$4:$D$67,4,FALSE),0),"")</f>
        <v/>
      </c>
      <c r="AF739" t="str">
        <f>IFERROR(H739&amp;"*"&amp;ROUND(L739*(I739/$AN739)/VLOOKUP(H739,商品!$A$4:$D$67,4,FALSE),0),"")</f>
        <v/>
      </c>
      <c r="AG739" t="str">
        <f>IFERROR(J739&amp;"*"&amp;ROUND(L739*(K739/$AN739)/VLOOKUP(J739,商品!$A$4:$D$67,4,FALSE),0),"")</f>
        <v/>
      </c>
      <c r="AH739" t="str">
        <f>IFERROR(M739&amp;"*"&amp;ROUND(S739*(N739/$AO739)/VLOOKUP(M739,职业!$A$3:$E$16,4,FALSE),0),"")</f>
        <v/>
      </c>
      <c r="AI739" t="str">
        <f>IFERROR(O739&amp;"*"&amp;ROUND(S739*(P739/$AO739)/VLOOKUP(O739,职业!$A$3:$E$16,4,FALSE),0),"")</f>
        <v/>
      </c>
      <c r="AK739" t="str">
        <f>IFERROR(T739&amp;"*"&amp;ROUND(X739*(U739/$AP739)/VLOOKUP(T739,商品!$A$4:$D$67,4,FALSE),0),"")</f>
        <v/>
      </c>
      <c r="AL739" t="str">
        <f>IFERROR(V739&amp;"*"&amp;ROUND(X739*(W739/$AP739)/VLOOKUP(V739,商品!$A$4:$D$67,4,FALSE),0),"")</f>
        <v/>
      </c>
      <c r="AN739">
        <f t="shared" si="93"/>
        <v>0</v>
      </c>
      <c r="AO739">
        <f t="shared" si="94"/>
        <v>0</v>
      </c>
      <c r="AP739">
        <f t="shared" si="95"/>
        <v>0</v>
      </c>
    </row>
    <row r="740" customHeight="1" spans="1:42">
      <c r="A740" s="5" t="s">
        <v>424</v>
      </c>
      <c r="C740" s="5">
        <v>3</v>
      </c>
      <c r="D740" s="1" t="s">
        <v>262</v>
      </c>
      <c r="E740" s="1" t="s">
        <v>224</v>
      </c>
      <c r="L740" s="1">
        <f>IFERROR(VLOOKUP($D740&amp;$C740,生产方式定位!$A$2:$E$38,2,FALSE)+VLOOKUP($E740&amp;$C740,生产方式定位!$F$3:$J$38,2,FALSE),0)</f>
        <v>3000</v>
      </c>
      <c r="S740" s="1">
        <f>IFERROR(VLOOKUP($D740&amp;$C740,生产方式定位!$A$2:$E$38,3,FALSE)+VLOOKUP($E740&amp;$C740,生产方式定位!$F$3:$J$38,3,FALSE),0)</f>
        <v>3000</v>
      </c>
      <c r="X740" s="1">
        <f>IFERROR(VLOOKUP($D740&amp;$C740,生产方式定位!$A$2:$E$38,5,FALSE)+VLOOKUP($E740&amp;$C740,生产方式定位!$F$3:$J$38,5,FALSE),"错误")</f>
        <v>3288</v>
      </c>
      <c r="Y740" s="27" t="str">
        <f t="shared" si="88"/>
        <v/>
      </c>
      <c r="Z740" s="37" t="str">
        <f t="shared" si="89"/>
        <v/>
      </c>
      <c r="AA740" s="37" t="str">
        <f t="shared" si="90"/>
        <v/>
      </c>
      <c r="AB740" s="28">
        <f t="shared" si="91"/>
        <v>0.91</v>
      </c>
      <c r="AC740" s="37"/>
      <c r="AD740" s="38">
        <f t="shared" si="92"/>
        <v>3</v>
      </c>
      <c r="AE740" t="str">
        <f>IFERROR(F740&amp;"*"&amp;ROUND(L740*(G740/$AN740)/VLOOKUP(F740,商品!$A$4:$D$67,4,FALSE),0),"")</f>
        <v/>
      </c>
      <c r="AF740" t="str">
        <f>IFERROR(H740&amp;"*"&amp;ROUND(L740*(I740/$AN740)/VLOOKUP(H740,商品!$A$4:$D$67,4,FALSE),0),"")</f>
        <v/>
      </c>
      <c r="AG740" t="str">
        <f>IFERROR(J740&amp;"*"&amp;ROUND(L740*(K740/$AN740)/VLOOKUP(J740,商品!$A$4:$D$67,4,FALSE),0),"")</f>
        <v/>
      </c>
      <c r="AH740" t="str">
        <f>IFERROR(M740&amp;"*"&amp;ROUND(S740*(N740/$AO740)/VLOOKUP(M740,职业!$A$3:$E$16,4,FALSE),0),"")</f>
        <v/>
      </c>
      <c r="AI740" t="str">
        <f>IFERROR(O740&amp;"*"&amp;ROUND(S740*(P740/$AO740)/VLOOKUP(O740,职业!$A$3:$E$16,4,FALSE),0),"")</f>
        <v/>
      </c>
      <c r="AK740" t="str">
        <f>IFERROR(T740&amp;"*"&amp;ROUND(X740*(U740/$AP740)/VLOOKUP(T740,商品!$A$4:$D$67,4,FALSE),0),"")</f>
        <v/>
      </c>
      <c r="AL740" t="str">
        <f>IFERROR(V740&amp;"*"&amp;ROUND(X740*(W740/$AP740)/VLOOKUP(V740,商品!$A$4:$D$67,4,FALSE),0),"")</f>
        <v/>
      </c>
      <c r="AN740">
        <f t="shared" si="93"/>
        <v>0</v>
      </c>
      <c r="AO740">
        <f t="shared" si="94"/>
        <v>0</v>
      </c>
      <c r="AP740">
        <f t="shared" si="95"/>
        <v>0</v>
      </c>
    </row>
    <row r="741" customHeight="1" spans="1:42">
      <c r="A741" s="5" t="s">
        <v>424</v>
      </c>
      <c r="C741" s="5">
        <v>4</v>
      </c>
      <c r="D741" s="1" t="s">
        <v>262</v>
      </c>
      <c r="E741" s="1" t="s">
        <v>224</v>
      </c>
      <c r="L741" s="1">
        <f>IFERROR(VLOOKUP($D741&amp;$C741,生产方式定位!$A$2:$E$38,2,FALSE)+VLOOKUP($E741&amp;$C741,生产方式定位!$F$3:$J$38,2,FALSE),0)</f>
        <v>4500</v>
      </c>
      <c r="S741" s="1">
        <f>IFERROR(VLOOKUP($D741&amp;$C741,生产方式定位!$A$2:$E$38,3,FALSE)+VLOOKUP($E741&amp;$C741,生产方式定位!$F$3:$J$38,3,FALSE),0)</f>
        <v>3000</v>
      </c>
      <c r="X741" s="1">
        <f>IFERROR(VLOOKUP($D741&amp;$C741,生产方式定位!$A$2:$E$38,5,FALSE)+VLOOKUP($E741&amp;$C741,生产方式定位!$F$3:$J$38,5,FALSE),"错误")</f>
        <v>4398</v>
      </c>
      <c r="Y741" s="27" t="str">
        <f t="shared" si="88"/>
        <v/>
      </c>
      <c r="Z741" s="37" t="str">
        <f t="shared" si="89"/>
        <v/>
      </c>
      <c r="AA741" s="37" t="str">
        <f t="shared" si="90"/>
        <v/>
      </c>
      <c r="AB741" s="28">
        <f t="shared" si="91"/>
        <v>1.02</v>
      </c>
      <c r="AC741" s="37"/>
      <c r="AD741" s="38">
        <f t="shared" si="92"/>
        <v>4</v>
      </c>
      <c r="AE741" t="str">
        <f>IFERROR(F741&amp;"*"&amp;ROUND(L741*(G741/$AN741)/VLOOKUP(F741,商品!$A$4:$D$67,4,FALSE),0),"")</f>
        <v/>
      </c>
      <c r="AF741" t="str">
        <f>IFERROR(H741&amp;"*"&amp;ROUND(L741*(I741/$AN741)/VLOOKUP(H741,商品!$A$4:$D$67,4,FALSE),0),"")</f>
        <v/>
      </c>
      <c r="AG741" t="str">
        <f>IFERROR(J741&amp;"*"&amp;ROUND(L741*(K741/$AN741)/VLOOKUP(J741,商品!$A$4:$D$67,4,FALSE),0),"")</f>
        <v/>
      </c>
      <c r="AH741" t="str">
        <f>IFERROR(M741&amp;"*"&amp;ROUND(S741*(N741/$AO741)/VLOOKUP(M741,职业!$A$3:$E$16,4,FALSE),0),"")</f>
        <v/>
      </c>
      <c r="AI741" t="str">
        <f>IFERROR(O741&amp;"*"&amp;ROUND(S741*(P741/$AO741)/VLOOKUP(O741,职业!$A$3:$E$16,4,FALSE),0),"")</f>
        <v/>
      </c>
      <c r="AK741" t="str">
        <f>IFERROR(T741&amp;"*"&amp;ROUND(X741*(U741/$AP741)/VLOOKUP(T741,商品!$A$4:$D$67,4,FALSE),0),"")</f>
        <v/>
      </c>
      <c r="AL741" t="str">
        <f>IFERROR(V741&amp;"*"&amp;ROUND(X741*(W741/$AP741)/VLOOKUP(V741,商品!$A$4:$D$67,4,FALSE),0),"")</f>
        <v/>
      </c>
      <c r="AN741">
        <f t="shared" si="93"/>
        <v>0</v>
      </c>
      <c r="AO741">
        <f t="shared" si="94"/>
        <v>0</v>
      </c>
      <c r="AP741">
        <f t="shared" si="95"/>
        <v>0</v>
      </c>
    </row>
    <row r="742" customHeight="1" spans="1:42">
      <c r="A742" s="5" t="s">
        <v>424</v>
      </c>
      <c r="C742" s="5">
        <v>5</v>
      </c>
      <c r="D742" s="1" t="s">
        <v>262</v>
      </c>
      <c r="E742" s="1" t="s">
        <v>224</v>
      </c>
      <c r="L742" s="1">
        <f>IFERROR(VLOOKUP($D742&amp;$C742,生产方式定位!$A$2:$E$38,2,FALSE)+VLOOKUP($E742&amp;$C742,生产方式定位!$F$3:$J$38,2,FALSE),0)</f>
        <v>6000</v>
      </c>
      <c r="S742" s="1">
        <f>IFERROR(VLOOKUP($D742&amp;$C742,生产方式定位!$A$2:$E$38,3,FALSE)+VLOOKUP($E742&amp;$C742,生产方式定位!$F$3:$J$38,3,FALSE),0)</f>
        <v>3000</v>
      </c>
      <c r="X742" s="1">
        <f>IFERROR(VLOOKUP($D742&amp;$C742,生产方式定位!$A$2:$E$38,5,FALSE)+VLOOKUP($E742&amp;$C742,生产方式定位!$F$3:$J$38,5,FALSE),"错误")</f>
        <v>5700</v>
      </c>
      <c r="Y742" s="27" t="str">
        <f t="shared" si="88"/>
        <v/>
      </c>
      <c r="Z742" s="37" t="str">
        <f t="shared" si="89"/>
        <v/>
      </c>
      <c r="AA742" s="37" t="str">
        <f t="shared" si="90"/>
        <v/>
      </c>
      <c r="AB742" s="28">
        <f t="shared" si="91"/>
        <v>1.05</v>
      </c>
      <c r="AC742" s="37"/>
      <c r="AD742" s="38">
        <f t="shared" si="92"/>
        <v>5</v>
      </c>
      <c r="AE742" t="str">
        <f>IFERROR(F742&amp;"*"&amp;ROUND(L742*(G742/$AN742)/VLOOKUP(F742,商品!$A$4:$D$67,4,FALSE),0),"")</f>
        <v/>
      </c>
      <c r="AF742" t="str">
        <f>IFERROR(H742&amp;"*"&amp;ROUND(L742*(I742/$AN742)/VLOOKUP(H742,商品!$A$4:$D$67,4,FALSE),0),"")</f>
        <v/>
      </c>
      <c r="AG742" t="str">
        <f>IFERROR(J742&amp;"*"&amp;ROUND(L742*(K742/$AN742)/VLOOKUP(J742,商品!$A$4:$D$67,4,FALSE),0),"")</f>
        <v/>
      </c>
      <c r="AH742" t="str">
        <f>IFERROR(M742&amp;"*"&amp;ROUND(S742*(N742/$AO742)/VLOOKUP(M742,职业!$A$3:$E$16,4,FALSE),0),"")</f>
        <v/>
      </c>
      <c r="AI742" t="str">
        <f>IFERROR(O742&amp;"*"&amp;ROUND(S742*(P742/$AO742)/VLOOKUP(O742,职业!$A$3:$E$16,4,FALSE),0),"")</f>
        <v/>
      </c>
      <c r="AK742" t="str">
        <f>IFERROR(T742&amp;"*"&amp;ROUND(X742*(U742/$AP742)/VLOOKUP(T742,商品!$A$4:$D$67,4,FALSE),0),"")</f>
        <v/>
      </c>
      <c r="AL742" t="str">
        <f>IFERROR(V742&amp;"*"&amp;ROUND(X742*(W742/$AP742)/VLOOKUP(V742,商品!$A$4:$D$67,4,FALSE),0),"")</f>
        <v/>
      </c>
      <c r="AN742">
        <f t="shared" si="93"/>
        <v>0</v>
      </c>
      <c r="AO742">
        <f t="shared" si="94"/>
        <v>0</v>
      </c>
      <c r="AP742">
        <f t="shared" si="95"/>
        <v>0</v>
      </c>
    </row>
    <row r="743" customHeight="1" spans="1:42">
      <c r="A743" s="18" t="s">
        <v>425</v>
      </c>
      <c r="C743" s="18">
        <v>1</v>
      </c>
      <c r="D743" s="1" t="s">
        <v>262</v>
      </c>
      <c r="E743" s="1" t="s">
        <v>225</v>
      </c>
      <c r="L743" s="1">
        <f>IFERROR(VLOOKUP($D743&amp;$C743,生产方式定位!$A$2:$E$38,2,FALSE)+VLOOKUP($E743&amp;$C743,生产方式定位!$F$3:$J$38,2,FALSE),0)</f>
        <v>0</v>
      </c>
      <c r="S743" s="1">
        <f>IFERROR(VLOOKUP($D743&amp;$C743,生产方式定位!$A$2:$E$38,3,FALSE)+VLOOKUP($E743&amp;$C743,生产方式定位!$F$3:$J$38,3,FALSE),0)</f>
        <v>3000</v>
      </c>
      <c r="X743" s="1">
        <f>IFERROR(VLOOKUP($D743&amp;$C743,生产方式定位!$A$2:$E$38,5,FALSE)+VLOOKUP($E743&amp;$C743,生产方式定位!$F$3:$J$38,5,FALSE),"错误")</f>
        <v>1500</v>
      </c>
      <c r="Y743" s="27" t="str">
        <f t="shared" si="88"/>
        <v/>
      </c>
      <c r="Z743" s="37" t="str">
        <f t="shared" si="89"/>
        <v/>
      </c>
      <c r="AA743" s="37" t="str">
        <f t="shared" si="90"/>
        <v/>
      </c>
      <c r="AB743" s="28">
        <f t="shared" si="91"/>
        <v>0</v>
      </c>
      <c r="AC743" s="37"/>
      <c r="AD743" s="38">
        <f t="shared" si="92"/>
        <v>1</v>
      </c>
      <c r="AE743" t="str">
        <f>IFERROR(F743&amp;"*"&amp;ROUND(L743*(G743/$AN743)/VLOOKUP(F743,商品!$A$4:$D$67,4,FALSE),0),"")</f>
        <v/>
      </c>
      <c r="AF743" t="str">
        <f>IFERROR(H743&amp;"*"&amp;ROUND(L743*(I743/$AN743)/VLOOKUP(H743,商品!$A$4:$D$67,4,FALSE),0),"")</f>
        <v/>
      </c>
      <c r="AG743" t="str">
        <f>IFERROR(J743&amp;"*"&amp;ROUND(L743*(K743/$AN743)/VLOOKUP(J743,商品!$A$4:$D$67,4,FALSE),0),"")</f>
        <v/>
      </c>
      <c r="AH743" t="str">
        <f>IFERROR(M743&amp;"*"&amp;ROUND(S743*(N743/$AO743)/VLOOKUP(M743,职业!$A$3:$E$16,4,FALSE),0),"")</f>
        <v/>
      </c>
      <c r="AI743" t="str">
        <f>IFERROR(O743&amp;"*"&amp;ROUND(S743*(P743/$AO743)/VLOOKUP(O743,职业!$A$3:$E$16,4,FALSE),0),"")</f>
        <v/>
      </c>
      <c r="AK743" t="str">
        <f>IFERROR(T743&amp;"*"&amp;ROUND(X743*(U743/$AP743)/VLOOKUP(T743,商品!$A$4:$D$67,4,FALSE),0),"")</f>
        <v/>
      </c>
      <c r="AL743" t="str">
        <f>IFERROR(V743&amp;"*"&amp;ROUND(X743*(W743/$AP743)/VLOOKUP(V743,商品!$A$4:$D$67,4,FALSE),0),"")</f>
        <v/>
      </c>
      <c r="AN743">
        <f t="shared" si="93"/>
        <v>0</v>
      </c>
      <c r="AO743">
        <f t="shared" si="94"/>
        <v>0</v>
      </c>
      <c r="AP743">
        <f t="shared" si="95"/>
        <v>0</v>
      </c>
    </row>
    <row r="744" customHeight="1" spans="1:42">
      <c r="A744" s="18" t="s">
        <v>425</v>
      </c>
      <c r="C744" s="18">
        <v>2</v>
      </c>
      <c r="D744" s="1" t="s">
        <v>262</v>
      </c>
      <c r="E744" s="1" t="s">
        <v>225</v>
      </c>
      <c r="L744" s="1">
        <f>IFERROR(VLOOKUP($D744&amp;$C744,生产方式定位!$A$2:$E$38,2,FALSE)+VLOOKUP($E744&amp;$C744,生产方式定位!$F$3:$J$38,2,FALSE),0)</f>
        <v>1500</v>
      </c>
      <c r="S744" s="1">
        <f>IFERROR(VLOOKUP($D744&amp;$C744,生产方式定位!$A$2:$E$38,3,FALSE)+VLOOKUP($E744&amp;$C744,生产方式定位!$F$3:$J$38,3,FALSE),0)</f>
        <v>4800</v>
      </c>
      <c r="X744" s="1">
        <f>IFERROR(VLOOKUP($D744&amp;$C744,生产方式定位!$A$2:$E$38,5,FALSE)+VLOOKUP($E744&amp;$C744,生产方式定位!$F$3:$J$38,5,FALSE),"错误")</f>
        <v>3195</v>
      </c>
      <c r="Y744" s="27" t="str">
        <f t="shared" si="88"/>
        <v/>
      </c>
      <c r="Z744" s="37" t="str">
        <f t="shared" si="89"/>
        <v/>
      </c>
      <c r="AA744" s="37" t="str">
        <f t="shared" si="90"/>
        <v/>
      </c>
      <c r="AB744" s="28">
        <f t="shared" si="91"/>
        <v>0.47</v>
      </c>
      <c r="AC744" s="37"/>
      <c r="AD744" s="38">
        <f t="shared" si="92"/>
        <v>2</v>
      </c>
      <c r="AE744" t="str">
        <f>IFERROR(F744&amp;"*"&amp;ROUND(L744*(G744/$AN744)/VLOOKUP(F744,商品!$A$4:$D$67,4,FALSE),0),"")</f>
        <v/>
      </c>
      <c r="AF744" t="str">
        <f>IFERROR(H744&amp;"*"&amp;ROUND(L744*(I744/$AN744)/VLOOKUP(H744,商品!$A$4:$D$67,4,FALSE),0),"")</f>
        <v/>
      </c>
      <c r="AG744" t="str">
        <f>IFERROR(J744&amp;"*"&amp;ROUND(L744*(K744/$AN744)/VLOOKUP(J744,商品!$A$4:$D$67,4,FALSE),0),"")</f>
        <v/>
      </c>
      <c r="AH744" t="str">
        <f>IFERROR(M744&amp;"*"&amp;ROUND(S744*(N744/$AO744)/VLOOKUP(M744,职业!$A$3:$E$16,4,FALSE),0),"")</f>
        <v/>
      </c>
      <c r="AI744" t="str">
        <f>IFERROR(O744&amp;"*"&amp;ROUND(S744*(P744/$AO744)/VLOOKUP(O744,职业!$A$3:$E$16,4,FALSE),0),"")</f>
        <v/>
      </c>
      <c r="AK744" t="str">
        <f>IFERROR(T744&amp;"*"&amp;ROUND(X744*(U744/$AP744)/VLOOKUP(T744,商品!$A$4:$D$67,4,FALSE),0),"")</f>
        <v/>
      </c>
      <c r="AL744" t="str">
        <f>IFERROR(V744&amp;"*"&amp;ROUND(X744*(W744/$AP744)/VLOOKUP(V744,商品!$A$4:$D$67,4,FALSE),0),"")</f>
        <v/>
      </c>
      <c r="AN744">
        <f t="shared" si="93"/>
        <v>0</v>
      </c>
      <c r="AO744">
        <f t="shared" si="94"/>
        <v>0</v>
      </c>
      <c r="AP744">
        <f t="shared" si="95"/>
        <v>0</v>
      </c>
    </row>
    <row r="745" customHeight="1" spans="1:42">
      <c r="A745" s="18" t="s">
        <v>425</v>
      </c>
      <c r="C745" s="18">
        <v>3</v>
      </c>
      <c r="D745" s="1" t="s">
        <v>262</v>
      </c>
      <c r="E745" s="1" t="s">
        <v>225</v>
      </c>
      <c r="L745" s="1">
        <f>IFERROR(VLOOKUP($D745&amp;$C745,生产方式定位!$A$2:$E$38,2,FALSE)+VLOOKUP($E745&amp;$C745,生产方式定位!$F$3:$J$38,2,FALSE),0)</f>
        <v>3000</v>
      </c>
      <c r="S745" s="1">
        <f>IFERROR(VLOOKUP($D745&amp;$C745,生产方式定位!$A$2:$E$38,3,FALSE)+VLOOKUP($E745&amp;$C745,生产方式定位!$F$3:$J$38,3,FALSE),0)</f>
        <v>5600</v>
      </c>
      <c r="X745" s="1">
        <f>IFERROR(VLOOKUP($D745&amp;$C745,生产方式定位!$A$2:$E$38,5,FALSE)+VLOOKUP($E745&amp;$C745,生产方式定位!$F$3:$J$38,5,FALSE),"错误")</f>
        <v>4450</v>
      </c>
      <c r="Y745" s="27" t="str">
        <f t="shared" si="88"/>
        <v/>
      </c>
      <c r="Z745" s="37" t="str">
        <f t="shared" si="89"/>
        <v/>
      </c>
      <c r="AA745" s="37" t="str">
        <f t="shared" si="90"/>
        <v/>
      </c>
      <c r="AB745" s="28">
        <f t="shared" si="91"/>
        <v>0.67</v>
      </c>
      <c r="AC745" s="37"/>
      <c r="AD745" s="38">
        <f t="shared" si="92"/>
        <v>3</v>
      </c>
      <c r="AE745" t="str">
        <f>IFERROR(F745&amp;"*"&amp;ROUND(L745*(G745/$AN745)/VLOOKUP(F745,商品!$A$4:$D$67,4,FALSE),0),"")</f>
        <v/>
      </c>
      <c r="AF745" t="str">
        <f>IFERROR(H745&amp;"*"&amp;ROUND(L745*(I745/$AN745)/VLOOKUP(H745,商品!$A$4:$D$67,4,FALSE),0),"")</f>
        <v/>
      </c>
      <c r="AG745" t="str">
        <f>IFERROR(J745&amp;"*"&amp;ROUND(L745*(K745/$AN745)/VLOOKUP(J745,商品!$A$4:$D$67,4,FALSE),0),"")</f>
        <v/>
      </c>
      <c r="AH745" t="str">
        <f>IFERROR(M745&amp;"*"&amp;ROUND(S745*(N745/$AO745)/VLOOKUP(M745,职业!$A$3:$E$16,4,FALSE),0),"")</f>
        <v/>
      </c>
      <c r="AI745" t="str">
        <f>IFERROR(O745&amp;"*"&amp;ROUND(S745*(P745/$AO745)/VLOOKUP(O745,职业!$A$3:$E$16,4,FALSE),0),"")</f>
        <v/>
      </c>
      <c r="AK745" t="str">
        <f>IFERROR(T745&amp;"*"&amp;ROUND(X745*(U745/$AP745)/VLOOKUP(T745,商品!$A$4:$D$67,4,FALSE),0),"")</f>
        <v/>
      </c>
      <c r="AL745" t="str">
        <f>IFERROR(V745&amp;"*"&amp;ROUND(X745*(W745/$AP745)/VLOOKUP(V745,商品!$A$4:$D$67,4,FALSE),0),"")</f>
        <v/>
      </c>
      <c r="AN745">
        <f t="shared" si="93"/>
        <v>0</v>
      </c>
      <c r="AO745">
        <f t="shared" si="94"/>
        <v>0</v>
      </c>
      <c r="AP745">
        <f t="shared" si="95"/>
        <v>0</v>
      </c>
    </row>
    <row r="746" customHeight="1" spans="1:42">
      <c r="A746" s="18" t="s">
        <v>425</v>
      </c>
      <c r="C746" s="18">
        <v>4</v>
      </c>
      <c r="D746" s="1" t="s">
        <v>262</v>
      </c>
      <c r="E746" s="1" t="s">
        <v>225</v>
      </c>
      <c r="L746" s="1">
        <f>IFERROR(VLOOKUP($D746&amp;$C746,生产方式定位!$A$2:$E$38,2,FALSE)+VLOOKUP($E746&amp;$C746,生产方式定位!$F$3:$J$38,2,FALSE),0)</f>
        <v>4500</v>
      </c>
      <c r="S746" s="1">
        <f>IFERROR(VLOOKUP($D746&amp;$C746,生产方式定位!$A$2:$E$38,3,FALSE)+VLOOKUP($E746&amp;$C746,生产方式定位!$F$3:$J$38,3,FALSE),0)</f>
        <v>6400</v>
      </c>
      <c r="X746" s="1">
        <f>IFERROR(VLOOKUP($D746&amp;$C746,生产方式定位!$A$2:$E$38,5,FALSE)+VLOOKUP($E746&amp;$C746,生产方式定位!$F$3:$J$38,5,FALSE),"错误")</f>
        <v>5765</v>
      </c>
      <c r="Y746" s="27" t="str">
        <f t="shared" si="88"/>
        <v/>
      </c>
      <c r="Z746" s="37" t="str">
        <f t="shared" si="89"/>
        <v/>
      </c>
      <c r="AA746" s="37" t="str">
        <f t="shared" si="90"/>
        <v/>
      </c>
      <c r="AB746" s="28">
        <f t="shared" si="91"/>
        <v>0.78</v>
      </c>
      <c r="AC746" s="37"/>
      <c r="AD746" s="38">
        <f t="shared" si="92"/>
        <v>4</v>
      </c>
      <c r="AE746" t="str">
        <f>IFERROR(F746&amp;"*"&amp;ROUND(L746*(G746/$AN746)/VLOOKUP(F746,商品!$A$4:$D$67,4,FALSE),0),"")</f>
        <v/>
      </c>
      <c r="AF746" t="str">
        <f>IFERROR(H746&amp;"*"&amp;ROUND(L746*(I746/$AN746)/VLOOKUP(H746,商品!$A$4:$D$67,4,FALSE),0),"")</f>
        <v/>
      </c>
      <c r="AG746" t="str">
        <f>IFERROR(J746&amp;"*"&amp;ROUND(L746*(K746/$AN746)/VLOOKUP(J746,商品!$A$4:$D$67,4,FALSE),0),"")</f>
        <v/>
      </c>
      <c r="AH746" t="str">
        <f>IFERROR(M746&amp;"*"&amp;ROUND(S746*(N746/$AO746)/VLOOKUP(M746,职业!$A$3:$E$16,4,FALSE),0),"")</f>
        <v/>
      </c>
      <c r="AI746" t="str">
        <f>IFERROR(O746&amp;"*"&amp;ROUND(S746*(P746/$AO746)/VLOOKUP(O746,职业!$A$3:$E$16,4,FALSE),0),"")</f>
        <v/>
      </c>
      <c r="AK746" t="str">
        <f>IFERROR(T746&amp;"*"&amp;ROUND(X746*(U746/$AP746)/VLOOKUP(T746,商品!$A$4:$D$67,4,FALSE),0),"")</f>
        <v/>
      </c>
      <c r="AL746" t="str">
        <f>IFERROR(V746&amp;"*"&amp;ROUND(X746*(W746/$AP746)/VLOOKUP(V746,商品!$A$4:$D$67,4,FALSE),0),"")</f>
        <v/>
      </c>
      <c r="AN746">
        <f t="shared" si="93"/>
        <v>0</v>
      </c>
      <c r="AO746">
        <f t="shared" si="94"/>
        <v>0</v>
      </c>
      <c r="AP746">
        <f t="shared" si="95"/>
        <v>0</v>
      </c>
    </row>
    <row r="747" customHeight="1" spans="1:42">
      <c r="A747" s="18" t="s">
        <v>425</v>
      </c>
      <c r="C747" s="18">
        <v>5</v>
      </c>
      <c r="D747" s="1" t="s">
        <v>262</v>
      </c>
      <c r="E747" s="1" t="s">
        <v>225</v>
      </c>
      <c r="L747" s="1">
        <f>IFERROR(VLOOKUP($D747&amp;$C747,生产方式定位!$A$2:$E$38,2,FALSE)+VLOOKUP($E747&amp;$C747,生产方式定位!$F$3:$J$38,2,FALSE),0)</f>
        <v>6000</v>
      </c>
      <c r="S747" s="1">
        <f>IFERROR(VLOOKUP($D747&amp;$C747,生产方式定位!$A$2:$E$38,3,FALSE)+VLOOKUP($E747&amp;$C747,生产方式定位!$F$3:$J$38,3,FALSE),0)</f>
        <v>7200</v>
      </c>
      <c r="X747" s="1">
        <f>IFERROR(VLOOKUP($D747&amp;$C747,生产方式定位!$A$2:$E$38,5,FALSE)+VLOOKUP($E747&amp;$C747,生产方式定位!$F$3:$J$38,5,FALSE),"错误")</f>
        <v>7163</v>
      </c>
      <c r="Y747" s="27" t="str">
        <f t="shared" si="88"/>
        <v/>
      </c>
      <c r="Z747" s="37" t="str">
        <f t="shared" si="89"/>
        <v/>
      </c>
      <c r="AA747" s="37" t="str">
        <f t="shared" si="90"/>
        <v/>
      </c>
      <c r="AB747" s="28">
        <f t="shared" si="91"/>
        <v>0.84</v>
      </c>
      <c r="AC747" s="37"/>
      <c r="AD747" s="38">
        <f t="shared" si="92"/>
        <v>5</v>
      </c>
      <c r="AE747" t="str">
        <f>IFERROR(F747&amp;"*"&amp;ROUND(L747*(G747/$AN747)/VLOOKUP(F747,商品!$A$4:$D$67,4,FALSE),0),"")</f>
        <v/>
      </c>
      <c r="AF747" t="str">
        <f>IFERROR(H747&amp;"*"&amp;ROUND(L747*(I747/$AN747)/VLOOKUP(H747,商品!$A$4:$D$67,4,FALSE),0),"")</f>
        <v/>
      </c>
      <c r="AG747" t="str">
        <f>IFERROR(J747&amp;"*"&amp;ROUND(L747*(K747/$AN747)/VLOOKUP(J747,商品!$A$4:$D$67,4,FALSE),0),"")</f>
        <v/>
      </c>
      <c r="AH747" t="str">
        <f>IFERROR(M747&amp;"*"&amp;ROUND(S747*(N747/$AO747)/VLOOKUP(M747,职业!$A$3:$E$16,4,FALSE),0),"")</f>
        <v/>
      </c>
      <c r="AI747" t="str">
        <f>IFERROR(O747&amp;"*"&amp;ROUND(S747*(P747/$AO747)/VLOOKUP(O747,职业!$A$3:$E$16,4,FALSE),0),"")</f>
        <v/>
      </c>
      <c r="AK747" t="str">
        <f>IFERROR(T747&amp;"*"&amp;ROUND(X747*(U747/$AP747)/VLOOKUP(T747,商品!$A$4:$D$67,4,FALSE),0),"")</f>
        <v/>
      </c>
      <c r="AL747" t="str">
        <f>IFERROR(V747&amp;"*"&amp;ROUND(X747*(W747/$AP747)/VLOOKUP(V747,商品!$A$4:$D$67,4,FALSE),0),"")</f>
        <v/>
      </c>
      <c r="AN747">
        <f t="shared" si="93"/>
        <v>0</v>
      </c>
      <c r="AO747">
        <f t="shared" si="94"/>
        <v>0</v>
      </c>
      <c r="AP747">
        <f t="shared" si="95"/>
        <v>0</v>
      </c>
    </row>
    <row r="748" customHeight="1" spans="1:42">
      <c r="A748" s="5" t="s">
        <v>426</v>
      </c>
      <c r="C748" s="5">
        <v>1</v>
      </c>
      <c r="D748" s="1" t="s">
        <v>262</v>
      </c>
      <c r="E748" s="1" t="s">
        <v>226</v>
      </c>
      <c r="L748" s="1">
        <f>IFERROR(VLOOKUP($D748&amp;$C748,生产方式定位!$A$2:$E$38,2,FALSE)+VLOOKUP($E748&amp;$C748,生产方式定位!$F$3:$J$38,2,FALSE),0)</f>
        <v>0</v>
      </c>
      <c r="S748" s="1">
        <f>IFERROR(VLOOKUP($D748&amp;$C748,生产方式定位!$A$2:$E$38,3,FALSE)+VLOOKUP($E748&amp;$C748,生产方式定位!$F$3:$J$38,3,FALSE),0)</f>
        <v>3000</v>
      </c>
      <c r="X748" s="1">
        <f>IFERROR(VLOOKUP($D748&amp;$C748,生产方式定位!$A$2:$E$38,5,FALSE)+VLOOKUP($E748&amp;$C748,生产方式定位!$F$3:$J$38,5,FALSE),"错误")</f>
        <v>1500</v>
      </c>
      <c r="Y748" s="27" t="str">
        <f t="shared" si="88"/>
        <v/>
      </c>
      <c r="Z748" s="37" t="str">
        <f t="shared" si="89"/>
        <v/>
      </c>
      <c r="AA748" s="37" t="str">
        <f t="shared" si="90"/>
        <v/>
      </c>
      <c r="AB748" s="28">
        <f t="shared" si="91"/>
        <v>0</v>
      </c>
      <c r="AC748" s="37"/>
      <c r="AD748" s="38">
        <f t="shared" si="92"/>
        <v>1</v>
      </c>
      <c r="AE748" t="str">
        <f>IFERROR(F748&amp;"*"&amp;ROUND(L748*(G748/$AN748)/VLOOKUP(F748,商品!$A$4:$D$67,4,FALSE),0),"")</f>
        <v/>
      </c>
      <c r="AF748" t="str">
        <f>IFERROR(H748&amp;"*"&amp;ROUND(L748*(I748/$AN748)/VLOOKUP(H748,商品!$A$4:$D$67,4,FALSE),0),"")</f>
        <v/>
      </c>
      <c r="AG748" t="str">
        <f>IFERROR(J748&amp;"*"&amp;ROUND(L748*(K748/$AN748)/VLOOKUP(J748,商品!$A$4:$D$67,4,FALSE),0),"")</f>
        <v/>
      </c>
      <c r="AH748" t="str">
        <f>IFERROR(M748&amp;"*"&amp;ROUND(S748*(N748/$AO748)/VLOOKUP(M748,职业!$A$3:$E$16,4,FALSE),0),"")</f>
        <v/>
      </c>
      <c r="AI748" t="str">
        <f>IFERROR(O748&amp;"*"&amp;ROUND(S748*(P748/$AO748)/VLOOKUP(O748,职业!$A$3:$E$16,4,FALSE),0),"")</f>
        <v/>
      </c>
      <c r="AK748" t="str">
        <f>IFERROR(T748&amp;"*"&amp;ROUND(X748*(U748/$AP748)/VLOOKUP(T748,商品!$A$4:$D$67,4,FALSE),0),"")</f>
        <v/>
      </c>
      <c r="AL748" t="str">
        <f>IFERROR(V748&amp;"*"&amp;ROUND(X748*(W748/$AP748)/VLOOKUP(V748,商品!$A$4:$D$67,4,FALSE),0),"")</f>
        <v/>
      </c>
      <c r="AN748">
        <f t="shared" si="93"/>
        <v>0</v>
      </c>
      <c r="AO748">
        <f t="shared" si="94"/>
        <v>0</v>
      </c>
      <c r="AP748">
        <f t="shared" si="95"/>
        <v>0</v>
      </c>
    </row>
    <row r="749" customHeight="1" spans="1:42">
      <c r="A749" s="5" t="s">
        <v>426</v>
      </c>
      <c r="C749" s="5">
        <v>2</v>
      </c>
      <c r="D749" s="1" t="s">
        <v>262</v>
      </c>
      <c r="E749" s="1" t="s">
        <v>226</v>
      </c>
      <c r="L749" s="1">
        <f>IFERROR(VLOOKUP($D749&amp;$C749,生产方式定位!$A$2:$E$38,2,FALSE)+VLOOKUP($E749&amp;$C749,生产方式定位!$F$3:$J$38,2,FALSE),0)</f>
        <v>2500</v>
      </c>
      <c r="S749" s="1">
        <f>IFERROR(VLOOKUP($D749&amp;$C749,生产方式定位!$A$2:$E$38,3,FALSE)+VLOOKUP($E749&amp;$C749,生产方式定位!$F$3:$J$38,3,FALSE),0)</f>
        <v>2600</v>
      </c>
      <c r="X749" s="1">
        <f>IFERROR(VLOOKUP($D749&amp;$C749,生产方式定位!$A$2:$E$38,5,FALSE)+VLOOKUP($E749&amp;$C749,生产方式定位!$F$3:$J$38,5,FALSE),"错误")</f>
        <v>2640</v>
      </c>
      <c r="Y749" s="27" t="str">
        <f t="shared" si="88"/>
        <v/>
      </c>
      <c r="Z749" s="37" t="str">
        <f t="shared" si="89"/>
        <v/>
      </c>
      <c r="AA749" s="37" t="str">
        <f t="shared" si="90"/>
        <v/>
      </c>
      <c r="AB749" s="28">
        <f t="shared" si="91"/>
        <v>0.95</v>
      </c>
      <c r="AC749" s="37"/>
      <c r="AD749" s="38">
        <f t="shared" si="92"/>
        <v>2</v>
      </c>
      <c r="AE749" t="str">
        <f>IFERROR(F749&amp;"*"&amp;ROUND(L749*(G749/$AN749)/VLOOKUP(F749,商品!$A$4:$D$67,4,FALSE),0),"")</f>
        <v/>
      </c>
      <c r="AF749" t="str">
        <f>IFERROR(H749&amp;"*"&amp;ROUND(L749*(I749/$AN749)/VLOOKUP(H749,商品!$A$4:$D$67,4,FALSE),0),"")</f>
        <v/>
      </c>
      <c r="AG749" t="str">
        <f>IFERROR(J749&amp;"*"&amp;ROUND(L749*(K749/$AN749)/VLOOKUP(J749,商品!$A$4:$D$67,4,FALSE),0),"")</f>
        <v/>
      </c>
      <c r="AH749" t="str">
        <f>IFERROR(M749&amp;"*"&amp;ROUND(S749*(N749/$AO749)/VLOOKUP(M749,职业!$A$3:$E$16,4,FALSE),0),"")</f>
        <v/>
      </c>
      <c r="AI749" t="str">
        <f>IFERROR(O749&amp;"*"&amp;ROUND(S749*(P749/$AO749)/VLOOKUP(O749,职业!$A$3:$E$16,4,FALSE),0),"")</f>
        <v/>
      </c>
      <c r="AK749" t="str">
        <f>IFERROR(T749&amp;"*"&amp;ROUND(X749*(U749/$AP749)/VLOOKUP(T749,商品!$A$4:$D$67,4,FALSE),0),"")</f>
        <v/>
      </c>
      <c r="AL749" t="str">
        <f>IFERROR(V749&amp;"*"&amp;ROUND(X749*(W749/$AP749)/VLOOKUP(V749,商品!$A$4:$D$67,4,FALSE),0),"")</f>
        <v/>
      </c>
      <c r="AN749">
        <f t="shared" si="93"/>
        <v>0</v>
      </c>
      <c r="AO749">
        <f t="shared" si="94"/>
        <v>0</v>
      </c>
      <c r="AP749">
        <f t="shared" si="95"/>
        <v>0</v>
      </c>
    </row>
    <row r="750" customHeight="1" spans="1:42">
      <c r="A750" s="5" t="s">
        <v>426</v>
      </c>
      <c r="C750" s="5">
        <v>3</v>
      </c>
      <c r="D750" s="1" t="s">
        <v>262</v>
      </c>
      <c r="E750" s="1" t="s">
        <v>226</v>
      </c>
      <c r="L750" s="1">
        <f>IFERROR(VLOOKUP($D750&amp;$C750,生产方式定位!$A$2:$E$38,2,FALSE)+VLOOKUP($E750&amp;$C750,生产方式定位!$F$3:$J$38,2,FALSE),0)</f>
        <v>4000</v>
      </c>
      <c r="S750" s="1">
        <f>IFERROR(VLOOKUP($D750&amp;$C750,生产方式定位!$A$2:$E$38,3,FALSE)+VLOOKUP($E750&amp;$C750,生产方式定位!$F$3:$J$38,3,FALSE),0)</f>
        <v>2200</v>
      </c>
      <c r="X750" s="1">
        <f>IFERROR(VLOOKUP($D750&amp;$C750,生产方式定位!$A$2:$E$38,5,FALSE)+VLOOKUP($E750&amp;$C750,生产方式定位!$F$3:$J$38,5,FALSE),"错误")</f>
        <v>3360</v>
      </c>
      <c r="Y750" s="27" t="str">
        <f t="shared" si="88"/>
        <v/>
      </c>
      <c r="Z750" s="37" t="str">
        <f t="shared" si="89"/>
        <v/>
      </c>
      <c r="AA750" s="37" t="str">
        <f t="shared" si="90"/>
        <v/>
      </c>
      <c r="AB750" s="28">
        <f t="shared" si="91"/>
        <v>1.19</v>
      </c>
      <c r="AC750" s="37"/>
      <c r="AD750" s="38">
        <f t="shared" si="92"/>
        <v>3</v>
      </c>
      <c r="AE750" t="str">
        <f>IFERROR(F750&amp;"*"&amp;ROUND(L750*(G750/$AN750)/VLOOKUP(F750,商品!$A$4:$D$67,4,FALSE),0),"")</f>
        <v/>
      </c>
      <c r="AF750" t="str">
        <f>IFERROR(H750&amp;"*"&amp;ROUND(L750*(I750/$AN750)/VLOOKUP(H750,商品!$A$4:$D$67,4,FALSE),0),"")</f>
        <v/>
      </c>
      <c r="AG750" t="str">
        <f>IFERROR(J750&amp;"*"&amp;ROUND(L750*(K750/$AN750)/VLOOKUP(J750,商品!$A$4:$D$67,4,FALSE),0),"")</f>
        <v/>
      </c>
      <c r="AH750" t="str">
        <f>IFERROR(M750&amp;"*"&amp;ROUND(S750*(N750/$AO750)/VLOOKUP(M750,职业!$A$3:$E$16,4,FALSE),0),"")</f>
        <v/>
      </c>
      <c r="AI750" t="str">
        <f>IFERROR(O750&amp;"*"&amp;ROUND(S750*(P750/$AO750)/VLOOKUP(O750,职业!$A$3:$E$16,4,FALSE),0),"")</f>
        <v/>
      </c>
      <c r="AK750" t="str">
        <f>IFERROR(T750&amp;"*"&amp;ROUND(X750*(U750/$AP750)/VLOOKUP(T750,商品!$A$4:$D$67,4,FALSE),0),"")</f>
        <v/>
      </c>
      <c r="AL750" t="str">
        <f>IFERROR(V750&amp;"*"&amp;ROUND(X750*(W750/$AP750)/VLOOKUP(V750,商品!$A$4:$D$67,4,FALSE),0),"")</f>
        <v/>
      </c>
      <c r="AN750">
        <f t="shared" si="93"/>
        <v>0</v>
      </c>
      <c r="AO750">
        <f t="shared" si="94"/>
        <v>0</v>
      </c>
      <c r="AP750">
        <f t="shared" si="95"/>
        <v>0</v>
      </c>
    </row>
    <row r="751" customHeight="1" spans="1:42">
      <c r="A751" s="5" t="s">
        <v>426</v>
      </c>
      <c r="C751" s="5">
        <v>4</v>
      </c>
      <c r="D751" s="1" t="s">
        <v>262</v>
      </c>
      <c r="E751" s="1" t="s">
        <v>226</v>
      </c>
      <c r="L751" s="1">
        <f>IFERROR(VLOOKUP($D751&amp;$C751,生产方式定位!$A$2:$E$38,2,FALSE)+VLOOKUP($E751&amp;$C751,生产方式定位!$F$3:$J$38,2,FALSE),0)</f>
        <v>5500</v>
      </c>
      <c r="S751" s="1">
        <f>IFERROR(VLOOKUP($D751&amp;$C751,生产方式定位!$A$2:$E$38,3,FALSE)+VLOOKUP($E751&amp;$C751,生产方式定位!$F$3:$J$38,3,FALSE),0)</f>
        <v>1800</v>
      </c>
      <c r="X751" s="1">
        <f>IFERROR(VLOOKUP($D751&amp;$C751,生产方式定位!$A$2:$E$38,5,FALSE)+VLOOKUP($E751&amp;$C751,生产方式定位!$F$3:$J$38,5,FALSE),"错误")</f>
        <v>4160</v>
      </c>
      <c r="Y751" s="27" t="str">
        <f t="shared" si="88"/>
        <v/>
      </c>
      <c r="Z751" s="37" t="str">
        <f t="shared" si="89"/>
        <v/>
      </c>
      <c r="AA751" s="37" t="str">
        <f t="shared" si="90"/>
        <v/>
      </c>
      <c r="AB751" s="28">
        <f t="shared" si="91"/>
        <v>1.32</v>
      </c>
      <c r="AC751" s="37"/>
      <c r="AD751" s="38">
        <f t="shared" si="92"/>
        <v>4</v>
      </c>
      <c r="AE751" t="str">
        <f>IFERROR(F751&amp;"*"&amp;ROUND(L751*(G751/$AN751)/VLOOKUP(F751,商品!$A$4:$D$67,4,FALSE),0),"")</f>
        <v/>
      </c>
      <c r="AF751" t="str">
        <f>IFERROR(H751&amp;"*"&amp;ROUND(L751*(I751/$AN751)/VLOOKUP(H751,商品!$A$4:$D$67,4,FALSE),0),"")</f>
        <v/>
      </c>
      <c r="AG751" t="str">
        <f>IFERROR(J751&amp;"*"&amp;ROUND(L751*(K751/$AN751)/VLOOKUP(J751,商品!$A$4:$D$67,4,FALSE),0),"")</f>
        <v/>
      </c>
      <c r="AH751" t="str">
        <f>IFERROR(M751&amp;"*"&amp;ROUND(S751*(N751/$AO751)/VLOOKUP(M751,职业!$A$3:$E$16,4,FALSE),0),"")</f>
        <v/>
      </c>
      <c r="AI751" t="str">
        <f>IFERROR(O751&amp;"*"&amp;ROUND(S751*(P751/$AO751)/VLOOKUP(O751,职业!$A$3:$E$16,4,FALSE),0),"")</f>
        <v/>
      </c>
      <c r="AK751" t="str">
        <f>IFERROR(T751&amp;"*"&amp;ROUND(X751*(U751/$AP751)/VLOOKUP(T751,商品!$A$4:$D$67,4,FALSE),0),"")</f>
        <v/>
      </c>
      <c r="AL751" t="str">
        <f>IFERROR(V751&amp;"*"&amp;ROUND(X751*(W751/$AP751)/VLOOKUP(V751,商品!$A$4:$D$67,4,FALSE),0),"")</f>
        <v/>
      </c>
      <c r="AN751">
        <f t="shared" si="93"/>
        <v>0</v>
      </c>
      <c r="AO751">
        <f t="shared" si="94"/>
        <v>0</v>
      </c>
      <c r="AP751">
        <f t="shared" si="95"/>
        <v>0</v>
      </c>
    </row>
    <row r="752" customHeight="1" spans="1:42">
      <c r="A752" s="5" t="s">
        <v>426</v>
      </c>
      <c r="C752" s="5">
        <v>5</v>
      </c>
      <c r="D752" s="1" t="s">
        <v>262</v>
      </c>
      <c r="E752" s="1" t="s">
        <v>226</v>
      </c>
      <c r="L752" s="1">
        <f>IFERROR(VLOOKUP($D752&amp;$C752,生产方式定位!$A$2:$E$38,2,FALSE)+VLOOKUP($E752&amp;$C752,生产方式定位!$F$3:$J$38,2,FALSE),0)</f>
        <v>7000</v>
      </c>
      <c r="S752" s="1">
        <f>IFERROR(VLOOKUP($D752&amp;$C752,生产方式定位!$A$2:$E$38,3,FALSE)+VLOOKUP($E752&amp;$C752,生产方式定位!$F$3:$J$38,3,FALSE),0)</f>
        <v>1400</v>
      </c>
      <c r="X752" s="1">
        <f>IFERROR(VLOOKUP($D752&amp;$C752,生产方式定位!$A$2:$E$38,5,FALSE)+VLOOKUP($E752&amp;$C752,生产方式定位!$F$3:$J$38,5,FALSE),"错误")</f>
        <v>5040</v>
      </c>
      <c r="Y752" s="27" t="str">
        <f t="shared" si="88"/>
        <v/>
      </c>
      <c r="Z752" s="37" t="str">
        <f t="shared" si="89"/>
        <v/>
      </c>
      <c r="AA752" s="37" t="str">
        <f t="shared" si="90"/>
        <v/>
      </c>
      <c r="AB752" s="28">
        <f t="shared" si="91"/>
        <v>1.39</v>
      </c>
      <c r="AC752" s="37"/>
      <c r="AD752" s="38">
        <f t="shared" si="92"/>
        <v>5</v>
      </c>
      <c r="AE752" t="str">
        <f>IFERROR(F752&amp;"*"&amp;ROUND(L752*(G752/$AN752)/VLOOKUP(F752,商品!$A$4:$D$67,4,FALSE),0),"")</f>
        <v/>
      </c>
      <c r="AF752" t="str">
        <f>IFERROR(H752&amp;"*"&amp;ROUND(L752*(I752/$AN752)/VLOOKUP(H752,商品!$A$4:$D$67,4,FALSE),0),"")</f>
        <v/>
      </c>
      <c r="AG752" t="str">
        <f>IFERROR(J752&amp;"*"&amp;ROUND(L752*(K752/$AN752)/VLOOKUP(J752,商品!$A$4:$D$67,4,FALSE),0),"")</f>
        <v/>
      </c>
      <c r="AH752" t="str">
        <f>IFERROR(M752&amp;"*"&amp;ROUND(S752*(N752/$AO752)/VLOOKUP(M752,职业!$A$3:$E$16,4,FALSE),0),"")</f>
        <v/>
      </c>
      <c r="AI752" t="str">
        <f>IFERROR(O752&amp;"*"&amp;ROUND(S752*(P752/$AO752)/VLOOKUP(O752,职业!$A$3:$E$16,4,FALSE),0),"")</f>
        <v/>
      </c>
      <c r="AK752" t="str">
        <f>IFERROR(T752&amp;"*"&amp;ROUND(X752*(U752/$AP752)/VLOOKUP(T752,商品!$A$4:$D$67,4,FALSE),0),"")</f>
        <v/>
      </c>
      <c r="AL752" t="str">
        <f>IFERROR(V752&amp;"*"&amp;ROUND(X752*(W752/$AP752)/VLOOKUP(V752,商品!$A$4:$D$67,4,FALSE),0),"")</f>
        <v/>
      </c>
      <c r="AN752">
        <f t="shared" si="93"/>
        <v>0</v>
      </c>
      <c r="AO752">
        <f t="shared" si="94"/>
        <v>0</v>
      </c>
      <c r="AP752">
        <f t="shared" si="95"/>
        <v>0</v>
      </c>
    </row>
    <row r="753" customHeight="1" spans="1:42">
      <c r="A753" s="18" t="s">
        <v>426</v>
      </c>
      <c r="C753" s="18">
        <v>1</v>
      </c>
      <c r="D753" s="1" t="s">
        <v>262</v>
      </c>
      <c r="E753" s="1" t="s">
        <v>226</v>
      </c>
      <c r="L753" s="1">
        <f>IFERROR(VLOOKUP($D753&amp;$C753,生产方式定位!$A$2:$E$38,2,FALSE)+VLOOKUP($E753&amp;$C753,生产方式定位!$F$3:$J$38,2,FALSE),0)</f>
        <v>0</v>
      </c>
      <c r="S753" s="1">
        <f>IFERROR(VLOOKUP($D753&amp;$C753,生产方式定位!$A$2:$E$38,3,FALSE)+VLOOKUP($E753&amp;$C753,生产方式定位!$F$3:$J$38,3,FALSE),0)</f>
        <v>3000</v>
      </c>
      <c r="X753" s="1">
        <f>IFERROR(VLOOKUP($D753&amp;$C753,生产方式定位!$A$2:$E$38,5,FALSE)+VLOOKUP($E753&amp;$C753,生产方式定位!$F$3:$J$38,5,FALSE),"错误")</f>
        <v>1500</v>
      </c>
      <c r="Y753" s="27" t="str">
        <f t="shared" si="88"/>
        <v/>
      </c>
      <c r="Z753" s="37" t="str">
        <f t="shared" si="89"/>
        <v/>
      </c>
      <c r="AA753" s="37" t="str">
        <f t="shared" si="90"/>
        <v/>
      </c>
      <c r="AB753" s="28">
        <f t="shared" si="91"/>
        <v>0</v>
      </c>
      <c r="AC753" s="37"/>
      <c r="AD753" s="38">
        <f t="shared" si="92"/>
        <v>1</v>
      </c>
      <c r="AE753" t="str">
        <f>IFERROR(F753&amp;"*"&amp;ROUND(L753*(G753/$AN753)/VLOOKUP(F753,商品!$A$4:$D$67,4,FALSE),0),"")</f>
        <v/>
      </c>
      <c r="AF753" t="str">
        <f>IFERROR(H753&amp;"*"&amp;ROUND(L753*(I753/$AN753)/VLOOKUP(H753,商品!$A$4:$D$67,4,FALSE),0),"")</f>
        <v/>
      </c>
      <c r="AG753" t="str">
        <f>IFERROR(J753&amp;"*"&amp;ROUND(L753*(K753/$AN753)/VLOOKUP(J753,商品!$A$4:$D$67,4,FALSE),0),"")</f>
        <v/>
      </c>
      <c r="AH753" t="str">
        <f>IFERROR(M753&amp;"*"&amp;ROUND(S753*(N753/$AO753)/VLOOKUP(M753,职业!$A$3:$E$16,4,FALSE),0),"")</f>
        <v/>
      </c>
      <c r="AI753" t="str">
        <f>IFERROR(O753&amp;"*"&amp;ROUND(S753*(P753/$AO753)/VLOOKUP(O753,职业!$A$3:$E$16,4,FALSE),0),"")</f>
        <v/>
      </c>
      <c r="AK753" t="str">
        <f>IFERROR(T753&amp;"*"&amp;ROUND(X753*(U753/$AP753)/VLOOKUP(T753,商品!$A$4:$D$67,4,FALSE),0),"")</f>
        <v/>
      </c>
      <c r="AL753" t="str">
        <f>IFERROR(V753&amp;"*"&amp;ROUND(X753*(W753/$AP753)/VLOOKUP(V753,商品!$A$4:$D$67,4,FALSE),0),"")</f>
        <v/>
      </c>
      <c r="AN753">
        <f t="shared" si="93"/>
        <v>0</v>
      </c>
      <c r="AO753">
        <f t="shared" si="94"/>
        <v>0</v>
      </c>
      <c r="AP753">
        <f t="shared" si="95"/>
        <v>0</v>
      </c>
    </row>
    <row r="754" customHeight="1" spans="1:42">
      <c r="A754" s="18" t="s">
        <v>426</v>
      </c>
      <c r="C754" s="18">
        <v>2</v>
      </c>
      <c r="D754" s="1" t="s">
        <v>262</v>
      </c>
      <c r="E754" s="1" t="s">
        <v>226</v>
      </c>
      <c r="L754" s="1">
        <f>IFERROR(VLOOKUP($D754&amp;$C754,生产方式定位!$A$2:$E$38,2,FALSE)+VLOOKUP($E754&amp;$C754,生产方式定位!$F$3:$J$38,2,FALSE),0)</f>
        <v>2500</v>
      </c>
      <c r="S754" s="1">
        <f>IFERROR(VLOOKUP($D754&amp;$C754,生产方式定位!$A$2:$E$38,3,FALSE)+VLOOKUP($E754&amp;$C754,生产方式定位!$F$3:$J$38,3,FALSE),0)</f>
        <v>2600</v>
      </c>
      <c r="X754" s="1">
        <f>IFERROR(VLOOKUP($D754&amp;$C754,生产方式定位!$A$2:$E$38,5,FALSE)+VLOOKUP($E754&amp;$C754,生产方式定位!$F$3:$J$38,5,FALSE),"错误")</f>
        <v>2640</v>
      </c>
      <c r="Y754" s="27" t="str">
        <f t="shared" si="88"/>
        <v/>
      </c>
      <c r="Z754" s="37" t="str">
        <f t="shared" si="89"/>
        <v/>
      </c>
      <c r="AA754" s="37" t="str">
        <f t="shared" si="90"/>
        <v/>
      </c>
      <c r="AB754" s="28">
        <f t="shared" si="91"/>
        <v>0.95</v>
      </c>
      <c r="AC754" s="37"/>
      <c r="AD754" s="38">
        <f t="shared" si="92"/>
        <v>2</v>
      </c>
      <c r="AE754" t="str">
        <f>IFERROR(F754&amp;"*"&amp;ROUND(L754*(G754/$AN754)/VLOOKUP(F754,商品!$A$4:$D$67,4,FALSE),0),"")</f>
        <v/>
      </c>
      <c r="AF754" t="str">
        <f>IFERROR(H754&amp;"*"&amp;ROUND(L754*(I754/$AN754)/VLOOKUP(H754,商品!$A$4:$D$67,4,FALSE),0),"")</f>
        <v/>
      </c>
      <c r="AG754" t="str">
        <f>IFERROR(J754&amp;"*"&amp;ROUND(L754*(K754/$AN754)/VLOOKUP(J754,商品!$A$4:$D$67,4,FALSE),0),"")</f>
        <v/>
      </c>
      <c r="AH754" t="str">
        <f>IFERROR(M754&amp;"*"&amp;ROUND(S754*(N754/$AO754)/VLOOKUP(M754,职业!$A$3:$E$16,4,FALSE),0),"")</f>
        <v/>
      </c>
      <c r="AI754" t="str">
        <f>IFERROR(O754&amp;"*"&amp;ROUND(S754*(P754/$AO754)/VLOOKUP(O754,职业!$A$3:$E$16,4,FALSE),0),"")</f>
        <v/>
      </c>
      <c r="AK754" t="str">
        <f>IFERROR(T754&amp;"*"&amp;ROUND(X754*(U754/$AP754)/VLOOKUP(T754,商品!$A$4:$D$67,4,FALSE),0),"")</f>
        <v/>
      </c>
      <c r="AL754" t="str">
        <f>IFERROR(V754&amp;"*"&amp;ROUND(X754*(W754/$AP754)/VLOOKUP(V754,商品!$A$4:$D$67,4,FALSE),0),"")</f>
        <v/>
      </c>
      <c r="AN754">
        <f t="shared" si="93"/>
        <v>0</v>
      </c>
      <c r="AO754">
        <f t="shared" si="94"/>
        <v>0</v>
      </c>
      <c r="AP754">
        <f t="shared" si="95"/>
        <v>0</v>
      </c>
    </row>
    <row r="755" customHeight="1" spans="1:42">
      <c r="A755" s="18" t="s">
        <v>426</v>
      </c>
      <c r="C755" s="18">
        <v>3</v>
      </c>
      <c r="D755" s="1" t="s">
        <v>262</v>
      </c>
      <c r="E755" s="1" t="s">
        <v>226</v>
      </c>
      <c r="L755" s="1">
        <f>IFERROR(VLOOKUP($D755&amp;$C755,生产方式定位!$A$2:$E$38,2,FALSE)+VLOOKUP($E755&amp;$C755,生产方式定位!$F$3:$J$38,2,FALSE),0)</f>
        <v>4000</v>
      </c>
      <c r="S755" s="1">
        <f>IFERROR(VLOOKUP($D755&amp;$C755,生产方式定位!$A$2:$E$38,3,FALSE)+VLOOKUP($E755&amp;$C755,生产方式定位!$F$3:$J$38,3,FALSE),0)</f>
        <v>2200</v>
      </c>
      <c r="X755" s="1">
        <f>IFERROR(VLOOKUP($D755&amp;$C755,生产方式定位!$A$2:$E$38,5,FALSE)+VLOOKUP($E755&amp;$C755,生产方式定位!$F$3:$J$38,5,FALSE),"错误")</f>
        <v>3360</v>
      </c>
      <c r="Y755" s="27" t="str">
        <f t="shared" si="88"/>
        <v/>
      </c>
      <c r="Z755" s="37" t="str">
        <f t="shared" si="89"/>
        <v/>
      </c>
      <c r="AA755" s="37" t="str">
        <f t="shared" si="90"/>
        <v/>
      </c>
      <c r="AB755" s="28">
        <f t="shared" si="91"/>
        <v>1.19</v>
      </c>
      <c r="AC755" s="37"/>
      <c r="AD755" s="38">
        <f t="shared" si="92"/>
        <v>3</v>
      </c>
      <c r="AE755" t="str">
        <f>IFERROR(F755&amp;"*"&amp;ROUND(L755*(G755/$AN755)/VLOOKUP(F755,商品!$A$4:$D$67,4,FALSE),0),"")</f>
        <v/>
      </c>
      <c r="AF755" t="str">
        <f>IFERROR(H755&amp;"*"&amp;ROUND(L755*(I755/$AN755)/VLOOKUP(H755,商品!$A$4:$D$67,4,FALSE),0),"")</f>
        <v/>
      </c>
      <c r="AG755" t="str">
        <f>IFERROR(J755&amp;"*"&amp;ROUND(L755*(K755/$AN755)/VLOOKUP(J755,商品!$A$4:$D$67,4,FALSE),0),"")</f>
        <v/>
      </c>
      <c r="AH755" t="str">
        <f>IFERROR(M755&amp;"*"&amp;ROUND(S755*(N755/$AO755)/VLOOKUP(M755,职业!$A$3:$E$16,4,FALSE),0),"")</f>
        <v/>
      </c>
      <c r="AI755" t="str">
        <f>IFERROR(O755&amp;"*"&amp;ROUND(S755*(P755/$AO755)/VLOOKUP(O755,职业!$A$3:$E$16,4,FALSE),0),"")</f>
        <v/>
      </c>
      <c r="AK755" t="str">
        <f>IFERROR(T755&amp;"*"&amp;ROUND(X755*(U755/$AP755)/VLOOKUP(T755,商品!$A$4:$D$67,4,FALSE),0),"")</f>
        <v/>
      </c>
      <c r="AL755" t="str">
        <f>IFERROR(V755&amp;"*"&amp;ROUND(X755*(W755/$AP755)/VLOOKUP(V755,商品!$A$4:$D$67,4,FALSE),0),"")</f>
        <v/>
      </c>
      <c r="AN755">
        <f t="shared" si="93"/>
        <v>0</v>
      </c>
      <c r="AO755">
        <f t="shared" si="94"/>
        <v>0</v>
      </c>
      <c r="AP755">
        <f t="shared" si="95"/>
        <v>0</v>
      </c>
    </row>
    <row r="756" customHeight="1" spans="1:42">
      <c r="A756" s="18" t="s">
        <v>426</v>
      </c>
      <c r="C756" s="18">
        <v>4</v>
      </c>
      <c r="D756" s="1" t="s">
        <v>262</v>
      </c>
      <c r="E756" s="1" t="s">
        <v>226</v>
      </c>
      <c r="L756" s="1">
        <f>IFERROR(VLOOKUP($D756&amp;$C756,生产方式定位!$A$2:$E$38,2,FALSE)+VLOOKUP($E756&amp;$C756,生产方式定位!$F$3:$J$38,2,FALSE),0)</f>
        <v>5500</v>
      </c>
      <c r="S756" s="1">
        <f>IFERROR(VLOOKUP($D756&amp;$C756,生产方式定位!$A$2:$E$38,3,FALSE)+VLOOKUP($E756&amp;$C756,生产方式定位!$F$3:$J$38,3,FALSE),0)</f>
        <v>1800</v>
      </c>
      <c r="X756" s="1">
        <f>IFERROR(VLOOKUP($D756&amp;$C756,生产方式定位!$A$2:$E$38,5,FALSE)+VLOOKUP($E756&amp;$C756,生产方式定位!$F$3:$J$38,5,FALSE),"错误")</f>
        <v>4160</v>
      </c>
      <c r="Y756" s="27" t="str">
        <f t="shared" si="88"/>
        <v/>
      </c>
      <c r="Z756" s="37" t="str">
        <f t="shared" si="89"/>
        <v/>
      </c>
      <c r="AA756" s="37" t="str">
        <f t="shared" si="90"/>
        <v/>
      </c>
      <c r="AB756" s="28">
        <f t="shared" si="91"/>
        <v>1.32</v>
      </c>
      <c r="AC756" s="37"/>
      <c r="AD756" s="38">
        <f t="shared" si="92"/>
        <v>4</v>
      </c>
      <c r="AE756" t="str">
        <f>IFERROR(F756&amp;"*"&amp;ROUND(L756*(G756/$AN756)/VLOOKUP(F756,商品!$A$4:$D$67,4,FALSE),0),"")</f>
        <v/>
      </c>
      <c r="AF756" t="str">
        <f>IFERROR(H756&amp;"*"&amp;ROUND(L756*(I756/$AN756)/VLOOKUP(H756,商品!$A$4:$D$67,4,FALSE),0),"")</f>
        <v/>
      </c>
      <c r="AG756" t="str">
        <f>IFERROR(J756&amp;"*"&amp;ROUND(L756*(K756/$AN756)/VLOOKUP(J756,商品!$A$4:$D$67,4,FALSE),0),"")</f>
        <v/>
      </c>
      <c r="AH756" t="str">
        <f>IFERROR(M756&amp;"*"&amp;ROUND(S756*(N756/$AO756)/VLOOKUP(M756,职业!$A$3:$E$16,4,FALSE),0),"")</f>
        <v/>
      </c>
      <c r="AI756" t="str">
        <f>IFERROR(O756&amp;"*"&amp;ROUND(S756*(P756/$AO756)/VLOOKUP(O756,职业!$A$3:$E$16,4,FALSE),0),"")</f>
        <v/>
      </c>
      <c r="AK756" t="str">
        <f>IFERROR(T756&amp;"*"&amp;ROUND(X756*(U756/$AP756)/VLOOKUP(T756,商品!$A$4:$D$67,4,FALSE),0),"")</f>
        <v/>
      </c>
      <c r="AL756" t="str">
        <f>IFERROR(V756&amp;"*"&amp;ROUND(X756*(W756/$AP756)/VLOOKUP(V756,商品!$A$4:$D$67,4,FALSE),0),"")</f>
        <v/>
      </c>
      <c r="AN756">
        <f t="shared" si="93"/>
        <v>0</v>
      </c>
      <c r="AO756">
        <f t="shared" si="94"/>
        <v>0</v>
      </c>
      <c r="AP756">
        <f t="shared" si="95"/>
        <v>0</v>
      </c>
    </row>
    <row r="757" customHeight="1" spans="1:42">
      <c r="A757" s="18" t="s">
        <v>426</v>
      </c>
      <c r="C757" s="18">
        <v>5</v>
      </c>
      <c r="D757" s="1" t="s">
        <v>262</v>
      </c>
      <c r="E757" s="1" t="s">
        <v>226</v>
      </c>
      <c r="L757" s="1">
        <f>IFERROR(VLOOKUP($D757&amp;$C757,生产方式定位!$A$2:$E$38,2,FALSE)+VLOOKUP($E757&amp;$C757,生产方式定位!$F$3:$J$38,2,FALSE),0)</f>
        <v>7000</v>
      </c>
      <c r="S757" s="1">
        <f>IFERROR(VLOOKUP($D757&amp;$C757,生产方式定位!$A$2:$E$38,3,FALSE)+VLOOKUP($E757&amp;$C757,生产方式定位!$F$3:$J$38,3,FALSE),0)</f>
        <v>1400</v>
      </c>
      <c r="X757" s="1">
        <f>IFERROR(VLOOKUP($D757&amp;$C757,生产方式定位!$A$2:$E$38,5,FALSE)+VLOOKUP($E757&amp;$C757,生产方式定位!$F$3:$J$38,5,FALSE),"错误")</f>
        <v>5040</v>
      </c>
      <c r="Y757" s="27" t="str">
        <f t="shared" si="88"/>
        <v/>
      </c>
      <c r="Z757" s="37" t="str">
        <f t="shared" si="89"/>
        <v/>
      </c>
      <c r="AA757" s="37" t="str">
        <f t="shared" si="90"/>
        <v/>
      </c>
      <c r="AB757" s="28">
        <f t="shared" si="91"/>
        <v>1.39</v>
      </c>
      <c r="AC757" s="37"/>
      <c r="AD757" s="38">
        <f t="shared" si="92"/>
        <v>5</v>
      </c>
      <c r="AE757" t="str">
        <f>IFERROR(F757&amp;"*"&amp;ROUND(L757*(G757/$AN757)/VLOOKUP(F757,商品!$A$4:$D$67,4,FALSE),0),"")</f>
        <v/>
      </c>
      <c r="AF757" t="str">
        <f>IFERROR(H757&amp;"*"&amp;ROUND(L757*(I757/$AN757)/VLOOKUP(H757,商品!$A$4:$D$67,4,FALSE),0),"")</f>
        <v/>
      </c>
      <c r="AG757" t="str">
        <f>IFERROR(J757&amp;"*"&amp;ROUND(L757*(K757/$AN757)/VLOOKUP(J757,商品!$A$4:$D$67,4,FALSE),0),"")</f>
        <v/>
      </c>
      <c r="AH757" t="str">
        <f>IFERROR(M757&amp;"*"&amp;ROUND(S757*(N757/$AO757)/VLOOKUP(M757,职业!$A$3:$E$16,4,FALSE),0),"")</f>
        <v/>
      </c>
      <c r="AI757" t="str">
        <f>IFERROR(O757&amp;"*"&amp;ROUND(S757*(P757/$AO757)/VLOOKUP(O757,职业!$A$3:$E$16,4,FALSE),0),"")</f>
        <v/>
      </c>
      <c r="AK757" t="str">
        <f>IFERROR(T757&amp;"*"&amp;ROUND(X757*(U757/$AP757)/VLOOKUP(T757,商品!$A$4:$D$67,4,FALSE),0),"")</f>
        <v/>
      </c>
      <c r="AL757" t="str">
        <f>IFERROR(V757&amp;"*"&amp;ROUND(X757*(W757/$AP757)/VLOOKUP(V757,商品!$A$4:$D$67,4,FALSE),0),"")</f>
        <v/>
      </c>
      <c r="AN757">
        <f t="shared" si="93"/>
        <v>0</v>
      </c>
      <c r="AO757">
        <f t="shared" si="94"/>
        <v>0</v>
      </c>
      <c r="AP757">
        <f t="shared" si="95"/>
        <v>0</v>
      </c>
    </row>
    <row r="758" customHeight="1" spans="1:42">
      <c r="A758" s="5" t="s">
        <v>427</v>
      </c>
      <c r="C758" s="5">
        <v>1</v>
      </c>
      <c r="D758" s="1" t="s">
        <v>293</v>
      </c>
      <c r="E758" s="1" t="s">
        <v>227</v>
      </c>
      <c r="L758" s="1">
        <f>IFERROR(VLOOKUP($D758&amp;$C758,生产方式定位!$A$2:$E$38,2,FALSE)+VLOOKUP($E758&amp;$C758,生产方式定位!$F$3:$J$38,2,FALSE),0)</f>
        <v>0</v>
      </c>
      <c r="S758" s="1">
        <f>IFERROR(VLOOKUP($D758&amp;$C758,生产方式定位!$A$2:$E$38,3,FALSE)+VLOOKUP($E758&amp;$C758,生产方式定位!$F$3:$J$38,3,FALSE),0)</f>
        <v>0</v>
      </c>
      <c r="X758" s="1">
        <f>IFERROR(VLOOKUP($D758&amp;$C758,生产方式定位!$A$2:$E$38,5,FALSE)+VLOOKUP($E758&amp;$C758,生产方式定位!$F$3:$J$38,5,FALSE),"错误")</f>
        <v>0</v>
      </c>
      <c r="Y758" s="27" t="str">
        <f t="shared" si="88"/>
        <v/>
      </c>
      <c r="Z758" s="37" t="str">
        <f t="shared" si="89"/>
        <v/>
      </c>
      <c r="AA758" s="37" t="str">
        <f t="shared" si="90"/>
        <v/>
      </c>
      <c r="AB758" s="28" t="str">
        <f t="shared" si="91"/>
        <v/>
      </c>
      <c r="AC758" s="37"/>
      <c r="AD758" s="38">
        <f t="shared" si="92"/>
        <v>1</v>
      </c>
      <c r="AE758" t="str">
        <f>IFERROR(F758&amp;"*"&amp;ROUND(L758*(G758/$AN758)/VLOOKUP(F758,商品!$A$4:$D$67,4,FALSE),0),"")</f>
        <v/>
      </c>
      <c r="AF758" t="str">
        <f>IFERROR(H758&amp;"*"&amp;ROUND(L758*(I758/$AN758)/VLOOKUP(H758,商品!$A$4:$D$67,4,FALSE),0),"")</f>
        <v/>
      </c>
      <c r="AG758" t="str">
        <f>IFERROR(J758&amp;"*"&amp;ROUND(L758*(K758/$AN758)/VLOOKUP(J758,商品!$A$4:$D$67,4,FALSE),0),"")</f>
        <v/>
      </c>
      <c r="AH758" t="str">
        <f>IFERROR(M758&amp;"*"&amp;ROUND(S758*(N758/$AO758)/VLOOKUP(M758,职业!$A$3:$E$16,4,FALSE),0),"")</f>
        <v/>
      </c>
      <c r="AI758" t="str">
        <f>IFERROR(O758&amp;"*"&amp;ROUND(S758*(P758/$AO758)/VLOOKUP(O758,职业!$A$3:$E$16,4,FALSE),0),"")</f>
        <v/>
      </c>
      <c r="AK758" t="str">
        <f>IFERROR(T758&amp;"*"&amp;ROUND(X758*(U758/$AP758)/VLOOKUP(T758,商品!$A$4:$D$67,4,FALSE),0),"")</f>
        <v/>
      </c>
      <c r="AL758" t="str">
        <f>IFERROR(V758&amp;"*"&amp;ROUND(X758*(W758/$AP758)/VLOOKUP(V758,商品!$A$4:$D$67,4,FALSE),0),"")</f>
        <v/>
      </c>
      <c r="AN758">
        <f t="shared" si="93"/>
        <v>0</v>
      </c>
      <c r="AO758">
        <f t="shared" si="94"/>
        <v>0</v>
      </c>
      <c r="AP758">
        <f t="shared" si="95"/>
        <v>0</v>
      </c>
    </row>
    <row r="759" customHeight="1" spans="1:42">
      <c r="A759" s="5" t="s">
        <v>427</v>
      </c>
      <c r="C759" s="5">
        <v>2</v>
      </c>
      <c r="D759" s="1" t="s">
        <v>293</v>
      </c>
      <c r="E759" s="1" t="s">
        <v>227</v>
      </c>
      <c r="L759" s="1">
        <f>IFERROR(VLOOKUP($D759&amp;$C759,生产方式定位!$A$2:$E$38,2,FALSE)+VLOOKUP($E759&amp;$C759,生产方式定位!$F$3:$J$38,2,FALSE),0)</f>
        <v>0</v>
      </c>
      <c r="S759" s="1">
        <f>IFERROR(VLOOKUP($D759&amp;$C759,生产方式定位!$A$2:$E$38,3,FALSE)+VLOOKUP($E759&amp;$C759,生产方式定位!$F$3:$J$38,3,FALSE),0)</f>
        <v>0</v>
      </c>
      <c r="X759" s="1">
        <f>IFERROR(VLOOKUP($D759&amp;$C759,生产方式定位!$A$2:$E$38,5,FALSE)+VLOOKUP($E759&amp;$C759,生产方式定位!$F$3:$J$38,5,FALSE),"错误")</f>
        <v>0</v>
      </c>
      <c r="Y759" s="27" t="str">
        <f t="shared" si="88"/>
        <v/>
      </c>
      <c r="Z759" s="37" t="str">
        <f t="shared" si="89"/>
        <v/>
      </c>
      <c r="AA759" s="37" t="str">
        <f t="shared" si="90"/>
        <v/>
      </c>
      <c r="AB759" s="28" t="str">
        <f t="shared" si="91"/>
        <v/>
      </c>
      <c r="AC759" s="37"/>
      <c r="AD759" s="38">
        <f t="shared" si="92"/>
        <v>2</v>
      </c>
      <c r="AE759" t="str">
        <f>IFERROR(F759&amp;"*"&amp;ROUND(L759*(G759/$AN759)/VLOOKUP(F759,商品!$A$4:$D$67,4,FALSE),0),"")</f>
        <v/>
      </c>
      <c r="AF759" t="str">
        <f>IFERROR(H759&amp;"*"&amp;ROUND(L759*(I759/$AN759)/VLOOKUP(H759,商品!$A$4:$D$67,4,FALSE),0),"")</f>
        <v/>
      </c>
      <c r="AG759" t="str">
        <f>IFERROR(J759&amp;"*"&amp;ROUND(L759*(K759/$AN759)/VLOOKUP(J759,商品!$A$4:$D$67,4,FALSE),0),"")</f>
        <v/>
      </c>
      <c r="AH759" t="str">
        <f>IFERROR(M759&amp;"*"&amp;ROUND(S759*(N759/$AO759)/VLOOKUP(M759,职业!$A$3:$E$16,4,FALSE),0),"")</f>
        <v/>
      </c>
      <c r="AI759" t="str">
        <f>IFERROR(O759&amp;"*"&amp;ROUND(S759*(P759/$AO759)/VLOOKUP(O759,职业!$A$3:$E$16,4,FALSE),0),"")</f>
        <v/>
      </c>
      <c r="AK759" t="str">
        <f>IFERROR(T759&amp;"*"&amp;ROUND(X759*(U759/$AP759)/VLOOKUP(T759,商品!$A$4:$D$67,4,FALSE),0),"")</f>
        <v/>
      </c>
      <c r="AL759" t="str">
        <f>IFERROR(V759&amp;"*"&amp;ROUND(X759*(W759/$AP759)/VLOOKUP(V759,商品!$A$4:$D$67,4,FALSE),0),"")</f>
        <v/>
      </c>
      <c r="AN759">
        <f t="shared" si="93"/>
        <v>0</v>
      </c>
      <c r="AO759">
        <f t="shared" si="94"/>
        <v>0</v>
      </c>
      <c r="AP759">
        <f t="shared" si="95"/>
        <v>0</v>
      </c>
    </row>
    <row r="760" customHeight="1" spans="1:42">
      <c r="A760" s="5" t="s">
        <v>427</v>
      </c>
      <c r="C760" s="5">
        <v>3</v>
      </c>
      <c r="D760" s="1" t="s">
        <v>293</v>
      </c>
      <c r="E760" s="1" t="s">
        <v>227</v>
      </c>
      <c r="L760" s="1">
        <f>IFERROR(VLOOKUP($D760&amp;$C760,生产方式定位!$A$2:$E$38,2,FALSE)+VLOOKUP($E760&amp;$C760,生产方式定位!$F$3:$J$38,2,FALSE),0)</f>
        <v>0</v>
      </c>
      <c r="S760" s="1">
        <f>IFERROR(VLOOKUP($D760&amp;$C760,生产方式定位!$A$2:$E$38,3,FALSE)+VLOOKUP($E760&amp;$C760,生产方式定位!$F$3:$J$38,3,FALSE),0)</f>
        <v>0</v>
      </c>
      <c r="X760" s="1">
        <f>IFERROR(VLOOKUP($D760&amp;$C760,生产方式定位!$A$2:$E$38,5,FALSE)+VLOOKUP($E760&amp;$C760,生产方式定位!$F$3:$J$38,5,FALSE),"错误")</f>
        <v>0</v>
      </c>
      <c r="Y760" s="27" t="str">
        <f t="shared" si="88"/>
        <v/>
      </c>
      <c r="Z760" s="37" t="str">
        <f t="shared" si="89"/>
        <v/>
      </c>
      <c r="AA760" s="37" t="str">
        <f t="shared" si="90"/>
        <v/>
      </c>
      <c r="AB760" s="28" t="str">
        <f t="shared" si="91"/>
        <v/>
      </c>
      <c r="AC760" s="37"/>
      <c r="AD760" s="38">
        <f t="shared" si="92"/>
        <v>3</v>
      </c>
      <c r="AE760" t="str">
        <f>IFERROR(F760&amp;"*"&amp;ROUND(L760*(G760/$AN760)/VLOOKUP(F760,商品!$A$4:$D$67,4,FALSE),0),"")</f>
        <v/>
      </c>
      <c r="AF760" t="str">
        <f>IFERROR(H760&amp;"*"&amp;ROUND(L760*(I760/$AN760)/VLOOKUP(H760,商品!$A$4:$D$67,4,FALSE),0),"")</f>
        <v/>
      </c>
      <c r="AG760" t="str">
        <f>IFERROR(J760&amp;"*"&amp;ROUND(L760*(K760/$AN760)/VLOOKUP(J760,商品!$A$4:$D$67,4,FALSE),0),"")</f>
        <v/>
      </c>
      <c r="AH760" t="str">
        <f>IFERROR(M760&amp;"*"&amp;ROUND(S760*(N760/$AO760)/VLOOKUP(M760,职业!$A$3:$E$16,4,FALSE),0),"")</f>
        <v/>
      </c>
      <c r="AI760" t="str">
        <f>IFERROR(O760&amp;"*"&amp;ROUND(S760*(P760/$AO760)/VLOOKUP(O760,职业!$A$3:$E$16,4,FALSE),0),"")</f>
        <v/>
      </c>
      <c r="AK760" t="str">
        <f>IFERROR(T760&amp;"*"&amp;ROUND(X760*(U760/$AP760)/VLOOKUP(T760,商品!$A$4:$D$67,4,FALSE),0),"")</f>
        <v/>
      </c>
      <c r="AL760" t="str">
        <f>IFERROR(V760&amp;"*"&amp;ROUND(X760*(W760/$AP760)/VLOOKUP(V760,商品!$A$4:$D$67,4,FALSE),0),"")</f>
        <v/>
      </c>
      <c r="AN760">
        <f t="shared" si="93"/>
        <v>0</v>
      </c>
      <c r="AO760">
        <f t="shared" si="94"/>
        <v>0</v>
      </c>
      <c r="AP760">
        <f t="shared" si="95"/>
        <v>0</v>
      </c>
    </row>
    <row r="761" customHeight="1" spans="1:42">
      <c r="A761" s="5" t="s">
        <v>427</v>
      </c>
      <c r="C761" s="5">
        <v>4</v>
      </c>
      <c r="D761" s="1" t="s">
        <v>293</v>
      </c>
      <c r="E761" s="1" t="s">
        <v>227</v>
      </c>
      <c r="L761" s="1">
        <f>IFERROR(VLOOKUP($D761&amp;$C761,生产方式定位!$A$2:$E$38,2,FALSE)+VLOOKUP($E761&amp;$C761,生产方式定位!$F$3:$J$38,2,FALSE),0)</f>
        <v>0</v>
      </c>
      <c r="S761" s="1">
        <f>IFERROR(VLOOKUP($D761&amp;$C761,生产方式定位!$A$2:$E$38,3,FALSE)+VLOOKUP($E761&amp;$C761,生产方式定位!$F$3:$J$38,3,FALSE),0)</f>
        <v>0</v>
      </c>
      <c r="X761" s="1">
        <f>IFERROR(VLOOKUP($D761&amp;$C761,生产方式定位!$A$2:$E$38,5,FALSE)+VLOOKUP($E761&amp;$C761,生产方式定位!$F$3:$J$38,5,FALSE),"错误")</f>
        <v>0</v>
      </c>
      <c r="Y761" s="27" t="str">
        <f t="shared" si="88"/>
        <v/>
      </c>
      <c r="Z761" s="37" t="str">
        <f t="shared" si="89"/>
        <v/>
      </c>
      <c r="AA761" s="37" t="str">
        <f t="shared" si="90"/>
        <v/>
      </c>
      <c r="AB761" s="28" t="str">
        <f t="shared" si="91"/>
        <v/>
      </c>
      <c r="AC761" s="37"/>
      <c r="AD761" s="38">
        <f t="shared" si="92"/>
        <v>4</v>
      </c>
      <c r="AE761" t="str">
        <f>IFERROR(F761&amp;"*"&amp;ROUND(L761*(G761/$AN761)/VLOOKUP(F761,商品!$A$4:$D$67,4,FALSE),0),"")</f>
        <v/>
      </c>
      <c r="AF761" t="str">
        <f>IFERROR(H761&amp;"*"&amp;ROUND(L761*(I761/$AN761)/VLOOKUP(H761,商品!$A$4:$D$67,4,FALSE),0),"")</f>
        <v/>
      </c>
      <c r="AG761" t="str">
        <f>IFERROR(J761&amp;"*"&amp;ROUND(L761*(K761/$AN761)/VLOOKUP(J761,商品!$A$4:$D$67,4,FALSE),0),"")</f>
        <v/>
      </c>
      <c r="AH761" t="str">
        <f>IFERROR(M761&amp;"*"&amp;ROUND(S761*(N761/$AO761)/VLOOKUP(M761,职业!$A$3:$E$16,4,FALSE),0),"")</f>
        <v/>
      </c>
      <c r="AI761" t="str">
        <f>IFERROR(O761&amp;"*"&amp;ROUND(S761*(P761/$AO761)/VLOOKUP(O761,职业!$A$3:$E$16,4,FALSE),0),"")</f>
        <v/>
      </c>
      <c r="AK761" t="str">
        <f>IFERROR(T761&amp;"*"&amp;ROUND(X761*(U761/$AP761)/VLOOKUP(T761,商品!$A$4:$D$67,4,FALSE),0),"")</f>
        <v/>
      </c>
      <c r="AL761" t="str">
        <f>IFERROR(V761&amp;"*"&amp;ROUND(X761*(W761/$AP761)/VLOOKUP(V761,商品!$A$4:$D$67,4,FALSE),0),"")</f>
        <v/>
      </c>
      <c r="AN761">
        <f t="shared" si="93"/>
        <v>0</v>
      </c>
      <c r="AO761">
        <f t="shared" si="94"/>
        <v>0</v>
      </c>
      <c r="AP761">
        <f t="shared" si="95"/>
        <v>0</v>
      </c>
    </row>
    <row r="762" customHeight="1" spans="1:42">
      <c r="A762" s="5" t="s">
        <v>427</v>
      </c>
      <c r="C762" s="5">
        <v>5</v>
      </c>
      <c r="D762" s="1" t="s">
        <v>293</v>
      </c>
      <c r="E762" s="1" t="s">
        <v>227</v>
      </c>
      <c r="L762" s="1">
        <f>IFERROR(VLOOKUP($D762&amp;$C762,生产方式定位!$A$2:$E$38,2,FALSE)+VLOOKUP($E762&amp;$C762,生产方式定位!$F$3:$J$38,2,FALSE),0)</f>
        <v>0</v>
      </c>
      <c r="S762" s="1">
        <f>IFERROR(VLOOKUP($D762&amp;$C762,生产方式定位!$A$2:$E$38,3,FALSE)+VLOOKUP($E762&amp;$C762,生产方式定位!$F$3:$J$38,3,FALSE),0)</f>
        <v>0</v>
      </c>
      <c r="X762" s="1">
        <f>IFERROR(VLOOKUP($D762&amp;$C762,生产方式定位!$A$2:$E$38,5,FALSE)+VLOOKUP($E762&amp;$C762,生产方式定位!$F$3:$J$38,5,FALSE),"错误")</f>
        <v>0</v>
      </c>
      <c r="Y762" s="27" t="str">
        <f t="shared" si="88"/>
        <v/>
      </c>
      <c r="Z762" s="37" t="str">
        <f t="shared" si="89"/>
        <v/>
      </c>
      <c r="AA762" s="37" t="str">
        <f t="shared" si="90"/>
        <v/>
      </c>
      <c r="AB762" s="28" t="str">
        <f t="shared" si="91"/>
        <v/>
      </c>
      <c r="AC762" s="37"/>
      <c r="AD762" s="38">
        <f t="shared" si="92"/>
        <v>5</v>
      </c>
      <c r="AE762" t="str">
        <f>IFERROR(F762&amp;"*"&amp;ROUND(L762*(G762/$AN762)/VLOOKUP(F762,商品!$A$4:$D$67,4,FALSE),0),"")</f>
        <v/>
      </c>
      <c r="AF762" t="str">
        <f>IFERROR(H762&amp;"*"&amp;ROUND(L762*(I762/$AN762)/VLOOKUP(H762,商品!$A$4:$D$67,4,FALSE),0),"")</f>
        <v/>
      </c>
      <c r="AG762" t="str">
        <f>IFERROR(J762&amp;"*"&amp;ROUND(L762*(K762/$AN762)/VLOOKUP(J762,商品!$A$4:$D$67,4,FALSE),0),"")</f>
        <v/>
      </c>
      <c r="AH762" t="str">
        <f>IFERROR(M762&amp;"*"&amp;ROUND(S762*(N762/$AO762)/VLOOKUP(M762,职业!$A$3:$E$16,4,FALSE),0),"")</f>
        <v/>
      </c>
      <c r="AI762" t="str">
        <f>IFERROR(O762&amp;"*"&amp;ROUND(S762*(P762/$AO762)/VLOOKUP(O762,职业!$A$3:$E$16,4,FALSE),0),"")</f>
        <v/>
      </c>
      <c r="AK762" t="str">
        <f>IFERROR(T762&amp;"*"&amp;ROUND(X762*(U762/$AP762)/VLOOKUP(T762,商品!$A$4:$D$67,4,FALSE),0),"")</f>
        <v/>
      </c>
      <c r="AL762" t="str">
        <f>IFERROR(V762&amp;"*"&amp;ROUND(X762*(W762/$AP762)/VLOOKUP(V762,商品!$A$4:$D$67,4,FALSE),0),"")</f>
        <v/>
      </c>
      <c r="AN762">
        <f t="shared" si="93"/>
        <v>0</v>
      </c>
      <c r="AO762">
        <f t="shared" si="94"/>
        <v>0</v>
      </c>
      <c r="AP762">
        <f t="shared" si="95"/>
        <v>0</v>
      </c>
    </row>
    <row r="763" customHeight="1" spans="1:42">
      <c r="A763" s="5" t="s">
        <v>427</v>
      </c>
      <c r="C763" s="5">
        <v>6</v>
      </c>
      <c r="D763" s="1" t="s">
        <v>293</v>
      </c>
      <c r="E763" s="1" t="s">
        <v>227</v>
      </c>
      <c r="L763" s="1">
        <f>IFERROR(VLOOKUP($D763&amp;$C763,生产方式定位!$A$2:$E$38,2,FALSE)+VLOOKUP($E763&amp;$C763,生产方式定位!$F$3:$J$38,2,FALSE),0)</f>
        <v>0</v>
      </c>
      <c r="S763" s="1">
        <f>IFERROR(VLOOKUP($D763&amp;$C763,生产方式定位!$A$2:$E$38,3,FALSE)+VLOOKUP($E763&amp;$C763,生产方式定位!$F$3:$J$38,3,FALSE),0)</f>
        <v>0</v>
      </c>
      <c r="X763" s="1">
        <f>IFERROR(VLOOKUP($D763&amp;$C763,生产方式定位!$A$2:$E$38,5,FALSE)+VLOOKUP($E763&amp;$C763,生产方式定位!$F$3:$J$38,5,FALSE),"错误")</f>
        <v>0</v>
      </c>
      <c r="Y763" s="27" t="str">
        <f t="shared" si="88"/>
        <v/>
      </c>
      <c r="Z763" s="37" t="str">
        <f t="shared" si="89"/>
        <v/>
      </c>
      <c r="AA763" s="37" t="str">
        <f t="shared" si="90"/>
        <v/>
      </c>
      <c r="AB763" s="28" t="str">
        <f t="shared" si="91"/>
        <v/>
      </c>
      <c r="AC763" s="37"/>
      <c r="AD763" s="38">
        <f t="shared" si="92"/>
        <v>6</v>
      </c>
      <c r="AE763" t="str">
        <f>IFERROR(F763&amp;"*"&amp;ROUND(L763*(G763/$AN763)/VLOOKUP(F763,商品!$A$4:$D$67,4,FALSE),0),"")</f>
        <v/>
      </c>
      <c r="AF763" t="str">
        <f>IFERROR(H763&amp;"*"&amp;ROUND(L763*(I763/$AN763)/VLOOKUP(H763,商品!$A$4:$D$67,4,FALSE),0),"")</f>
        <v/>
      </c>
      <c r="AG763" t="str">
        <f>IFERROR(J763&amp;"*"&amp;ROUND(L763*(K763/$AN763)/VLOOKUP(J763,商品!$A$4:$D$67,4,FALSE),0),"")</f>
        <v/>
      </c>
      <c r="AH763" t="str">
        <f>IFERROR(M763&amp;"*"&amp;ROUND(S763*(N763/$AO763)/VLOOKUP(M763,职业!$A$3:$E$16,4,FALSE),0),"")</f>
        <v/>
      </c>
      <c r="AI763" t="str">
        <f>IFERROR(O763&amp;"*"&amp;ROUND(S763*(P763/$AO763)/VLOOKUP(O763,职业!$A$3:$E$16,4,FALSE),0),"")</f>
        <v/>
      </c>
      <c r="AK763" t="str">
        <f>IFERROR(T763&amp;"*"&amp;ROUND(X763*(U763/$AP763)/VLOOKUP(T763,商品!$A$4:$D$67,4,FALSE),0),"")</f>
        <v/>
      </c>
      <c r="AL763" t="str">
        <f>IFERROR(V763&amp;"*"&amp;ROUND(X763*(W763/$AP763)/VLOOKUP(V763,商品!$A$4:$D$67,4,FALSE),0),"")</f>
        <v/>
      </c>
      <c r="AN763">
        <f t="shared" si="93"/>
        <v>0</v>
      </c>
      <c r="AO763">
        <f t="shared" si="94"/>
        <v>0</v>
      </c>
      <c r="AP763">
        <f t="shared" si="95"/>
        <v>0</v>
      </c>
    </row>
    <row r="764" customHeight="1" spans="1:42">
      <c r="A764" s="5" t="s">
        <v>427</v>
      </c>
      <c r="C764" s="5">
        <v>7</v>
      </c>
      <c r="D764" s="1" t="s">
        <v>293</v>
      </c>
      <c r="E764" s="1" t="s">
        <v>227</v>
      </c>
      <c r="L764" s="1">
        <f>IFERROR(VLOOKUP($D764&amp;$C764,生产方式定位!$A$2:$E$38,2,FALSE)+VLOOKUP($E764&amp;$C764,生产方式定位!$F$3:$J$38,2,FALSE),0)</f>
        <v>0</v>
      </c>
      <c r="S764" s="1">
        <f>IFERROR(VLOOKUP($D764&amp;$C764,生产方式定位!$A$2:$E$38,3,FALSE)+VLOOKUP($E764&amp;$C764,生产方式定位!$F$3:$J$38,3,FALSE),0)</f>
        <v>0</v>
      </c>
      <c r="X764" s="1">
        <f>IFERROR(VLOOKUP($D764&amp;$C764,生产方式定位!$A$2:$E$38,5,FALSE)+VLOOKUP($E764&amp;$C764,生产方式定位!$F$3:$J$38,5,FALSE),"错误")</f>
        <v>0</v>
      </c>
      <c r="Y764" s="27" t="str">
        <f t="shared" si="88"/>
        <v/>
      </c>
      <c r="Z764" s="37" t="str">
        <f t="shared" si="89"/>
        <v/>
      </c>
      <c r="AA764" s="37" t="str">
        <f t="shared" si="90"/>
        <v/>
      </c>
      <c r="AB764" s="28" t="str">
        <f t="shared" si="91"/>
        <v/>
      </c>
      <c r="AC764" s="37"/>
      <c r="AD764" s="38">
        <f t="shared" si="92"/>
        <v>7</v>
      </c>
      <c r="AE764" t="str">
        <f>IFERROR(F764&amp;"*"&amp;ROUND(L764*(G764/$AN764)/VLOOKUP(F764,商品!$A$4:$D$67,4,FALSE),0),"")</f>
        <v/>
      </c>
      <c r="AF764" t="str">
        <f>IFERROR(H764&amp;"*"&amp;ROUND(L764*(I764/$AN764)/VLOOKUP(H764,商品!$A$4:$D$67,4,FALSE),0),"")</f>
        <v/>
      </c>
      <c r="AG764" t="str">
        <f>IFERROR(J764&amp;"*"&amp;ROUND(L764*(K764/$AN764)/VLOOKUP(J764,商品!$A$4:$D$67,4,FALSE),0),"")</f>
        <v/>
      </c>
      <c r="AH764" t="str">
        <f>IFERROR(M764&amp;"*"&amp;ROUND(S764*(N764/$AO764)/VLOOKUP(M764,职业!$A$3:$E$16,4,FALSE),0),"")</f>
        <v/>
      </c>
      <c r="AI764" t="str">
        <f>IFERROR(O764&amp;"*"&amp;ROUND(S764*(P764/$AO764)/VLOOKUP(O764,职业!$A$3:$E$16,4,FALSE),0),"")</f>
        <v/>
      </c>
      <c r="AK764" t="str">
        <f>IFERROR(T764&amp;"*"&amp;ROUND(X764*(U764/$AP764)/VLOOKUP(T764,商品!$A$4:$D$67,4,FALSE),0),"")</f>
        <v/>
      </c>
      <c r="AL764" t="str">
        <f>IFERROR(V764&amp;"*"&amp;ROUND(X764*(W764/$AP764)/VLOOKUP(V764,商品!$A$4:$D$67,4,FALSE),0),"")</f>
        <v/>
      </c>
      <c r="AN764">
        <f t="shared" si="93"/>
        <v>0</v>
      </c>
      <c r="AO764">
        <f t="shared" si="94"/>
        <v>0</v>
      </c>
      <c r="AP764">
        <f t="shared" si="95"/>
        <v>0</v>
      </c>
    </row>
    <row r="765" customHeight="1" spans="1:42">
      <c r="A765" s="5" t="s">
        <v>427</v>
      </c>
      <c r="C765" s="5">
        <v>8</v>
      </c>
      <c r="D765" s="1" t="s">
        <v>293</v>
      </c>
      <c r="E765" s="1" t="s">
        <v>227</v>
      </c>
      <c r="L765" s="1">
        <f>IFERROR(VLOOKUP($D765&amp;$C765,生产方式定位!$A$2:$E$38,2,FALSE)+VLOOKUP($E765&amp;$C765,生产方式定位!$F$3:$J$38,2,FALSE),0)</f>
        <v>0</v>
      </c>
      <c r="S765" s="1">
        <f>IFERROR(VLOOKUP($D765&amp;$C765,生产方式定位!$A$2:$E$38,3,FALSE)+VLOOKUP($E765&amp;$C765,生产方式定位!$F$3:$J$38,3,FALSE),0)</f>
        <v>0</v>
      </c>
      <c r="X765" s="1">
        <f>IFERROR(VLOOKUP($D765&amp;$C765,生产方式定位!$A$2:$E$38,5,FALSE)+VLOOKUP($E765&amp;$C765,生产方式定位!$F$3:$J$38,5,FALSE),"错误")</f>
        <v>0</v>
      </c>
      <c r="Y765" s="27" t="str">
        <f t="shared" si="88"/>
        <v/>
      </c>
      <c r="Z765" s="37" t="str">
        <f t="shared" si="89"/>
        <v/>
      </c>
      <c r="AA765" s="37" t="str">
        <f t="shared" si="90"/>
        <v/>
      </c>
      <c r="AB765" s="28" t="str">
        <f t="shared" si="91"/>
        <v/>
      </c>
      <c r="AC765" s="37"/>
      <c r="AD765" s="38">
        <f t="shared" si="92"/>
        <v>8</v>
      </c>
      <c r="AE765" t="str">
        <f>IFERROR(F765&amp;"*"&amp;ROUND(L765*(G765/$AN765)/VLOOKUP(F765,商品!$A$4:$D$67,4,FALSE),0),"")</f>
        <v/>
      </c>
      <c r="AF765" t="str">
        <f>IFERROR(H765&amp;"*"&amp;ROUND(L765*(I765/$AN765)/VLOOKUP(H765,商品!$A$4:$D$67,4,FALSE),0),"")</f>
        <v/>
      </c>
      <c r="AG765" t="str">
        <f>IFERROR(J765&amp;"*"&amp;ROUND(L765*(K765/$AN765)/VLOOKUP(J765,商品!$A$4:$D$67,4,FALSE),0),"")</f>
        <v/>
      </c>
      <c r="AH765" t="str">
        <f>IFERROR(M765&amp;"*"&amp;ROUND(S765*(N765/$AO765)/VLOOKUP(M765,职业!$A$3:$E$16,4,FALSE),0),"")</f>
        <v/>
      </c>
      <c r="AI765" t="str">
        <f>IFERROR(O765&amp;"*"&amp;ROUND(S765*(P765/$AO765)/VLOOKUP(O765,职业!$A$3:$E$16,4,FALSE),0),"")</f>
        <v/>
      </c>
      <c r="AK765" t="str">
        <f>IFERROR(T765&amp;"*"&amp;ROUND(X765*(U765/$AP765)/VLOOKUP(T765,商品!$A$4:$D$67,4,FALSE),0),"")</f>
        <v/>
      </c>
      <c r="AL765" t="str">
        <f>IFERROR(V765&amp;"*"&amp;ROUND(X765*(W765/$AP765)/VLOOKUP(V765,商品!$A$4:$D$67,4,FALSE),0),"")</f>
        <v/>
      </c>
      <c r="AN765">
        <f t="shared" si="93"/>
        <v>0</v>
      </c>
      <c r="AO765">
        <f t="shared" si="94"/>
        <v>0</v>
      </c>
      <c r="AP765">
        <f t="shared" si="95"/>
        <v>0</v>
      </c>
    </row>
    <row r="766" customHeight="1" spans="1:42">
      <c r="A766" s="18" t="s">
        <v>429</v>
      </c>
      <c r="C766" s="18">
        <v>1</v>
      </c>
      <c r="D766" s="1" t="s">
        <v>262</v>
      </c>
      <c r="E766" s="1" t="s">
        <v>224</v>
      </c>
      <c r="L766" s="1">
        <f>IFERROR(VLOOKUP($D766&amp;$C766,生产方式定位!$A$2:$E$38,2,FALSE)+VLOOKUP($E766&amp;$C766,生产方式定位!$F$3:$J$38,2,FALSE),0)</f>
        <v>0</v>
      </c>
      <c r="S766" s="1">
        <f>IFERROR(VLOOKUP($D766&amp;$C766,生产方式定位!$A$2:$E$38,3,FALSE)+VLOOKUP($E766&amp;$C766,生产方式定位!$F$3:$J$38,3,FALSE),0)</f>
        <v>3000</v>
      </c>
      <c r="X766" s="1">
        <f>IFERROR(VLOOKUP($D766&amp;$C766,生产方式定位!$A$2:$E$38,5,FALSE)+VLOOKUP($E766&amp;$C766,生产方式定位!$F$3:$J$38,5,FALSE),"错误")</f>
        <v>1500</v>
      </c>
      <c r="Y766" s="27" t="str">
        <f t="shared" si="88"/>
        <v/>
      </c>
      <c r="Z766" s="37" t="str">
        <f t="shared" si="89"/>
        <v/>
      </c>
      <c r="AA766" s="37" t="str">
        <f t="shared" si="90"/>
        <v/>
      </c>
      <c r="AB766" s="28">
        <f t="shared" si="91"/>
        <v>0</v>
      </c>
      <c r="AC766" s="37"/>
      <c r="AD766" s="38">
        <f t="shared" si="92"/>
        <v>1</v>
      </c>
      <c r="AE766" t="str">
        <f>IFERROR(F766&amp;"*"&amp;ROUND(L766*(G766/$AN766)/VLOOKUP(F766,商品!$A$4:$D$67,4,FALSE),0),"")</f>
        <v/>
      </c>
      <c r="AF766" t="str">
        <f>IFERROR(H766&amp;"*"&amp;ROUND(L766*(I766/$AN766)/VLOOKUP(H766,商品!$A$4:$D$67,4,FALSE),0),"")</f>
        <v/>
      </c>
      <c r="AG766" t="str">
        <f>IFERROR(J766&amp;"*"&amp;ROUND(L766*(K766/$AN766)/VLOOKUP(J766,商品!$A$4:$D$67,4,FALSE),0),"")</f>
        <v/>
      </c>
      <c r="AH766" t="str">
        <f>IFERROR(M766&amp;"*"&amp;ROUND(S766*(N766/$AO766)/VLOOKUP(M766,职业!$A$3:$E$16,4,FALSE),0),"")</f>
        <v/>
      </c>
      <c r="AI766" t="str">
        <f>IFERROR(O766&amp;"*"&amp;ROUND(S766*(P766/$AO766)/VLOOKUP(O766,职业!$A$3:$E$16,4,FALSE),0),"")</f>
        <v/>
      </c>
      <c r="AK766" t="str">
        <f>IFERROR(T766&amp;"*"&amp;ROUND(X766*(U766/$AP766)/VLOOKUP(T766,商品!$A$4:$D$67,4,FALSE),0),"")</f>
        <v/>
      </c>
      <c r="AL766" t="str">
        <f>IFERROR(V766&amp;"*"&amp;ROUND(X766*(W766/$AP766)/VLOOKUP(V766,商品!$A$4:$D$67,4,FALSE),0),"")</f>
        <v/>
      </c>
      <c r="AN766">
        <f t="shared" si="93"/>
        <v>0</v>
      </c>
      <c r="AO766">
        <f t="shared" si="94"/>
        <v>0</v>
      </c>
      <c r="AP766">
        <f t="shared" si="95"/>
        <v>0</v>
      </c>
    </row>
    <row r="767" customHeight="1" spans="1:42">
      <c r="A767" s="18" t="s">
        <v>429</v>
      </c>
      <c r="C767" s="18">
        <v>2</v>
      </c>
      <c r="D767" s="1" t="s">
        <v>262</v>
      </c>
      <c r="E767" s="1" t="s">
        <v>224</v>
      </c>
      <c r="L767" s="1">
        <f>IFERROR(VLOOKUP($D767&amp;$C767,生产方式定位!$A$2:$E$38,2,FALSE)+VLOOKUP($E767&amp;$C767,生产方式定位!$F$3:$J$38,2,FALSE),0)</f>
        <v>1500</v>
      </c>
      <c r="S767" s="1">
        <f>IFERROR(VLOOKUP($D767&amp;$C767,生产方式定位!$A$2:$E$38,3,FALSE)+VLOOKUP($E767&amp;$C767,生产方式定位!$F$3:$J$38,3,FALSE),0)</f>
        <v>3000</v>
      </c>
      <c r="X767" s="1">
        <f>IFERROR(VLOOKUP($D767&amp;$C767,生产方式定位!$A$2:$E$38,5,FALSE)+VLOOKUP($E767&amp;$C767,生产方式定位!$F$3:$J$38,5,FALSE),"错误")</f>
        <v>2322</v>
      </c>
      <c r="Y767" s="27" t="str">
        <f t="shared" si="88"/>
        <v/>
      </c>
      <c r="Z767" s="37" t="str">
        <f t="shared" si="89"/>
        <v/>
      </c>
      <c r="AA767" s="37" t="str">
        <f t="shared" si="90"/>
        <v/>
      </c>
      <c r="AB767" s="28">
        <f t="shared" si="91"/>
        <v>0.65</v>
      </c>
      <c r="AC767" s="37"/>
      <c r="AD767" s="38">
        <f t="shared" si="92"/>
        <v>2</v>
      </c>
      <c r="AE767" t="str">
        <f>IFERROR(F767&amp;"*"&amp;ROUND(L767*(G767/$AN767)/VLOOKUP(F767,商品!$A$4:$D$67,4,FALSE),0),"")</f>
        <v/>
      </c>
      <c r="AF767" t="str">
        <f>IFERROR(H767&amp;"*"&amp;ROUND(L767*(I767/$AN767)/VLOOKUP(H767,商品!$A$4:$D$67,4,FALSE),0),"")</f>
        <v/>
      </c>
      <c r="AG767" t="str">
        <f>IFERROR(J767&amp;"*"&amp;ROUND(L767*(K767/$AN767)/VLOOKUP(J767,商品!$A$4:$D$67,4,FALSE),0),"")</f>
        <v/>
      </c>
      <c r="AH767" t="str">
        <f>IFERROR(M767&amp;"*"&amp;ROUND(S767*(N767/$AO767)/VLOOKUP(M767,职业!$A$3:$E$16,4,FALSE),0),"")</f>
        <v/>
      </c>
      <c r="AI767" t="str">
        <f>IFERROR(O767&amp;"*"&amp;ROUND(S767*(P767/$AO767)/VLOOKUP(O767,职业!$A$3:$E$16,4,FALSE),0),"")</f>
        <v/>
      </c>
      <c r="AK767" t="str">
        <f>IFERROR(T767&amp;"*"&amp;ROUND(X767*(U767/$AP767)/VLOOKUP(T767,商品!$A$4:$D$67,4,FALSE),0),"")</f>
        <v/>
      </c>
      <c r="AL767" t="str">
        <f>IFERROR(V767&amp;"*"&amp;ROUND(X767*(W767/$AP767)/VLOOKUP(V767,商品!$A$4:$D$67,4,FALSE),0),"")</f>
        <v/>
      </c>
      <c r="AN767">
        <f t="shared" si="93"/>
        <v>0</v>
      </c>
      <c r="AO767">
        <f t="shared" si="94"/>
        <v>0</v>
      </c>
      <c r="AP767">
        <f t="shared" si="95"/>
        <v>0</v>
      </c>
    </row>
    <row r="768" customHeight="1" spans="1:42">
      <c r="A768" s="18" t="s">
        <v>429</v>
      </c>
      <c r="C768" s="18">
        <v>3</v>
      </c>
      <c r="D768" s="1" t="s">
        <v>262</v>
      </c>
      <c r="E768" s="1" t="s">
        <v>224</v>
      </c>
      <c r="L768" s="1">
        <f>IFERROR(VLOOKUP($D768&amp;$C768,生产方式定位!$A$2:$E$38,2,FALSE)+VLOOKUP($E768&amp;$C768,生产方式定位!$F$3:$J$38,2,FALSE),0)</f>
        <v>3000</v>
      </c>
      <c r="S768" s="1">
        <f>IFERROR(VLOOKUP($D768&amp;$C768,生产方式定位!$A$2:$E$38,3,FALSE)+VLOOKUP($E768&amp;$C768,生产方式定位!$F$3:$J$38,3,FALSE),0)</f>
        <v>3000</v>
      </c>
      <c r="X768" s="1">
        <f>IFERROR(VLOOKUP($D768&amp;$C768,生产方式定位!$A$2:$E$38,5,FALSE)+VLOOKUP($E768&amp;$C768,生产方式定位!$F$3:$J$38,5,FALSE),"错误")</f>
        <v>3288</v>
      </c>
      <c r="Y768" s="27" t="str">
        <f t="shared" si="88"/>
        <v/>
      </c>
      <c r="Z768" s="37" t="str">
        <f t="shared" si="89"/>
        <v/>
      </c>
      <c r="AA768" s="37" t="str">
        <f t="shared" si="90"/>
        <v/>
      </c>
      <c r="AB768" s="28">
        <f t="shared" si="91"/>
        <v>0.91</v>
      </c>
      <c r="AC768" s="37"/>
      <c r="AD768" s="38">
        <f t="shared" si="92"/>
        <v>3</v>
      </c>
      <c r="AE768" t="str">
        <f>IFERROR(F768&amp;"*"&amp;ROUND(L768*(G768/$AN768)/VLOOKUP(F768,商品!$A$4:$D$67,4,FALSE),0),"")</f>
        <v/>
      </c>
      <c r="AF768" t="str">
        <f>IFERROR(H768&amp;"*"&amp;ROUND(L768*(I768/$AN768)/VLOOKUP(H768,商品!$A$4:$D$67,4,FALSE),0),"")</f>
        <v/>
      </c>
      <c r="AG768" t="str">
        <f>IFERROR(J768&amp;"*"&amp;ROUND(L768*(K768/$AN768)/VLOOKUP(J768,商品!$A$4:$D$67,4,FALSE),0),"")</f>
        <v/>
      </c>
      <c r="AH768" t="str">
        <f>IFERROR(M768&amp;"*"&amp;ROUND(S768*(N768/$AO768)/VLOOKUP(M768,职业!$A$3:$E$16,4,FALSE),0),"")</f>
        <v/>
      </c>
      <c r="AI768" t="str">
        <f>IFERROR(O768&amp;"*"&amp;ROUND(S768*(P768/$AO768)/VLOOKUP(O768,职业!$A$3:$E$16,4,FALSE),0),"")</f>
        <v/>
      </c>
      <c r="AK768" t="str">
        <f>IFERROR(T768&amp;"*"&amp;ROUND(X768*(U768/$AP768)/VLOOKUP(T768,商品!$A$4:$D$67,4,FALSE),0),"")</f>
        <v/>
      </c>
      <c r="AL768" t="str">
        <f>IFERROR(V768&amp;"*"&amp;ROUND(X768*(W768/$AP768)/VLOOKUP(V768,商品!$A$4:$D$67,4,FALSE),0),"")</f>
        <v/>
      </c>
      <c r="AN768">
        <f t="shared" si="93"/>
        <v>0</v>
      </c>
      <c r="AO768">
        <f t="shared" si="94"/>
        <v>0</v>
      </c>
      <c r="AP768">
        <f t="shared" si="95"/>
        <v>0</v>
      </c>
    </row>
    <row r="769" customHeight="1" spans="1:42">
      <c r="A769" s="18" t="s">
        <v>429</v>
      </c>
      <c r="C769" s="18">
        <v>4</v>
      </c>
      <c r="D769" s="1" t="s">
        <v>262</v>
      </c>
      <c r="E769" s="1" t="s">
        <v>224</v>
      </c>
      <c r="L769" s="1">
        <f>IFERROR(VLOOKUP($D769&amp;$C769,生产方式定位!$A$2:$E$38,2,FALSE)+VLOOKUP($E769&amp;$C769,生产方式定位!$F$3:$J$38,2,FALSE),0)</f>
        <v>4500</v>
      </c>
      <c r="S769" s="1">
        <f>IFERROR(VLOOKUP($D769&amp;$C769,生产方式定位!$A$2:$E$38,3,FALSE)+VLOOKUP($E769&amp;$C769,生产方式定位!$F$3:$J$38,3,FALSE),0)</f>
        <v>3000</v>
      </c>
      <c r="X769" s="1">
        <f>IFERROR(VLOOKUP($D769&amp;$C769,生产方式定位!$A$2:$E$38,5,FALSE)+VLOOKUP($E769&amp;$C769,生产方式定位!$F$3:$J$38,5,FALSE),"错误")</f>
        <v>4398</v>
      </c>
      <c r="Y769" s="27" t="str">
        <f t="shared" si="88"/>
        <v/>
      </c>
      <c r="Z769" s="37" t="str">
        <f t="shared" si="89"/>
        <v/>
      </c>
      <c r="AA769" s="37" t="str">
        <f t="shared" si="90"/>
        <v/>
      </c>
      <c r="AB769" s="28">
        <f t="shared" si="91"/>
        <v>1.02</v>
      </c>
      <c r="AC769" s="37"/>
      <c r="AD769" s="38">
        <f t="shared" si="92"/>
        <v>4</v>
      </c>
      <c r="AE769" t="str">
        <f>IFERROR(F769&amp;"*"&amp;ROUND(L769*(G769/$AN769)/VLOOKUP(F769,商品!$A$4:$D$67,4,FALSE),0),"")</f>
        <v/>
      </c>
      <c r="AF769" t="str">
        <f>IFERROR(H769&amp;"*"&amp;ROUND(L769*(I769/$AN769)/VLOOKUP(H769,商品!$A$4:$D$67,4,FALSE),0),"")</f>
        <v/>
      </c>
      <c r="AG769" t="str">
        <f>IFERROR(J769&amp;"*"&amp;ROUND(L769*(K769/$AN769)/VLOOKUP(J769,商品!$A$4:$D$67,4,FALSE),0),"")</f>
        <v/>
      </c>
      <c r="AH769" t="str">
        <f>IFERROR(M769&amp;"*"&amp;ROUND(S769*(N769/$AO769)/VLOOKUP(M769,职业!$A$3:$E$16,4,FALSE),0),"")</f>
        <v/>
      </c>
      <c r="AI769" t="str">
        <f>IFERROR(O769&amp;"*"&amp;ROUND(S769*(P769/$AO769)/VLOOKUP(O769,职业!$A$3:$E$16,4,FALSE),0),"")</f>
        <v/>
      </c>
      <c r="AK769" t="str">
        <f>IFERROR(T769&amp;"*"&amp;ROUND(X769*(U769/$AP769)/VLOOKUP(T769,商品!$A$4:$D$67,4,FALSE),0),"")</f>
        <v/>
      </c>
      <c r="AL769" t="str">
        <f>IFERROR(V769&amp;"*"&amp;ROUND(X769*(W769/$AP769)/VLOOKUP(V769,商品!$A$4:$D$67,4,FALSE),0),"")</f>
        <v/>
      </c>
      <c r="AN769">
        <f t="shared" si="93"/>
        <v>0</v>
      </c>
      <c r="AO769">
        <f t="shared" si="94"/>
        <v>0</v>
      </c>
      <c r="AP769">
        <f t="shared" si="95"/>
        <v>0</v>
      </c>
    </row>
    <row r="770" customHeight="1" spans="1:42">
      <c r="A770" s="18" t="s">
        <v>429</v>
      </c>
      <c r="C770" s="18">
        <v>5</v>
      </c>
      <c r="D770" s="1" t="s">
        <v>262</v>
      </c>
      <c r="E770" s="1" t="s">
        <v>224</v>
      </c>
      <c r="L770" s="1">
        <f>IFERROR(VLOOKUP($D770&amp;$C770,生产方式定位!$A$2:$E$38,2,FALSE)+VLOOKUP($E770&amp;$C770,生产方式定位!$F$3:$J$38,2,FALSE),0)</f>
        <v>6000</v>
      </c>
      <c r="S770" s="1">
        <f>IFERROR(VLOOKUP($D770&amp;$C770,生产方式定位!$A$2:$E$38,3,FALSE)+VLOOKUP($E770&amp;$C770,生产方式定位!$F$3:$J$38,3,FALSE),0)</f>
        <v>3000</v>
      </c>
      <c r="X770" s="1">
        <f>IFERROR(VLOOKUP($D770&amp;$C770,生产方式定位!$A$2:$E$38,5,FALSE)+VLOOKUP($E770&amp;$C770,生产方式定位!$F$3:$J$38,5,FALSE),"错误")</f>
        <v>5700</v>
      </c>
      <c r="Y770" s="27" t="str">
        <f t="shared" si="88"/>
        <v/>
      </c>
      <c r="Z770" s="37" t="str">
        <f t="shared" si="89"/>
        <v/>
      </c>
      <c r="AA770" s="37" t="str">
        <f t="shared" si="90"/>
        <v/>
      </c>
      <c r="AB770" s="28">
        <f t="shared" si="91"/>
        <v>1.05</v>
      </c>
      <c r="AC770" s="37"/>
      <c r="AD770" s="38">
        <f t="shared" si="92"/>
        <v>5</v>
      </c>
      <c r="AE770" t="str">
        <f>IFERROR(F770&amp;"*"&amp;ROUND(L770*(G770/$AN770)/VLOOKUP(F770,商品!$A$4:$D$67,4,FALSE),0),"")</f>
        <v/>
      </c>
      <c r="AF770" t="str">
        <f>IFERROR(H770&amp;"*"&amp;ROUND(L770*(I770/$AN770)/VLOOKUP(H770,商品!$A$4:$D$67,4,FALSE),0),"")</f>
        <v/>
      </c>
      <c r="AG770" t="str">
        <f>IFERROR(J770&amp;"*"&amp;ROUND(L770*(K770/$AN770)/VLOOKUP(J770,商品!$A$4:$D$67,4,FALSE),0),"")</f>
        <v/>
      </c>
      <c r="AH770" t="str">
        <f>IFERROR(M770&amp;"*"&amp;ROUND(S770*(N770/$AO770)/VLOOKUP(M770,职业!$A$3:$E$16,4,FALSE),0),"")</f>
        <v/>
      </c>
      <c r="AI770" t="str">
        <f>IFERROR(O770&amp;"*"&amp;ROUND(S770*(P770/$AO770)/VLOOKUP(O770,职业!$A$3:$E$16,4,FALSE),0),"")</f>
        <v/>
      </c>
      <c r="AK770" t="str">
        <f>IFERROR(T770&amp;"*"&amp;ROUND(X770*(U770/$AP770)/VLOOKUP(T770,商品!$A$4:$D$67,4,FALSE),0),"")</f>
        <v/>
      </c>
      <c r="AL770" t="str">
        <f>IFERROR(V770&amp;"*"&amp;ROUND(X770*(W770/$AP770)/VLOOKUP(V770,商品!$A$4:$D$67,4,FALSE),0),"")</f>
        <v/>
      </c>
      <c r="AN770">
        <f t="shared" si="93"/>
        <v>0</v>
      </c>
      <c r="AO770">
        <f t="shared" si="94"/>
        <v>0</v>
      </c>
      <c r="AP770">
        <f t="shared" si="95"/>
        <v>0</v>
      </c>
    </row>
    <row r="771" customHeight="1" spans="1:42">
      <c r="A771" s="5" t="s">
        <v>430</v>
      </c>
      <c r="C771" s="5">
        <v>1</v>
      </c>
      <c r="D771" s="1" t="s">
        <v>262</v>
      </c>
      <c r="E771" s="1" t="s">
        <v>225</v>
      </c>
      <c r="L771" s="1">
        <f>IFERROR(VLOOKUP($D771&amp;$C771,生产方式定位!$A$2:$E$38,2,FALSE)+VLOOKUP($E771&amp;$C771,生产方式定位!$F$3:$J$38,2,FALSE),0)</f>
        <v>0</v>
      </c>
      <c r="S771" s="1">
        <f>IFERROR(VLOOKUP($D771&amp;$C771,生产方式定位!$A$2:$E$38,3,FALSE)+VLOOKUP($E771&amp;$C771,生产方式定位!$F$3:$J$38,3,FALSE),0)</f>
        <v>3000</v>
      </c>
      <c r="X771" s="1">
        <f>IFERROR(VLOOKUP($D771&amp;$C771,生产方式定位!$A$2:$E$38,5,FALSE)+VLOOKUP($E771&amp;$C771,生产方式定位!$F$3:$J$38,5,FALSE),"错误")</f>
        <v>1500</v>
      </c>
      <c r="Y771" s="27" t="str">
        <f t="shared" si="88"/>
        <v/>
      </c>
      <c r="Z771" s="37" t="str">
        <f t="shared" si="89"/>
        <v/>
      </c>
      <c r="AA771" s="37" t="str">
        <f t="shared" si="90"/>
        <v/>
      </c>
      <c r="AB771" s="28">
        <f t="shared" si="91"/>
        <v>0</v>
      </c>
      <c r="AC771" s="37"/>
      <c r="AD771" s="38">
        <f t="shared" si="92"/>
        <v>1</v>
      </c>
      <c r="AE771" t="str">
        <f>IFERROR(F771&amp;"*"&amp;ROUND(L771*(G771/$AN771)/VLOOKUP(F771,商品!$A$4:$D$67,4,FALSE),0),"")</f>
        <v/>
      </c>
      <c r="AF771" t="str">
        <f>IFERROR(H771&amp;"*"&amp;ROUND(L771*(I771/$AN771)/VLOOKUP(H771,商品!$A$4:$D$67,4,FALSE),0),"")</f>
        <v/>
      </c>
      <c r="AG771" t="str">
        <f>IFERROR(J771&amp;"*"&amp;ROUND(L771*(K771/$AN771)/VLOOKUP(J771,商品!$A$4:$D$67,4,FALSE),0),"")</f>
        <v/>
      </c>
      <c r="AH771" t="str">
        <f>IFERROR(M771&amp;"*"&amp;ROUND(S771*(N771/$AO771)/VLOOKUP(M771,职业!$A$3:$E$16,4,FALSE),0),"")</f>
        <v/>
      </c>
      <c r="AI771" t="str">
        <f>IFERROR(O771&amp;"*"&amp;ROUND(S771*(P771/$AO771)/VLOOKUP(O771,职业!$A$3:$E$16,4,FALSE),0),"")</f>
        <v/>
      </c>
      <c r="AK771" t="str">
        <f>IFERROR(T771&amp;"*"&amp;ROUND(X771*(U771/$AP771)/VLOOKUP(T771,商品!$A$4:$D$67,4,FALSE),0),"")</f>
        <v/>
      </c>
      <c r="AL771" t="str">
        <f>IFERROR(V771&amp;"*"&amp;ROUND(X771*(W771/$AP771)/VLOOKUP(V771,商品!$A$4:$D$67,4,FALSE),0),"")</f>
        <v/>
      </c>
      <c r="AN771">
        <f t="shared" si="93"/>
        <v>0</v>
      </c>
      <c r="AO771">
        <f t="shared" si="94"/>
        <v>0</v>
      </c>
      <c r="AP771">
        <f t="shared" si="95"/>
        <v>0</v>
      </c>
    </row>
    <row r="772" customHeight="1" spans="1:42">
      <c r="A772" s="5" t="s">
        <v>430</v>
      </c>
      <c r="C772" s="5">
        <v>2</v>
      </c>
      <c r="D772" s="1" t="s">
        <v>262</v>
      </c>
      <c r="E772" s="1" t="s">
        <v>225</v>
      </c>
      <c r="L772" s="1">
        <f>IFERROR(VLOOKUP($D772&amp;$C772,生产方式定位!$A$2:$E$38,2,FALSE)+VLOOKUP($E772&amp;$C772,生产方式定位!$F$3:$J$38,2,FALSE),0)</f>
        <v>1500</v>
      </c>
      <c r="S772" s="1">
        <f>IFERROR(VLOOKUP($D772&amp;$C772,生产方式定位!$A$2:$E$38,3,FALSE)+VLOOKUP($E772&amp;$C772,生产方式定位!$F$3:$J$38,3,FALSE),0)</f>
        <v>4800</v>
      </c>
      <c r="X772" s="1">
        <f>IFERROR(VLOOKUP($D772&amp;$C772,生产方式定位!$A$2:$E$38,5,FALSE)+VLOOKUP($E772&amp;$C772,生产方式定位!$F$3:$J$38,5,FALSE),"错误")</f>
        <v>3195</v>
      </c>
      <c r="Y772" s="27" t="str">
        <f t="shared" si="88"/>
        <v/>
      </c>
      <c r="Z772" s="37" t="str">
        <f t="shared" si="89"/>
        <v/>
      </c>
      <c r="AA772" s="37" t="str">
        <f t="shared" si="90"/>
        <v/>
      </c>
      <c r="AB772" s="28">
        <f t="shared" si="91"/>
        <v>0.47</v>
      </c>
      <c r="AC772" s="37"/>
      <c r="AD772" s="38">
        <f t="shared" si="92"/>
        <v>2</v>
      </c>
      <c r="AE772" t="str">
        <f>IFERROR(F772&amp;"*"&amp;ROUND(L772*(G772/$AN772)/VLOOKUP(F772,商品!$A$4:$D$67,4,FALSE),0),"")</f>
        <v/>
      </c>
      <c r="AF772" t="str">
        <f>IFERROR(H772&amp;"*"&amp;ROUND(L772*(I772/$AN772)/VLOOKUP(H772,商品!$A$4:$D$67,4,FALSE),0),"")</f>
        <v/>
      </c>
      <c r="AG772" t="str">
        <f>IFERROR(J772&amp;"*"&amp;ROUND(L772*(K772/$AN772)/VLOOKUP(J772,商品!$A$4:$D$67,4,FALSE),0),"")</f>
        <v/>
      </c>
      <c r="AH772" t="str">
        <f>IFERROR(M772&amp;"*"&amp;ROUND(S772*(N772/$AO772)/VLOOKUP(M772,职业!$A$3:$E$16,4,FALSE),0),"")</f>
        <v/>
      </c>
      <c r="AI772" t="str">
        <f>IFERROR(O772&amp;"*"&amp;ROUND(S772*(P772/$AO772)/VLOOKUP(O772,职业!$A$3:$E$16,4,FALSE),0),"")</f>
        <v/>
      </c>
      <c r="AK772" t="str">
        <f>IFERROR(T772&amp;"*"&amp;ROUND(X772*(U772/$AP772)/VLOOKUP(T772,商品!$A$4:$D$67,4,FALSE),0),"")</f>
        <v/>
      </c>
      <c r="AL772" t="str">
        <f>IFERROR(V772&amp;"*"&amp;ROUND(X772*(W772/$AP772)/VLOOKUP(V772,商品!$A$4:$D$67,4,FALSE),0),"")</f>
        <v/>
      </c>
      <c r="AN772">
        <f t="shared" si="93"/>
        <v>0</v>
      </c>
      <c r="AO772">
        <f t="shared" si="94"/>
        <v>0</v>
      </c>
      <c r="AP772">
        <f t="shared" si="95"/>
        <v>0</v>
      </c>
    </row>
    <row r="773" customHeight="1" spans="1:42">
      <c r="A773" s="5" t="s">
        <v>430</v>
      </c>
      <c r="C773" s="5">
        <v>3</v>
      </c>
      <c r="D773" s="1" t="s">
        <v>262</v>
      </c>
      <c r="E773" s="1" t="s">
        <v>225</v>
      </c>
      <c r="L773" s="1">
        <f>IFERROR(VLOOKUP($D773&amp;$C773,生产方式定位!$A$2:$E$38,2,FALSE)+VLOOKUP($E773&amp;$C773,生产方式定位!$F$3:$J$38,2,FALSE),0)</f>
        <v>3000</v>
      </c>
      <c r="S773" s="1">
        <f>IFERROR(VLOOKUP($D773&amp;$C773,生产方式定位!$A$2:$E$38,3,FALSE)+VLOOKUP($E773&amp;$C773,生产方式定位!$F$3:$J$38,3,FALSE),0)</f>
        <v>5600</v>
      </c>
      <c r="X773" s="1">
        <f>IFERROR(VLOOKUP($D773&amp;$C773,生产方式定位!$A$2:$E$38,5,FALSE)+VLOOKUP($E773&amp;$C773,生产方式定位!$F$3:$J$38,5,FALSE),"错误")</f>
        <v>4450</v>
      </c>
      <c r="Y773" s="27" t="str">
        <f t="shared" ref="Y773:Y836" si="96">IF(AE773="","",AE773)&amp;IF(AF773="","",","&amp;AF773)&amp;IF(AG773="","",","&amp;AG773)</f>
        <v/>
      </c>
      <c r="Z773" s="37" t="str">
        <f t="shared" ref="Z773:Z836" si="97">IF(AH773="","",AH773)&amp;IF(AI773="","",","&amp;AI773)</f>
        <v/>
      </c>
      <c r="AA773" s="37" t="str">
        <f t="shared" ref="AA773:AA836" si="98">IF(AK773="","",AK773)&amp;IF(AL773="","",","&amp;AL773)</f>
        <v/>
      </c>
      <c r="AB773" s="28">
        <f t="shared" ref="AB773:AB836" si="99">IFERROR(ROUND(L773/X773,2),"")</f>
        <v>0.67</v>
      </c>
      <c r="AC773" s="37"/>
      <c r="AD773" s="38">
        <f t="shared" ref="AD773:AD836" si="100">C773</f>
        <v>3</v>
      </c>
      <c r="AE773" t="str">
        <f>IFERROR(F773&amp;"*"&amp;ROUND(L773*(G773/$AN773)/VLOOKUP(F773,商品!$A$4:$D$67,4,FALSE),0),"")</f>
        <v/>
      </c>
      <c r="AF773" t="str">
        <f>IFERROR(H773&amp;"*"&amp;ROUND(L773*(I773/$AN773)/VLOOKUP(H773,商品!$A$4:$D$67,4,FALSE),0),"")</f>
        <v/>
      </c>
      <c r="AG773" t="str">
        <f>IFERROR(J773&amp;"*"&amp;ROUND(L773*(K773/$AN773)/VLOOKUP(J773,商品!$A$4:$D$67,4,FALSE),0),"")</f>
        <v/>
      </c>
      <c r="AH773" t="str">
        <f>IFERROR(M773&amp;"*"&amp;ROUND(S773*(N773/$AO773)/VLOOKUP(M773,职业!$A$3:$E$16,4,FALSE),0),"")</f>
        <v/>
      </c>
      <c r="AI773" t="str">
        <f>IFERROR(O773&amp;"*"&amp;ROUND(S773*(P773/$AO773)/VLOOKUP(O773,职业!$A$3:$E$16,4,FALSE),0),"")</f>
        <v/>
      </c>
      <c r="AK773" t="str">
        <f>IFERROR(T773&amp;"*"&amp;ROUND(X773*(U773/$AP773)/VLOOKUP(T773,商品!$A$4:$D$67,4,FALSE),0),"")</f>
        <v/>
      </c>
      <c r="AL773" t="str">
        <f>IFERROR(V773&amp;"*"&amp;ROUND(X773*(W773/$AP773)/VLOOKUP(V773,商品!$A$4:$D$67,4,FALSE),0),"")</f>
        <v/>
      </c>
      <c r="AN773">
        <f t="shared" si="93"/>
        <v>0</v>
      </c>
      <c r="AO773">
        <f t="shared" si="94"/>
        <v>0</v>
      </c>
      <c r="AP773">
        <f t="shared" si="95"/>
        <v>0</v>
      </c>
    </row>
    <row r="774" customHeight="1" spans="1:42">
      <c r="A774" s="5" t="s">
        <v>430</v>
      </c>
      <c r="C774" s="5">
        <v>4</v>
      </c>
      <c r="D774" s="1" t="s">
        <v>262</v>
      </c>
      <c r="E774" s="1" t="s">
        <v>225</v>
      </c>
      <c r="L774" s="1">
        <f>IFERROR(VLOOKUP($D774&amp;$C774,生产方式定位!$A$2:$E$38,2,FALSE)+VLOOKUP($E774&amp;$C774,生产方式定位!$F$3:$J$38,2,FALSE),0)</f>
        <v>4500</v>
      </c>
      <c r="S774" s="1">
        <f>IFERROR(VLOOKUP($D774&amp;$C774,生产方式定位!$A$2:$E$38,3,FALSE)+VLOOKUP($E774&amp;$C774,生产方式定位!$F$3:$J$38,3,FALSE),0)</f>
        <v>6400</v>
      </c>
      <c r="X774" s="1">
        <f>IFERROR(VLOOKUP($D774&amp;$C774,生产方式定位!$A$2:$E$38,5,FALSE)+VLOOKUP($E774&amp;$C774,生产方式定位!$F$3:$J$38,5,FALSE),"错误")</f>
        <v>5765</v>
      </c>
      <c r="Y774" s="27" t="str">
        <f t="shared" si="96"/>
        <v/>
      </c>
      <c r="Z774" s="37" t="str">
        <f t="shared" si="97"/>
        <v/>
      </c>
      <c r="AA774" s="37" t="str">
        <f t="shared" si="98"/>
        <v/>
      </c>
      <c r="AB774" s="28">
        <f t="shared" si="99"/>
        <v>0.78</v>
      </c>
      <c r="AC774" s="37"/>
      <c r="AD774" s="38">
        <f t="shared" si="100"/>
        <v>4</v>
      </c>
      <c r="AE774" t="str">
        <f>IFERROR(F774&amp;"*"&amp;ROUND(L774*(G774/$AN774)/VLOOKUP(F774,商品!$A$4:$D$67,4,FALSE),0),"")</f>
        <v/>
      </c>
      <c r="AF774" t="str">
        <f>IFERROR(H774&amp;"*"&amp;ROUND(L774*(I774/$AN774)/VLOOKUP(H774,商品!$A$4:$D$67,4,FALSE),0),"")</f>
        <v/>
      </c>
      <c r="AG774" t="str">
        <f>IFERROR(J774&amp;"*"&amp;ROUND(L774*(K774/$AN774)/VLOOKUP(J774,商品!$A$4:$D$67,4,FALSE),0),"")</f>
        <v/>
      </c>
      <c r="AH774" t="str">
        <f>IFERROR(M774&amp;"*"&amp;ROUND(S774*(N774/$AO774)/VLOOKUP(M774,职业!$A$3:$E$16,4,FALSE),0),"")</f>
        <v/>
      </c>
      <c r="AI774" t="str">
        <f>IFERROR(O774&amp;"*"&amp;ROUND(S774*(P774/$AO774)/VLOOKUP(O774,职业!$A$3:$E$16,4,FALSE),0),"")</f>
        <v/>
      </c>
      <c r="AK774" t="str">
        <f>IFERROR(T774&amp;"*"&amp;ROUND(X774*(U774/$AP774)/VLOOKUP(T774,商品!$A$4:$D$67,4,FALSE),0),"")</f>
        <v/>
      </c>
      <c r="AL774" t="str">
        <f>IFERROR(V774&amp;"*"&amp;ROUND(X774*(W774/$AP774)/VLOOKUP(V774,商品!$A$4:$D$67,4,FALSE),0),"")</f>
        <v/>
      </c>
      <c r="AN774">
        <f t="shared" ref="AN774:AN837" si="101">G774+I774+K774</f>
        <v>0</v>
      </c>
      <c r="AO774">
        <f t="shared" ref="AO774:AO837" si="102">N774+P774+R774</f>
        <v>0</v>
      </c>
      <c r="AP774">
        <f t="shared" ref="AP774:AP837" si="103">U774+W774</f>
        <v>0</v>
      </c>
    </row>
    <row r="775" customHeight="1" spans="1:42">
      <c r="A775" s="5" t="s">
        <v>430</v>
      </c>
      <c r="C775" s="5">
        <v>5</v>
      </c>
      <c r="D775" s="1" t="s">
        <v>262</v>
      </c>
      <c r="E775" s="1" t="s">
        <v>225</v>
      </c>
      <c r="L775" s="1">
        <f>IFERROR(VLOOKUP($D775&amp;$C775,生产方式定位!$A$2:$E$38,2,FALSE)+VLOOKUP($E775&amp;$C775,生产方式定位!$F$3:$J$38,2,FALSE),0)</f>
        <v>6000</v>
      </c>
      <c r="S775" s="1">
        <f>IFERROR(VLOOKUP($D775&amp;$C775,生产方式定位!$A$2:$E$38,3,FALSE)+VLOOKUP($E775&amp;$C775,生产方式定位!$F$3:$J$38,3,FALSE),0)</f>
        <v>7200</v>
      </c>
      <c r="X775" s="1">
        <f>IFERROR(VLOOKUP($D775&amp;$C775,生产方式定位!$A$2:$E$38,5,FALSE)+VLOOKUP($E775&amp;$C775,生产方式定位!$F$3:$J$38,5,FALSE),"错误")</f>
        <v>7163</v>
      </c>
      <c r="Y775" s="27" t="str">
        <f t="shared" si="96"/>
        <v/>
      </c>
      <c r="Z775" s="37" t="str">
        <f t="shared" si="97"/>
        <v/>
      </c>
      <c r="AA775" s="37" t="str">
        <f t="shared" si="98"/>
        <v/>
      </c>
      <c r="AB775" s="28">
        <f t="shared" si="99"/>
        <v>0.84</v>
      </c>
      <c r="AC775" s="37"/>
      <c r="AD775" s="38">
        <f t="shared" si="100"/>
        <v>5</v>
      </c>
      <c r="AE775" t="str">
        <f>IFERROR(F775&amp;"*"&amp;ROUND(L775*(G775/$AN775)/VLOOKUP(F775,商品!$A$4:$D$67,4,FALSE),0),"")</f>
        <v/>
      </c>
      <c r="AF775" t="str">
        <f>IFERROR(H775&amp;"*"&amp;ROUND(L775*(I775/$AN775)/VLOOKUP(H775,商品!$A$4:$D$67,4,FALSE),0),"")</f>
        <v/>
      </c>
      <c r="AG775" t="str">
        <f>IFERROR(J775&amp;"*"&amp;ROUND(L775*(K775/$AN775)/VLOOKUP(J775,商品!$A$4:$D$67,4,FALSE),0),"")</f>
        <v/>
      </c>
      <c r="AH775" t="str">
        <f>IFERROR(M775&amp;"*"&amp;ROUND(S775*(N775/$AO775)/VLOOKUP(M775,职业!$A$3:$E$16,4,FALSE),0),"")</f>
        <v/>
      </c>
      <c r="AI775" t="str">
        <f>IFERROR(O775&amp;"*"&amp;ROUND(S775*(P775/$AO775)/VLOOKUP(O775,职业!$A$3:$E$16,4,FALSE),0),"")</f>
        <v/>
      </c>
      <c r="AK775" t="str">
        <f>IFERROR(T775&amp;"*"&amp;ROUND(X775*(U775/$AP775)/VLOOKUP(T775,商品!$A$4:$D$67,4,FALSE),0),"")</f>
        <v/>
      </c>
      <c r="AL775" t="str">
        <f>IFERROR(V775&amp;"*"&amp;ROUND(X775*(W775/$AP775)/VLOOKUP(V775,商品!$A$4:$D$67,4,FALSE),0),"")</f>
        <v/>
      </c>
      <c r="AN775">
        <f t="shared" si="101"/>
        <v>0</v>
      </c>
      <c r="AO775">
        <f t="shared" si="102"/>
        <v>0</v>
      </c>
      <c r="AP775">
        <f t="shared" si="103"/>
        <v>0</v>
      </c>
    </row>
    <row r="776" customHeight="1" spans="1:42">
      <c r="A776" s="18" t="s">
        <v>431</v>
      </c>
      <c r="C776" s="18">
        <v>1</v>
      </c>
      <c r="D776" s="1" t="s">
        <v>262</v>
      </c>
      <c r="E776" s="1" t="s">
        <v>226</v>
      </c>
      <c r="L776" s="1">
        <f>IFERROR(VLOOKUP($D776&amp;$C776,生产方式定位!$A$2:$E$38,2,FALSE)+VLOOKUP($E776&amp;$C776,生产方式定位!$F$3:$J$38,2,FALSE),0)</f>
        <v>0</v>
      </c>
      <c r="S776" s="1">
        <f>IFERROR(VLOOKUP($D776&amp;$C776,生产方式定位!$A$2:$E$38,3,FALSE)+VLOOKUP($E776&amp;$C776,生产方式定位!$F$3:$J$38,3,FALSE),0)</f>
        <v>3000</v>
      </c>
      <c r="X776" s="1">
        <f>IFERROR(VLOOKUP($D776&amp;$C776,生产方式定位!$A$2:$E$38,5,FALSE)+VLOOKUP($E776&amp;$C776,生产方式定位!$F$3:$J$38,5,FALSE),"错误")</f>
        <v>1500</v>
      </c>
      <c r="Y776" s="27" t="str">
        <f t="shared" si="96"/>
        <v/>
      </c>
      <c r="Z776" s="37" t="str">
        <f t="shared" si="97"/>
        <v/>
      </c>
      <c r="AA776" s="37" t="str">
        <f t="shared" si="98"/>
        <v/>
      </c>
      <c r="AB776" s="28">
        <f t="shared" si="99"/>
        <v>0</v>
      </c>
      <c r="AC776" s="37"/>
      <c r="AD776" s="38">
        <f t="shared" si="100"/>
        <v>1</v>
      </c>
      <c r="AE776" t="str">
        <f>IFERROR(F776&amp;"*"&amp;ROUND(L776*(G776/$AN776)/VLOOKUP(F776,商品!$A$4:$D$67,4,FALSE),0),"")</f>
        <v/>
      </c>
      <c r="AF776" t="str">
        <f>IFERROR(H776&amp;"*"&amp;ROUND(L776*(I776/$AN776)/VLOOKUP(H776,商品!$A$4:$D$67,4,FALSE),0),"")</f>
        <v/>
      </c>
      <c r="AG776" t="str">
        <f>IFERROR(J776&amp;"*"&amp;ROUND(L776*(K776/$AN776)/VLOOKUP(J776,商品!$A$4:$D$67,4,FALSE),0),"")</f>
        <v/>
      </c>
      <c r="AH776" t="str">
        <f>IFERROR(M776&amp;"*"&amp;ROUND(S776*(N776/$AO776)/VLOOKUP(M776,职业!$A$3:$E$16,4,FALSE),0),"")</f>
        <v/>
      </c>
      <c r="AI776" t="str">
        <f>IFERROR(O776&amp;"*"&amp;ROUND(S776*(P776/$AO776)/VLOOKUP(O776,职业!$A$3:$E$16,4,FALSE),0),"")</f>
        <v/>
      </c>
      <c r="AK776" t="str">
        <f>IFERROR(T776&amp;"*"&amp;ROUND(X776*(U776/$AP776)/VLOOKUP(T776,商品!$A$4:$D$67,4,FALSE),0),"")</f>
        <v/>
      </c>
      <c r="AL776" t="str">
        <f>IFERROR(V776&amp;"*"&amp;ROUND(X776*(W776/$AP776)/VLOOKUP(V776,商品!$A$4:$D$67,4,FALSE),0),"")</f>
        <v/>
      </c>
      <c r="AN776">
        <f t="shared" si="101"/>
        <v>0</v>
      </c>
      <c r="AO776">
        <f t="shared" si="102"/>
        <v>0</v>
      </c>
      <c r="AP776">
        <f t="shared" si="103"/>
        <v>0</v>
      </c>
    </row>
    <row r="777" customHeight="1" spans="1:42">
      <c r="A777" s="18" t="s">
        <v>431</v>
      </c>
      <c r="C777" s="18">
        <v>2</v>
      </c>
      <c r="D777" s="1" t="s">
        <v>262</v>
      </c>
      <c r="E777" s="1" t="s">
        <v>226</v>
      </c>
      <c r="L777" s="1">
        <f>IFERROR(VLOOKUP($D777&amp;$C777,生产方式定位!$A$2:$E$38,2,FALSE)+VLOOKUP($E777&amp;$C777,生产方式定位!$F$3:$J$38,2,FALSE),0)</f>
        <v>2500</v>
      </c>
      <c r="S777" s="1">
        <f>IFERROR(VLOOKUP($D777&amp;$C777,生产方式定位!$A$2:$E$38,3,FALSE)+VLOOKUP($E777&amp;$C777,生产方式定位!$F$3:$J$38,3,FALSE),0)</f>
        <v>2600</v>
      </c>
      <c r="X777" s="1">
        <f>IFERROR(VLOOKUP($D777&amp;$C777,生产方式定位!$A$2:$E$38,5,FALSE)+VLOOKUP($E777&amp;$C777,生产方式定位!$F$3:$J$38,5,FALSE),"错误")</f>
        <v>2640</v>
      </c>
      <c r="Y777" s="27" t="str">
        <f t="shared" si="96"/>
        <v/>
      </c>
      <c r="Z777" s="37" t="str">
        <f t="shared" si="97"/>
        <v/>
      </c>
      <c r="AA777" s="37" t="str">
        <f t="shared" si="98"/>
        <v/>
      </c>
      <c r="AB777" s="28">
        <f t="shared" si="99"/>
        <v>0.95</v>
      </c>
      <c r="AC777" s="37"/>
      <c r="AD777" s="38">
        <f t="shared" si="100"/>
        <v>2</v>
      </c>
      <c r="AE777" t="str">
        <f>IFERROR(F777&amp;"*"&amp;ROUND(L777*(G777/$AN777)/VLOOKUP(F777,商品!$A$4:$D$67,4,FALSE),0),"")</f>
        <v/>
      </c>
      <c r="AF777" t="str">
        <f>IFERROR(H777&amp;"*"&amp;ROUND(L777*(I777/$AN777)/VLOOKUP(H777,商品!$A$4:$D$67,4,FALSE),0),"")</f>
        <v/>
      </c>
      <c r="AG777" t="str">
        <f>IFERROR(J777&amp;"*"&amp;ROUND(L777*(K777/$AN777)/VLOOKUP(J777,商品!$A$4:$D$67,4,FALSE),0),"")</f>
        <v/>
      </c>
      <c r="AH777" t="str">
        <f>IFERROR(M777&amp;"*"&amp;ROUND(S777*(N777/$AO777)/VLOOKUP(M777,职业!$A$3:$E$16,4,FALSE),0),"")</f>
        <v/>
      </c>
      <c r="AI777" t="str">
        <f>IFERROR(O777&amp;"*"&amp;ROUND(S777*(P777/$AO777)/VLOOKUP(O777,职业!$A$3:$E$16,4,FALSE),0),"")</f>
        <v/>
      </c>
      <c r="AK777" t="str">
        <f>IFERROR(T777&amp;"*"&amp;ROUND(X777*(U777/$AP777)/VLOOKUP(T777,商品!$A$4:$D$67,4,FALSE),0),"")</f>
        <v/>
      </c>
      <c r="AL777" t="str">
        <f>IFERROR(V777&amp;"*"&amp;ROUND(X777*(W777/$AP777)/VLOOKUP(V777,商品!$A$4:$D$67,4,FALSE),0),"")</f>
        <v/>
      </c>
      <c r="AN777">
        <f t="shared" si="101"/>
        <v>0</v>
      </c>
      <c r="AO777">
        <f t="shared" si="102"/>
        <v>0</v>
      </c>
      <c r="AP777">
        <f t="shared" si="103"/>
        <v>0</v>
      </c>
    </row>
    <row r="778" customHeight="1" spans="1:42">
      <c r="A778" s="18" t="s">
        <v>431</v>
      </c>
      <c r="C778" s="18">
        <v>3</v>
      </c>
      <c r="D778" s="1" t="s">
        <v>262</v>
      </c>
      <c r="E778" s="1" t="s">
        <v>226</v>
      </c>
      <c r="L778" s="1">
        <f>IFERROR(VLOOKUP($D778&amp;$C778,生产方式定位!$A$2:$E$38,2,FALSE)+VLOOKUP($E778&amp;$C778,生产方式定位!$F$3:$J$38,2,FALSE),0)</f>
        <v>4000</v>
      </c>
      <c r="S778" s="1">
        <f>IFERROR(VLOOKUP($D778&amp;$C778,生产方式定位!$A$2:$E$38,3,FALSE)+VLOOKUP($E778&amp;$C778,生产方式定位!$F$3:$J$38,3,FALSE),0)</f>
        <v>2200</v>
      </c>
      <c r="X778" s="1">
        <f>IFERROR(VLOOKUP($D778&amp;$C778,生产方式定位!$A$2:$E$38,5,FALSE)+VLOOKUP($E778&amp;$C778,生产方式定位!$F$3:$J$38,5,FALSE),"错误")</f>
        <v>3360</v>
      </c>
      <c r="Y778" s="27" t="str">
        <f t="shared" si="96"/>
        <v/>
      </c>
      <c r="Z778" s="37" t="str">
        <f t="shared" si="97"/>
        <v/>
      </c>
      <c r="AA778" s="37" t="str">
        <f t="shared" si="98"/>
        <v/>
      </c>
      <c r="AB778" s="28">
        <f t="shared" si="99"/>
        <v>1.19</v>
      </c>
      <c r="AC778" s="37"/>
      <c r="AD778" s="38">
        <f t="shared" si="100"/>
        <v>3</v>
      </c>
      <c r="AE778" t="str">
        <f>IFERROR(F778&amp;"*"&amp;ROUND(L778*(G778/$AN778)/VLOOKUP(F778,商品!$A$4:$D$67,4,FALSE),0),"")</f>
        <v/>
      </c>
      <c r="AF778" t="str">
        <f>IFERROR(H778&amp;"*"&amp;ROUND(L778*(I778/$AN778)/VLOOKUP(H778,商品!$A$4:$D$67,4,FALSE),0),"")</f>
        <v/>
      </c>
      <c r="AG778" t="str">
        <f>IFERROR(J778&amp;"*"&amp;ROUND(L778*(K778/$AN778)/VLOOKUP(J778,商品!$A$4:$D$67,4,FALSE),0),"")</f>
        <v/>
      </c>
      <c r="AH778" t="str">
        <f>IFERROR(M778&amp;"*"&amp;ROUND(S778*(N778/$AO778)/VLOOKUP(M778,职业!$A$3:$E$16,4,FALSE),0),"")</f>
        <v/>
      </c>
      <c r="AI778" t="str">
        <f>IFERROR(O778&amp;"*"&amp;ROUND(S778*(P778/$AO778)/VLOOKUP(O778,职业!$A$3:$E$16,4,FALSE),0),"")</f>
        <v/>
      </c>
      <c r="AK778" t="str">
        <f>IFERROR(T778&amp;"*"&amp;ROUND(X778*(U778/$AP778)/VLOOKUP(T778,商品!$A$4:$D$67,4,FALSE),0),"")</f>
        <v/>
      </c>
      <c r="AL778" t="str">
        <f>IFERROR(V778&amp;"*"&amp;ROUND(X778*(W778/$AP778)/VLOOKUP(V778,商品!$A$4:$D$67,4,FALSE),0),"")</f>
        <v/>
      </c>
      <c r="AN778">
        <f t="shared" si="101"/>
        <v>0</v>
      </c>
      <c r="AO778">
        <f t="shared" si="102"/>
        <v>0</v>
      </c>
      <c r="AP778">
        <f t="shared" si="103"/>
        <v>0</v>
      </c>
    </row>
    <row r="779" customHeight="1" spans="1:42">
      <c r="A779" s="18" t="s">
        <v>431</v>
      </c>
      <c r="C779" s="18">
        <v>4</v>
      </c>
      <c r="D779" s="1" t="s">
        <v>262</v>
      </c>
      <c r="E779" s="1" t="s">
        <v>226</v>
      </c>
      <c r="L779" s="1">
        <f>IFERROR(VLOOKUP($D779&amp;$C779,生产方式定位!$A$2:$E$38,2,FALSE)+VLOOKUP($E779&amp;$C779,生产方式定位!$F$3:$J$38,2,FALSE),0)</f>
        <v>5500</v>
      </c>
      <c r="S779" s="1">
        <f>IFERROR(VLOOKUP($D779&amp;$C779,生产方式定位!$A$2:$E$38,3,FALSE)+VLOOKUP($E779&amp;$C779,生产方式定位!$F$3:$J$38,3,FALSE),0)</f>
        <v>1800</v>
      </c>
      <c r="X779" s="1">
        <f>IFERROR(VLOOKUP($D779&amp;$C779,生产方式定位!$A$2:$E$38,5,FALSE)+VLOOKUP($E779&amp;$C779,生产方式定位!$F$3:$J$38,5,FALSE),"错误")</f>
        <v>4160</v>
      </c>
      <c r="Y779" s="27" t="str">
        <f t="shared" si="96"/>
        <v/>
      </c>
      <c r="Z779" s="37" t="str">
        <f t="shared" si="97"/>
        <v/>
      </c>
      <c r="AA779" s="37" t="str">
        <f t="shared" si="98"/>
        <v/>
      </c>
      <c r="AB779" s="28">
        <f t="shared" si="99"/>
        <v>1.32</v>
      </c>
      <c r="AC779" s="37"/>
      <c r="AD779" s="38">
        <f t="shared" si="100"/>
        <v>4</v>
      </c>
      <c r="AE779" t="str">
        <f>IFERROR(F779&amp;"*"&amp;ROUND(L779*(G779/$AN779)/VLOOKUP(F779,商品!$A$4:$D$67,4,FALSE),0),"")</f>
        <v/>
      </c>
      <c r="AF779" t="str">
        <f>IFERROR(H779&amp;"*"&amp;ROUND(L779*(I779/$AN779)/VLOOKUP(H779,商品!$A$4:$D$67,4,FALSE),0),"")</f>
        <v/>
      </c>
      <c r="AG779" t="str">
        <f>IFERROR(J779&amp;"*"&amp;ROUND(L779*(K779/$AN779)/VLOOKUP(J779,商品!$A$4:$D$67,4,FALSE),0),"")</f>
        <v/>
      </c>
      <c r="AH779" t="str">
        <f>IFERROR(M779&amp;"*"&amp;ROUND(S779*(N779/$AO779)/VLOOKUP(M779,职业!$A$3:$E$16,4,FALSE),0),"")</f>
        <v/>
      </c>
      <c r="AI779" t="str">
        <f>IFERROR(O779&amp;"*"&amp;ROUND(S779*(P779/$AO779)/VLOOKUP(O779,职业!$A$3:$E$16,4,FALSE),0),"")</f>
        <v/>
      </c>
      <c r="AK779" t="str">
        <f>IFERROR(T779&amp;"*"&amp;ROUND(X779*(U779/$AP779)/VLOOKUP(T779,商品!$A$4:$D$67,4,FALSE),0),"")</f>
        <v/>
      </c>
      <c r="AL779" t="str">
        <f>IFERROR(V779&amp;"*"&amp;ROUND(X779*(W779/$AP779)/VLOOKUP(V779,商品!$A$4:$D$67,4,FALSE),0),"")</f>
        <v/>
      </c>
      <c r="AN779">
        <f t="shared" si="101"/>
        <v>0</v>
      </c>
      <c r="AO779">
        <f t="shared" si="102"/>
        <v>0</v>
      </c>
      <c r="AP779">
        <f t="shared" si="103"/>
        <v>0</v>
      </c>
    </row>
    <row r="780" customHeight="1" spans="1:42">
      <c r="A780" s="18" t="s">
        <v>431</v>
      </c>
      <c r="C780" s="18">
        <v>5</v>
      </c>
      <c r="D780" s="1" t="s">
        <v>262</v>
      </c>
      <c r="E780" s="1" t="s">
        <v>226</v>
      </c>
      <c r="L780" s="1">
        <f>IFERROR(VLOOKUP($D780&amp;$C780,生产方式定位!$A$2:$E$38,2,FALSE)+VLOOKUP($E780&amp;$C780,生产方式定位!$F$3:$J$38,2,FALSE),0)</f>
        <v>7000</v>
      </c>
      <c r="S780" s="1">
        <f>IFERROR(VLOOKUP($D780&amp;$C780,生产方式定位!$A$2:$E$38,3,FALSE)+VLOOKUP($E780&amp;$C780,生产方式定位!$F$3:$J$38,3,FALSE),0)</f>
        <v>1400</v>
      </c>
      <c r="X780" s="1">
        <f>IFERROR(VLOOKUP($D780&amp;$C780,生产方式定位!$A$2:$E$38,5,FALSE)+VLOOKUP($E780&amp;$C780,生产方式定位!$F$3:$J$38,5,FALSE),"错误")</f>
        <v>5040</v>
      </c>
      <c r="Y780" s="27" t="str">
        <f t="shared" si="96"/>
        <v/>
      </c>
      <c r="Z780" s="37" t="str">
        <f t="shared" si="97"/>
        <v/>
      </c>
      <c r="AA780" s="37" t="str">
        <f t="shared" si="98"/>
        <v/>
      </c>
      <c r="AB780" s="28">
        <f t="shared" si="99"/>
        <v>1.39</v>
      </c>
      <c r="AC780" s="37"/>
      <c r="AD780" s="38">
        <f t="shared" si="100"/>
        <v>5</v>
      </c>
      <c r="AE780" t="str">
        <f>IFERROR(F780&amp;"*"&amp;ROUND(L780*(G780/$AN780)/VLOOKUP(F780,商品!$A$4:$D$67,4,FALSE),0),"")</f>
        <v/>
      </c>
      <c r="AF780" t="str">
        <f>IFERROR(H780&amp;"*"&amp;ROUND(L780*(I780/$AN780)/VLOOKUP(H780,商品!$A$4:$D$67,4,FALSE),0),"")</f>
        <v/>
      </c>
      <c r="AG780" t="str">
        <f>IFERROR(J780&amp;"*"&amp;ROUND(L780*(K780/$AN780)/VLOOKUP(J780,商品!$A$4:$D$67,4,FALSE),0),"")</f>
        <v/>
      </c>
      <c r="AH780" t="str">
        <f>IFERROR(M780&amp;"*"&amp;ROUND(S780*(N780/$AO780)/VLOOKUP(M780,职业!$A$3:$E$16,4,FALSE),0),"")</f>
        <v/>
      </c>
      <c r="AI780" t="str">
        <f>IFERROR(O780&amp;"*"&amp;ROUND(S780*(P780/$AO780)/VLOOKUP(O780,职业!$A$3:$E$16,4,FALSE),0),"")</f>
        <v/>
      </c>
      <c r="AK780" t="str">
        <f>IFERROR(T780&amp;"*"&amp;ROUND(X780*(U780/$AP780)/VLOOKUP(T780,商品!$A$4:$D$67,4,FALSE),0),"")</f>
        <v/>
      </c>
      <c r="AL780" t="str">
        <f>IFERROR(V780&amp;"*"&amp;ROUND(X780*(W780/$AP780)/VLOOKUP(V780,商品!$A$4:$D$67,4,FALSE),0),"")</f>
        <v/>
      </c>
      <c r="AN780">
        <f t="shared" si="101"/>
        <v>0</v>
      </c>
      <c r="AO780">
        <f t="shared" si="102"/>
        <v>0</v>
      </c>
      <c r="AP780">
        <f t="shared" si="103"/>
        <v>0</v>
      </c>
    </row>
    <row r="781" customHeight="1" spans="1:42">
      <c r="A781" s="5" t="s">
        <v>431</v>
      </c>
      <c r="C781" s="5">
        <v>1</v>
      </c>
      <c r="D781" s="1" t="s">
        <v>262</v>
      </c>
      <c r="E781" s="1" t="s">
        <v>226</v>
      </c>
      <c r="L781" s="1">
        <f>IFERROR(VLOOKUP($D781&amp;$C781,生产方式定位!$A$2:$E$38,2,FALSE)+VLOOKUP($E781&amp;$C781,生产方式定位!$F$3:$J$38,2,FALSE),0)</f>
        <v>0</v>
      </c>
      <c r="S781" s="1">
        <f>IFERROR(VLOOKUP($D781&amp;$C781,生产方式定位!$A$2:$E$38,3,FALSE)+VLOOKUP($E781&amp;$C781,生产方式定位!$F$3:$J$38,3,FALSE),0)</f>
        <v>3000</v>
      </c>
      <c r="X781" s="1">
        <f>IFERROR(VLOOKUP($D781&amp;$C781,生产方式定位!$A$2:$E$38,5,FALSE)+VLOOKUP($E781&amp;$C781,生产方式定位!$F$3:$J$38,5,FALSE),"错误")</f>
        <v>1500</v>
      </c>
      <c r="Y781" s="27" t="str">
        <f t="shared" si="96"/>
        <v/>
      </c>
      <c r="Z781" s="37" t="str">
        <f t="shared" si="97"/>
        <v/>
      </c>
      <c r="AA781" s="37" t="str">
        <f t="shared" si="98"/>
        <v/>
      </c>
      <c r="AB781" s="28">
        <f t="shared" si="99"/>
        <v>0</v>
      </c>
      <c r="AC781" s="37"/>
      <c r="AD781" s="38">
        <f t="shared" si="100"/>
        <v>1</v>
      </c>
      <c r="AE781" t="str">
        <f>IFERROR(F781&amp;"*"&amp;ROUND(L781*(G781/$AN781)/VLOOKUP(F781,商品!$A$4:$D$67,4,FALSE),0),"")</f>
        <v/>
      </c>
      <c r="AF781" t="str">
        <f>IFERROR(H781&amp;"*"&amp;ROUND(L781*(I781/$AN781)/VLOOKUP(H781,商品!$A$4:$D$67,4,FALSE),0),"")</f>
        <v/>
      </c>
      <c r="AG781" t="str">
        <f>IFERROR(J781&amp;"*"&amp;ROUND(L781*(K781/$AN781)/VLOOKUP(J781,商品!$A$4:$D$67,4,FALSE),0),"")</f>
        <v/>
      </c>
      <c r="AH781" t="str">
        <f>IFERROR(M781&amp;"*"&amp;ROUND(S781*(N781/$AO781)/VLOOKUP(M781,职业!$A$3:$E$16,4,FALSE),0),"")</f>
        <v/>
      </c>
      <c r="AI781" t="str">
        <f>IFERROR(O781&amp;"*"&amp;ROUND(S781*(P781/$AO781)/VLOOKUP(O781,职业!$A$3:$E$16,4,FALSE),0),"")</f>
        <v/>
      </c>
      <c r="AK781" t="str">
        <f>IFERROR(T781&amp;"*"&amp;ROUND(X781*(U781/$AP781)/VLOOKUP(T781,商品!$A$4:$D$67,4,FALSE),0),"")</f>
        <v/>
      </c>
      <c r="AL781" t="str">
        <f>IFERROR(V781&amp;"*"&amp;ROUND(X781*(W781/$AP781)/VLOOKUP(V781,商品!$A$4:$D$67,4,FALSE),0),"")</f>
        <v/>
      </c>
      <c r="AN781">
        <f t="shared" si="101"/>
        <v>0</v>
      </c>
      <c r="AO781">
        <f t="shared" si="102"/>
        <v>0</v>
      </c>
      <c r="AP781">
        <f t="shared" si="103"/>
        <v>0</v>
      </c>
    </row>
    <row r="782" customHeight="1" spans="1:42">
      <c r="A782" s="5" t="s">
        <v>431</v>
      </c>
      <c r="C782" s="5">
        <v>2</v>
      </c>
      <c r="D782" s="1" t="s">
        <v>262</v>
      </c>
      <c r="E782" s="1" t="s">
        <v>226</v>
      </c>
      <c r="L782" s="1">
        <f>IFERROR(VLOOKUP($D782&amp;$C782,生产方式定位!$A$2:$E$38,2,FALSE)+VLOOKUP($E782&amp;$C782,生产方式定位!$F$3:$J$38,2,FALSE),0)</f>
        <v>2500</v>
      </c>
      <c r="S782" s="1">
        <f>IFERROR(VLOOKUP($D782&amp;$C782,生产方式定位!$A$2:$E$38,3,FALSE)+VLOOKUP($E782&amp;$C782,生产方式定位!$F$3:$J$38,3,FALSE),0)</f>
        <v>2600</v>
      </c>
      <c r="X782" s="1">
        <f>IFERROR(VLOOKUP($D782&amp;$C782,生产方式定位!$A$2:$E$38,5,FALSE)+VLOOKUP($E782&amp;$C782,生产方式定位!$F$3:$J$38,5,FALSE),"错误")</f>
        <v>2640</v>
      </c>
      <c r="Y782" s="27" t="str">
        <f t="shared" si="96"/>
        <v/>
      </c>
      <c r="Z782" s="37" t="str">
        <f t="shared" si="97"/>
        <v/>
      </c>
      <c r="AA782" s="37" t="str">
        <f t="shared" si="98"/>
        <v/>
      </c>
      <c r="AB782" s="28">
        <f t="shared" si="99"/>
        <v>0.95</v>
      </c>
      <c r="AC782" s="37"/>
      <c r="AD782" s="38">
        <f t="shared" si="100"/>
        <v>2</v>
      </c>
      <c r="AE782" t="str">
        <f>IFERROR(F782&amp;"*"&amp;ROUND(L782*(G782/$AN782)/VLOOKUP(F782,商品!$A$4:$D$67,4,FALSE),0),"")</f>
        <v/>
      </c>
      <c r="AF782" t="str">
        <f>IFERROR(H782&amp;"*"&amp;ROUND(L782*(I782/$AN782)/VLOOKUP(H782,商品!$A$4:$D$67,4,FALSE),0),"")</f>
        <v/>
      </c>
      <c r="AG782" t="str">
        <f>IFERROR(J782&amp;"*"&amp;ROUND(L782*(K782/$AN782)/VLOOKUP(J782,商品!$A$4:$D$67,4,FALSE),0),"")</f>
        <v/>
      </c>
      <c r="AH782" t="str">
        <f>IFERROR(M782&amp;"*"&amp;ROUND(S782*(N782/$AO782)/VLOOKUP(M782,职业!$A$3:$E$16,4,FALSE),0),"")</f>
        <v/>
      </c>
      <c r="AI782" t="str">
        <f>IFERROR(O782&amp;"*"&amp;ROUND(S782*(P782/$AO782)/VLOOKUP(O782,职业!$A$3:$E$16,4,FALSE),0),"")</f>
        <v/>
      </c>
      <c r="AK782" t="str">
        <f>IFERROR(T782&amp;"*"&amp;ROUND(X782*(U782/$AP782)/VLOOKUP(T782,商品!$A$4:$D$67,4,FALSE),0),"")</f>
        <v/>
      </c>
      <c r="AL782" t="str">
        <f>IFERROR(V782&amp;"*"&amp;ROUND(X782*(W782/$AP782)/VLOOKUP(V782,商品!$A$4:$D$67,4,FALSE),0),"")</f>
        <v/>
      </c>
      <c r="AN782">
        <f t="shared" si="101"/>
        <v>0</v>
      </c>
      <c r="AO782">
        <f t="shared" si="102"/>
        <v>0</v>
      </c>
      <c r="AP782">
        <f t="shared" si="103"/>
        <v>0</v>
      </c>
    </row>
    <row r="783" customHeight="1" spans="1:42">
      <c r="A783" s="5" t="s">
        <v>431</v>
      </c>
      <c r="C783" s="5">
        <v>3</v>
      </c>
      <c r="D783" s="1" t="s">
        <v>262</v>
      </c>
      <c r="E783" s="1" t="s">
        <v>226</v>
      </c>
      <c r="L783" s="1">
        <f>IFERROR(VLOOKUP($D783&amp;$C783,生产方式定位!$A$2:$E$38,2,FALSE)+VLOOKUP($E783&amp;$C783,生产方式定位!$F$3:$J$38,2,FALSE),0)</f>
        <v>4000</v>
      </c>
      <c r="S783" s="1">
        <f>IFERROR(VLOOKUP($D783&amp;$C783,生产方式定位!$A$2:$E$38,3,FALSE)+VLOOKUP($E783&amp;$C783,生产方式定位!$F$3:$J$38,3,FALSE),0)</f>
        <v>2200</v>
      </c>
      <c r="X783" s="1">
        <f>IFERROR(VLOOKUP($D783&amp;$C783,生产方式定位!$A$2:$E$38,5,FALSE)+VLOOKUP($E783&amp;$C783,生产方式定位!$F$3:$J$38,5,FALSE),"错误")</f>
        <v>3360</v>
      </c>
      <c r="Y783" s="27" t="str">
        <f t="shared" si="96"/>
        <v/>
      </c>
      <c r="Z783" s="37" t="str">
        <f t="shared" si="97"/>
        <v/>
      </c>
      <c r="AA783" s="37" t="str">
        <f t="shared" si="98"/>
        <v/>
      </c>
      <c r="AB783" s="28">
        <f t="shared" si="99"/>
        <v>1.19</v>
      </c>
      <c r="AC783" s="37"/>
      <c r="AD783" s="38">
        <f t="shared" si="100"/>
        <v>3</v>
      </c>
      <c r="AE783" t="str">
        <f>IFERROR(F783&amp;"*"&amp;ROUND(L783*(G783/$AN783)/VLOOKUP(F783,商品!$A$4:$D$67,4,FALSE),0),"")</f>
        <v/>
      </c>
      <c r="AF783" t="str">
        <f>IFERROR(H783&amp;"*"&amp;ROUND(L783*(I783/$AN783)/VLOOKUP(H783,商品!$A$4:$D$67,4,FALSE),0),"")</f>
        <v/>
      </c>
      <c r="AG783" t="str">
        <f>IFERROR(J783&amp;"*"&amp;ROUND(L783*(K783/$AN783)/VLOOKUP(J783,商品!$A$4:$D$67,4,FALSE),0),"")</f>
        <v/>
      </c>
      <c r="AH783" t="str">
        <f>IFERROR(M783&amp;"*"&amp;ROUND(S783*(N783/$AO783)/VLOOKUP(M783,职业!$A$3:$E$16,4,FALSE),0),"")</f>
        <v/>
      </c>
      <c r="AI783" t="str">
        <f>IFERROR(O783&amp;"*"&amp;ROUND(S783*(P783/$AO783)/VLOOKUP(O783,职业!$A$3:$E$16,4,FALSE),0),"")</f>
        <v/>
      </c>
      <c r="AK783" t="str">
        <f>IFERROR(T783&amp;"*"&amp;ROUND(X783*(U783/$AP783)/VLOOKUP(T783,商品!$A$4:$D$67,4,FALSE),0),"")</f>
        <v/>
      </c>
      <c r="AL783" t="str">
        <f>IFERROR(V783&amp;"*"&amp;ROUND(X783*(W783/$AP783)/VLOOKUP(V783,商品!$A$4:$D$67,4,FALSE),0),"")</f>
        <v/>
      </c>
      <c r="AN783">
        <f t="shared" si="101"/>
        <v>0</v>
      </c>
      <c r="AO783">
        <f t="shared" si="102"/>
        <v>0</v>
      </c>
      <c r="AP783">
        <f t="shared" si="103"/>
        <v>0</v>
      </c>
    </row>
    <row r="784" customHeight="1" spans="1:42">
      <c r="A784" s="5" t="s">
        <v>431</v>
      </c>
      <c r="C784" s="5">
        <v>4</v>
      </c>
      <c r="D784" s="1" t="s">
        <v>262</v>
      </c>
      <c r="E784" s="1" t="s">
        <v>226</v>
      </c>
      <c r="L784" s="1">
        <f>IFERROR(VLOOKUP($D784&amp;$C784,生产方式定位!$A$2:$E$38,2,FALSE)+VLOOKUP($E784&amp;$C784,生产方式定位!$F$3:$J$38,2,FALSE),0)</f>
        <v>5500</v>
      </c>
      <c r="S784" s="1">
        <f>IFERROR(VLOOKUP($D784&amp;$C784,生产方式定位!$A$2:$E$38,3,FALSE)+VLOOKUP($E784&amp;$C784,生产方式定位!$F$3:$J$38,3,FALSE),0)</f>
        <v>1800</v>
      </c>
      <c r="X784" s="1">
        <f>IFERROR(VLOOKUP($D784&amp;$C784,生产方式定位!$A$2:$E$38,5,FALSE)+VLOOKUP($E784&amp;$C784,生产方式定位!$F$3:$J$38,5,FALSE),"错误")</f>
        <v>4160</v>
      </c>
      <c r="Y784" s="27" t="str">
        <f t="shared" si="96"/>
        <v/>
      </c>
      <c r="Z784" s="37" t="str">
        <f t="shared" si="97"/>
        <v/>
      </c>
      <c r="AA784" s="37" t="str">
        <f t="shared" si="98"/>
        <v/>
      </c>
      <c r="AB784" s="28">
        <f t="shared" si="99"/>
        <v>1.32</v>
      </c>
      <c r="AC784" s="37"/>
      <c r="AD784" s="38">
        <f t="shared" si="100"/>
        <v>4</v>
      </c>
      <c r="AE784" t="str">
        <f>IFERROR(F784&amp;"*"&amp;ROUND(L784*(G784/$AN784)/VLOOKUP(F784,商品!$A$4:$D$67,4,FALSE),0),"")</f>
        <v/>
      </c>
      <c r="AF784" t="str">
        <f>IFERROR(H784&amp;"*"&amp;ROUND(L784*(I784/$AN784)/VLOOKUP(H784,商品!$A$4:$D$67,4,FALSE),0),"")</f>
        <v/>
      </c>
      <c r="AG784" t="str">
        <f>IFERROR(J784&amp;"*"&amp;ROUND(L784*(K784/$AN784)/VLOOKUP(J784,商品!$A$4:$D$67,4,FALSE),0),"")</f>
        <v/>
      </c>
      <c r="AH784" t="str">
        <f>IFERROR(M784&amp;"*"&amp;ROUND(S784*(N784/$AO784)/VLOOKUP(M784,职业!$A$3:$E$16,4,FALSE),0),"")</f>
        <v/>
      </c>
      <c r="AI784" t="str">
        <f>IFERROR(O784&amp;"*"&amp;ROUND(S784*(P784/$AO784)/VLOOKUP(O784,职业!$A$3:$E$16,4,FALSE),0),"")</f>
        <v/>
      </c>
      <c r="AK784" t="str">
        <f>IFERROR(T784&amp;"*"&amp;ROUND(X784*(U784/$AP784)/VLOOKUP(T784,商品!$A$4:$D$67,4,FALSE),0),"")</f>
        <v/>
      </c>
      <c r="AL784" t="str">
        <f>IFERROR(V784&amp;"*"&amp;ROUND(X784*(W784/$AP784)/VLOOKUP(V784,商品!$A$4:$D$67,4,FALSE),0),"")</f>
        <v/>
      </c>
      <c r="AN784">
        <f t="shared" si="101"/>
        <v>0</v>
      </c>
      <c r="AO784">
        <f t="shared" si="102"/>
        <v>0</v>
      </c>
      <c r="AP784">
        <f t="shared" si="103"/>
        <v>0</v>
      </c>
    </row>
    <row r="785" customHeight="1" spans="1:42">
      <c r="A785" s="5" t="s">
        <v>431</v>
      </c>
      <c r="C785" s="5">
        <v>5</v>
      </c>
      <c r="D785" s="1" t="s">
        <v>262</v>
      </c>
      <c r="E785" s="1" t="s">
        <v>226</v>
      </c>
      <c r="L785" s="1">
        <f>IFERROR(VLOOKUP($D785&amp;$C785,生产方式定位!$A$2:$E$38,2,FALSE)+VLOOKUP($E785&amp;$C785,生产方式定位!$F$3:$J$38,2,FALSE),0)</f>
        <v>7000</v>
      </c>
      <c r="S785" s="1">
        <f>IFERROR(VLOOKUP($D785&amp;$C785,生产方式定位!$A$2:$E$38,3,FALSE)+VLOOKUP($E785&amp;$C785,生产方式定位!$F$3:$J$38,3,FALSE),0)</f>
        <v>1400</v>
      </c>
      <c r="X785" s="1">
        <f>IFERROR(VLOOKUP($D785&amp;$C785,生产方式定位!$A$2:$E$38,5,FALSE)+VLOOKUP($E785&amp;$C785,生产方式定位!$F$3:$J$38,5,FALSE),"错误")</f>
        <v>5040</v>
      </c>
      <c r="Y785" s="27" t="str">
        <f t="shared" si="96"/>
        <v/>
      </c>
      <c r="Z785" s="37" t="str">
        <f t="shared" si="97"/>
        <v/>
      </c>
      <c r="AA785" s="37" t="str">
        <f t="shared" si="98"/>
        <v/>
      </c>
      <c r="AB785" s="28">
        <f t="shared" si="99"/>
        <v>1.39</v>
      </c>
      <c r="AC785" s="37"/>
      <c r="AD785" s="38">
        <f t="shared" si="100"/>
        <v>5</v>
      </c>
      <c r="AE785" t="str">
        <f>IFERROR(F785&amp;"*"&amp;ROUND(L785*(G785/$AN785)/VLOOKUP(F785,商品!$A$4:$D$67,4,FALSE),0),"")</f>
        <v/>
      </c>
      <c r="AF785" t="str">
        <f>IFERROR(H785&amp;"*"&amp;ROUND(L785*(I785/$AN785)/VLOOKUP(H785,商品!$A$4:$D$67,4,FALSE),0),"")</f>
        <v/>
      </c>
      <c r="AG785" t="str">
        <f>IFERROR(J785&amp;"*"&amp;ROUND(L785*(K785/$AN785)/VLOOKUP(J785,商品!$A$4:$D$67,4,FALSE),0),"")</f>
        <v/>
      </c>
      <c r="AH785" t="str">
        <f>IFERROR(M785&amp;"*"&amp;ROUND(S785*(N785/$AO785)/VLOOKUP(M785,职业!$A$3:$E$16,4,FALSE),0),"")</f>
        <v/>
      </c>
      <c r="AI785" t="str">
        <f>IFERROR(O785&amp;"*"&amp;ROUND(S785*(P785/$AO785)/VLOOKUP(O785,职业!$A$3:$E$16,4,FALSE),0),"")</f>
        <v/>
      </c>
      <c r="AK785" t="str">
        <f>IFERROR(T785&amp;"*"&amp;ROUND(X785*(U785/$AP785)/VLOOKUP(T785,商品!$A$4:$D$67,4,FALSE),0),"")</f>
        <v/>
      </c>
      <c r="AL785" t="str">
        <f>IFERROR(V785&amp;"*"&amp;ROUND(X785*(W785/$AP785)/VLOOKUP(V785,商品!$A$4:$D$67,4,FALSE),0),"")</f>
        <v/>
      </c>
      <c r="AN785">
        <f t="shared" si="101"/>
        <v>0</v>
      </c>
      <c r="AO785">
        <f t="shared" si="102"/>
        <v>0</v>
      </c>
      <c r="AP785">
        <f t="shared" si="103"/>
        <v>0</v>
      </c>
    </row>
    <row r="786" customHeight="1" spans="1:42">
      <c r="A786" s="18" t="s">
        <v>432</v>
      </c>
      <c r="C786" s="18">
        <v>1</v>
      </c>
      <c r="D786" s="1" t="s">
        <v>293</v>
      </c>
      <c r="E786" s="1" t="s">
        <v>227</v>
      </c>
      <c r="L786" s="1">
        <f>IFERROR(VLOOKUP($D786&amp;$C786,生产方式定位!$A$2:$E$38,2,FALSE)+VLOOKUP($E786&amp;$C786,生产方式定位!$F$3:$J$38,2,FALSE),0)</f>
        <v>0</v>
      </c>
      <c r="S786" s="1">
        <f>IFERROR(VLOOKUP($D786&amp;$C786,生产方式定位!$A$2:$E$38,3,FALSE)+VLOOKUP($E786&amp;$C786,生产方式定位!$F$3:$J$38,3,FALSE),0)</f>
        <v>0</v>
      </c>
      <c r="X786" s="1">
        <f>IFERROR(VLOOKUP($D786&amp;$C786,生产方式定位!$A$2:$E$38,5,FALSE)+VLOOKUP($E786&amp;$C786,生产方式定位!$F$3:$J$38,5,FALSE),"错误")</f>
        <v>0</v>
      </c>
      <c r="Y786" s="27" t="str">
        <f t="shared" si="96"/>
        <v/>
      </c>
      <c r="Z786" s="37" t="str">
        <f t="shared" si="97"/>
        <v/>
      </c>
      <c r="AA786" s="37" t="str">
        <f t="shared" si="98"/>
        <v/>
      </c>
      <c r="AB786" s="28" t="str">
        <f t="shared" si="99"/>
        <v/>
      </c>
      <c r="AC786" s="37"/>
      <c r="AD786" s="38">
        <f t="shared" si="100"/>
        <v>1</v>
      </c>
      <c r="AE786" t="str">
        <f>IFERROR(F786&amp;"*"&amp;ROUND(L786*(G786/$AN786)/VLOOKUP(F786,商品!$A$4:$D$67,4,FALSE),0),"")</f>
        <v/>
      </c>
      <c r="AF786" t="str">
        <f>IFERROR(H786&amp;"*"&amp;ROUND(L786*(I786/$AN786)/VLOOKUP(H786,商品!$A$4:$D$67,4,FALSE),0),"")</f>
        <v/>
      </c>
      <c r="AG786" t="str">
        <f>IFERROR(J786&amp;"*"&amp;ROUND(L786*(K786/$AN786)/VLOOKUP(J786,商品!$A$4:$D$67,4,FALSE),0),"")</f>
        <v/>
      </c>
      <c r="AH786" t="str">
        <f>IFERROR(M786&amp;"*"&amp;ROUND(S786*(N786/$AO786)/VLOOKUP(M786,职业!$A$3:$E$16,4,FALSE),0),"")</f>
        <v/>
      </c>
      <c r="AI786" t="str">
        <f>IFERROR(O786&amp;"*"&amp;ROUND(S786*(P786/$AO786)/VLOOKUP(O786,职业!$A$3:$E$16,4,FALSE),0),"")</f>
        <v/>
      </c>
      <c r="AK786" t="str">
        <f>IFERROR(T786&amp;"*"&amp;ROUND(X786*(U786/$AP786)/VLOOKUP(T786,商品!$A$4:$D$67,4,FALSE),0),"")</f>
        <v/>
      </c>
      <c r="AL786" t="str">
        <f>IFERROR(V786&amp;"*"&amp;ROUND(X786*(W786/$AP786)/VLOOKUP(V786,商品!$A$4:$D$67,4,FALSE),0),"")</f>
        <v/>
      </c>
      <c r="AN786">
        <f t="shared" si="101"/>
        <v>0</v>
      </c>
      <c r="AO786">
        <f t="shared" si="102"/>
        <v>0</v>
      </c>
      <c r="AP786">
        <f t="shared" si="103"/>
        <v>0</v>
      </c>
    </row>
    <row r="787" customHeight="1" spans="1:42">
      <c r="A787" s="18" t="s">
        <v>432</v>
      </c>
      <c r="C787" s="18">
        <v>2</v>
      </c>
      <c r="D787" s="1" t="s">
        <v>293</v>
      </c>
      <c r="E787" s="1" t="s">
        <v>227</v>
      </c>
      <c r="L787" s="1">
        <f>IFERROR(VLOOKUP($D787&amp;$C787,生产方式定位!$A$2:$E$38,2,FALSE)+VLOOKUP($E787&amp;$C787,生产方式定位!$F$3:$J$38,2,FALSE),0)</f>
        <v>0</v>
      </c>
      <c r="S787" s="1">
        <f>IFERROR(VLOOKUP($D787&amp;$C787,生产方式定位!$A$2:$E$38,3,FALSE)+VLOOKUP($E787&amp;$C787,生产方式定位!$F$3:$J$38,3,FALSE),0)</f>
        <v>0</v>
      </c>
      <c r="X787" s="1">
        <f>IFERROR(VLOOKUP($D787&amp;$C787,生产方式定位!$A$2:$E$38,5,FALSE)+VLOOKUP($E787&amp;$C787,生产方式定位!$F$3:$J$38,5,FALSE),"错误")</f>
        <v>0</v>
      </c>
      <c r="Y787" s="27" t="str">
        <f t="shared" si="96"/>
        <v/>
      </c>
      <c r="Z787" s="37" t="str">
        <f t="shared" si="97"/>
        <v/>
      </c>
      <c r="AA787" s="37" t="str">
        <f t="shared" si="98"/>
        <v/>
      </c>
      <c r="AB787" s="28" t="str">
        <f t="shared" si="99"/>
        <v/>
      </c>
      <c r="AC787" s="37"/>
      <c r="AD787" s="38">
        <f t="shared" si="100"/>
        <v>2</v>
      </c>
      <c r="AE787" t="str">
        <f>IFERROR(F787&amp;"*"&amp;ROUND(L787*(G787/$AN787)/VLOOKUP(F787,商品!$A$4:$D$67,4,FALSE),0),"")</f>
        <v/>
      </c>
      <c r="AF787" t="str">
        <f>IFERROR(H787&amp;"*"&amp;ROUND(L787*(I787/$AN787)/VLOOKUP(H787,商品!$A$4:$D$67,4,FALSE),0),"")</f>
        <v/>
      </c>
      <c r="AG787" t="str">
        <f>IFERROR(J787&amp;"*"&amp;ROUND(L787*(K787/$AN787)/VLOOKUP(J787,商品!$A$4:$D$67,4,FALSE),0),"")</f>
        <v/>
      </c>
      <c r="AH787" t="str">
        <f>IFERROR(M787&amp;"*"&amp;ROUND(S787*(N787/$AO787)/VLOOKUP(M787,职业!$A$3:$E$16,4,FALSE),0),"")</f>
        <v/>
      </c>
      <c r="AI787" t="str">
        <f>IFERROR(O787&amp;"*"&amp;ROUND(S787*(P787/$AO787)/VLOOKUP(O787,职业!$A$3:$E$16,4,FALSE),0),"")</f>
        <v/>
      </c>
      <c r="AK787" t="str">
        <f>IFERROR(T787&amp;"*"&amp;ROUND(X787*(U787/$AP787)/VLOOKUP(T787,商品!$A$4:$D$67,4,FALSE),0),"")</f>
        <v/>
      </c>
      <c r="AL787" t="str">
        <f>IFERROR(V787&amp;"*"&amp;ROUND(X787*(W787/$AP787)/VLOOKUP(V787,商品!$A$4:$D$67,4,FALSE),0),"")</f>
        <v/>
      </c>
      <c r="AN787">
        <f t="shared" si="101"/>
        <v>0</v>
      </c>
      <c r="AO787">
        <f t="shared" si="102"/>
        <v>0</v>
      </c>
      <c r="AP787">
        <f t="shared" si="103"/>
        <v>0</v>
      </c>
    </row>
    <row r="788" customHeight="1" spans="1:42">
      <c r="A788" s="18" t="s">
        <v>432</v>
      </c>
      <c r="C788" s="18">
        <v>3</v>
      </c>
      <c r="D788" s="1" t="s">
        <v>293</v>
      </c>
      <c r="E788" s="1" t="s">
        <v>227</v>
      </c>
      <c r="L788" s="1">
        <f>IFERROR(VLOOKUP($D788&amp;$C788,生产方式定位!$A$2:$E$38,2,FALSE)+VLOOKUP($E788&amp;$C788,生产方式定位!$F$3:$J$38,2,FALSE),0)</f>
        <v>0</v>
      </c>
      <c r="S788" s="1">
        <f>IFERROR(VLOOKUP($D788&amp;$C788,生产方式定位!$A$2:$E$38,3,FALSE)+VLOOKUP($E788&amp;$C788,生产方式定位!$F$3:$J$38,3,FALSE),0)</f>
        <v>0</v>
      </c>
      <c r="X788" s="1">
        <f>IFERROR(VLOOKUP($D788&amp;$C788,生产方式定位!$A$2:$E$38,5,FALSE)+VLOOKUP($E788&amp;$C788,生产方式定位!$F$3:$J$38,5,FALSE),"错误")</f>
        <v>0</v>
      </c>
      <c r="Y788" s="27" t="str">
        <f t="shared" si="96"/>
        <v/>
      </c>
      <c r="Z788" s="37" t="str">
        <f t="shared" si="97"/>
        <v/>
      </c>
      <c r="AA788" s="37" t="str">
        <f t="shared" si="98"/>
        <v/>
      </c>
      <c r="AB788" s="28" t="str">
        <f t="shared" si="99"/>
        <v/>
      </c>
      <c r="AC788" s="37"/>
      <c r="AD788" s="38">
        <f t="shared" si="100"/>
        <v>3</v>
      </c>
      <c r="AE788" t="str">
        <f>IFERROR(F788&amp;"*"&amp;ROUND(L788*(G788/$AN788)/VLOOKUP(F788,商品!$A$4:$D$67,4,FALSE),0),"")</f>
        <v/>
      </c>
      <c r="AF788" t="str">
        <f>IFERROR(H788&amp;"*"&amp;ROUND(L788*(I788/$AN788)/VLOOKUP(H788,商品!$A$4:$D$67,4,FALSE),0),"")</f>
        <v/>
      </c>
      <c r="AG788" t="str">
        <f>IFERROR(J788&amp;"*"&amp;ROUND(L788*(K788/$AN788)/VLOOKUP(J788,商品!$A$4:$D$67,4,FALSE),0),"")</f>
        <v/>
      </c>
      <c r="AH788" t="str">
        <f>IFERROR(M788&amp;"*"&amp;ROUND(S788*(N788/$AO788)/VLOOKUP(M788,职业!$A$3:$E$16,4,FALSE),0),"")</f>
        <v/>
      </c>
      <c r="AI788" t="str">
        <f>IFERROR(O788&amp;"*"&amp;ROUND(S788*(P788/$AO788)/VLOOKUP(O788,职业!$A$3:$E$16,4,FALSE),0),"")</f>
        <v/>
      </c>
      <c r="AK788" t="str">
        <f>IFERROR(T788&amp;"*"&amp;ROUND(X788*(U788/$AP788)/VLOOKUP(T788,商品!$A$4:$D$67,4,FALSE),0),"")</f>
        <v/>
      </c>
      <c r="AL788" t="str">
        <f>IFERROR(V788&amp;"*"&amp;ROUND(X788*(W788/$AP788)/VLOOKUP(V788,商品!$A$4:$D$67,4,FALSE),0),"")</f>
        <v/>
      </c>
      <c r="AN788">
        <f t="shared" si="101"/>
        <v>0</v>
      </c>
      <c r="AO788">
        <f t="shared" si="102"/>
        <v>0</v>
      </c>
      <c r="AP788">
        <f t="shared" si="103"/>
        <v>0</v>
      </c>
    </row>
    <row r="789" customHeight="1" spans="1:42">
      <c r="A789" s="18" t="s">
        <v>432</v>
      </c>
      <c r="C789" s="18">
        <v>4</v>
      </c>
      <c r="D789" s="1" t="s">
        <v>293</v>
      </c>
      <c r="E789" s="1" t="s">
        <v>227</v>
      </c>
      <c r="L789" s="1">
        <f>IFERROR(VLOOKUP($D789&amp;$C789,生产方式定位!$A$2:$E$38,2,FALSE)+VLOOKUP($E789&amp;$C789,生产方式定位!$F$3:$J$38,2,FALSE),0)</f>
        <v>0</v>
      </c>
      <c r="S789" s="1">
        <f>IFERROR(VLOOKUP($D789&amp;$C789,生产方式定位!$A$2:$E$38,3,FALSE)+VLOOKUP($E789&amp;$C789,生产方式定位!$F$3:$J$38,3,FALSE),0)</f>
        <v>0</v>
      </c>
      <c r="X789" s="1">
        <f>IFERROR(VLOOKUP($D789&amp;$C789,生产方式定位!$A$2:$E$38,5,FALSE)+VLOOKUP($E789&amp;$C789,生产方式定位!$F$3:$J$38,5,FALSE),"错误")</f>
        <v>0</v>
      </c>
      <c r="Y789" s="27" t="str">
        <f t="shared" si="96"/>
        <v/>
      </c>
      <c r="Z789" s="37" t="str">
        <f t="shared" si="97"/>
        <v/>
      </c>
      <c r="AA789" s="37" t="str">
        <f t="shared" si="98"/>
        <v/>
      </c>
      <c r="AB789" s="28" t="str">
        <f t="shared" si="99"/>
        <v/>
      </c>
      <c r="AC789" s="37"/>
      <c r="AD789" s="38">
        <f t="shared" si="100"/>
        <v>4</v>
      </c>
      <c r="AE789" t="str">
        <f>IFERROR(F789&amp;"*"&amp;ROUND(L789*(G789/$AN789)/VLOOKUP(F789,商品!$A$4:$D$67,4,FALSE),0),"")</f>
        <v/>
      </c>
      <c r="AF789" t="str">
        <f>IFERROR(H789&amp;"*"&amp;ROUND(L789*(I789/$AN789)/VLOOKUP(H789,商品!$A$4:$D$67,4,FALSE),0),"")</f>
        <v/>
      </c>
      <c r="AG789" t="str">
        <f>IFERROR(J789&amp;"*"&amp;ROUND(L789*(K789/$AN789)/VLOOKUP(J789,商品!$A$4:$D$67,4,FALSE),0),"")</f>
        <v/>
      </c>
      <c r="AH789" t="str">
        <f>IFERROR(M789&amp;"*"&amp;ROUND(S789*(N789/$AO789)/VLOOKUP(M789,职业!$A$3:$E$16,4,FALSE),0),"")</f>
        <v/>
      </c>
      <c r="AI789" t="str">
        <f>IFERROR(O789&amp;"*"&amp;ROUND(S789*(P789/$AO789)/VLOOKUP(O789,职业!$A$3:$E$16,4,FALSE),0),"")</f>
        <v/>
      </c>
      <c r="AK789" t="str">
        <f>IFERROR(T789&amp;"*"&amp;ROUND(X789*(U789/$AP789)/VLOOKUP(T789,商品!$A$4:$D$67,4,FALSE),0),"")</f>
        <v/>
      </c>
      <c r="AL789" t="str">
        <f>IFERROR(V789&amp;"*"&amp;ROUND(X789*(W789/$AP789)/VLOOKUP(V789,商品!$A$4:$D$67,4,FALSE),0),"")</f>
        <v/>
      </c>
      <c r="AN789">
        <f t="shared" si="101"/>
        <v>0</v>
      </c>
      <c r="AO789">
        <f t="shared" si="102"/>
        <v>0</v>
      </c>
      <c r="AP789">
        <f t="shared" si="103"/>
        <v>0</v>
      </c>
    </row>
    <row r="790" customHeight="1" spans="1:42">
      <c r="A790" s="18" t="s">
        <v>432</v>
      </c>
      <c r="C790" s="18">
        <v>5</v>
      </c>
      <c r="D790" s="1" t="s">
        <v>293</v>
      </c>
      <c r="E790" s="1" t="s">
        <v>227</v>
      </c>
      <c r="L790" s="1">
        <f>IFERROR(VLOOKUP($D790&amp;$C790,生产方式定位!$A$2:$E$38,2,FALSE)+VLOOKUP($E790&amp;$C790,生产方式定位!$F$3:$J$38,2,FALSE),0)</f>
        <v>0</v>
      </c>
      <c r="S790" s="1">
        <f>IFERROR(VLOOKUP($D790&amp;$C790,生产方式定位!$A$2:$E$38,3,FALSE)+VLOOKUP($E790&amp;$C790,生产方式定位!$F$3:$J$38,3,FALSE),0)</f>
        <v>0</v>
      </c>
      <c r="X790" s="1">
        <f>IFERROR(VLOOKUP($D790&amp;$C790,生产方式定位!$A$2:$E$38,5,FALSE)+VLOOKUP($E790&amp;$C790,生产方式定位!$F$3:$J$38,5,FALSE),"错误")</f>
        <v>0</v>
      </c>
      <c r="Y790" s="27" t="str">
        <f t="shared" si="96"/>
        <v/>
      </c>
      <c r="Z790" s="37" t="str">
        <f t="shared" si="97"/>
        <v/>
      </c>
      <c r="AA790" s="37" t="str">
        <f t="shared" si="98"/>
        <v/>
      </c>
      <c r="AB790" s="28" t="str">
        <f t="shared" si="99"/>
        <v/>
      </c>
      <c r="AC790" s="37"/>
      <c r="AD790" s="38">
        <f t="shared" si="100"/>
        <v>5</v>
      </c>
      <c r="AE790" t="str">
        <f>IFERROR(F790&amp;"*"&amp;ROUND(L790*(G790/$AN790)/VLOOKUP(F790,商品!$A$4:$D$67,4,FALSE),0),"")</f>
        <v/>
      </c>
      <c r="AF790" t="str">
        <f>IFERROR(H790&amp;"*"&amp;ROUND(L790*(I790/$AN790)/VLOOKUP(H790,商品!$A$4:$D$67,4,FALSE),0),"")</f>
        <v/>
      </c>
      <c r="AG790" t="str">
        <f>IFERROR(J790&amp;"*"&amp;ROUND(L790*(K790/$AN790)/VLOOKUP(J790,商品!$A$4:$D$67,4,FALSE),0),"")</f>
        <v/>
      </c>
      <c r="AH790" t="str">
        <f>IFERROR(M790&amp;"*"&amp;ROUND(S790*(N790/$AO790)/VLOOKUP(M790,职业!$A$3:$E$16,4,FALSE),0),"")</f>
        <v/>
      </c>
      <c r="AI790" t="str">
        <f>IFERROR(O790&amp;"*"&amp;ROUND(S790*(P790/$AO790)/VLOOKUP(O790,职业!$A$3:$E$16,4,FALSE),0),"")</f>
        <v/>
      </c>
      <c r="AK790" t="str">
        <f>IFERROR(T790&amp;"*"&amp;ROUND(X790*(U790/$AP790)/VLOOKUP(T790,商品!$A$4:$D$67,4,FALSE),0),"")</f>
        <v/>
      </c>
      <c r="AL790" t="str">
        <f>IFERROR(V790&amp;"*"&amp;ROUND(X790*(W790/$AP790)/VLOOKUP(V790,商品!$A$4:$D$67,4,FALSE),0),"")</f>
        <v/>
      </c>
      <c r="AN790">
        <f t="shared" si="101"/>
        <v>0</v>
      </c>
      <c r="AO790">
        <f t="shared" si="102"/>
        <v>0</v>
      </c>
      <c r="AP790">
        <f t="shared" si="103"/>
        <v>0</v>
      </c>
    </row>
    <row r="791" customHeight="1" spans="1:42">
      <c r="A791" s="18" t="s">
        <v>432</v>
      </c>
      <c r="C791" s="18">
        <v>6</v>
      </c>
      <c r="D791" s="1" t="s">
        <v>293</v>
      </c>
      <c r="E791" s="1" t="s">
        <v>227</v>
      </c>
      <c r="L791" s="1">
        <f>IFERROR(VLOOKUP($D791&amp;$C791,生产方式定位!$A$2:$E$38,2,FALSE)+VLOOKUP($E791&amp;$C791,生产方式定位!$F$3:$J$38,2,FALSE),0)</f>
        <v>0</v>
      </c>
      <c r="S791" s="1">
        <f>IFERROR(VLOOKUP($D791&amp;$C791,生产方式定位!$A$2:$E$38,3,FALSE)+VLOOKUP($E791&amp;$C791,生产方式定位!$F$3:$J$38,3,FALSE),0)</f>
        <v>0</v>
      </c>
      <c r="X791" s="1">
        <f>IFERROR(VLOOKUP($D791&amp;$C791,生产方式定位!$A$2:$E$38,5,FALSE)+VLOOKUP($E791&amp;$C791,生产方式定位!$F$3:$J$38,5,FALSE),"错误")</f>
        <v>0</v>
      </c>
      <c r="Y791" s="27" t="str">
        <f t="shared" si="96"/>
        <v/>
      </c>
      <c r="Z791" s="37" t="str">
        <f t="shared" si="97"/>
        <v/>
      </c>
      <c r="AA791" s="37" t="str">
        <f t="shared" si="98"/>
        <v/>
      </c>
      <c r="AB791" s="28" t="str">
        <f t="shared" si="99"/>
        <v/>
      </c>
      <c r="AC791" s="37"/>
      <c r="AD791" s="38">
        <f t="shared" si="100"/>
        <v>6</v>
      </c>
      <c r="AE791" t="str">
        <f>IFERROR(F791&amp;"*"&amp;ROUND(L791*(G791/$AN791)/VLOOKUP(F791,商品!$A$4:$D$67,4,FALSE),0),"")</f>
        <v/>
      </c>
      <c r="AF791" t="str">
        <f>IFERROR(H791&amp;"*"&amp;ROUND(L791*(I791/$AN791)/VLOOKUP(H791,商品!$A$4:$D$67,4,FALSE),0),"")</f>
        <v/>
      </c>
      <c r="AG791" t="str">
        <f>IFERROR(J791&amp;"*"&amp;ROUND(L791*(K791/$AN791)/VLOOKUP(J791,商品!$A$4:$D$67,4,FALSE),0),"")</f>
        <v/>
      </c>
      <c r="AH791" t="str">
        <f>IFERROR(M791&amp;"*"&amp;ROUND(S791*(N791/$AO791)/VLOOKUP(M791,职业!$A$3:$E$16,4,FALSE),0),"")</f>
        <v/>
      </c>
      <c r="AI791" t="str">
        <f>IFERROR(O791&amp;"*"&amp;ROUND(S791*(P791/$AO791)/VLOOKUP(O791,职业!$A$3:$E$16,4,FALSE),0),"")</f>
        <v/>
      </c>
      <c r="AK791" t="str">
        <f>IFERROR(T791&amp;"*"&amp;ROUND(X791*(U791/$AP791)/VLOOKUP(T791,商品!$A$4:$D$67,4,FALSE),0),"")</f>
        <v/>
      </c>
      <c r="AL791" t="str">
        <f>IFERROR(V791&amp;"*"&amp;ROUND(X791*(W791/$AP791)/VLOOKUP(V791,商品!$A$4:$D$67,4,FALSE),0),"")</f>
        <v/>
      </c>
      <c r="AN791">
        <f t="shared" si="101"/>
        <v>0</v>
      </c>
      <c r="AO791">
        <f t="shared" si="102"/>
        <v>0</v>
      </c>
      <c r="AP791">
        <f t="shared" si="103"/>
        <v>0</v>
      </c>
    </row>
    <row r="792" customHeight="1" spans="1:42">
      <c r="A792" s="18" t="s">
        <v>432</v>
      </c>
      <c r="C792" s="18">
        <v>7</v>
      </c>
      <c r="D792" s="1" t="s">
        <v>293</v>
      </c>
      <c r="E792" s="1" t="s">
        <v>227</v>
      </c>
      <c r="L792" s="1">
        <f>IFERROR(VLOOKUP($D792&amp;$C792,生产方式定位!$A$2:$E$38,2,FALSE)+VLOOKUP($E792&amp;$C792,生产方式定位!$F$3:$J$38,2,FALSE),0)</f>
        <v>0</v>
      </c>
      <c r="S792" s="1">
        <f>IFERROR(VLOOKUP($D792&amp;$C792,生产方式定位!$A$2:$E$38,3,FALSE)+VLOOKUP($E792&amp;$C792,生产方式定位!$F$3:$J$38,3,FALSE),0)</f>
        <v>0</v>
      </c>
      <c r="X792" s="1">
        <f>IFERROR(VLOOKUP($D792&amp;$C792,生产方式定位!$A$2:$E$38,5,FALSE)+VLOOKUP($E792&amp;$C792,生产方式定位!$F$3:$J$38,5,FALSE),"错误")</f>
        <v>0</v>
      </c>
      <c r="Y792" s="27" t="str">
        <f t="shared" si="96"/>
        <v/>
      </c>
      <c r="Z792" s="37" t="str">
        <f t="shared" si="97"/>
        <v/>
      </c>
      <c r="AA792" s="37" t="str">
        <f t="shared" si="98"/>
        <v/>
      </c>
      <c r="AB792" s="28" t="str">
        <f t="shared" si="99"/>
        <v/>
      </c>
      <c r="AC792" s="37"/>
      <c r="AD792" s="38">
        <f t="shared" si="100"/>
        <v>7</v>
      </c>
      <c r="AE792" t="str">
        <f>IFERROR(F792&amp;"*"&amp;ROUND(L792*(G792/$AN792)/VLOOKUP(F792,商品!$A$4:$D$67,4,FALSE),0),"")</f>
        <v/>
      </c>
      <c r="AF792" t="str">
        <f>IFERROR(H792&amp;"*"&amp;ROUND(L792*(I792/$AN792)/VLOOKUP(H792,商品!$A$4:$D$67,4,FALSE),0),"")</f>
        <v/>
      </c>
      <c r="AG792" t="str">
        <f>IFERROR(J792&amp;"*"&amp;ROUND(L792*(K792/$AN792)/VLOOKUP(J792,商品!$A$4:$D$67,4,FALSE),0),"")</f>
        <v/>
      </c>
      <c r="AH792" t="str">
        <f>IFERROR(M792&amp;"*"&amp;ROUND(S792*(N792/$AO792)/VLOOKUP(M792,职业!$A$3:$E$16,4,FALSE),0),"")</f>
        <v/>
      </c>
      <c r="AI792" t="str">
        <f>IFERROR(O792&amp;"*"&amp;ROUND(S792*(P792/$AO792)/VLOOKUP(O792,职业!$A$3:$E$16,4,FALSE),0),"")</f>
        <v/>
      </c>
      <c r="AK792" t="str">
        <f>IFERROR(T792&amp;"*"&amp;ROUND(X792*(U792/$AP792)/VLOOKUP(T792,商品!$A$4:$D$67,4,FALSE),0),"")</f>
        <v/>
      </c>
      <c r="AL792" t="str">
        <f>IFERROR(V792&amp;"*"&amp;ROUND(X792*(W792/$AP792)/VLOOKUP(V792,商品!$A$4:$D$67,4,FALSE),0),"")</f>
        <v/>
      </c>
      <c r="AN792">
        <f t="shared" si="101"/>
        <v>0</v>
      </c>
      <c r="AO792">
        <f t="shared" si="102"/>
        <v>0</v>
      </c>
      <c r="AP792">
        <f t="shared" si="103"/>
        <v>0</v>
      </c>
    </row>
    <row r="793" customHeight="1" spans="1:42">
      <c r="A793" s="18" t="s">
        <v>432</v>
      </c>
      <c r="C793" s="18">
        <v>8</v>
      </c>
      <c r="D793" s="1" t="s">
        <v>293</v>
      </c>
      <c r="E793" s="1" t="s">
        <v>227</v>
      </c>
      <c r="L793" s="1">
        <f>IFERROR(VLOOKUP($D793&amp;$C793,生产方式定位!$A$2:$E$38,2,FALSE)+VLOOKUP($E793&amp;$C793,生产方式定位!$F$3:$J$38,2,FALSE),0)</f>
        <v>0</v>
      </c>
      <c r="S793" s="1">
        <f>IFERROR(VLOOKUP($D793&amp;$C793,生产方式定位!$A$2:$E$38,3,FALSE)+VLOOKUP($E793&amp;$C793,生产方式定位!$F$3:$J$38,3,FALSE),0)</f>
        <v>0</v>
      </c>
      <c r="X793" s="1">
        <f>IFERROR(VLOOKUP($D793&amp;$C793,生产方式定位!$A$2:$E$38,5,FALSE)+VLOOKUP($E793&amp;$C793,生产方式定位!$F$3:$J$38,5,FALSE),"错误")</f>
        <v>0</v>
      </c>
      <c r="Y793" s="27" t="str">
        <f t="shared" si="96"/>
        <v/>
      </c>
      <c r="Z793" s="37" t="str">
        <f t="shared" si="97"/>
        <v/>
      </c>
      <c r="AA793" s="37" t="str">
        <f t="shared" si="98"/>
        <v/>
      </c>
      <c r="AB793" s="28" t="str">
        <f t="shared" si="99"/>
        <v/>
      </c>
      <c r="AC793" s="37"/>
      <c r="AD793" s="38">
        <f t="shared" si="100"/>
        <v>8</v>
      </c>
      <c r="AE793" t="str">
        <f>IFERROR(F793&amp;"*"&amp;ROUND(L793*(G793/$AN793)/VLOOKUP(F793,商品!$A$4:$D$67,4,FALSE),0),"")</f>
        <v/>
      </c>
      <c r="AF793" t="str">
        <f>IFERROR(H793&amp;"*"&amp;ROUND(L793*(I793/$AN793)/VLOOKUP(H793,商品!$A$4:$D$67,4,FALSE),0),"")</f>
        <v/>
      </c>
      <c r="AG793" t="str">
        <f>IFERROR(J793&amp;"*"&amp;ROUND(L793*(K793/$AN793)/VLOOKUP(J793,商品!$A$4:$D$67,4,FALSE),0),"")</f>
        <v/>
      </c>
      <c r="AH793" t="str">
        <f>IFERROR(M793&amp;"*"&amp;ROUND(S793*(N793/$AO793)/VLOOKUP(M793,职业!$A$3:$E$16,4,FALSE),0),"")</f>
        <v/>
      </c>
      <c r="AI793" t="str">
        <f>IFERROR(O793&amp;"*"&amp;ROUND(S793*(P793/$AO793)/VLOOKUP(O793,职业!$A$3:$E$16,4,FALSE),0),"")</f>
        <v/>
      </c>
      <c r="AK793" t="str">
        <f>IFERROR(T793&amp;"*"&amp;ROUND(X793*(U793/$AP793)/VLOOKUP(T793,商品!$A$4:$D$67,4,FALSE),0),"")</f>
        <v/>
      </c>
      <c r="AL793" t="str">
        <f>IFERROR(V793&amp;"*"&amp;ROUND(X793*(W793/$AP793)/VLOOKUP(V793,商品!$A$4:$D$67,4,FALSE),0),"")</f>
        <v/>
      </c>
      <c r="AN793">
        <f t="shared" si="101"/>
        <v>0</v>
      </c>
      <c r="AO793">
        <f t="shared" si="102"/>
        <v>0</v>
      </c>
      <c r="AP793">
        <f t="shared" si="103"/>
        <v>0</v>
      </c>
    </row>
    <row r="794" customHeight="1" spans="1:42">
      <c r="A794" s="5" t="s">
        <v>434</v>
      </c>
      <c r="C794" s="5">
        <v>1</v>
      </c>
      <c r="D794" s="1" t="s">
        <v>222</v>
      </c>
      <c r="E794" s="1" t="s">
        <v>224</v>
      </c>
      <c r="L794" s="1">
        <f>IFERROR(VLOOKUP($D794&amp;$C794,生产方式定位!$A$2:$E$38,2,FALSE)+VLOOKUP($E794&amp;$C794,生产方式定位!$F$3:$J$38,2,FALSE),0)</f>
        <v>0</v>
      </c>
      <c r="S794" s="1">
        <f>IFERROR(VLOOKUP($D794&amp;$C794,生产方式定位!$A$2:$E$38,3,FALSE)+VLOOKUP($E794&amp;$C794,生产方式定位!$F$3:$J$38,3,FALSE),0)</f>
        <v>500</v>
      </c>
      <c r="X794" s="1">
        <f>IFERROR(VLOOKUP($D794&amp;$C794,生产方式定位!$A$2:$E$38,5,FALSE)+VLOOKUP($E794&amp;$C794,生产方式定位!$F$3:$J$38,5,FALSE),"错误")</f>
        <v>250</v>
      </c>
      <c r="Y794" s="27" t="str">
        <f t="shared" si="96"/>
        <v/>
      </c>
      <c r="Z794" s="37" t="str">
        <f t="shared" si="97"/>
        <v/>
      </c>
      <c r="AA794" s="37" t="str">
        <f t="shared" si="98"/>
        <v/>
      </c>
      <c r="AB794" s="28">
        <f t="shared" si="99"/>
        <v>0</v>
      </c>
      <c r="AC794" s="37"/>
      <c r="AD794" s="38">
        <f t="shared" si="100"/>
        <v>1</v>
      </c>
      <c r="AE794" t="str">
        <f>IFERROR(F794&amp;"*"&amp;ROUND(L794*(G794/$AN794)/VLOOKUP(F794,商品!$A$4:$D$67,4,FALSE),0),"")</f>
        <v/>
      </c>
      <c r="AF794" t="str">
        <f>IFERROR(H794&amp;"*"&amp;ROUND(L794*(I794/$AN794)/VLOOKUP(H794,商品!$A$4:$D$67,4,FALSE),0),"")</f>
        <v/>
      </c>
      <c r="AG794" t="str">
        <f>IFERROR(J794&amp;"*"&amp;ROUND(L794*(K794/$AN794)/VLOOKUP(J794,商品!$A$4:$D$67,4,FALSE),0),"")</f>
        <v/>
      </c>
      <c r="AH794" t="str">
        <f>IFERROR(M794&amp;"*"&amp;ROUND(S794*(N794/$AO794)/VLOOKUP(M794,职业!$A$3:$E$16,4,FALSE),0),"")</f>
        <v/>
      </c>
      <c r="AI794" t="str">
        <f>IFERROR(O794&amp;"*"&amp;ROUND(S794*(P794/$AO794)/VLOOKUP(O794,职业!$A$3:$E$16,4,FALSE),0),"")</f>
        <v/>
      </c>
      <c r="AK794" t="str">
        <f>IFERROR(T794&amp;"*"&amp;ROUND(X794*(U794/$AP794)/VLOOKUP(T794,商品!$A$4:$D$67,4,FALSE),0),"")</f>
        <v/>
      </c>
      <c r="AL794" t="str">
        <f>IFERROR(V794&amp;"*"&amp;ROUND(X794*(W794/$AP794)/VLOOKUP(V794,商品!$A$4:$D$67,4,FALSE),0),"")</f>
        <v/>
      </c>
      <c r="AN794">
        <f t="shared" si="101"/>
        <v>0</v>
      </c>
      <c r="AO794">
        <f t="shared" si="102"/>
        <v>0</v>
      </c>
      <c r="AP794">
        <f t="shared" si="103"/>
        <v>0</v>
      </c>
    </row>
    <row r="795" customHeight="1" spans="1:42">
      <c r="A795" s="5" t="s">
        <v>434</v>
      </c>
      <c r="C795" s="5">
        <v>2</v>
      </c>
      <c r="D795" s="1" t="s">
        <v>222</v>
      </c>
      <c r="E795" s="1" t="s">
        <v>224</v>
      </c>
      <c r="L795" s="1">
        <f>IFERROR(VLOOKUP($D795&amp;$C795,生产方式定位!$A$2:$E$38,2,FALSE)+VLOOKUP($E795&amp;$C795,生产方式定位!$F$3:$J$38,2,FALSE),0)</f>
        <v>2200</v>
      </c>
      <c r="S795" s="1">
        <f>IFERROR(VLOOKUP($D795&amp;$C795,生产方式定位!$A$2:$E$38,3,FALSE)+VLOOKUP($E795&amp;$C795,生产方式定位!$F$3:$J$38,3,FALSE),0)</f>
        <v>750</v>
      </c>
      <c r="X795" s="1">
        <f>IFERROR(VLOOKUP($D795&amp;$C795,生产方式定位!$A$2:$E$38,5,FALSE)+VLOOKUP($E795&amp;$C795,生产方式定位!$F$3:$J$38,5,FALSE),"错误")</f>
        <v>1547</v>
      </c>
      <c r="Y795" s="27" t="str">
        <f t="shared" si="96"/>
        <v/>
      </c>
      <c r="Z795" s="37" t="str">
        <f t="shared" si="97"/>
        <v/>
      </c>
      <c r="AA795" s="37" t="str">
        <f t="shared" si="98"/>
        <v/>
      </c>
      <c r="AB795" s="28">
        <f t="shared" si="99"/>
        <v>1.42</v>
      </c>
      <c r="AC795" s="37"/>
      <c r="AD795" s="38">
        <f t="shared" si="100"/>
        <v>2</v>
      </c>
      <c r="AE795" t="str">
        <f>IFERROR(F795&amp;"*"&amp;ROUND(L795*(G795/$AN795)/VLOOKUP(F795,商品!$A$4:$D$67,4,FALSE),0),"")</f>
        <v/>
      </c>
      <c r="AF795" t="str">
        <f>IFERROR(H795&amp;"*"&amp;ROUND(L795*(I795/$AN795)/VLOOKUP(H795,商品!$A$4:$D$67,4,FALSE),0),"")</f>
        <v/>
      </c>
      <c r="AG795" t="str">
        <f>IFERROR(J795&amp;"*"&amp;ROUND(L795*(K795/$AN795)/VLOOKUP(J795,商品!$A$4:$D$67,4,FALSE),0),"")</f>
        <v/>
      </c>
      <c r="AH795" t="str">
        <f>IFERROR(M795&amp;"*"&amp;ROUND(S795*(N795/$AO795)/VLOOKUP(M795,职业!$A$3:$E$16,4,FALSE),0),"")</f>
        <v/>
      </c>
      <c r="AI795" t="str">
        <f>IFERROR(O795&amp;"*"&amp;ROUND(S795*(P795/$AO795)/VLOOKUP(O795,职业!$A$3:$E$16,4,FALSE),0),"")</f>
        <v/>
      </c>
      <c r="AK795" t="str">
        <f>IFERROR(T795&amp;"*"&amp;ROUND(X795*(U795/$AP795)/VLOOKUP(T795,商品!$A$4:$D$67,4,FALSE),0),"")</f>
        <v/>
      </c>
      <c r="AL795" t="str">
        <f>IFERROR(V795&amp;"*"&amp;ROUND(X795*(W795/$AP795)/VLOOKUP(V795,商品!$A$4:$D$67,4,FALSE),0),"")</f>
        <v/>
      </c>
      <c r="AN795">
        <f t="shared" si="101"/>
        <v>0</v>
      </c>
      <c r="AO795">
        <f t="shared" si="102"/>
        <v>0</v>
      </c>
      <c r="AP795">
        <f t="shared" si="103"/>
        <v>0</v>
      </c>
    </row>
    <row r="796" customHeight="1" spans="1:42">
      <c r="A796" s="5" t="s">
        <v>434</v>
      </c>
      <c r="C796" s="5">
        <v>3</v>
      </c>
      <c r="D796" s="1" t="s">
        <v>222</v>
      </c>
      <c r="E796" s="1" t="s">
        <v>224</v>
      </c>
      <c r="L796" s="1">
        <f>IFERROR(VLOOKUP($D796&amp;$C796,生产方式定位!$A$2:$E$38,2,FALSE)+VLOOKUP($E796&amp;$C796,生产方式定位!$F$3:$J$38,2,FALSE),0)</f>
        <v>3400</v>
      </c>
      <c r="S796" s="1">
        <f>IFERROR(VLOOKUP($D796&amp;$C796,生产方式定位!$A$2:$E$38,3,FALSE)+VLOOKUP($E796&amp;$C796,生产方式定位!$F$3:$J$38,3,FALSE),0)</f>
        <v>1000</v>
      </c>
      <c r="X796" s="1">
        <f>IFERROR(VLOOKUP($D796&amp;$C796,生产方式定位!$A$2:$E$38,5,FALSE)+VLOOKUP($E796&amp;$C796,生产方式定位!$F$3:$J$38,5,FALSE),"错误")</f>
        <v>2488</v>
      </c>
      <c r="Y796" s="27" t="str">
        <f t="shared" si="96"/>
        <v/>
      </c>
      <c r="Z796" s="37" t="str">
        <f t="shared" si="97"/>
        <v/>
      </c>
      <c r="AA796" s="37" t="str">
        <f t="shared" si="98"/>
        <v/>
      </c>
      <c r="AB796" s="28">
        <f t="shared" si="99"/>
        <v>1.37</v>
      </c>
      <c r="AC796" s="37"/>
      <c r="AD796" s="38">
        <f t="shared" si="100"/>
        <v>3</v>
      </c>
      <c r="AE796" t="str">
        <f>IFERROR(F796&amp;"*"&amp;ROUND(L796*(G796/$AN796)/VLOOKUP(F796,商品!$A$4:$D$67,4,FALSE),0),"")</f>
        <v/>
      </c>
      <c r="AF796" t="str">
        <f>IFERROR(H796&amp;"*"&amp;ROUND(L796*(I796/$AN796)/VLOOKUP(H796,商品!$A$4:$D$67,4,FALSE),0),"")</f>
        <v/>
      </c>
      <c r="AG796" t="str">
        <f>IFERROR(J796&amp;"*"&amp;ROUND(L796*(K796/$AN796)/VLOOKUP(J796,商品!$A$4:$D$67,4,FALSE),0),"")</f>
        <v/>
      </c>
      <c r="AH796" t="str">
        <f>IFERROR(M796&amp;"*"&amp;ROUND(S796*(N796/$AO796)/VLOOKUP(M796,职业!$A$3:$E$16,4,FALSE),0),"")</f>
        <v/>
      </c>
      <c r="AI796" t="str">
        <f>IFERROR(O796&amp;"*"&amp;ROUND(S796*(P796/$AO796)/VLOOKUP(O796,职业!$A$3:$E$16,4,FALSE),0),"")</f>
        <v/>
      </c>
      <c r="AK796" t="str">
        <f>IFERROR(T796&amp;"*"&amp;ROUND(X796*(U796/$AP796)/VLOOKUP(T796,商品!$A$4:$D$67,4,FALSE),0),"")</f>
        <v/>
      </c>
      <c r="AL796" t="str">
        <f>IFERROR(V796&amp;"*"&amp;ROUND(X796*(W796/$AP796)/VLOOKUP(V796,商品!$A$4:$D$67,4,FALSE),0),"")</f>
        <v/>
      </c>
      <c r="AN796">
        <f t="shared" si="101"/>
        <v>0</v>
      </c>
      <c r="AO796">
        <f t="shared" si="102"/>
        <v>0</v>
      </c>
      <c r="AP796">
        <f t="shared" si="103"/>
        <v>0</v>
      </c>
    </row>
    <row r="797" customHeight="1" spans="1:42">
      <c r="A797" s="5" t="s">
        <v>434</v>
      </c>
      <c r="C797" s="5">
        <v>4</v>
      </c>
      <c r="D797" s="1" t="s">
        <v>222</v>
      </c>
      <c r="E797" s="1" t="s">
        <v>224</v>
      </c>
      <c r="L797" s="1">
        <f>IFERROR(VLOOKUP($D797&amp;$C797,生产方式定位!$A$2:$E$38,2,FALSE)+VLOOKUP($E797&amp;$C797,生产方式定位!$F$3:$J$38,2,FALSE),0)</f>
        <v>4600</v>
      </c>
      <c r="S797" s="1">
        <f>IFERROR(VLOOKUP($D797&amp;$C797,生产方式定位!$A$2:$E$38,3,FALSE)+VLOOKUP($E797&amp;$C797,生产方式定位!$F$3:$J$38,3,FALSE),0)</f>
        <v>1250</v>
      </c>
      <c r="X797" s="1">
        <f>IFERROR(VLOOKUP($D797&amp;$C797,生产方式定位!$A$2:$E$38,5,FALSE)+VLOOKUP($E797&amp;$C797,生产方式定位!$F$3:$J$38,5,FALSE),"错误")</f>
        <v>3573</v>
      </c>
      <c r="Y797" s="27" t="str">
        <f t="shared" si="96"/>
        <v/>
      </c>
      <c r="Z797" s="37" t="str">
        <f t="shared" si="97"/>
        <v/>
      </c>
      <c r="AA797" s="37" t="str">
        <f t="shared" si="98"/>
        <v/>
      </c>
      <c r="AB797" s="28">
        <f t="shared" si="99"/>
        <v>1.29</v>
      </c>
      <c r="AC797" s="37"/>
      <c r="AD797" s="38">
        <f t="shared" si="100"/>
        <v>4</v>
      </c>
      <c r="AE797" t="str">
        <f>IFERROR(F797&amp;"*"&amp;ROUND(L797*(G797/$AN797)/VLOOKUP(F797,商品!$A$4:$D$67,4,FALSE),0),"")</f>
        <v/>
      </c>
      <c r="AF797" t="str">
        <f>IFERROR(H797&amp;"*"&amp;ROUND(L797*(I797/$AN797)/VLOOKUP(H797,商品!$A$4:$D$67,4,FALSE),0),"")</f>
        <v/>
      </c>
      <c r="AG797" t="str">
        <f>IFERROR(J797&amp;"*"&amp;ROUND(L797*(K797/$AN797)/VLOOKUP(J797,商品!$A$4:$D$67,4,FALSE),0),"")</f>
        <v/>
      </c>
      <c r="AH797" t="str">
        <f>IFERROR(M797&amp;"*"&amp;ROUND(S797*(N797/$AO797)/VLOOKUP(M797,职业!$A$3:$E$16,4,FALSE),0),"")</f>
        <v/>
      </c>
      <c r="AI797" t="str">
        <f>IFERROR(O797&amp;"*"&amp;ROUND(S797*(P797/$AO797)/VLOOKUP(O797,职业!$A$3:$E$16,4,FALSE),0),"")</f>
        <v/>
      </c>
      <c r="AK797" t="str">
        <f>IFERROR(T797&amp;"*"&amp;ROUND(X797*(U797/$AP797)/VLOOKUP(T797,商品!$A$4:$D$67,4,FALSE),0),"")</f>
        <v/>
      </c>
      <c r="AL797" t="str">
        <f>IFERROR(V797&amp;"*"&amp;ROUND(X797*(W797/$AP797)/VLOOKUP(V797,商品!$A$4:$D$67,4,FALSE),0),"")</f>
        <v/>
      </c>
      <c r="AN797">
        <f t="shared" si="101"/>
        <v>0</v>
      </c>
      <c r="AO797">
        <f t="shared" si="102"/>
        <v>0</v>
      </c>
      <c r="AP797">
        <f t="shared" si="103"/>
        <v>0</v>
      </c>
    </row>
    <row r="798" customHeight="1" spans="1:42">
      <c r="A798" s="5" t="s">
        <v>434</v>
      </c>
      <c r="C798" s="5">
        <v>5</v>
      </c>
      <c r="D798" s="1" t="s">
        <v>222</v>
      </c>
      <c r="E798" s="1" t="s">
        <v>224</v>
      </c>
      <c r="L798" s="1">
        <f>IFERROR(VLOOKUP($D798&amp;$C798,生产方式定位!$A$2:$E$38,2,FALSE)+VLOOKUP($E798&amp;$C798,生产方式定位!$F$3:$J$38,2,FALSE),0)</f>
        <v>5800</v>
      </c>
      <c r="S798" s="1">
        <f>IFERROR(VLOOKUP($D798&amp;$C798,生产方式定位!$A$2:$E$38,3,FALSE)+VLOOKUP($E798&amp;$C798,生产方式定位!$F$3:$J$38,3,FALSE),0)</f>
        <v>1500</v>
      </c>
      <c r="X798" s="1">
        <f>IFERROR(VLOOKUP($D798&amp;$C798,生产方式定位!$A$2:$E$38,5,FALSE)+VLOOKUP($E798&amp;$C798,生产方式定位!$F$3:$J$38,5,FALSE),"错误")</f>
        <v>4850</v>
      </c>
      <c r="Y798" s="27" t="str">
        <f t="shared" si="96"/>
        <v/>
      </c>
      <c r="Z798" s="37" t="str">
        <f t="shared" si="97"/>
        <v/>
      </c>
      <c r="AA798" s="37" t="str">
        <f t="shared" si="98"/>
        <v/>
      </c>
      <c r="AB798" s="28">
        <f t="shared" si="99"/>
        <v>1.2</v>
      </c>
      <c r="AC798" s="37"/>
      <c r="AD798" s="38">
        <f t="shared" si="100"/>
        <v>5</v>
      </c>
      <c r="AE798" t="str">
        <f>IFERROR(F798&amp;"*"&amp;ROUND(L798*(G798/$AN798)/VLOOKUP(F798,商品!$A$4:$D$67,4,FALSE),0),"")</f>
        <v/>
      </c>
      <c r="AF798" t="str">
        <f>IFERROR(H798&amp;"*"&amp;ROUND(L798*(I798/$AN798)/VLOOKUP(H798,商品!$A$4:$D$67,4,FALSE),0),"")</f>
        <v/>
      </c>
      <c r="AG798" t="str">
        <f>IFERROR(J798&amp;"*"&amp;ROUND(L798*(K798/$AN798)/VLOOKUP(J798,商品!$A$4:$D$67,4,FALSE),0),"")</f>
        <v/>
      </c>
      <c r="AH798" t="str">
        <f>IFERROR(M798&amp;"*"&amp;ROUND(S798*(N798/$AO798)/VLOOKUP(M798,职业!$A$3:$E$16,4,FALSE),0),"")</f>
        <v/>
      </c>
      <c r="AI798" t="str">
        <f>IFERROR(O798&amp;"*"&amp;ROUND(S798*(P798/$AO798)/VLOOKUP(O798,职业!$A$3:$E$16,4,FALSE),0),"")</f>
        <v/>
      </c>
      <c r="AK798" t="str">
        <f>IFERROR(T798&amp;"*"&amp;ROUND(X798*(U798/$AP798)/VLOOKUP(T798,商品!$A$4:$D$67,4,FALSE),0),"")</f>
        <v/>
      </c>
      <c r="AL798" t="str">
        <f>IFERROR(V798&amp;"*"&amp;ROUND(X798*(W798/$AP798)/VLOOKUP(V798,商品!$A$4:$D$67,4,FALSE),0),"")</f>
        <v/>
      </c>
      <c r="AN798">
        <f t="shared" si="101"/>
        <v>0</v>
      </c>
      <c r="AO798">
        <f t="shared" si="102"/>
        <v>0</v>
      </c>
      <c r="AP798">
        <f t="shared" si="103"/>
        <v>0</v>
      </c>
    </row>
    <row r="799" customHeight="1" spans="1:42">
      <c r="A799" s="18" t="s">
        <v>435</v>
      </c>
      <c r="C799" s="18">
        <v>1</v>
      </c>
      <c r="D799" s="1" t="s">
        <v>222</v>
      </c>
      <c r="E799" s="1" t="s">
        <v>226</v>
      </c>
      <c r="L799" s="1">
        <f>IFERROR(VLOOKUP($D799&amp;$C799,生产方式定位!$A$2:$E$38,2,FALSE)+VLOOKUP($E799&amp;$C799,生产方式定位!$F$3:$J$38,2,FALSE),0)</f>
        <v>0</v>
      </c>
      <c r="S799" s="1">
        <f>IFERROR(VLOOKUP($D799&amp;$C799,生产方式定位!$A$2:$E$38,3,FALSE)+VLOOKUP($E799&amp;$C799,生产方式定位!$F$3:$J$38,3,FALSE),0)</f>
        <v>500</v>
      </c>
      <c r="X799" s="1">
        <f>IFERROR(VLOOKUP($D799&amp;$C799,生产方式定位!$A$2:$E$38,5,FALSE)+VLOOKUP($E799&amp;$C799,生产方式定位!$F$3:$J$38,5,FALSE),"错误")</f>
        <v>250</v>
      </c>
      <c r="Y799" s="27" t="str">
        <f t="shared" si="96"/>
        <v/>
      </c>
      <c r="Z799" s="37" t="str">
        <f t="shared" si="97"/>
        <v/>
      </c>
      <c r="AA799" s="37" t="str">
        <f t="shared" si="98"/>
        <v/>
      </c>
      <c r="AB799" s="28">
        <f t="shared" si="99"/>
        <v>0</v>
      </c>
      <c r="AC799" s="37"/>
      <c r="AD799" s="38">
        <f t="shared" si="100"/>
        <v>1</v>
      </c>
      <c r="AE799" t="str">
        <f>IFERROR(F799&amp;"*"&amp;ROUND(L799*(G799/$AN799)/VLOOKUP(F799,商品!$A$4:$D$67,4,FALSE),0),"")</f>
        <v/>
      </c>
      <c r="AF799" t="str">
        <f>IFERROR(H799&amp;"*"&amp;ROUND(L799*(I799/$AN799)/VLOOKUP(H799,商品!$A$4:$D$67,4,FALSE),0),"")</f>
        <v/>
      </c>
      <c r="AG799" t="str">
        <f>IFERROR(J799&amp;"*"&amp;ROUND(L799*(K799/$AN799)/VLOOKUP(J799,商品!$A$4:$D$67,4,FALSE),0),"")</f>
        <v/>
      </c>
      <c r="AH799" t="str">
        <f>IFERROR(M799&amp;"*"&amp;ROUND(S799*(N799/$AO799)/VLOOKUP(M799,职业!$A$3:$E$16,4,FALSE),0),"")</f>
        <v/>
      </c>
      <c r="AI799" t="str">
        <f>IFERROR(O799&amp;"*"&amp;ROUND(S799*(P799/$AO799)/VLOOKUP(O799,职业!$A$3:$E$16,4,FALSE),0),"")</f>
        <v/>
      </c>
      <c r="AK799" t="str">
        <f>IFERROR(T799&amp;"*"&amp;ROUND(X799*(U799/$AP799)/VLOOKUP(T799,商品!$A$4:$D$67,4,FALSE),0),"")</f>
        <v/>
      </c>
      <c r="AL799" t="str">
        <f>IFERROR(V799&amp;"*"&amp;ROUND(X799*(W799/$AP799)/VLOOKUP(V799,商品!$A$4:$D$67,4,FALSE),0),"")</f>
        <v/>
      </c>
      <c r="AN799">
        <f t="shared" si="101"/>
        <v>0</v>
      </c>
      <c r="AO799">
        <f t="shared" si="102"/>
        <v>0</v>
      </c>
      <c r="AP799">
        <f t="shared" si="103"/>
        <v>0</v>
      </c>
    </row>
    <row r="800" customHeight="1" spans="1:42">
      <c r="A800" s="18" t="s">
        <v>435</v>
      </c>
      <c r="C800" s="18">
        <v>2</v>
      </c>
      <c r="D800" s="1" t="s">
        <v>222</v>
      </c>
      <c r="E800" s="1" t="s">
        <v>226</v>
      </c>
      <c r="L800" s="1">
        <f>IFERROR(VLOOKUP($D800&amp;$C800,生产方式定位!$A$2:$E$38,2,FALSE)+VLOOKUP($E800&amp;$C800,生产方式定位!$F$3:$J$38,2,FALSE),0)</f>
        <v>3200</v>
      </c>
      <c r="S800" s="1">
        <f>IFERROR(VLOOKUP($D800&amp;$C800,生产方式定位!$A$2:$E$38,3,FALSE)+VLOOKUP($E800&amp;$C800,生产方式定位!$F$3:$J$38,3,FALSE),0)</f>
        <v>350</v>
      </c>
      <c r="X800" s="1">
        <f>IFERROR(VLOOKUP($D800&amp;$C800,生产方式定位!$A$2:$E$38,5,FALSE)+VLOOKUP($E800&amp;$C800,生产方式定位!$F$3:$J$38,5,FALSE),"错误")</f>
        <v>1865</v>
      </c>
      <c r="Y800" s="27" t="str">
        <f t="shared" si="96"/>
        <v/>
      </c>
      <c r="Z800" s="37" t="str">
        <f t="shared" si="97"/>
        <v/>
      </c>
      <c r="AA800" s="37" t="str">
        <f t="shared" si="98"/>
        <v/>
      </c>
      <c r="AB800" s="28">
        <f t="shared" si="99"/>
        <v>1.72</v>
      </c>
      <c r="AC800" s="37"/>
      <c r="AD800" s="38">
        <f t="shared" si="100"/>
        <v>2</v>
      </c>
      <c r="AE800" t="str">
        <f>IFERROR(F800&amp;"*"&amp;ROUND(L800*(G800/$AN800)/VLOOKUP(F800,商品!$A$4:$D$67,4,FALSE),0),"")</f>
        <v/>
      </c>
      <c r="AF800" t="str">
        <f>IFERROR(H800&amp;"*"&amp;ROUND(L800*(I800/$AN800)/VLOOKUP(H800,商品!$A$4:$D$67,4,FALSE),0),"")</f>
        <v/>
      </c>
      <c r="AG800" t="str">
        <f>IFERROR(J800&amp;"*"&amp;ROUND(L800*(K800/$AN800)/VLOOKUP(J800,商品!$A$4:$D$67,4,FALSE),0),"")</f>
        <v/>
      </c>
      <c r="AH800" t="str">
        <f>IFERROR(M800&amp;"*"&amp;ROUND(S800*(N800/$AO800)/VLOOKUP(M800,职业!$A$3:$E$16,4,FALSE),0),"")</f>
        <v/>
      </c>
      <c r="AI800" t="str">
        <f>IFERROR(O800&amp;"*"&amp;ROUND(S800*(P800/$AO800)/VLOOKUP(O800,职业!$A$3:$E$16,4,FALSE),0),"")</f>
        <v/>
      </c>
      <c r="AK800" t="str">
        <f>IFERROR(T800&amp;"*"&amp;ROUND(X800*(U800/$AP800)/VLOOKUP(T800,商品!$A$4:$D$67,4,FALSE),0),"")</f>
        <v/>
      </c>
      <c r="AL800" t="str">
        <f>IFERROR(V800&amp;"*"&amp;ROUND(X800*(W800/$AP800)/VLOOKUP(V800,商品!$A$4:$D$67,4,FALSE),0),"")</f>
        <v/>
      </c>
      <c r="AN800">
        <f t="shared" si="101"/>
        <v>0</v>
      </c>
      <c r="AO800">
        <f t="shared" si="102"/>
        <v>0</v>
      </c>
      <c r="AP800">
        <f t="shared" si="103"/>
        <v>0</v>
      </c>
    </row>
    <row r="801" customHeight="1" spans="1:42">
      <c r="A801" s="18" t="s">
        <v>435</v>
      </c>
      <c r="C801" s="18">
        <v>3</v>
      </c>
      <c r="D801" s="1" t="s">
        <v>222</v>
      </c>
      <c r="E801" s="1" t="s">
        <v>226</v>
      </c>
      <c r="L801" s="1">
        <f>IFERROR(VLOOKUP($D801&amp;$C801,生产方式定位!$A$2:$E$38,2,FALSE)+VLOOKUP($E801&amp;$C801,生产方式定位!$F$3:$J$38,2,FALSE),0)</f>
        <v>4400</v>
      </c>
      <c r="S801" s="1">
        <f>IFERROR(VLOOKUP($D801&amp;$C801,生产方式定位!$A$2:$E$38,3,FALSE)+VLOOKUP($E801&amp;$C801,生产方式定位!$F$3:$J$38,3,FALSE),0)</f>
        <v>200</v>
      </c>
      <c r="X801" s="1">
        <f>IFERROR(VLOOKUP($D801&amp;$C801,生产方式定位!$A$2:$E$38,5,FALSE)+VLOOKUP($E801&amp;$C801,生产方式定位!$F$3:$J$38,5,FALSE),"错误")</f>
        <v>2560</v>
      </c>
      <c r="Y801" s="27" t="str">
        <f t="shared" si="96"/>
        <v/>
      </c>
      <c r="Z801" s="37" t="str">
        <f t="shared" si="97"/>
        <v/>
      </c>
      <c r="AA801" s="37" t="str">
        <f t="shared" si="98"/>
        <v/>
      </c>
      <c r="AB801" s="28">
        <f t="shared" si="99"/>
        <v>1.72</v>
      </c>
      <c r="AC801" s="37"/>
      <c r="AD801" s="38">
        <f t="shared" si="100"/>
        <v>3</v>
      </c>
      <c r="AE801" t="str">
        <f>IFERROR(F801&amp;"*"&amp;ROUND(L801*(G801/$AN801)/VLOOKUP(F801,商品!$A$4:$D$67,4,FALSE),0),"")</f>
        <v/>
      </c>
      <c r="AF801" t="str">
        <f>IFERROR(H801&amp;"*"&amp;ROUND(L801*(I801/$AN801)/VLOOKUP(H801,商品!$A$4:$D$67,4,FALSE),0),"")</f>
        <v/>
      </c>
      <c r="AG801" t="str">
        <f>IFERROR(J801&amp;"*"&amp;ROUND(L801*(K801/$AN801)/VLOOKUP(J801,商品!$A$4:$D$67,4,FALSE),0),"")</f>
        <v/>
      </c>
      <c r="AH801" t="str">
        <f>IFERROR(M801&amp;"*"&amp;ROUND(S801*(N801/$AO801)/VLOOKUP(M801,职业!$A$3:$E$16,4,FALSE),0),"")</f>
        <v/>
      </c>
      <c r="AI801" t="str">
        <f>IFERROR(O801&amp;"*"&amp;ROUND(S801*(P801/$AO801)/VLOOKUP(O801,职业!$A$3:$E$16,4,FALSE),0),"")</f>
        <v/>
      </c>
      <c r="AK801" t="str">
        <f>IFERROR(T801&amp;"*"&amp;ROUND(X801*(U801/$AP801)/VLOOKUP(T801,商品!$A$4:$D$67,4,FALSE),0),"")</f>
        <v/>
      </c>
      <c r="AL801" t="str">
        <f>IFERROR(V801&amp;"*"&amp;ROUND(X801*(W801/$AP801)/VLOOKUP(V801,商品!$A$4:$D$67,4,FALSE),0),"")</f>
        <v/>
      </c>
      <c r="AN801">
        <f t="shared" si="101"/>
        <v>0</v>
      </c>
      <c r="AO801">
        <f t="shared" si="102"/>
        <v>0</v>
      </c>
      <c r="AP801">
        <f t="shared" si="103"/>
        <v>0</v>
      </c>
    </row>
    <row r="802" customHeight="1" spans="1:42">
      <c r="A802" s="18" t="s">
        <v>435</v>
      </c>
      <c r="C802" s="18">
        <v>4</v>
      </c>
      <c r="D802" s="1" t="s">
        <v>222</v>
      </c>
      <c r="E802" s="1" t="s">
        <v>226</v>
      </c>
      <c r="L802" s="1">
        <f>IFERROR(VLOOKUP($D802&amp;$C802,生产方式定位!$A$2:$E$38,2,FALSE)+VLOOKUP($E802&amp;$C802,生产方式定位!$F$3:$J$38,2,FALSE),0)</f>
        <v>5600</v>
      </c>
      <c r="S802" s="1">
        <f>IFERROR(VLOOKUP($D802&amp;$C802,生产方式定位!$A$2:$E$38,3,FALSE)+VLOOKUP($E802&amp;$C802,生产方式定位!$F$3:$J$38,3,FALSE),0)</f>
        <v>50</v>
      </c>
      <c r="X802" s="1">
        <f>IFERROR(VLOOKUP($D802&amp;$C802,生产方式定位!$A$2:$E$38,5,FALSE)+VLOOKUP($E802&amp;$C802,生产方式定位!$F$3:$J$38,5,FALSE),"错误")</f>
        <v>3335</v>
      </c>
      <c r="Y802" s="27" t="str">
        <f t="shared" si="96"/>
        <v/>
      </c>
      <c r="Z802" s="37" t="str">
        <f t="shared" si="97"/>
        <v/>
      </c>
      <c r="AA802" s="37" t="str">
        <f t="shared" si="98"/>
        <v/>
      </c>
      <c r="AB802" s="28">
        <f t="shared" si="99"/>
        <v>1.68</v>
      </c>
      <c r="AC802" s="37"/>
      <c r="AD802" s="38">
        <f t="shared" si="100"/>
        <v>4</v>
      </c>
      <c r="AE802" t="str">
        <f>IFERROR(F802&amp;"*"&amp;ROUND(L802*(G802/$AN802)/VLOOKUP(F802,商品!$A$4:$D$67,4,FALSE),0),"")</f>
        <v/>
      </c>
      <c r="AF802" t="str">
        <f>IFERROR(H802&amp;"*"&amp;ROUND(L802*(I802/$AN802)/VLOOKUP(H802,商品!$A$4:$D$67,4,FALSE),0),"")</f>
        <v/>
      </c>
      <c r="AG802" t="str">
        <f>IFERROR(J802&amp;"*"&amp;ROUND(L802*(K802/$AN802)/VLOOKUP(J802,商品!$A$4:$D$67,4,FALSE),0),"")</f>
        <v/>
      </c>
      <c r="AH802" t="str">
        <f>IFERROR(M802&amp;"*"&amp;ROUND(S802*(N802/$AO802)/VLOOKUP(M802,职业!$A$3:$E$16,4,FALSE),0),"")</f>
        <v/>
      </c>
      <c r="AI802" t="str">
        <f>IFERROR(O802&amp;"*"&amp;ROUND(S802*(P802/$AO802)/VLOOKUP(O802,职业!$A$3:$E$16,4,FALSE),0),"")</f>
        <v/>
      </c>
      <c r="AK802" t="str">
        <f>IFERROR(T802&amp;"*"&amp;ROUND(X802*(U802/$AP802)/VLOOKUP(T802,商品!$A$4:$D$67,4,FALSE),0),"")</f>
        <v/>
      </c>
      <c r="AL802" t="str">
        <f>IFERROR(V802&amp;"*"&amp;ROUND(X802*(W802/$AP802)/VLOOKUP(V802,商品!$A$4:$D$67,4,FALSE),0),"")</f>
        <v/>
      </c>
      <c r="AN802">
        <f t="shared" si="101"/>
        <v>0</v>
      </c>
      <c r="AO802">
        <f t="shared" si="102"/>
        <v>0</v>
      </c>
      <c r="AP802">
        <f t="shared" si="103"/>
        <v>0</v>
      </c>
    </row>
    <row r="803" customHeight="1" spans="1:42">
      <c r="A803" s="18" t="s">
        <v>435</v>
      </c>
      <c r="C803" s="18">
        <v>5</v>
      </c>
      <c r="D803" s="1" t="s">
        <v>222</v>
      </c>
      <c r="E803" s="1" t="s">
        <v>226</v>
      </c>
      <c r="L803" s="1">
        <f>IFERROR(VLOOKUP($D803&amp;$C803,生产方式定位!$A$2:$E$38,2,FALSE)+VLOOKUP($E803&amp;$C803,生产方式定位!$F$3:$J$38,2,FALSE),0)</f>
        <v>6800</v>
      </c>
      <c r="S803" s="1">
        <f>IFERROR(VLOOKUP($D803&amp;$C803,生产方式定位!$A$2:$E$38,3,FALSE)+VLOOKUP($E803&amp;$C803,生产方式定位!$F$3:$J$38,3,FALSE),0)</f>
        <v>-100</v>
      </c>
      <c r="X803" s="1">
        <f>IFERROR(VLOOKUP($D803&amp;$C803,生产方式定位!$A$2:$E$38,5,FALSE)+VLOOKUP($E803&amp;$C803,生产方式定位!$F$3:$J$38,5,FALSE),"错误")</f>
        <v>4190</v>
      </c>
      <c r="Y803" s="27" t="str">
        <f t="shared" si="96"/>
        <v/>
      </c>
      <c r="Z803" s="37" t="str">
        <f t="shared" si="97"/>
        <v/>
      </c>
      <c r="AA803" s="37" t="str">
        <f t="shared" si="98"/>
        <v/>
      </c>
      <c r="AB803" s="28">
        <f t="shared" si="99"/>
        <v>1.62</v>
      </c>
      <c r="AC803" s="37"/>
      <c r="AD803" s="38">
        <f t="shared" si="100"/>
        <v>5</v>
      </c>
      <c r="AE803" t="str">
        <f>IFERROR(F803&amp;"*"&amp;ROUND(L803*(G803/$AN803)/VLOOKUP(F803,商品!$A$4:$D$67,4,FALSE),0),"")</f>
        <v/>
      </c>
      <c r="AF803" t="str">
        <f>IFERROR(H803&amp;"*"&amp;ROUND(L803*(I803/$AN803)/VLOOKUP(H803,商品!$A$4:$D$67,4,FALSE),0),"")</f>
        <v/>
      </c>
      <c r="AG803" t="str">
        <f>IFERROR(J803&amp;"*"&amp;ROUND(L803*(K803/$AN803)/VLOOKUP(J803,商品!$A$4:$D$67,4,FALSE),0),"")</f>
        <v/>
      </c>
      <c r="AH803" t="str">
        <f>IFERROR(M803&amp;"*"&amp;ROUND(S803*(N803/$AO803)/VLOOKUP(M803,职业!$A$3:$E$16,4,FALSE),0),"")</f>
        <v/>
      </c>
      <c r="AI803" t="str">
        <f>IFERROR(O803&amp;"*"&amp;ROUND(S803*(P803/$AO803)/VLOOKUP(O803,职业!$A$3:$E$16,4,FALSE),0),"")</f>
        <v/>
      </c>
      <c r="AK803" t="str">
        <f>IFERROR(T803&amp;"*"&amp;ROUND(X803*(U803/$AP803)/VLOOKUP(T803,商品!$A$4:$D$67,4,FALSE),0),"")</f>
        <v/>
      </c>
      <c r="AL803" t="str">
        <f>IFERROR(V803&amp;"*"&amp;ROUND(X803*(W803/$AP803)/VLOOKUP(V803,商品!$A$4:$D$67,4,FALSE),0),"")</f>
        <v/>
      </c>
      <c r="AN803">
        <f t="shared" si="101"/>
        <v>0</v>
      </c>
      <c r="AO803">
        <f t="shared" si="102"/>
        <v>0</v>
      </c>
      <c r="AP803">
        <f t="shared" si="103"/>
        <v>0</v>
      </c>
    </row>
    <row r="804" customHeight="1" spans="1:42">
      <c r="A804" s="5" t="s">
        <v>435</v>
      </c>
      <c r="C804" s="5">
        <v>1</v>
      </c>
      <c r="D804" s="1" t="s">
        <v>222</v>
      </c>
      <c r="E804" s="1" t="s">
        <v>226</v>
      </c>
      <c r="L804" s="1">
        <f>IFERROR(VLOOKUP($D804&amp;$C804,生产方式定位!$A$2:$E$38,2,FALSE)+VLOOKUP($E804&amp;$C804,生产方式定位!$F$3:$J$38,2,FALSE),0)</f>
        <v>0</v>
      </c>
      <c r="S804" s="1">
        <f>IFERROR(VLOOKUP($D804&amp;$C804,生产方式定位!$A$2:$E$38,3,FALSE)+VLOOKUP($E804&amp;$C804,生产方式定位!$F$3:$J$38,3,FALSE),0)</f>
        <v>500</v>
      </c>
      <c r="X804" s="1">
        <f>IFERROR(VLOOKUP($D804&amp;$C804,生产方式定位!$A$2:$E$38,5,FALSE)+VLOOKUP($E804&amp;$C804,生产方式定位!$F$3:$J$38,5,FALSE),"错误")</f>
        <v>250</v>
      </c>
      <c r="Y804" s="27" t="str">
        <f t="shared" si="96"/>
        <v/>
      </c>
      <c r="Z804" s="37" t="str">
        <f t="shared" si="97"/>
        <v/>
      </c>
      <c r="AA804" s="37" t="str">
        <f t="shared" si="98"/>
        <v/>
      </c>
      <c r="AB804" s="28">
        <f t="shared" si="99"/>
        <v>0</v>
      </c>
      <c r="AC804" s="37"/>
      <c r="AD804" s="38">
        <f t="shared" si="100"/>
        <v>1</v>
      </c>
      <c r="AE804" t="str">
        <f>IFERROR(F804&amp;"*"&amp;ROUND(L804*(G804/$AN804)/VLOOKUP(F804,商品!$A$4:$D$67,4,FALSE),0),"")</f>
        <v/>
      </c>
      <c r="AF804" t="str">
        <f>IFERROR(H804&amp;"*"&amp;ROUND(L804*(I804/$AN804)/VLOOKUP(H804,商品!$A$4:$D$67,4,FALSE),0),"")</f>
        <v/>
      </c>
      <c r="AG804" t="str">
        <f>IFERROR(J804&amp;"*"&amp;ROUND(L804*(K804/$AN804)/VLOOKUP(J804,商品!$A$4:$D$67,4,FALSE),0),"")</f>
        <v/>
      </c>
      <c r="AH804" t="str">
        <f>IFERROR(M804&amp;"*"&amp;ROUND(S804*(N804/$AO804)/VLOOKUP(M804,职业!$A$3:$E$16,4,FALSE),0),"")</f>
        <v/>
      </c>
      <c r="AI804" t="str">
        <f>IFERROR(O804&amp;"*"&amp;ROUND(S804*(P804/$AO804)/VLOOKUP(O804,职业!$A$3:$E$16,4,FALSE),0),"")</f>
        <v/>
      </c>
      <c r="AK804" t="str">
        <f>IFERROR(T804&amp;"*"&amp;ROUND(X804*(U804/$AP804)/VLOOKUP(T804,商品!$A$4:$D$67,4,FALSE),0),"")</f>
        <v/>
      </c>
      <c r="AL804" t="str">
        <f>IFERROR(V804&amp;"*"&amp;ROUND(X804*(W804/$AP804)/VLOOKUP(V804,商品!$A$4:$D$67,4,FALSE),0),"")</f>
        <v/>
      </c>
      <c r="AN804">
        <f t="shared" si="101"/>
        <v>0</v>
      </c>
      <c r="AO804">
        <f t="shared" si="102"/>
        <v>0</v>
      </c>
      <c r="AP804">
        <f t="shared" si="103"/>
        <v>0</v>
      </c>
    </row>
    <row r="805" customHeight="1" spans="1:42">
      <c r="A805" s="5" t="s">
        <v>435</v>
      </c>
      <c r="C805" s="5">
        <v>2</v>
      </c>
      <c r="D805" s="1" t="s">
        <v>222</v>
      </c>
      <c r="E805" s="1" t="s">
        <v>226</v>
      </c>
      <c r="L805" s="1">
        <f>IFERROR(VLOOKUP($D805&amp;$C805,生产方式定位!$A$2:$E$38,2,FALSE)+VLOOKUP($E805&amp;$C805,生产方式定位!$F$3:$J$38,2,FALSE),0)</f>
        <v>3200</v>
      </c>
      <c r="S805" s="1">
        <f>IFERROR(VLOOKUP($D805&amp;$C805,生产方式定位!$A$2:$E$38,3,FALSE)+VLOOKUP($E805&amp;$C805,生产方式定位!$F$3:$J$38,3,FALSE),0)</f>
        <v>350</v>
      </c>
      <c r="X805" s="1">
        <f>IFERROR(VLOOKUP($D805&amp;$C805,生产方式定位!$A$2:$E$38,5,FALSE)+VLOOKUP($E805&amp;$C805,生产方式定位!$F$3:$J$38,5,FALSE),"错误")</f>
        <v>1865</v>
      </c>
      <c r="Y805" s="27" t="str">
        <f t="shared" si="96"/>
        <v/>
      </c>
      <c r="Z805" s="37" t="str">
        <f t="shared" si="97"/>
        <v/>
      </c>
      <c r="AA805" s="37" t="str">
        <f t="shared" si="98"/>
        <v/>
      </c>
      <c r="AB805" s="28">
        <f t="shared" si="99"/>
        <v>1.72</v>
      </c>
      <c r="AC805" s="37"/>
      <c r="AD805" s="38">
        <f t="shared" si="100"/>
        <v>2</v>
      </c>
      <c r="AE805" t="str">
        <f>IFERROR(F805&amp;"*"&amp;ROUND(L805*(G805/$AN805)/VLOOKUP(F805,商品!$A$4:$D$67,4,FALSE),0),"")</f>
        <v/>
      </c>
      <c r="AF805" t="str">
        <f>IFERROR(H805&amp;"*"&amp;ROUND(L805*(I805/$AN805)/VLOOKUP(H805,商品!$A$4:$D$67,4,FALSE),0),"")</f>
        <v/>
      </c>
      <c r="AG805" t="str">
        <f>IFERROR(J805&amp;"*"&amp;ROUND(L805*(K805/$AN805)/VLOOKUP(J805,商品!$A$4:$D$67,4,FALSE),0),"")</f>
        <v/>
      </c>
      <c r="AH805" t="str">
        <f>IFERROR(M805&amp;"*"&amp;ROUND(S805*(N805/$AO805)/VLOOKUP(M805,职业!$A$3:$E$16,4,FALSE),0),"")</f>
        <v/>
      </c>
      <c r="AI805" t="str">
        <f>IFERROR(O805&amp;"*"&amp;ROUND(S805*(P805/$AO805)/VLOOKUP(O805,职业!$A$3:$E$16,4,FALSE),0),"")</f>
        <v/>
      </c>
      <c r="AK805" t="str">
        <f>IFERROR(T805&amp;"*"&amp;ROUND(X805*(U805/$AP805)/VLOOKUP(T805,商品!$A$4:$D$67,4,FALSE),0),"")</f>
        <v/>
      </c>
      <c r="AL805" t="str">
        <f>IFERROR(V805&amp;"*"&amp;ROUND(X805*(W805/$AP805)/VLOOKUP(V805,商品!$A$4:$D$67,4,FALSE),0),"")</f>
        <v/>
      </c>
      <c r="AN805">
        <f t="shared" si="101"/>
        <v>0</v>
      </c>
      <c r="AO805">
        <f t="shared" si="102"/>
        <v>0</v>
      </c>
      <c r="AP805">
        <f t="shared" si="103"/>
        <v>0</v>
      </c>
    </row>
    <row r="806" customHeight="1" spans="1:42">
      <c r="A806" s="5" t="s">
        <v>435</v>
      </c>
      <c r="C806" s="5">
        <v>3</v>
      </c>
      <c r="D806" s="1" t="s">
        <v>222</v>
      </c>
      <c r="E806" s="1" t="s">
        <v>226</v>
      </c>
      <c r="L806" s="1">
        <f>IFERROR(VLOOKUP($D806&amp;$C806,生产方式定位!$A$2:$E$38,2,FALSE)+VLOOKUP($E806&amp;$C806,生产方式定位!$F$3:$J$38,2,FALSE),0)</f>
        <v>4400</v>
      </c>
      <c r="S806" s="1">
        <f>IFERROR(VLOOKUP($D806&amp;$C806,生产方式定位!$A$2:$E$38,3,FALSE)+VLOOKUP($E806&amp;$C806,生产方式定位!$F$3:$J$38,3,FALSE),0)</f>
        <v>200</v>
      </c>
      <c r="X806" s="1">
        <f>IFERROR(VLOOKUP($D806&amp;$C806,生产方式定位!$A$2:$E$38,5,FALSE)+VLOOKUP($E806&amp;$C806,生产方式定位!$F$3:$J$38,5,FALSE),"错误")</f>
        <v>2560</v>
      </c>
      <c r="Y806" s="27" t="str">
        <f t="shared" si="96"/>
        <v/>
      </c>
      <c r="Z806" s="37" t="str">
        <f t="shared" si="97"/>
        <v/>
      </c>
      <c r="AA806" s="37" t="str">
        <f t="shared" si="98"/>
        <v/>
      </c>
      <c r="AB806" s="28">
        <f t="shared" si="99"/>
        <v>1.72</v>
      </c>
      <c r="AC806" s="37"/>
      <c r="AD806" s="38">
        <f t="shared" si="100"/>
        <v>3</v>
      </c>
      <c r="AE806" t="str">
        <f>IFERROR(F806&amp;"*"&amp;ROUND(L806*(G806/$AN806)/VLOOKUP(F806,商品!$A$4:$D$67,4,FALSE),0),"")</f>
        <v/>
      </c>
      <c r="AF806" t="str">
        <f>IFERROR(H806&amp;"*"&amp;ROUND(L806*(I806/$AN806)/VLOOKUP(H806,商品!$A$4:$D$67,4,FALSE),0),"")</f>
        <v/>
      </c>
      <c r="AG806" t="str">
        <f>IFERROR(J806&amp;"*"&amp;ROUND(L806*(K806/$AN806)/VLOOKUP(J806,商品!$A$4:$D$67,4,FALSE),0),"")</f>
        <v/>
      </c>
      <c r="AH806" t="str">
        <f>IFERROR(M806&amp;"*"&amp;ROUND(S806*(N806/$AO806)/VLOOKUP(M806,职业!$A$3:$E$16,4,FALSE),0),"")</f>
        <v/>
      </c>
      <c r="AI806" t="str">
        <f>IFERROR(O806&amp;"*"&amp;ROUND(S806*(P806/$AO806)/VLOOKUP(O806,职业!$A$3:$E$16,4,FALSE),0),"")</f>
        <v/>
      </c>
      <c r="AK806" t="str">
        <f>IFERROR(T806&amp;"*"&amp;ROUND(X806*(U806/$AP806)/VLOOKUP(T806,商品!$A$4:$D$67,4,FALSE),0),"")</f>
        <v/>
      </c>
      <c r="AL806" t="str">
        <f>IFERROR(V806&amp;"*"&amp;ROUND(X806*(W806/$AP806)/VLOOKUP(V806,商品!$A$4:$D$67,4,FALSE),0),"")</f>
        <v/>
      </c>
      <c r="AN806">
        <f t="shared" si="101"/>
        <v>0</v>
      </c>
      <c r="AO806">
        <f t="shared" si="102"/>
        <v>0</v>
      </c>
      <c r="AP806">
        <f t="shared" si="103"/>
        <v>0</v>
      </c>
    </row>
    <row r="807" customHeight="1" spans="1:42">
      <c r="A807" s="5" t="s">
        <v>435</v>
      </c>
      <c r="C807" s="5">
        <v>4</v>
      </c>
      <c r="D807" s="1" t="s">
        <v>222</v>
      </c>
      <c r="E807" s="1" t="s">
        <v>226</v>
      </c>
      <c r="L807" s="1">
        <f>IFERROR(VLOOKUP($D807&amp;$C807,生产方式定位!$A$2:$E$38,2,FALSE)+VLOOKUP($E807&amp;$C807,生产方式定位!$F$3:$J$38,2,FALSE),0)</f>
        <v>5600</v>
      </c>
      <c r="S807" s="1">
        <f>IFERROR(VLOOKUP($D807&amp;$C807,生产方式定位!$A$2:$E$38,3,FALSE)+VLOOKUP($E807&amp;$C807,生产方式定位!$F$3:$J$38,3,FALSE),0)</f>
        <v>50</v>
      </c>
      <c r="X807" s="1">
        <f>IFERROR(VLOOKUP($D807&amp;$C807,生产方式定位!$A$2:$E$38,5,FALSE)+VLOOKUP($E807&amp;$C807,生产方式定位!$F$3:$J$38,5,FALSE),"错误")</f>
        <v>3335</v>
      </c>
      <c r="Y807" s="27" t="str">
        <f t="shared" si="96"/>
        <v/>
      </c>
      <c r="Z807" s="37" t="str">
        <f t="shared" si="97"/>
        <v/>
      </c>
      <c r="AA807" s="37" t="str">
        <f t="shared" si="98"/>
        <v/>
      </c>
      <c r="AB807" s="28">
        <f t="shared" si="99"/>
        <v>1.68</v>
      </c>
      <c r="AC807" s="37"/>
      <c r="AD807" s="38">
        <f t="shared" si="100"/>
        <v>4</v>
      </c>
      <c r="AE807" t="str">
        <f>IFERROR(F807&amp;"*"&amp;ROUND(L807*(G807/$AN807)/VLOOKUP(F807,商品!$A$4:$D$67,4,FALSE),0),"")</f>
        <v/>
      </c>
      <c r="AF807" t="str">
        <f>IFERROR(H807&amp;"*"&amp;ROUND(L807*(I807/$AN807)/VLOOKUP(H807,商品!$A$4:$D$67,4,FALSE),0),"")</f>
        <v/>
      </c>
      <c r="AG807" t="str">
        <f>IFERROR(J807&amp;"*"&amp;ROUND(L807*(K807/$AN807)/VLOOKUP(J807,商品!$A$4:$D$67,4,FALSE),0),"")</f>
        <v/>
      </c>
      <c r="AH807" t="str">
        <f>IFERROR(M807&amp;"*"&amp;ROUND(S807*(N807/$AO807)/VLOOKUP(M807,职业!$A$3:$E$16,4,FALSE),0),"")</f>
        <v/>
      </c>
      <c r="AI807" t="str">
        <f>IFERROR(O807&amp;"*"&amp;ROUND(S807*(P807/$AO807)/VLOOKUP(O807,职业!$A$3:$E$16,4,FALSE),0),"")</f>
        <v/>
      </c>
      <c r="AK807" t="str">
        <f>IFERROR(T807&amp;"*"&amp;ROUND(X807*(U807/$AP807)/VLOOKUP(T807,商品!$A$4:$D$67,4,FALSE),0),"")</f>
        <v/>
      </c>
      <c r="AL807" t="str">
        <f>IFERROR(V807&amp;"*"&amp;ROUND(X807*(W807/$AP807)/VLOOKUP(V807,商品!$A$4:$D$67,4,FALSE),0),"")</f>
        <v/>
      </c>
      <c r="AN807">
        <f t="shared" si="101"/>
        <v>0</v>
      </c>
      <c r="AO807">
        <f t="shared" si="102"/>
        <v>0</v>
      </c>
      <c r="AP807">
        <f t="shared" si="103"/>
        <v>0</v>
      </c>
    </row>
    <row r="808" customHeight="1" spans="1:42">
      <c r="A808" s="5" t="s">
        <v>435</v>
      </c>
      <c r="C808" s="5">
        <v>5</v>
      </c>
      <c r="D808" s="1" t="s">
        <v>222</v>
      </c>
      <c r="E808" s="1" t="s">
        <v>226</v>
      </c>
      <c r="L808" s="1">
        <f>IFERROR(VLOOKUP($D808&amp;$C808,生产方式定位!$A$2:$E$38,2,FALSE)+VLOOKUP($E808&amp;$C808,生产方式定位!$F$3:$J$38,2,FALSE),0)</f>
        <v>6800</v>
      </c>
      <c r="S808" s="1">
        <f>IFERROR(VLOOKUP($D808&amp;$C808,生产方式定位!$A$2:$E$38,3,FALSE)+VLOOKUP($E808&amp;$C808,生产方式定位!$F$3:$J$38,3,FALSE),0)</f>
        <v>-100</v>
      </c>
      <c r="X808" s="1">
        <f>IFERROR(VLOOKUP($D808&amp;$C808,生产方式定位!$A$2:$E$38,5,FALSE)+VLOOKUP($E808&amp;$C808,生产方式定位!$F$3:$J$38,5,FALSE),"错误")</f>
        <v>4190</v>
      </c>
      <c r="Y808" s="27" t="str">
        <f t="shared" si="96"/>
        <v/>
      </c>
      <c r="Z808" s="37" t="str">
        <f t="shared" si="97"/>
        <v/>
      </c>
      <c r="AA808" s="37" t="str">
        <f t="shared" si="98"/>
        <v/>
      </c>
      <c r="AB808" s="28">
        <f t="shared" si="99"/>
        <v>1.62</v>
      </c>
      <c r="AC808" s="37"/>
      <c r="AD808" s="38">
        <f t="shared" si="100"/>
        <v>5</v>
      </c>
      <c r="AE808" t="str">
        <f>IFERROR(F808&amp;"*"&amp;ROUND(L808*(G808/$AN808)/VLOOKUP(F808,商品!$A$4:$D$67,4,FALSE),0),"")</f>
        <v/>
      </c>
      <c r="AF808" t="str">
        <f>IFERROR(H808&amp;"*"&amp;ROUND(L808*(I808/$AN808)/VLOOKUP(H808,商品!$A$4:$D$67,4,FALSE),0),"")</f>
        <v/>
      </c>
      <c r="AG808" t="str">
        <f>IFERROR(J808&amp;"*"&amp;ROUND(L808*(K808/$AN808)/VLOOKUP(J808,商品!$A$4:$D$67,4,FALSE),0),"")</f>
        <v/>
      </c>
      <c r="AH808" t="str">
        <f>IFERROR(M808&amp;"*"&amp;ROUND(S808*(N808/$AO808)/VLOOKUP(M808,职业!$A$3:$E$16,4,FALSE),0),"")</f>
        <v/>
      </c>
      <c r="AI808" t="str">
        <f>IFERROR(O808&amp;"*"&amp;ROUND(S808*(P808/$AO808)/VLOOKUP(O808,职业!$A$3:$E$16,4,FALSE),0),"")</f>
        <v/>
      </c>
      <c r="AK808" t="str">
        <f>IFERROR(T808&amp;"*"&amp;ROUND(X808*(U808/$AP808)/VLOOKUP(T808,商品!$A$4:$D$67,4,FALSE),0),"")</f>
        <v/>
      </c>
      <c r="AL808" t="str">
        <f>IFERROR(V808&amp;"*"&amp;ROUND(X808*(W808/$AP808)/VLOOKUP(V808,商品!$A$4:$D$67,4,FALSE),0),"")</f>
        <v/>
      </c>
      <c r="AN808">
        <f t="shared" si="101"/>
        <v>0</v>
      </c>
      <c r="AO808">
        <f t="shared" si="102"/>
        <v>0</v>
      </c>
      <c r="AP808">
        <f t="shared" si="103"/>
        <v>0</v>
      </c>
    </row>
    <row r="809" customHeight="1" spans="1:42">
      <c r="A809" s="18" t="s">
        <v>436</v>
      </c>
      <c r="C809" s="18">
        <v>1</v>
      </c>
      <c r="D809" s="1" t="s">
        <v>293</v>
      </c>
      <c r="E809" s="1" t="s">
        <v>227</v>
      </c>
      <c r="L809" s="1">
        <f>IFERROR(VLOOKUP($D809&amp;$C809,生产方式定位!$A$2:$E$38,2,FALSE)+VLOOKUP($E809&amp;$C809,生产方式定位!$F$3:$J$38,2,FALSE),0)</f>
        <v>0</v>
      </c>
      <c r="S809" s="1">
        <f>IFERROR(VLOOKUP($D809&amp;$C809,生产方式定位!$A$2:$E$38,3,FALSE)+VLOOKUP($E809&amp;$C809,生产方式定位!$F$3:$J$38,3,FALSE),0)</f>
        <v>0</v>
      </c>
      <c r="X809" s="1">
        <f>IFERROR(VLOOKUP($D809&amp;$C809,生产方式定位!$A$2:$E$38,5,FALSE)+VLOOKUP($E809&amp;$C809,生产方式定位!$F$3:$J$38,5,FALSE),"错误")</f>
        <v>0</v>
      </c>
      <c r="Y809" s="27" t="str">
        <f t="shared" si="96"/>
        <v/>
      </c>
      <c r="Z809" s="37" t="str">
        <f t="shared" si="97"/>
        <v/>
      </c>
      <c r="AA809" s="37" t="str">
        <f t="shared" si="98"/>
        <v/>
      </c>
      <c r="AB809" s="28" t="str">
        <f t="shared" si="99"/>
        <v/>
      </c>
      <c r="AC809" s="37"/>
      <c r="AD809" s="38">
        <f t="shared" si="100"/>
        <v>1</v>
      </c>
      <c r="AE809" t="str">
        <f>IFERROR(F809&amp;"*"&amp;ROUND(L809*(G809/$AN809)/VLOOKUP(F809,商品!$A$4:$D$67,4,FALSE),0),"")</f>
        <v/>
      </c>
      <c r="AF809" t="str">
        <f>IFERROR(H809&amp;"*"&amp;ROUND(L809*(I809/$AN809)/VLOOKUP(H809,商品!$A$4:$D$67,4,FALSE),0),"")</f>
        <v/>
      </c>
      <c r="AG809" t="str">
        <f>IFERROR(J809&amp;"*"&amp;ROUND(L809*(K809/$AN809)/VLOOKUP(J809,商品!$A$4:$D$67,4,FALSE),0),"")</f>
        <v/>
      </c>
      <c r="AH809" t="str">
        <f>IFERROR(M809&amp;"*"&amp;ROUND(S809*(N809/$AO809)/VLOOKUP(M809,职业!$A$3:$E$16,4,FALSE),0),"")</f>
        <v/>
      </c>
      <c r="AI809" t="str">
        <f>IFERROR(O809&amp;"*"&amp;ROUND(S809*(P809/$AO809)/VLOOKUP(O809,职业!$A$3:$E$16,4,FALSE),0),"")</f>
        <v/>
      </c>
      <c r="AK809" t="str">
        <f>IFERROR(T809&amp;"*"&amp;ROUND(X809*(U809/$AP809)/VLOOKUP(T809,商品!$A$4:$D$67,4,FALSE),0),"")</f>
        <v/>
      </c>
      <c r="AL809" t="str">
        <f>IFERROR(V809&amp;"*"&amp;ROUND(X809*(W809/$AP809)/VLOOKUP(V809,商品!$A$4:$D$67,4,FALSE),0),"")</f>
        <v/>
      </c>
      <c r="AN809">
        <f t="shared" si="101"/>
        <v>0</v>
      </c>
      <c r="AO809">
        <f t="shared" si="102"/>
        <v>0</v>
      </c>
      <c r="AP809">
        <f t="shared" si="103"/>
        <v>0</v>
      </c>
    </row>
    <row r="810" customHeight="1" spans="1:42">
      <c r="A810" s="18" t="s">
        <v>436</v>
      </c>
      <c r="C810" s="18">
        <v>2</v>
      </c>
      <c r="D810" s="1" t="s">
        <v>293</v>
      </c>
      <c r="E810" s="1" t="s">
        <v>227</v>
      </c>
      <c r="L810" s="1">
        <f>IFERROR(VLOOKUP($D810&amp;$C810,生产方式定位!$A$2:$E$38,2,FALSE)+VLOOKUP($E810&amp;$C810,生产方式定位!$F$3:$J$38,2,FALSE),0)</f>
        <v>0</v>
      </c>
      <c r="S810" s="1">
        <f>IFERROR(VLOOKUP($D810&amp;$C810,生产方式定位!$A$2:$E$38,3,FALSE)+VLOOKUP($E810&amp;$C810,生产方式定位!$F$3:$J$38,3,FALSE),0)</f>
        <v>0</v>
      </c>
      <c r="X810" s="1">
        <f>IFERROR(VLOOKUP($D810&amp;$C810,生产方式定位!$A$2:$E$38,5,FALSE)+VLOOKUP($E810&amp;$C810,生产方式定位!$F$3:$J$38,5,FALSE),"错误")</f>
        <v>0</v>
      </c>
      <c r="Y810" s="27" t="str">
        <f t="shared" si="96"/>
        <v/>
      </c>
      <c r="Z810" s="37" t="str">
        <f t="shared" si="97"/>
        <v/>
      </c>
      <c r="AA810" s="37" t="str">
        <f t="shared" si="98"/>
        <v/>
      </c>
      <c r="AB810" s="28" t="str">
        <f t="shared" si="99"/>
        <v/>
      </c>
      <c r="AC810" s="37"/>
      <c r="AD810" s="38">
        <f t="shared" si="100"/>
        <v>2</v>
      </c>
      <c r="AE810" t="str">
        <f>IFERROR(F810&amp;"*"&amp;ROUND(L810*(G810/$AN810)/VLOOKUP(F810,商品!$A$4:$D$67,4,FALSE),0),"")</f>
        <v/>
      </c>
      <c r="AF810" t="str">
        <f>IFERROR(H810&amp;"*"&amp;ROUND(L810*(I810/$AN810)/VLOOKUP(H810,商品!$A$4:$D$67,4,FALSE),0),"")</f>
        <v/>
      </c>
      <c r="AG810" t="str">
        <f>IFERROR(J810&amp;"*"&amp;ROUND(L810*(K810/$AN810)/VLOOKUP(J810,商品!$A$4:$D$67,4,FALSE),0),"")</f>
        <v/>
      </c>
      <c r="AH810" t="str">
        <f>IFERROR(M810&amp;"*"&amp;ROUND(S810*(N810/$AO810)/VLOOKUP(M810,职业!$A$3:$E$16,4,FALSE),0),"")</f>
        <v/>
      </c>
      <c r="AI810" t="str">
        <f>IFERROR(O810&amp;"*"&amp;ROUND(S810*(P810/$AO810)/VLOOKUP(O810,职业!$A$3:$E$16,4,FALSE),0),"")</f>
        <v/>
      </c>
      <c r="AK810" t="str">
        <f>IFERROR(T810&amp;"*"&amp;ROUND(X810*(U810/$AP810)/VLOOKUP(T810,商品!$A$4:$D$67,4,FALSE),0),"")</f>
        <v/>
      </c>
      <c r="AL810" t="str">
        <f>IFERROR(V810&amp;"*"&amp;ROUND(X810*(W810/$AP810)/VLOOKUP(V810,商品!$A$4:$D$67,4,FALSE),0),"")</f>
        <v/>
      </c>
      <c r="AN810">
        <f t="shared" si="101"/>
        <v>0</v>
      </c>
      <c r="AO810">
        <f t="shared" si="102"/>
        <v>0</v>
      </c>
      <c r="AP810">
        <f t="shared" si="103"/>
        <v>0</v>
      </c>
    </row>
    <row r="811" customHeight="1" spans="1:42">
      <c r="A811" s="18" t="s">
        <v>436</v>
      </c>
      <c r="C811" s="18">
        <v>3</v>
      </c>
      <c r="D811" s="1" t="s">
        <v>293</v>
      </c>
      <c r="E811" s="1" t="s">
        <v>227</v>
      </c>
      <c r="L811" s="1">
        <f>IFERROR(VLOOKUP($D811&amp;$C811,生产方式定位!$A$2:$E$38,2,FALSE)+VLOOKUP($E811&amp;$C811,生产方式定位!$F$3:$J$38,2,FALSE),0)</f>
        <v>0</v>
      </c>
      <c r="S811" s="1">
        <f>IFERROR(VLOOKUP($D811&amp;$C811,生产方式定位!$A$2:$E$38,3,FALSE)+VLOOKUP($E811&amp;$C811,生产方式定位!$F$3:$J$38,3,FALSE),0)</f>
        <v>0</v>
      </c>
      <c r="X811" s="1">
        <f>IFERROR(VLOOKUP($D811&amp;$C811,生产方式定位!$A$2:$E$38,5,FALSE)+VLOOKUP($E811&amp;$C811,生产方式定位!$F$3:$J$38,5,FALSE),"错误")</f>
        <v>0</v>
      </c>
      <c r="Y811" s="27" t="str">
        <f t="shared" si="96"/>
        <v/>
      </c>
      <c r="Z811" s="37" t="str">
        <f t="shared" si="97"/>
        <v/>
      </c>
      <c r="AA811" s="37" t="str">
        <f t="shared" si="98"/>
        <v/>
      </c>
      <c r="AB811" s="28" t="str">
        <f t="shared" si="99"/>
        <v/>
      </c>
      <c r="AC811" s="37"/>
      <c r="AD811" s="38">
        <f t="shared" si="100"/>
        <v>3</v>
      </c>
      <c r="AE811" t="str">
        <f>IFERROR(F811&amp;"*"&amp;ROUND(L811*(G811/$AN811)/VLOOKUP(F811,商品!$A$4:$D$67,4,FALSE),0),"")</f>
        <v/>
      </c>
      <c r="AF811" t="str">
        <f>IFERROR(H811&amp;"*"&amp;ROUND(L811*(I811/$AN811)/VLOOKUP(H811,商品!$A$4:$D$67,4,FALSE),0),"")</f>
        <v/>
      </c>
      <c r="AG811" t="str">
        <f>IFERROR(J811&amp;"*"&amp;ROUND(L811*(K811/$AN811)/VLOOKUP(J811,商品!$A$4:$D$67,4,FALSE),0),"")</f>
        <v/>
      </c>
      <c r="AH811" t="str">
        <f>IFERROR(M811&amp;"*"&amp;ROUND(S811*(N811/$AO811)/VLOOKUP(M811,职业!$A$3:$E$16,4,FALSE),0),"")</f>
        <v/>
      </c>
      <c r="AI811" t="str">
        <f>IFERROR(O811&amp;"*"&amp;ROUND(S811*(P811/$AO811)/VLOOKUP(O811,职业!$A$3:$E$16,4,FALSE),0),"")</f>
        <v/>
      </c>
      <c r="AK811" t="str">
        <f>IFERROR(T811&amp;"*"&amp;ROUND(X811*(U811/$AP811)/VLOOKUP(T811,商品!$A$4:$D$67,4,FALSE),0),"")</f>
        <v/>
      </c>
      <c r="AL811" t="str">
        <f>IFERROR(V811&amp;"*"&amp;ROUND(X811*(W811/$AP811)/VLOOKUP(V811,商品!$A$4:$D$67,4,FALSE),0),"")</f>
        <v/>
      </c>
      <c r="AN811">
        <f t="shared" si="101"/>
        <v>0</v>
      </c>
      <c r="AO811">
        <f t="shared" si="102"/>
        <v>0</v>
      </c>
      <c r="AP811">
        <f t="shared" si="103"/>
        <v>0</v>
      </c>
    </row>
    <row r="812" customHeight="1" spans="1:42">
      <c r="A812" s="18" t="s">
        <v>436</v>
      </c>
      <c r="C812" s="18">
        <v>4</v>
      </c>
      <c r="D812" s="1" t="s">
        <v>293</v>
      </c>
      <c r="E812" s="1" t="s">
        <v>227</v>
      </c>
      <c r="L812" s="1">
        <f>IFERROR(VLOOKUP($D812&amp;$C812,生产方式定位!$A$2:$E$38,2,FALSE)+VLOOKUP($E812&amp;$C812,生产方式定位!$F$3:$J$38,2,FALSE),0)</f>
        <v>0</v>
      </c>
      <c r="S812" s="1">
        <f>IFERROR(VLOOKUP($D812&amp;$C812,生产方式定位!$A$2:$E$38,3,FALSE)+VLOOKUP($E812&amp;$C812,生产方式定位!$F$3:$J$38,3,FALSE),0)</f>
        <v>0</v>
      </c>
      <c r="X812" s="1">
        <f>IFERROR(VLOOKUP($D812&amp;$C812,生产方式定位!$A$2:$E$38,5,FALSE)+VLOOKUP($E812&amp;$C812,生产方式定位!$F$3:$J$38,5,FALSE),"错误")</f>
        <v>0</v>
      </c>
      <c r="Y812" s="27" t="str">
        <f t="shared" si="96"/>
        <v/>
      </c>
      <c r="Z812" s="37" t="str">
        <f t="shared" si="97"/>
        <v/>
      </c>
      <c r="AA812" s="37" t="str">
        <f t="shared" si="98"/>
        <v/>
      </c>
      <c r="AB812" s="28" t="str">
        <f t="shared" si="99"/>
        <v/>
      </c>
      <c r="AC812" s="37"/>
      <c r="AD812" s="38">
        <f t="shared" si="100"/>
        <v>4</v>
      </c>
      <c r="AE812" t="str">
        <f>IFERROR(F812&amp;"*"&amp;ROUND(L812*(G812/$AN812)/VLOOKUP(F812,商品!$A$4:$D$67,4,FALSE),0),"")</f>
        <v/>
      </c>
      <c r="AF812" t="str">
        <f>IFERROR(H812&amp;"*"&amp;ROUND(L812*(I812/$AN812)/VLOOKUP(H812,商品!$A$4:$D$67,4,FALSE),0),"")</f>
        <v/>
      </c>
      <c r="AG812" t="str">
        <f>IFERROR(J812&amp;"*"&amp;ROUND(L812*(K812/$AN812)/VLOOKUP(J812,商品!$A$4:$D$67,4,FALSE),0),"")</f>
        <v/>
      </c>
      <c r="AH812" t="str">
        <f>IFERROR(M812&amp;"*"&amp;ROUND(S812*(N812/$AO812)/VLOOKUP(M812,职业!$A$3:$E$16,4,FALSE),0),"")</f>
        <v/>
      </c>
      <c r="AI812" t="str">
        <f>IFERROR(O812&amp;"*"&amp;ROUND(S812*(P812/$AO812)/VLOOKUP(O812,职业!$A$3:$E$16,4,FALSE),0),"")</f>
        <v/>
      </c>
      <c r="AK812" t="str">
        <f>IFERROR(T812&amp;"*"&amp;ROUND(X812*(U812/$AP812)/VLOOKUP(T812,商品!$A$4:$D$67,4,FALSE),0),"")</f>
        <v/>
      </c>
      <c r="AL812" t="str">
        <f>IFERROR(V812&amp;"*"&amp;ROUND(X812*(W812/$AP812)/VLOOKUP(V812,商品!$A$4:$D$67,4,FALSE),0),"")</f>
        <v/>
      </c>
      <c r="AN812">
        <f t="shared" si="101"/>
        <v>0</v>
      </c>
      <c r="AO812">
        <f t="shared" si="102"/>
        <v>0</v>
      </c>
      <c r="AP812">
        <f t="shared" si="103"/>
        <v>0</v>
      </c>
    </row>
    <row r="813" customHeight="1" spans="1:42">
      <c r="A813" s="18" t="s">
        <v>436</v>
      </c>
      <c r="C813" s="18">
        <v>5</v>
      </c>
      <c r="D813" s="1" t="s">
        <v>293</v>
      </c>
      <c r="E813" s="1" t="s">
        <v>227</v>
      </c>
      <c r="L813" s="1">
        <f>IFERROR(VLOOKUP($D813&amp;$C813,生产方式定位!$A$2:$E$38,2,FALSE)+VLOOKUP($E813&amp;$C813,生产方式定位!$F$3:$J$38,2,FALSE),0)</f>
        <v>0</v>
      </c>
      <c r="S813" s="1">
        <f>IFERROR(VLOOKUP($D813&amp;$C813,生产方式定位!$A$2:$E$38,3,FALSE)+VLOOKUP($E813&amp;$C813,生产方式定位!$F$3:$J$38,3,FALSE),0)</f>
        <v>0</v>
      </c>
      <c r="X813" s="1">
        <f>IFERROR(VLOOKUP($D813&amp;$C813,生产方式定位!$A$2:$E$38,5,FALSE)+VLOOKUP($E813&amp;$C813,生产方式定位!$F$3:$J$38,5,FALSE),"错误")</f>
        <v>0</v>
      </c>
      <c r="Y813" s="27" t="str">
        <f t="shared" si="96"/>
        <v/>
      </c>
      <c r="Z813" s="37" t="str">
        <f t="shared" si="97"/>
        <v/>
      </c>
      <c r="AA813" s="37" t="str">
        <f t="shared" si="98"/>
        <v/>
      </c>
      <c r="AB813" s="28" t="str">
        <f t="shared" si="99"/>
        <v/>
      </c>
      <c r="AC813" s="37"/>
      <c r="AD813" s="38">
        <f t="shared" si="100"/>
        <v>5</v>
      </c>
      <c r="AE813" t="str">
        <f>IFERROR(F813&amp;"*"&amp;ROUND(L813*(G813/$AN813)/VLOOKUP(F813,商品!$A$4:$D$67,4,FALSE),0),"")</f>
        <v/>
      </c>
      <c r="AF813" t="str">
        <f>IFERROR(H813&amp;"*"&amp;ROUND(L813*(I813/$AN813)/VLOOKUP(H813,商品!$A$4:$D$67,4,FALSE),0),"")</f>
        <v/>
      </c>
      <c r="AG813" t="str">
        <f>IFERROR(J813&amp;"*"&amp;ROUND(L813*(K813/$AN813)/VLOOKUP(J813,商品!$A$4:$D$67,4,FALSE),0),"")</f>
        <v/>
      </c>
      <c r="AH813" t="str">
        <f>IFERROR(M813&amp;"*"&amp;ROUND(S813*(N813/$AO813)/VLOOKUP(M813,职业!$A$3:$E$16,4,FALSE),0),"")</f>
        <v/>
      </c>
      <c r="AI813" t="str">
        <f>IFERROR(O813&amp;"*"&amp;ROUND(S813*(P813/$AO813)/VLOOKUP(O813,职业!$A$3:$E$16,4,FALSE),0),"")</f>
        <v/>
      </c>
      <c r="AK813" t="str">
        <f>IFERROR(T813&amp;"*"&amp;ROUND(X813*(U813/$AP813)/VLOOKUP(T813,商品!$A$4:$D$67,4,FALSE),0),"")</f>
        <v/>
      </c>
      <c r="AL813" t="str">
        <f>IFERROR(V813&amp;"*"&amp;ROUND(X813*(W813/$AP813)/VLOOKUP(V813,商品!$A$4:$D$67,4,FALSE),0),"")</f>
        <v/>
      </c>
      <c r="AN813">
        <f t="shared" si="101"/>
        <v>0</v>
      </c>
      <c r="AO813">
        <f t="shared" si="102"/>
        <v>0</v>
      </c>
      <c r="AP813">
        <f t="shared" si="103"/>
        <v>0</v>
      </c>
    </row>
    <row r="814" customHeight="1" spans="1:42">
      <c r="A814" s="18" t="s">
        <v>436</v>
      </c>
      <c r="C814" s="18">
        <v>6</v>
      </c>
      <c r="D814" s="1" t="s">
        <v>293</v>
      </c>
      <c r="E814" s="1" t="s">
        <v>227</v>
      </c>
      <c r="L814" s="1">
        <f>IFERROR(VLOOKUP($D814&amp;$C814,生产方式定位!$A$2:$E$38,2,FALSE)+VLOOKUP($E814&amp;$C814,生产方式定位!$F$3:$J$38,2,FALSE),0)</f>
        <v>0</v>
      </c>
      <c r="S814" s="1">
        <f>IFERROR(VLOOKUP($D814&amp;$C814,生产方式定位!$A$2:$E$38,3,FALSE)+VLOOKUP($E814&amp;$C814,生产方式定位!$F$3:$J$38,3,FALSE),0)</f>
        <v>0</v>
      </c>
      <c r="X814" s="1">
        <f>IFERROR(VLOOKUP($D814&amp;$C814,生产方式定位!$A$2:$E$38,5,FALSE)+VLOOKUP($E814&amp;$C814,生产方式定位!$F$3:$J$38,5,FALSE),"错误")</f>
        <v>0</v>
      </c>
      <c r="Y814" s="27" t="str">
        <f t="shared" si="96"/>
        <v/>
      </c>
      <c r="Z814" s="37" t="str">
        <f t="shared" si="97"/>
        <v/>
      </c>
      <c r="AA814" s="37" t="str">
        <f t="shared" si="98"/>
        <v/>
      </c>
      <c r="AB814" s="28" t="str">
        <f t="shared" si="99"/>
        <v/>
      </c>
      <c r="AC814" s="37"/>
      <c r="AD814" s="38">
        <f t="shared" si="100"/>
        <v>6</v>
      </c>
      <c r="AE814" t="str">
        <f>IFERROR(F814&amp;"*"&amp;ROUND(L814*(G814/$AN814)/VLOOKUP(F814,商品!$A$4:$D$67,4,FALSE),0),"")</f>
        <v/>
      </c>
      <c r="AF814" t="str">
        <f>IFERROR(H814&amp;"*"&amp;ROUND(L814*(I814/$AN814)/VLOOKUP(H814,商品!$A$4:$D$67,4,FALSE),0),"")</f>
        <v/>
      </c>
      <c r="AG814" t="str">
        <f>IFERROR(J814&amp;"*"&amp;ROUND(L814*(K814/$AN814)/VLOOKUP(J814,商品!$A$4:$D$67,4,FALSE),0),"")</f>
        <v/>
      </c>
      <c r="AH814" t="str">
        <f>IFERROR(M814&amp;"*"&amp;ROUND(S814*(N814/$AO814)/VLOOKUP(M814,职业!$A$3:$E$16,4,FALSE),0),"")</f>
        <v/>
      </c>
      <c r="AI814" t="str">
        <f>IFERROR(O814&amp;"*"&amp;ROUND(S814*(P814/$AO814)/VLOOKUP(O814,职业!$A$3:$E$16,4,FALSE),0),"")</f>
        <v/>
      </c>
      <c r="AK814" t="str">
        <f>IFERROR(T814&amp;"*"&amp;ROUND(X814*(U814/$AP814)/VLOOKUP(T814,商品!$A$4:$D$67,4,FALSE),0),"")</f>
        <v/>
      </c>
      <c r="AL814" t="str">
        <f>IFERROR(V814&amp;"*"&amp;ROUND(X814*(W814/$AP814)/VLOOKUP(V814,商品!$A$4:$D$67,4,FALSE),0),"")</f>
        <v/>
      </c>
      <c r="AN814">
        <f t="shared" si="101"/>
        <v>0</v>
      </c>
      <c r="AO814">
        <f t="shared" si="102"/>
        <v>0</v>
      </c>
      <c r="AP814">
        <f t="shared" si="103"/>
        <v>0</v>
      </c>
    </row>
    <row r="815" customHeight="1" spans="1:42">
      <c r="A815" s="18" t="s">
        <v>436</v>
      </c>
      <c r="C815" s="18">
        <v>7</v>
      </c>
      <c r="D815" s="1" t="s">
        <v>293</v>
      </c>
      <c r="E815" s="1" t="s">
        <v>227</v>
      </c>
      <c r="L815" s="1">
        <f>IFERROR(VLOOKUP($D815&amp;$C815,生产方式定位!$A$2:$E$38,2,FALSE)+VLOOKUP($E815&amp;$C815,生产方式定位!$F$3:$J$38,2,FALSE),0)</f>
        <v>0</v>
      </c>
      <c r="S815" s="1">
        <f>IFERROR(VLOOKUP($D815&amp;$C815,生产方式定位!$A$2:$E$38,3,FALSE)+VLOOKUP($E815&amp;$C815,生产方式定位!$F$3:$J$38,3,FALSE),0)</f>
        <v>0</v>
      </c>
      <c r="X815" s="1">
        <f>IFERROR(VLOOKUP($D815&amp;$C815,生产方式定位!$A$2:$E$38,5,FALSE)+VLOOKUP($E815&amp;$C815,生产方式定位!$F$3:$J$38,5,FALSE),"错误")</f>
        <v>0</v>
      </c>
      <c r="Y815" s="27" t="str">
        <f t="shared" si="96"/>
        <v/>
      </c>
      <c r="Z815" s="37" t="str">
        <f t="shared" si="97"/>
        <v/>
      </c>
      <c r="AA815" s="37" t="str">
        <f t="shared" si="98"/>
        <v/>
      </c>
      <c r="AB815" s="28" t="str">
        <f t="shared" si="99"/>
        <v/>
      </c>
      <c r="AC815" s="37"/>
      <c r="AD815" s="38">
        <f t="shared" si="100"/>
        <v>7</v>
      </c>
      <c r="AE815" t="str">
        <f>IFERROR(F815&amp;"*"&amp;ROUND(L815*(G815/$AN815)/VLOOKUP(F815,商品!$A$4:$D$67,4,FALSE),0),"")</f>
        <v/>
      </c>
      <c r="AF815" t="str">
        <f>IFERROR(H815&amp;"*"&amp;ROUND(L815*(I815/$AN815)/VLOOKUP(H815,商品!$A$4:$D$67,4,FALSE),0),"")</f>
        <v/>
      </c>
      <c r="AG815" t="str">
        <f>IFERROR(J815&amp;"*"&amp;ROUND(L815*(K815/$AN815)/VLOOKUP(J815,商品!$A$4:$D$67,4,FALSE),0),"")</f>
        <v/>
      </c>
      <c r="AH815" t="str">
        <f>IFERROR(M815&amp;"*"&amp;ROUND(S815*(N815/$AO815)/VLOOKUP(M815,职业!$A$3:$E$16,4,FALSE),0),"")</f>
        <v/>
      </c>
      <c r="AI815" t="str">
        <f>IFERROR(O815&amp;"*"&amp;ROUND(S815*(P815/$AO815)/VLOOKUP(O815,职业!$A$3:$E$16,4,FALSE),0),"")</f>
        <v/>
      </c>
      <c r="AK815" t="str">
        <f>IFERROR(T815&amp;"*"&amp;ROUND(X815*(U815/$AP815)/VLOOKUP(T815,商品!$A$4:$D$67,4,FALSE),0),"")</f>
        <v/>
      </c>
      <c r="AL815" t="str">
        <f>IFERROR(V815&amp;"*"&amp;ROUND(X815*(W815/$AP815)/VLOOKUP(V815,商品!$A$4:$D$67,4,FALSE),0),"")</f>
        <v/>
      </c>
      <c r="AN815">
        <f t="shared" si="101"/>
        <v>0</v>
      </c>
      <c r="AO815">
        <f t="shared" si="102"/>
        <v>0</v>
      </c>
      <c r="AP815">
        <f t="shared" si="103"/>
        <v>0</v>
      </c>
    </row>
    <row r="816" customHeight="1" spans="1:42">
      <c r="A816" s="18" t="s">
        <v>436</v>
      </c>
      <c r="C816" s="18">
        <v>8</v>
      </c>
      <c r="D816" s="1" t="s">
        <v>293</v>
      </c>
      <c r="E816" s="1" t="s">
        <v>227</v>
      </c>
      <c r="L816" s="1">
        <f>IFERROR(VLOOKUP($D816&amp;$C816,生产方式定位!$A$2:$E$38,2,FALSE)+VLOOKUP($E816&amp;$C816,生产方式定位!$F$3:$J$38,2,FALSE),0)</f>
        <v>0</v>
      </c>
      <c r="S816" s="1">
        <f>IFERROR(VLOOKUP($D816&amp;$C816,生产方式定位!$A$2:$E$38,3,FALSE)+VLOOKUP($E816&amp;$C816,生产方式定位!$F$3:$J$38,3,FALSE),0)</f>
        <v>0</v>
      </c>
      <c r="X816" s="1">
        <f>IFERROR(VLOOKUP($D816&amp;$C816,生产方式定位!$A$2:$E$38,5,FALSE)+VLOOKUP($E816&amp;$C816,生产方式定位!$F$3:$J$38,5,FALSE),"错误")</f>
        <v>0</v>
      </c>
      <c r="Y816" s="27" t="str">
        <f t="shared" si="96"/>
        <v/>
      </c>
      <c r="Z816" s="37" t="str">
        <f t="shared" si="97"/>
        <v/>
      </c>
      <c r="AA816" s="37" t="str">
        <f t="shared" si="98"/>
        <v/>
      </c>
      <c r="AB816" s="28" t="str">
        <f t="shared" si="99"/>
        <v/>
      </c>
      <c r="AC816" s="37"/>
      <c r="AD816" s="38">
        <f t="shared" si="100"/>
        <v>8</v>
      </c>
      <c r="AE816" t="str">
        <f>IFERROR(F816&amp;"*"&amp;ROUND(L816*(G816/$AN816)/VLOOKUP(F816,商品!$A$4:$D$67,4,FALSE),0),"")</f>
        <v/>
      </c>
      <c r="AF816" t="str">
        <f>IFERROR(H816&amp;"*"&amp;ROUND(L816*(I816/$AN816)/VLOOKUP(H816,商品!$A$4:$D$67,4,FALSE),0),"")</f>
        <v/>
      </c>
      <c r="AG816" t="str">
        <f>IFERROR(J816&amp;"*"&amp;ROUND(L816*(K816/$AN816)/VLOOKUP(J816,商品!$A$4:$D$67,4,FALSE),0),"")</f>
        <v/>
      </c>
      <c r="AH816" t="str">
        <f>IFERROR(M816&amp;"*"&amp;ROUND(S816*(N816/$AO816)/VLOOKUP(M816,职业!$A$3:$E$16,4,FALSE),0),"")</f>
        <v/>
      </c>
      <c r="AI816" t="str">
        <f>IFERROR(O816&amp;"*"&amp;ROUND(S816*(P816/$AO816)/VLOOKUP(O816,职业!$A$3:$E$16,4,FALSE),0),"")</f>
        <v/>
      </c>
      <c r="AK816" t="str">
        <f>IFERROR(T816&amp;"*"&amp;ROUND(X816*(U816/$AP816)/VLOOKUP(T816,商品!$A$4:$D$67,4,FALSE),0),"")</f>
        <v/>
      </c>
      <c r="AL816" t="str">
        <f>IFERROR(V816&amp;"*"&amp;ROUND(X816*(W816/$AP816)/VLOOKUP(V816,商品!$A$4:$D$67,4,FALSE),0),"")</f>
        <v/>
      </c>
      <c r="AN816">
        <f t="shared" si="101"/>
        <v>0</v>
      </c>
      <c r="AO816">
        <f t="shared" si="102"/>
        <v>0</v>
      </c>
      <c r="AP816">
        <f t="shared" si="103"/>
        <v>0</v>
      </c>
    </row>
    <row r="817" customHeight="1" spans="1:42">
      <c r="A817" s="5" t="s">
        <v>438</v>
      </c>
      <c r="C817" s="5">
        <v>1</v>
      </c>
      <c r="D817" s="1" t="s">
        <v>222</v>
      </c>
      <c r="E817" s="1" t="s">
        <v>224</v>
      </c>
      <c r="L817" s="1">
        <f>IFERROR(VLOOKUP($D817&amp;$C817,生产方式定位!$A$2:$E$38,2,FALSE)+VLOOKUP($E817&amp;$C817,生产方式定位!$F$3:$J$38,2,FALSE),0)</f>
        <v>0</v>
      </c>
      <c r="S817" s="1">
        <f>IFERROR(VLOOKUP($D817&amp;$C817,生产方式定位!$A$2:$E$38,3,FALSE)+VLOOKUP($E817&amp;$C817,生产方式定位!$F$3:$J$38,3,FALSE),0)</f>
        <v>500</v>
      </c>
      <c r="X817" s="1">
        <f>IFERROR(VLOOKUP($D817&amp;$C817,生产方式定位!$A$2:$E$38,5,FALSE)+VLOOKUP($E817&amp;$C817,生产方式定位!$F$3:$J$38,5,FALSE),"错误")</f>
        <v>250</v>
      </c>
      <c r="Y817" s="27" t="str">
        <f t="shared" si="96"/>
        <v/>
      </c>
      <c r="Z817" s="37" t="str">
        <f t="shared" si="97"/>
        <v/>
      </c>
      <c r="AA817" s="37" t="str">
        <f t="shared" si="98"/>
        <v/>
      </c>
      <c r="AB817" s="28">
        <f t="shared" si="99"/>
        <v>0</v>
      </c>
      <c r="AC817" s="37"/>
      <c r="AD817" s="38">
        <f t="shared" si="100"/>
        <v>1</v>
      </c>
      <c r="AE817" t="str">
        <f>IFERROR(F817&amp;"*"&amp;ROUND(L817*(G817/$AN817)/VLOOKUP(F817,商品!$A$4:$D$67,4,FALSE),0),"")</f>
        <v/>
      </c>
      <c r="AF817" t="str">
        <f>IFERROR(H817&amp;"*"&amp;ROUND(L817*(I817/$AN817)/VLOOKUP(H817,商品!$A$4:$D$67,4,FALSE),0),"")</f>
        <v/>
      </c>
      <c r="AG817" t="str">
        <f>IFERROR(J817&amp;"*"&amp;ROUND(L817*(K817/$AN817)/VLOOKUP(J817,商品!$A$4:$D$67,4,FALSE),0),"")</f>
        <v/>
      </c>
      <c r="AH817" t="str">
        <f>IFERROR(M817&amp;"*"&amp;ROUND(S817*(N817/$AO817)/VLOOKUP(M817,职业!$A$3:$E$16,4,FALSE),0),"")</f>
        <v/>
      </c>
      <c r="AI817" t="str">
        <f>IFERROR(O817&amp;"*"&amp;ROUND(S817*(P817/$AO817)/VLOOKUP(O817,职业!$A$3:$E$16,4,FALSE),0),"")</f>
        <v/>
      </c>
      <c r="AK817" t="str">
        <f>IFERROR(T817&amp;"*"&amp;ROUND(X817*(U817/$AP817)/VLOOKUP(T817,商品!$A$4:$D$67,4,FALSE),0),"")</f>
        <v/>
      </c>
      <c r="AL817" t="str">
        <f>IFERROR(V817&amp;"*"&amp;ROUND(X817*(W817/$AP817)/VLOOKUP(V817,商品!$A$4:$D$67,4,FALSE),0),"")</f>
        <v/>
      </c>
      <c r="AN817">
        <f t="shared" si="101"/>
        <v>0</v>
      </c>
      <c r="AO817">
        <f t="shared" si="102"/>
        <v>0</v>
      </c>
      <c r="AP817">
        <f t="shared" si="103"/>
        <v>0</v>
      </c>
    </row>
    <row r="818" customHeight="1" spans="1:42">
      <c r="A818" s="5" t="s">
        <v>438</v>
      </c>
      <c r="C818" s="5">
        <v>2</v>
      </c>
      <c r="D818" s="1" t="s">
        <v>222</v>
      </c>
      <c r="E818" s="1" t="s">
        <v>224</v>
      </c>
      <c r="L818" s="1">
        <f>IFERROR(VLOOKUP($D818&amp;$C818,生产方式定位!$A$2:$E$38,2,FALSE)+VLOOKUP($E818&amp;$C818,生产方式定位!$F$3:$J$38,2,FALSE),0)</f>
        <v>2200</v>
      </c>
      <c r="S818" s="1">
        <f>IFERROR(VLOOKUP($D818&amp;$C818,生产方式定位!$A$2:$E$38,3,FALSE)+VLOOKUP($E818&amp;$C818,生产方式定位!$F$3:$J$38,3,FALSE),0)</f>
        <v>750</v>
      </c>
      <c r="X818" s="1">
        <f>IFERROR(VLOOKUP($D818&amp;$C818,生产方式定位!$A$2:$E$38,5,FALSE)+VLOOKUP($E818&amp;$C818,生产方式定位!$F$3:$J$38,5,FALSE),"错误")</f>
        <v>1547</v>
      </c>
      <c r="Y818" s="27" t="str">
        <f t="shared" si="96"/>
        <v/>
      </c>
      <c r="Z818" s="37" t="str">
        <f t="shared" si="97"/>
        <v/>
      </c>
      <c r="AA818" s="37" t="str">
        <f t="shared" si="98"/>
        <v/>
      </c>
      <c r="AB818" s="28">
        <f t="shared" si="99"/>
        <v>1.42</v>
      </c>
      <c r="AC818" s="37"/>
      <c r="AD818" s="38">
        <f t="shared" si="100"/>
        <v>2</v>
      </c>
      <c r="AE818" t="str">
        <f>IFERROR(F818&amp;"*"&amp;ROUND(L818*(G818/$AN818)/VLOOKUP(F818,商品!$A$4:$D$67,4,FALSE),0),"")</f>
        <v/>
      </c>
      <c r="AF818" t="str">
        <f>IFERROR(H818&amp;"*"&amp;ROUND(L818*(I818/$AN818)/VLOOKUP(H818,商品!$A$4:$D$67,4,FALSE),0),"")</f>
        <v/>
      </c>
      <c r="AG818" t="str">
        <f>IFERROR(J818&amp;"*"&amp;ROUND(L818*(K818/$AN818)/VLOOKUP(J818,商品!$A$4:$D$67,4,FALSE),0),"")</f>
        <v/>
      </c>
      <c r="AH818" t="str">
        <f>IFERROR(M818&amp;"*"&amp;ROUND(S818*(N818/$AO818)/VLOOKUP(M818,职业!$A$3:$E$16,4,FALSE),0),"")</f>
        <v/>
      </c>
      <c r="AI818" t="str">
        <f>IFERROR(O818&amp;"*"&amp;ROUND(S818*(P818/$AO818)/VLOOKUP(O818,职业!$A$3:$E$16,4,FALSE),0),"")</f>
        <v/>
      </c>
      <c r="AK818" t="str">
        <f>IFERROR(T818&amp;"*"&amp;ROUND(X818*(U818/$AP818)/VLOOKUP(T818,商品!$A$4:$D$67,4,FALSE),0),"")</f>
        <v/>
      </c>
      <c r="AL818" t="str">
        <f>IFERROR(V818&amp;"*"&amp;ROUND(X818*(W818/$AP818)/VLOOKUP(V818,商品!$A$4:$D$67,4,FALSE),0),"")</f>
        <v/>
      </c>
      <c r="AN818">
        <f t="shared" si="101"/>
        <v>0</v>
      </c>
      <c r="AO818">
        <f t="shared" si="102"/>
        <v>0</v>
      </c>
      <c r="AP818">
        <f t="shared" si="103"/>
        <v>0</v>
      </c>
    </row>
    <row r="819" customHeight="1" spans="1:42">
      <c r="A819" s="5" t="s">
        <v>438</v>
      </c>
      <c r="C819" s="5">
        <v>3</v>
      </c>
      <c r="D819" s="1" t="s">
        <v>222</v>
      </c>
      <c r="E819" s="1" t="s">
        <v>224</v>
      </c>
      <c r="L819" s="1">
        <f>IFERROR(VLOOKUP($D819&amp;$C819,生产方式定位!$A$2:$E$38,2,FALSE)+VLOOKUP($E819&amp;$C819,生产方式定位!$F$3:$J$38,2,FALSE),0)</f>
        <v>3400</v>
      </c>
      <c r="S819" s="1">
        <f>IFERROR(VLOOKUP($D819&amp;$C819,生产方式定位!$A$2:$E$38,3,FALSE)+VLOOKUP($E819&amp;$C819,生产方式定位!$F$3:$J$38,3,FALSE),0)</f>
        <v>1000</v>
      </c>
      <c r="X819" s="1">
        <f>IFERROR(VLOOKUP($D819&amp;$C819,生产方式定位!$A$2:$E$38,5,FALSE)+VLOOKUP($E819&amp;$C819,生产方式定位!$F$3:$J$38,5,FALSE),"错误")</f>
        <v>2488</v>
      </c>
      <c r="Y819" s="27" t="str">
        <f t="shared" si="96"/>
        <v/>
      </c>
      <c r="Z819" s="37" t="str">
        <f t="shared" si="97"/>
        <v/>
      </c>
      <c r="AA819" s="37" t="str">
        <f t="shared" si="98"/>
        <v/>
      </c>
      <c r="AB819" s="28">
        <f t="shared" si="99"/>
        <v>1.37</v>
      </c>
      <c r="AC819" s="37"/>
      <c r="AD819" s="38">
        <f t="shared" si="100"/>
        <v>3</v>
      </c>
      <c r="AE819" t="str">
        <f>IFERROR(F819&amp;"*"&amp;ROUND(L819*(G819/$AN819)/VLOOKUP(F819,商品!$A$4:$D$67,4,FALSE),0),"")</f>
        <v/>
      </c>
      <c r="AF819" t="str">
        <f>IFERROR(H819&amp;"*"&amp;ROUND(L819*(I819/$AN819)/VLOOKUP(H819,商品!$A$4:$D$67,4,FALSE),0),"")</f>
        <v/>
      </c>
      <c r="AG819" t="str">
        <f>IFERROR(J819&amp;"*"&amp;ROUND(L819*(K819/$AN819)/VLOOKUP(J819,商品!$A$4:$D$67,4,FALSE),0),"")</f>
        <v/>
      </c>
      <c r="AH819" t="str">
        <f>IFERROR(M819&amp;"*"&amp;ROUND(S819*(N819/$AO819)/VLOOKUP(M819,职业!$A$3:$E$16,4,FALSE),0),"")</f>
        <v/>
      </c>
      <c r="AI819" t="str">
        <f>IFERROR(O819&amp;"*"&amp;ROUND(S819*(P819/$AO819)/VLOOKUP(O819,职业!$A$3:$E$16,4,FALSE),0),"")</f>
        <v/>
      </c>
      <c r="AK819" t="str">
        <f>IFERROR(T819&amp;"*"&amp;ROUND(X819*(U819/$AP819)/VLOOKUP(T819,商品!$A$4:$D$67,4,FALSE),0),"")</f>
        <v/>
      </c>
      <c r="AL819" t="str">
        <f>IFERROR(V819&amp;"*"&amp;ROUND(X819*(W819/$AP819)/VLOOKUP(V819,商品!$A$4:$D$67,4,FALSE),0),"")</f>
        <v/>
      </c>
      <c r="AN819">
        <f t="shared" si="101"/>
        <v>0</v>
      </c>
      <c r="AO819">
        <f t="shared" si="102"/>
        <v>0</v>
      </c>
      <c r="AP819">
        <f t="shared" si="103"/>
        <v>0</v>
      </c>
    </row>
    <row r="820" customHeight="1" spans="1:42">
      <c r="A820" s="5" t="s">
        <v>438</v>
      </c>
      <c r="C820" s="5">
        <v>4</v>
      </c>
      <c r="D820" s="1" t="s">
        <v>222</v>
      </c>
      <c r="E820" s="1" t="s">
        <v>224</v>
      </c>
      <c r="L820" s="1">
        <f>IFERROR(VLOOKUP($D820&amp;$C820,生产方式定位!$A$2:$E$38,2,FALSE)+VLOOKUP($E820&amp;$C820,生产方式定位!$F$3:$J$38,2,FALSE),0)</f>
        <v>4600</v>
      </c>
      <c r="S820" s="1">
        <f>IFERROR(VLOOKUP($D820&amp;$C820,生产方式定位!$A$2:$E$38,3,FALSE)+VLOOKUP($E820&amp;$C820,生产方式定位!$F$3:$J$38,3,FALSE),0)</f>
        <v>1250</v>
      </c>
      <c r="X820" s="1">
        <f>IFERROR(VLOOKUP($D820&amp;$C820,生产方式定位!$A$2:$E$38,5,FALSE)+VLOOKUP($E820&amp;$C820,生产方式定位!$F$3:$J$38,5,FALSE),"错误")</f>
        <v>3573</v>
      </c>
      <c r="Y820" s="27" t="str">
        <f t="shared" si="96"/>
        <v/>
      </c>
      <c r="Z820" s="37" t="str">
        <f t="shared" si="97"/>
        <v/>
      </c>
      <c r="AA820" s="37" t="str">
        <f t="shared" si="98"/>
        <v/>
      </c>
      <c r="AB820" s="28">
        <f t="shared" si="99"/>
        <v>1.29</v>
      </c>
      <c r="AC820" s="37"/>
      <c r="AD820" s="38">
        <f t="shared" si="100"/>
        <v>4</v>
      </c>
      <c r="AE820" t="str">
        <f>IFERROR(F820&amp;"*"&amp;ROUND(L820*(G820/$AN820)/VLOOKUP(F820,商品!$A$4:$D$67,4,FALSE),0),"")</f>
        <v/>
      </c>
      <c r="AF820" t="str">
        <f>IFERROR(H820&amp;"*"&amp;ROUND(L820*(I820/$AN820)/VLOOKUP(H820,商品!$A$4:$D$67,4,FALSE),0),"")</f>
        <v/>
      </c>
      <c r="AG820" t="str">
        <f>IFERROR(J820&amp;"*"&amp;ROUND(L820*(K820/$AN820)/VLOOKUP(J820,商品!$A$4:$D$67,4,FALSE),0),"")</f>
        <v/>
      </c>
      <c r="AH820" t="str">
        <f>IFERROR(M820&amp;"*"&amp;ROUND(S820*(N820/$AO820)/VLOOKUP(M820,职业!$A$3:$E$16,4,FALSE),0),"")</f>
        <v/>
      </c>
      <c r="AI820" t="str">
        <f>IFERROR(O820&amp;"*"&amp;ROUND(S820*(P820/$AO820)/VLOOKUP(O820,职业!$A$3:$E$16,4,FALSE),0),"")</f>
        <v/>
      </c>
      <c r="AK820" t="str">
        <f>IFERROR(T820&amp;"*"&amp;ROUND(X820*(U820/$AP820)/VLOOKUP(T820,商品!$A$4:$D$67,4,FALSE),0),"")</f>
        <v/>
      </c>
      <c r="AL820" t="str">
        <f>IFERROR(V820&amp;"*"&amp;ROUND(X820*(W820/$AP820)/VLOOKUP(V820,商品!$A$4:$D$67,4,FALSE),0),"")</f>
        <v/>
      </c>
      <c r="AN820">
        <f t="shared" si="101"/>
        <v>0</v>
      </c>
      <c r="AO820">
        <f t="shared" si="102"/>
        <v>0</v>
      </c>
      <c r="AP820">
        <f t="shared" si="103"/>
        <v>0</v>
      </c>
    </row>
    <row r="821" customHeight="1" spans="1:42">
      <c r="A821" s="5" t="s">
        <v>438</v>
      </c>
      <c r="C821" s="5">
        <v>5</v>
      </c>
      <c r="D821" s="1" t="s">
        <v>222</v>
      </c>
      <c r="E821" s="1" t="s">
        <v>224</v>
      </c>
      <c r="L821" s="1">
        <f>IFERROR(VLOOKUP($D821&amp;$C821,生产方式定位!$A$2:$E$38,2,FALSE)+VLOOKUP($E821&amp;$C821,生产方式定位!$F$3:$J$38,2,FALSE),0)</f>
        <v>5800</v>
      </c>
      <c r="S821" s="1">
        <f>IFERROR(VLOOKUP($D821&amp;$C821,生产方式定位!$A$2:$E$38,3,FALSE)+VLOOKUP($E821&amp;$C821,生产方式定位!$F$3:$J$38,3,FALSE),0)</f>
        <v>1500</v>
      </c>
      <c r="X821" s="1">
        <f>IFERROR(VLOOKUP($D821&amp;$C821,生产方式定位!$A$2:$E$38,5,FALSE)+VLOOKUP($E821&amp;$C821,生产方式定位!$F$3:$J$38,5,FALSE),"错误")</f>
        <v>4850</v>
      </c>
      <c r="Y821" s="27" t="str">
        <f t="shared" si="96"/>
        <v/>
      </c>
      <c r="Z821" s="37" t="str">
        <f t="shared" si="97"/>
        <v/>
      </c>
      <c r="AA821" s="37" t="str">
        <f t="shared" si="98"/>
        <v/>
      </c>
      <c r="AB821" s="28">
        <f t="shared" si="99"/>
        <v>1.2</v>
      </c>
      <c r="AC821" s="37"/>
      <c r="AD821" s="38">
        <f t="shared" si="100"/>
        <v>5</v>
      </c>
      <c r="AE821" t="str">
        <f>IFERROR(F821&amp;"*"&amp;ROUND(L821*(G821/$AN821)/VLOOKUP(F821,商品!$A$4:$D$67,4,FALSE),0),"")</f>
        <v/>
      </c>
      <c r="AF821" t="str">
        <f>IFERROR(H821&amp;"*"&amp;ROUND(L821*(I821/$AN821)/VLOOKUP(H821,商品!$A$4:$D$67,4,FALSE),0),"")</f>
        <v/>
      </c>
      <c r="AG821" t="str">
        <f>IFERROR(J821&amp;"*"&amp;ROUND(L821*(K821/$AN821)/VLOOKUP(J821,商品!$A$4:$D$67,4,FALSE),0),"")</f>
        <v/>
      </c>
      <c r="AH821" t="str">
        <f>IFERROR(M821&amp;"*"&amp;ROUND(S821*(N821/$AO821)/VLOOKUP(M821,职业!$A$3:$E$16,4,FALSE),0),"")</f>
        <v/>
      </c>
      <c r="AI821" t="str">
        <f>IFERROR(O821&amp;"*"&amp;ROUND(S821*(P821/$AO821)/VLOOKUP(O821,职业!$A$3:$E$16,4,FALSE),0),"")</f>
        <v/>
      </c>
      <c r="AK821" t="str">
        <f>IFERROR(T821&amp;"*"&amp;ROUND(X821*(U821/$AP821)/VLOOKUP(T821,商品!$A$4:$D$67,4,FALSE),0),"")</f>
        <v/>
      </c>
      <c r="AL821" t="str">
        <f>IFERROR(V821&amp;"*"&amp;ROUND(X821*(W821/$AP821)/VLOOKUP(V821,商品!$A$4:$D$67,4,FALSE),0),"")</f>
        <v/>
      </c>
      <c r="AN821">
        <f t="shared" si="101"/>
        <v>0</v>
      </c>
      <c r="AO821">
        <f t="shared" si="102"/>
        <v>0</v>
      </c>
      <c r="AP821">
        <f t="shared" si="103"/>
        <v>0</v>
      </c>
    </row>
    <row r="822" customHeight="1" spans="1:42">
      <c r="A822" s="18" t="s">
        <v>439</v>
      </c>
      <c r="C822" s="18">
        <v>1</v>
      </c>
      <c r="D822" s="1" t="s">
        <v>222</v>
      </c>
      <c r="E822" s="1" t="s">
        <v>226</v>
      </c>
      <c r="L822" s="1">
        <f>IFERROR(VLOOKUP($D822&amp;$C822,生产方式定位!$A$2:$E$38,2,FALSE)+VLOOKUP($E822&amp;$C822,生产方式定位!$F$3:$J$38,2,FALSE),0)</f>
        <v>0</v>
      </c>
      <c r="S822" s="1">
        <f>IFERROR(VLOOKUP($D822&amp;$C822,生产方式定位!$A$2:$E$38,3,FALSE)+VLOOKUP($E822&amp;$C822,生产方式定位!$F$3:$J$38,3,FALSE),0)</f>
        <v>500</v>
      </c>
      <c r="X822" s="1">
        <f>IFERROR(VLOOKUP($D822&amp;$C822,生产方式定位!$A$2:$E$38,5,FALSE)+VLOOKUP($E822&amp;$C822,生产方式定位!$F$3:$J$38,5,FALSE),"错误")</f>
        <v>250</v>
      </c>
      <c r="Y822" s="27" t="str">
        <f t="shared" si="96"/>
        <v/>
      </c>
      <c r="Z822" s="37" t="str">
        <f t="shared" si="97"/>
        <v/>
      </c>
      <c r="AA822" s="37" t="str">
        <f t="shared" si="98"/>
        <v/>
      </c>
      <c r="AB822" s="28">
        <f t="shared" si="99"/>
        <v>0</v>
      </c>
      <c r="AC822" s="37"/>
      <c r="AD822" s="38">
        <f t="shared" si="100"/>
        <v>1</v>
      </c>
      <c r="AE822" t="str">
        <f>IFERROR(F822&amp;"*"&amp;ROUND(L822*(G822/$AN822)/VLOOKUP(F822,商品!$A$4:$D$67,4,FALSE),0),"")</f>
        <v/>
      </c>
      <c r="AF822" t="str">
        <f>IFERROR(H822&amp;"*"&amp;ROUND(L822*(I822/$AN822)/VLOOKUP(H822,商品!$A$4:$D$67,4,FALSE),0),"")</f>
        <v/>
      </c>
      <c r="AG822" t="str">
        <f>IFERROR(J822&amp;"*"&amp;ROUND(L822*(K822/$AN822)/VLOOKUP(J822,商品!$A$4:$D$67,4,FALSE),0),"")</f>
        <v/>
      </c>
      <c r="AH822" t="str">
        <f>IFERROR(M822&amp;"*"&amp;ROUND(S822*(N822/$AO822)/VLOOKUP(M822,职业!$A$3:$E$16,4,FALSE),0),"")</f>
        <v/>
      </c>
      <c r="AI822" t="str">
        <f>IFERROR(O822&amp;"*"&amp;ROUND(S822*(P822/$AO822)/VLOOKUP(O822,职业!$A$3:$E$16,4,FALSE),0),"")</f>
        <v/>
      </c>
      <c r="AK822" t="str">
        <f>IFERROR(T822&amp;"*"&amp;ROUND(X822*(U822/$AP822)/VLOOKUP(T822,商品!$A$4:$D$67,4,FALSE),0),"")</f>
        <v/>
      </c>
      <c r="AL822" t="str">
        <f>IFERROR(V822&amp;"*"&amp;ROUND(X822*(W822/$AP822)/VLOOKUP(V822,商品!$A$4:$D$67,4,FALSE),0),"")</f>
        <v/>
      </c>
      <c r="AN822">
        <f t="shared" si="101"/>
        <v>0</v>
      </c>
      <c r="AO822">
        <f t="shared" si="102"/>
        <v>0</v>
      </c>
      <c r="AP822">
        <f t="shared" si="103"/>
        <v>0</v>
      </c>
    </row>
    <row r="823" customHeight="1" spans="1:42">
      <c r="A823" s="18" t="s">
        <v>439</v>
      </c>
      <c r="C823" s="18">
        <v>2</v>
      </c>
      <c r="D823" s="1" t="s">
        <v>222</v>
      </c>
      <c r="E823" s="1" t="s">
        <v>226</v>
      </c>
      <c r="L823" s="1">
        <f>IFERROR(VLOOKUP($D823&amp;$C823,生产方式定位!$A$2:$E$38,2,FALSE)+VLOOKUP($E823&amp;$C823,生产方式定位!$F$3:$J$38,2,FALSE),0)</f>
        <v>3200</v>
      </c>
      <c r="S823" s="1">
        <f>IFERROR(VLOOKUP($D823&amp;$C823,生产方式定位!$A$2:$E$38,3,FALSE)+VLOOKUP($E823&amp;$C823,生产方式定位!$F$3:$J$38,3,FALSE),0)</f>
        <v>350</v>
      </c>
      <c r="X823" s="1">
        <f>IFERROR(VLOOKUP($D823&amp;$C823,生产方式定位!$A$2:$E$38,5,FALSE)+VLOOKUP($E823&amp;$C823,生产方式定位!$F$3:$J$38,5,FALSE),"错误")</f>
        <v>1865</v>
      </c>
      <c r="Y823" s="27" t="str">
        <f t="shared" si="96"/>
        <v/>
      </c>
      <c r="Z823" s="37" t="str">
        <f t="shared" si="97"/>
        <v/>
      </c>
      <c r="AA823" s="37" t="str">
        <f t="shared" si="98"/>
        <v/>
      </c>
      <c r="AB823" s="28">
        <f t="shared" si="99"/>
        <v>1.72</v>
      </c>
      <c r="AC823" s="37"/>
      <c r="AD823" s="38">
        <f t="shared" si="100"/>
        <v>2</v>
      </c>
      <c r="AE823" t="str">
        <f>IFERROR(F823&amp;"*"&amp;ROUND(L823*(G823/$AN823)/VLOOKUP(F823,商品!$A$4:$D$67,4,FALSE),0),"")</f>
        <v/>
      </c>
      <c r="AF823" t="str">
        <f>IFERROR(H823&amp;"*"&amp;ROUND(L823*(I823/$AN823)/VLOOKUP(H823,商品!$A$4:$D$67,4,FALSE),0),"")</f>
        <v/>
      </c>
      <c r="AG823" t="str">
        <f>IFERROR(J823&amp;"*"&amp;ROUND(L823*(K823/$AN823)/VLOOKUP(J823,商品!$A$4:$D$67,4,FALSE),0),"")</f>
        <v/>
      </c>
      <c r="AH823" t="str">
        <f>IFERROR(M823&amp;"*"&amp;ROUND(S823*(N823/$AO823)/VLOOKUP(M823,职业!$A$3:$E$16,4,FALSE),0),"")</f>
        <v/>
      </c>
      <c r="AI823" t="str">
        <f>IFERROR(O823&amp;"*"&amp;ROUND(S823*(P823/$AO823)/VLOOKUP(O823,职业!$A$3:$E$16,4,FALSE),0),"")</f>
        <v/>
      </c>
      <c r="AK823" t="str">
        <f>IFERROR(T823&amp;"*"&amp;ROUND(X823*(U823/$AP823)/VLOOKUP(T823,商品!$A$4:$D$67,4,FALSE),0),"")</f>
        <v/>
      </c>
      <c r="AL823" t="str">
        <f>IFERROR(V823&amp;"*"&amp;ROUND(X823*(W823/$AP823)/VLOOKUP(V823,商品!$A$4:$D$67,4,FALSE),0),"")</f>
        <v/>
      </c>
      <c r="AN823">
        <f t="shared" si="101"/>
        <v>0</v>
      </c>
      <c r="AO823">
        <f t="shared" si="102"/>
        <v>0</v>
      </c>
      <c r="AP823">
        <f t="shared" si="103"/>
        <v>0</v>
      </c>
    </row>
    <row r="824" customHeight="1" spans="1:42">
      <c r="A824" s="18" t="s">
        <v>439</v>
      </c>
      <c r="C824" s="18">
        <v>3</v>
      </c>
      <c r="D824" s="1" t="s">
        <v>222</v>
      </c>
      <c r="E824" s="1" t="s">
        <v>226</v>
      </c>
      <c r="L824" s="1">
        <f>IFERROR(VLOOKUP($D824&amp;$C824,生产方式定位!$A$2:$E$38,2,FALSE)+VLOOKUP($E824&amp;$C824,生产方式定位!$F$3:$J$38,2,FALSE),0)</f>
        <v>4400</v>
      </c>
      <c r="S824" s="1">
        <f>IFERROR(VLOOKUP($D824&amp;$C824,生产方式定位!$A$2:$E$38,3,FALSE)+VLOOKUP($E824&amp;$C824,生产方式定位!$F$3:$J$38,3,FALSE),0)</f>
        <v>200</v>
      </c>
      <c r="X824" s="1">
        <f>IFERROR(VLOOKUP($D824&amp;$C824,生产方式定位!$A$2:$E$38,5,FALSE)+VLOOKUP($E824&amp;$C824,生产方式定位!$F$3:$J$38,5,FALSE),"错误")</f>
        <v>2560</v>
      </c>
      <c r="Y824" s="27" t="str">
        <f t="shared" si="96"/>
        <v/>
      </c>
      <c r="Z824" s="37" t="str">
        <f t="shared" si="97"/>
        <v/>
      </c>
      <c r="AA824" s="37" t="str">
        <f t="shared" si="98"/>
        <v/>
      </c>
      <c r="AB824" s="28">
        <f t="shared" si="99"/>
        <v>1.72</v>
      </c>
      <c r="AC824" s="37"/>
      <c r="AD824" s="38">
        <f t="shared" si="100"/>
        <v>3</v>
      </c>
      <c r="AE824" t="str">
        <f>IFERROR(F824&amp;"*"&amp;ROUND(L824*(G824/$AN824)/VLOOKUP(F824,商品!$A$4:$D$67,4,FALSE),0),"")</f>
        <v/>
      </c>
      <c r="AF824" t="str">
        <f>IFERROR(H824&amp;"*"&amp;ROUND(L824*(I824/$AN824)/VLOOKUP(H824,商品!$A$4:$D$67,4,FALSE),0),"")</f>
        <v/>
      </c>
      <c r="AG824" t="str">
        <f>IFERROR(J824&amp;"*"&amp;ROUND(L824*(K824/$AN824)/VLOOKUP(J824,商品!$A$4:$D$67,4,FALSE),0),"")</f>
        <v/>
      </c>
      <c r="AH824" t="str">
        <f>IFERROR(M824&amp;"*"&amp;ROUND(S824*(N824/$AO824)/VLOOKUP(M824,职业!$A$3:$E$16,4,FALSE),0),"")</f>
        <v/>
      </c>
      <c r="AI824" t="str">
        <f>IFERROR(O824&amp;"*"&amp;ROUND(S824*(P824/$AO824)/VLOOKUP(O824,职业!$A$3:$E$16,4,FALSE),0),"")</f>
        <v/>
      </c>
      <c r="AK824" t="str">
        <f>IFERROR(T824&amp;"*"&amp;ROUND(X824*(U824/$AP824)/VLOOKUP(T824,商品!$A$4:$D$67,4,FALSE),0),"")</f>
        <v/>
      </c>
      <c r="AL824" t="str">
        <f>IFERROR(V824&amp;"*"&amp;ROUND(X824*(W824/$AP824)/VLOOKUP(V824,商品!$A$4:$D$67,4,FALSE),0),"")</f>
        <v/>
      </c>
      <c r="AN824">
        <f t="shared" si="101"/>
        <v>0</v>
      </c>
      <c r="AO824">
        <f t="shared" si="102"/>
        <v>0</v>
      </c>
      <c r="AP824">
        <f t="shared" si="103"/>
        <v>0</v>
      </c>
    </row>
    <row r="825" customHeight="1" spans="1:42">
      <c r="A825" s="18" t="s">
        <v>439</v>
      </c>
      <c r="C825" s="18">
        <v>4</v>
      </c>
      <c r="D825" s="1" t="s">
        <v>222</v>
      </c>
      <c r="E825" s="1" t="s">
        <v>226</v>
      </c>
      <c r="L825" s="1">
        <f>IFERROR(VLOOKUP($D825&amp;$C825,生产方式定位!$A$2:$E$38,2,FALSE)+VLOOKUP($E825&amp;$C825,生产方式定位!$F$3:$J$38,2,FALSE),0)</f>
        <v>5600</v>
      </c>
      <c r="S825" s="1">
        <f>IFERROR(VLOOKUP($D825&amp;$C825,生产方式定位!$A$2:$E$38,3,FALSE)+VLOOKUP($E825&amp;$C825,生产方式定位!$F$3:$J$38,3,FALSE),0)</f>
        <v>50</v>
      </c>
      <c r="X825" s="1">
        <f>IFERROR(VLOOKUP($D825&amp;$C825,生产方式定位!$A$2:$E$38,5,FALSE)+VLOOKUP($E825&amp;$C825,生产方式定位!$F$3:$J$38,5,FALSE),"错误")</f>
        <v>3335</v>
      </c>
      <c r="Y825" s="27" t="str">
        <f t="shared" si="96"/>
        <v/>
      </c>
      <c r="Z825" s="37" t="str">
        <f t="shared" si="97"/>
        <v/>
      </c>
      <c r="AA825" s="37" t="str">
        <f t="shared" si="98"/>
        <v/>
      </c>
      <c r="AB825" s="28">
        <f t="shared" si="99"/>
        <v>1.68</v>
      </c>
      <c r="AC825" s="37"/>
      <c r="AD825" s="38">
        <f t="shared" si="100"/>
        <v>4</v>
      </c>
      <c r="AE825" t="str">
        <f>IFERROR(F825&amp;"*"&amp;ROUND(L825*(G825/$AN825)/VLOOKUP(F825,商品!$A$4:$D$67,4,FALSE),0),"")</f>
        <v/>
      </c>
      <c r="AF825" t="str">
        <f>IFERROR(H825&amp;"*"&amp;ROUND(L825*(I825/$AN825)/VLOOKUP(H825,商品!$A$4:$D$67,4,FALSE),0),"")</f>
        <v/>
      </c>
      <c r="AG825" t="str">
        <f>IFERROR(J825&amp;"*"&amp;ROUND(L825*(K825/$AN825)/VLOOKUP(J825,商品!$A$4:$D$67,4,FALSE),0),"")</f>
        <v/>
      </c>
      <c r="AH825" t="str">
        <f>IFERROR(M825&amp;"*"&amp;ROUND(S825*(N825/$AO825)/VLOOKUP(M825,职业!$A$3:$E$16,4,FALSE),0),"")</f>
        <v/>
      </c>
      <c r="AI825" t="str">
        <f>IFERROR(O825&amp;"*"&amp;ROUND(S825*(P825/$AO825)/VLOOKUP(O825,职业!$A$3:$E$16,4,FALSE),0),"")</f>
        <v/>
      </c>
      <c r="AK825" t="str">
        <f>IFERROR(T825&amp;"*"&amp;ROUND(X825*(U825/$AP825)/VLOOKUP(T825,商品!$A$4:$D$67,4,FALSE),0),"")</f>
        <v/>
      </c>
      <c r="AL825" t="str">
        <f>IFERROR(V825&amp;"*"&amp;ROUND(X825*(W825/$AP825)/VLOOKUP(V825,商品!$A$4:$D$67,4,FALSE),0),"")</f>
        <v/>
      </c>
      <c r="AN825">
        <f t="shared" si="101"/>
        <v>0</v>
      </c>
      <c r="AO825">
        <f t="shared" si="102"/>
        <v>0</v>
      </c>
      <c r="AP825">
        <f t="shared" si="103"/>
        <v>0</v>
      </c>
    </row>
    <row r="826" customHeight="1" spans="1:42">
      <c r="A826" s="18" t="s">
        <v>439</v>
      </c>
      <c r="C826" s="18">
        <v>5</v>
      </c>
      <c r="D826" s="1" t="s">
        <v>222</v>
      </c>
      <c r="E826" s="1" t="s">
        <v>226</v>
      </c>
      <c r="L826" s="1">
        <f>IFERROR(VLOOKUP($D826&amp;$C826,生产方式定位!$A$2:$E$38,2,FALSE)+VLOOKUP($E826&amp;$C826,生产方式定位!$F$3:$J$38,2,FALSE),0)</f>
        <v>6800</v>
      </c>
      <c r="S826" s="1">
        <f>IFERROR(VLOOKUP($D826&amp;$C826,生产方式定位!$A$2:$E$38,3,FALSE)+VLOOKUP($E826&amp;$C826,生产方式定位!$F$3:$J$38,3,FALSE),0)</f>
        <v>-100</v>
      </c>
      <c r="X826" s="1">
        <f>IFERROR(VLOOKUP($D826&amp;$C826,生产方式定位!$A$2:$E$38,5,FALSE)+VLOOKUP($E826&amp;$C826,生产方式定位!$F$3:$J$38,5,FALSE),"错误")</f>
        <v>4190</v>
      </c>
      <c r="Y826" s="27" t="str">
        <f t="shared" si="96"/>
        <v/>
      </c>
      <c r="Z826" s="37" t="str">
        <f t="shared" si="97"/>
        <v/>
      </c>
      <c r="AA826" s="37" t="str">
        <f t="shared" si="98"/>
        <v/>
      </c>
      <c r="AB826" s="28">
        <f t="shared" si="99"/>
        <v>1.62</v>
      </c>
      <c r="AC826" s="37"/>
      <c r="AD826" s="38">
        <f t="shared" si="100"/>
        <v>5</v>
      </c>
      <c r="AE826" t="str">
        <f>IFERROR(F826&amp;"*"&amp;ROUND(L826*(G826/$AN826)/VLOOKUP(F826,商品!$A$4:$D$67,4,FALSE),0),"")</f>
        <v/>
      </c>
      <c r="AF826" t="str">
        <f>IFERROR(H826&amp;"*"&amp;ROUND(L826*(I826/$AN826)/VLOOKUP(H826,商品!$A$4:$D$67,4,FALSE),0),"")</f>
        <v/>
      </c>
      <c r="AG826" t="str">
        <f>IFERROR(J826&amp;"*"&amp;ROUND(L826*(K826/$AN826)/VLOOKUP(J826,商品!$A$4:$D$67,4,FALSE),0),"")</f>
        <v/>
      </c>
      <c r="AH826" t="str">
        <f>IFERROR(M826&amp;"*"&amp;ROUND(S826*(N826/$AO826)/VLOOKUP(M826,职业!$A$3:$E$16,4,FALSE),0),"")</f>
        <v/>
      </c>
      <c r="AI826" t="str">
        <f>IFERROR(O826&amp;"*"&amp;ROUND(S826*(P826/$AO826)/VLOOKUP(O826,职业!$A$3:$E$16,4,FALSE),0),"")</f>
        <v/>
      </c>
      <c r="AK826" t="str">
        <f>IFERROR(T826&amp;"*"&amp;ROUND(X826*(U826/$AP826)/VLOOKUP(T826,商品!$A$4:$D$67,4,FALSE),0),"")</f>
        <v/>
      </c>
      <c r="AL826" t="str">
        <f>IFERROR(V826&amp;"*"&amp;ROUND(X826*(W826/$AP826)/VLOOKUP(V826,商品!$A$4:$D$67,4,FALSE),0),"")</f>
        <v/>
      </c>
      <c r="AN826">
        <f t="shared" si="101"/>
        <v>0</v>
      </c>
      <c r="AO826">
        <f t="shared" si="102"/>
        <v>0</v>
      </c>
      <c r="AP826">
        <f t="shared" si="103"/>
        <v>0</v>
      </c>
    </row>
    <row r="827" customHeight="1" spans="1:42">
      <c r="A827" s="5" t="s">
        <v>439</v>
      </c>
      <c r="C827" s="5">
        <v>1</v>
      </c>
      <c r="D827" s="1" t="s">
        <v>222</v>
      </c>
      <c r="E827" s="1" t="s">
        <v>226</v>
      </c>
      <c r="L827" s="1">
        <f>IFERROR(VLOOKUP($D827&amp;$C827,生产方式定位!$A$2:$E$38,2,FALSE)+VLOOKUP($E827&amp;$C827,生产方式定位!$F$3:$J$38,2,FALSE),0)</f>
        <v>0</v>
      </c>
      <c r="S827" s="1">
        <f>IFERROR(VLOOKUP($D827&amp;$C827,生产方式定位!$A$2:$E$38,3,FALSE)+VLOOKUP($E827&amp;$C827,生产方式定位!$F$3:$J$38,3,FALSE),0)</f>
        <v>500</v>
      </c>
      <c r="X827" s="1">
        <f>IFERROR(VLOOKUP($D827&amp;$C827,生产方式定位!$A$2:$E$38,5,FALSE)+VLOOKUP($E827&amp;$C827,生产方式定位!$F$3:$J$38,5,FALSE),"错误")</f>
        <v>250</v>
      </c>
      <c r="Y827" s="27" t="str">
        <f t="shared" si="96"/>
        <v/>
      </c>
      <c r="Z827" s="37" t="str">
        <f t="shared" si="97"/>
        <v/>
      </c>
      <c r="AA827" s="37" t="str">
        <f t="shared" si="98"/>
        <v/>
      </c>
      <c r="AB827" s="28">
        <f t="shared" si="99"/>
        <v>0</v>
      </c>
      <c r="AC827" s="37"/>
      <c r="AD827" s="38">
        <f t="shared" si="100"/>
        <v>1</v>
      </c>
      <c r="AE827" t="str">
        <f>IFERROR(F827&amp;"*"&amp;ROUND(L827*(G827/$AN827)/VLOOKUP(F827,商品!$A$4:$D$67,4,FALSE),0),"")</f>
        <v/>
      </c>
      <c r="AF827" t="str">
        <f>IFERROR(H827&amp;"*"&amp;ROUND(L827*(I827/$AN827)/VLOOKUP(H827,商品!$A$4:$D$67,4,FALSE),0),"")</f>
        <v/>
      </c>
      <c r="AG827" t="str">
        <f>IFERROR(J827&amp;"*"&amp;ROUND(L827*(K827/$AN827)/VLOOKUP(J827,商品!$A$4:$D$67,4,FALSE),0),"")</f>
        <v/>
      </c>
      <c r="AH827" t="str">
        <f>IFERROR(M827&amp;"*"&amp;ROUND(S827*(N827/$AO827)/VLOOKUP(M827,职业!$A$3:$E$16,4,FALSE),0),"")</f>
        <v/>
      </c>
      <c r="AI827" t="str">
        <f>IFERROR(O827&amp;"*"&amp;ROUND(S827*(P827/$AO827)/VLOOKUP(O827,职业!$A$3:$E$16,4,FALSE),0),"")</f>
        <v/>
      </c>
      <c r="AK827" t="str">
        <f>IFERROR(T827&amp;"*"&amp;ROUND(X827*(U827/$AP827)/VLOOKUP(T827,商品!$A$4:$D$67,4,FALSE),0),"")</f>
        <v/>
      </c>
      <c r="AL827" t="str">
        <f>IFERROR(V827&amp;"*"&amp;ROUND(X827*(W827/$AP827)/VLOOKUP(V827,商品!$A$4:$D$67,4,FALSE),0),"")</f>
        <v/>
      </c>
      <c r="AN827">
        <f t="shared" si="101"/>
        <v>0</v>
      </c>
      <c r="AO827">
        <f t="shared" si="102"/>
        <v>0</v>
      </c>
      <c r="AP827">
        <f t="shared" si="103"/>
        <v>0</v>
      </c>
    </row>
    <row r="828" customHeight="1" spans="1:42">
      <c r="A828" s="5" t="s">
        <v>439</v>
      </c>
      <c r="C828" s="5">
        <v>2</v>
      </c>
      <c r="D828" s="1" t="s">
        <v>222</v>
      </c>
      <c r="E828" s="1" t="s">
        <v>226</v>
      </c>
      <c r="L828" s="1">
        <f>IFERROR(VLOOKUP($D828&amp;$C828,生产方式定位!$A$2:$E$38,2,FALSE)+VLOOKUP($E828&amp;$C828,生产方式定位!$F$3:$J$38,2,FALSE),0)</f>
        <v>3200</v>
      </c>
      <c r="S828" s="1">
        <f>IFERROR(VLOOKUP($D828&amp;$C828,生产方式定位!$A$2:$E$38,3,FALSE)+VLOOKUP($E828&amp;$C828,生产方式定位!$F$3:$J$38,3,FALSE),0)</f>
        <v>350</v>
      </c>
      <c r="X828" s="1">
        <f>IFERROR(VLOOKUP($D828&amp;$C828,生产方式定位!$A$2:$E$38,5,FALSE)+VLOOKUP($E828&amp;$C828,生产方式定位!$F$3:$J$38,5,FALSE),"错误")</f>
        <v>1865</v>
      </c>
      <c r="Y828" s="27" t="str">
        <f t="shared" si="96"/>
        <v/>
      </c>
      <c r="Z828" s="37" t="str">
        <f t="shared" si="97"/>
        <v/>
      </c>
      <c r="AA828" s="37" t="str">
        <f t="shared" si="98"/>
        <v/>
      </c>
      <c r="AB828" s="28">
        <f t="shared" si="99"/>
        <v>1.72</v>
      </c>
      <c r="AC828" s="37"/>
      <c r="AD828" s="38">
        <f t="shared" si="100"/>
        <v>2</v>
      </c>
      <c r="AE828" t="str">
        <f>IFERROR(F828&amp;"*"&amp;ROUND(L828*(G828/$AN828)/VLOOKUP(F828,商品!$A$4:$D$67,4,FALSE),0),"")</f>
        <v/>
      </c>
      <c r="AF828" t="str">
        <f>IFERROR(H828&amp;"*"&amp;ROUND(L828*(I828/$AN828)/VLOOKUP(H828,商品!$A$4:$D$67,4,FALSE),0),"")</f>
        <v/>
      </c>
      <c r="AG828" t="str">
        <f>IFERROR(J828&amp;"*"&amp;ROUND(L828*(K828/$AN828)/VLOOKUP(J828,商品!$A$4:$D$67,4,FALSE),0),"")</f>
        <v/>
      </c>
      <c r="AH828" t="str">
        <f>IFERROR(M828&amp;"*"&amp;ROUND(S828*(N828/$AO828)/VLOOKUP(M828,职业!$A$3:$E$16,4,FALSE),0),"")</f>
        <v/>
      </c>
      <c r="AI828" t="str">
        <f>IFERROR(O828&amp;"*"&amp;ROUND(S828*(P828/$AO828)/VLOOKUP(O828,职业!$A$3:$E$16,4,FALSE),0),"")</f>
        <v/>
      </c>
      <c r="AK828" t="str">
        <f>IFERROR(T828&amp;"*"&amp;ROUND(X828*(U828/$AP828)/VLOOKUP(T828,商品!$A$4:$D$67,4,FALSE),0),"")</f>
        <v/>
      </c>
      <c r="AL828" t="str">
        <f>IFERROR(V828&amp;"*"&amp;ROUND(X828*(W828/$AP828)/VLOOKUP(V828,商品!$A$4:$D$67,4,FALSE),0),"")</f>
        <v/>
      </c>
      <c r="AN828">
        <f t="shared" si="101"/>
        <v>0</v>
      </c>
      <c r="AO828">
        <f t="shared" si="102"/>
        <v>0</v>
      </c>
      <c r="AP828">
        <f t="shared" si="103"/>
        <v>0</v>
      </c>
    </row>
    <row r="829" customHeight="1" spans="1:42">
      <c r="A829" s="5" t="s">
        <v>439</v>
      </c>
      <c r="C829" s="5">
        <v>3</v>
      </c>
      <c r="D829" s="1" t="s">
        <v>222</v>
      </c>
      <c r="E829" s="1" t="s">
        <v>226</v>
      </c>
      <c r="L829" s="1">
        <f>IFERROR(VLOOKUP($D829&amp;$C829,生产方式定位!$A$2:$E$38,2,FALSE)+VLOOKUP($E829&amp;$C829,生产方式定位!$F$3:$J$38,2,FALSE),0)</f>
        <v>4400</v>
      </c>
      <c r="S829" s="1">
        <f>IFERROR(VLOOKUP($D829&amp;$C829,生产方式定位!$A$2:$E$38,3,FALSE)+VLOOKUP($E829&amp;$C829,生产方式定位!$F$3:$J$38,3,FALSE),0)</f>
        <v>200</v>
      </c>
      <c r="X829" s="1">
        <f>IFERROR(VLOOKUP($D829&amp;$C829,生产方式定位!$A$2:$E$38,5,FALSE)+VLOOKUP($E829&amp;$C829,生产方式定位!$F$3:$J$38,5,FALSE),"错误")</f>
        <v>2560</v>
      </c>
      <c r="Y829" s="27" t="str">
        <f t="shared" si="96"/>
        <v/>
      </c>
      <c r="Z829" s="37" t="str">
        <f t="shared" si="97"/>
        <v/>
      </c>
      <c r="AA829" s="37" t="str">
        <f t="shared" si="98"/>
        <v/>
      </c>
      <c r="AB829" s="28">
        <f t="shared" si="99"/>
        <v>1.72</v>
      </c>
      <c r="AC829" s="37"/>
      <c r="AD829" s="38">
        <f t="shared" si="100"/>
        <v>3</v>
      </c>
      <c r="AE829" t="str">
        <f>IFERROR(F829&amp;"*"&amp;ROUND(L829*(G829/$AN829)/VLOOKUP(F829,商品!$A$4:$D$67,4,FALSE),0),"")</f>
        <v/>
      </c>
      <c r="AF829" t="str">
        <f>IFERROR(H829&amp;"*"&amp;ROUND(L829*(I829/$AN829)/VLOOKUP(H829,商品!$A$4:$D$67,4,FALSE),0),"")</f>
        <v/>
      </c>
      <c r="AG829" t="str">
        <f>IFERROR(J829&amp;"*"&amp;ROUND(L829*(K829/$AN829)/VLOOKUP(J829,商品!$A$4:$D$67,4,FALSE),0),"")</f>
        <v/>
      </c>
      <c r="AH829" t="str">
        <f>IFERROR(M829&amp;"*"&amp;ROUND(S829*(N829/$AO829)/VLOOKUP(M829,职业!$A$3:$E$16,4,FALSE),0),"")</f>
        <v/>
      </c>
      <c r="AI829" t="str">
        <f>IFERROR(O829&amp;"*"&amp;ROUND(S829*(P829/$AO829)/VLOOKUP(O829,职业!$A$3:$E$16,4,FALSE),0),"")</f>
        <v/>
      </c>
      <c r="AK829" t="str">
        <f>IFERROR(T829&amp;"*"&amp;ROUND(X829*(U829/$AP829)/VLOOKUP(T829,商品!$A$4:$D$67,4,FALSE),0),"")</f>
        <v/>
      </c>
      <c r="AL829" t="str">
        <f>IFERROR(V829&amp;"*"&amp;ROUND(X829*(W829/$AP829)/VLOOKUP(V829,商品!$A$4:$D$67,4,FALSE),0),"")</f>
        <v/>
      </c>
      <c r="AN829">
        <f t="shared" si="101"/>
        <v>0</v>
      </c>
      <c r="AO829">
        <f t="shared" si="102"/>
        <v>0</v>
      </c>
      <c r="AP829">
        <f t="shared" si="103"/>
        <v>0</v>
      </c>
    </row>
    <row r="830" customHeight="1" spans="1:42">
      <c r="A830" s="5" t="s">
        <v>439</v>
      </c>
      <c r="C830" s="5">
        <v>4</v>
      </c>
      <c r="D830" s="1" t="s">
        <v>222</v>
      </c>
      <c r="E830" s="1" t="s">
        <v>226</v>
      </c>
      <c r="L830" s="1">
        <f>IFERROR(VLOOKUP($D830&amp;$C830,生产方式定位!$A$2:$E$38,2,FALSE)+VLOOKUP($E830&amp;$C830,生产方式定位!$F$3:$J$38,2,FALSE),0)</f>
        <v>5600</v>
      </c>
      <c r="S830" s="1">
        <f>IFERROR(VLOOKUP($D830&amp;$C830,生产方式定位!$A$2:$E$38,3,FALSE)+VLOOKUP($E830&amp;$C830,生产方式定位!$F$3:$J$38,3,FALSE),0)</f>
        <v>50</v>
      </c>
      <c r="X830" s="1">
        <f>IFERROR(VLOOKUP($D830&amp;$C830,生产方式定位!$A$2:$E$38,5,FALSE)+VLOOKUP($E830&amp;$C830,生产方式定位!$F$3:$J$38,5,FALSE),"错误")</f>
        <v>3335</v>
      </c>
      <c r="Y830" s="27" t="str">
        <f t="shared" si="96"/>
        <v/>
      </c>
      <c r="Z830" s="37" t="str">
        <f t="shared" si="97"/>
        <v/>
      </c>
      <c r="AA830" s="37" t="str">
        <f t="shared" si="98"/>
        <v/>
      </c>
      <c r="AB830" s="28">
        <f t="shared" si="99"/>
        <v>1.68</v>
      </c>
      <c r="AC830" s="37"/>
      <c r="AD830" s="38">
        <f t="shared" si="100"/>
        <v>4</v>
      </c>
      <c r="AE830" t="str">
        <f>IFERROR(F830&amp;"*"&amp;ROUND(L830*(G830/$AN830)/VLOOKUP(F830,商品!$A$4:$D$67,4,FALSE),0),"")</f>
        <v/>
      </c>
      <c r="AF830" t="str">
        <f>IFERROR(H830&amp;"*"&amp;ROUND(L830*(I830/$AN830)/VLOOKUP(H830,商品!$A$4:$D$67,4,FALSE),0),"")</f>
        <v/>
      </c>
      <c r="AG830" t="str">
        <f>IFERROR(J830&amp;"*"&amp;ROUND(L830*(K830/$AN830)/VLOOKUP(J830,商品!$A$4:$D$67,4,FALSE),0),"")</f>
        <v/>
      </c>
      <c r="AH830" t="str">
        <f>IFERROR(M830&amp;"*"&amp;ROUND(S830*(N830/$AO830)/VLOOKUP(M830,职业!$A$3:$E$16,4,FALSE),0),"")</f>
        <v/>
      </c>
      <c r="AI830" t="str">
        <f>IFERROR(O830&amp;"*"&amp;ROUND(S830*(P830/$AO830)/VLOOKUP(O830,职业!$A$3:$E$16,4,FALSE),0),"")</f>
        <v/>
      </c>
      <c r="AK830" t="str">
        <f>IFERROR(T830&amp;"*"&amp;ROUND(X830*(U830/$AP830)/VLOOKUP(T830,商品!$A$4:$D$67,4,FALSE),0),"")</f>
        <v/>
      </c>
      <c r="AL830" t="str">
        <f>IFERROR(V830&amp;"*"&amp;ROUND(X830*(W830/$AP830)/VLOOKUP(V830,商品!$A$4:$D$67,4,FALSE),0),"")</f>
        <v/>
      </c>
      <c r="AN830">
        <f t="shared" si="101"/>
        <v>0</v>
      </c>
      <c r="AO830">
        <f t="shared" si="102"/>
        <v>0</v>
      </c>
      <c r="AP830">
        <f t="shared" si="103"/>
        <v>0</v>
      </c>
    </row>
    <row r="831" customHeight="1" spans="1:42">
      <c r="A831" s="5" t="s">
        <v>439</v>
      </c>
      <c r="C831" s="5">
        <v>5</v>
      </c>
      <c r="D831" s="1" t="s">
        <v>222</v>
      </c>
      <c r="E831" s="1" t="s">
        <v>226</v>
      </c>
      <c r="L831" s="1">
        <f>IFERROR(VLOOKUP($D831&amp;$C831,生产方式定位!$A$2:$E$38,2,FALSE)+VLOOKUP($E831&amp;$C831,生产方式定位!$F$3:$J$38,2,FALSE),0)</f>
        <v>6800</v>
      </c>
      <c r="S831" s="1">
        <f>IFERROR(VLOOKUP($D831&amp;$C831,生产方式定位!$A$2:$E$38,3,FALSE)+VLOOKUP($E831&amp;$C831,生产方式定位!$F$3:$J$38,3,FALSE),0)</f>
        <v>-100</v>
      </c>
      <c r="X831" s="1">
        <f>IFERROR(VLOOKUP($D831&amp;$C831,生产方式定位!$A$2:$E$38,5,FALSE)+VLOOKUP($E831&amp;$C831,生产方式定位!$F$3:$J$38,5,FALSE),"错误")</f>
        <v>4190</v>
      </c>
      <c r="Y831" s="27" t="str">
        <f t="shared" si="96"/>
        <v/>
      </c>
      <c r="Z831" s="37" t="str">
        <f t="shared" si="97"/>
        <v/>
      </c>
      <c r="AA831" s="37" t="str">
        <f t="shared" si="98"/>
        <v/>
      </c>
      <c r="AB831" s="28">
        <f t="shared" si="99"/>
        <v>1.62</v>
      </c>
      <c r="AC831" s="37"/>
      <c r="AD831" s="38">
        <f t="shared" si="100"/>
        <v>5</v>
      </c>
      <c r="AE831" t="str">
        <f>IFERROR(F831&amp;"*"&amp;ROUND(L831*(G831/$AN831)/VLOOKUP(F831,商品!$A$4:$D$67,4,FALSE),0),"")</f>
        <v/>
      </c>
      <c r="AF831" t="str">
        <f>IFERROR(H831&amp;"*"&amp;ROUND(L831*(I831/$AN831)/VLOOKUP(H831,商品!$A$4:$D$67,4,FALSE),0),"")</f>
        <v/>
      </c>
      <c r="AG831" t="str">
        <f>IFERROR(J831&amp;"*"&amp;ROUND(L831*(K831/$AN831)/VLOOKUP(J831,商品!$A$4:$D$67,4,FALSE),0),"")</f>
        <v/>
      </c>
      <c r="AH831" t="str">
        <f>IFERROR(M831&amp;"*"&amp;ROUND(S831*(N831/$AO831)/VLOOKUP(M831,职业!$A$3:$E$16,4,FALSE),0),"")</f>
        <v/>
      </c>
      <c r="AI831" t="str">
        <f>IFERROR(O831&amp;"*"&amp;ROUND(S831*(P831/$AO831)/VLOOKUP(O831,职业!$A$3:$E$16,4,FALSE),0),"")</f>
        <v/>
      </c>
      <c r="AK831" t="str">
        <f>IFERROR(T831&amp;"*"&amp;ROUND(X831*(U831/$AP831)/VLOOKUP(T831,商品!$A$4:$D$67,4,FALSE),0),"")</f>
        <v/>
      </c>
      <c r="AL831" t="str">
        <f>IFERROR(V831&amp;"*"&amp;ROUND(X831*(W831/$AP831)/VLOOKUP(V831,商品!$A$4:$D$67,4,FALSE),0),"")</f>
        <v/>
      </c>
      <c r="AN831">
        <f t="shared" si="101"/>
        <v>0</v>
      </c>
      <c r="AO831">
        <f t="shared" si="102"/>
        <v>0</v>
      </c>
      <c r="AP831">
        <f t="shared" si="103"/>
        <v>0</v>
      </c>
    </row>
    <row r="832" customHeight="1" spans="1:42">
      <c r="A832" s="18" t="s">
        <v>440</v>
      </c>
      <c r="C832" s="18">
        <v>1</v>
      </c>
      <c r="D832" s="1" t="s">
        <v>293</v>
      </c>
      <c r="E832" s="1" t="s">
        <v>227</v>
      </c>
      <c r="L832" s="1">
        <f>IFERROR(VLOOKUP($D832&amp;$C832,生产方式定位!$A$2:$E$38,2,FALSE)+VLOOKUP($E832&amp;$C832,生产方式定位!$F$3:$J$38,2,FALSE),0)</f>
        <v>0</v>
      </c>
      <c r="S832" s="1">
        <f>IFERROR(VLOOKUP($D832&amp;$C832,生产方式定位!$A$2:$E$38,3,FALSE)+VLOOKUP($E832&amp;$C832,生产方式定位!$F$3:$J$38,3,FALSE),0)</f>
        <v>0</v>
      </c>
      <c r="X832" s="1">
        <f>IFERROR(VLOOKUP($D832&amp;$C832,生产方式定位!$A$2:$E$38,5,FALSE)+VLOOKUP($E832&amp;$C832,生产方式定位!$F$3:$J$38,5,FALSE),"错误")</f>
        <v>0</v>
      </c>
      <c r="Y832" s="27" t="str">
        <f t="shared" si="96"/>
        <v/>
      </c>
      <c r="Z832" s="37" t="str">
        <f t="shared" si="97"/>
        <v/>
      </c>
      <c r="AA832" s="37" t="str">
        <f t="shared" si="98"/>
        <v/>
      </c>
      <c r="AB832" s="28" t="str">
        <f t="shared" si="99"/>
        <v/>
      </c>
      <c r="AC832" s="37"/>
      <c r="AD832" s="38">
        <f t="shared" si="100"/>
        <v>1</v>
      </c>
      <c r="AE832" t="str">
        <f>IFERROR(F832&amp;"*"&amp;ROUND(L832*(G832/$AN832)/VLOOKUP(F832,商品!$A$4:$D$67,4,FALSE),0),"")</f>
        <v/>
      </c>
      <c r="AF832" t="str">
        <f>IFERROR(H832&amp;"*"&amp;ROUND(L832*(I832/$AN832)/VLOOKUP(H832,商品!$A$4:$D$67,4,FALSE),0),"")</f>
        <v/>
      </c>
      <c r="AG832" t="str">
        <f>IFERROR(J832&amp;"*"&amp;ROUND(L832*(K832/$AN832)/VLOOKUP(J832,商品!$A$4:$D$67,4,FALSE),0),"")</f>
        <v/>
      </c>
      <c r="AH832" t="str">
        <f>IFERROR(M832&amp;"*"&amp;ROUND(S832*(N832/$AO832)/VLOOKUP(M832,职业!$A$3:$E$16,4,FALSE),0),"")</f>
        <v/>
      </c>
      <c r="AI832" t="str">
        <f>IFERROR(O832&amp;"*"&amp;ROUND(S832*(P832/$AO832)/VLOOKUP(O832,职业!$A$3:$E$16,4,FALSE),0),"")</f>
        <v/>
      </c>
      <c r="AK832" t="str">
        <f>IFERROR(T832&amp;"*"&amp;ROUND(X832*(U832/$AP832)/VLOOKUP(T832,商品!$A$4:$D$67,4,FALSE),0),"")</f>
        <v/>
      </c>
      <c r="AL832" t="str">
        <f>IFERROR(V832&amp;"*"&amp;ROUND(X832*(W832/$AP832)/VLOOKUP(V832,商品!$A$4:$D$67,4,FALSE),0),"")</f>
        <v/>
      </c>
      <c r="AN832">
        <f t="shared" si="101"/>
        <v>0</v>
      </c>
      <c r="AO832">
        <f t="shared" si="102"/>
        <v>0</v>
      </c>
      <c r="AP832">
        <f t="shared" si="103"/>
        <v>0</v>
      </c>
    </row>
    <row r="833" customHeight="1" spans="1:42">
      <c r="A833" s="18" t="s">
        <v>440</v>
      </c>
      <c r="C833" s="18">
        <v>2</v>
      </c>
      <c r="D833" s="1" t="s">
        <v>293</v>
      </c>
      <c r="E833" s="1" t="s">
        <v>227</v>
      </c>
      <c r="L833" s="1">
        <f>IFERROR(VLOOKUP($D833&amp;$C833,生产方式定位!$A$2:$E$38,2,FALSE)+VLOOKUP($E833&amp;$C833,生产方式定位!$F$3:$J$38,2,FALSE),0)</f>
        <v>0</v>
      </c>
      <c r="S833" s="1">
        <f>IFERROR(VLOOKUP($D833&amp;$C833,生产方式定位!$A$2:$E$38,3,FALSE)+VLOOKUP($E833&amp;$C833,生产方式定位!$F$3:$J$38,3,FALSE),0)</f>
        <v>0</v>
      </c>
      <c r="X833" s="1">
        <f>IFERROR(VLOOKUP($D833&amp;$C833,生产方式定位!$A$2:$E$38,5,FALSE)+VLOOKUP($E833&amp;$C833,生产方式定位!$F$3:$J$38,5,FALSE),"错误")</f>
        <v>0</v>
      </c>
      <c r="Y833" s="27" t="str">
        <f t="shared" si="96"/>
        <v/>
      </c>
      <c r="Z833" s="37" t="str">
        <f t="shared" si="97"/>
        <v/>
      </c>
      <c r="AA833" s="37" t="str">
        <f t="shared" si="98"/>
        <v/>
      </c>
      <c r="AB833" s="28" t="str">
        <f t="shared" si="99"/>
        <v/>
      </c>
      <c r="AC833" s="37"/>
      <c r="AD833" s="38">
        <f t="shared" si="100"/>
        <v>2</v>
      </c>
      <c r="AE833" t="str">
        <f>IFERROR(F833&amp;"*"&amp;ROUND(L833*(G833/$AN833)/VLOOKUP(F833,商品!$A$4:$D$67,4,FALSE),0),"")</f>
        <v/>
      </c>
      <c r="AF833" t="str">
        <f>IFERROR(H833&amp;"*"&amp;ROUND(L833*(I833/$AN833)/VLOOKUP(H833,商品!$A$4:$D$67,4,FALSE),0),"")</f>
        <v/>
      </c>
      <c r="AG833" t="str">
        <f>IFERROR(J833&amp;"*"&amp;ROUND(L833*(K833/$AN833)/VLOOKUP(J833,商品!$A$4:$D$67,4,FALSE),0),"")</f>
        <v/>
      </c>
      <c r="AH833" t="str">
        <f>IFERROR(M833&amp;"*"&amp;ROUND(S833*(N833/$AO833)/VLOOKUP(M833,职业!$A$3:$E$16,4,FALSE),0),"")</f>
        <v/>
      </c>
      <c r="AI833" t="str">
        <f>IFERROR(O833&amp;"*"&amp;ROUND(S833*(P833/$AO833)/VLOOKUP(O833,职业!$A$3:$E$16,4,FALSE),0),"")</f>
        <v/>
      </c>
      <c r="AK833" t="str">
        <f>IFERROR(T833&amp;"*"&amp;ROUND(X833*(U833/$AP833)/VLOOKUP(T833,商品!$A$4:$D$67,4,FALSE),0),"")</f>
        <v/>
      </c>
      <c r="AL833" t="str">
        <f>IFERROR(V833&amp;"*"&amp;ROUND(X833*(W833/$AP833)/VLOOKUP(V833,商品!$A$4:$D$67,4,FALSE),0),"")</f>
        <v/>
      </c>
      <c r="AN833">
        <f t="shared" si="101"/>
        <v>0</v>
      </c>
      <c r="AO833">
        <f t="shared" si="102"/>
        <v>0</v>
      </c>
      <c r="AP833">
        <f t="shared" si="103"/>
        <v>0</v>
      </c>
    </row>
    <row r="834" customHeight="1" spans="1:42">
      <c r="A834" s="18" t="s">
        <v>440</v>
      </c>
      <c r="C834" s="18">
        <v>3</v>
      </c>
      <c r="D834" s="1" t="s">
        <v>293</v>
      </c>
      <c r="E834" s="1" t="s">
        <v>227</v>
      </c>
      <c r="L834" s="1">
        <f>IFERROR(VLOOKUP($D834&amp;$C834,生产方式定位!$A$2:$E$38,2,FALSE)+VLOOKUP($E834&amp;$C834,生产方式定位!$F$3:$J$38,2,FALSE),0)</f>
        <v>0</v>
      </c>
      <c r="S834" s="1">
        <f>IFERROR(VLOOKUP($D834&amp;$C834,生产方式定位!$A$2:$E$38,3,FALSE)+VLOOKUP($E834&amp;$C834,生产方式定位!$F$3:$J$38,3,FALSE),0)</f>
        <v>0</v>
      </c>
      <c r="X834" s="1">
        <f>IFERROR(VLOOKUP($D834&amp;$C834,生产方式定位!$A$2:$E$38,5,FALSE)+VLOOKUP($E834&amp;$C834,生产方式定位!$F$3:$J$38,5,FALSE),"错误")</f>
        <v>0</v>
      </c>
      <c r="Y834" s="27" t="str">
        <f t="shared" si="96"/>
        <v/>
      </c>
      <c r="Z834" s="37" t="str">
        <f t="shared" si="97"/>
        <v/>
      </c>
      <c r="AA834" s="37" t="str">
        <f t="shared" si="98"/>
        <v/>
      </c>
      <c r="AB834" s="28" t="str">
        <f t="shared" si="99"/>
        <v/>
      </c>
      <c r="AC834" s="37"/>
      <c r="AD834" s="38">
        <f t="shared" si="100"/>
        <v>3</v>
      </c>
      <c r="AE834" t="str">
        <f>IFERROR(F834&amp;"*"&amp;ROUND(L834*(G834/$AN834)/VLOOKUP(F834,商品!$A$4:$D$67,4,FALSE),0),"")</f>
        <v/>
      </c>
      <c r="AF834" t="str">
        <f>IFERROR(H834&amp;"*"&amp;ROUND(L834*(I834/$AN834)/VLOOKUP(H834,商品!$A$4:$D$67,4,FALSE),0),"")</f>
        <v/>
      </c>
      <c r="AG834" t="str">
        <f>IFERROR(J834&amp;"*"&amp;ROUND(L834*(K834/$AN834)/VLOOKUP(J834,商品!$A$4:$D$67,4,FALSE),0),"")</f>
        <v/>
      </c>
      <c r="AH834" t="str">
        <f>IFERROR(M834&amp;"*"&amp;ROUND(S834*(N834/$AO834)/VLOOKUP(M834,职业!$A$3:$E$16,4,FALSE),0),"")</f>
        <v/>
      </c>
      <c r="AI834" t="str">
        <f>IFERROR(O834&amp;"*"&amp;ROUND(S834*(P834/$AO834)/VLOOKUP(O834,职业!$A$3:$E$16,4,FALSE),0),"")</f>
        <v/>
      </c>
      <c r="AK834" t="str">
        <f>IFERROR(T834&amp;"*"&amp;ROUND(X834*(U834/$AP834)/VLOOKUP(T834,商品!$A$4:$D$67,4,FALSE),0),"")</f>
        <v/>
      </c>
      <c r="AL834" t="str">
        <f>IFERROR(V834&amp;"*"&amp;ROUND(X834*(W834/$AP834)/VLOOKUP(V834,商品!$A$4:$D$67,4,FALSE),0),"")</f>
        <v/>
      </c>
      <c r="AN834">
        <f t="shared" si="101"/>
        <v>0</v>
      </c>
      <c r="AO834">
        <f t="shared" si="102"/>
        <v>0</v>
      </c>
      <c r="AP834">
        <f t="shared" si="103"/>
        <v>0</v>
      </c>
    </row>
    <row r="835" customHeight="1" spans="1:42">
      <c r="A835" s="18" t="s">
        <v>440</v>
      </c>
      <c r="C835" s="18">
        <v>4</v>
      </c>
      <c r="D835" s="1" t="s">
        <v>293</v>
      </c>
      <c r="E835" s="1" t="s">
        <v>227</v>
      </c>
      <c r="L835" s="1">
        <f>IFERROR(VLOOKUP($D835&amp;$C835,生产方式定位!$A$2:$E$38,2,FALSE)+VLOOKUP($E835&amp;$C835,生产方式定位!$F$3:$J$38,2,FALSE),0)</f>
        <v>0</v>
      </c>
      <c r="S835" s="1">
        <f>IFERROR(VLOOKUP($D835&amp;$C835,生产方式定位!$A$2:$E$38,3,FALSE)+VLOOKUP($E835&amp;$C835,生产方式定位!$F$3:$J$38,3,FALSE),0)</f>
        <v>0</v>
      </c>
      <c r="X835" s="1">
        <f>IFERROR(VLOOKUP($D835&amp;$C835,生产方式定位!$A$2:$E$38,5,FALSE)+VLOOKUP($E835&amp;$C835,生产方式定位!$F$3:$J$38,5,FALSE),"错误")</f>
        <v>0</v>
      </c>
      <c r="Y835" s="27" t="str">
        <f t="shared" si="96"/>
        <v/>
      </c>
      <c r="Z835" s="37" t="str">
        <f t="shared" si="97"/>
        <v/>
      </c>
      <c r="AA835" s="37" t="str">
        <f t="shared" si="98"/>
        <v/>
      </c>
      <c r="AB835" s="28" t="str">
        <f t="shared" si="99"/>
        <v/>
      </c>
      <c r="AC835" s="37"/>
      <c r="AD835" s="38">
        <f t="shared" si="100"/>
        <v>4</v>
      </c>
      <c r="AE835" t="str">
        <f>IFERROR(F835&amp;"*"&amp;ROUND(L835*(G835/$AN835)/VLOOKUP(F835,商品!$A$4:$D$67,4,FALSE),0),"")</f>
        <v/>
      </c>
      <c r="AF835" t="str">
        <f>IFERROR(H835&amp;"*"&amp;ROUND(L835*(I835/$AN835)/VLOOKUP(H835,商品!$A$4:$D$67,4,FALSE),0),"")</f>
        <v/>
      </c>
      <c r="AG835" t="str">
        <f>IFERROR(J835&amp;"*"&amp;ROUND(L835*(K835/$AN835)/VLOOKUP(J835,商品!$A$4:$D$67,4,FALSE),0),"")</f>
        <v/>
      </c>
      <c r="AH835" t="str">
        <f>IFERROR(M835&amp;"*"&amp;ROUND(S835*(N835/$AO835)/VLOOKUP(M835,职业!$A$3:$E$16,4,FALSE),0),"")</f>
        <v/>
      </c>
      <c r="AI835" t="str">
        <f>IFERROR(O835&amp;"*"&amp;ROUND(S835*(P835/$AO835)/VLOOKUP(O835,职业!$A$3:$E$16,4,FALSE),0),"")</f>
        <v/>
      </c>
      <c r="AK835" t="str">
        <f>IFERROR(T835&amp;"*"&amp;ROUND(X835*(U835/$AP835)/VLOOKUP(T835,商品!$A$4:$D$67,4,FALSE),0),"")</f>
        <v/>
      </c>
      <c r="AL835" t="str">
        <f>IFERROR(V835&amp;"*"&amp;ROUND(X835*(W835/$AP835)/VLOOKUP(V835,商品!$A$4:$D$67,4,FALSE),0),"")</f>
        <v/>
      </c>
      <c r="AN835">
        <f t="shared" si="101"/>
        <v>0</v>
      </c>
      <c r="AO835">
        <f t="shared" si="102"/>
        <v>0</v>
      </c>
      <c r="AP835">
        <f t="shared" si="103"/>
        <v>0</v>
      </c>
    </row>
    <row r="836" customHeight="1" spans="1:42">
      <c r="A836" s="18" t="s">
        <v>440</v>
      </c>
      <c r="C836" s="18">
        <v>5</v>
      </c>
      <c r="D836" s="1" t="s">
        <v>293</v>
      </c>
      <c r="E836" s="1" t="s">
        <v>227</v>
      </c>
      <c r="L836" s="1">
        <f>IFERROR(VLOOKUP($D836&amp;$C836,生产方式定位!$A$2:$E$38,2,FALSE)+VLOOKUP($E836&amp;$C836,生产方式定位!$F$3:$J$38,2,FALSE),0)</f>
        <v>0</v>
      </c>
      <c r="S836" s="1">
        <f>IFERROR(VLOOKUP($D836&amp;$C836,生产方式定位!$A$2:$E$38,3,FALSE)+VLOOKUP($E836&amp;$C836,生产方式定位!$F$3:$J$38,3,FALSE),0)</f>
        <v>0</v>
      </c>
      <c r="X836" s="1">
        <f>IFERROR(VLOOKUP($D836&amp;$C836,生产方式定位!$A$2:$E$38,5,FALSE)+VLOOKUP($E836&amp;$C836,生产方式定位!$F$3:$J$38,5,FALSE),"错误")</f>
        <v>0</v>
      </c>
      <c r="Y836" s="27" t="str">
        <f t="shared" si="96"/>
        <v/>
      </c>
      <c r="Z836" s="37" t="str">
        <f t="shared" si="97"/>
        <v/>
      </c>
      <c r="AA836" s="37" t="str">
        <f t="shared" si="98"/>
        <v/>
      </c>
      <c r="AB836" s="28" t="str">
        <f t="shared" si="99"/>
        <v/>
      </c>
      <c r="AC836" s="37"/>
      <c r="AD836" s="38">
        <f t="shared" si="100"/>
        <v>5</v>
      </c>
      <c r="AE836" t="str">
        <f>IFERROR(F836&amp;"*"&amp;ROUND(L836*(G836/$AN836)/VLOOKUP(F836,商品!$A$4:$D$67,4,FALSE),0),"")</f>
        <v/>
      </c>
      <c r="AF836" t="str">
        <f>IFERROR(H836&amp;"*"&amp;ROUND(L836*(I836/$AN836)/VLOOKUP(H836,商品!$A$4:$D$67,4,FALSE),0),"")</f>
        <v/>
      </c>
      <c r="AG836" t="str">
        <f>IFERROR(J836&amp;"*"&amp;ROUND(L836*(K836/$AN836)/VLOOKUP(J836,商品!$A$4:$D$67,4,FALSE),0),"")</f>
        <v/>
      </c>
      <c r="AH836" t="str">
        <f>IFERROR(M836&amp;"*"&amp;ROUND(S836*(N836/$AO836)/VLOOKUP(M836,职业!$A$3:$E$16,4,FALSE),0),"")</f>
        <v/>
      </c>
      <c r="AI836" t="str">
        <f>IFERROR(O836&amp;"*"&amp;ROUND(S836*(P836/$AO836)/VLOOKUP(O836,职业!$A$3:$E$16,4,FALSE),0),"")</f>
        <v/>
      </c>
      <c r="AK836" t="str">
        <f>IFERROR(T836&amp;"*"&amp;ROUND(X836*(U836/$AP836)/VLOOKUP(T836,商品!$A$4:$D$67,4,FALSE),0),"")</f>
        <v/>
      </c>
      <c r="AL836" t="str">
        <f>IFERROR(V836&amp;"*"&amp;ROUND(X836*(W836/$AP836)/VLOOKUP(V836,商品!$A$4:$D$67,4,FALSE),0),"")</f>
        <v/>
      </c>
      <c r="AN836">
        <f t="shared" si="101"/>
        <v>0</v>
      </c>
      <c r="AO836">
        <f t="shared" si="102"/>
        <v>0</v>
      </c>
      <c r="AP836">
        <f t="shared" si="103"/>
        <v>0</v>
      </c>
    </row>
    <row r="837" customHeight="1" spans="1:42">
      <c r="A837" s="18" t="s">
        <v>440</v>
      </c>
      <c r="C837" s="18">
        <v>6</v>
      </c>
      <c r="D837" s="1" t="s">
        <v>293</v>
      </c>
      <c r="E837" s="1" t="s">
        <v>227</v>
      </c>
      <c r="L837" s="1">
        <f>IFERROR(VLOOKUP($D837&amp;$C837,生产方式定位!$A$2:$E$38,2,FALSE)+VLOOKUP($E837&amp;$C837,生产方式定位!$F$3:$J$38,2,FALSE),0)</f>
        <v>0</v>
      </c>
      <c r="S837" s="1">
        <f>IFERROR(VLOOKUP($D837&amp;$C837,生产方式定位!$A$2:$E$38,3,FALSE)+VLOOKUP($E837&amp;$C837,生产方式定位!$F$3:$J$38,3,FALSE),0)</f>
        <v>0</v>
      </c>
      <c r="X837" s="1">
        <f>IFERROR(VLOOKUP($D837&amp;$C837,生产方式定位!$A$2:$E$38,5,FALSE)+VLOOKUP($E837&amp;$C837,生产方式定位!$F$3:$J$38,5,FALSE),"错误")</f>
        <v>0</v>
      </c>
      <c r="Y837" s="27" t="str">
        <f t="shared" ref="Y837:Y900" si="104">IF(AE837="","",AE837)&amp;IF(AF837="","",","&amp;AF837)&amp;IF(AG837="","",","&amp;AG837)</f>
        <v/>
      </c>
      <c r="Z837" s="37" t="str">
        <f t="shared" ref="Z837:Z900" si="105">IF(AH837="","",AH837)&amp;IF(AI837="","",","&amp;AI837)</f>
        <v/>
      </c>
      <c r="AA837" s="37" t="str">
        <f t="shared" ref="AA837:AA900" si="106">IF(AK837="","",AK837)&amp;IF(AL837="","",","&amp;AL837)</f>
        <v/>
      </c>
      <c r="AB837" s="28" t="str">
        <f t="shared" ref="AB837:AB900" si="107">IFERROR(ROUND(L837/X837,2),"")</f>
        <v/>
      </c>
      <c r="AC837" s="37"/>
      <c r="AD837" s="38">
        <f t="shared" ref="AD837:AD900" si="108">C837</f>
        <v>6</v>
      </c>
      <c r="AE837" t="str">
        <f>IFERROR(F837&amp;"*"&amp;ROUND(L837*(G837/$AN837)/VLOOKUP(F837,商品!$A$4:$D$67,4,FALSE),0),"")</f>
        <v/>
      </c>
      <c r="AF837" t="str">
        <f>IFERROR(H837&amp;"*"&amp;ROUND(L837*(I837/$AN837)/VLOOKUP(H837,商品!$A$4:$D$67,4,FALSE),0),"")</f>
        <v/>
      </c>
      <c r="AG837" t="str">
        <f>IFERROR(J837&amp;"*"&amp;ROUND(L837*(K837/$AN837)/VLOOKUP(J837,商品!$A$4:$D$67,4,FALSE),0),"")</f>
        <v/>
      </c>
      <c r="AH837" t="str">
        <f>IFERROR(M837&amp;"*"&amp;ROUND(S837*(N837/$AO837)/VLOOKUP(M837,职业!$A$3:$E$16,4,FALSE),0),"")</f>
        <v/>
      </c>
      <c r="AI837" t="str">
        <f>IFERROR(O837&amp;"*"&amp;ROUND(S837*(P837/$AO837)/VLOOKUP(O837,职业!$A$3:$E$16,4,FALSE),0),"")</f>
        <v/>
      </c>
      <c r="AK837" t="str">
        <f>IFERROR(T837&amp;"*"&amp;ROUND(X837*(U837/$AP837)/VLOOKUP(T837,商品!$A$4:$D$67,4,FALSE),0),"")</f>
        <v/>
      </c>
      <c r="AL837" t="str">
        <f>IFERROR(V837&amp;"*"&amp;ROUND(X837*(W837/$AP837)/VLOOKUP(V837,商品!$A$4:$D$67,4,FALSE),0),"")</f>
        <v/>
      </c>
      <c r="AN837">
        <f t="shared" si="101"/>
        <v>0</v>
      </c>
      <c r="AO837">
        <f t="shared" si="102"/>
        <v>0</v>
      </c>
      <c r="AP837">
        <f t="shared" si="103"/>
        <v>0</v>
      </c>
    </row>
    <row r="838" customHeight="1" spans="1:42">
      <c r="A838" s="18" t="s">
        <v>440</v>
      </c>
      <c r="C838" s="18">
        <v>7</v>
      </c>
      <c r="D838" s="1" t="s">
        <v>293</v>
      </c>
      <c r="E838" s="1" t="s">
        <v>227</v>
      </c>
      <c r="L838" s="1">
        <f>IFERROR(VLOOKUP($D838&amp;$C838,生产方式定位!$A$2:$E$38,2,FALSE)+VLOOKUP($E838&amp;$C838,生产方式定位!$F$3:$J$38,2,FALSE),0)</f>
        <v>0</v>
      </c>
      <c r="S838" s="1">
        <f>IFERROR(VLOOKUP($D838&amp;$C838,生产方式定位!$A$2:$E$38,3,FALSE)+VLOOKUP($E838&amp;$C838,生产方式定位!$F$3:$J$38,3,FALSE),0)</f>
        <v>0</v>
      </c>
      <c r="X838" s="1">
        <f>IFERROR(VLOOKUP($D838&amp;$C838,生产方式定位!$A$2:$E$38,5,FALSE)+VLOOKUP($E838&amp;$C838,生产方式定位!$F$3:$J$38,5,FALSE),"错误")</f>
        <v>0</v>
      </c>
      <c r="Y838" s="27" t="str">
        <f t="shared" si="104"/>
        <v/>
      </c>
      <c r="Z838" s="37" t="str">
        <f t="shared" si="105"/>
        <v/>
      </c>
      <c r="AA838" s="37" t="str">
        <f t="shared" si="106"/>
        <v/>
      </c>
      <c r="AB838" s="28" t="str">
        <f t="shared" si="107"/>
        <v/>
      </c>
      <c r="AC838" s="37"/>
      <c r="AD838" s="38">
        <f t="shared" si="108"/>
        <v>7</v>
      </c>
      <c r="AE838" t="str">
        <f>IFERROR(F838&amp;"*"&amp;ROUND(L838*(G838/$AN838)/VLOOKUP(F838,商品!$A$4:$D$67,4,FALSE),0),"")</f>
        <v/>
      </c>
      <c r="AF838" t="str">
        <f>IFERROR(H838&amp;"*"&amp;ROUND(L838*(I838/$AN838)/VLOOKUP(H838,商品!$A$4:$D$67,4,FALSE),0),"")</f>
        <v/>
      </c>
      <c r="AG838" t="str">
        <f>IFERROR(J838&amp;"*"&amp;ROUND(L838*(K838/$AN838)/VLOOKUP(J838,商品!$A$4:$D$67,4,FALSE),0),"")</f>
        <v/>
      </c>
      <c r="AH838" t="str">
        <f>IFERROR(M838&amp;"*"&amp;ROUND(S838*(N838/$AO838)/VLOOKUP(M838,职业!$A$3:$E$16,4,FALSE),0),"")</f>
        <v/>
      </c>
      <c r="AI838" t="str">
        <f>IFERROR(O838&amp;"*"&amp;ROUND(S838*(P838/$AO838)/VLOOKUP(O838,职业!$A$3:$E$16,4,FALSE),0),"")</f>
        <v/>
      </c>
      <c r="AK838" t="str">
        <f>IFERROR(T838&amp;"*"&amp;ROUND(X838*(U838/$AP838)/VLOOKUP(T838,商品!$A$4:$D$67,4,FALSE),0),"")</f>
        <v/>
      </c>
      <c r="AL838" t="str">
        <f>IFERROR(V838&amp;"*"&amp;ROUND(X838*(W838/$AP838)/VLOOKUP(V838,商品!$A$4:$D$67,4,FALSE),0),"")</f>
        <v/>
      </c>
      <c r="AN838">
        <f t="shared" ref="AN838:AN901" si="109">G838+I838+K838</f>
        <v>0</v>
      </c>
      <c r="AO838">
        <f t="shared" ref="AO838:AO901" si="110">N838+P838+R838</f>
        <v>0</v>
      </c>
      <c r="AP838">
        <f t="shared" ref="AP838:AP901" si="111">U838+W838</f>
        <v>0</v>
      </c>
    </row>
    <row r="839" customHeight="1" spans="1:42">
      <c r="A839" s="18" t="s">
        <v>440</v>
      </c>
      <c r="C839" s="18">
        <v>8</v>
      </c>
      <c r="D839" s="1" t="s">
        <v>293</v>
      </c>
      <c r="E839" s="1" t="s">
        <v>227</v>
      </c>
      <c r="L839" s="1">
        <f>IFERROR(VLOOKUP($D839&amp;$C839,生产方式定位!$A$2:$E$38,2,FALSE)+VLOOKUP($E839&amp;$C839,生产方式定位!$F$3:$J$38,2,FALSE),0)</f>
        <v>0</v>
      </c>
      <c r="S839" s="1">
        <f>IFERROR(VLOOKUP($D839&amp;$C839,生产方式定位!$A$2:$E$38,3,FALSE)+VLOOKUP($E839&amp;$C839,生产方式定位!$F$3:$J$38,3,FALSE),0)</f>
        <v>0</v>
      </c>
      <c r="X839" s="1">
        <f>IFERROR(VLOOKUP($D839&amp;$C839,生产方式定位!$A$2:$E$38,5,FALSE)+VLOOKUP($E839&amp;$C839,生产方式定位!$F$3:$J$38,5,FALSE),"错误")</f>
        <v>0</v>
      </c>
      <c r="Y839" s="27" t="str">
        <f t="shared" si="104"/>
        <v/>
      </c>
      <c r="Z839" s="37" t="str">
        <f t="shared" si="105"/>
        <v/>
      </c>
      <c r="AA839" s="37" t="str">
        <f t="shared" si="106"/>
        <v/>
      </c>
      <c r="AB839" s="28" t="str">
        <f t="shared" si="107"/>
        <v/>
      </c>
      <c r="AC839" s="37"/>
      <c r="AD839" s="38">
        <f t="shared" si="108"/>
        <v>8</v>
      </c>
      <c r="AE839" t="str">
        <f>IFERROR(F839&amp;"*"&amp;ROUND(L839*(G839/$AN839)/VLOOKUP(F839,商品!$A$4:$D$67,4,FALSE),0),"")</f>
        <v/>
      </c>
      <c r="AF839" t="str">
        <f>IFERROR(H839&amp;"*"&amp;ROUND(L839*(I839/$AN839)/VLOOKUP(H839,商品!$A$4:$D$67,4,FALSE),0),"")</f>
        <v/>
      </c>
      <c r="AG839" t="str">
        <f>IFERROR(J839&amp;"*"&amp;ROUND(L839*(K839/$AN839)/VLOOKUP(J839,商品!$A$4:$D$67,4,FALSE),0),"")</f>
        <v/>
      </c>
      <c r="AH839" t="str">
        <f>IFERROR(M839&amp;"*"&amp;ROUND(S839*(N839/$AO839)/VLOOKUP(M839,职业!$A$3:$E$16,4,FALSE),0),"")</f>
        <v/>
      </c>
      <c r="AI839" t="str">
        <f>IFERROR(O839&amp;"*"&amp;ROUND(S839*(P839/$AO839)/VLOOKUP(O839,职业!$A$3:$E$16,4,FALSE),0),"")</f>
        <v/>
      </c>
      <c r="AK839" t="str">
        <f>IFERROR(T839&amp;"*"&amp;ROUND(X839*(U839/$AP839)/VLOOKUP(T839,商品!$A$4:$D$67,4,FALSE),0),"")</f>
        <v/>
      </c>
      <c r="AL839" t="str">
        <f>IFERROR(V839&amp;"*"&amp;ROUND(X839*(W839/$AP839)/VLOOKUP(V839,商品!$A$4:$D$67,4,FALSE),0),"")</f>
        <v/>
      </c>
      <c r="AN839">
        <f t="shared" si="109"/>
        <v>0</v>
      </c>
      <c r="AO839">
        <f t="shared" si="110"/>
        <v>0</v>
      </c>
      <c r="AP839">
        <f t="shared" si="111"/>
        <v>0</v>
      </c>
    </row>
    <row r="840" customHeight="1" spans="1:42">
      <c r="A840" s="5" t="s">
        <v>442</v>
      </c>
      <c r="C840" s="5">
        <v>1</v>
      </c>
      <c r="D840" s="1" t="s">
        <v>222</v>
      </c>
      <c r="E840" s="1" t="s">
        <v>224</v>
      </c>
      <c r="L840" s="1">
        <f>IFERROR(VLOOKUP($D840&amp;$C840,生产方式定位!$A$2:$E$38,2,FALSE)+VLOOKUP($E840&amp;$C840,生产方式定位!$F$3:$J$38,2,FALSE),0)</f>
        <v>0</v>
      </c>
      <c r="S840" s="1">
        <f>IFERROR(VLOOKUP($D840&amp;$C840,生产方式定位!$A$2:$E$38,3,FALSE)+VLOOKUP($E840&amp;$C840,生产方式定位!$F$3:$J$38,3,FALSE),0)</f>
        <v>500</v>
      </c>
      <c r="X840" s="1">
        <f>IFERROR(VLOOKUP($D840&amp;$C840,生产方式定位!$A$2:$E$38,5,FALSE)+VLOOKUP($E840&amp;$C840,生产方式定位!$F$3:$J$38,5,FALSE),"错误")</f>
        <v>250</v>
      </c>
      <c r="Y840" s="27" t="str">
        <f t="shared" si="104"/>
        <v/>
      </c>
      <c r="Z840" s="37" t="str">
        <f t="shared" si="105"/>
        <v/>
      </c>
      <c r="AA840" s="37" t="str">
        <f t="shared" si="106"/>
        <v/>
      </c>
      <c r="AB840" s="28">
        <f t="shared" si="107"/>
        <v>0</v>
      </c>
      <c r="AC840" s="37"/>
      <c r="AD840" s="38">
        <f t="shared" si="108"/>
        <v>1</v>
      </c>
      <c r="AE840" t="str">
        <f>IFERROR(F840&amp;"*"&amp;ROUND(L840*(G840/$AN840)/VLOOKUP(F840,商品!$A$4:$D$67,4,FALSE),0),"")</f>
        <v/>
      </c>
      <c r="AF840" t="str">
        <f>IFERROR(H840&amp;"*"&amp;ROUND(L840*(I840/$AN840)/VLOOKUP(H840,商品!$A$4:$D$67,4,FALSE),0),"")</f>
        <v/>
      </c>
      <c r="AG840" t="str">
        <f>IFERROR(J840&amp;"*"&amp;ROUND(L840*(K840/$AN840)/VLOOKUP(J840,商品!$A$4:$D$67,4,FALSE),0),"")</f>
        <v/>
      </c>
      <c r="AH840" t="str">
        <f>IFERROR(M840&amp;"*"&amp;ROUND(S840*(N840/$AO840)/VLOOKUP(M840,职业!$A$3:$E$16,4,FALSE),0),"")</f>
        <v/>
      </c>
      <c r="AI840" t="str">
        <f>IFERROR(O840&amp;"*"&amp;ROUND(S840*(P840/$AO840)/VLOOKUP(O840,职业!$A$3:$E$16,4,FALSE),0),"")</f>
        <v/>
      </c>
      <c r="AK840" t="str">
        <f>IFERROR(T840&amp;"*"&amp;ROUND(X840*(U840/$AP840)/VLOOKUP(T840,商品!$A$4:$D$67,4,FALSE),0),"")</f>
        <v/>
      </c>
      <c r="AL840" t="str">
        <f>IFERROR(V840&amp;"*"&amp;ROUND(X840*(W840/$AP840)/VLOOKUP(V840,商品!$A$4:$D$67,4,FALSE),0),"")</f>
        <v/>
      </c>
      <c r="AN840">
        <f t="shared" si="109"/>
        <v>0</v>
      </c>
      <c r="AO840">
        <f t="shared" si="110"/>
        <v>0</v>
      </c>
      <c r="AP840">
        <f t="shared" si="111"/>
        <v>0</v>
      </c>
    </row>
    <row r="841" customHeight="1" spans="1:42">
      <c r="A841" s="5" t="s">
        <v>442</v>
      </c>
      <c r="C841" s="5">
        <v>2</v>
      </c>
      <c r="D841" s="1" t="s">
        <v>222</v>
      </c>
      <c r="E841" s="1" t="s">
        <v>224</v>
      </c>
      <c r="L841" s="1">
        <f>IFERROR(VLOOKUP($D841&amp;$C841,生产方式定位!$A$2:$E$38,2,FALSE)+VLOOKUP($E841&amp;$C841,生产方式定位!$F$3:$J$38,2,FALSE),0)</f>
        <v>2200</v>
      </c>
      <c r="S841" s="1">
        <f>IFERROR(VLOOKUP($D841&amp;$C841,生产方式定位!$A$2:$E$38,3,FALSE)+VLOOKUP($E841&amp;$C841,生产方式定位!$F$3:$J$38,3,FALSE),0)</f>
        <v>750</v>
      </c>
      <c r="X841" s="1">
        <f>IFERROR(VLOOKUP($D841&amp;$C841,生产方式定位!$A$2:$E$38,5,FALSE)+VLOOKUP($E841&amp;$C841,生产方式定位!$F$3:$J$38,5,FALSE),"错误")</f>
        <v>1547</v>
      </c>
      <c r="Y841" s="27" t="str">
        <f t="shared" si="104"/>
        <v/>
      </c>
      <c r="Z841" s="37" t="str">
        <f t="shared" si="105"/>
        <v/>
      </c>
      <c r="AA841" s="37" t="str">
        <f t="shared" si="106"/>
        <v/>
      </c>
      <c r="AB841" s="28">
        <f t="shared" si="107"/>
        <v>1.42</v>
      </c>
      <c r="AC841" s="37"/>
      <c r="AD841" s="38">
        <f t="shared" si="108"/>
        <v>2</v>
      </c>
      <c r="AE841" t="str">
        <f>IFERROR(F841&amp;"*"&amp;ROUND(L841*(G841/$AN841)/VLOOKUP(F841,商品!$A$4:$D$67,4,FALSE),0),"")</f>
        <v/>
      </c>
      <c r="AF841" t="str">
        <f>IFERROR(H841&amp;"*"&amp;ROUND(L841*(I841/$AN841)/VLOOKUP(H841,商品!$A$4:$D$67,4,FALSE),0),"")</f>
        <v/>
      </c>
      <c r="AG841" t="str">
        <f>IFERROR(J841&amp;"*"&amp;ROUND(L841*(K841/$AN841)/VLOOKUP(J841,商品!$A$4:$D$67,4,FALSE),0),"")</f>
        <v/>
      </c>
      <c r="AH841" t="str">
        <f>IFERROR(M841&amp;"*"&amp;ROUND(S841*(N841/$AO841)/VLOOKUP(M841,职业!$A$3:$E$16,4,FALSE),0),"")</f>
        <v/>
      </c>
      <c r="AI841" t="str">
        <f>IFERROR(O841&amp;"*"&amp;ROUND(S841*(P841/$AO841)/VLOOKUP(O841,职业!$A$3:$E$16,4,FALSE),0),"")</f>
        <v/>
      </c>
      <c r="AK841" t="str">
        <f>IFERROR(T841&amp;"*"&amp;ROUND(X841*(U841/$AP841)/VLOOKUP(T841,商品!$A$4:$D$67,4,FALSE),0),"")</f>
        <v/>
      </c>
      <c r="AL841" t="str">
        <f>IFERROR(V841&amp;"*"&amp;ROUND(X841*(W841/$AP841)/VLOOKUP(V841,商品!$A$4:$D$67,4,FALSE),0),"")</f>
        <v/>
      </c>
      <c r="AN841">
        <f t="shared" si="109"/>
        <v>0</v>
      </c>
      <c r="AO841">
        <f t="shared" si="110"/>
        <v>0</v>
      </c>
      <c r="AP841">
        <f t="shared" si="111"/>
        <v>0</v>
      </c>
    </row>
    <row r="842" customHeight="1" spans="1:42">
      <c r="A842" s="5" t="s">
        <v>442</v>
      </c>
      <c r="C842" s="5">
        <v>3</v>
      </c>
      <c r="D842" s="1" t="s">
        <v>222</v>
      </c>
      <c r="E842" s="1" t="s">
        <v>224</v>
      </c>
      <c r="L842" s="1">
        <f>IFERROR(VLOOKUP($D842&amp;$C842,生产方式定位!$A$2:$E$38,2,FALSE)+VLOOKUP($E842&amp;$C842,生产方式定位!$F$3:$J$38,2,FALSE),0)</f>
        <v>3400</v>
      </c>
      <c r="S842" s="1">
        <f>IFERROR(VLOOKUP($D842&amp;$C842,生产方式定位!$A$2:$E$38,3,FALSE)+VLOOKUP($E842&amp;$C842,生产方式定位!$F$3:$J$38,3,FALSE),0)</f>
        <v>1000</v>
      </c>
      <c r="X842" s="1">
        <f>IFERROR(VLOOKUP($D842&amp;$C842,生产方式定位!$A$2:$E$38,5,FALSE)+VLOOKUP($E842&amp;$C842,生产方式定位!$F$3:$J$38,5,FALSE),"错误")</f>
        <v>2488</v>
      </c>
      <c r="Y842" s="27" t="str">
        <f t="shared" si="104"/>
        <v/>
      </c>
      <c r="Z842" s="37" t="str">
        <f t="shared" si="105"/>
        <v/>
      </c>
      <c r="AA842" s="37" t="str">
        <f t="shared" si="106"/>
        <v/>
      </c>
      <c r="AB842" s="28">
        <f t="shared" si="107"/>
        <v>1.37</v>
      </c>
      <c r="AC842" s="37"/>
      <c r="AD842" s="38">
        <f t="shared" si="108"/>
        <v>3</v>
      </c>
      <c r="AE842" t="str">
        <f>IFERROR(F842&amp;"*"&amp;ROUND(L842*(G842/$AN842)/VLOOKUP(F842,商品!$A$4:$D$67,4,FALSE),0),"")</f>
        <v/>
      </c>
      <c r="AF842" t="str">
        <f>IFERROR(H842&amp;"*"&amp;ROUND(L842*(I842/$AN842)/VLOOKUP(H842,商品!$A$4:$D$67,4,FALSE),0),"")</f>
        <v/>
      </c>
      <c r="AG842" t="str">
        <f>IFERROR(J842&amp;"*"&amp;ROUND(L842*(K842/$AN842)/VLOOKUP(J842,商品!$A$4:$D$67,4,FALSE),0),"")</f>
        <v/>
      </c>
      <c r="AH842" t="str">
        <f>IFERROR(M842&amp;"*"&amp;ROUND(S842*(N842/$AO842)/VLOOKUP(M842,职业!$A$3:$E$16,4,FALSE),0),"")</f>
        <v/>
      </c>
      <c r="AI842" t="str">
        <f>IFERROR(O842&amp;"*"&amp;ROUND(S842*(P842/$AO842)/VLOOKUP(O842,职业!$A$3:$E$16,4,FALSE),0),"")</f>
        <v/>
      </c>
      <c r="AK842" t="str">
        <f>IFERROR(T842&amp;"*"&amp;ROUND(X842*(U842/$AP842)/VLOOKUP(T842,商品!$A$4:$D$67,4,FALSE),0),"")</f>
        <v/>
      </c>
      <c r="AL842" t="str">
        <f>IFERROR(V842&amp;"*"&amp;ROUND(X842*(W842/$AP842)/VLOOKUP(V842,商品!$A$4:$D$67,4,FALSE),0),"")</f>
        <v/>
      </c>
      <c r="AN842">
        <f t="shared" si="109"/>
        <v>0</v>
      </c>
      <c r="AO842">
        <f t="shared" si="110"/>
        <v>0</v>
      </c>
      <c r="AP842">
        <f t="shared" si="111"/>
        <v>0</v>
      </c>
    </row>
    <row r="843" customHeight="1" spans="1:42">
      <c r="A843" s="5" t="s">
        <v>442</v>
      </c>
      <c r="C843" s="5">
        <v>4</v>
      </c>
      <c r="D843" s="1" t="s">
        <v>222</v>
      </c>
      <c r="E843" s="1" t="s">
        <v>224</v>
      </c>
      <c r="L843" s="1">
        <f>IFERROR(VLOOKUP($D843&amp;$C843,生产方式定位!$A$2:$E$38,2,FALSE)+VLOOKUP($E843&amp;$C843,生产方式定位!$F$3:$J$38,2,FALSE),0)</f>
        <v>4600</v>
      </c>
      <c r="S843" s="1">
        <f>IFERROR(VLOOKUP($D843&amp;$C843,生产方式定位!$A$2:$E$38,3,FALSE)+VLOOKUP($E843&amp;$C843,生产方式定位!$F$3:$J$38,3,FALSE),0)</f>
        <v>1250</v>
      </c>
      <c r="X843" s="1">
        <f>IFERROR(VLOOKUP($D843&amp;$C843,生产方式定位!$A$2:$E$38,5,FALSE)+VLOOKUP($E843&amp;$C843,生产方式定位!$F$3:$J$38,5,FALSE),"错误")</f>
        <v>3573</v>
      </c>
      <c r="Y843" s="27" t="str">
        <f t="shared" si="104"/>
        <v/>
      </c>
      <c r="Z843" s="37" t="str">
        <f t="shared" si="105"/>
        <v/>
      </c>
      <c r="AA843" s="37" t="str">
        <f t="shared" si="106"/>
        <v/>
      </c>
      <c r="AB843" s="28">
        <f t="shared" si="107"/>
        <v>1.29</v>
      </c>
      <c r="AC843" s="37"/>
      <c r="AD843" s="38">
        <f t="shared" si="108"/>
        <v>4</v>
      </c>
      <c r="AE843" t="str">
        <f>IFERROR(F843&amp;"*"&amp;ROUND(L843*(G843/$AN843)/VLOOKUP(F843,商品!$A$4:$D$67,4,FALSE),0),"")</f>
        <v/>
      </c>
      <c r="AF843" t="str">
        <f>IFERROR(H843&amp;"*"&amp;ROUND(L843*(I843/$AN843)/VLOOKUP(H843,商品!$A$4:$D$67,4,FALSE),0),"")</f>
        <v/>
      </c>
      <c r="AG843" t="str">
        <f>IFERROR(J843&amp;"*"&amp;ROUND(L843*(K843/$AN843)/VLOOKUP(J843,商品!$A$4:$D$67,4,FALSE),0),"")</f>
        <v/>
      </c>
      <c r="AH843" t="str">
        <f>IFERROR(M843&amp;"*"&amp;ROUND(S843*(N843/$AO843)/VLOOKUP(M843,职业!$A$3:$E$16,4,FALSE),0),"")</f>
        <v/>
      </c>
      <c r="AI843" t="str">
        <f>IFERROR(O843&amp;"*"&amp;ROUND(S843*(P843/$AO843)/VLOOKUP(O843,职业!$A$3:$E$16,4,FALSE),0),"")</f>
        <v/>
      </c>
      <c r="AK843" t="str">
        <f>IFERROR(T843&amp;"*"&amp;ROUND(X843*(U843/$AP843)/VLOOKUP(T843,商品!$A$4:$D$67,4,FALSE),0),"")</f>
        <v/>
      </c>
      <c r="AL843" t="str">
        <f>IFERROR(V843&amp;"*"&amp;ROUND(X843*(W843/$AP843)/VLOOKUP(V843,商品!$A$4:$D$67,4,FALSE),0),"")</f>
        <v/>
      </c>
      <c r="AN843">
        <f t="shared" si="109"/>
        <v>0</v>
      </c>
      <c r="AO843">
        <f t="shared" si="110"/>
        <v>0</v>
      </c>
      <c r="AP843">
        <f t="shared" si="111"/>
        <v>0</v>
      </c>
    </row>
    <row r="844" customHeight="1" spans="1:42">
      <c r="A844" s="5" t="s">
        <v>442</v>
      </c>
      <c r="C844" s="5">
        <v>5</v>
      </c>
      <c r="D844" s="1" t="s">
        <v>222</v>
      </c>
      <c r="E844" s="1" t="s">
        <v>224</v>
      </c>
      <c r="L844" s="1">
        <f>IFERROR(VLOOKUP($D844&amp;$C844,生产方式定位!$A$2:$E$38,2,FALSE)+VLOOKUP($E844&amp;$C844,生产方式定位!$F$3:$J$38,2,FALSE),0)</f>
        <v>5800</v>
      </c>
      <c r="S844" s="1">
        <f>IFERROR(VLOOKUP($D844&amp;$C844,生产方式定位!$A$2:$E$38,3,FALSE)+VLOOKUP($E844&amp;$C844,生产方式定位!$F$3:$J$38,3,FALSE),0)</f>
        <v>1500</v>
      </c>
      <c r="X844" s="1">
        <f>IFERROR(VLOOKUP($D844&amp;$C844,生产方式定位!$A$2:$E$38,5,FALSE)+VLOOKUP($E844&amp;$C844,生产方式定位!$F$3:$J$38,5,FALSE),"错误")</f>
        <v>4850</v>
      </c>
      <c r="Y844" s="27" t="str">
        <f t="shared" si="104"/>
        <v/>
      </c>
      <c r="Z844" s="37" t="str">
        <f t="shared" si="105"/>
        <v/>
      </c>
      <c r="AA844" s="37" t="str">
        <f t="shared" si="106"/>
        <v/>
      </c>
      <c r="AB844" s="28">
        <f t="shared" si="107"/>
        <v>1.2</v>
      </c>
      <c r="AC844" s="37"/>
      <c r="AD844" s="38">
        <f t="shared" si="108"/>
        <v>5</v>
      </c>
      <c r="AE844" t="str">
        <f>IFERROR(F844&amp;"*"&amp;ROUND(L844*(G844/$AN844)/VLOOKUP(F844,商品!$A$4:$D$67,4,FALSE),0),"")</f>
        <v/>
      </c>
      <c r="AF844" t="str">
        <f>IFERROR(H844&amp;"*"&amp;ROUND(L844*(I844/$AN844)/VLOOKUP(H844,商品!$A$4:$D$67,4,FALSE),0),"")</f>
        <v/>
      </c>
      <c r="AG844" t="str">
        <f>IFERROR(J844&amp;"*"&amp;ROUND(L844*(K844/$AN844)/VLOOKUP(J844,商品!$A$4:$D$67,4,FALSE),0),"")</f>
        <v/>
      </c>
      <c r="AH844" t="str">
        <f>IFERROR(M844&amp;"*"&amp;ROUND(S844*(N844/$AO844)/VLOOKUP(M844,职业!$A$3:$E$16,4,FALSE),0),"")</f>
        <v/>
      </c>
      <c r="AI844" t="str">
        <f>IFERROR(O844&amp;"*"&amp;ROUND(S844*(P844/$AO844)/VLOOKUP(O844,职业!$A$3:$E$16,4,FALSE),0),"")</f>
        <v/>
      </c>
      <c r="AK844" t="str">
        <f>IFERROR(T844&amp;"*"&amp;ROUND(X844*(U844/$AP844)/VLOOKUP(T844,商品!$A$4:$D$67,4,FALSE),0),"")</f>
        <v/>
      </c>
      <c r="AL844" t="str">
        <f>IFERROR(V844&amp;"*"&amp;ROUND(X844*(W844/$AP844)/VLOOKUP(V844,商品!$A$4:$D$67,4,FALSE),0),"")</f>
        <v/>
      </c>
      <c r="AN844">
        <f t="shared" si="109"/>
        <v>0</v>
      </c>
      <c r="AO844">
        <f t="shared" si="110"/>
        <v>0</v>
      </c>
      <c r="AP844">
        <f t="shared" si="111"/>
        <v>0</v>
      </c>
    </row>
    <row r="845" customHeight="1" spans="1:42">
      <c r="A845" s="18" t="s">
        <v>443</v>
      </c>
      <c r="C845" s="18">
        <v>1</v>
      </c>
      <c r="D845" s="1" t="s">
        <v>222</v>
      </c>
      <c r="E845" s="1" t="s">
        <v>226</v>
      </c>
      <c r="L845" s="1">
        <f>IFERROR(VLOOKUP($D845&amp;$C845,生产方式定位!$A$2:$E$38,2,FALSE)+VLOOKUP($E845&amp;$C845,生产方式定位!$F$3:$J$38,2,FALSE),0)</f>
        <v>0</v>
      </c>
      <c r="S845" s="1">
        <f>IFERROR(VLOOKUP($D845&amp;$C845,生产方式定位!$A$2:$E$38,3,FALSE)+VLOOKUP($E845&amp;$C845,生产方式定位!$F$3:$J$38,3,FALSE),0)</f>
        <v>500</v>
      </c>
      <c r="X845" s="1">
        <f>IFERROR(VLOOKUP($D845&amp;$C845,生产方式定位!$A$2:$E$38,5,FALSE)+VLOOKUP($E845&amp;$C845,生产方式定位!$F$3:$J$38,5,FALSE),"错误")</f>
        <v>250</v>
      </c>
      <c r="Y845" s="27" t="str">
        <f t="shared" si="104"/>
        <v/>
      </c>
      <c r="Z845" s="37" t="str">
        <f t="shared" si="105"/>
        <v/>
      </c>
      <c r="AA845" s="37" t="str">
        <f t="shared" si="106"/>
        <v/>
      </c>
      <c r="AB845" s="28">
        <f t="shared" si="107"/>
        <v>0</v>
      </c>
      <c r="AC845" s="37"/>
      <c r="AD845" s="38">
        <f t="shared" si="108"/>
        <v>1</v>
      </c>
      <c r="AE845" t="str">
        <f>IFERROR(F845&amp;"*"&amp;ROUND(L845*(G845/$AN845)/VLOOKUP(F845,商品!$A$4:$D$67,4,FALSE),0),"")</f>
        <v/>
      </c>
      <c r="AF845" t="str">
        <f>IFERROR(H845&amp;"*"&amp;ROUND(L845*(I845/$AN845)/VLOOKUP(H845,商品!$A$4:$D$67,4,FALSE),0),"")</f>
        <v/>
      </c>
      <c r="AG845" t="str">
        <f>IFERROR(J845&amp;"*"&amp;ROUND(L845*(K845/$AN845)/VLOOKUP(J845,商品!$A$4:$D$67,4,FALSE),0),"")</f>
        <v/>
      </c>
      <c r="AH845" t="str">
        <f>IFERROR(M845&amp;"*"&amp;ROUND(S845*(N845/$AO845)/VLOOKUP(M845,职业!$A$3:$E$16,4,FALSE),0),"")</f>
        <v/>
      </c>
      <c r="AI845" t="str">
        <f>IFERROR(O845&amp;"*"&amp;ROUND(S845*(P845/$AO845)/VLOOKUP(O845,职业!$A$3:$E$16,4,FALSE),0),"")</f>
        <v/>
      </c>
      <c r="AK845" t="str">
        <f>IFERROR(T845&amp;"*"&amp;ROUND(X845*(U845/$AP845)/VLOOKUP(T845,商品!$A$4:$D$67,4,FALSE),0),"")</f>
        <v/>
      </c>
      <c r="AL845" t="str">
        <f>IFERROR(V845&amp;"*"&amp;ROUND(X845*(W845/$AP845)/VLOOKUP(V845,商品!$A$4:$D$67,4,FALSE),0),"")</f>
        <v/>
      </c>
      <c r="AN845">
        <f t="shared" si="109"/>
        <v>0</v>
      </c>
      <c r="AO845">
        <f t="shared" si="110"/>
        <v>0</v>
      </c>
      <c r="AP845">
        <f t="shared" si="111"/>
        <v>0</v>
      </c>
    </row>
    <row r="846" customHeight="1" spans="1:42">
      <c r="A846" s="18" t="s">
        <v>443</v>
      </c>
      <c r="C846" s="18">
        <v>2</v>
      </c>
      <c r="D846" s="1" t="s">
        <v>222</v>
      </c>
      <c r="E846" s="1" t="s">
        <v>226</v>
      </c>
      <c r="L846" s="1">
        <f>IFERROR(VLOOKUP($D846&amp;$C846,生产方式定位!$A$2:$E$38,2,FALSE)+VLOOKUP($E846&amp;$C846,生产方式定位!$F$3:$J$38,2,FALSE),0)</f>
        <v>3200</v>
      </c>
      <c r="S846" s="1">
        <f>IFERROR(VLOOKUP($D846&amp;$C846,生产方式定位!$A$2:$E$38,3,FALSE)+VLOOKUP($E846&amp;$C846,生产方式定位!$F$3:$J$38,3,FALSE),0)</f>
        <v>350</v>
      </c>
      <c r="X846" s="1">
        <f>IFERROR(VLOOKUP($D846&amp;$C846,生产方式定位!$A$2:$E$38,5,FALSE)+VLOOKUP($E846&amp;$C846,生产方式定位!$F$3:$J$38,5,FALSE),"错误")</f>
        <v>1865</v>
      </c>
      <c r="Y846" s="27" t="str">
        <f t="shared" si="104"/>
        <v/>
      </c>
      <c r="Z846" s="37" t="str">
        <f t="shared" si="105"/>
        <v/>
      </c>
      <c r="AA846" s="37" t="str">
        <f t="shared" si="106"/>
        <v/>
      </c>
      <c r="AB846" s="28">
        <f t="shared" si="107"/>
        <v>1.72</v>
      </c>
      <c r="AC846" s="37"/>
      <c r="AD846" s="38">
        <f t="shared" si="108"/>
        <v>2</v>
      </c>
      <c r="AE846" t="str">
        <f>IFERROR(F846&amp;"*"&amp;ROUND(L846*(G846/$AN846)/VLOOKUP(F846,商品!$A$4:$D$67,4,FALSE),0),"")</f>
        <v/>
      </c>
      <c r="AF846" t="str">
        <f>IFERROR(H846&amp;"*"&amp;ROUND(L846*(I846/$AN846)/VLOOKUP(H846,商品!$A$4:$D$67,4,FALSE),0),"")</f>
        <v/>
      </c>
      <c r="AG846" t="str">
        <f>IFERROR(J846&amp;"*"&amp;ROUND(L846*(K846/$AN846)/VLOOKUP(J846,商品!$A$4:$D$67,4,FALSE),0),"")</f>
        <v/>
      </c>
      <c r="AH846" t="str">
        <f>IFERROR(M846&amp;"*"&amp;ROUND(S846*(N846/$AO846)/VLOOKUP(M846,职业!$A$3:$E$16,4,FALSE),0),"")</f>
        <v/>
      </c>
      <c r="AI846" t="str">
        <f>IFERROR(O846&amp;"*"&amp;ROUND(S846*(P846/$AO846)/VLOOKUP(O846,职业!$A$3:$E$16,4,FALSE),0),"")</f>
        <v/>
      </c>
      <c r="AK846" t="str">
        <f>IFERROR(T846&amp;"*"&amp;ROUND(X846*(U846/$AP846)/VLOOKUP(T846,商品!$A$4:$D$67,4,FALSE),0),"")</f>
        <v/>
      </c>
      <c r="AL846" t="str">
        <f>IFERROR(V846&amp;"*"&amp;ROUND(X846*(W846/$AP846)/VLOOKUP(V846,商品!$A$4:$D$67,4,FALSE),0),"")</f>
        <v/>
      </c>
      <c r="AN846">
        <f t="shared" si="109"/>
        <v>0</v>
      </c>
      <c r="AO846">
        <f t="shared" si="110"/>
        <v>0</v>
      </c>
      <c r="AP846">
        <f t="shared" si="111"/>
        <v>0</v>
      </c>
    </row>
    <row r="847" customHeight="1" spans="1:42">
      <c r="A847" s="18" t="s">
        <v>443</v>
      </c>
      <c r="C847" s="18">
        <v>3</v>
      </c>
      <c r="D847" s="1" t="s">
        <v>222</v>
      </c>
      <c r="E847" s="1" t="s">
        <v>226</v>
      </c>
      <c r="L847" s="1">
        <f>IFERROR(VLOOKUP($D847&amp;$C847,生产方式定位!$A$2:$E$38,2,FALSE)+VLOOKUP($E847&amp;$C847,生产方式定位!$F$3:$J$38,2,FALSE),0)</f>
        <v>4400</v>
      </c>
      <c r="S847" s="1">
        <f>IFERROR(VLOOKUP($D847&amp;$C847,生产方式定位!$A$2:$E$38,3,FALSE)+VLOOKUP($E847&amp;$C847,生产方式定位!$F$3:$J$38,3,FALSE),0)</f>
        <v>200</v>
      </c>
      <c r="X847" s="1">
        <f>IFERROR(VLOOKUP($D847&amp;$C847,生产方式定位!$A$2:$E$38,5,FALSE)+VLOOKUP($E847&amp;$C847,生产方式定位!$F$3:$J$38,5,FALSE),"错误")</f>
        <v>2560</v>
      </c>
      <c r="Y847" s="27" t="str">
        <f t="shared" si="104"/>
        <v/>
      </c>
      <c r="Z847" s="37" t="str">
        <f t="shared" si="105"/>
        <v/>
      </c>
      <c r="AA847" s="37" t="str">
        <f t="shared" si="106"/>
        <v/>
      </c>
      <c r="AB847" s="28">
        <f t="shared" si="107"/>
        <v>1.72</v>
      </c>
      <c r="AC847" s="37"/>
      <c r="AD847" s="38">
        <f t="shared" si="108"/>
        <v>3</v>
      </c>
      <c r="AE847" t="str">
        <f>IFERROR(F847&amp;"*"&amp;ROUND(L847*(G847/$AN847)/VLOOKUP(F847,商品!$A$4:$D$67,4,FALSE),0),"")</f>
        <v/>
      </c>
      <c r="AF847" t="str">
        <f>IFERROR(H847&amp;"*"&amp;ROUND(L847*(I847/$AN847)/VLOOKUP(H847,商品!$A$4:$D$67,4,FALSE),0),"")</f>
        <v/>
      </c>
      <c r="AG847" t="str">
        <f>IFERROR(J847&amp;"*"&amp;ROUND(L847*(K847/$AN847)/VLOOKUP(J847,商品!$A$4:$D$67,4,FALSE),0),"")</f>
        <v/>
      </c>
      <c r="AH847" t="str">
        <f>IFERROR(M847&amp;"*"&amp;ROUND(S847*(N847/$AO847)/VLOOKUP(M847,职业!$A$3:$E$16,4,FALSE),0),"")</f>
        <v/>
      </c>
      <c r="AI847" t="str">
        <f>IFERROR(O847&amp;"*"&amp;ROUND(S847*(P847/$AO847)/VLOOKUP(O847,职业!$A$3:$E$16,4,FALSE),0),"")</f>
        <v/>
      </c>
      <c r="AK847" t="str">
        <f>IFERROR(T847&amp;"*"&amp;ROUND(X847*(U847/$AP847)/VLOOKUP(T847,商品!$A$4:$D$67,4,FALSE),0),"")</f>
        <v/>
      </c>
      <c r="AL847" t="str">
        <f>IFERROR(V847&amp;"*"&amp;ROUND(X847*(W847/$AP847)/VLOOKUP(V847,商品!$A$4:$D$67,4,FALSE),0),"")</f>
        <v/>
      </c>
      <c r="AN847">
        <f t="shared" si="109"/>
        <v>0</v>
      </c>
      <c r="AO847">
        <f t="shared" si="110"/>
        <v>0</v>
      </c>
      <c r="AP847">
        <f t="shared" si="111"/>
        <v>0</v>
      </c>
    </row>
    <row r="848" customHeight="1" spans="1:42">
      <c r="A848" s="18" t="s">
        <v>443</v>
      </c>
      <c r="C848" s="18">
        <v>4</v>
      </c>
      <c r="D848" s="1" t="s">
        <v>222</v>
      </c>
      <c r="E848" s="1" t="s">
        <v>226</v>
      </c>
      <c r="L848" s="1">
        <f>IFERROR(VLOOKUP($D848&amp;$C848,生产方式定位!$A$2:$E$38,2,FALSE)+VLOOKUP($E848&amp;$C848,生产方式定位!$F$3:$J$38,2,FALSE),0)</f>
        <v>5600</v>
      </c>
      <c r="S848" s="1">
        <f>IFERROR(VLOOKUP($D848&amp;$C848,生产方式定位!$A$2:$E$38,3,FALSE)+VLOOKUP($E848&amp;$C848,生产方式定位!$F$3:$J$38,3,FALSE),0)</f>
        <v>50</v>
      </c>
      <c r="X848" s="1">
        <f>IFERROR(VLOOKUP($D848&amp;$C848,生产方式定位!$A$2:$E$38,5,FALSE)+VLOOKUP($E848&amp;$C848,生产方式定位!$F$3:$J$38,5,FALSE),"错误")</f>
        <v>3335</v>
      </c>
      <c r="Y848" s="27" t="str">
        <f t="shared" si="104"/>
        <v/>
      </c>
      <c r="Z848" s="37" t="str">
        <f t="shared" si="105"/>
        <v/>
      </c>
      <c r="AA848" s="37" t="str">
        <f t="shared" si="106"/>
        <v/>
      </c>
      <c r="AB848" s="28">
        <f t="shared" si="107"/>
        <v>1.68</v>
      </c>
      <c r="AC848" s="37"/>
      <c r="AD848" s="38">
        <f t="shared" si="108"/>
        <v>4</v>
      </c>
      <c r="AE848" t="str">
        <f>IFERROR(F848&amp;"*"&amp;ROUND(L848*(G848/$AN848)/VLOOKUP(F848,商品!$A$4:$D$67,4,FALSE),0),"")</f>
        <v/>
      </c>
      <c r="AF848" t="str">
        <f>IFERROR(H848&amp;"*"&amp;ROUND(L848*(I848/$AN848)/VLOOKUP(H848,商品!$A$4:$D$67,4,FALSE),0),"")</f>
        <v/>
      </c>
      <c r="AG848" t="str">
        <f>IFERROR(J848&amp;"*"&amp;ROUND(L848*(K848/$AN848)/VLOOKUP(J848,商品!$A$4:$D$67,4,FALSE),0),"")</f>
        <v/>
      </c>
      <c r="AH848" t="str">
        <f>IFERROR(M848&amp;"*"&amp;ROUND(S848*(N848/$AO848)/VLOOKUP(M848,职业!$A$3:$E$16,4,FALSE),0),"")</f>
        <v/>
      </c>
      <c r="AI848" t="str">
        <f>IFERROR(O848&amp;"*"&amp;ROUND(S848*(P848/$AO848)/VLOOKUP(O848,职业!$A$3:$E$16,4,FALSE),0),"")</f>
        <v/>
      </c>
      <c r="AK848" t="str">
        <f>IFERROR(T848&amp;"*"&amp;ROUND(X848*(U848/$AP848)/VLOOKUP(T848,商品!$A$4:$D$67,4,FALSE),0),"")</f>
        <v/>
      </c>
      <c r="AL848" t="str">
        <f>IFERROR(V848&amp;"*"&amp;ROUND(X848*(W848/$AP848)/VLOOKUP(V848,商品!$A$4:$D$67,4,FALSE),0),"")</f>
        <v/>
      </c>
      <c r="AN848">
        <f t="shared" si="109"/>
        <v>0</v>
      </c>
      <c r="AO848">
        <f t="shared" si="110"/>
        <v>0</v>
      </c>
      <c r="AP848">
        <f t="shared" si="111"/>
        <v>0</v>
      </c>
    </row>
    <row r="849" customHeight="1" spans="1:42">
      <c r="A849" s="18" t="s">
        <v>443</v>
      </c>
      <c r="C849" s="18">
        <v>5</v>
      </c>
      <c r="D849" s="1" t="s">
        <v>222</v>
      </c>
      <c r="E849" s="1" t="s">
        <v>226</v>
      </c>
      <c r="L849" s="1">
        <f>IFERROR(VLOOKUP($D849&amp;$C849,生产方式定位!$A$2:$E$38,2,FALSE)+VLOOKUP($E849&amp;$C849,生产方式定位!$F$3:$J$38,2,FALSE),0)</f>
        <v>6800</v>
      </c>
      <c r="S849" s="1">
        <f>IFERROR(VLOOKUP($D849&amp;$C849,生产方式定位!$A$2:$E$38,3,FALSE)+VLOOKUP($E849&amp;$C849,生产方式定位!$F$3:$J$38,3,FALSE),0)</f>
        <v>-100</v>
      </c>
      <c r="X849" s="1">
        <f>IFERROR(VLOOKUP($D849&amp;$C849,生产方式定位!$A$2:$E$38,5,FALSE)+VLOOKUP($E849&amp;$C849,生产方式定位!$F$3:$J$38,5,FALSE),"错误")</f>
        <v>4190</v>
      </c>
      <c r="Y849" s="27" t="str">
        <f t="shared" si="104"/>
        <v/>
      </c>
      <c r="Z849" s="37" t="str">
        <f t="shared" si="105"/>
        <v/>
      </c>
      <c r="AA849" s="37" t="str">
        <f t="shared" si="106"/>
        <v/>
      </c>
      <c r="AB849" s="28">
        <f t="shared" si="107"/>
        <v>1.62</v>
      </c>
      <c r="AC849" s="37"/>
      <c r="AD849" s="38">
        <f t="shared" si="108"/>
        <v>5</v>
      </c>
      <c r="AE849" t="str">
        <f>IFERROR(F849&amp;"*"&amp;ROUND(L849*(G849/$AN849)/VLOOKUP(F849,商品!$A$4:$D$67,4,FALSE),0),"")</f>
        <v/>
      </c>
      <c r="AF849" t="str">
        <f>IFERROR(H849&amp;"*"&amp;ROUND(L849*(I849/$AN849)/VLOOKUP(H849,商品!$A$4:$D$67,4,FALSE),0),"")</f>
        <v/>
      </c>
      <c r="AG849" t="str">
        <f>IFERROR(J849&amp;"*"&amp;ROUND(L849*(K849/$AN849)/VLOOKUP(J849,商品!$A$4:$D$67,4,FALSE),0),"")</f>
        <v/>
      </c>
      <c r="AH849" t="str">
        <f>IFERROR(M849&amp;"*"&amp;ROUND(S849*(N849/$AO849)/VLOOKUP(M849,职业!$A$3:$E$16,4,FALSE),0),"")</f>
        <v/>
      </c>
      <c r="AI849" t="str">
        <f>IFERROR(O849&amp;"*"&amp;ROUND(S849*(P849/$AO849)/VLOOKUP(O849,职业!$A$3:$E$16,4,FALSE),0),"")</f>
        <v/>
      </c>
      <c r="AK849" t="str">
        <f>IFERROR(T849&amp;"*"&amp;ROUND(X849*(U849/$AP849)/VLOOKUP(T849,商品!$A$4:$D$67,4,FALSE),0),"")</f>
        <v/>
      </c>
      <c r="AL849" t="str">
        <f>IFERROR(V849&amp;"*"&amp;ROUND(X849*(W849/$AP849)/VLOOKUP(V849,商品!$A$4:$D$67,4,FALSE),0),"")</f>
        <v/>
      </c>
      <c r="AN849">
        <f t="shared" si="109"/>
        <v>0</v>
      </c>
      <c r="AO849">
        <f t="shared" si="110"/>
        <v>0</v>
      </c>
      <c r="AP849">
        <f t="shared" si="111"/>
        <v>0</v>
      </c>
    </row>
    <row r="850" customHeight="1" spans="1:42">
      <c r="A850" s="5" t="s">
        <v>443</v>
      </c>
      <c r="C850" s="5">
        <v>1</v>
      </c>
      <c r="D850" s="1" t="s">
        <v>222</v>
      </c>
      <c r="E850" s="1" t="s">
        <v>226</v>
      </c>
      <c r="L850" s="1">
        <f>IFERROR(VLOOKUP($D850&amp;$C850,生产方式定位!$A$2:$E$38,2,FALSE)+VLOOKUP($E850&amp;$C850,生产方式定位!$F$3:$J$38,2,FALSE),0)</f>
        <v>0</v>
      </c>
      <c r="S850" s="1">
        <f>IFERROR(VLOOKUP($D850&amp;$C850,生产方式定位!$A$2:$E$38,3,FALSE)+VLOOKUP($E850&amp;$C850,生产方式定位!$F$3:$J$38,3,FALSE),0)</f>
        <v>500</v>
      </c>
      <c r="X850" s="1">
        <f>IFERROR(VLOOKUP($D850&amp;$C850,生产方式定位!$A$2:$E$38,5,FALSE)+VLOOKUP($E850&amp;$C850,生产方式定位!$F$3:$J$38,5,FALSE),"错误")</f>
        <v>250</v>
      </c>
      <c r="Y850" s="27" t="str">
        <f t="shared" si="104"/>
        <v/>
      </c>
      <c r="Z850" s="37" t="str">
        <f t="shared" si="105"/>
        <v/>
      </c>
      <c r="AA850" s="37" t="str">
        <f t="shared" si="106"/>
        <v/>
      </c>
      <c r="AB850" s="28">
        <f t="shared" si="107"/>
        <v>0</v>
      </c>
      <c r="AC850" s="37"/>
      <c r="AD850" s="38">
        <f t="shared" si="108"/>
        <v>1</v>
      </c>
      <c r="AE850" t="str">
        <f>IFERROR(F850&amp;"*"&amp;ROUND(L850*(G850/$AN850)/VLOOKUP(F850,商品!$A$4:$D$67,4,FALSE),0),"")</f>
        <v/>
      </c>
      <c r="AF850" t="str">
        <f>IFERROR(H850&amp;"*"&amp;ROUND(L850*(I850/$AN850)/VLOOKUP(H850,商品!$A$4:$D$67,4,FALSE),0),"")</f>
        <v/>
      </c>
      <c r="AG850" t="str">
        <f>IFERROR(J850&amp;"*"&amp;ROUND(L850*(K850/$AN850)/VLOOKUP(J850,商品!$A$4:$D$67,4,FALSE),0),"")</f>
        <v/>
      </c>
      <c r="AH850" t="str">
        <f>IFERROR(M850&amp;"*"&amp;ROUND(S850*(N850/$AO850)/VLOOKUP(M850,职业!$A$3:$E$16,4,FALSE),0),"")</f>
        <v/>
      </c>
      <c r="AI850" t="str">
        <f>IFERROR(O850&amp;"*"&amp;ROUND(S850*(P850/$AO850)/VLOOKUP(O850,职业!$A$3:$E$16,4,FALSE),0),"")</f>
        <v/>
      </c>
      <c r="AK850" t="str">
        <f>IFERROR(T850&amp;"*"&amp;ROUND(X850*(U850/$AP850)/VLOOKUP(T850,商品!$A$4:$D$67,4,FALSE),0),"")</f>
        <v/>
      </c>
      <c r="AL850" t="str">
        <f>IFERROR(V850&amp;"*"&amp;ROUND(X850*(W850/$AP850)/VLOOKUP(V850,商品!$A$4:$D$67,4,FALSE),0),"")</f>
        <v/>
      </c>
      <c r="AN850">
        <f t="shared" si="109"/>
        <v>0</v>
      </c>
      <c r="AO850">
        <f t="shared" si="110"/>
        <v>0</v>
      </c>
      <c r="AP850">
        <f t="shared" si="111"/>
        <v>0</v>
      </c>
    </row>
    <row r="851" customHeight="1" spans="1:42">
      <c r="A851" s="5" t="s">
        <v>443</v>
      </c>
      <c r="C851" s="5">
        <v>2</v>
      </c>
      <c r="D851" s="1" t="s">
        <v>222</v>
      </c>
      <c r="E851" s="1" t="s">
        <v>226</v>
      </c>
      <c r="L851" s="1">
        <f>IFERROR(VLOOKUP($D851&amp;$C851,生产方式定位!$A$2:$E$38,2,FALSE)+VLOOKUP($E851&amp;$C851,生产方式定位!$F$3:$J$38,2,FALSE),0)</f>
        <v>3200</v>
      </c>
      <c r="S851" s="1">
        <f>IFERROR(VLOOKUP($D851&amp;$C851,生产方式定位!$A$2:$E$38,3,FALSE)+VLOOKUP($E851&amp;$C851,生产方式定位!$F$3:$J$38,3,FALSE),0)</f>
        <v>350</v>
      </c>
      <c r="X851" s="1">
        <f>IFERROR(VLOOKUP($D851&amp;$C851,生产方式定位!$A$2:$E$38,5,FALSE)+VLOOKUP($E851&amp;$C851,生产方式定位!$F$3:$J$38,5,FALSE),"错误")</f>
        <v>1865</v>
      </c>
      <c r="Y851" s="27" t="str">
        <f t="shared" si="104"/>
        <v/>
      </c>
      <c r="Z851" s="37" t="str">
        <f t="shared" si="105"/>
        <v/>
      </c>
      <c r="AA851" s="37" t="str">
        <f t="shared" si="106"/>
        <v/>
      </c>
      <c r="AB851" s="28">
        <f t="shared" si="107"/>
        <v>1.72</v>
      </c>
      <c r="AC851" s="37"/>
      <c r="AD851" s="38">
        <f t="shared" si="108"/>
        <v>2</v>
      </c>
      <c r="AE851" t="str">
        <f>IFERROR(F851&amp;"*"&amp;ROUND(L851*(G851/$AN851)/VLOOKUP(F851,商品!$A$4:$D$67,4,FALSE),0),"")</f>
        <v/>
      </c>
      <c r="AF851" t="str">
        <f>IFERROR(H851&amp;"*"&amp;ROUND(L851*(I851/$AN851)/VLOOKUP(H851,商品!$A$4:$D$67,4,FALSE),0),"")</f>
        <v/>
      </c>
      <c r="AG851" t="str">
        <f>IFERROR(J851&amp;"*"&amp;ROUND(L851*(K851/$AN851)/VLOOKUP(J851,商品!$A$4:$D$67,4,FALSE),0),"")</f>
        <v/>
      </c>
      <c r="AH851" t="str">
        <f>IFERROR(M851&amp;"*"&amp;ROUND(S851*(N851/$AO851)/VLOOKUP(M851,职业!$A$3:$E$16,4,FALSE),0),"")</f>
        <v/>
      </c>
      <c r="AI851" t="str">
        <f>IFERROR(O851&amp;"*"&amp;ROUND(S851*(P851/$AO851)/VLOOKUP(O851,职业!$A$3:$E$16,4,FALSE),0),"")</f>
        <v/>
      </c>
      <c r="AK851" t="str">
        <f>IFERROR(T851&amp;"*"&amp;ROUND(X851*(U851/$AP851)/VLOOKUP(T851,商品!$A$4:$D$67,4,FALSE),0),"")</f>
        <v/>
      </c>
      <c r="AL851" t="str">
        <f>IFERROR(V851&amp;"*"&amp;ROUND(X851*(W851/$AP851)/VLOOKUP(V851,商品!$A$4:$D$67,4,FALSE),0),"")</f>
        <v/>
      </c>
      <c r="AN851">
        <f t="shared" si="109"/>
        <v>0</v>
      </c>
      <c r="AO851">
        <f t="shared" si="110"/>
        <v>0</v>
      </c>
      <c r="AP851">
        <f t="shared" si="111"/>
        <v>0</v>
      </c>
    </row>
    <row r="852" customHeight="1" spans="1:42">
      <c r="A852" s="5" t="s">
        <v>443</v>
      </c>
      <c r="C852" s="5">
        <v>3</v>
      </c>
      <c r="D852" s="1" t="s">
        <v>222</v>
      </c>
      <c r="E852" s="1" t="s">
        <v>226</v>
      </c>
      <c r="L852" s="1">
        <f>IFERROR(VLOOKUP($D852&amp;$C852,生产方式定位!$A$2:$E$38,2,FALSE)+VLOOKUP($E852&amp;$C852,生产方式定位!$F$3:$J$38,2,FALSE),0)</f>
        <v>4400</v>
      </c>
      <c r="S852" s="1">
        <f>IFERROR(VLOOKUP($D852&amp;$C852,生产方式定位!$A$2:$E$38,3,FALSE)+VLOOKUP($E852&amp;$C852,生产方式定位!$F$3:$J$38,3,FALSE),0)</f>
        <v>200</v>
      </c>
      <c r="X852" s="1">
        <f>IFERROR(VLOOKUP($D852&amp;$C852,生产方式定位!$A$2:$E$38,5,FALSE)+VLOOKUP($E852&amp;$C852,生产方式定位!$F$3:$J$38,5,FALSE),"错误")</f>
        <v>2560</v>
      </c>
      <c r="Y852" s="27" t="str">
        <f t="shared" si="104"/>
        <v/>
      </c>
      <c r="Z852" s="37" t="str">
        <f t="shared" si="105"/>
        <v/>
      </c>
      <c r="AA852" s="37" t="str">
        <f t="shared" si="106"/>
        <v/>
      </c>
      <c r="AB852" s="28">
        <f t="shared" si="107"/>
        <v>1.72</v>
      </c>
      <c r="AC852" s="37"/>
      <c r="AD852" s="38">
        <f t="shared" si="108"/>
        <v>3</v>
      </c>
      <c r="AE852" t="str">
        <f>IFERROR(F852&amp;"*"&amp;ROUND(L852*(G852/$AN852)/VLOOKUP(F852,商品!$A$4:$D$67,4,FALSE),0),"")</f>
        <v/>
      </c>
      <c r="AF852" t="str">
        <f>IFERROR(H852&amp;"*"&amp;ROUND(L852*(I852/$AN852)/VLOOKUP(H852,商品!$A$4:$D$67,4,FALSE),0),"")</f>
        <v/>
      </c>
      <c r="AG852" t="str">
        <f>IFERROR(J852&amp;"*"&amp;ROUND(L852*(K852/$AN852)/VLOOKUP(J852,商品!$A$4:$D$67,4,FALSE),0),"")</f>
        <v/>
      </c>
      <c r="AH852" t="str">
        <f>IFERROR(M852&amp;"*"&amp;ROUND(S852*(N852/$AO852)/VLOOKUP(M852,职业!$A$3:$E$16,4,FALSE),0),"")</f>
        <v/>
      </c>
      <c r="AI852" t="str">
        <f>IFERROR(O852&amp;"*"&amp;ROUND(S852*(P852/$AO852)/VLOOKUP(O852,职业!$A$3:$E$16,4,FALSE),0),"")</f>
        <v/>
      </c>
      <c r="AK852" t="str">
        <f>IFERROR(T852&amp;"*"&amp;ROUND(X852*(U852/$AP852)/VLOOKUP(T852,商品!$A$4:$D$67,4,FALSE),0),"")</f>
        <v/>
      </c>
      <c r="AL852" t="str">
        <f>IFERROR(V852&amp;"*"&amp;ROUND(X852*(W852/$AP852)/VLOOKUP(V852,商品!$A$4:$D$67,4,FALSE),0),"")</f>
        <v/>
      </c>
      <c r="AN852">
        <f t="shared" si="109"/>
        <v>0</v>
      </c>
      <c r="AO852">
        <f t="shared" si="110"/>
        <v>0</v>
      </c>
      <c r="AP852">
        <f t="shared" si="111"/>
        <v>0</v>
      </c>
    </row>
    <row r="853" customHeight="1" spans="1:42">
      <c r="A853" s="5" t="s">
        <v>443</v>
      </c>
      <c r="C853" s="5">
        <v>4</v>
      </c>
      <c r="D853" s="1" t="s">
        <v>222</v>
      </c>
      <c r="E853" s="1" t="s">
        <v>226</v>
      </c>
      <c r="L853" s="1">
        <f>IFERROR(VLOOKUP($D853&amp;$C853,生产方式定位!$A$2:$E$38,2,FALSE)+VLOOKUP($E853&amp;$C853,生产方式定位!$F$3:$J$38,2,FALSE),0)</f>
        <v>5600</v>
      </c>
      <c r="S853" s="1">
        <f>IFERROR(VLOOKUP($D853&amp;$C853,生产方式定位!$A$2:$E$38,3,FALSE)+VLOOKUP($E853&amp;$C853,生产方式定位!$F$3:$J$38,3,FALSE),0)</f>
        <v>50</v>
      </c>
      <c r="X853" s="1">
        <f>IFERROR(VLOOKUP($D853&amp;$C853,生产方式定位!$A$2:$E$38,5,FALSE)+VLOOKUP($E853&amp;$C853,生产方式定位!$F$3:$J$38,5,FALSE),"错误")</f>
        <v>3335</v>
      </c>
      <c r="Y853" s="27" t="str">
        <f t="shared" si="104"/>
        <v/>
      </c>
      <c r="Z853" s="37" t="str">
        <f t="shared" si="105"/>
        <v/>
      </c>
      <c r="AA853" s="37" t="str">
        <f t="shared" si="106"/>
        <v/>
      </c>
      <c r="AB853" s="28">
        <f t="shared" si="107"/>
        <v>1.68</v>
      </c>
      <c r="AC853" s="37"/>
      <c r="AD853" s="38">
        <f t="shared" si="108"/>
        <v>4</v>
      </c>
      <c r="AE853" t="str">
        <f>IFERROR(F853&amp;"*"&amp;ROUND(L853*(G853/$AN853)/VLOOKUP(F853,商品!$A$4:$D$67,4,FALSE),0),"")</f>
        <v/>
      </c>
      <c r="AF853" t="str">
        <f>IFERROR(H853&amp;"*"&amp;ROUND(L853*(I853/$AN853)/VLOOKUP(H853,商品!$A$4:$D$67,4,FALSE),0),"")</f>
        <v/>
      </c>
      <c r="AG853" t="str">
        <f>IFERROR(J853&amp;"*"&amp;ROUND(L853*(K853/$AN853)/VLOOKUP(J853,商品!$A$4:$D$67,4,FALSE),0),"")</f>
        <v/>
      </c>
      <c r="AH853" t="str">
        <f>IFERROR(M853&amp;"*"&amp;ROUND(S853*(N853/$AO853)/VLOOKUP(M853,职业!$A$3:$E$16,4,FALSE),0),"")</f>
        <v/>
      </c>
      <c r="AI853" t="str">
        <f>IFERROR(O853&amp;"*"&amp;ROUND(S853*(P853/$AO853)/VLOOKUP(O853,职业!$A$3:$E$16,4,FALSE),0),"")</f>
        <v/>
      </c>
      <c r="AK853" t="str">
        <f>IFERROR(T853&amp;"*"&amp;ROUND(X853*(U853/$AP853)/VLOOKUP(T853,商品!$A$4:$D$67,4,FALSE),0),"")</f>
        <v/>
      </c>
      <c r="AL853" t="str">
        <f>IFERROR(V853&amp;"*"&amp;ROUND(X853*(W853/$AP853)/VLOOKUP(V853,商品!$A$4:$D$67,4,FALSE),0),"")</f>
        <v/>
      </c>
      <c r="AN853">
        <f t="shared" si="109"/>
        <v>0</v>
      </c>
      <c r="AO853">
        <f t="shared" si="110"/>
        <v>0</v>
      </c>
      <c r="AP853">
        <f t="shared" si="111"/>
        <v>0</v>
      </c>
    </row>
    <row r="854" customHeight="1" spans="1:42">
      <c r="A854" s="5" t="s">
        <v>443</v>
      </c>
      <c r="C854" s="5">
        <v>5</v>
      </c>
      <c r="D854" s="1" t="s">
        <v>222</v>
      </c>
      <c r="E854" s="1" t="s">
        <v>226</v>
      </c>
      <c r="L854" s="1">
        <f>IFERROR(VLOOKUP($D854&amp;$C854,生产方式定位!$A$2:$E$38,2,FALSE)+VLOOKUP($E854&amp;$C854,生产方式定位!$F$3:$J$38,2,FALSE),0)</f>
        <v>6800</v>
      </c>
      <c r="S854" s="1">
        <f>IFERROR(VLOOKUP($D854&amp;$C854,生产方式定位!$A$2:$E$38,3,FALSE)+VLOOKUP($E854&amp;$C854,生产方式定位!$F$3:$J$38,3,FALSE),0)</f>
        <v>-100</v>
      </c>
      <c r="X854" s="1">
        <f>IFERROR(VLOOKUP($D854&amp;$C854,生产方式定位!$A$2:$E$38,5,FALSE)+VLOOKUP($E854&amp;$C854,生产方式定位!$F$3:$J$38,5,FALSE),"错误")</f>
        <v>4190</v>
      </c>
      <c r="Y854" s="27" t="str">
        <f t="shared" si="104"/>
        <v/>
      </c>
      <c r="Z854" s="37" t="str">
        <f t="shared" si="105"/>
        <v/>
      </c>
      <c r="AA854" s="37" t="str">
        <f t="shared" si="106"/>
        <v/>
      </c>
      <c r="AB854" s="28">
        <f t="shared" si="107"/>
        <v>1.62</v>
      </c>
      <c r="AC854" s="37"/>
      <c r="AD854" s="38">
        <f t="shared" si="108"/>
        <v>5</v>
      </c>
      <c r="AE854" t="str">
        <f>IFERROR(F854&amp;"*"&amp;ROUND(L854*(G854/$AN854)/VLOOKUP(F854,商品!$A$4:$D$67,4,FALSE),0),"")</f>
        <v/>
      </c>
      <c r="AF854" t="str">
        <f>IFERROR(H854&amp;"*"&amp;ROUND(L854*(I854/$AN854)/VLOOKUP(H854,商品!$A$4:$D$67,4,FALSE),0),"")</f>
        <v/>
      </c>
      <c r="AG854" t="str">
        <f>IFERROR(J854&amp;"*"&amp;ROUND(L854*(K854/$AN854)/VLOOKUP(J854,商品!$A$4:$D$67,4,FALSE),0),"")</f>
        <v/>
      </c>
      <c r="AH854" t="str">
        <f>IFERROR(M854&amp;"*"&amp;ROUND(S854*(N854/$AO854)/VLOOKUP(M854,职业!$A$3:$E$16,4,FALSE),0),"")</f>
        <v/>
      </c>
      <c r="AI854" t="str">
        <f>IFERROR(O854&amp;"*"&amp;ROUND(S854*(P854/$AO854)/VLOOKUP(O854,职业!$A$3:$E$16,4,FALSE),0),"")</f>
        <v/>
      </c>
      <c r="AK854" t="str">
        <f>IFERROR(T854&amp;"*"&amp;ROUND(X854*(U854/$AP854)/VLOOKUP(T854,商品!$A$4:$D$67,4,FALSE),0),"")</f>
        <v/>
      </c>
      <c r="AL854" t="str">
        <f>IFERROR(V854&amp;"*"&amp;ROUND(X854*(W854/$AP854)/VLOOKUP(V854,商品!$A$4:$D$67,4,FALSE),0),"")</f>
        <v/>
      </c>
      <c r="AN854">
        <f t="shared" si="109"/>
        <v>0</v>
      </c>
      <c r="AO854">
        <f t="shared" si="110"/>
        <v>0</v>
      </c>
      <c r="AP854">
        <f t="shared" si="111"/>
        <v>0</v>
      </c>
    </row>
    <row r="855" customHeight="1" spans="1:42">
      <c r="A855" s="18" t="s">
        <v>444</v>
      </c>
      <c r="C855" s="18">
        <v>1</v>
      </c>
      <c r="D855" s="1" t="s">
        <v>293</v>
      </c>
      <c r="E855" s="1" t="s">
        <v>227</v>
      </c>
      <c r="L855" s="1">
        <f>IFERROR(VLOOKUP($D855&amp;$C855,生产方式定位!$A$2:$E$38,2,FALSE)+VLOOKUP($E855&amp;$C855,生产方式定位!$F$3:$J$38,2,FALSE),0)</f>
        <v>0</v>
      </c>
      <c r="S855" s="1">
        <f>IFERROR(VLOOKUP($D855&amp;$C855,生产方式定位!$A$2:$E$38,3,FALSE)+VLOOKUP($E855&amp;$C855,生产方式定位!$F$3:$J$38,3,FALSE),0)</f>
        <v>0</v>
      </c>
      <c r="X855" s="1">
        <f>IFERROR(VLOOKUP($D855&amp;$C855,生产方式定位!$A$2:$E$38,5,FALSE)+VLOOKUP($E855&amp;$C855,生产方式定位!$F$3:$J$38,5,FALSE),"错误")</f>
        <v>0</v>
      </c>
      <c r="Y855" s="27" t="str">
        <f t="shared" si="104"/>
        <v/>
      </c>
      <c r="Z855" s="37" t="str">
        <f t="shared" si="105"/>
        <v/>
      </c>
      <c r="AA855" s="37" t="str">
        <f t="shared" si="106"/>
        <v/>
      </c>
      <c r="AB855" s="28" t="str">
        <f t="shared" si="107"/>
        <v/>
      </c>
      <c r="AC855" s="37"/>
      <c r="AD855" s="38">
        <f t="shared" si="108"/>
        <v>1</v>
      </c>
      <c r="AE855" t="str">
        <f>IFERROR(F855&amp;"*"&amp;ROUND(L855*(G855/$AN855)/VLOOKUP(F855,商品!$A$4:$D$67,4,FALSE),0),"")</f>
        <v/>
      </c>
      <c r="AF855" t="str">
        <f>IFERROR(H855&amp;"*"&amp;ROUND(L855*(I855/$AN855)/VLOOKUP(H855,商品!$A$4:$D$67,4,FALSE),0),"")</f>
        <v/>
      </c>
      <c r="AG855" t="str">
        <f>IFERROR(J855&amp;"*"&amp;ROUND(L855*(K855/$AN855)/VLOOKUP(J855,商品!$A$4:$D$67,4,FALSE),0),"")</f>
        <v/>
      </c>
      <c r="AH855" t="str">
        <f>IFERROR(M855&amp;"*"&amp;ROUND(S855*(N855/$AO855)/VLOOKUP(M855,职业!$A$3:$E$16,4,FALSE),0),"")</f>
        <v/>
      </c>
      <c r="AI855" t="str">
        <f>IFERROR(O855&amp;"*"&amp;ROUND(S855*(P855/$AO855)/VLOOKUP(O855,职业!$A$3:$E$16,4,FALSE),0),"")</f>
        <v/>
      </c>
      <c r="AK855" t="str">
        <f>IFERROR(T855&amp;"*"&amp;ROUND(X855*(U855/$AP855)/VLOOKUP(T855,商品!$A$4:$D$67,4,FALSE),0),"")</f>
        <v/>
      </c>
      <c r="AL855" t="str">
        <f>IFERROR(V855&amp;"*"&amp;ROUND(X855*(W855/$AP855)/VLOOKUP(V855,商品!$A$4:$D$67,4,FALSE),0),"")</f>
        <v/>
      </c>
      <c r="AN855">
        <f t="shared" si="109"/>
        <v>0</v>
      </c>
      <c r="AO855">
        <f t="shared" si="110"/>
        <v>0</v>
      </c>
      <c r="AP855">
        <f t="shared" si="111"/>
        <v>0</v>
      </c>
    </row>
    <row r="856" customHeight="1" spans="1:42">
      <c r="A856" s="18" t="s">
        <v>444</v>
      </c>
      <c r="C856" s="18">
        <v>2</v>
      </c>
      <c r="D856" s="1" t="s">
        <v>293</v>
      </c>
      <c r="E856" s="1" t="s">
        <v>227</v>
      </c>
      <c r="L856" s="1">
        <f>IFERROR(VLOOKUP($D856&amp;$C856,生产方式定位!$A$2:$E$38,2,FALSE)+VLOOKUP($E856&amp;$C856,生产方式定位!$F$3:$J$38,2,FALSE),0)</f>
        <v>0</v>
      </c>
      <c r="S856" s="1">
        <f>IFERROR(VLOOKUP($D856&amp;$C856,生产方式定位!$A$2:$E$38,3,FALSE)+VLOOKUP($E856&amp;$C856,生产方式定位!$F$3:$J$38,3,FALSE),0)</f>
        <v>0</v>
      </c>
      <c r="X856" s="1">
        <f>IFERROR(VLOOKUP($D856&amp;$C856,生产方式定位!$A$2:$E$38,5,FALSE)+VLOOKUP($E856&amp;$C856,生产方式定位!$F$3:$J$38,5,FALSE),"错误")</f>
        <v>0</v>
      </c>
      <c r="Y856" s="27" t="str">
        <f t="shared" si="104"/>
        <v/>
      </c>
      <c r="Z856" s="37" t="str">
        <f t="shared" si="105"/>
        <v/>
      </c>
      <c r="AA856" s="37" t="str">
        <f t="shared" si="106"/>
        <v/>
      </c>
      <c r="AB856" s="28" t="str">
        <f t="shared" si="107"/>
        <v/>
      </c>
      <c r="AC856" s="37"/>
      <c r="AD856" s="38">
        <f t="shared" si="108"/>
        <v>2</v>
      </c>
      <c r="AE856" t="str">
        <f>IFERROR(F856&amp;"*"&amp;ROUND(L856*(G856/$AN856)/VLOOKUP(F856,商品!$A$4:$D$67,4,FALSE),0),"")</f>
        <v/>
      </c>
      <c r="AF856" t="str">
        <f>IFERROR(H856&amp;"*"&amp;ROUND(L856*(I856/$AN856)/VLOOKUP(H856,商品!$A$4:$D$67,4,FALSE),0),"")</f>
        <v/>
      </c>
      <c r="AG856" t="str">
        <f>IFERROR(J856&amp;"*"&amp;ROUND(L856*(K856/$AN856)/VLOOKUP(J856,商品!$A$4:$D$67,4,FALSE),0),"")</f>
        <v/>
      </c>
      <c r="AH856" t="str">
        <f>IFERROR(M856&amp;"*"&amp;ROUND(S856*(N856/$AO856)/VLOOKUP(M856,职业!$A$3:$E$16,4,FALSE),0),"")</f>
        <v/>
      </c>
      <c r="AI856" t="str">
        <f>IFERROR(O856&amp;"*"&amp;ROUND(S856*(P856/$AO856)/VLOOKUP(O856,职业!$A$3:$E$16,4,FALSE),0),"")</f>
        <v/>
      </c>
      <c r="AK856" t="str">
        <f>IFERROR(T856&amp;"*"&amp;ROUND(X856*(U856/$AP856)/VLOOKUP(T856,商品!$A$4:$D$67,4,FALSE),0),"")</f>
        <v/>
      </c>
      <c r="AL856" t="str">
        <f>IFERROR(V856&amp;"*"&amp;ROUND(X856*(W856/$AP856)/VLOOKUP(V856,商品!$A$4:$D$67,4,FALSE),0),"")</f>
        <v/>
      </c>
      <c r="AN856">
        <f t="shared" si="109"/>
        <v>0</v>
      </c>
      <c r="AO856">
        <f t="shared" si="110"/>
        <v>0</v>
      </c>
      <c r="AP856">
        <f t="shared" si="111"/>
        <v>0</v>
      </c>
    </row>
    <row r="857" customHeight="1" spans="1:42">
      <c r="A857" s="18" t="s">
        <v>444</v>
      </c>
      <c r="C857" s="18">
        <v>3</v>
      </c>
      <c r="D857" s="1" t="s">
        <v>293</v>
      </c>
      <c r="E857" s="1" t="s">
        <v>227</v>
      </c>
      <c r="L857" s="1">
        <f>IFERROR(VLOOKUP($D857&amp;$C857,生产方式定位!$A$2:$E$38,2,FALSE)+VLOOKUP($E857&amp;$C857,生产方式定位!$F$3:$J$38,2,FALSE),0)</f>
        <v>0</v>
      </c>
      <c r="S857" s="1">
        <f>IFERROR(VLOOKUP($D857&amp;$C857,生产方式定位!$A$2:$E$38,3,FALSE)+VLOOKUP($E857&amp;$C857,生产方式定位!$F$3:$J$38,3,FALSE),0)</f>
        <v>0</v>
      </c>
      <c r="X857" s="1">
        <f>IFERROR(VLOOKUP($D857&amp;$C857,生产方式定位!$A$2:$E$38,5,FALSE)+VLOOKUP($E857&amp;$C857,生产方式定位!$F$3:$J$38,5,FALSE),"错误")</f>
        <v>0</v>
      </c>
      <c r="Y857" s="27" t="str">
        <f t="shared" si="104"/>
        <v/>
      </c>
      <c r="Z857" s="37" t="str">
        <f t="shared" si="105"/>
        <v/>
      </c>
      <c r="AA857" s="37" t="str">
        <f t="shared" si="106"/>
        <v/>
      </c>
      <c r="AB857" s="28" t="str">
        <f t="shared" si="107"/>
        <v/>
      </c>
      <c r="AC857" s="37"/>
      <c r="AD857" s="38">
        <f t="shared" si="108"/>
        <v>3</v>
      </c>
      <c r="AE857" t="str">
        <f>IFERROR(F857&amp;"*"&amp;ROUND(L857*(G857/$AN857)/VLOOKUP(F857,商品!$A$4:$D$67,4,FALSE),0),"")</f>
        <v/>
      </c>
      <c r="AF857" t="str">
        <f>IFERROR(H857&amp;"*"&amp;ROUND(L857*(I857/$AN857)/VLOOKUP(H857,商品!$A$4:$D$67,4,FALSE),0),"")</f>
        <v/>
      </c>
      <c r="AG857" t="str">
        <f>IFERROR(J857&amp;"*"&amp;ROUND(L857*(K857/$AN857)/VLOOKUP(J857,商品!$A$4:$D$67,4,FALSE),0),"")</f>
        <v/>
      </c>
      <c r="AH857" t="str">
        <f>IFERROR(M857&amp;"*"&amp;ROUND(S857*(N857/$AO857)/VLOOKUP(M857,职业!$A$3:$E$16,4,FALSE),0),"")</f>
        <v/>
      </c>
      <c r="AI857" t="str">
        <f>IFERROR(O857&amp;"*"&amp;ROUND(S857*(P857/$AO857)/VLOOKUP(O857,职业!$A$3:$E$16,4,FALSE),0),"")</f>
        <v/>
      </c>
      <c r="AK857" t="str">
        <f>IFERROR(T857&amp;"*"&amp;ROUND(X857*(U857/$AP857)/VLOOKUP(T857,商品!$A$4:$D$67,4,FALSE),0),"")</f>
        <v/>
      </c>
      <c r="AL857" t="str">
        <f>IFERROR(V857&amp;"*"&amp;ROUND(X857*(W857/$AP857)/VLOOKUP(V857,商品!$A$4:$D$67,4,FALSE),0),"")</f>
        <v/>
      </c>
      <c r="AN857">
        <f t="shared" si="109"/>
        <v>0</v>
      </c>
      <c r="AO857">
        <f t="shared" si="110"/>
        <v>0</v>
      </c>
      <c r="AP857">
        <f t="shared" si="111"/>
        <v>0</v>
      </c>
    </row>
    <row r="858" customHeight="1" spans="1:42">
      <c r="A858" s="18" t="s">
        <v>444</v>
      </c>
      <c r="C858" s="18">
        <v>4</v>
      </c>
      <c r="D858" s="1" t="s">
        <v>293</v>
      </c>
      <c r="E858" s="1" t="s">
        <v>227</v>
      </c>
      <c r="L858" s="1">
        <f>IFERROR(VLOOKUP($D858&amp;$C858,生产方式定位!$A$2:$E$38,2,FALSE)+VLOOKUP($E858&amp;$C858,生产方式定位!$F$3:$J$38,2,FALSE),0)</f>
        <v>0</v>
      </c>
      <c r="S858" s="1">
        <f>IFERROR(VLOOKUP($D858&amp;$C858,生产方式定位!$A$2:$E$38,3,FALSE)+VLOOKUP($E858&amp;$C858,生产方式定位!$F$3:$J$38,3,FALSE),0)</f>
        <v>0</v>
      </c>
      <c r="X858" s="1">
        <f>IFERROR(VLOOKUP($D858&amp;$C858,生产方式定位!$A$2:$E$38,5,FALSE)+VLOOKUP($E858&amp;$C858,生产方式定位!$F$3:$J$38,5,FALSE),"错误")</f>
        <v>0</v>
      </c>
      <c r="Y858" s="27" t="str">
        <f t="shared" si="104"/>
        <v/>
      </c>
      <c r="Z858" s="37" t="str">
        <f t="shared" si="105"/>
        <v/>
      </c>
      <c r="AA858" s="37" t="str">
        <f t="shared" si="106"/>
        <v/>
      </c>
      <c r="AB858" s="28" t="str">
        <f t="shared" si="107"/>
        <v/>
      </c>
      <c r="AC858" s="37"/>
      <c r="AD858" s="38">
        <f t="shared" si="108"/>
        <v>4</v>
      </c>
      <c r="AE858" t="str">
        <f>IFERROR(F858&amp;"*"&amp;ROUND(L858*(G858/$AN858)/VLOOKUP(F858,商品!$A$4:$D$67,4,FALSE),0),"")</f>
        <v/>
      </c>
      <c r="AF858" t="str">
        <f>IFERROR(H858&amp;"*"&amp;ROUND(L858*(I858/$AN858)/VLOOKUP(H858,商品!$A$4:$D$67,4,FALSE),0),"")</f>
        <v/>
      </c>
      <c r="AG858" t="str">
        <f>IFERROR(J858&amp;"*"&amp;ROUND(L858*(K858/$AN858)/VLOOKUP(J858,商品!$A$4:$D$67,4,FALSE),0),"")</f>
        <v/>
      </c>
      <c r="AH858" t="str">
        <f>IFERROR(M858&amp;"*"&amp;ROUND(S858*(N858/$AO858)/VLOOKUP(M858,职业!$A$3:$E$16,4,FALSE),0),"")</f>
        <v/>
      </c>
      <c r="AI858" t="str">
        <f>IFERROR(O858&amp;"*"&amp;ROUND(S858*(P858/$AO858)/VLOOKUP(O858,职业!$A$3:$E$16,4,FALSE),0),"")</f>
        <v/>
      </c>
      <c r="AK858" t="str">
        <f>IFERROR(T858&amp;"*"&amp;ROUND(X858*(U858/$AP858)/VLOOKUP(T858,商品!$A$4:$D$67,4,FALSE),0),"")</f>
        <v/>
      </c>
      <c r="AL858" t="str">
        <f>IFERROR(V858&amp;"*"&amp;ROUND(X858*(W858/$AP858)/VLOOKUP(V858,商品!$A$4:$D$67,4,FALSE),0),"")</f>
        <v/>
      </c>
      <c r="AN858">
        <f t="shared" si="109"/>
        <v>0</v>
      </c>
      <c r="AO858">
        <f t="shared" si="110"/>
        <v>0</v>
      </c>
      <c r="AP858">
        <f t="shared" si="111"/>
        <v>0</v>
      </c>
    </row>
    <row r="859" customHeight="1" spans="1:42">
      <c r="A859" s="18" t="s">
        <v>444</v>
      </c>
      <c r="C859" s="18">
        <v>5</v>
      </c>
      <c r="D859" s="1" t="s">
        <v>293</v>
      </c>
      <c r="E859" s="1" t="s">
        <v>227</v>
      </c>
      <c r="L859" s="1">
        <f>IFERROR(VLOOKUP($D859&amp;$C859,生产方式定位!$A$2:$E$38,2,FALSE)+VLOOKUP($E859&amp;$C859,生产方式定位!$F$3:$J$38,2,FALSE),0)</f>
        <v>0</v>
      </c>
      <c r="S859" s="1">
        <f>IFERROR(VLOOKUP($D859&amp;$C859,生产方式定位!$A$2:$E$38,3,FALSE)+VLOOKUP($E859&amp;$C859,生产方式定位!$F$3:$J$38,3,FALSE),0)</f>
        <v>0</v>
      </c>
      <c r="X859" s="1">
        <f>IFERROR(VLOOKUP($D859&amp;$C859,生产方式定位!$A$2:$E$38,5,FALSE)+VLOOKUP($E859&amp;$C859,生产方式定位!$F$3:$J$38,5,FALSE),"错误")</f>
        <v>0</v>
      </c>
      <c r="Y859" s="27" t="str">
        <f t="shared" si="104"/>
        <v/>
      </c>
      <c r="Z859" s="37" t="str">
        <f t="shared" si="105"/>
        <v/>
      </c>
      <c r="AA859" s="37" t="str">
        <f t="shared" si="106"/>
        <v/>
      </c>
      <c r="AB859" s="28" t="str">
        <f t="shared" si="107"/>
        <v/>
      </c>
      <c r="AC859" s="37"/>
      <c r="AD859" s="38">
        <f t="shared" si="108"/>
        <v>5</v>
      </c>
      <c r="AE859" t="str">
        <f>IFERROR(F859&amp;"*"&amp;ROUND(L859*(G859/$AN859)/VLOOKUP(F859,商品!$A$4:$D$67,4,FALSE),0),"")</f>
        <v/>
      </c>
      <c r="AF859" t="str">
        <f>IFERROR(H859&amp;"*"&amp;ROUND(L859*(I859/$AN859)/VLOOKUP(H859,商品!$A$4:$D$67,4,FALSE),0),"")</f>
        <v/>
      </c>
      <c r="AG859" t="str">
        <f>IFERROR(J859&amp;"*"&amp;ROUND(L859*(K859/$AN859)/VLOOKUP(J859,商品!$A$4:$D$67,4,FALSE),0),"")</f>
        <v/>
      </c>
      <c r="AH859" t="str">
        <f>IFERROR(M859&amp;"*"&amp;ROUND(S859*(N859/$AO859)/VLOOKUP(M859,职业!$A$3:$E$16,4,FALSE),0),"")</f>
        <v/>
      </c>
      <c r="AI859" t="str">
        <f>IFERROR(O859&amp;"*"&amp;ROUND(S859*(P859/$AO859)/VLOOKUP(O859,职业!$A$3:$E$16,4,FALSE),0),"")</f>
        <v/>
      </c>
      <c r="AK859" t="str">
        <f>IFERROR(T859&amp;"*"&amp;ROUND(X859*(U859/$AP859)/VLOOKUP(T859,商品!$A$4:$D$67,4,FALSE),0),"")</f>
        <v/>
      </c>
      <c r="AL859" t="str">
        <f>IFERROR(V859&amp;"*"&amp;ROUND(X859*(W859/$AP859)/VLOOKUP(V859,商品!$A$4:$D$67,4,FALSE),0),"")</f>
        <v/>
      </c>
      <c r="AN859">
        <f t="shared" si="109"/>
        <v>0</v>
      </c>
      <c r="AO859">
        <f t="shared" si="110"/>
        <v>0</v>
      </c>
      <c r="AP859">
        <f t="shared" si="111"/>
        <v>0</v>
      </c>
    </row>
    <row r="860" customHeight="1" spans="1:42">
      <c r="A860" s="18" t="s">
        <v>444</v>
      </c>
      <c r="C860" s="18">
        <v>6</v>
      </c>
      <c r="D860" s="1" t="s">
        <v>293</v>
      </c>
      <c r="E860" s="1" t="s">
        <v>227</v>
      </c>
      <c r="L860" s="1">
        <f>IFERROR(VLOOKUP($D860&amp;$C860,生产方式定位!$A$2:$E$38,2,FALSE)+VLOOKUP($E860&amp;$C860,生产方式定位!$F$3:$J$38,2,FALSE),0)</f>
        <v>0</v>
      </c>
      <c r="S860" s="1">
        <f>IFERROR(VLOOKUP($D860&amp;$C860,生产方式定位!$A$2:$E$38,3,FALSE)+VLOOKUP($E860&amp;$C860,生产方式定位!$F$3:$J$38,3,FALSE),0)</f>
        <v>0</v>
      </c>
      <c r="X860" s="1">
        <f>IFERROR(VLOOKUP($D860&amp;$C860,生产方式定位!$A$2:$E$38,5,FALSE)+VLOOKUP($E860&amp;$C860,生产方式定位!$F$3:$J$38,5,FALSE),"错误")</f>
        <v>0</v>
      </c>
      <c r="Y860" s="27" t="str">
        <f t="shared" si="104"/>
        <v/>
      </c>
      <c r="Z860" s="37" t="str">
        <f t="shared" si="105"/>
        <v/>
      </c>
      <c r="AA860" s="37" t="str">
        <f t="shared" si="106"/>
        <v/>
      </c>
      <c r="AB860" s="28" t="str">
        <f t="shared" si="107"/>
        <v/>
      </c>
      <c r="AC860" s="37"/>
      <c r="AD860" s="38">
        <f t="shared" si="108"/>
        <v>6</v>
      </c>
      <c r="AE860" t="str">
        <f>IFERROR(F860&amp;"*"&amp;ROUND(L860*(G860/$AN860)/VLOOKUP(F860,商品!$A$4:$D$67,4,FALSE),0),"")</f>
        <v/>
      </c>
      <c r="AF860" t="str">
        <f>IFERROR(H860&amp;"*"&amp;ROUND(L860*(I860/$AN860)/VLOOKUP(H860,商品!$A$4:$D$67,4,FALSE),0),"")</f>
        <v/>
      </c>
      <c r="AG860" t="str">
        <f>IFERROR(J860&amp;"*"&amp;ROUND(L860*(K860/$AN860)/VLOOKUP(J860,商品!$A$4:$D$67,4,FALSE),0),"")</f>
        <v/>
      </c>
      <c r="AH860" t="str">
        <f>IFERROR(M860&amp;"*"&amp;ROUND(S860*(N860/$AO860)/VLOOKUP(M860,职业!$A$3:$E$16,4,FALSE),0),"")</f>
        <v/>
      </c>
      <c r="AI860" t="str">
        <f>IFERROR(O860&amp;"*"&amp;ROUND(S860*(P860/$AO860)/VLOOKUP(O860,职业!$A$3:$E$16,4,FALSE),0),"")</f>
        <v/>
      </c>
      <c r="AK860" t="str">
        <f>IFERROR(T860&amp;"*"&amp;ROUND(X860*(U860/$AP860)/VLOOKUP(T860,商品!$A$4:$D$67,4,FALSE),0),"")</f>
        <v/>
      </c>
      <c r="AL860" t="str">
        <f>IFERROR(V860&amp;"*"&amp;ROUND(X860*(W860/$AP860)/VLOOKUP(V860,商品!$A$4:$D$67,4,FALSE),0),"")</f>
        <v/>
      </c>
      <c r="AN860">
        <f t="shared" si="109"/>
        <v>0</v>
      </c>
      <c r="AO860">
        <f t="shared" si="110"/>
        <v>0</v>
      </c>
      <c r="AP860">
        <f t="shared" si="111"/>
        <v>0</v>
      </c>
    </row>
    <row r="861" customHeight="1" spans="1:42">
      <c r="A861" s="18" t="s">
        <v>444</v>
      </c>
      <c r="C861" s="18">
        <v>7</v>
      </c>
      <c r="D861" s="1" t="s">
        <v>293</v>
      </c>
      <c r="E861" s="1" t="s">
        <v>227</v>
      </c>
      <c r="L861" s="1">
        <f>IFERROR(VLOOKUP($D861&amp;$C861,生产方式定位!$A$2:$E$38,2,FALSE)+VLOOKUP($E861&amp;$C861,生产方式定位!$F$3:$J$38,2,FALSE),0)</f>
        <v>0</v>
      </c>
      <c r="S861" s="1">
        <f>IFERROR(VLOOKUP($D861&amp;$C861,生产方式定位!$A$2:$E$38,3,FALSE)+VLOOKUP($E861&amp;$C861,生产方式定位!$F$3:$J$38,3,FALSE),0)</f>
        <v>0</v>
      </c>
      <c r="X861" s="1">
        <f>IFERROR(VLOOKUP($D861&amp;$C861,生产方式定位!$A$2:$E$38,5,FALSE)+VLOOKUP($E861&amp;$C861,生产方式定位!$F$3:$J$38,5,FALSE),"错误")</f>
        <v>0</v>
      </c>
      <c r="Y861" s="27" t="str">
        <f t="shared" si="104"/>
        <v/>
      </c>
      <c r="Z861" s="37" t="str">
        <f t="shared" si="105"/>
        <v/>
      </c>
      <c r="AA861" s="37" t="str">
        <f t="shared" si="106"/>
        <v/>
      </c>
      <c r="AB861" s="28" t="str">
        <f t="shared" si="107"/>
        <v/>
      </c>
      <c r="AC861" s="37"/>
      <c r="AD861" s="38">
        <f t="shared" si="108"/>
        <v>7</v>
      </c>
      <c r="AE861" t="str">
        <f>IFERROR(F861&amp;"*"&amp;ROUND(L861*(G861/$AN861)/VLOOKUP(F861,商品!$A$4:$D$67,4,FALSE),0),"")</f>
        <v/>
      </c>
      <c r="AF861" t="str">
        <f>IFERROR(H861&amp;"*"&amp;ROUND(L861*(I861/$AN861)/VLOOKUP(H861,商品!$A$4:$D$67,4,FALSE),0),"")</f>
        <v/>
      </c>
      <c r="AG861" t="str">
        <f>IFERROR(J861&amp;"*"&amp;ROUND(L861*(K861/$AN861)/VLOOKUP(J861,商品!$A$4:$D$67,4,FALSE),0),"")</f>
        <v/>
      </c>
      <c r="AH861" t="str">
        <f>IFERROR(M861&amp;"*"&amp;ROUND(S861*(N861/$AO861)/VLOOKUP(M861,职业!$A$3:$E$16,4,FALSE),0),"")</f>
        <v/>
      </c>
      <c r="AI861" t="str">
        <f>IFERROR(O861&amp;"*"&amp;ROUND(S861*(P861/$AO861)/VLOOKUP(O861,职业!$A$3:$E$16,4,FALSE),0),"")</f>
        <v/>
      </c>
      <c r="AK861" t="str">
        <f>IFERROR(T861&amp;"*"&amp;ROUND(X861*(U861/$AP861)/VLOOKUP(T861,商品!$A$4:$D$67,4,FALSE),0),"")</f>
        <v/>
      </c>
      <c r="AL861" t="str">
        <f>IFERROR(V861&amp;"*"&amp;ROUND(X861*(W861/$AP861)/VLOOKUP(V861,商品!$A$4:$D$67,4,FALSE),0),"")</f>
        <v/>
      </c>
      <c r="AN861">
        <f t="shared" si="109"/>
        <v>0</v>
      </c>
      <c r="AO861">
        <f t="shared" si="110"/>
        <v>0</v>
      </c>
      <c r="AP861">
        <f t="shared" si="111"/>
        <v>0</v>
      </c>
    </row>
    <row r="862" customHeight="1" spans="1:42">
      <c r="A862" s="18" t="s">
        <v>444</v>
      </c>
      <c r="C862" s="18">
        <v>8</v>
      </c>
      <c r="D862" s="1" t="s">
        <v>293</v>
      </c>
      <c r="E862" s="1" t="s">
        <v>227</v>
      </c>
      <c r="L862" s="1">
        <f>IFERROR(VLOOKUP($D862&amp;$C862,生产方式定位!$A$2:$E$38,2,FALSE)+VLOOKUP($E862&amp;$C862,生产方式定位!$F$3:$J$38,2,FALSE),0)</f>
        <v>0</v>
      </c>
      <c r="S862" s="1">
        <f>IFERROR(VLOOKUP($D862&amp;$C862,生产方式定位!$A$2:$E$38,3,FALSE)+VLOOKUP($E862&amp;$C862,生产方式定位!$F$3:$J$38,3,FALSE),0)</f>
        <v>0</v>
      </c>
      <c r="X862" s="1">
        <f>IFERROR(VLOOKUP($D862&amp;$C862,生产方式定位!$A$2:$E$38,5,FALSE)+VLOOKUP($E862&amp;$C862,生产方式定位!$F$3:$J$38,5,FALSE),"错误")</f>
        <v>0</v>
      </c>
      <c r="Y862" s="27" t="str">
        <f t="shared" si="104"/>
        <v/>
      </c>
      <c r="Z862" s="37" t="str">
        <f t="shared" si="105"/>
        <v/>
      </c>
      <c r="AA862" s="37" t="str">
        <f t="shared" si="106"/>
        <v/>
      </c>
      <c r="AB862" s="28" t="str">
        <f t="shared" si="107"/>
        <v/>
      </c>
      <c r="AC862" s="37"/>
      <c r="AD862" s="38">
        <f t="shared" si="108"/>
        <v>8</v>
      </c>
      <c r="AE862" t="str">
        <f>IFERROR(F862&amp;"*"&amp;ROUND(L862*(G862/$AN862)/VLOOKUP(F862,商品!$A$4:$D$67,4,FALSE),0),"")</f>
        <v/>
      </c>
      <c r="AF862" t="str">
        <f>IFERROR(H862&amp;"*"&amp;ROUND(L862*(I862/$AN862)/VLOOKUP(H862,商品!$A$4:$D$67,4,FALSE),0),"")</f>
        <v/>
      </c>
      <c r="AG862" t="str">
        <f>IFERROR(J862&amp;"*"&amp;ROUND(L862*(K862/$AN862)/VLOOKUP(J862,商品!$A$4:$D$67,4,FALSE),0),"")</f>
        <v/>
      </c>
      <c r="AH862" t="str">
        <f>IFERROR(M862&amp;"*"&amp;ROUND(S862*(N862/$AO862)/VLOOKUP(M862,职业!$A$3:$E$16,4,FALSE),0),"")</f>
        <v/>
      </c>
      <c r="AI862" t="str">
        <f>IFERROR(O862&amp;"*"&amp;ROUND(S862*(P862/$AO862)/VLOOKUP(O862,职业!$A$3:$E$16,4,FALSE),0),"")</f>
        <v/>
      </c>
      <c r="AK862" t="str">
        <f>IFERROR(T862&amp;"*"&amp;ROUND(X862*(U862/$AP862)/VLOOKUP(T862,商品!$A$4:$D$67,4,FALSE),0),"")</f>
        <v/>
      </c>
      <c r="AL862" t="str">
        <f>IFERROR(V862&amp;"*"&amp;ROUND(X862*(W862/$AP862)/VLOOKUP(V862,商品!$A$4:$D$67,4,FALSE),0),"")</f>
        <v/>
      </c>
      <c r="AN862">
        <f t="shared" si="109"/>
        <v>0</v>
      </c>
      <c r="AO862">
        <f t="shared" si="110"/>
        <v>0</v>
      </c>
      <c r="AP862">
        <f t="shared" si="111"/>
        <v>0</v>
      </c>
    </row>
    <row r="863" customHeight="1" spans="1:42">
      <c r="A863" s="5" t="s">
        <v>446</v>
      </c>
      <c r="C863" s="5">
        <v>1</v>
      </c>
      <c r="D863" s="1" t="s">
        <v>222</v>
      </c>
      <c r="E863" s="1" t="s">
        <v>224</v>
      </c>
      <c r="L863" s="1">
        <f>IFERROR(VLOOKUP($D863&amp;$C863,生产方式定位!$A$2:$E$38,2,FALSE)+VLOOKUP($E863&amp;$C863,生产方式定位!$F$3:$J$38,2,FALSE),0)</f>
        <v>0</v>
      </c>
      <c r="S863" s="1">
        <f>IFERROR(VLOOKUP($D863&amp;$C863,生产方式定位!$A$2:$E$38,3,FALSE)+VLOOKUP($E863&amp;$C863,生产方式定位!$F$3:$J$38,3,FALSE),0)</f>
        <v>500</v>
      </c>
      <c r="X863" s="1">
        <f>IFERROR(VLOOKUP($D863&amp;$C863,生产方式定位!$A$2:$E$38,5,FALSE)+VLOOKUP($E863&amp;$C863,生产方式定位!$F$3:$J$38,5,FALSE),"错误")</f>
        <v>250</v>
      </c>
      <c r="Y863" s="27" t="str">
        <f t="shared" si="104"/>
        <v/>
      </c>
      <c r="Z863" s="37" t="str">
        <f t="shared" si="105"/>
        <v/>
      </c>
      <c r="AA863" s="37" t="str">
        <f t="shared" si="106"/>
        <v/>
      </c>
      <c r="AB863" s="28">
        <f t="shared" si="107"/>
        <v>0</v>
      </c>
      <c r="AC863" s="37"/>
      <c r="AD863" s="38">
        <f t="shared" si="108"/>
        <v>1</v>
      </c>
      <c r="AE863" t="str">
        <f>IFERROR(F863&amp;"*"&amp;ROUND(L863*(G863/$AN863)/VLOOKUP(F863,商品!$A$4:$D$67,4,FALSE),0),"")</f>
        <v/>
      </c>
      <c r="AF863" t="str">
        <f>IFERROR(H863&amp;"*"&amp;ROUND(L863*(I863/$AN863)/VLOOKUP(H863,商品!$A$4:$D$67,4,FALSE),0),"")</f>
        <v/>
      </c>
      <c r="AG863" t="str">
        <f>IFERROR(J863&amp;"*"&amp;ROUND(L863*(K863/$AN863)/VLOOKUP(J863,商品!$A$4:$D$67,4,FALSE),0),"")</f>
        <v/>
      </c>
      <c r="AH863" t="str">
        <f>IFERROR(M863&amp;"*"&amp;ROUND(S863*(N863/$AO863)/VLOOKUP(M863,职业!$A$3:$E$16,4,FALSE),0),"")</f>
        <v/>
      </c>
      <c r="AI863" t="str">
        <f>IFERROR(O863&amp;"*"&amp;ROUND(S863*(P863/$AO863)/VLOOKUP(O863,职业!$A$3:$E$16,4,FALSE),0),"")</f>
        <v/>
      </c>
      <c r="AK863" t="str">
        <f>IFERROR(T863&amp;"*"&amp;ROUND(X863*(U863/$AP863)/VLOOKUP(T863,商品!$A$4:$D$67,4,FALSE),0),"")</f>
        <v/>
      </c>
      <c r="AL863" t="str">
        <f>IFERROR(V863&amp;"*"&amp;ROUND(X863*(W863/$AP863)/VLOOKUP(V863,商品!$A$4:$D$67,4,FALSE),0),"")</f>
        <v/>
      </c>
      <c r="AN863">
        <f t="shared" si="109"/>
        <v>0</v>
      </c>
      <c r="AO863">
        <f t="shared" si="110"/>
        <v>0</v>
      </c>
      <c r="AP863">
        <f t="shared" si="111"/>
        <v>0</v>
      </c>
    </row>
    <row r="864" customHeight="1" spans="1:42">
      <c r="A864" s="5" t="s">
        <v>446</v>
      </c>
      <c r="C864" s="5">
        <v>2</v>
      </c>
      <c r="D864" s="1" t="s">
        <v>222</v>
      </c>
      <c r="E864" s="1" t="s">
        <v>224</v>
      </c>
      <c r="L864" s="1">
        <f>IFERROR(VLOOKUP($D864&amp;$C864,生产方式定位!$A$2:$E$38,2,FALSE)+VLOOKUP($E864&amp;$C864,生产方式定位!$F$3:$J$38,2,FALSE),0)</f>
        <v>2200</v>
      </c>
      <c r="S864" s="1">
        <f>IFERROR(VLOOKUP($D864&amp;$C864,生产方式定位!$A$2:$E$38,3,FALSE)+VLOOKUP($E864&amp;$C864,生产方式定位!$F$3:$J$38,3,FALSE),0)</f>
        <v>750</v>
      </c>
      <c r="X864" s="1">
        <f>IFERROR(VLOOKUP($D864&amp;$C864,生产方式定位!$A$2:$E$38,5,FALSE)+VLOOKUP($E864&amp;$C864,生产方式定位!$F$3:$J$38,5,FALSE),"错误")</f>
        <v>1547</v>
      </c>
      <c r="Y864" s="27" t="str">
        <f t="shared" si="104"/>
        <v/>
      </c>
      <c r="Z864" s="37" t="str">
        <f t="shared" si="105"/>
        <v/>
      </c>
      <c r="AA864" s="37" t="str">
        <f t="shared" si="106"/>
        <v/>
      </c>
      <c r="AB864" s="28">
        <f t="shared" si="107"/>
        <v>1.42</v>
      </c>
      <c r="AC864" s="37"/>
      <c r="AD864" s="38">
        <f t="shared" si="108"/>
        <v>2</v>
      </c>
      <c r="AE864" t="str">
        <f>IFERROR(F864&amp;"*"&amp;ROUND(L864*(G864/$AN864)/VLOOKUP(F864,商品!$A$4:$D$67,4,FALSE),0),"")</f>
        <v/>
      </c>
      <c r="AF864" t="str">
        <f>IFERROR(H864&amp;"*"&amp;ROUND(L864*(I864/$AN864)/VLOOKUP(H864,商品!$A$4:$D$67,4,FALSE),0),"")</f>
        <v/>
      </c>
      <c r="AG864" t="str">
        <f>IFERROR(J864&amp;"*"&amp;ROUND(L864*(K864/$AN864)/VLOOKUP(J864,商品!$A$4:$D$67,4,FALSE),0),"")</f>
        <v/>
      </c>
      <c r="AH864" t="str">
        <f>IFERROR(M864&amp;"*"&amp;ROUND(S864*(N864/$AO864)/VLOOKUP(M864,职业!$A$3:$E$16,4,FALSE),0),"")</f>
        <v/>
      </c>
      <c r="AI864" t="str">
        <f>IFERROR(O864&amp;"*"&amp;ROUND(S864*(P864/$AO864)/VLOOKUP(O864,职业!$A$3:$E$16,4,FALSE),0),"")</f>
        <v/>
      </c>
      <c r="AK864" t="str">
        <f>IFERROR(T864&amp;"*"&amp;ROUND(X864*(U864/$AP864)/VLOOKUP(T864,商品!$A$4:$D$67,4,FALSE),0),"")</f>
        <v/>
      </c>
      <c r="AL864" t="str">
        <f>IFERROR(V864&amp;"*"&amp;ROUND(X864*(W864/$AP864)/VLOOKUP(V864,商品!$A$4:$D$67,4,FALSE),0),"")</f>
        <v/>
      </c>
      <c r="AN864">
        <f t="shared" si="109"/>
        <v>0</v>
      </c>
      <c r="AO864">
        <f t="shared" si="110"/>
        <v>0</v>
      </c>
      <c r="AP864">
        <f t="shared" si="111"/>
        <v>0</v>
      </c>
    </row>
    <row r="865" customHeight="1" spans="1:42">
      <c r="A865" s="5" t="s">
        <v>446</v>
      </c>
      <c r="C865" s="5">
        <v>3</v>
      </c>
      <c r="D865" s="1" t="s">
        <v>222</v>
      </c>
      <c r="E865" s="1" t="s">
        <v>224</v>
      </c>
      <c r="L865" s="1">
        <f>IFERROR(VLOOKUP($D865&amp;$C865,生产方式定位!$A$2:$E$38,2,FALSE)+VLOOKUP($E865&amp;$C865,生产方式定位!$F$3:$J$38,2,FALSE),0)</f>
        <v>3400</v>
      </c>
      <c r="S865" s="1">
        <f>IFERROR(VLOOKUP($D865&amp;$C865,生产方式定位!$A$2:$E$38,3,FALSE)+VLOOKUP($E865&amp;$C865,生产方式定位!$F$3:$J$38,3,FALSE),0)</f>
        <v>1000</v>
      </c>
      <c r="X865" s="1">
        <f>IFERROR(VLOOKUP($D865&amp;$C865,生产方式定位!$A$2:$E$38,5,FALSE)+VLOOKUP($E865&amp;$C865,生产方式定位!$F$3:$J$38,5,FALSE),"错误")</f>
        <v>2488</v>
      </c>
      <c r="Y865" s="27" t="str">
        <f t="shared" si="104"/>
        <v/>
      </c>
      <c r="Z865" s="37" t="str">
        <f t="shared" si="105"/>
        <v/>
      </c>
      <c r="AA865" s="37" t="str">
        <f t="shared" si="106"/>
        <v/>
      </c>
      <c r="AB865" s="28">
        <f t="shared" si="107"/>
        <v>1.37</v>
      </c>
      <c r="AC865" s="37"/>
      <c r="AD865" s="38">
        <f t="shared" si="108"/>
        <v>3</v>
      </c>
      <c r="AE865" t="str">
        <f>IFERROR(F865&amp;"*"&amp;ROUND(L865*(G865/$AN865)/VLOOKUP(F865,商品!$A$4:$D$67,4,FALSE),0),"")</f>
        <v/>
      </c>
      <c r="AF865" t="str">
        <f>IFERROR(H865&amp;"*"&amp;ROUND(L865*(I865/$AN865)/VLOOKUP(H865,商品!$A$4:$D$67,4,FALSE),0),"")</f>
        <v/>
      </c>
      <c r="AG865" t="str">
        <f>IFERROR(J865&amp;"*"&amp;ROUND(L865*(K865/$AN865)/VLOOKUP(J865,商品!$A$4:$D$67,4,FALSE),0),"")</f>
        <v/>
      </c>
      <c r="AH865" t="str">
        <f>IFERROR(M865&amp;"*"&amp;ROUND(S865*(N865/$AO865)/VLOOKUP(M865,职业!$A$3:$E$16,4,FALSE),0),"")</f>
        <v/>
      </c>
      <c r="AI865" t="str">
        <f>IFERROR(O865&amp;"*"&amp;ROUND(S865*(P865/$AO865)/VLOOKUP(O865,职业!$A$3:$E$16,4,FALSE),0),"")</f>
        <v/>
      </c>
      <c r="AK865" t="str">
        <f>IFERROR(T865&amp;"*"&amp;ROUND(X865*(U865/$AP865)/VLOOKUP(T865,商品!$A$4:$D$67,4,FALSE),0),"")</f>
        <v/>
      </c>
      <c r="AL865" t="str">
        <f>IFERROR(V865&amp;"*"&amp;ROUND(X865*(W865/$AP865)/VLOOKUP(V865,商品!$A$4:$D$67,4,FALSE),0),"")</f>
        <v/>
      </c>
      <c r="AN865">
        <f t="shared" si="109"/>
        <v>0</v>
      </c>
      <c r="AO865">
        <f t="shared" si="110"/>
        <v>0</v>
      </c>
      <c r="AP865">
        <f t="shared" si="111"/>
        <v>0</v>
      </c>
    </row>
    <row r="866" customHeight="1" spans="1:42">
      <c r="A866" s="5" t="s">
        <v>446</v>
      </c>
      <c r="C866" s="5">
        <v>4</v>
      </c>
      <c r="D866" s="1" t="s">
        <v>222</v>
      </c>
      <c r="E866" s="1" t="s">
        <v>224</v>
      </c>
      <c r="L866" s="1">
        <f>IFERROR(VLOOKUP($D866&amp;$C866,生产方式定位!$A$2:$E$38,2,FALSE)+VLOOKUP($E866&amp;$C866,生产方式定位!$F$3:$J$38,2,FALSE),0)</f>
        <v>4600</v>
      </c>
      <c r="S866" s="1">
        <f>IFERROR(VLOOKUP($D866&amp;$C866,生产方式定位!$A$2:$E$38,3,FALSE)+VLOOKUP($E866&amp;$C866,生产方式定位!$F$3:$J$38,3,FALSE),0)</f>
        <v>1250</v>
      </c>
      <c r="X866" s="1">
        <f>IFERROR(VLOOKUP($D866&amp;$C866,生产方式定位!$A$2:$E$38,5,FALSE)+VLOOKUP($E866&amp;$C866,生产方式定位!$F$3:$J$38,5,FALSE),"错误")</f>
        <v>3573</v>
      </c>
      <c r="Y866" s="27" t="str">
        <f t="shared" si="104"/>
        <v/>
      </c>
      <c r="Z866" s="37" t="str">
        <f t="shared" si="105"/>
        <v/>
      </c>
      <c r="AA866" s="37" t="str">
        <f t="shared" si="106"/>
        <v/>
      </c>
      <c r="AB866" s="28">
        <f t="shared" si="107"/>
        <v>1.29</v>
      </c>
      <c r="AC866" s="37"/>
      <c r="AD866" s="38">
        <f t="shared" si="108"/>
        <v>4</v>
      </c>
      <c r="AE866" t="str">
        <f>IFERROR(F866&amp;"*"&amp;ROUND(L866*(G866/$AN866)/VLOOKUP(F866,商品!$A$4:$D$67,4,FALSE),0),"")</f>
        <v/>
      </c>
      <c r="AF866" t="str">
        <f>IFERROR(H866&amp;"*"&amp;ROUND(L866*(I866/$AN866)/VLOOKUP(H866,商品!$A$4:$D$67,4,FALSE),0),"")</f>
        <v/>
      </c>
      <c r="AG866" t="str">
        <f>IFERROR(J866&amp;"*"&amp;ROUND(L866*(K866/$AN866)/VLOOKUP(J866,商品!$A$4:$D$67,4,FALSE),0),"")</f>
        <v/>
      </c>
      <c r="AH866" t="str">
        <f>IFERROR(M866&amp;"*"&amp;ROUND(S866*(N866/$AO866)/VLOOKUP(M866,职业!$A$3:$E$16,4,FALSE),0),"")</f>
        <v/>
      </c>
      <c r="AI866" t="str">
        <f>IFERROR(O866&amp;"*"&amp;ROUND(S866*(P866/$AO866)/VLOOKUP(O866,职业!$A$3:$E$16,4,FALSE),0),"")</f>
        <v/>
      </c>
      <c r="AK866" t="str">
        <f>IFERROR(T866&amp;"*"&amp;ROUND(X866*(U866/$AP866)/VLOOKUP(T866,商品!$A$4:$D$67,4,FALSE),0),"")</f>
        <v/>
      </c>
      <c r="AL866" t="str">
        <f>IFERROR(V866&amp;"*"&amp;ROUND(X866*(W866/$AP866)/VLOOKUP(V866,商品!$A$4:$D$67,4,FALSE),0),"")</f>
        <v/>
      </c>
      <c r="AN866">
        <f t="shared" si="109"/>
        <v>0</v>
      </c>
      <c r="AO866">
        <f t="shared" si="110"/>
        <v>0</v>
      </c>
      <c r="AP866">
        <f t="shared" si="111"/>
        <v>0</v>
      </c>
    </row>
    <row r="867" customHeight="1" spans="1:42">
      <c r="A867" s="5" t="s">
        <v>446</v>
      </c>
      <c r="C867" s="5">
        <v>5</v>
      </c>
      <c r="D867" s="1" t="s">
        <v>222</v>
      </c>
      <c r="E867" s="1" t="s">
        <v>224</v>
      </c>
      <c r="L867" s="1">
        <f>IFERROR(VLOOKUP($D867&amp;$C867,生产方式定位!$A$2:$E$38,2,FALSE)+VLOOKUP($E867&amp;$C867,生产方式定位!$F$3:$J$38,2,FALSE),0)</f>
        <v>5800</v>
      </c>
      <c r="S867" s="1">
        <f>IFERROR(VLOOKUP($D867&amp;$C867,生产方式定位!$A$2:$E$38,3,FALSE)+VLOOKUP($E867&amp;$C867,生产方式定位!$F$3:$J$38,3,FALSE),0)</f>
        <v>1500</v>
      </c>
      <c r="X867" s="1">
        <f>IFERROR(VLOOKUP($D867&amp;$C867,生产方式定位!$A$2:$E$38,5,FALSE)+VLOOKUP($E867&amp;$C867,生产方式定位!$F$3:$J$38,5,FALSE),"错误")</f>
        <v>4850</v>
      </c>
      <c r="Y867" s="27" t="str">
        <f t="shared" si="104"/>
        <v/>
      </c>
      <c r="Z867" s="37" t="str">
        <f t="shared" si="105"/>
        <v/>
      </c>
      <c r="AA867" s="37" t="str">
        <f t="shared" si="106"/>
        <v/>
      </c>
      <c r="AB867" s="28">
        <f t="shared" si="107"/>
        <v>1.2</v>
      </c>
      <c r="AC867" s="37"/>
      <c r="AD867" s="38">
        <f t="shared" si="108"/>
        <v>5</v>
      </c>
      <c r="AE867" t="str">
        <f>IFERROR(F867&amp;"*"&amp;ROUND(L867*(G867/$AN867)/VLOOKUP(F867,商品!$A$4:$D$67,4,FALSE),0),"")</f>
        <v/>
      </c>
      <c r="AF867" t="str">
        <f>IFERROR(H867&amp;"*"&amp;ROUND(L867*(I867/$AN867)/VLOOKUP(H867,商品!$A$4:$D$67,4,FALSE),0),"")</f>
        <v/>
      </c>
      <c r="AG867" t="str">
        <f>IFERROR(J867&amp;"*"&amp;ROUND(L867*(K867/$AN867)/VLOOKUP(J867,商品!$A$4:$D$67,4,FALSE),0),"")</f>
        <v/>
      </c>
      <c r="AH867" t="str">
        <f>IFERROR(M867&amp;"*"&amp;ROUND(S867*(N867/$AO867)/VLOOKUP(M867,职业!$A$3:$E$16,4,FALSE),0),"")</f>
        <v/>
      </c>
      <c r="AI867" t="str">
        <f>IFERROR(O867&amp;"*"&amp;ROUND(S867*(P867/$AO867)/VLOOKUP(O867,职业!$A$3:$E$16,4,FALSE),0),"")</f>
        <v/>
      </c>
      <c r="AK867" t="str">
        <f>IFERROR(T867&amp;"*"&amp;ROUND(X867*(U867/$AP867)/VLOOKUP(T867,商品!$A$4:$D$67,4,FALSE),0),"")</f>
        <v/>
      </c>
      <c r="AL867" t="str">
        <f>IFERROR(V867&amp;"*"&amp;ROUND(X867*(W867/$AP867)/VLOOKUP(V867,商品!$A$4:$D$67,4,FALSE),0),"")</f>
        <v/>
      </c>
      <c r="AN867">
        <f t="shared" si="109"/>
        <v>0</v>
      </c>
      <c r="AO867">
        <f t="shared" si="110"/>
        <v>0</v>
      </c>
      <c r="AP867">
        <f t="shared" si="111"/>
        <v>0</v>
      </c>
    </row>
    <row r="868" customHeight="1" spans="1:42">
      <c r="A868" s="18" t="s">
        <v>447</v>
      </c>
      <c r="C868" s="18">
        <v>1</v>
      </c>
      <c r="D868" s="1" t="s">
        <v>222</v>
      </c>
      <c r="E868" s="1" t="s">
        <v>226</v>
      </c>
      <c r="L868" s="1">
        <f>IFERROR(VLOOKUP($D868&amp;$C868,生产方式定位!$A$2:$E$38,2,FALSE)+VLOOKUP($E868&amp;$C868,生产方式定位!$F$3:$J$38,2,FALSE),0)</f>
        <v>0</v>
      </c>
      <c r="S868" s="1">
        <f>IFERROR(VLOOKUP($D868&amp;$C868,生产方式定位!$A$2:$E$38,3,FALSE)+VLOOKUP($E868&amp;$C868,生产方式定位!$F$3:$J$38,3,FALSE),0)</f>
        <v>500</v>
      </c>
      <c r="X868" s="1">
        <f>IFERROR(VLOOKUP($D868&amp;$C868,生产方式定位!$A$2:$E$38,5,FALSE)+VLOOKUP($E868&amp;$C868,生产方式定位!$F$3:$J$38,5,FALSE),"错误")</f>
        <v>250</v>
      </c>
      <c r="Y868" s="27" t="str">
        <f t="shared" si="104"/>
        <v/>
      </c>
      <c r="Z868" s="37" t="str">
        <f t="shared" si="105"/>
        <v/>
      </c>
      <c r="AA868" s="37" t="str">
        <f t="shared" si="106"/>
        <v/>
      </c>
      <c r="AB868" s="28">
        <f t="shared" si="107"/>
        <v>0</v>
      </c>
      <c r="AC868" s="37"/>
      <c r="AD868" s="38">
        <f t="shared" si="108"/>
        <v>1</v>
      </c>
      <c r="AE868" t="str">
        <f>IFERROR(F868&amp;"*"&amp;ROUND(L868*(G868/$AN868)/VLOOKUP(F868,商品!$A$4:$D$67,4,FALSE),0),"")</f>
        <v/>
      </c>
      <c r="AF868" t="str">
        <f>IFERROR(H868&amp;"*"&amp;ROUND(L868*(I868/$AN868)/VLOOKUP(H868,商品!$A$4:$D$67,4,FALSE),0),"")</f>
        <v/>
      </c>
      <c r="AG868" t="str">
        <f>IFERROR(J868&amp;"*"&amp;ROUND(L868*(K868/$AN868)/VLOOKUP(J868,商品!$A$4:$D$67,4,FALSE),0),"")</f>
        <v/>
      </c>
      <c r="AH868" t="str">
        <f>IFERROR(M868&amp;"*"&amp;ROUND(S868*(N868/$AO868)/VLOOKUP(M868,职业!$A$3:$E$16,4,FALSE),0),"")</f>
        <v/>
      </c>
      <c r="AI868" t="str">
        <f>IFERROR(O868&amp;"*"&amp;ROUND(S868*(P868/$AO868)/VLOOKUP(O868,职业!$A$3:$E$16,4,FALSE),0),"")</f>
        <v/>
      </c>
      <c r="AK868" t="str">
        <f>IFERROR(T868&amp;"*"&amp;ROUND(X868*(U868/$AP868)/VLOOKUP(T868,商品!$A$4:$D$67,4,FALSE),0),"")</f>
        <v/>
      </c>
      <c r="AL868" t="str">
        <f>IFERROR(V868&amp;"*"&amp;ROUND(X868*(W868/$AP868)/VLOOKUP(V868,商品!$A$4:$D$67,4,FALSE),0),"")</f>
        <v/>
      </c>
      <c r="AN868">
        <f t="shared" si="109"/>
        <v>0</v>
      </c>
      <c r="AO868">
        <f t="shared" si="110"/>
        <v>0</v>
      </c>
      <c r="AP868">
        <f t="shared" si="111"/>
        <v>0</v>
      </c>
    </row>
    <row r="869" customHeight="1" spans="1:42">
      <c r="A869" s="18" t="s">
        <v>447</v>
      </c>
      <c r="C869" s="18">
        <v>2</v>
      </c>
      <c r="D869" s="1" t="s">
        <v>222</v>
      </c>
      <c r="E869" s="1" t="s">
        <v>226</v>
      </c>
      <c r="L869" s="1">
        <f>IFERROR(VLOOKUP($D869&amp;$C869,生产方式定位!$A$2:$E$38,2,FALSE)+VLOOKUP($E869&amp;$C869,生产方式定位!$F$3:$J$38,2,FALSE),0)</f>
        <v>3200</v>
      </c>
      <c r="S869" s="1">
        <f>IFERROR(VLOOKUP($D869&amp;$C869,生产方式定位!$A$2:$E$38,3,FALSE)+VLOOKUP($E869&amp;$C869,生产方式定位!$F$3:$J$38,3,FALSE),0)</f>
        <v>350</v>
      </c>
      <c r="X869" s="1">
        <f>IFERROR(VLOOKUP($D869&amp;$C869,生产方式定位!$A$2:$E$38,5,FALSE)+VLOOKUP($E869&amp;$C869,生产方式定位!$F$3:$J$38,5,FALSE),"错误")</f>
        <v>1865</v>
      </c>
      <c r="Y869" s="27" t="str">
        <f t="shared" si="104"/>
        <v/>
      </c>
      <c r="Z869" s="37" t="str">
        <f t="shared" si="105"/>
        <v/>
      </c>
      <c r="AA869" s="37" t="str">
        <f t="shared" si="106"/>
        <v/>
      </c>
      <c r="AB869" s="28">
        <f t="shared" si="107"/>
        <v>1.72</v>
      </c>
      <c r="AC869" s="37"/>
      <c r="AD869" s="38">
        <f t="shared" si="108"/>
        <v>2</v>
      </c>
      <c r="AE869" t="str">
        <f>IFERROR(F869&amp;"*"&amp;ROUND(L869*(G869/$AN869)/VLOOKUP(F869,商品!$A$4:$D$67,4,FALSE),0),"")</f>
        <v/>
      </c>
      <c r="AF869" t="str">
        <f>IFERROR(H869&amp;"*"&amp;ROUND(L869*(I869/$AN869)/VLOOKUP(H869,商品!$A$4:$D$67,4,FALSE),0),"")</f>
        <v/>
      </c>
      <c r="AG869" t="str">
        <f>IFERROR(J869&amp;"*"&amp;ROUND(L869*(K869/$AN869)/VLOOKUP(J869,商品!$A$4:$D$67,4,FALSE),0),"")</f>
        <v/>
      </c>
      <c r="AH869" t="str">
        <f>IFERROR(M869&amp;"*"&amp;ROUND(S869*(N869/$AO869)/VLOOKUP(M869,职业!$A$3:$E$16,4,FALSE),0),"")</f>
        <v/>
      </c>
      <c r="AI869" t="str">
        <f>IFERROR(O869&amp;"*"&amp;ROUND(S869*(P869/$AO869)/VLOOKUP(O869,职业!$A$3:$E$16,4,FALSE),0),"")</f>
        <v/>
      </c>
      <c r="AK869" t="str">
        <f>IFERROR(T869&amp;"*"&amp;ROUND(X869*(U869/$AP869)/VLOOKUP(T869,商品!$A$4:$D$67,4,FALSE),0),"")</f>
        <v/>
      </c>
      <c r="AL869" t="str">
        <f>IFERROR(V869&amp;"*"&amp;ROUND(X869*(W869/$AP869)/VLOOKUP(V869,商品!$A$4:$D$67,4,FALSE),0),"")</f>
        <v/>
      </c>
      <c r="AN869">
        <f t="shared" si="109"/>
        <v>0</v>
      </c>
      <c r="AO869">
        <f t="shared" si="110"/>
        <v>0</v>
      </c>
      <c r="AP869">
        <f t="shared" si="111"/>
        <v>0</v>
      </c>
    </row>
    <row r="870" customHeight="1" spans="1:42">
      <c r="A870" s="18" t="s">
        <v>447</v>
      </c>
      <c r="C870" s="18">
        <v>3</v>
      </c>
      <c r="D870" s="1" t="s">
        <v>222</v>
      </c>
      <c r="E870" s="1" t="s">
        <v>226</v>
      </c>
      <c r="L870" s="1">
        <f>IFERROR(VLOOKUP($D870&amp;$C870,生产方式定位!$A$2:$E$38,2,FALSE)+VLOOKUP($E870&amp;$C870,生产方式定位!$F$3:$J$38,2,FALSE),0)</f>
        <v>4400</v>
      </c>
      <c r="S870" s="1">
        <f>IFERROR(VLOOKUP($D870&amp;$C870,生产方式定位!$A$2:$E$38,3,FALSE)+VLOOKUP($E870&amp;$C870,生产方式定位!$F$3:$J$38,3,FALSE),0)</f>
        <v>200</v>
      </c>
      <c r="X870" s="1">
        <f>IFERROR(VLOOKUP($D870&amp;$C870,生产方式定位!$A$2:$E$38,5,FALSE)+VLOOKUP($E870&amp;$C870,生产方式定位!$F$3:$J$38,5,FALSE),"错误")</f>
        <v>2560</v>
      </c>
      <c r="Y870" s="27" t="str">
        <f t="shared" si="104"/>
        <v/>
      </c>
      <c r="Z870" s="37" t="str">
        <f t="shared" si="105"/>
        <v/>
      </c>
      <c r="AA870" s="37" t="str">
        <f t="shared" si="106"/>
        <v/>
      </c>
      <c r="AB870" s="28">
        <f t="shared" si="107"/>
        <v>1.72</v>
      </c>
      <c r="AC870" s="37"/>
      <c r="AD870" s="38">
        <f t="shared" si="108"/>
        <v>3</v>
      </c>
      <c r="AE870" t="str">
        <f>IFERROR(F870&amp;"*"&amp;ROUND(L870*(G870/$AN870)/VLOOKUP(F870,商品!$A$4:$D$67,4,FALSE),0),"")</f>
        <v/>
      </c>
      <c r="AF870" t="str">
        <f>IFERROR(H870&amp;"*"&amp;ROUND(L870*(I870/$AN870)/VLOOKUP(H870,商品!$A$4:$D$67,4,FALSE),0),"")</f>
        <v/>
      </c>
      <c r="AG870" t="str">
        <f>IFERROR(J870&amp;"*"&amp;ROUND(L870*(K870/$AN870)/VLOOKUP(J870,商品!$A$4:$D$67,4,FALSE),0),"")</f>
        <v/>
      </c>
      <c r="AH870" t="str">
        <f>IFERROR(M870&amp;"*"&amp;ROUND(S870*(N870/$AO870)/VLOOKUP(M870,职业!$A$3:$E$16,4,FALSE),0),"")</f>
        <v/>
      </c>
      <c r="AI870" t="str">
        <f>IFERROR(O870&amp;"*"&amp;ROUND(S870*(P870/$AO870)/VLOOKUP(O870,职业!$A$3:$E$16,4,FALSE),0),"")</f>
        <v/>
      </c>
      <c r="AK870" t="str">
        <f>IFERROR(T870&amp;"*"&amp;ROUND(X870*(U870/$AP870)/VLOOKUP(T870,商品!$A$4:$D$67,4,FALSE),0),"")</f>
        <v/>
      </c>
      <c r="AL870" t="str">
        <f>IFERROR(V870&amp;"*"&amp;ROUND(X870*(W870/$AP870)/VLOOKUP(V870,商品!$A$4:$D$67,4,FALSE),0),"")</f>
        <v/>
      </c>
      <c r="AN870">
        <f t="shared" si="109"/>
        <v>0</v>
      </c>
      <c r="AO870">
        <f t="shared" si="110"/>
        <v>0</v>
      </c>
      <c r="AP870">
        <f t="shared" si="111"/>
        <v>0</v>
      </c>
    </row>
    <row r="871" customHeight="1" spans="1:42">
      <c r="A871" s="18" t="s">
        <v>447</v>
      </c>
      <c r="C871" s="18">
        <v>4</v>
      </c>
      <c r="D871" s="1" t="s">
        <v>222</v>
      </c>
      <c r="E871" s="1" t="s">
        <v>226</v>
      </c>
      <c r="L871" s="1">
        <f>IFERROR(VLOOKUP($D871&amp;$C871,生产方式定位!$A$2:$E$38,2,FALSE)+VLOOKUP($E871&amp;$C871,生产方式定位!$F$3:$J$38,2,FALSE),0)</f>
        <v>5600</v>
      </c>
      <c r="S871" s="1">
        <f>IFERROR(VLOOKUP($D871&amp;$C871,生产方式定位!$A$2:$E$38,3,FALSE)+VLOOKUP($E871&amp;$C871,生产方式定位!$F$3:$J$38,3,FALSE),0)</f>
        <v>50</v>
      </c>
      <c r="X871" s="1">
        <f>IFERROR(VLOOKUP($D871&amp;$C871,生产方式定位!$A$2:$E$38,5,FALSE)+VLOOKUP($E871&amp;$C871,生产方式定位!$F$3:$J$38,5,FALSE),"错误")</f>
        <v>3335</v>
      </c>
      <c r="Y871" s="27" t="str">
        <f t="shared" si="104"/>
        <v/>
      </c>
      <c r="Z871" s="37" t="str">
        <f t="shared" si="105"/>
        <v/>
      </c>
      <c r="AA871" s="37" t="str">
        <f t="shared" si="106"/>
        <v/>
      </c>
      <c r="AB871" s="28">
        <f t="shared" si="107"/>
        <v>1.68</v>
      </c>
      <c r="AC871" s="37"/>
      <c r="AD871" s="38">
        <f t="shared" si="108"/>
        <v>4</v>
      </c>
      <c r="AE871" t="str">
        <f>IFERROR(F871&amp;"*"&amp;ROUND(L871*(G871/$AN871)/VLOOKUP(F871,商品!$A$4:$D$67,4,FALSE),0),"")</f>
        <v/>
      </c>
      <c r="AF871" t="str">
        <f>IFERROR(H871&amp;"*"&amp;ROUND(L871*(I871/$AN871)/VLOOKUP(H871,商品!$A$4:$D$67,4,FALSE),0),"")</f>
        <v/>
      </c>
      <c r="AG871" t="str">
        <f>IFERROR(J871&amp;"*"&amp;ROUND(L871*(K871/$AN871)/VLOOKUP(J871,商品!$A$4:$D$67,4,FALSE),0),"")</f>
        <v/>
      </c>
      <c r="AH871" t="str">
        <f>IFERROR(M871&amp;"*"&amp;ROUND(S871*(N871/$AO871)/VLOOKUP(M871,职业!$A$3:$E$16,4,FALSE),0),"")</f>
        <v/>
      </c>
      <c r="AI871" t="str">
        <f>IFERROR(O871&amp;"*"&amp;ROUND(S871*(P871/$AO871)/VLOOKUP(O871,职业!$A$3:$E$16,4,FALSE),0),"")</f>
        <v/>
      </c>
      <c r="AK871" t="str">
        <f>IFERROR(T871&amp;"*"&amp;ROUND(X871*(U871/$AP871)/VLOOKUP(T871,商品!$A$4:$D$67,4,FALSE),0),"")</f>
        <v/>
      </c>
      <c r="AL871" t="str">
        <f>IFERROR(V871&amp;"*"&amp;ROUND(X871*(W871/$AP871)/VLOOKUP(V871,商品!$A$4:$D$67,4,FALSE),0),"")</f>
        <v/>
      </c>
      <c r="AN871">
        <f t="shared" si="109"/>
        <v>0</v>
      </c>
      <c r="AO871">
        <f t="shared" si="110"/>
        <v>0</v>
      </c>
      <c r="AP871">
        <f t="shared" si="111"/>
        <v>0</v>
      </c>
    </row>
    <row r="872" customHeight="1" spans="1:42">
      <c r="A872" s="18" t="s">
        <v>447</v>
      </c>
      <c r="C872" s="18">
        <v>5</v>
      </c>
      <c r="D872" s="1" t="s">
        <v>222</v>
      </c>
      <c r="E872" s="1" t="s">
        <v>226</v>
      </c>
      <c r="L872" s="1">
        <f>IFERROR(VLOOKUP($D872&amp;$C872,生产方式定位!$A$2:$E$38,2,FALSE)+VLOOKUP($E872&amp;$C872,生产方式定位!$F$3:$J$38,2,FALSE),0)</f>
        <v>6800</v>
      </c>
      <c r="S872" s="1">
        <f>IFERROR(VLOOKUP($D872&amp;$C872,生产方式定位!$A$2:$E$38,3,FALSE)+VLOOKUP($E872&amp;$C872,生产方式定位!$F$3:$J$38,3,FALSE),0)</f>
        <v>-100</v>
      </c>
      <c r="X872" s="1">
        <f>IFERROR(VLOOKUP($D872&amp;$C872,生产方式定位!$A$2:$E$38,5,FALSE)+VLOOKUP($E872&amp;$C872,生产方式定位!$F$3:$J$38,5,FALSE),"错误")</f>
        <v>4190</v>
      </c>
      <c r="Y872" s="27" t="str">
        <f t="shared" si="104"/>
        <v/>
      </c>
      <c r="Z872" s="37" t="str">
        <f t="shared" si="105"/>
        <v/>
      </c>
      <c r="AA872" s="37" t="str">
        <f t="shared" si="106"/>
        <v/>
      </c>
      <c r="AB872" s="28">
        <f t="shared" si="107"/>
        <v>1.62</v>
      </c>
      <c r="AC872" s="37"/>
      <c r="AD872" s="38">
        <f t="shared" si="108"/>
        <v>5</v>
      </c>
      <c r="AE872" t="str">
        <f>IFERROR(F872&amp;"*"&amp;ROUND(L872*(G872/$AN872)/VLOOKUP(F872,商品!$A$4:$D$67,4,FALSE),0),"")</f>
        <v/>
      </c>
      <c r="AF872" t="str">
        <f>IFERROR(H872&amp;"*"&amp;ROUND(L872*(I872/$AN872)/VLOOKUP(H872,商品!$A$4:$D$67,4,FALSE),0),"")</f>
        <v/>
      </c>
      <c r="AG872" t="str">
        <f>IFERROR(J872&amp;"*"&amp;ROUND(L872*(K872/$AN872)/VLOOKUP(J872,商品!$A$4:$D$67,4,FALSE),0),"")</f>
        <v/>
      </c>
      <c r="AH872" t="str">
        <f>IFERROR(M872&amp;"*"&amp;ROUND(S872*(N872/$AO872)/VLOOKUP(M872,职业!$A$3:$E$16,4,FALSE),0),"")</f>
        <v/>
      </c>
      <c r="AI872" t="str">
        <f>IFERROR(O872&amp;"*"&amp;ROUND(S872*(P872/$AO872)/VLOOKUP(O872,职业!$A$3:$E$16,4,FALSE),0),"")</f>
        <v/>
      </c>
      <c r="AK872" t="str">
        <f>IFERROR(T872&amp;"*"&amp;ROUND(X872*(U872/$AP872)/VLOOKUP(T872,商品!$A$4:$D$67,4,FALSE),0),"")</f>
        <v/>
      </c>
      <c r="AL872" t="str">
        <f>IFERROR(V872&amp;"*"&amp;ROUND(X872*(W872/$AP872)/VLOOKUP(V872,商品!$A$4:$D$67,4,FALSE),0),"")</f>
        <v/>
      </c>
      <c r="AN872">
        <f t="shared" si="109"/>
        <v>0</v>
      </c>
      <c r="AO872">
        <f t="shared" si="110"/>
        <v>0</v>
      </c>
      <c r="AP872">
        <f t="shared" si="111"/>
        <v>0</v>
      </c>
    </row>
    <row r="873" customHeight="1" spans="1:42">
      <c r="A873" s="5" t="s">
        <v>447</v>
      </c>
      <c r="C873" s="5">
        <v>1</v>
      </c>
      <c r="D873" s="1" t="s">
        <v>222</v>
      </c>
      <c r="E873" s="1" t="s">
        <v>226</v>
      </c>
      <c r="L873" s="1">
        <f>IFERROR(VLOOKUP($D873&amp;$C873,生产方式定位!$A$2:$E$38,2,FALSE)+VLOOKUP($E873&amp;$C873,生产方式定位!$F$3:$J$38,2,FALSE),0)</f>
        <v>0</v>
      </c>
      <c r="S873" s="1">
        <f>IFERROR(VLOOKUP($D873&amp;$C873,生产方式定位!$A$2:$E$38,3,FALSE)+VLOOKUP($E873&amp;$C873,生产方式定位!$F$3:$J$38,3,FALSE),0)</f>
        <v>500</v>
      </c>
      <c r="X873" s="1">
        <f>IFERROR(VLOOKUP($D873&amp;$C873,生产方式定位!$A$2:$E$38,5,FALSE)+VLOOKUP($E873&amp;$C873,生产方式定位!$F$3:$J$38,5,FALSE),"错误")</f>
        <v>250</v>
      </c>
      <c r="Y873" s="27" t="str">
        <f t="shared" si="104"/>
        <v/>
      </c>
      <c r="Z873" s="37" t="str">
        <f t="shared" si="105"/>
        <v/>
      </c>
      <c r="AA873" s="37" t="str">
        <f t="shared" si="106"/>
        <v/>
      </c>
      <c r="AB873" s="28">
        <f t="shared" si="107"/>
        <v>0</v>
      </c>
      <c r="AC873" s="37"/>
      <c r="AD873" s="38">
        <f t="shared" si="108"/>
        <v>1</v>
      </c>
      <c r="AE873" t="str">
        <f>IFERROR(F873&amp;"*"&amp;ROUND(L873*(G873/$AN873)/VLOOKUP(F873,商品!$A$4:$D$67,4,FALSE),0),"")</f>
        <v/>
      </c>
      <c r="AF873" t="str">
        <f>IFERROR(H873&amp;"*"&amp;ROUND(L873*(I873/$AN873)/VLOOKUP(H873,商品!$A$4:$D$67,4,FALSE),0),"")</f>
        <v/>
      </c>
      <c r="AG873" t="str">
        <f>IFERROR(J873&amp;"*"&amp;ROUND(L873*(K873/$AN873)/VLOOKUP(J873,商品!$A$4:$D$67,4,FALSE),0),"")</f>
        <v/>
      </c>
      <c r="AH873" t="str">
        <f>IFERROR(M873&amp;"*"&amp;ROUND(S873*(N873/$AO873)/VLOOKUP(M873,职业!$A$3:$E$16,4,FALSE),0),"")</f>
        <v/>
      </c>
      <c r="AI873" t="str">
        <f>IFERROR(O873&amp;"*"&amp;ROUND(S873*(P873/$AO873)/VLOOKUP(O873,职业!$A$3:$E$16,4,FALSE),0),"")</f>
        <v/>
      </c>
      <c r="AK873" t="str">
        <f>IFERROR(T873&amp;"*"&amp;ROUND(X873*(U873/$AP873)/VLOOKUP(T873,商品!$A$4:$D$67,4,FALSE),0),"")</f>
        <v/>
      </c>
      <c r="AL873" t="str">
        <f>IFERROR(V873&amp;"*"&amp;ROUND(X873*(W873/$AP873)/VLOOKUP(V873,商品!$A$4:$D$67,4,FALSE),0),"")</f>
        <v/>
      </c>
      <c r="AN873">
        <f t="shared" si="109"/>
        <v>0</v>
      </c>
      <c r="AO873">
        <f t="shared" si="110"/>
        <v>0</v>
      </c>
      <c r="AP873">
        <f t="shared" si="111"/>
        <v>0</v>
      </c>
    </row>
    <row r="874" customHeight="1" spans="1:42">
      <c r="A874" s="5" t="s">
        <v>447</v>
      </c>
      <c r="C874" s="5">
        <v>2</v>
      </c>
      <c r="D874" s="1" t="s">
        <v>222</v>
      </c>
      <c r="E874" s="1" t="s">
        <v>226</v>
      </c>
      <c r="L874" s="1">
        <f>IFERROR(VLOOKUP($D874&amp;$C874,生产方式定位!$A$2:$E$38,2,FALSE)+VLOOKUP($E874&amp;$C874,生产方式定位!$F$3:$J$38,2,FALSE),0)</f>
        <v>3200</v>
      </c>
      <c r="S874" s="1">
        <f>IFERROR(VLOOKUP($D874&amp;$C874,生产方式定位!$A$2:$E$38,3,FALSE)+VLOOKUP($E874&amp;$C874,生产方式定位!$F$3:$J$38,3,FALSE),0)</f>
        <v>350</v>
      </c>
      <c r="X874" s="1">
        <f>IFERROR(VLOOKUP($D874&amp;$C874,生产方式定位!$A$2:$E$38,5,FALSE)+VLOOKUP($E874&amp;$C874,生产方式定位!$F$3:$J$38,5,FALSE),"错误")</f>
        <v>1865</v>
      </c>
      <c r="Y874" s="27" t="str">
        <f t="shared" si="104"/>
        <v/>
      </c>
      <c r="Z874" s="37" t="str">
        <f t="shared" si="105"/>
        <v/>
      </c>
      <c r="AA874" s="37" t="str">
        <f t="shared" si="106"/>
        <v/>
      </c>
      <c r="AB874" s="28">
        <f t="shared" si="107"/>
        <v>1.72</v>
      </c>
      <c r="AC874" s="37"/>
      <c r="AD874" s="38">
        <f t="shared" si="108"/>
        <v>2</v>
      </c>
      <c r="AE874" t="str">
        <f>IFERROR(F874&amp;"*"&amp;ROUND(L874*(G874/$AN874)/VLOOKUP(F874,商品!$A$4:$D$67,4,FALSE),0),"")</f>
        <v/>
      </c>
      <c r="AF874" t="str">
        <f>IFERROR(H874&amp;"*"&amp;ROUND(L874*(I874/$AN874)/VLOOKUP(H874,商品!$A$4:$D$67,4,FALSE),0),"")</f>
        <v/>
      </c>
      <c r="AG874" t="str">
        <f>IFERROR(J874&amp;"*"&amp;ROUND(L874*(K874/$AN874)/VLOOKUP(J874,商品!$A$4:$D$67,4,FALSE),0),"")</f>
        <v/>
      </c>
      <c r="AH874" t="str">
        <f>IFERROR(M874&amp;"*"&amp;ROUND(S874*(N874/$AO874)/VLOOKUP(M874,职业!$A$3:$E$16,4,FALSE),0),"")</f>
        <v/>
      </c>
      <c r="AI874" t="str">
        <f>IFERROR(O874&amp;"*"&amp;ROUND(S874*(P874/$AO874)/VLOOKUP(O874,职业!$A$3:$E$16,4,FALSE),0),"")</f>
        <v/>
      </c>
      <c r="AK874" t="str">
        <f>IFERROR(T874&amp;"*"&amp;ROUND(X874*(U874/$AP874)/VLOOKUP(T874,商品!$A$4:$D$67,4,FALSE),0),"")</f>
        <v/>
      </c>
      <c r="AL874" t="str">
        <f>IFERROR(V874&amp;"*"&amp;ROUND(X874*(W874/$AP874)/VLOOKUP(V874,商品!$A$4:$D$67,4,FALSE),0),"")</f>
        <v/>
      </c>
      <c r="AN874">
        <f t="shared" si="109"/>
        <v>0</v>
      </c>
      <c r="AO874">
        <f t="shared" si="110"/>
        <v>0</v>
      </c>
      <c r="AP874">
        <f t="shared" si="111"/>
        <v>0</v>
      </c>
    </row>
    <row r="875" customHeight="1" spans="1:42">
      <c r="A875" s="5" t="s">
        <v>447</v>
      </c>
      <c r="C875" s="5">
        <v>3</v>
      </c>
      <c r="D875" s="1" t="s">
        <v>222</v>
      </c>
      <c r="E875" s="1" t="s">
        <v>226</v>
      </c>
      <c r="L875" s="1">
        <f>IFERROR(VLOOKUP($D875&amp;$C875,生产方式定位!$A$2:$E$38,2,FALSE)+VLOOKUP($E875&amp;$C875,生产方式定位!$F$3:$J$38,2,FALSE),0)</f>
        <v>4400</v>
      </c>
      <c r="S875" s="1">
        <f>IFERROR(VLOOKUP($D875&amp;$C875,生产方式定位!$A$2:$E$38,3,FALSE)+VLOOKUP($E875&amp;$C875,生产方式定位!$F$3:$J$38,3,FALSE),0)</f>
        <v>200</v>
      </c>
      <c r="X875" s="1">
        <f>IFERROR(VLOOKUP($D875&amp;$C875,生产方式定位!$A$2:$E$38,5,FALSE)+VLOOKUP($E875&amp;$C875,生产方式定位!$F$3:$J$38,5,FALSE),"错误")</f>
        <v>2560</v>
      </c>
      <c r="Y875" s="27" t="str">
        <f t="shared" si="104"/>
        <v/>
      </c>
      <c r="Z875" s="37" t="str">
        <f t="shared" si="105"/>
        <v/>
      </c>
      <c r="AA875" s="37" t="str">
        <f t="shared" si="106"/>
        <v/>
      </c>
      <c r="AB875" s="28">
        <f t="shared" si="107"/>
        <v>1.72</v>
      </c>
      <c r="AC875" s="37"/>
      <c r="AD875" s="38">
        <f t="shared" si="108"/>
        <v>3</v>
      </c>
      <c r="AE875" t="str">
        <f>IFERROR(F875&amp;"*"&amp;ROUND(L875*(G875/$AN875)/VLOOKUP(F875,商品!$A$4:$D$67,4,FALSE),0),"")</f>
        <v/>
      </c>
      <c r="AF875" t="str">
        <f>IFERROR(H875&amp;"*"&amp;ROUND(L875*(I875/$AN875)/VLOOKUP(H875,商品!$A$4:$D$67,4,FALSE),0),"")</f>
        <v/>
      </c>
      <c r="AG875" t="str">
        <f>IFERROR(J875&amp;"*"&amp;ROUND(L875*(K875/$AN875)/VLOOKUP(J875,商品!$A$4:$D$67,4,FALSE),0),"")</f>
        <v/>
      </c>
      <c r="AH875" t="str">
        <f>IFERROR(M875&amp;"*"&amp;ROUND(S875*(N875/$AO875)/VLOOKUP(M875,职业!$A$3:$E$16,4,FALSE),0),"")</f>
        <v/>
      </c>
      <c r="AI875" t="str">
        <f>IFERROR(O875&amp;"*"&amp;ROUND(S875*(P875/$AO875)/VLOOKUP(O875,职业!$A$3:$E$16,4,FALSE),0),"")</f>
        <v/>
      </c>
      <c r="AK875" t="str">
        <f>IFERROR(T875&amp;"*"&amp;ROUND(X875*(U875/$AP875)/VLOOKUP(T875,商品!$A$4:$D$67,4,FALSE),0),"")</f>
        <v/>
      </c>
      <c r="AL875" t="str">
        <f>IFERROR(V875&amp;"*"&amp;ROUND(X875*(W875/$AP875)/VLOOKUP(V875,商品!$A$4:$D$67,4,FALSE),0),"")</f>
        <v/>
      </c>
      <c r="AN875">
        <f t="shared" si="109"/>
        <v>0</v>
      </c>
      <c r="AO875">
        <f t="shared" si="110"/>
        <v>0</v>
      </c>
      <c r="AP875">
        <f t="shared" si="111"/>
        <v>0</v>
      </c>
    </row>
    <row r="876" customHeight="1" spans="1:42">
      <c r="A876" s="5" t="s">
        <v>447</v>
      </c>
      <c r="C876" s="5">
        <v>4</v>
      </c>
      <c r="D876" s="1" t="s">
        <v>222</v>
      </c>
      <c r="E876" s="1" t="s">
        <v>226</v>
      </c>
      <c r="L876" s="1">
        <f>IFERROR(VLOOKUP($D876&amp;$C876,生产方式定位!$A$2:$E$38,2,FALSE)+VLOOKUP($E876&amp;$C876,生产方式定位!$F$3:$J$38,2,FALSE),0)</f>
        <v>5600</v>
      </c>
      <c r="S876" s="1">
        <f>IFERROR(VLOOKUP($D876&amp;$C876,生产方式定位!$A$2:$E$38,3,FALSE)+VLOOKUP($E876&amp;$C876,生产方式定位!$F$3:$J$38,3,FALSE),0)</f>
        <v>50</v>
      </c>
      <c r="X876" s="1">
        <f>IFERROR(VLOOKUP($D876&amp;$C876,生产方式定位!$A$2:$E$38,5,FALSE)+VLOOKUP($E876&amp;$C876,生产方式定位!$F$3:$J$38,5,FALSE),"错误")</f>
        <v>3335</v>
      </c>
      <c r="Y876" s="27" t="str">
        <f t="shared" si="104"/>
        <v/>
      </c>
      <c r="Z876" s="37" t="str">
        <f t="shared" si="105"/>
        <v/>
      </c>
      <c r="AA876" s="37" t="str">
        <f t="shared" si="106"/>
        <v/>
      </c>
      <c r="AB876" s="28">
        <f t="shared" si="107"/>
        <v>1.68</v>
      </c>
      <c r="AC876" s="37"/>
      <c r="AD876" s="38">
        <f t="shared" si="108"/>
        <v>4</v>
      </c>
      <c r="AE876" t="str">
        <f>IFERROR(F876&amp;"*"&amp;ROUND(L876*(G876/$AN876)/VLOOKUP(F876,商品!$A$4:$D$67,4,FALSE),0),"")</f>
        <v/>
      </c>
      <c r="AF876" t="str">
        <f>IFERROR(H876&amp;"*"&amp;ROUND(L876*(I876/$AN876)/VLOOKUP(H876,商品!$A$4:$D$67,4,FALSE),0),"")</f>
        <v/>
      </c>
      <c r="AG876" t="str">
        <f>IFERROR(J876&amp;"*"&amp;ROUND(L876*(K876/$AN876)/VLOOKUP(J876,商品!$A$4:$D$67,4,FALSE),0),"")</f>
        <v/>
      </c>
      <c r="AH876" t="str">
        <f>IFERROR(M876&amp;"*"&amp;ROUND(S876*(N876/$AO876)/VLOOKUP(M876,职业!$A$3:$E$16,4,FALSE),0),"")</f>
        <v/>
      </c>
      <c r="AI876" t="str">
        <f>IFERROR(O876&amp;"*"&amp;ROUND(S876*(P876/$AO876)/VLOOKUP(O876,职业!$A$3:$E$16,4,FALSE),0),"")</f>
        <v/>
      </c>
      <c r="AK876" t="str">
        <f>IFERROR(T876&amp;"*"&amp;ROUND(X876*(U876/$AP876)/VLOOKUP(T876,商品!$A$4:$D$67,4,FALSE),0),"")</f>
        <v/>
      </c>
      <c r="AL876" t="str">
        <f>IFERROR(V876&amp;"*"&amp;ROUND(X876*(W876/$AP876)/VLOOKUP(V876,商品!$A$4:$D$67,4,FALSE),0),"")</f>
        <v/>
      </c>
      <c r="AN876">
        <f t="shared" si="109"/>
        <v>0</v>
      </c>
      <c r="AO876">
        <f t="shared" si="110"/>
        <v>0</v>
      </c>
      <c r="AP876">
        <f t="shared" si="111"/>
        <v>0</v>
      </c>
    </row>
    <row r="877" customHeight="1" spans="1:42">
      <c r="A877" s="5" t="s">
        <v>447</v>
      </c>
      <c r="C877" s="5">
        <v>5</v>
      </c>
      <c r="D877" s="1" t="s">
        <v>222</v>
      </c>
      <c r="E877" s="1" t="s">
        <v>226</v>
      </c>
      <c r="L877" s="1">
        <f>IFERROR(VLOOKUP($D877&amp;$C877,生产方式定位!$A$2:$E$38,2,FALSE)+VLOOKUP($E877&amp;$C877,生产方式定位!$F$3:$J$38,2,FALSE),0)</f>
        <v>6800</v>
      </c>
      <c r="S877" s="1">
        <f>IFERROR(VLOOKUP($D877&amp;$C877,生产方式定位!$A$2:$E$38,3,FALSE)+VLOOKUP($E877&amp;$C877,生产方式定位!$F$3:$J$38,3,FALSE),0)</f>
        <v>-100</v>
      </c>
      <c r="X877" s="1">
        <f>IFERROR(VLOOKUP($D877&amp;$C877,生产方式定位!$A$2:$E$38,5,FALSE)+VLOOKUP($E877&amp;$C877,生产方式定位!$F$3:$J$38,5,FALSE),"错误")</f>
        <v>4190</v>
      </c>
      <c r="Y877" s="27" t="str">
        <f t="shared" si="104"/>
        <v/>
      </c>
      <c r="Z877" s="37" t="str">
        <f t="shared" si="105"/>
        <v/>
      </c>
      <c r="AA877" s="37" t="str">
        <f t="shared" si="106"/>
        <v/>
      </c>
      <c r="AB877" s="28">
        <f t="shared" si="107"/>
        <v>1.62</v>
      </c>
      <c r="AC877" s="37"/>
      <c r="AD877" s="38">
        <f t="shared" si="108"/>
        <v>5</v>
      </c>
      <c r="AE877" t="str">
        <f>IFERROR(F877&amp;"*"&amp;ROUND(L877*(G877/$AN877)/VLOOKUP(F877,商品!$A$4:$D$67,4,FALSE),0),"")</f>
        <v/>
      </c>
      <c r="AF877" t="str">
        <f>IFERROR(H877&amp;"*"&amp;ROUND(L877*(I877/$AN877)/VLOOKUP(H877,商品!$A$4:$D$67,4,FALSE),0),"")</f>
        <v/>
      </c>
      <c r="AG877" t="str">
        <f>IFERROR(J877&amp;"*"&amp;ROUND(L877*(K877/$AN877)/VLOOKUP(J877,商品!$A$4:$D$67,4,FALSE),0),"")</f>
        <v/>
      </c>
      <c r="AH877" t="str">
        <f>IFERROR(M877&amp;"*"&amp;ROUND(S877*(N877/$AO877)/VLOOKUP(M877,职业!$A$3:$E$16,4,FALSE),0),"")</f>
        <v/>
      </c>
      <c r="AI877" t="str">
        <f>IFERROR(O877&amp;"*"&amp;ROUND(S877*(P877/$AO877)/VLOOKUP(O877,职业!$A$3:$E$16,4,FALSE),0),"")</f>
        <v/>
      </c>
      <c r="AK877" t="str">
        <f>IFERROR(T877&amp;"*"&amp;ROUND(X877*(U877/$AP877)/VLOOKUP(T877,商品!$A$4:$D$67,4,FALSE),0),"")</f>
        <v/>
      </c>
      <c r="AL877" t="str">
        <f>IFERROR(V877&amp;"*"&amp;ROUND(X877*(W877/$AP877)/VLOOKUP(V877,商品!$A$4:$D$67,4,FALSE),0),"")</f>
        <v/>
      </c>
      <c r="AN877">
        <f t="shared" si="109"/>
        <v>0</v>
      </c>
      <c r="AO877">
        <f t="shared" si="110"/>
        <v>0</v>
      </c>
      <c r="AP877">
        <f t="shared" si="111"/>
        <v>0</v>
      </c>
    </row>
    <row r="878" customHeight="1" spans="1:42">
      <c r="A878" s="18" t="s">
        <v>448</v>
      </c>
      <c r="C878" s="18">
        <v>1</v>
      </c>
      <c r="D878" s="1" t="s">
        <v>293</v>
      </c>
      <c r="E878" s="1" t="s">
        <v>227</v>
      </c>
      <c r="L878" s="1">
        <f>IFERROR(VLOOKUP($D878&amp;$C878,生产方式定位!$A$2:$E$38,2,FALSE)+VLOOKUP($E878&amp;$C878,生产方式定位!$F$3:$J$38,2,FALSE),0)</f>
        <v>0</v>
      </c>
      <c r="S878" s="1">
        <f>IFERROR(VLOOKUP($D878&amp;$C878,生产方式定位!$A$2:$E$38,3,FALSE)+VLOOKUP($E878&amp;$C878,生产方式定位!$F$3:$J$38,3,FALSE),0)</f>
        <v>0</v>
      </c>
      <c r="X878" s="1">
        <f>IFERROR(VLOOKUP($D878&amp;$C878,生产方式定位!$A$2:$E$38,5,FALSE)+VLOOKUP($E878&amp;$C878,生产方式定位!$F$3:$J$38,5,FALSE),"错误")</f>
        <v>0</v>
      </c>
      <c r="Y878" s="27" t="str">
        <f t="shared" si="104"/>
        <v/>
      </c>
      <c r="Z878" s="37" t="str">
        <f t="shared" si="105"/>
        <v/>
      </c>
      <c r="AA878" s="37" t="str">
        <f t="shared" si="106"/>
        <v/>
      </c>
      <c r="AB878" s="28" t="str">
        <f t="shared" si="107"/>
        <v/>
      </c>
      <c r="AC878" s="37"/>
      <c r="AD878" s="38">
        <f t="shared" si="108"/>
        <v>1</v>
      </c>
      <c r="AE878" t="str">
        <f>IFERROR(F878&amp;"*"&amp;ROUND(L878*(G878/$AN878)/VLOOKUP(F878,商品!$A$4:$D$67,4,FALSE),0),"")</f>
        <v/>
      </c>
      <c r="AF878" t="str">
        <f>IFERROR(H878&amp;"*"&amp;ROUND(L878*(I878/$AN878)/VLOOKUP(H878,商品!$A$4:$D$67,4,FALSE),0),"")</f>
        <v/>
      </c>
      <c r="AG878" t="str">
        <f>IFERROR(J878&amp;"*"&amp;ROUND(L878*(K878/$AN878)/VLOOKUP(J878,商品!$A$4:$D$67,4,FALSE),0),"")</f>
        <v/>
      </c>
      <c r="AH878" t="str">
        <f>IFERROR(M878&amp;"*"&amp;ROUND(S878*(N878/$AO878)/VLOOKUP(M878,职业!$A$3:$E$16,4,FALSE),0),"")</f>
        <v/>
      </c>
      <c r="AI878" t="str">
        <f>IFERROR(O878&amp;"*"&amp;ROUND(S878*(P878/$AO878)/VLOOKUP(O878,职业!$A$3:$E$16,4,FALSE),0),"")</f>
        <v/>
      </c>
      <c r="AK878" t="str">
        <f>IFERROR(T878&amp;"*"&amp;ROUND(X878*(U878/$AP878)/VLOOKUP(T878,商品!$A$4:$D$67,4,FALSE),0),"")</f>
        <v/>
      </c>
      <c r="AL878" t="str">
        <f>IFERROR(V878&amp;"*"&amp;ROUND(X878*(W878/$AP878)/VLOOKUP(V878,商品!$A$4:$D$67,4,FALSE),0),"")</f>
        <v/>
      </c>
      <c r="AN878">
        <f t="shared" si="109"/>
        <v>0</v>
      </c>
      <c r="AO878">
        <f t="shared" si="110"/>
        <v>0</v>
      </c>
      <c r="AP878">
        <f t="shared" si="111"/>
        <v>0</v>
      </c>
    </row>
    <row r="879" customHeight="1" spans="1:42">
      <c r="A879" s="18" t="s">
        <v>448</v>
      </c>
      <c r="C879" s="18">
        <v>2</v>
      </c>
      <c r="D879" s="1" t="s">
        <v>293</v>
      </c>
      <c r="E879" s="1" t="s">
        <v>227</v>
      </c>
      <c r="L879" s="1">
        <f>IFERROR(VLOOKUP($D879&amp;$C879,生产方式定位!$A$2:$E$38,2,FALSE)+VLOOKUP($E879&amp;$C879,生产方式定位!$F$3:$J$38,2,FALSE),0)</f>
        <v>0</v>
      </c>
      <c r="S879" s="1">
        <f>IFERROR(VLOOKUP($D879&amp;$C879,生产方式定位!$A$2:$E$38,3,FALSE)+VLOOKUP($E879&amp;$C879,生产方式定位!$F$3:$J$38,3,FALSE),0)</f>
        <v>0</v>
      </c>
      <c r="X879" s="1">
        <f>IFERROR(VLOOKUP($D879&amp;$C879,生产方式定位!$A$2:$E$38,5,FALSE)+VLOOKUP($E879&amp;$C879,生产方式定位!$F$3:$J$38,5,FALSE),"错误")</f>
        <v>0</v>
      </c>
      <c r="Y879" s="27" t="str">
        <f t="shared" si="104"/>
        <v/>
      </c>
      <c r="Z879" s="37" t="str">
        <f t="shared" si="105"/>
        <v/>
      </c>
      <c r="AA879" s="37" t="str">
        <f t="shared" si="106"/>
        <v/>
      </c>
      <c r="AB879" s="28" t="str">
        <f t="shared" si="107"/>
        <v/>
      </c>
      <c r="AC879" s="37"/>
      <c r="AD879" s="38">
        <f t="shared" si="108"/>
        <v>2</v>
      </c>
      <c r="AE879" t="str">
        <f>IFERROR(F879&amp;"*"&amp;ROUND(L879*(G879/$AN879)/VLOOKUP(F879,商品!$A$4:$D$67,4,FALSE),0),"")</f>
        <v/>
      </c>
      <c r="AF879" t="str">
        <f>IFERROR(H879&amp;"*"&amp;ROUND(L879*(I879/$AN879)/VLOOKUP(H879,商品!$A$4:$D$67,4,FALSE),0),"")</f>
        <v/>
      </c>
      <c r="AG879" t="str">
        <f>IFERROR(J879&amp;"*"&amp;ROUND(L879*(K879/$AN879)/VLOOKUP(J879,商品!$A$4:$D$67,4,FALSE),0),"")</f>
        <v/>
      </c>
      <c r="AH879" t="str">
        <f>IFERROR(M879&amp;"*"&amp;ROUND(S879*(N879/$AO879)/VLOOKUP(M879,职业!$A$3:$E$16,4,FALSE),0),"")</f>
        <v/>
      </c>
      <c r="AI879" t="str">
        <f>IFERROR(O879&amp;"*"&amp;ROUND(S879*(P879/$AO879)/VLOOKUP(O879,职业!$A$3:$E$16,4,FALSE),0),"")</f>
        <v/>
      </c>
      <c r="AK879" t="str">
        <f>IFERROR(T879&amp;"*"&amp;ROUND(X879*(U879/$AP879)/VLOOKUP(T879,商品!$A$4:$D$67,4,FALSE),0),"")</f>
        <v/>
      </c>
      <c r="AL879" t="str">
        <f>IFERROR(V879&amp;"*"&amp;ROUND(X879*(W879/$AP879)/VLOOKUP(V879,商品!$A$4:$D$67,4,FALSE),0),"")</f>
        <v/>
      </c>
      <c r="AN879">
        <f t="shared" si="109"/>
        <v>0</v>
      </c>
      <c r="AO879">
        <f t="shared" si="110"/>
        <v>0</v>
      </c>
      <c r="AP879">
        <f t="shared" si="111"/>
        <v>0</v>
      </c>
    </row>
    <row r="880" customHeight="1" spans="1:42">
      <c r="A880" s="18" t="s">
        <v>448</v>
      </c>
      <c r="C880" s="18">
        <v>3</v>
      </c>
      <c r="D880" s="1" t="s">
        <v>293</v>
      </c>
      <c r="E880" s="1" t="s">
        <v>227</v>
      </c>
      <c r="L880" s="1">
        <f>IFERROR(VLOOKUP($D880&amp;$C880,生产方式定位!$A$2:$E$38,2,FALSE)+VLOOKUP($E880&amp;$C880,生产方式定位!$F$3:$J$38,2,FALSE),0)</f>
        <v>0</v>
      </c>
      <c r="S880" s="1">
        <f>IFERROR(VLOOKUP($D880&amp;$C880,生产方式定位!$A$2:$E$38,3,FALSE)+VLOOKUP($E880&amp;$C880,生产方式定位!$F$3:$J$38,3,FALSE),0)</f>
        <v>0</v>
      </c>
      <c r="X880" s="1">
        <f>IFERROR(VLOOKUP($D880&amp;$C880,生产方式定位!$A$2:$E$38,5,FALSE)+VLOOKUP($E880&amp;$C880,生产方式定位!$F$3:$J$38,5,FALSE),"错误")</f>
        <v>0</v>
      </c>
      <c r="Y880" s="27" t="str">
        <f t="shared" si="104"/>
        <v/>
      </c>
      <c r="Z880" s="37" t="str">
        <f t="shared" si="105"/>
        <v/>
      </c>
      <c r="AA880" s="37" t="str">
        <f t="shared" si="106"/>
        <v/>
      </c>
      <c r="AB880" s="28" t="str">
        <f t="shared" si="107"/>
        <v/>
      </c>
      <c r="AC880" s="37"/>
      <c r="AD880" s="38">
        <f t="shared" si="108"/>
        <v>3</v>
      </c>
      <c r="AE880" t="str">
        <f>IFERROR(F880&amp;"*"&amp;ROUND(L880*(G880/$AN880)/VLOOKUP(F880,商品!$A$4:$D$67,4,FALSE),0),"")</f>
        <v/>
      </c>
      <c r="AF880" t="str">
        <f>IFERROR(H880&amp;"*"&amp;ROUND(L880*(I880/$AN880)/VLOOKUP(H880,商品!$A$4:$D$67,4,FALSE),0),"")</f>
        <v/>
      </c>
      <c r="AG880" t="str">
        <f>IFERROR(J880&amp;"*"&amp;ROUND(L880*(K880/$AN880)/VLOOKUP(J880,商品!$A$4:$D$67,4,FALSE),0),"")</f>
        <v/>
      </c>
      <c r="AH880" t="str">
        <f>IFERROR(M880&amp;"*"&amp;ROUND(S880*(N880/$AO880)/VLOOKUP(M880,职业!$A$3:$E$16,4,FALSE),0),"")</f>
        <v/>
      </c>
      <c r="AI880" t="str">
        <f>IFERROR(O880&amp;"*"&amp;ROUND(S880*(P880/$AO880)/VLOOKUP(O880,职业!$A$3:$E$16,4,FALSE),0),"")</f>
        <v/>
      </c>
      <c r="AK880" t="str">
        <f>IFERROR(T880&amp;"*"&amp;ROUND(X880*(U880/$AP880)/VLOOKUP(T880,商品!$A$4:$D$67,4,FALSE),0),"")</f>
        <v/>
      </c>
      <c r="AL880" t="str">
        <f>IFERROR(V880&amp;"*"&amp;ROUND(X880*(W880/$AP880)/VLOOKUP(V880,商品!$A$4:$D$67,4,FALSE),0),"")</f>
        <v/>
      </c>
      <c r="AN880">
        <f t="shared" si="109"/>
        <v>0</v>
      </c>
      <c r="AO880">
        <f t="shared" si="110"/>
        <v>0</v>
      </c>
      <c r="AP880">
        <f t="shared" si="111"/>
        <v>0</v>
      </c>
    </row>
    <row r="881" customHeight="1" spans="1:42">
      <c r="A881" s="18" t="s">
        <v>448</v>
      </c>
      <c r="C881" s="18">
        <v>4</v>
      </c>
      <c r="D881" s="1" t="s">
        <v>293</v>
      </c>
      <c r="E881" s="1" t="s">
        <v>227</v>
      </c>
      <c r="L881" s="1">
        <f>IFERROR(VLOOKUP($D881&amp;$C881,生产方式定位!$A$2:$E$38,2,FALSE)+VLOOKUP($E881&amp;$C881,生产方式定位!$F$3:$J$38,2,FALSE),0)</f>
        <v>0</v>
      </c>
      <c r="S881" s="1">
        <f>IFERROR(VLOOKUP($D881&amp;$C881,生产方式定位!$A$2:$E$38,3,FALSE)+VLOOKUP($E881&amp;$C881,生产方式定位!$F$3:$J$38,3,FALSE),0)</f>
        <v>0</v>
      </c>
      <c r="X881" s="1">
        <f>IFERROR(VLOOKUP($D881&amp;$C881,生产方式定位!$A$2:$E$38,5,FALSE)+VLOOKUP($E881&amp;$C881,生产方式定位!$F$3:$J$38,5,FALSE),"错误")</f>
        <v>0</v>
      </c>
      <c r="Y881" s="27" t="str">
        <f t="shared" si="104"/>
        <v/>
      </c>
      <c r="Z881" s="37" t="str">
        <f t="shared" si="105"/>
        <v/>
      </c>
      <c r="AA881" s="37" t="str">
        <f t="shared" si="106"/>
        <v/>
      </c>
      <c r="AB881" s="28" t="str">
        <f t="shared" si="107"/>
        <v/>
      </c>
      <c r="AC881" s="37"/>
      <c r="AD881" s="38">
        <f t="shared" si="108"/>
        <v>4</v>
      </c>
      <c r="AE881" t="str">
        <f>IFERROR(F881&amp;"*"&amp;ROUND(L881*(G881/$AN881)/VLOOKUP(F881,商品!$A$4:$D$67,4,FALSE),0),"")</f>
        <v/>
      </c>
      <c r="AF881" t="str">
        <f>IFERROR(H881&amp;"*"&amp;ROUND(L881*(I881/$AN881)/VLOOKUP(H881,商品!$A$4:$D$67,4,FALSE),0),"")</f>
        <v/>
      </c>
      <c r="AG881" t="str">
        <f>IFERROR(J881&amp;"*"&amp;ROUND(L881*(K881/$AN881)/VLOOKUP(J881,商品!$A$4:$D$67,4,FALSE),0),"")</f>
        <v/>
      </c>
      <c r="AH881" t="str">
        <f>IFERROR(M881&amp;"*"&amp;ROUND(S881*(N881/$AO881)/VLOOKUP(M881,职业!$A$3:$E$16,4,FALSE),0),"")</f>
        <v/>
      </c>
      <c r="AI881" t="str">
        <f>IFERROR(O881&amp;"*"&amp;ROUND(S881*(P881/$AO881)/VLOOKUP(O881,职业!$A$3:$E$16,4,FALSE),0),"")</f>
        <v/>
      </c>
      <c r="AK881" t="str">
        <f>IFERROR(T881&amp;"*"&amp;ROUND(X881*(U881/$AP881)/VLOOKUP(T881,商品!$A$4:$D$67,4,FALSE),0),"")</f>
        <v/>
      </c>
      <c r="AL881" t="str">
        <f>IFERROR(V881&amp;"*"&amp;ROUND(X881*(W881/$AP881)/VLOOKUP(V881,商品!$A$4:$D$67,4,FALSE),0),"")</f>
        <v/>
      </c>
      <c r="AN881">
        <f t="shared" si="109"/>
        <v>0</v>
      </c>
      <c r="AO881">
        <f t="shared" si="110"/>
        <v>0</v>
      </c>
      <c r="AP881">
        <f t="shared" si="111"/>
        <v>0</v>
      </c>
    </row>
    <row r="882" customHeight="1" spans="1:42">
      <c r="A882" s="18" t="s">
        <v>448</v>
      </c>
      <c r="C882" s="18">
        <v>5</v>
      </c>
      <c r="D882" s="1" t="s">
        <v>293</v>
      </c>
      <c r="E882" s="1" t="s">
        <v>227</v>
      </c>
      <c r="L882" s="1">
        <f>IFERROR(VLOOKUP($D882&amp;$C882,生产方式定位!$A$2:$E$38,2,FALSE)+VLOOKUP($E882&amp;$C882,生产方式定位!$F$3:$J$38,2,FALSE),0)</f>
        <v>0</v>
      </c>
      <c r="S882" s="1">
        <f>IFERROR(VLOOKUP($D882&amp;$C882,生产方式定位!$A$2:$E$38,3,FALSE)+VLOOKUP($E882&amp;$C882,生产方式定位!$F$3:$J$38,3,FALSE),0)</f>
        <v>0</v>
      </c>
      <c r="X882" s="1">
        <f>IFERROR(VLOOKUP($D882&amp;$C882,生产方式定位!$A$2:$E$38,5,FALSE)+VLOOKUP($E882&amp;$C882,生产方式定位!$F$3:$J$38,5,FALSE),"错误")</f>
        <v>0</v>
      </c>
      <c r="Y882" s="27" t="str">
        <f t="shared" si="104"/>
        <v/>
      </c>
      <c r="Z882" s="37" t="str">
        <f t="shared" si="105"/>
        <v/>
      </c>
      <c r="AA882" s="37" t="str">
        <f t="shared" si="106"/>
        <v/>
      </c>
      <c r="AB882" s="28" t="str">
        <f t="shared" si="107"/>
        <v/>
      </c>
      <c r="AC882" s="37"/>
      <c r="AD882" s="38">
        <f t="shared" si="108"/>
        <v>5</v>
      </c>
      <c r="AE882" t="str">
        <f>IFERROR(F882&amp;"*"&amp;ROUND(L882*(G882/$AN882)/VLOOKUP(F882,商品!$A$4:$D$67,4,FALSE),0),"")</f>
        <v/>
      </c>
      <c r="AF882" t="str">
        <f>IFERROR(H882&amp;"*"&amp;ROUND(L882*(I882/$AN882)/VLOOKUP(H882,商品!$A$4:$D$67,4,FALSE),0),"")</f>
        <v/>
      </c>
      <c r="AG882" t="str">
        <f>IFERROR(J882&amp;"*"&amp;ROUND(L882*(K882/$AN882)/VLOOKUP(J882,商品!$A$4:$D$67,4,FALSE),0),"")</f>
        <v/>
      </c>
      <c r="AH882" t="str">
        <f>IFERROR(M882&amp;"*"&amp;ROUND(S882*(N882/$AO882)/VLOOKUP(M882,职业!$A$3:$E$16,4,FALSE),0),"")</f>
        <v/>
      </c>
      <c r="AI882" t="str">
        <f>IFERROR(O882&amp;"*"&amp;ROUND(S882*(P882/$AO882)/VLOOKUP(O882,职业!$A$3:$E$16,4,FALSE),0),"")</f>
        <v/>
      </c>
      <c r="AK882" t="str">
        <f>IFERROR(T882&amp;"*"&amp;ROUND(X882*(U882/$AP882)/VLOOKUP(T882,商品!$A$4:$D$67,4,FALSE),0),"")</f>
        <v/>
      </c>
      <c r="AL882" t="str">
        <f>IFERROR(V882&amp;"*"&amp;ROUND(X882*(W882/$AP882)/VLOOKUP(V882,商品!$A$4:$D$67,4,FALSE),0),"")</f>
        <v/>
      </c>
      <c r="AN882">
        <f t="shared" si="109"/>
        <v>0</v>
      </c>
      <c r="AO882">
        <f t="shared" si="110"/>
        <v>0</v>
      </c>
      <c r="AP882">
        <f t="shared" si="111"/>
        <v>0</v>
      </c>
    </row>
    <row r="883" customHeight="1" spans="1:42">
      <c r="A883" s="18" t="s">
        <v>448</v>
      </c>
      <c r="C883" s="18">
        <v>6</v>
      </c>
      <c r="D883" s="1" t="s">
        <v>293</v>
      </c>
      <c r="E883" s="1" t="s">
        <v>227</v>
      </c>
      <c r="L883" s="1">
        <f>IFERROR(VLOOKUP($D883&amp;$C883,生产方式定位!$A$2:$E$38,2,FALSE)+VLOOKUP($E883&amp;$C883,生产方式定位!$F$3:$J$38,2,FALSE),0)</f>
        <v>0</v>
      </c>
      <c r="S883" s="1">
        <f>IFERROR(VLOOKUP($D883&amp;$C883,生产方式定位!$A$2:$E$38,3,FALSE)+VLOOKUP($E883&amp;$C883,生产方式定位!$F$3:$J$38,3,FALSE),0)</f>
        <v>0</v>
      </c>
      <c r="X883" s="1">
        <f>IFERROR(VLOOKUP($D883&amp;$C883,生产方式定位!$A$2:$E$38,5,FALSE)+VLOOKUP($E883&amp;$C883,生产方式定位!$F$3:$J$38,5,FALSE),"错误")</f>
        <v>0</v>
      </c>
      <c r="Y883" s="27" t="str">
        <f t="shared" si="104"/>
        <v/>
      </c>
      <c r="Z883" s="37" t="str">
        <f t="shared" si="105"/>
        <v/>
      </c>
      <c r="AA883" s="37" t="str">
        <f t="shared" si="106"/>
        <v/>
      </c>
      <c r="AB883" s="28" t="str">
        <f t="shared" si="107"/>
        <v/>
      </c>
      <c r="AC883" s="37"/>
      <c r="AD883" s="38">
        <f t="shared" si="108"/>
        <v>6</v>
      </c>
      <c r="AE883" t="str">
        <f>IFERROR(F883&amp;"*"&amp;ROUND(L883*(G883/$AN883)/VLOOKUP(F883,商品!$A$4:$D$67,4,FALSE),0),"")</f>
        <v/>
      </c>
      <c r="AF883" t="str">
        <f>IFERROR(H883&amp;"*"&amp;ROUND(L883*(I883/$AN883)/VLOOKUP(H883,商品!$A$4:$D$67,4,FALSE),0),"")</f>
        <v/>
      </c>
      <c r="AG883" t="str">
        <f>IFERROR(J883&amp;"*"&amp;ROUND(L883*(K883/$AN883)/VLOOKUP(J883,商品!$A$4:$D$67,4,FALSE),0),"")</f>
        <v/>
      </c>
      <c r="AH883" t="str">
        <f>IFERROR(M883&amp;"*"&amp;ROUND(S883*(N883/$AO883)/VLOOKUP(M883,职业!$A$3:$E$16,4,FALSE),0),"")</f>
        <v/>
      </c>
      <c r="AI883" t="str">
        <f>IFERROR(O883&amp;"*"&amp;ROUND(S883*(P883/$AO883)/VLOOKUP(O883,职业!$A$3:$E$16,4,FALSE),0),"")</f>
        <v/>
      </c>
      <c r="AK883" t="str">
        <f>IFERROR(T883&amp;"*"&amp;ROUND(X883*(U883/$AP883)/VLOOKUP(T883,商品!$A$4:$D$67,4,FALSE),0),"")</f>
        <v/>
      </c>
      <c r="AL883" t="str">
        <f>IFERROR(V883&amp;"*"&amp;ROUND(X883*(W883/$AP883)/VLOOKUP(V883,商品!$A$4:$D$67,4,FALSE),0),"")</f>
        <v/>
      </c>
      <c r="AN883">
        <f t="shared" si="109"/>
        <v>0</v>
      </c>
      <c r="AO883">
        <f t="shared" si="110"/>
        <v>0</v>
      </c>
      <c r="AP883">
        <f t="shared" si="111"/>
        <v>0</v>
      </c>
    </row>
    <row r="884" customHeight="1" spans="1:42">
      <c r="A884" s="18" t="s">
        <v>448</v>
      </c>
      <c r="C884" s="18">
        <v>7</v>
      </c>
      <c r="D884" s="1" t="s">
        <v>293</v>
      </c>
      <c r="E884" s="1" t="s">
        <v>227</v>
      </c>
      <c r="L884" s="1">
        <f>IFERROR(VLOOKUP($D884&amp;$C884,生产方式定位!$A$2:$E$38,2,FALSE)+VLOOKUP($E884&amp;$C884,生产方式定位!$F$3:$J$38,2,FALSE),0)</f>
        <v>0</v>
      </c>
      <c r="S884" s="1">
        <f>IFERROR(VLOOKUP($D884&amp;$C884,生产方式定位!$A$2:$E$38,3,FALSE)+VLOOKUP($E884&amp;$C884,生产方式定位!$F$3:$J$38,3,FALSE),0)</f>
        <v>0</v>
      </c>
      <c r="X884" s="1">
        <f>IFERROR(VLOOKUP($D884&amp;$C884,生产方式定位!$A$2:$E$38,5,FALSE)+VLOOKUP($E884&amp;$C884,生产方式定位!$F$3:$J$38,5,FALSE),"错误")</f>
        <v>0</v>
      </c>
      <c r="Y884" s="27" t="str">
        <f t="shared" si="104"/>
        <v/>
      </c>
      <c r="Z884" s="37" t="str">
        <f t="shared" si="105"/>
        <v/>
      </c>
      <c r="AA884" s="37" t="str">
        <f t="shared" si="106"/>
        <v/>
      </c>
      <c r="AB884" s="28" t="str">
        <f t="shared" si="107"/>
        <v/>
      </c>
      <c r="AC884" s="37"/>
      <c r="AD884" s="38">
        <f t="shared" si="108"/>
        <v>7</v>
      </c>
      <c r="AE884" t="str">
        <f>IFERROR(F884&amp;"*"&amp;ROUND(L884*(G884/$AN884)/VLOOKUP(F884,商品!$A$4:$D$67,4,FALSE),0),"")</f>
        <v/>
      </c>
      <c r="AF884" t="str">
        <f>IFERROR(H884&amp;"*"&amp;ROUND(L884*(I884/$AN884)/VLOOKUP(H884,商品!$A$4:$D$67,4,FALSE),0),"")</f>
        <v/>
      </c>
      <c r="AG884" t="str">
        <f>IFERROR(J884&amp;"*"&amp;ROUND(L884*(K884/$AN884)/VLOOKUP(J884,商品!$A$4:$D$67,4,FALSE),0),"")</f>
        <v/>
      </c>
      <c r="AH884" t="str">
        <f>IFERROR(M884&amp;"*"&amp;ROUND(S884*(N884/$AO884)/VLOOKUP(M884,职业!$A$3:$E$16,4,FALSE),0),"")</f>
        <v/>
      </c>
      <c r="AI884" t="str">
        <f>IFERROR(O884&amp;"*"&amp;ROUND(S884*(P884/$AO884)/VLOOKUP(O884,职业!$A$3:$E$16,4,FALSE),0),"")</f>
        <v/>
      </c>
      <c r="AK884" t="str">
        <f>IFERROR(T884&amp;"*"&amp;ROUND(X884*(U884/$AP884)/VLOOKUP(T884,商品!$A$4:$D$67,4,FALSE),0),"")</f>
        <v/>
      </c>
      <c r="AL884" t="str">
        <f>IFERROR(V884&amp;"*"&amp;ROUND(X884*(W884/$AP884)/VLOOKUP(V884,商品!$A$4:$D$67,4,FALSE),0),"")</f>
        <v/>
      </c>
      <c r="AN884">
        <f t="shared" si="109"/>
        <v>0</v>
      </c>
      <c r="AO884">
        <f t="shared" si="110"/>
        <v>0</v>
      </c>
      <c r="AP884">
        <f t="shared" si="111"/>
        <v>0</v>
      </c>
    </row>
    <row r="885" customHeight="1" spans="1:42">
      <c r="A885" s="18" t="s">
        <v>448</v>
      </c>
      <c r="C885" s="18">
        <v>8</v>
      </c>
      <c r="D885" s="1" t="s">
        <v>293</v>
      </c>
      <c r="E885" s="1" t="s">
        <v>227</v>
      </c>
      <c r="L885" s="1">
        <f>IFERROR(VLOOKUP($D885&amp;$C885,生产方式定位!$A$2:$E$38,2,FALSE)+VLOOKUP($E885&amp;$C885,生产方式定位!$F$3:$J$38,2,FALSE),0)</f>
        <v>0</v>
      </c>
      <c r="S885" s="1">
        <f>IFERROR(VLOOKUP($D885&amp;$C885,生产方式定位!$A$2:$E$38,3,FALSE)+VLOOKUP($E885&amp;$C885,生产方式定位!$F$3:$J$38,3,FALSE),0)</f>
        <v>0</v>
      </c>
      <c r="X885" s="1">
        <f>IFERROR(VLOOKUP($D885&amp;$C885,生产方式定位!$A$2:$E$38,5,FALSE)+VLOOKUP($E885&amp;$C885,生产方式定位!$F$3:$J$38,5,FALSE),"错误")</f>
        <v>0</v>
      </c>
      <c r="Y885" s="27" t="str">
        <f t="shared" si="104"/>
        <v/>
      </c>
      <c r="Z885" s="37" t="str">
        <f t="shared" si="105"/>
        <v/>
      </c>
      <c r="AA885" s="37" t="str">
        <f t="shared" si="106"/>
        <v/>
      </c>
      <c r="AB885" s="28" t="str">
        <f t="shared" si="107"/>
        <v/>
      </c>
      <c r="AC885" s="37"/>
      <c r="AD885" s="38">
        <f t="shared" si="108"/>
        <v>8</v>
      </c>
      <c r="AE885" t="str">
        <f>IFERROR(F885&amp;"*"&amp;ROUND(L885*(G885/$AN885)/VLOOKUP(F885,商品!$A$4:$D$67,4,FALSE),0),"")</f>
        <v/>
      </c>
      <c r="AF885" t="str">
        <f>IFERROR(H885&amp;"*"&amp;ROUND(L885*(I885/$AN885)/VLOOKUP(H885,商品!$A$4:$D$67,4,FALSE),0),"")</f>
        <v/>
      </c>
      <c r="AG885" t="str">
        <f>IFERROR(J885&amp;"*"&amp;ROUND(L885*(K885/$AN885)/VLOOKUP(J885,商品!$A$4:$D$67,4,FALSE),0),"")</f>
        <v/>
      </c>
      <c r="AH885" t="str">
        <f>IFERROR(M885&amp;"*"&amp;ROUND(S885*(N885/$AO885)/VLOOKUP(M885,职业!$A$3:$E$16,4,FALSE),0),"")</f>
        <v/>
      </c>
      <c r="AI885" t="str">
        <f>IFERROR(O885&amp;"*"&amp;ROUND(S885*(P885/$AO885)/VLOOKUP(O885,职业!$A$3:$E$16,4,FALSE),0),"")</f>
        <v/>
      </c>
      <c r="AK885" t="str">
        <f>IFERROR(T885&amp;"*"&amp;ROUND(X885*(U885/$AP885)/VLOOKUP(T885,商品!$A$4:$D$67,4,FALSE),0),"")</f>
        <v/>
      </c>
      <c r="AL885" t="str">
        <f>IFERROR(V885&amp;"*"&amp;ROUND(X885*(W885/$AP885)/VLOOKUP(V885,商品!$A$4:$D$67,4,FALSE),0),"")</f>
        <v/>
      </c>
      <c r="AN885">
        <f t="shared" si="109"/>
        <v>0</v>
      </c>
      <c r="AO885">
        <f t="shared" si="110"/>
        <v>0</v>
      </c>
      <c r="AP885">
        <f t="shared" si="111"/>
        <v>0</v>
      </c>
    </row>
    <row r="886" customHeight="1" spans="1:42">
      <c r="A886" s="5" t="s">
        <v>450</v>
      </c>
      <c r="C886" s="5">
        <v>1</v>
      </c>
      <c r="D886" s="1" t="s">
        <v>222</v>
      </c>
      <c r="E886" s="1" t="s">
        <v>224</v>
      </c>
      <c r="L886" s="1">
        <f>IFERROR(VLOOKUP($D886&amp;$C886,生产方式定位!$A$2:$E$38,2,FALSE)+VLOOKUP($E886&amp;$C886,生产方式定位!$F$3:$J$38,2,FALSE),0)</f>
        <v>0</v>
      </c>
      <c r="S886" s="1">
        <f>IFERROR(VLOOKUP($D886&amp;$C886,生产方式定位!$A$2:$E$38,3,FALSE)+VLOOKUP($E886&amp;$C886,生产方式定位!$F$3:$J$38,3,FALSE),0)</f>
        <v>500</v>
      </c>
      <c r="X886" s="1">
        <f>IFERROR(VLOOKUP($D886&amp;$C886,生产方式定位!$A$2:$E$38,5,FALSE)+VLOOKUP($E886&amp;$C886,生产方式定位!$F$3:$J$38,5,FALSE),"错误")</f>
        <v>250</v>
      </c>
      <c r="Y886" s="27" t="str">
        <f t="shared" si="104"/>
        <v/>
      </c>
      <c r="Z886" s="37" t="str">
        <f t="shared" si="105"/>
        <v/>
      </c>
      <c r="AA886" s="37" t="str">
        <f t="shared" si="106"/>
        <v/>
      </c>
      <c r="AB886" s="28">
        <f t="shared" si="107"/>
        <v>0</v>
      </c>
      <c r="AC886" s="37"/>
      <c r="AD886" s="38">
        <f t="shared" si="108"/>
        <v>1</v>
      </c>
      <c r="AE886" t="str">
        <f>IFERROR(F886&amp;"*"&amp;ROUND(L886*(G886/$AN886)/VLOOKUP(F886,商品!$A$4:$D$67,4,FALSE),0),"")</f>
        <v/>
      </c>
      <c r="AF886" t="str">
        <f>IFERROR(H886&amp;"*"&amp;ROUND(L886*(I886/$AN886)/VLOOKUP(H886,商品!$A$4:$D$67,4,FALSE),0),"")</f>
        <v/>
      </c>
      <c r="AG886" t="str">
        <f>IFERROR(J886&amp;"*"&amp;ROUND(L886*(K886/$AN886)/VLOOKUP(J886,商品!$A$4:$D$67,4,FALSE),0),"")</f>
        <v/>
      </c>
      <c r="AH886" t="str">
        <f>IFERROR(M886&amp;"*"&amp;ROUND(S886*(N886/$AO886)/VLOOKUP(M886,职业!$A$3:$E$16,4,FALSE),0),"")</f>
        <v/>
      </c>
      <c r="AI886" t="str">
        <f>IFERROR(O886&amp;"*"&amp;ROUND(S886*(P886/$AO886)/VLOOKUP(O886,职业!$A$3:$E$16,4,FALSE),0),"")</f>
        <v/>
      </c>
      <c r="AK886" t="str">
        <f>IFERROR(T886&amp;"*"&amp;ROUND(X886*(U886/$AP886)/VLOOKUP(T886,商品!$A$4:$D$67,4,FALSE),0),"")</f>
        <v/>
      </c>
      <c r="AL886" t="str">
        <f>IFERROR(V886&amp;"*"&amp;ROUND(X886*(W886/$AP886)/VLOOKUP(V886,商品!$A$4:$D$67,4,FALSE),0),"")</f>
        <v/>
      </c>
      <c r="AN886">
        <f t="shared" si="109"/>
        <v>0</v>
      </c>
      <c r="AO886">
        <f t="shared" si="110"/>
        <v>0</v>
      </c>
      <c r="AP886">
        <f t="shared" si="111"/>
        <v>0</v>
      </c>
    </row>
    <row r="887" customHeight="1" spans="1:42">
      <c r="A887" s="5" t="s">
        <v>450</v>
      </c>
      <c r="C887" s="5">
        <v>2</v>
      </c>
      <c r="D887" s="1" t="s">
        <v>222</v>
      </c>
      <c r="E887" s="1" t="s">
        <v>224</v>
      </c>
      <c r="L887" s="1">
        <f>IFERROR(VLOOKUP($D887&amp;$C887,生产方式定位!$A$2:$E$38,2,FALSE)+VLOOKUP($E887&amp;$C887,生产方式定位!$F$3:$J$38,2,FALSE),0)</f>
        <v>2200</v>
      </c>
      <c r="S887" s="1">
        <f>IFERROR(VLOOKUP($D887&amp;$C887,生产方式定位!$A$2:$E$38,3,FALSE)+VLOOKUP($E887&amp;$C887,生产方式定位!$F$3:$J$38,3,FALSE),0)</f>
        <v>750</v>
      </c>
      <c r="X887" s="1">
        <f>IFERROR(VLOOKUP($D887&amp;$C887,生产方式定位!$A$2:$E$38,5,FALSE)+VLOOKUP($E887&amp;$C887,生产方式定位!$F$3:$J$38,5,FALSE),"错误")</f>
        <v>1547</v>
      </c>
      <c r="Y887" s="27" t="str">
        <f t="shared" si="104"/>
        <v/>
      </c>
      <c r="Z887" s="37" t="str">
        <f t="shared" si="105"/>
        <v/>
      </c>
      <c r="AA887" s="37" t="str">
        <f t="shared" si="106"/>
        <v/>
      </c>
      <c r="AB887" s="28">
        <f t="shared" si="107"/>
        <v>1.42</v>
      </c>
      <c r="AC887" s="37"/>
      <c r="AD887" s="38">
        <f t="shared" si="108"/>
        <v>2</v>
      </c>
      <c r="AE887" t="str">
        <f>IFERROR(F887&amp;"*"&amp;ROUND(L887*(G887/$AN887)/VLOOKUP(F887,商品!$A$4:$D$67,4,FALSE),0),"")</f>
        <v/>
      </c>
      <c r="AF887" t="str">
        <f>IFERROR(H887&amp;"*"&amp;ROUND(L887*(I887/$AN887)/VLOOKUP(H887,商品!$A$4:$D$67,4,FALSE),0),"")</f>
        <v/>
      </c>
      <c r="AG887" t="str">
        <f>IFERROR(J887&amp;"*"&amp;ROUND(L887*(K887/$AN887)/VLOOKUP(J887,商品!$A$4:$D$67,4,FALSE),0),"")</f>
        <v/>
      </c>
      <c r="AH887" t="str">
        <f>IFERROR(M887&amp;"*"&amp;ROUND(S887*(N887/$AO887)/VLOOKUP(M887,职业!$A$3:$E$16,4,FALSE),0),"")</f>
        <v/>
      </c>
      <c r="AI887" t="str">
        <f>IFERROR(O887&amp;"*"&amp;ROUND(S887*(P887/$AO887)/VLOOKUP(O887,职业!$A$3:$E$16,4,FALSE),0),"")</f>
        <v/>
      </c>
      <c r="AK887" t="str">
        <f>IFERROR(T887&amp;"*"&amp;ROUND(X887*(U887/$AP887)/VLOOKUP(T887,商品!$A$4:$D$67,4,FALSE),0),"")</f>
        <v/>
      </c>
      <c r="AL887" t="str">
        <f>IFERROR(V887&amp;"*"&amp;ROUND(X887*(W887/$AP887)/VLOOKUP(V887,商品!$A$4:$D$67,4,FALSE),0),"")</f>
        <v/>
      </c>
      <c r="AN887">
        <f t="shared" si="109"/>
        <v>0</v>
      </c>
      <c r="AO887">
        <f t="shared" si="110"/>
        <v>0</v>
      </c>
      <c r="AP887">
        <f t="shared" si="111"/>
        <v>0</v>
      </c>
    </row>
    <row r="888" customHeight="1" spans="1:42">
      <c r="A888" s="5" t="s">
        <v>450</v>
      </c>
      <c r="C888" s="5">
        <v>3</v>
      </c>
      <c r="D888" s="1" t="s">
        <v>222</v>
      </c>
      <c r="E888" s="1" t="s">
        <v>224</v>
      </c>
      <c r="L888" s="1">
        <f>IFERROR(VLOOKUP($D888&amp;$C888,生产方式定位!$A$2:$E$38,2,FALSE)+VLOOKUP($E888&amp;$C888,生产方式定位!$F$3:$J$38,2,FALSE),0)</f>
        <v>3400</v>
      </c>
      <c r="S888" s="1">
        <f>IFERROR(VLOOKUP($D888&amp;$C888,生产方式定位!$A$2:$E$38,3,FALSE)+VLOOKUP($E888&amp;$C888,生产方式定位!$F$3:$J$38,3,FALSE),0)</f>
        <v>1000</v>
      </c>
      <c r="X888" s="1">
        <f>IFERROR(VLOOKUP($D888&amp;$C888,生产方式定位!$A$2:$E$38,5,FALSE)+VLOOKUP($E888&amp;$C888,生产方式定位!$F$3:$J$38,5,FALSE),"错误")</f>
        <v>2488</v>
      </c>
      <c r="Y888" s="27" t="str">
        <f t="shared" si="104"/>
        <v/>
      </c>
      <c r="Z888" s="37" t="str">
        <f t="shared" si="105"/>
        <v/>
      </c>
      <c r="AA888" s="37" t="str">
        <f t="shared" si="106"/>
        <v/>
      </c>
      <c r="AB888" s="28">
        <f t="shared" si="107"/>
        <v>1.37</v>
      </c>
      <c r="AC888" s="37"/>
      <c r="AD888" s="38">
        <f t="shared" si="108"/>
        <v>3</v>
      </c>
      <c r="AE888" t="str">
        <f>IFERROR(F888&amp;"*"&amp;ROUND(L888*(G888/$AN888)/VLOOKUP(F888,商品!$A$4:$D$67,4,FALSE),0),"")</f>
        <v/>
      </c>
      <c r="AF888" t="str">
        <f>IFERROR(H888&amp;"*"&amp;ROUND(L888*(I888/$AN888)/VLOOKUP(H888,商品!$A$4:$D$67,4,FALSE),0),"")</f>
        <v/>
      </c>
      <c r="AG888" t="str">
        <f>IFERROR(J888&amp;"*"&amp;ROUND(L888*(K888/$AN888)/VLOOKUP(J888,商品!$A$4:$D$67,4,FALSE),0),"")</f>
        <v/>
      </c>
      <c r="AH888" t="str">
        <f>IFERROR(M888&amp;"*"&amp;ROUND(S888*(N888/$AO888)/VLOOKUP(M888,职业!$A$3:$E$16,4,FALSE),0),"")</f>
        <v/>
      </c>
      <c r="AI888" t="str">
        <f>IFERROR(O888&amp;"*"&amp;ROUND(S888*(P888/$AO888)/VLOOKUP(O888,职业!$A$3:$E$16,4,FALSE),0),"")</f>
        <v/>
      </c>
      <c r="AK888" t="str">
        <f>IFERROR(T888&amp;"*"&amp;ROUND(X888*(U888/$AP888)/VLOOKUP(T888,商品!$A$4:$D$67,4,FALSE),0),"")</f>
        <v/>
      </c>
      <c r="AL888" t="str">
        <f>IFERROR(V888&amp;"*"&amp;ROUND(X888*(W888/$AP888)/VLOOKUP(V888,商品!$A$4:$D$67,4,FALSE),0),"")</f>
        <v/>
      </c>
      <c r="AN888">
        <f t="shared" si="109"/>
        <v>0</v>
      </c>
      <c r="AO888">
        <f t="shared" si="110"/>
        <v>0</v>
      </c>
      <c r="AP888">
        <f t="shared" si="111"/>
        <v>0</v>
      </c>
    </row>
    <row r="889" customHeight="1" spans="1:42">
      <c r="A889" s="5" t="s">
        <v>450</v>
      </c>
      <c r="C889" s="5">
        <v>4</v>
      </c>
      <c r="D889" s="1" t="s">
        <v>222</v>
      </c>
      <c r="E889" s="1" t="s">
        <v>224</v>
      </c>
      <c r="L889" s="1">
        <f>IFERROR(VLOOKUP($D889&amp;$C889,生产方式定位!$A$2:$E$38,2,FALSE)+VLOOKUP($E889&amp;$C889,生产方式定位!$F$3:$J$38,2,FALSE),0)</f>
        <v>4600</v>
      </c>
      <c r="S889" s="1">
        <f>IFERROR(VLOOKUP($D889&amp;$C889,生产方式定位!$A$2:$E$38,3,FALSE)+VLOOKUP($E889&amp;$C889,生产方式定位!$F$3:$J$38,3,FALSE),0)</f>
        <v>1250</v>
      </c>
      <c r="X889" s="1">
        <f>IFERROR(VLOOKUP($D889&amp;$C889,生产方式定位!$A$2:$E$38,5,FALSE)+VLOOKUP($E889&amp;$C889,生产方式定位!$F$3:$J$38,5,FALSE),"错误")</f>
        <v>3573</v>
      </c>
      <c r="Y889" s="27" t="str">
        <f t="shared" si="104"/>
        <v/>
      </c>
      <c r="Z889" s="37" t="str">
        <f t="shared" si="105"/>
        <v/>
      </c>
      <c r="AA889" s="37" t="str">
        <f t="shared" si="106"/>
        <v/>
      </c>
      <c r="AB889" s="28">
        <f t="shared" si="107"/>
        <v>1.29</v>
      </c>
      <c r="AC889" s="37"/>
      <c r="AD889" s="38">
        <f t="shared" si="108"/>
        <v>4</v>
      </c>
      <c r="AE889" t="str">
        <f>IFERROR(F889&amp;"*"&amp;ROUND(L889*(G889/$AN889)/VLOOKUP(F889,商品!$A$4:$D$67,4,FALSE),0),"")</f>
        <v/>
      </c>
      <c r="AF889" t="str">
        <f>IFERROR(H889&amp;"*"&amp;ROUND(L889*(I889/$AN889)/VLOOKUP(H889,商品!$A$4:$D$67,4,FALSE),0),"")</f>
        <v/>
      </c>
      <c r="AG889" t="str">
        <f>IFERROR(J889&amp;"*"&amp;ROUND(L889*(K889/$AN889)/VLOOKUP(J889,商品!$A$4:$D$67,4,FALSE),0),"")</f>
        <v/>
      </c>
      <c r="AH889" t="str">
        <f>IFERROR(M889&amp;"*"&amp;ROUND(S889*(N889/$AO889)/VLOOKUP(M889,职业!$A$3:$E$16,4,FALSE),0),"")</f>
        <v/>
      </c>
      <c r="AI889" t="str">
        <f>IFERROR(O889&amp;"*"&amp;ROUND(S889*(P889/$AO889)/VLOOKUP(O889,职业!$A$3:$E$16,4,FALSE),0),"")</f>
        <v/>
      </c>
      <c r="AK889" t="str">
        <f>IFERROR(T889&amp;"*"&amp;ROUND(X889*(U889/$AP889)/VLOOKUP(T889,商品!$A$4:$D$67,4,FALSE),0),"")</f>
        <v/>
      </c>
      <c r="AL889" t="str">
        <f>IFERROR(V889&amp;"*"&amp;ROUND(X889*(W889/$AP889)/VLOOKUP(V889,商品!$A$4:$D$67,4,FALSE),0),"")</f>
        <v/>
      </c>
      <c r="AN889">
        <f t="shared" si="109"/>
        <v>0</v>
      </c>
      <c r="AO889">
        <f t="shared" si="110"/>
        <v>0</v>
      </c>
      <c r="AP889">
        <f t="shared" si="111"/>
        <v>0</v>
      </c>
    </row>
    <row r="890" customHeight="1" spans="1:42">
      <c r="A890" s="5" t="s">
        <v>450</v>
      </c>
      <c r="C890" s="5">
        <v>5</v>
      </c>
      <c r="D890" s="1" t="s">
        <v>222</v>
      </c>
      <c r="E890" s="1" t="s">
        <v>224</v>
      </c>
      <c r="L890" s="1">
        <f>IFERROR(VLOOKUP($D890&amp;$C890,生产方式定位!$A$2:$E$38,2,FALSE)+VLOOKUP($E890&amp;$C890,生产方式定位!$F$3:$J$38,2,FALSE),0)</f>
        <v>5800</v>
      </c>
      <c r="S890" s="1">
        <f>IFERROR(VLOOKUP($D890&amp;$C890,生产方式定位!$A$2:$E$38,3,FALSE)+VLOOKUP($E890&amp;$C890,生产方式定位!$F$3:$J$38,3,FALSE),0)</f>
        <v>1500</v>
      </c>
      <c r="X890" s="1">
        <f>IFERROR(VLOOKUP($D890&amp;$C890,生产方式定位!$A$2:$E$38,5,FALSE)+VLOOKUP($E890&amp;$C890,生产方式定位!$F$3:$J$38,5,FALSE),"错误")</f>
        <v>4850</v>
      </c>
      <c r="Y890" s="27" t="str">
        <f t="shared" si="104"/>
        <v/>
      </c>
      <c r="Z890" s="37" t="str">
        <f t="shared" si="105"/>
        <v/>
      </c>
      <c r="AA890" s="37" t="str">
        <f t="shared" si="106"/>
        <v/>
      </c>
      <c r="AB890" s="28">
        <f t="shared" si="107"/>
        <v>1.2</v>
      </c>
      <c r="AC890" s="37"/>
      <c r="AD890" s="38">
        <f t="shared" si="108"/>
        <v>5</v>
      </c>
      <c r="AE890" t="str">
        <f>IFERROR(F890&amp;"*"&amp;ROUND(L890*(G890/$AN890)/VLOOKUP(F890,商品!$A$4:$D$67,4,FALSE),0),"")</f>
        <v/>
      </c>
      <c r="AF890" t="str">
        <f>IFERROR(H890&amp;"*"&amp;ROUND(L890*(I890/$AN890)/VLOOKUP(H890,商品!$A$4:$D$67,4,FALSE),0),"")</f>
        <v/>
      </c>
      <c r="AG890" t="str">
        <f>IFERROR(J890&amp;"*"&amp;ROUND(L890*(K890/$AN890)/VLOOKUP(J890,商品!$A$4:$D$67,4,FALSE),0),"")</f>
        <v/>
      </c>
      <c r="AH890" t="str">
        <f>IFERROR(M890&amp;"*"&amp;ROUND(S890*(N890/$AO890)/VLOOKUP(M890,职业!$A$3:$E$16,4,FALSE),0),"")</f>
        <v/>
      </c>
      <c r="AI890" t="str">
        <f>IFERROR(O890&amp;"*"&amp;ROUND(S890*(P890/$AO890)/VLOOKUP(O890,职业!$A$3:$E$16,4,FALSE),0),"")</f>
        <v/>
      </c>
      <c r="AK890" t="str">
        <f>IFERROR(T890&amp;"*"&amp;ROUND(X890*(U890/$AP890)/VLOOKUP(T890,商品!$A$4:$D$67,4,FALSE),0),"")</f>
        <v/>
      </c>
      <c r="AL890" t="str">
        <f>IFERROR(V890&amp;"*"&amp;ROUND(X890*(W890/$AP890)/VLOOKUP(V890,商品!$A$4:$D$67,4,FALSE),0),"")</f>
        <v/>
      </c>
      <c r="AN890">
        <f t="shared" si="109"/>
        <v>0</v>
      </c>
      <c r="AO890">
        <f t="shared" si="110"/>
        <v>0</v>
      </c>
      <c r="AP890">
        <f t="shared" si="111"/>
        <v>0</v>
      </c>
    </row>
    <row r="891" customHeight="1" spans="1:42">
      <c r="A891" s="18" t="s">
        <v>451</v>
      </c>
      <c r="C891" s="18">
        <v>1</v>
      </c>
      <c r="D891" s="1" t="s">
        <v>222</v>
      </c>
      <c r="E891" s="1" t="s">
        <v>226</v>
      </c>
      <c r="L891" s="1">
        <f>IFERROR(VLOOKUP($D891&amp;$C891,生产方式定位!$A$2:$E$38,2,FALSE)+VLOOKUP($E891&amp;$C891,生产方式定位!$F$3:$J$38,2,FALSE),0)</f>
        <v>0</v>
      </c>
      <c r="S891" s="1">
        <f>IFERROR(VLOOKUP($D891&amp;$C891,生产方式定位!$A$2:$E$38,3,FALSE)+VLOOKUP($E891&amp;$C891,生产方式定位!$F$3:$J$38,3,FALSE),0)</f>
        <v>500</v>
      </c>
      <c r="X891" s="1">
        <f>IFERROR(VLOOKUP($D891&amp;$C891,生产方式定位!$A$2:$E$38,5,FALSE)+VLOOKUP($E891&amp;$C891,生产方式定位!$F$3:$J$38,5,FALSE),"错误")</f>
        <v>250</v>
      </c>
      <c r="Y891" s="27" t="str">
        <f t="shared" si="104"/>
        <v/>
      </c>
      <c r="Z891" s="37" t="str">
        <f t="shared" si="105"/>
        <v/>
      </c>
      <c r="AA891" s="37" t="str">
        <f t="shared" si="106"/>
        <v/>
      </c>
      <c r="AB891" s="28">
        <f t="shared" si="107"/>
        <v>0</v>
      </c>
      <c r="AC891" s="37"/>
      <c r="AD891" s="38">
        <f t="shared" si="108"/>
        <v>1</v>
      </c>
      <c r="AE891" t="str">
        <f>IFERROR(F891&amp;"*"&amp;ROUND(L891*(G891/$AN891)/VLOOKUP(F891,商品!$A$4:$D$67,4,FALSE),0),"")</f>
        <v/>
      </c>
      <c r="AF891" t="str">
        <f>IFERROR(H891&amp;"*"&amp;ROUND(L891*(I891/$AN891)/VLOOKUP(H891,商品!$A$4:$D$67,4,FALSE),0),"")</f>
        <v/>
      </c>
      <c r="AG891" t="str">
        <f>IFERROR(J891&amp;"*"&amp;ROUND(L891*(K891/$AN891)/VLOOKUP(J891,商品!$A$4:$D$67,4,FALSE),0),"")</f>
        <v/>
      </c>
      <c r="AH891" t="str">
        <f>IFERROR(M891&amp;"*"&amp;ROUND(S891*(N891/$AO891)/VLOOKUP(M891,职业!$A$3:$E$16,4,FALSE),0),"")</f>
        <v/>
      </c>
      <c r="AI891" t="str">
        <f>IFERROR(O891&amp;"*"&amp;ROUND(S891*(P891/$AO891)/VLOOKUP(O891,职业!$A$3:$E$16,4,FALSE),0),"")</f>
        <v/>
      </c>
      <c r="AK891" t="str">
        <f>IFERROR(T891&amp;"*"&amp;ROUND(X891*(U891/$AP891)/VLOOKUP(T891,商品!$A$4:$D$67,4,FALSE),0),"")</f>
        <v/>
      </c>
      <c r="AL891" t="str">
        <f>IFERROR(V891&amp;"*"&amp;ROUND(X891*(W891/$AP891)/VLOOKUP(V891,商品!$A$4:$D$67,4,FALSE),0),"")</f>
        <v/>
      </c>
      <c r="AN891">
        <f t="shared" si="109"/>
        <v>0</v>
      </c>
      <c r="AO891">
        <f t="shared" si="110"/>
        <v>0</v>
      </c>
      <c r="AP891">
        <f t="shared" si="111"/>
        <v>0</v>
      </c>
    </row>
    <row r="892" customHeight="1" spans="1:42">
      <c r="A892" s="18" t="s">
        <v>451</v>
      </c>
      <c r="C892" s="18">
        <v>2</v>
      </c>
      <c r="D892" s="1" t="s">
        <v>222</v>
      </c>
      <c r="E892" s="1" t="s">
        <v>226</v>
      </c>
      <c r="L892" s="1">
        <f>IFERROR(VLOOKUP($D892&amp;$C892,生产方式定位!$A$2:$E$38,2,FALSE)+VLOOKUP($E892&amp;$C892,生产方式定位!$F$3:$J$38,2,FALSE),0)</f>
        <v>3200</v>
      </c>
      <c r="S892" s="1">
        <f>IFERROR(VLOOKUP($D892&amp;$C892,生产方式定位!$A$2:$E$38,3,FALSE)+VLOOKUP($E892&amp;$C892,生产方式定位!$F$3:$J$38,3,FALSE),0)</f>
        <v>350</v>
      </c>
      <c r="X892" s="1">
        <f>IFERROR(VLOOKUP($D892&amp;$C892,生产方式定位!$A$2:$E$38,5,FALSE)+VLOOKUP($E892&amp;$C892,生产方式定位!$F$3:$J$38,5,FALSE),"错误")</f>
        <v>1865</v>
      </c>
      <c r="Y892" s="27" t="str">
        <f t="shared" si="104"/>
        <v/>
      </c>
      <c r="Z892" s="37" t="str">
        <f t="shared" si="105"/>
        <v/>
      </c>
      <c r="AA892" s="37" t="str">
        <f t="shared" si="106"/>
        <v/>
      </c>
      <c r="AB892" s="28">
        <f t="shared" si="107"/>
        <v>1.72</v>
      </c>
      <c r="AC892" s="37"/>
      <c r="AD892" s="38">
        <f t="shared" si="108"/>
        <v>2</v>
      </c>
      <c r="AE892" t="str">
        <f>IFERROR(F892&amp;"*"&amp;ROUND(L892*(G892/$AN892)/VLOOKUP(F892,商品!$A$4:$D$67,4,FALSE),0),"")</f>
        <v/>
      </c>
      <c r="AF892" t="str">
        <f>IFERROR(H892&amp;"*"&amp;ROUND(L892*(I892/$AN892)/VLOOKUP(H892,商品!$A$4:$D$67,4,FALSE),0),"")</f>
        <v/>
      </c>
      <c r="AG892" t="str">
        <f>IFERROR(J892&amp;"*"&amp;ROUND(L892*(K892/$AN892)/VLOOKUP(J892,商品!$A$4:$D$67,4,FALSE),0),"")</f>
        <v/>
      </c>
      <c r="AH892" t="str">
        <f>IFERROR(M892&amp;"*"&amp;ROUND(S892*(N892/$AO892)/VLOOKUP(M892,职业!$A$3:$E$16,4,FALSE),0),"")</f>
        <v/>
      </c>
      <c r="AI892" t="str">
        <f>IFERROR(O892&amp;"*"&amp;ROUND(S892*(P892/$AO892)/VLOOKUP(O892,职业!$A$3:$E$16,4,FALSE),0),"")</f>
        <v/>
      </c>
      <c r="AK892" t="str">
        <f>IFERROR(T892&amp;"*"&amp;ROUND(X892*(U892/$AP892)/VLOOKUP(T892,商品!$A$4:$D$67,4,FALSE),0),"")</f>
        <v/>
      </c>
      <c r="AL892" t="str">
        <f>IFERROR(V892&amp;"*"&amp;ROUND(X892*(W892/$AP892)/VLOOKUP(V892,商品!$A$4:$D$67,4,FALSE),0),"")</f>
        <v/>
      </c>
      <c r="AN892">
        <f t="shared" si="109"/>
        <v>0</v>
      </c>
      <c r="AO892">
        <f t="shared" si="110"/>
        <v>0</v>
      </c>
      <c r="AP892">
        <f t="shared" si="111"/>
        <v>0</v>
      </c>
    </row>
    <row r="893" customHeight="1" spans="1:42">
      <c r="A893" s="18" t="s">
        <v>451</v>
      </c>
      <c r="C893" s="18">
        <v>3</v>
      </c>
      <c r="D893" s="1" t="s">
        <v>222</v>
      </c>
      <c r="E893" s="1" t="s">
        <v>226</v>
      </c>
      <c r="L893" s="1">
        <f>IFERROR(VLOOKUP($D893&amp;$C893,生产方式定位!$A$2:$E$38,2,FALSE)+VLOOKUP($E893&amp;$C893,生产方式定位!$F$3:$J$38,2,FALSE),0)</f>
        <v>4400</v>
      </c>
      <c r="S893" s="1">
        <f>IFERROR(VLOOKUP($D893&amp;$C893,生产方式定位!$A$2:$E$38,3,FALSE)+VLOOKUP($E893&amp;$C893,生产方式定位!$F$3:$J$38,3,FALSE),0)</f>
        <v>200</v>
      </c>
      <c r="X893" s="1">
        <f>IFERROR(VLOOKUP($D893&amp;$C893,生产方式定位!$A$2:$E$38,5,FALSE)+VLOOKUP($E893&amp;$C893,生产方式定位!$F$3:$J$38,5,FALSE),"错误")</f>
        <v>2560</v>
      </c>
      <c r="Y893" s="27" t="str">
        <f t="shared" si="104"/>
        <v/>
      </c>
      <c r="Z893" s="37" t="str">
        <f t="shared" si="105"/>
        <v/>
      </c>
      <c r="AA893" s="37" t="str">
        <f t="shared" si="106"/>
        <v/>
      </c>
      <c r="AB893" s="28">
        <f t="shared" si="107"/>
        <v>1.72</v>
      </c>
      <c r="AC893" s="37"/>
      <c r="AD893" s="38">
        <f t="shared" si="108"/>
        <v>3</v>
      </c>
      <c r="AE893" t="str">
        <f>IFERROR(F893&amp;"*"&amp;ROUND(L893*(G893/$AN893)/VLOOKUP(F893,商品!$A$4:$D$67,4,FALSE),0),"")</f>
        <v/>
      </c>
      <c r="AF893" t="str">
        <f>IFERROR(H893&amp;"*"&amp;ROUND(L893*(I893/$AN893)/VLOOKUP(H893,商品!$A$4:$D$67,4,FALSE),0),"")</f>
        <v/>
      </c>
      <c r="AG893" t="str">
        <f>IFERROR(J893&amp;"*"&amp;ROUND(L893*(K893/$AN893)/VLOOKUP(J893,商品!$A$4:$D$67,4,FALSE),0),"")</f>
        <v/>
      </c>
      <c r="AH893" t="str">
        <f>IFERROR(M893&amp;"*"&amp;ROUND(S893*(N893/$AO893)/VLOOKUP(M893,职业!$A$3:$E$16,4,FALSE),0),"")</f>
        <v/>
      </c>
      <c r="AI893" t="str">
        <f>IFERROR(O893&amp;"*"&amp;ROUND(S893*(P893/$AO893)/VLOOKUP(O893,职业!$A$3:$E$16,4,FALSE),0),"")</f>
        <v/>
      </c>
      <c r="AK893" t="str">
        <f>IFERROR(T893&amp;"*"&amp;ROUND(X893*(U893/$AP893)/VLOOKUP(T893,商品!$A$4:$D$67,4,FALSE),0),"")</f>
        <v/>
      </c>
      <c r="AL893" t="str">
        <f>IFERROR(V893&amp;"*"&amp;ROUND(X893*(W893/$AP893)/VLOOKUP(V893,商品!$A$4:$D$67,4,FALSE),0),"")</f>
        <v/>
      </c>
      <c r="AN893">
        <f t="shared" si="109"/>
        <v>0</v>
      </c>
      <c r="AO893">
        <f t="shared" si="110"/>
        <v>0</v>
      </c>
      <c r="AP893">
        <f t="shared" si="111"/>
        <v>0</v>
      </c>
    </row>
    <row r="894" customHeight="1" spans="1:42">
      <c r="A894" s="18" t="s">
        <v>451</v>
      </c>
      <c r="C894" s="18">
        <v>4</v>
      </c>
      <c r="D894" s="1" t="s">
        <v>222</v>
      </c>
      <c r="E894" s="1" t="s">
        <v>226</v>
      </c>
      <c r="L894" s="1">
        <f>IFERROR(VLOOKUP($D894&amp;$C894,生产方式定位!$A$2:$E$38,2,FALSE)+VLOOKUP($E894&amp;$C894,生产方式定位!$F$3:$J$38,2,FALSE),0)</f>
        <v>5600</v>
      </c>
      <c r="S894" s="1">
        <f>IFERROR(VLOOKUP($D894&amp;$C894,生产方式定位!$A$2:$E$38,3,FALSE)+VLOOKUP($E894&amp;$C894,生产方式定位!$F$3:$J$38,3,FALSE),0)</f>
        <v>50</v>
      </c>
      <c r="X894" s="1">
        <f>IFERROR(VLOOKUP($D894&amp;$C894,生产方式定位!$A$2:$E$38,5,FALSE)+VLOOKUP($E894&amp;$C894,生产方式定位!$F$3:$J$38,5,FALSE),"错误")</f>
        <v>3335</v>
      </c>
      <c r="Y894" s="27" t="str">
        <f t="shared" si="104"/>
        <v/>
      </c>
      <c r="Z894" s="37" t="str">
        <f t="shared" si="105"/>
        <v/>
      </c>
      <c r="AA894" s="37" t="str">
        <f t="shared" si="106"/>
        <v/>
      </c>
      <c r="AB894" s="28">
        <f t="shared" si="107"/>
        <v>1.68</v>
      </c>
      <c r="AC894" s="37"/>
      <c r="AD894" s="38">
        <f t="shared" si="108"/>
        <v>4</v>
      </c>
      <c r="AE894" t="str">
        <f>IFERROR(F894&amp;"*"&amp;ROUND(L894*(G894/$AN894)/VLOOKUP(F894,商品!$A$4:$D$67,4,FALSE),0),"")</f>
        <v/>
      </c>
      <c r="AF894" t="str">
        <f>IFERROR(H894&amp;"*"&amp;ROUND(L894*(I894/$AN894)/VLOOKUP(H894,商品!$A$4:$D$67,4,FALSE),0),"")</f>
        <v/>
      </c>
      <c r="AG894" t="str">
        <f>IFERROR(J894&amp;"*"&amp;ROUND(L894*(K894/$AN894)/VLOOKUP(J894,商品!$A$4:$D$67,4,FALSE),0),"")</f>
        <v/>
      </c>
      <c r="AH894" t="str">
        <f>IFERROR(M894&amp;"*"&amp;ROUND(S894*(N894/$AO894)/VLOOKUP(M894,职业!$A$3:$E$16,4,FALSE),0),"")</f>
        <v/>
      </c>
      <c r="AI894" t="str">
        <f>IFERROR(O894&amp;"*"&amp;ROUND(S894*(P894/$AO894)/VLOOKUP(O894,职业!$A$3:$E$16,4,FALSE),0),"")</f>
        <v/>
      </c>
      <c r="AK894" t="str">
        <f>IFERROR(T894&amp;"*"&amp;ROUND(X894*(U894/$AP894)/VLOOKUP(T894,商品!$A$4:$D$67,4,FALSE),0),"")</f>
        <v/>
      </c>
      <c r="AL894" t="str">
        <f>IFERROR(V894&amp;"*"&amp;ROUND(X894*(W894/$AP894)/VLOOKUP(V894,商品!$A$4:$D$67,4,FALSE),0),"")</f>
        <v/>
      </c>
      <c r="AN894">
        <f t="shared" si="109"/>
        <v>0</v>
      </c>
      <c r="AO894">
        <f t="shared" si="110"/>
        <v>0</v>
      </c>
      <c r="AP894">
        <f t="shared" si="111"/>
        <v>0</v>
      </c>
    </row>
    <row r="895" customHeight="1" spans="1:42">
      <c r="A895" s="18" t="s">
        <v>451</v>
      </c>
      <c r="C895" s="18">
        <v>5</v>
      </c>
      <c r="D895" s="1" t="s">
        <v>222</v>
      </c>
      <c r="E895" s="1" t="s">
        <v>226</v>
      </c>
      <c r="L895" s="1">
        <f>IFERROR(VLOOKUP($D895&amp;$C895,生产方式定位!$A$2:$E$38,2,FALSE)+VLOOKUP($E895&amp;$C895,生产方式定位!$F$3:$J$38,2,FALSE),0)</f>
        <v>6800</v>
      </c>
      <c r="S895" s="1">
        <f>IFERROR(VLOOKUP($D895&amp;$C895,生产方式定位!$A$2:$E$38,3,FALSE)+VLOOKUP($E895&amp;$C895,生产方式定位!$F$3:$J$38,3,FALSE),0)</f>
        <v>-100</v>
      </c>
      <c r="X895" s="1">
        <f>IFERROR(VLOOKUP($D895&amp;$C895,生产方式定位!$A$2:$E$38,5,FALSE)+VLOOKUP($E895&amp;$C895,生产方式定位!$F$3:$J$38,5,FALSE),"错误")</f>
        <v>4190</v>
      </c>
      <c r="Y895" s="27" t="str">
        <f t="shared" si="104"/>
        <v/>
      </c>
      <c r="Z895" s="37" t="str">
        <f t="shared" si="105"/>
        <v/>
      </c>
      <c r="AA895" s="37" t="str">
        <f t="shared" si="106"/>
        <v/>
      </c>
      <c r="AB895" s="28">
        <f t="shared" si="107"/>
        <v>1.62</v>
      </c>
      <c r="AC895" s="37"/>
      <c r="AD895" s="38">
        <f t="shared" si="108"/>
        <v>5</v>
      </c>
      <c r="AE895" t="str">
        <f>IFERROR(F895&amp;"*"&amp;ROUND(L895*(G895/$AN895)/VLOOKUP(F895,商品!$A$4:$D$67,4,FALSE),0),"")</f>
        <v/>
      </c>
      <c r="AF895" t="str">
        <f>IFERROR(H895&amp;"*"&amp;ROUND(L895*(I895/$AN895)/VLOOKUP(H895,商品!$A$4:$D$67,4,FALSE),0),"")</f>
        <v/>
      </c>
      <c r="AG895" t="str">
        <f>IFERROR(J895&amp;"*"&amp;ROUND(L895*(K895/$AN895)/VLOOKUP(J895,商品!$A$4:$D$67,4,FALSE),0),"")</f>
        <v/>
      </c>
      <c r="AH895" t="str">
        <f>IFERROR(M895&amp;"*"&amp;ROUND(S895*(N895/$AO895)/VLOOKUP(M895,职业!$A$3:$E$16,4,FALSE),0),"")</f>
        <v/>
      </c>
      <c r="AI895" t="str">
        <f>IFERROR(O895&amp;"*"&amp;ROUND(S895*(P895/$AO895)/VLOOKUP(O895,职业!$A$3:$E$16,4,FALSE),0),"")</f>
        <v/>
      </c>
      <c r="AK895" t="str">
        <f>IFERROR(T895&amp;"*"&amp;ROUND(X895*(U895/$AP895)/VLOOKUP(T895,商品!$A$4:$D$67,4,FALSE),0),"")</f>
        <v/>
      </c>
      <c r="AL895" t="str">
        <f>IFERROR(V895&amp;"*"&amp;ROUND(X895*(W895/$AP895)/VLOOKUP(V895,商品!$A$4:$D$67,4,FALSE),0),"")</f>
        <v/>
      </c>
      <c r="AN895">
        <f t="shared" si="109"/>
        <v>0</v>
      </c>
      <c r="AO895">
        <f t="shared" si="110"/>
        <v>0</v>
      </c>
      <c r="AP895">
        <f t="shared" si="111"/>
        <v>0</v>
      </c>
    </row>
    <row r="896" customHeight="1" spans="1:42">
      <c r="A896" s="5" t="s">
        <v>451</v>
      </c>
      <c r="C896" s="5">
        <v>1</v>
      </c>
      <c r="D896" s="1" t="s">
        <v>222</v>
      </c>
      <c r="E896" s="1" t="s">
        <v>226</v>
      </c>
      <c r="L896" s="1">
        <f>IFERROR(VLOOKUP($D896&amp;$C896,生产方式定位!$A$2:$E$38,2,FALSE)+VLOOKUP($E896&amp;$C896,生产方式定位!$F$3:$J$38,2,FALSE),0)</f>
        <v>0</v>
      </c>
      <c r="S896" s="1">
        <f>IFERROR(VLOOKUP($D896&amp;$C896,生产方式定位!$A$2:$E$38,3,FALSE)+VLOOKUP($E896&amp;$C896,生产方式定位!$F$3:$J$38,3,FALSE),0)</f>
        <v>500</v>
      </c>
      <c r="X896" s="1">
        <f>IFERROR(VLOOKUP($D896&amp;$C896,生产方式定位!$A$2:$E$38,5,FALSE)+VLOOKUP($E896&amp;$C896,生产方式定位!$F$3:$J$38,5,FALSE),"错误")</f>
        <v>250</v>
      </c>
      <c r="Y896" s="27" t="str">
        <f t="shared" si="104"/>
        <v/>
      </c>
      <c r="Z896" s="37" t="str">
        <f t="shared" si="105"/>
        <v/>
      </c>
      <c r="AA896" s="37" t="str">
        <f t="shared" si="106"/>
        <v/>
      </c>
      <c r="AB896" s="28">
        <f t="shared" si="107"/>
        <v>0</v>
      </c>
      <c r="AC896" s="37"/>
      <c r="AD896" s="38">
        <f t="shared" si="108"/>
        <v>1</v>
      </c>
      <c r="AE896" t="str">
        <f>IFERROR(F896&amp;"*"&amp;ROUND(L896*(G896/$AN896)/VLOOKUP(F896,商品!$A$4:$D$67,4,FALSE),0),"")</f>
        <v/>
      </c>
      <c r="AF896" t="str">
        <f>IFERROR(H896&amp;"*"&amp;ROUND(L896*(I896/$AN896)/VLOOKUP(H896,商品!$A$4:$D$67,4,FALSE),0),"")</f>
        <v/>
      </c>
      <c r="AG896" t="str">
        <f>IFERROR(J896&amp;"*"&amp;ROUND(L896*(K896/$AN896)/VLOOKUP(J896,商品!$A$4:$D$67,4,FALSE),0),"")</f>
        <v/>
      </c>
      <c r="AH896" t="str">
        <f>IFERROR(M896&amp;"*"&amp;ROUND(S896*(N896/$AO896)/VLOOKUP(M896,职业!$A$3:$E$16,4,FALSE),0),"")</f>
        <v/>
      </c>
      <c r="AI896" t="str">
        <f>IFERROR(O896&amp;"*"&amp;ROUND(S896*(P896/$AO896)/VLOOKUP(O896,职业!$A$3:$E$16,4,FALSE),0),"")</f>
        <v/>
      </c>
      <c r="AK896" t="str">
        <f>IFERROR(T896&amp;"*"&amp;ROUND(X896*(U896/$AP896)/VLOOKUP(T896,商品!$A$4:$D$67,4,FALSE),0),"")</f>
        <v/>
      </c>
      <c r="AL896" t="str">
        <f>IFERROR(V896&amp;"*"&amp;ROUND(X896*(W896/$AP896)/VLOOKUP(V896,商品!$A$4:$D$67,4,FALSE),0),"")</f>
        <v/>
      </c>
      <c r="AN896">
        <f t="shared" si="109"/>
        <v>0</v>
      </c>
      <c r="AO896">
        <f t="shared" si="110"/>
        <v>0</v>
      </c>
      <c r="AP896">
        <f t="shared" si="111"/>
        <v>0</v>
      </c>
    </row>
    <row r="897" customHeight="1" spans="1:42">
      <c r="A897" s="5" t="s">
        <v>451</v>
      </c>
      <c r="C897" s="5">
        <v>2</v>
      </c>
      <c r="D897" s="1" t="s">
        <v>222</v>
      </c>
      <c r="E897" s="1" t="s">
        <v>226</v>
      </c>
      <c r="L897" s="1">
        <f>IFERROR(VLOOKUP($D897&amp;$C897,生产方式定位!$A$2:$E$38,2,FALSE)+VLOOKUP($E897&amp;$C897,生产方式定位!$F$3:$J$38,2,FALSE),0)</f>
        <v>3200</v>
      </c>
      <c r="S897" s="1">
        <f>IFERROR(VLOOKUP($D897&amp;$C897,生产方式定位!$A$2:$E$38,3,FALSE)+VLOOKUP($E897&amp;$C897,生产方式定位!$F$3:$J$38,3,FALSE),0)</f>
        <v>350</v>
      </c>
      <c r="X897" s="1">
        <f>IFERROR(VLOOKUP($D897&amp;$C897,生产方式定位!$A$2:$E$38,5,FALSE)+VLOOKUP($E897&amp;$C897,生产方式定位!$F$3:$J$38,5,FALSE),"错误")</f>
        <v>1865</v>
      </c>
      <c r="Y897" s="27" t="str">
        <f t="shared" si="104"/>
        <v/>
      </c>
      <c r="Z897" s="37" t="str">
        <f t="shared" si="105"/>
        <v/>
      </c>
      <c r="AA897" s="37" t="str">
        <f t="shared" si="106"/>
        <v/>
      </c>
      <c r="AB897" s="28">
        <f t="shared" si="107"/>
        <v>1.72</v>
      </c>
      <c r="AC897" s="37"/>
      <c r="AD897" s="38">
        <f t="shared" si="108"/>
        <v>2</v>
      </c>
      <c r="AE897" t="str">
        <f>IFERROR(F897&amp;"*"&amp;ROUND(L897*(G897/$AN897)/VLOOKUP(F897,商品!$A$4:$D$67,4,FALSE),0),"")</f>
        <v/>
      </c>
      <c r="AF897" t="str">
        <f>IFERROR(H897&amp;"*"&amp;ROUND(L897*(I897/$AN897)/VLOOKUP(H897,商品!$A$4:$D$67,4,FALSE),0),"")</f>
        <v/>
      </c>
      <c r="AG897" t="str">
        <f>IFERROR(J897&amp;"*"&amp;ROUND(L897*(K897/$AN897)/VLOOKUP(J897,商品!$A$4:$D$67,4,FALSE),0),"")</f>
        <v/>
      </c>
      <c r="AH897" t="str">
        <f>IFERROR(M897&amp;"*"&amp;ROUND(S897*(N897/$AO897)/VLOOKUP(M897,职业!$A$3:$E$16,4,FALSE),0),"")</f>
        <v/>
      </c>
      <c r="AI897" t="str">
        <f>IFERROR(O897&amp;"*"&amp;ROUND(S897*(P897/$AO897)/VLOOKUP(O897,职业!$A$3:$E$16,4,FALSE),0),"")</f>
        <v/>
      </c>
      <c r="AK897" t="str">
        <f>IFERROR(T897&amp;"*"&amp;ROUND(X897*(U897/$AP897)/VLOOKUP(T897,商品!$A$4:$D$67,4,FALSE),0),"")</f>
        <v/>
      </c>
      <c r="AL897" t="str">
        <f>IFERROR(V897&amp;"*"&amp;ROUND(X897*(W897/$AP897)/VLOOKUP(V897,商品!$A$4:$D$67,4,FALSE),0),"")</f>
        <v/>
      </c>
      <c r="AN897">
        <f t="shared" si="109"/>
        <v>0</v>
      </c>
      <c r="AO897">
        <f t="shared" si="110"/>
        <v>0</v>
      </c>
      <c r="AP897">
        <f t="shared" si="111"/>
        <v>0</v>
      </c>
    </row>
    <row r="898" customHeight="1" spans="1:42">
      <c r="A898" s="5" t="s">
        <v>451</v>
      </c>
      <c r="C898" s="5">
        <v>3</v>
      </c>
      <c r="D898" s="1" t="s">
        <v>222</v>
      </c>
      <c r="E898" s="1" t="s">
        <v>226</v>
      </c>
      <c r="L898" s="1">
        <f>IFERROR(VLOOKUP($D898&amp;$C898,生产方式定位!$A$2:$E$38,2,FALSE)+VLOOKUP($E898&amp;$C898,生产方式定位!$F$3:$J$38,2,FALSE),0)</f>
        <v>4400</v>
      </c>
      <c r="S898" s="1">
        <f>IFERROR(VLOOKUP($D898&amp;$C898,生产方式定位!$A$2:$E$38,3,FALSE)+VLOOKUP($E898&amp;$C898,生产方式定位!$F$3:$J$38,3,FALSE),0)</f>
        <v>200</v>
      </c>
      <c r="X898" s="1">
        <f>IFERROR(VLOOKUP($D898&amp;$C898,生产方式定位!$A$2:$E$38,5,FALSE)+VLOOKUP($E898&amp;$C898,生产方式定位!$F$3:$J$38,5,FALSE),"错误")</f>
        <v>2560</v>
      </c>
      <c r="Y898" s="27" t="str">
        <f t="shared" si="104"/>
        <v/>
      </c>
      <c r="Z898" s="37" t="str">
        <f t="shared" si="105"/>
        <v/>
      </c>
      <c r="AA898" s="37" t="str">
        <f t="shared" si="106"/>
        <v/>
      </c>
      <c r="AB898" s="28">
        <f t="shared" si="107"/>
        <v>1.72</v>
      </c>
      <c r="AC898" s="37"/>
      <c r="AD898" s="38">
        <f t="shared" si="108"/>
        <v>3</v>
      </c>
      <c r="AE898" t="str">
        <f>IFERROR(F898&amp;"*"&amp;ROUND(L898*(G898/$AN898)/VLOOKUP(F898,商品!$A$4:$D$67,4,FALSE),0),"")</f>
        <v/>
      </c>
      <c r="AF898" t="str">
        <f>IFERROR(H898&amp;"*"&amp;ROUND(L898*(I898/$AN898)/VLOOKUP(H898,商品!$A$4:$D$67,4,FALSE),0),"")</f>
        <v/>
      </c>
      <c r="AG898" t="str">
        <f>IFERROR(J898&amp;"*"&amp;ROUND(L898*(K898/$AN898)/VLOOKUP(J898,商品!$A$4:$D$67,4,FALSE),0),"")</f>
        <v/>
      </c>
      <c r="AH898" t="str">
        <f>IFERROR(M898&amp;"*"&amp;ROUND(S898*(N898/$AO898)/VLOOKUP(M898,职业!$A$3:$E$16,4,FALSE),0),"")</f>
        <v/>
      </c>
      <c r="AI898" t="str">
        <f>IFERROR(O898&amp;"*"&amp;ROUND(S898*(P898/$AO898)/VLOOKUP(O898,职业!$A$3:$E$16,4,FALSE),0),"")</f>
        <v/>
      </c>
      <c r="AK898" t="str">
        <f>IFERROR(T898&amp;"*"&amp;ROUND(X898*(U898/$AP898)/VLOOKUP(T898,商品!$A$4:$D$67,4,FALSE),0),"")</f>
        <v/>
      </c>
      <c r="AL898" t="str">
        <f>IFERROR(V898&amp;"*"&amp;ROUND(X898*(W898/$AP898)/VLOOKUP(V898,商品!$A$4:$D$67,4,FALSE),0),"")</f>
        <v/>
      </c>
      <c r="AN898">
        <f t="shared" si="109"/>
        <v>0</v>
      </c>
      <c r="AO898">
        <f t="shared" si="110"/>
        <v>0</v>
      </c>
      <c r="AP898">
        <f t="shared" si="111"/>
        <v>0</v>
      </c>
    </row>
    <row r="899" customHeight="1" spans="1:42">
      <c r="A899" s="5" t="s">
        <v>451</v>
      </c>
      <c r="C899" s="5">
        <v>4</v>
      </c>
      <c r="D899" s="1" t="s">
        <v>222</v>
      </c>
      <c r="E899" s="1" t="s">
        <v>226</v>
      </c>
      <c r="L899" s="1">
        <f>IFERROR(VLOOKUP($D899&amp;$C899,生产方式定位!$A$2:$E$38,2,FALSE)+VLOOKUP($E899&amp;$C899,生产方式定位!$F$3:$J$38,2,FALSE),0)</f>
        <v>5600</v>
      </c>
      <c r="S899" s="1">
        <f>IFERROR(VLOOKUP($D899&amp;$C899,生产方式定位!$A$2:$E$38,3,FALSE)+VLOOKUP($E899&amp;$C899,生产方式定位!$F$3:$J$38,3,FALSE),0)</f>
        <v>50</v>
      </c>
      <c r="X899" s="1">
        <f>IFERROR(VLOOKUP($D899&amp;$C899,生产方式定位!$A$2:$E$38,5,FALSE)+VLOOKUP($E899&amp;$C899,生产方式定位!$F$3:$J$38,5,FALSE),"错误")</f>
        <v>3335</v>
      </c>
      <c r="Y899" s="27" t="str">
        <f t="shared" si="104"/>
        <v/>
      </c>
      <c r="Z899" s="37" t="str">
        <f t="shared" si="105"/>
        <v/>
      </c>
      <c r="AA899" s="37" t="str">
        <f t="shared" si="106"/>
        <v/>
      </c>
      <c r="AB899" s="28">
        <f t="shared" si="107"/>
        <v>1.68</v>
      </c>
      <c r="AC899" s="37"/>
      <c r="AD899" s="38">
        <f t="shared" si="108"/>
        <v>4</v>
      </c>
      <c r="AE899" t="str">
        <f>IFERROR(F899&amp;"*"&amp;ROUND(L899*(G899/$AN899)/VLOOKUP(F899,商品!$A$4:$D$67,4,FALSE),0),"")</f>
        <v/>
      </c>
      <c r="AF899" t="str">
        <f>IFERROR(H899&amp;"*"&amp;ROUND(L899*(I899/$AN899)/VLOOKUP(H899,商品!$A$4:$D$67,4,FALSE),0),"")</f>
        <v/>
      </c>
      <c r="AG899" t="str">
        <f>IFERROR(J899&amp;"*"&amp;ROUND(L899*(K899/$AN899)/VLOOKUP(J899,商品!$A$4:$D$67,4,FALSE),0),"")</f>
        <v/>
      </c>
      <c r="AH899" t="str">
        <f>IFERROR(M899&amp;"*"&amp;ROUND(S899*(N899/$AO899)/VLOOKUP(M899,职业!$A$3:$E$16,4,FALSE),0),"")</f>
        <v/>
      </c>
      <c r="AI899" t="str">
        <f>IFERROR(O899&amp;"*"&amp;ROUND(S899*(P899/$AO899)/VLOOKUP(O899,职业!$A$3:$E$16,4,FALSE),0),"")</f>
        <v/>
      </c>
      <c r="AK899" t="str">
        <f>IFERROR(T899&amp;"*"&amp;ROUND(X899*(U899/$AP899)/VLOOKUP(T899,商品!$A$4:$D$67,4,FALSE),0),"")</f>
        <v/>
      </c>
      <c r="AL899" t="str">
        <f>IFERROR(V899&amp;"*"&amp;ROUND(X899*(W899/$AP899)/VLOOKUP(V899,商品!$A$4:$D$67,4,FALSE),0),"")</f>
        <v/>
      </c>
      <c r="AN899">
        <f t="shared" si="109"/>
        <v>0</v>
      </c>
      <c r="AO899">
        <f t="shared" si="110"/>
        <v>0</v>
      </c>
      <c r="AP899">
        <f t="shared" si="111"/>
        <v>0</v>
      </c>
    </row>
    <row r="900" customHeight="1" spans="1:42">
      <c r="A900" s="5" t="s">
        <v>451</v>
      </c>
      <c r="C900" s="5">
        <v>5</v>
      </c>
      <c r="D900" s="1" t="s">
        <v>222</v>
      </c>
      <c r="E900" s="1" t="s">
        <v>226</v>
      </c>
      <c r="L900" s="1">
        <f>IFERROR(VLOOKUP($D900&amp;$C900,生产方式定位!$A$2:$E$38,2,FALSE)+VLOOKUP($E900&amp;$C900,生产方式定位!$F$3:$J$38,2,FALSE),0)</f>
        <v>6800</v>
      </c>
      <c r="S900" s="1">
        <f>IFERROR(VLOOKUP($D900&amp;$C900,生产方式定位!$A$2:$E$38,3,FALSE)+VLOOKUP($E900&amp;$C900,生产方式定位!$F$3:$J$38,3,FALSE),0)</f>
        <v>-100</v>
      </c>
      <c r="X900" s="1">
        <f>IFERROR(VLOOKUP($D900&amp;$C900,生产方式定位!$A$2:$E$38,5,FALSE)+VLOOKUP($E900&amp;$C900,生产方式定位!$F$3:$J$38,5,FALSE),"错误")</f>
        <v>4190</v>
      </c>
      <c r="Y900" s="27" t="str">
        <f t="shared" si="104"/>
        <v/>
      </c>
      <c r="Z900" s="37" t="str">
        <f t="shared" si="105"/>
        <v/>
      </c>
      <c r="AA900" s="37" t="str">
        <f t="shared" si="106"/>
        <v/>
      </c>
      <c r="AB900" s="28">
        <f t="shared" si="107"/>
        <v>1.62</v>
      </c>
      <c r="AC900" s="37"/>
      <c r="AD900" s="38">
        <f t="shared" si="108"/>
        <v>5</v>
      </c>
      <c r="AE900" t="str">
        <f>IFERROR(F900&amp;"*"&amp;ROUND(L900*(G900/$AN900)/VLOOKUP(F900,商品!$A$4:$D$67,4,FALSE),0),"")</f>
        <v/>
      </c>
      <c r="AF900" t="str">
        <f>IFERROR(H900&amp;"*"&amp;ROUND(L900*(I900/$AN900)/VLOOKUP(H900,商品!$A$4:$D$67,4,FALSE),0),"")</f>
        <v/>
      </c>
      <c r="AG900" t="str">
        <f>IFERROR(J900&amp;"*"&amp;ROUND(L900*(K900/$AN900)/VLOOKUP(J900,商品!$A$4:$D$67,4,FALSE),0),"")</f>
        <v/>
      </c>
      <c r="AH900" t="str">
        <f>IFERROR(M900&amp;"*"&amp;ROUND(S900*(N900/$AO900)/VLOOKUP(M900,职业!$A$3:$E$16,4,FALSE),0),"")</f>
        <v/>
      </c>
      <c r="AI900" t="str">
        <f>IFERROR(O900&amp;"*"&amp;ROUND(S900*(P900/$AO900)/VLOOKUP(O900,职业!$A$3:$E$16,4,FALSE),0),"")</f>
        <v/>
      </c>
      <c r="AK900" t="str">
        <f>IFERROR(T900&amp;"*"&amp;ROUND(X900*(U900/$AP900)/VLOOKUP(T900,商品!$A$4:$D$67,4,FALSE),0),"")</f>
        <v/>
      </c>
      <c r="AL900" t="str">
        <f>IFERROR(V900&amp;"*"&amp;ROUND(X900*(W900/$AP900)/VLOOKUP(V900,商品!$A$4:$D$67,4,FALSE),0),"")</f>
        <v/>
      </c>
      <c r="AN900">
        <f t="shared" si="109"/>
        <v>0</v>
      </c>
      <c r="AO900">
        <f t="shared" si="110"/>
        <v>0</v>
      </c>
      <c r="AP900">
        <f t="shared" si="111"/>
        <v>0</v>
      </c>
    </row>
    <row r="901" customHeight="1" spans="1:42">
      <c r="A901" s="18" t="s">
        <v>452</v>
      </c>
      <c r="C901" s="18">
        <v>1</v>
      </c>
      <c r="D901" s="1" t="s">
        <v>293</v>
      </c>
      <c r="E901" s="1" t="s">
        <v>227</v>
      </c>
      <c r="L901" s="1">
        <f>IFERROR(VLOOKUP($D901&amp;$C901,生产方式定位!$A$2:$E$38,2,FALSE)+VLOOKUP($E901&amp;$C901,生产方式定位!$F$3:$J$38,2,FALSE),0)</f>
        <v>0</v>
      </c>
      <c r="S901" s="1">
        <f>IFERROR(VLOOKUP($D901&amp;$C901,生产方式定位!$A$2:$E$38,3,FALSE)+VLOOKUP($E901&amp;$C901,生产方式定位!$F$3:$J$38,3,FALSE),0)</f>
        <v>0</v>
      </c>
      <c r="X901" s="1">
        <f>IFERROR(VLOOKUP($D901&amp;$C901,生产方式定位!$A$2:$E$38,5,FALSE)+VLOOKUP($E901&amp;$C901,生产方式定位!$F$3:$J$38,5,FALSE),"错误")</f>
        <v>0</v>
      </c>
      <c r="Y901" s="27" t="str">
        <f t="shared" ref="Y901:Y964" si="112">IF(AE901="","",AE901)&amp;IF(AF901="","",","&amp;AF901)&amp;IF(AG901="","",","&amp;AG901)</f>
        <v/>
      </c>
      <c r="Z901" s="37" t="str">
        <f t="shared" ref="Z901:Z964" si="113">IF(AH901="","",AH901)&amp;IF(AI901="","",","&amp;AI901)</f>
        <v/>
      </c>
      <c r="AA901" s="37" t="str">
        <f t="shared" ref="AA901:AA964" si="114">IF(AK901="","",AK901)&amp;IF(AL901="","",","&amp;AL901)</f>
        <v/>
      </c>
      <c r="AB901" s="28" t="str">
        <f t="shared" ref="AB901:AB964" si="115">IFERROR(ROUND(L901/X901,2),"")</f>
        <v/>
      </c>
      <c r="AC901" s="37"/>
      <c r="AD901" s="38">
        <f t="shared" ref="AD901:AD964" si="116">C901</f>
        <v>1</v>
      </c>
      <c r="AE901" t="str">
        <f>IFERROR(F901&amp;"*"&amp;ROUND(L901*(G901/$AN901)/VLOOKUP(F901,商品!$A$4:$D$67,4,FALSE),0),"")</f>
        <v/>
      </c>
      <c r="AF901" t="str">
        <f>IFERROR(H901&amp;"*"&amp;ROUND(L901*(I901/$AN901)/VLOOKUP(H901,商品!$A$4:$D$67,4,FALSE),0),"")</f>
        <v/>
      </c>
      <c r="AG901" t="str">
        <f>IFERROR(J901&amp;"*"&amp;ROUND(L901*(K901/$AN901)/VLOOKUP(J901,商品!$A$4:$D$67,4,FALSE),0),"")</f>
        <v/>
      </c>
      <c r="AH901" t="str">
        <f>IFERROR(M901&amp;"*"&amp;ROUND(S901*(N901/$AO901)/VLOOKUP(M901,职业!$A$3:$E$16,4,FALSE),0),"")</f>
        <v/>
      </c>
      <c r="AI901" t="str">
        <f>IFERROR(O901&amp;"*"&amp;ROUND(S901*(P901/$AO901)/VLOOKUP(O901,职业!$A$3:$E$16,4,FALSE),0),"")</f>
        <v/>
      </c>
      <c r="AK901" t="str">
        <f>IFERROR(T901&amp;"*"&amp;ROUND(X901*(U901/$AP901)/VLOOKUP(T901,商品!$A$4:$D$67,4,FALSE),0),"")</f>
        <v/>
      </c>
      <c r="AL901" t="str">
        <f>IFERROR(V901&amp;"*"&amp;ROUND(X901*(W901/$AP901)/VLOOKUP(V901,商品!$A$4:$D$67,4,FALSE),0),"")</f>
        <v/>
      </c>
      <c r="AN901">
        <f t="shared" si="109"/>
        <v>0</v>
      </c>
      <c r="AO901">
        <f t="shared" si="110"/>
        <v>0</v>
      </c>
      <c r="AP901">
        <f t="shared" si="111"/>
        <v>0</v>
      </c>
    </row>
    <row r="902" customHeight="1" spans="1:42">
      <c r="A902" s="18" t="s">
        <v>452</v>
      </c>
      <c r="C902" s="18">
        <v>2</v>
      </c>
      <c r="D902" s="1" t="s">
        <v>293</v>
      </c>
      <c r="E902" s="1" t="s">
        <v>227</v>
      </c>
      <c r="L902" s="1">
        <f>IFERROR(VLOOKUP($D902&amp;$C902,生产方式定位!$A$2:$E$38,2,FALSE)+VLOOKUP($E902&amp;$C902,生产方式定位!$F$3:$J$38,2,FALSE),0)</f>
        <v>0</v>
      </c>
      <c r="S902" s="1">
        <f>IFERROR(VLOOKUP($D902&amp;$C902,生产方式定位!$A$2:$E$38,3,FALSE)+VLOOKUP($E902&amp;$C902,生产方式定位!$F$3:$J$38,3,FALSE),0)</f>
        <v>0</v>
      </c>
      <c r="X902" s="1">
        <f>IFERROR(VLOOKUP($D902&amp;$C902,生产方式定位!$A$2:$E$38,5,FALSE)+VLOOKUP($E902&amp;$C902,生产方式定位!$F$3:$J$38,5,FALSE),"错误")</f>
        <v>0</v>
      </c>
      <c r="Y902" s="27" t="str">
        <f t="shared" si="112"/>
        <v/>
      </c>
      <c r="Z902" s="37" t="str">
        <f t="shared" si="113"/>
        <v/>
      </c>
      <c r="AA902" s="37" t="str">
        <f t="shared" si="114"/>
        <v/>
      </c>
      <c r="AB902" s="28" t="str">
        <f t="shared" si="115"/>
        <v/>
      </c>
      <c r="AC902" s="37"/>
      <c r="AD902" s="38">
        <f t="shared" si="116"/>
        <v>2</v>
      </c>
      <c r="AE902" t="str">
        <f>IFERROR(F902&amp;"*"&amp;ROUND(L902*(G902/$AN902)/VLOOKUP(F902,商品!$A$4:$D$67,4,FALSE),0),"")</f>
        <v/>
      </c>
      <c r="AF902" t="str">
        <f>IFERROR(H902&amp;"*"&amp;ROUND(L902*(I902/$AN902)/VLOOKUP(H902,商品!$A$4:$D$67,4,FALSE),0),"")</f>
        <v/>
      </c>
      <c r="AG902" t="str">
        <f>IFERROR(J902&amp;"*"&amp;ROUND(L902*(K902/$AN902)/VLOOKUP(J902,商品!$A$4:$D$67,4,FALSE),0),"")</f>
        <v/>
      </c>
      <c r="AH902" t="str">
        <f>IFERROR(M902&amp;"*"&amp;ROUND(S902*(N902/$AO902)/VLOOKUP(M902,职业!$A$3:$E$16,4,FALSE),0),"")</f>
        <v/>
      </c>
      <c r="AI902" t="str">
        <f>IFERROR(O902&amp;"*"&amp;ROUND(S902*(P902/$AO902)/VLOOKUP(O902,职业!$A$3:$E$16,4,FALSE),0),"")</f>
        <v/>
      </c>
      <c r="AK902" t="str">
        <f>IFERROR(T902&amp;"*"&amp;ROUND(X902*(U902/$AP902)/VLOOKUP(T902,商品!$A$4:$D$67,4,FALSE),0),"")</f>
        <v/>
      </c>
      <c r="AL902" t="str">
        <f>IFERROR(V902&amp;"*"&amp;ROUND(X902*(W902/$AP902)/VLOOKUP(V902,商品!$A$4:$D$67,4,FALSE),0),"")</f>
        <v/>
      </c>
      <c r="AN902">
        <f t="shared" ref="AN902:AN965" si="117">G902+I902+K902</f>
        <v>0</v>
      </c>
      <c r="AO902">
        <f t="shared" ref="AO902:AO965" si="118">N902+P902+R902</f>
        <v>0</v>
      </c>
      <c r="AP902">
        <f t="shared" ref="AP902:AP965" si="119">U902+W902</f>
        <v>0</v>
      </c>
    </row>
    <row r="903" customHeight="1" spans="1:42">
      <c r="A903" s="18" t="s">
        <v>452</v>
      </c>
      <c r="C903" s="18">
        <v>3</v>
      </c>
      <c r="D903" s="1" t="s">
        <v>293</v>
      </c>
      <c r="E903" s="1" t="s">
        <v>227</v>
      </c>
      <c r="L903" s="1">
        <f>IFERROR(VLOOKUP($D903&amp;$C903,生产方式定位!$A$2:$E$38,2,FALSE)+VLOOKUP($E903&amp;$C903,生产方式定位!$F$3:$J$38,2,FALSE),0)</f>
        <v>0</v>
      </c>
      <c r="S903" s="1">
        <f>IFERROR(VLOOKUP($D903&amp;$C903,生产方式定位!$A$2:$E$38,3,FALSE)+VLOOKUP($E903&amp;$C903,生产方式定位!$F$3:$J$38,3,FALSE),0)</f>
        <v>0</v>
      </c>
      <c r="X903" s="1">
        <f>IFERROR(VLOOKUP($D903&amp;$C903,生产方式定位!$A$2:$E$38,5,FALSE)+VLOOKUP($E903&amp;$C903,生产方式定位!$F$3:$J$38,5,FALSE),"错误")</f>
        <v>0</v>
      </c>
      <c r="Y903" s="27" t="str">
        <f t="shared" si="112"/>
        <v/>
      </c>
      <c r="Z903" s="37" t="str">
        <f t="shared" si="113"/>
        <v/>
      </c>
      <c r="AA903" s="37" t="str">
        <f t="shared" si="114"/>
        <v/>
      </c>
      <c r="AB903" s="28" t="str">
        <f t="shared" si="115"/>
        <v/>
      </c>
      <c r="AC903" s="37"/>
      <c r="AD903" s="38">
        <f t="shared" si="116"/>
        <v>3</v>
      </c>
      <c r="AE903" t="str">
        <f>IFERROR(F903&amp;"*"&amp;ROUND(L903*(G903/$AN903)/VLOOKUP(F903,商品!$A$4:$D$67,4,FALSE),0),"")</f>
        <v/>
      </c>
      <c r="AF903" t="str">
        <f>IFERROR(H903&amp;"*"&amp;ROUND(L903*(I903/$AN903)/VLOOKUP(H903,商品!$A$4:$D$67,4,FALSE),0),"")</f>
        <v/>
      </c>
      <c r="AG903" t="str">
        <f>IFERROR(J903&amp;"*"&amp;ROUND(L903*(K903/$AN903)/VLOOKUP(J903,商品!$A$4:$D$67,4,FALSE),0),"")</f>
        <v/>
      </c>
      <c r="AH903" t="str">
        <f>IFERROR(M903&amp;"*"&amp;ROUND(S903*(N903/$AO903)/VLOOKUP(M903,职业!$A$3:$E$16,4,FALSE),0),"")</f>
        <v/>
      </c>
      <c r="AI903" t="str">
        <f>IFERROR(O903&amp;"*"&amp;ROUND(S903*(P903/$AO903)/VLOOKUP(O903,职业!$A$3:$E$16,4,FALSE),0),"")</f>
        <v/>
      </c>
      <c r="AK903" t="str">
        <f>IFERROR(T903&amp;"*"&amp;ROUND(X903*(U903/$AP903)/VLOOKUP(T903,商品!$A$4:$D$67,4,FALSE),0),"")</f>
        <v/>
      </c>
      <c r="AL903" t="str">
        <f>IFERROR(V903&amp;"*"&amp;ROUND(X903*(W903/$AP903)/VLOOKUP(V903,商品!$A$4:$D$67,4,FALSE),0),"")</f>
        <v/>
      </c>
      <c r="AN903">
        <f t="shared" si="117"/>
        <v>0</v>
      </c>
      <c r="AO903">
        <f t="shared" si="118"/>
        <v>0</v>
      </c>
      <c r="AP903">
        <f t="shared" si="119"/>
        <v>0</v>
      </c>
    </row>
    <row r="904" customHeight="1" spans="1:42">
      <c r="A904" s="18" t="s">
        <v>452</v>
      </c>
      <c r="C904" s="18">
        <v>4</v>
      </c>
      <c r="D904" s="1" t="s">
        <v>293</v>
      </c>
      <c r="E904" s="1" t="s">
        <v>227</v>
      </c>
      <c r="L904" s="1">
        <f>IFERROR(VLOOKUP($D904&amp;$C904,生产方式定位!$A$2:$E$38,2,FALSE)+VLOOKUP($E904&amp;$C904,生产方式定位!$F$3:$J$38,2,FALSE),0)</f>
        <v>0</v>
      </c>
      <c r="S904" s="1">
        <f>IFERROR(VLOOKUP($D904&amp;$C904,生产方式定位!$A$2:$E$38,3,FALSE)+VLOOKUP($E904&amp;$C904,生产方式定位!$F$3:$J$38,3,FALSE),0)</f>
        <v>0</v>
      </c>
      <c r="X904" s="1">
        <f>IFERROR(VLOOKUP($D904&amp;$C904,生产方式定位!$A$2:$E$38,5,FALSE)+VLOOKUP($E904&amp;$C904,生产方式定位!$F$3:$J$38,5,FALSE),"错误")</f>
        <v>0</v>
      </c>
      <c r="Y904" s="27" t="str">
        <f t="shared" si="112"/>
        <v/>
      </c>
      <c r="Z904" s="37" t="str">
        <f t="shared" si="113"/>
        <v/>
      </c>
      <c r="AA904" s="37" t="str">
        <f t="shared" si="114"/>
        <v/>
      </c>
      <c r="AB904" s="28" t="str">
        <f t="shared" si="115"/>
        <v/>
      </c>
      <c r="AC904" s="37"/>
      <c r="AD904" s="38">
        <f t="shared" si="116"/>
        <v>4</v>
      </c>
      <c r="AE904" t="str">
        <f>IFERROR(F904&amp;"*"&amp;ROUND(L904*(G904/$AN904)/VLOOKUP(F904,商品!$A$4:$D$67,4,FALSE),0),"")</f>
        <v/>
      </c>
      <c r="AF904" t="str">
        <f>IFERROR(H904&amp;"*"&amp;ROUND(L904*(I904/$AN904)/VLOOKUP(H904,商品!$A$4:$D$67,4,FALSE),0),"")</f>
        <v/>
      </c>
      <c r="AG904" t="str">
        <f>IFERROR(J904&amp;"*"&amp;ROUND(L904*(K904/$AN904)/VLOOKUP(J904,商品!$A$4:$D$67,4,FALSE),0),"")</f>
        <v/>
      </c>
      <c r="AH904" t="str">
        <f>IFERROR(M904&amp;"*"&amp;ROUND(S904*(N904/$AO904)/VLOOKUP(M904,职业!$A$3:$E$16,4,FALSE),0),"")</f>
        <v/>
      </c>
      <c r="AI904" t="str">
        <f>IFERROR(O904&amp;"*"&amp;ROUND(S904*(P904/$AO904)/VLOOKUP(O904,职业!$A$3:$E$16,4,FALSE),0),"")</f>
        <v/>
      </c>
      <c r="AK904" t="str">
        <f>IFERROR(T904&amp;"*"&amp;ROUND(X904*(U904/$AP904)/VLOOKUP(T904,商品!$A$4:$D$67,4,FALSE),0),"")</f>
        <v/>
      </c>
      <c r="AL904" t="str">
        <f>IFERROR(V904&amp;"*"&amp;ROUND(X904*(W904/$AP904)/VLOOKUP(V904,商品!$A$4:$D$67,4,FALSE),0),"")</f>
        <v/>
      </c>
      <c r="AN904">
        <f t="shared" si="117"/>
        <v>0</v>
      </c>
      <c r="AO904">
        <f t="shared" si="118"/>
        <v>0</v>
      </c>
      <c r="AP904">
        <f t="shared" si="119"/>
        <v>0</v>
      </c>
    </row>
    <row r="905" customHeight="1" spans="1:42">
      <c r="A905" s="18" t="s">
        <v>452</v>
      </c>
      <c r="C905" s="18">
        <v>5</v>
      </c>
      <c r="D905" s="1" t="s">
        <v>293</v>
      </c>
      <c r="E905" s="1" t="s">
        <v>227</v>
      </c>
      <c r="L905" s="1">
        <f>IFERROR(VLOOKUP($D905&amp;$C905,生产方式定位!$A$2:$E$38,2,FALSE)+VLOOKUP($E905&amp;$C905,生产方式定位!$F$3:$J$38,2,FALSE),0)</f>
        <v>0</v>
      </c>
      <c r="S905" s="1">
        <f>IFERROR(VLOOKUP($D905&amp;$C905,生产方式定位!$A$2:$E$38,3,FALSE)+VLOOKUP($E905&amp;$C905,生产方式定位!$F$3:$J$38,3,FALSE),0)</f>
        <v>0</v>
      </c>
      <c r="X905" s="1">
        <f>IFERROR(VLOOKUP($D905&amp;$C905,生产方式定位!$A$2:$E$38,5,FALSE)+VLOOKUP($E905&amp;$C905,生产方式定位!$F$3:$J$38,5,FALSE),"错误")</f>
        <v>0</v>
      </c>
      <c r="Y905" s="27" t="str">
        <f t="shared" si="112"/>
        <v/>
      </c>
      <c r="Z905" s="37" t="str">
        <f t="shared" si="113"/>
        <v/>
      </c>
      <c r="AA905" s="37" t="str">
        <f t="shared" si="114"/>
        <v/>
      </c>
      <c r="AB905" s="28" t="str">
        <f t="shared" si="115"/>
        <v/>
      </c>
      <c r="AC905" s="37"/>
      <c r="AD905" s="38">
        <f t="shared" si="116"/>
        <v>5</v>
      </c>
      <c r="AE905" t="str">
        <f>IFERROR(F905&amp;"*"&amp;ROUND(L905*(G905/$AN905)/VLOOKUP(F905,商品!$A$4:$D$67,4,FALSE),0),"")</f>
        <v/>
      </c>
      <c r="AF905" t="str">
        <f>IFERROR(H905&amp;"*"&amp;ROUND(L905*(I905/$AN905)/VLOOKUP(H905,商品!$A$4:$D$67,4,FALSE),0),"")</f>
        <v/>
      </c>
      <c r="AG905" t="str">
        <f>IFERROR(J905&amp;"*"&amp;ROUND(L905*(K905/$AN905)/VLOOKUP(J905,商品!$A$4:$D$67,4,FALSE),0),"")</f>
        <v/>
      </c>
      <c r="AH905" t="str">
        <f>IFERROR(M905&amp;"*"&amp;ROUND(S905*(N905/$AO905)/VLOOKUP(M905,职业!$A$3:$E$16,4,FALSE),0),"")</f>
        <v/>
      </c>
      <c r="AI905" t="str">
        <f>IFERROR(O905&amp;"*"&amp;ROUND(S905*(P905/$AO905)/VLOOKUP(O905,职业!$A$3:$E$16,4,FALSE),0),"")</f>
        <v/>
      </c>
      <c r="AK905" t="str">
        <f>IFERROR(T905&amp;"*"&amp;ROUND(X905*(U905/$AP905)/VLOOKUP(T905,商品!$A$4:$D$67,4,FALSE),0),"")</f>
        <v/>
      </c>
      <c r="AL905" t="str">
        <f>IFERROR(V905&amp;"*"&amp;ROUND(X905*(W905/$AP905)/VLOOKUP(V905,商品!$A$4:$D$67,4,FALSE),0),"")</f>
        <v/>
      </c>
      <c r="AN905">
        <f t="shared" si="117"/>
        <v>0</v>
      </c>
      <c r="AO905">
        <f t="shared" si="118"/>
        <v>0</v>
      </c>
      <c r="AP905">
        <f t="shared" si="119"/>
        <v>0</v>
      </c>
    </row>
    <row r="906" customHeight="1" spans="1:42">
      <c r="A906" s="18" t="s">
        <v>452</v>
      </c>
      <c r="C906" s="18">
        <v>6</v>
      </c>
      <c r="D906" s="1" t="s">
        <v>293</v>
      </c>
      <c r="E906" s="1" t="s">
        <v>227</v>
      </c>
      <c r="L906" s="1">
        <f>IFERROR(VLOOKUP($D906&amp;$C906,生产方式定位!$A$2:$E$38,2,FALSE)+VLOOKUP($E906&amp;$C906,生产方式定位!$F$3:$J$38,2,FALSE),0)</f>
        <v>0</v>
      </c>
      <c r="S906" s="1">
        <f>IFERROR(VLOOKUP($D906&amp;$C906,生产方式定位!$A$2:$E$38,3,FALSE)+VLOOKUP($E906&amp;$C906,生产方式定位!$F$3:$J$38,3,FALSE),0)</f>
        <v>0</v>
      </c>
      <c r="X906" s="1">
        <f>IFERROR(VLOOKUP($D906&amp;$C906,生产方式定位!$A$2:$E$38,5,FALSE)+VLOOKUP($E906&amp;$C906,生产方式定位!$F$3:$J$38,5,FALSE),"错误")</f>
        <v>0</v>
      </c>
      <c r="Y906" s="27" t="str">
        <f t="shared" si="112"/>
        <v/>
      </c>
      <c r="Z906" s="37" t="str">
        <f t="shared" si="113"/>
        <v/>
      </c>
      <c r="AA906" s="37" t="str">
        <f t="shared" si="114"/>
        <v/>
      </c>
      <c r="AB906" s="28" t="str">
        <f t="shared" si="115"/>
        <v/>
      </c>
      <c r="AC906" s="37"/>
      <c r="AD906" s="38">
        <f t="shared" si="116"/>
        <v>6</v>
      </c>
      <c r="AE906" t="str">
        <f>IFERROR(F906&amp;"*"&amp;ROUND(L906*(G906/$AN906)/VLOOKUP(F906,商品!$A$4:$D$67,4,FALSE),0),"")</f>
        <v/>
      </c>
      <c r="AF906" t="str">
        <f>IFERROR(H906&amp;"*"&amp;ROUND(L906*(I906/$AN906)/VLOOKUP(H906,商品!$A$4:$D$67,4,FALSE),0),"")</f>
        <v/>
      </c>
      <c r="AG906" t="str">
        <f>IFERROR(J906&amp;"*"&amp;ROUND(L906*(K906/$AN906)/VLOOKUP(J906,商品!$A$4:$D$67,4,FALSE),0),"")</f>
        <v/>
      </c>
      <c r="AH906" t="str">
        <f>IFERROR(M906&amp;"*"&amp;ROUND(S906*(N906/$AO906)/VLOOKUP(M906,职业!$A$3:$E$16,4,FALSE),0),"")</f>
        <v/>
      </c>
      <c r="AI906" t="str">
        <f>IFERROR(O906&amp;"*"&amp;ROUND(S906*(P906/$AO906)/VLOOKUP(O906,职业!$A$3:$E$16,4,FALSE),0),"")</f>
        <v/>
      </c>
      <c r="AK906" t="str">
        <f>IFERROR(T906&amp;"*"&amp;ROUND(X906*(U906/$AP906)/VLOOKUP(T906,商品!$A$4:$D$67,4,FALSE),0),"")</f>
        <v/>
      </c>
      <c r="AL906" t="str">
        <f>IFERROR(V906&amp;"*"&amp;ROUND(X906*(W906/$AP906)/VLOOKUP(V906,商品!$A$4:$D$67,4,FALSE),0),"")</f>
        <v/>
      </c>
      <c r="AN906">
        <f t="shared" si="117"/>
        <v>0</v>
      </c>
      <c r="AO906">
        <f t="shared" si="118"/>
        <v>0</v>
      </c>
      <c r="AP906">
        <f t="shared" si="119"/>
        <v>0</v>
      </c>
    </row>
    <row r="907" customHeight="1" spans="1:42">
      <c r="A907" s="18" t="s">
        <v>452</v>
      </c>
      <c r="C907" s="18">
        <v>7</v>
      </c>
      <c r="D907" s="1" t="s">
        <v>293</v>
      </c>
      <c r="E907" s="1" t="s">
        <v>227</v>
      </c>
      <c r="L907" s="1">
        <f>IFERROR(VLOOKUP($D907&amp;$C907,生产方式定位!$A$2:$E$38,2,FALSE)+VLOOKUP($E907&amp;$C907,生产方式定位!$F$3:$J$38,2,FALSE),0)</f>
        <v>0</v>
      </c>
      <c r="S907" s="1">
        <f>IFERROR(VLOOKUP($D907&amp;$C907,生产方式定位!$A$2:$E$38,3,FALSE)+VLOOKUP($E907&amp;$C907,生产方式定位!$F$3:$J$38,3,FALSE),0)</f>
        <v>0</v>
      </c>
      <c r="X907" s="1">
        <f>IFERROR(VLOOKUP($D907&amp;$C907,生产方式定位!$A$2:$E$38,5,FALSE)+VLOOKUP($E907&amp;$C907,生产方式定位!$F$3:$J$38,5,FALSE),"错误")</f>
        <v>0</v>
      </c>
      <c r="Y907" s="27" t="str">
        <f t="shared" si="112"/>
        <v/>
      </c>
      <c r="Z907" s="37" t="str">
        <f t="shared" si="113"/>
        <v/>
      </c>
      <c r="AA907" s="37" t="str">
        <f t="shared" si="114"/>
        <v/>
      </c>
      <c r="AB907" s="28" t="str">
        <f t="shared" si="115"/>
        <v/>
      </c>
      <c r="AC907" s="37"/>
      <c r="AD907" s="38">
        <f t="shared" si="116"/>
        <v>7</v>
      </c>
      <c r="AE907" t="str">
        <f>IFERROR(F907&amp;"*"&amp;ROUND(L907*(G907/$AN907)/VLOOKUP(F907,商品!$A$4:$D$67,4,FALSE),0),"")</f>
        <v/>
      </c>
      <c r="AF907" t="str">
        <f>IFERROR(H907&amp;"*"&amp;ROUND(L907*(I907/$AN907)/VLOOKUP(H907,商品!$A$4:$D$67,4,FALSE),0),"")</f>
        <v/>
      </c>
      <c r="AG907" t="str">
        <f>IFERROR(J907&amp;"*"&amp;ROUND(L907*(K907/$AN907)/VLOOKUP(J907,商品!$A$4:$D$67,4,FALSE),0),"")</f>
        <v/>
      </c>
      <c r="AH907" t="str">
        <f>IFERROR(M907&amp;"*"&amp;ROUND(S907*(N907/$AO907)/VLOOKUP(M907,职业!$A$3:$E$16,4,FALSE),0),"")</f>
        <v/>
      </c>
      <c r="AI907" t="str">
        <f>IFERROR(O907&amp;"*"&amp;ROUND(S907*(P907/$AO907)/VLOOKUP(O907,职业!$A$3:$E$16,4,FALSE),0),"")</f>
        <v/>
      </c>
      <c r="AK907" t="str">
        <f>IFERROR(T907&amp;"*"&amp;ROUND(X907*(U907/$AP907)/VLOOKUP(T907,商品!$A$4:$D$67,4,FALSE),0),"")</f>
        <v/>
      </c>
      <c r="AL907" t="str">
        <f>IFERROR(V907&amp;"*"&amp;ROUND(X907*(W907/$AP907)/VLOOKUP(V907,商品!$A$4:$D$67,4,FALSE),0),"")</f>
        <v/>
      </c>
      <c r="AN907">
        <f t="shared" si="117"/>
        <v>0</v>
      </c>
      <c r="AO907">
        <f t="shared" si="118"/>
        <v>0</v>
      </c>
      <c r="AP907">
        <f t="shared" si="119"/>
        <v>0</v>
      </c>
    </row>
    <row r="908" customHeight="1" spans="1:42">
      <c r="A908" s="18" t="s">
        <v>452</v>
      </c>
      <c r="C908" s="18">
        <v>8</v>
      </c>
      <c r="D908" s="1" t="s">
        <v>293</v>
      </c>
      <c r="E908" s="1" t="s">
        <v>227</v>
      </c>
      <c r="L908" s="1">
        <f>IFERROR(VLOOKUP($D908&amp;$C908,生产方式定位!$A$2:$E$38,2,FALSE)+VLOOKUP($E908&amp;$C908,生产方式定位!$F$3:$J$38,2,FALSE),0)</f>
        <v>0</v>
      </c>
      <c r="S908" s="1">
        <f>IFERROR(VLOOKUP($D908&amp;$C908,生产方式定位!$A$2:$E$38,3,FALSE)+VLOOKUP($E908&amp;$C908,生产方式定位!$F$3:$J$38,3,FALSE),0)</f>
        <v>0</v>
      </c>
      <c r="X908" s="1">
        <f>IFERROR(VLOOKUP($D908&amp;$C908,生产方式定位!$A$2:$E$38,5,FALSE)+VLOOKUP($E908&amp;$C908,生产方式定位!$F$3:$J$38,5,FALSE),"错误")</f>
        <v>0</v>
      </c>
      <c r="Y908" s="27" t="str">
        <f t="shared" si="112"/>
        <v/>
      </c>
      <c r="Z908" s="37" t="str">
        <f t="shared" si="113"/>
        <v/>
      </c>
      <c r="AA908" s="37" t="str">
        <f t="shared" si="114"/>
        <v/>
      </c>
      <c r="AB908" s="28" t="str">
        <f t="shared" si="115"/>
        <v/>
      </c>
      <c r="AC908" s="37"/>
      <c r="AD908" s="38">
        <f t="shared" si="116"/>
        <v>8</v>
      </c>
      <c r="AE908" t="str">
        <f>IFERROR(F908&amp;"*"&amp;ROUND(L908*(G908/$AN908)/VLOOKUP(F908,商品!$A$4:$D$67,4,FALSE),0),"")</f>
        <v/>
      </c>
      <c r="AF908" t="str">
        <f>IFERROR(H908&amp;"*"&amp;ROUND(L908*(I908/$AN908)/VLOOKUP(H908,商品!$A$4:$D$67,4,FALSE),0),"")</f>
        <v/>
      </c>
      <c r="AG908" t="str">
        <f>IFERROR(J908&amp;"*"&amp;ROUND(L908*(K908/$AN908)/VLOOKUP(J908,商品!$A$4:$D$67,4,FALSE),0),"")</f>
        <v/>
      </c>
      <c r="AH908" t="str">
        <f>IFERROR(M908&amp;"*"&amp;ROUND(S908*(N908/$AO908)/VLOOKUP(M908,职业!$A$3:$E$16,4,FALSE),0),"")</f>
        <v/>
      </c>
      <c r="AI908" t="str">
        <f>IFERROR(O908&amp;"*"&amp;ROUND(S908*(P908/$AO908)/VLOOKUP(O908,职业!$A$3:$E$16,4,FALSE),0),"")</f>
        <v/>
      </c>
      <c r="AK908" t="str">
        <f>IFERROR(T908&amp;"*"&amp;ROUND(X908*(U908/$AP908)/VLOOKUP(T908,商品!$A$4:$D$67,4,FALSE),0),"")</f>
        <v/>
      </c>
      <c r="AL908" t="str">
        <f>IFERROR(V908&amp;"*"&amp;ROUND(X908*(W908/$AP908)/VLOOKUP(V908,商品!$A$4:$D$67,4,FALSE),0),"")</f>
        <v/>
      </c>
      <c r="AN908">
        <f t="shared" si="117"/>
        <v>0</v>
      </c>
      <c r="AO908">
        <f t="shared" si="118"/>
        <v>0</v>
      </c>
      <c r="AP908">
        <f t="shared" si="119"/>
        <v>0</v>
      </c>
    </row>
    <row r="909" customHeight="1" spans="1:42">
      <c r="A909" s="5" t="s">
        <v>454</v>
      </c>
      <c r="C909" s="5">
        <v>1</v>
      </c>
      <c r="D909" s="1" t="s">
        <v>222</v>
      </c>
      <c r="E909" s="1" t="s">
        <v>224</v>
      </c>
      <c r="L909" s="1">
        <f>IFERROR(VLOOKUP($D909&amp;$C909,生产方式定位!$A$2:$E$38,2,FALSE)+VLOOKUP($E909&amp;$C909,生产方式定位!$F$3:$J$38,2,FALSE),0)</f>
        <v>0</v>
      </c>
      <c r="S909" s="1">
        <f>IFERROR(VLOOKUP($D909&amp;$C909,生产方式定位!$A$2:$E$38,3,FALSE)+VLOOKUP($E909&amp;$C909,生产方式定位!$F$3:$J$38,3,FALSE),0)</f>
        <v>500</v>
      </c>
      <c r="X909" s="1">
        <f>IFERROR(VLOOKUP($D909&amp;$C909,生产方式定位!$A$2:$E$38,5,FALSE)+VLOOKUP($E909&amp;$C909,生产方式定位!$F$3:$J$38,5,FALSE),"错误")</f>
        <v>250</v>
      </c>
      <c r="Y909" s="27" t="str">
        <f t="shared" si="112"/>
        <v/>
      </c>
      <c r="Z909" s="37" t="str">
        <f t="shared" si="113"/>
        <v/>
      </c>
      <c r="AA909" s="37" t="str">
        <f t="shared" si="114"/>
        <v/>
      </c>
      <c r="AB909" s="28">
        <f t="shared" si="115"/>
        <v>0</v>
      </c>
      <c r="AC909" s="37"/>
      <c r="AD909" s="38">
        <f t="shared" si="116"/>
        <v>1</v>
      </c>
      <c r="AE909" t="str">
        <f>IFERROR(F909&amp;"*"&amp;ROUND(L909*(G909/$AN909)/VLOOKUP(F909,商品!$A$4:$D$67,4,FALSE),0),"")</f>
        <v/>
      </c>
      <c r="AF909" t="str">
        <f>IFERROR(H909&amp;"*"&amp;ROUND(L909*(I909/$AN909)/VLOOKUP(H909,商品!$A$4:$D$67,4,FALSE),0),"")</f>
        <v/>
      </c>
      <c r="AG909" t="str">
        <f>IFERROR(J909&amp;"*"&amp;ROUND(L909*(K909/$AN909)/VLOOKUP(J909,商品!$A$4:$D$67,4,FALSE),0),"")</f>
        <v/>
      </c>
      <c r="AH909" t="str">
        <f>IFERROR(M909&amp;"*"&amp;ROUND(S909*(N909/$AO909)/VLOOKUP(M909,职业!$A$3:$E$16,4,FALSE),0),"")</f>
        <v/>
      </c>
      <c r="AI909" t="str">
        <f>IFERROR(O909&amp;"*"&amp;ROUND(S909*(P909/$AO909)/VLOOKUP(O909,职业!$A$3:$E$16,4,FALSE),0),"")</f>
        <v/>
      </c>
      <c r="AK909" t="str">
        <f>IFERROR(T909&amp;"*"&amp;ROUND(X909*(U909/$AP909)/VLOOKUP(T909,商品!$A$4:$D$67,4,FALSE),0),"")</f>
        <v/>
      </c>
      <c r="AL909" t="str">
        <f>IFERROR(V909&amp;"*"&amp;ROUND(X909*(W909/$AP909)/VLOOKUP(V909,商品!$A$4:$D$67,4,FALSE),0),"")</f>
        <v/>
      </c>
      <c r="AN909">
        <f t="shared" si="117"/>
        <v>0</v>
      </c>
      <c r="AO909">
        <f t="shared" si="118"/>
        <v>0</v>
      </c>
      <c r="AP909">
        <f t="shared" si="119"/>
        <v>0</v>
      </c>
    </row>
    <row r="910" customHeight="1" spans="1:42">
      <c r="A910" s="5" t="s">
        <v>454</v>
      </c>
      <c r="C910" s="5">
        <v>2</v>
      </c>
      <c r="D910" s="1" t="s">
        <v>222</v>
      </c>
      <c r="E910" s="1" t="s">
        <v>224</v>
      </c>
      <c r="L910" s="1">
        <f>IFERROR(VLOOKUP($D910&amp;$C910,生产方式定位!$A$2:$E$38,2,FALSE)+VLOOKUP($E910&amp;$C910,生产方式定位!$F$3:$J$38,2,FALSE),0)</f>
        <v>2200</v>
      </c>
      <c r="S910" s="1">
        <f>IFERROR(VLOOKUP($D910&amp;$C910,生产方式定位!$A$2:$E$38,3,FALSE)+VLOOKUP($E910&amp;$C910,生产方式定位!$F$3:$J$38,3,FALSE),0)</f>
        <v>750</v>
      </c>
      <c r="X910" s="1">
        <f>IFERROR(VLOOKUP($D910&amp;$C910,生产方式定位!$A$2:$E$38,5,FALSE)+VLOOKUP($E910&amp;$C910,生产方式定位!$F$3:$J$38,5,FALSE),"错误")</f>
        <v>1547</v>
      </c>
      <c r="Y910" s="27" t="str">
        <f t="shared" si="112"/>
        <v/>
      </c>
      <c r="Z910" s="37" t="str">
        <f t="shared" si="113"/>
        <v/>
      </c>
      <c r="AA910" s="37" t="str">
        <f t="shared" si="114"/>
        <v/>
      </c>
      <c r="AB910" s="28">
        <f t="shared" si="115"/>
        <v>1.42</v>
      </c>
      <c r="AC910" s="37"/>
      <c r="AD910" s="38">
        <f t="shared" si="116"/>
        <v>2</v>
      </c>
      <c r="AE910" t="str">
        <f>IFERROR(F910&amp;"*"&amp;ROUND(L910*(G910/$AN910)/VLOOKUP(F910,商品!$A$4:$D$67,4,FALSE),0),"")</f>
        <v/>
      </c>
      <c r="AF910" t="str">
        <f>IFERROR(H910&amp;"*"&amp;ROUND(L910*(I910/$AN910)/VLOOKUP(H910,商品!$A$4:$D$67,4,FALSE),0),"")</f>
        <v/>
      </c>
      <c r="AG910" t="str">
        <f>IFERROR(J910&amp;"*"&amp;ROUND(L910*(K910/$AN910)/VLOOKUP(J910,商品!$A$4:$D$67,4,FALSE),0),"")</f>
        <v/>
      </c>
      <c r="AH910" t="str">
        <f>IFERROR(M910&amp;"*"&amp;ROUND(S910*(N910/$AO910)/VLOOKUP(M910,职业!$A$3:$E$16,4,FALSE),0),"")</f>
        <v/>
      </c>
      <c r="AI910" t="str">
        <f>IFERROR(O910&amp;"*"&amp;ROUND(S910*(P910/$AO910)/VLOOKUP(O910,职业!$A$3:$E$16,4,FALSE),0),"")</f>
        <v/>
      </c>
      <c r="AK910" t="str">
        <f>IFERROR(T910&amp;"*"&amp;ROUND(X910*(U910/$AP910)/VLOOKUP(T910,商品!$A$4:$D$67,4,FALSE),0),"")</f>
        <v/>
      </c>
      <c r="AL910" t="str">
        <f>IFERROR(V910&amp;"*"&amp;ROUND(X910*(W910/$AP910)/VLOOKUP(V910,商品!$A$4:$D$67,4,FALSE),0),"")</f>
        <v/>
      </c>
      <c r="AN910">
        <f t="shared" si="117"/>
        <v>0</v>
      </c>
      <c r="AO910">
        <f t="shared" si="118"/>
        <v>0</v>
      </c>
      <c r="AP910">
        <f t="shared" si="119"/>
        <v>0</v>
      </c>
    </row>
    <row r="911" customHeight="1" spans="1:42">
      <c r="A911" s="5" t="s">
        <v>454</v>
      </c>
      <c r="C911" s="5">
        <v>3</v>
      </c>
      <c r="D911" s="1" t="s">
        <v>222</v>
      </c>
      <c r="E911" s="1" t="s">
        <v>224</v>
      </c>
      <c r="L911" s="1">
        <f>IFERROR(VLOOKUP($D911&amp;$C911,生产方式定位!$A$2:$E$38,2,FALSE)+VLOOKUP($E911&amp;$C911,生产方式定位!$F$3:$J$38,2,FALSE),0)</f>
        <v>3400</v>
      </c>
      <c r="S911" s="1">
        <f>IFERROR(VLOOKUP($D911&amp;$C911,生产方式定位!$A$2:$E$38,3,FALSE)+VLOOKUP($E911&amp;$C911,生产方式定位!$F$3:$J$38,3,FALSE),0)</f>
        <v>1000</v>
      </c>
      <c r="X911" s="1">
        <f>IFERROR(VLOOKUP($D911&amp;$C911,生产方式定位!$A$2:$E$38,5,FALSE)+VLOOKUP($E911&amp;$C911,生产方式定位!$F$3:$J$38,5,FALSE),"错误")</f>
        <v>2488</v>
      </c>
      <c r="Y911" s="27" t="str">
        <f t="shared" si="112"/>
        <v/>
      </c>
      <c r="Z911" s="37" t="str">
        <f t="shared" si="113"/>
        <v/>
      </c>
      <c r="AA911" s="37" t="str">
        <f t="shared" si="114"/>
        <v/>
      </c>
      <c r="AB911" s="28">
        <f t="shared" si="115"/>
        <v>1.37</v>
      </c>
      <c r="AC911" s="37"/>
      <c r="AD911" s="38">
        <f t="shared" si="116"/>
        <v>3</v>
      </c>
      <c r="AE911" t="str">
        <f>IFERROR(F911&amp;"*"&amp;ROUND(L911*(G911/$AN911)/VLOOKUP(F911,商品!$A$4:$D$67,4,FALSE),0),"")</f>
        <v/>
      </c>
      <c r="AF911" t="str">
        <f>IFERROR(H911&amp;"*"&amp;ROUND(L911*(I911/$AN911)/VLOOKUP(H911,商品!$A$4:$D$67,4,FALSE),0),"")</f>
        <v/>
      </c>
      <c r="AG911" t="str">
        <f>IFERROR(J911&amp;"*"&amp;ROUND(L911*(K911/$AN911)/VLOOKUP(J911,商品!$A$4:$D$67,4,FALSE),0),"")</f>
        <v/>
      </c>
      <c r="AH911" t="str">
        <f>IFERROR(M911&amp;"*"&amp;ROUND(S911*(N911/$AO911)/VLOOKUP(M911,职业!$A$3:$E$16,4,FALSE),0),"")</f>
        <v/>
      </c>
      <c r="AI911" t="str">
        <f>IFERROR(O911&amp;"*"&amp;ROUND(S911*(P911/$AO911)/VLOOKUP(O911,职业!$A$3:$E$16,4,FALSE),0),"")</f>
        <v/>
      </c>
      <c r="AK911" t="str">
        <f>IFERROR(T911&amp;"*"&amp;ROUND(X911*(U911/$AP911)/VLOOKUP(T911,商品!$A$4:$D$67,4,FALSE),0),"")</f>
        <v/>
      </c>
      <c r="AL911" t="str">
        <f>IFERROR(V911&amp;"*"&amp;ROUND(X911*(W911/$AP911)/VLOOKUP(V911,商品!$A$4:$D$67,4,FALSE),0),"")</f>
        <v/>
      </c>
      <c r="AN911">
        <f t="shared" si="117"/>
        <v>0</v>
      </c>
      <c r="AO911">
        <f t="shared" si="118"/>
        <v>0</v>
      </c>
      <c r="AP911">
        <f t="shared" si="119"/>
        <v>0</v>
      </c>
    </row>
    <row r="912" customHeight="1" spans="1:42">
      <c r="A912" s="5" t="s">
        <v>454</v>
      </c>
      <c r="C912" s="5">
        <v>4</v>
      </c>
      <c r="D912" s="1" t="s">
        <v>222</v>
      </c>
      <c r="E912" s="1" t="s">
        <v>224</v>
      </c>
      <c r="L912" s="1">
        <f>IFERROR(VLOOKUP($D912&amp;$C912,生产方式定位!$A$2:$E$38,2,FALSE)+VLOOKUP($E912&amp;$C912,生产方式定位!$F$3:$J$38,2,FALSE),0)</f>
        <v>4600</v>
      </c>
      <c r="S912" s="1">
        <f>IFERROR(VLOOKUP($D912&amp;$C912,生产方式定位!$A$2:$E$38,3,FALSE)+VLOOKUP($E912&amp;$C912,生产方式定位!$F$3:$J$38,3,FALSE),0)</f>
        <v>1250</v>
      </c>
      <c r="X912" s="1">
        <f>IFERROR(VLOOKUP($D912&amp;$C912,生产方式定位!$A$2:$E$38,5,FALSE)+VLOOKUP($E912&amp;$C912,生产方式定位!$F$3:$J$38,5,FALSE),"错误")</f>
        <v>3573</v>
      </c>
      <c r="Y912" s="27" t="str">
        <f t="shared" si="112"/>
        <v/>
      </c>
      <c r="Z912" s="37" t="str">
        <f t="shared" si="113"/>
        <v/>
      </c>
      <c r="AA912" s="37" t="str">
        <f t="shared" si="114"/>
        <v/>
      </c>
      <c r="AB912" s="28">
        <f t="shared" si="115"/>
        <v>1.29</v>
      </c>
      <c r="AC912" s="37"/>
      <c r="AD912" s="38">
        <f t="shared" si="116"/>
        <v>4</v>
      </c>
      <c r="AE912" t="str">
        <f>IFERROR(F912&amp;"*"&amp;ROUND(L912*(G912/$AN912)/VLOOKUP(F912,商品!$A$4:$D$67,4,FALSE),0),"")</f>
        <v/>
      </c>
      <c r="AF912" t="str">
        <f>IFERROR(H912&amp;"*"&amp;ROUND(L912*(I912/$AN912)/VLOOKUP(H912,商品!$A$4:$D$67,4,FALSE),0),"")</f>
        <v/>
      </c>
      <c r="AG912" t="str">
        <f>IFERROR(J912&amp;"*"&amp;ROUND(L912*(K912/$AN912)/VLOOKUP(J912,商品!$A$4:$D$67,4,FALSE),0),"")</f>
        <v/>
      </c>
      <c r="AH912" t="str">
        <f>IFERROR(M912&amp;"*"&amp;ROUND(S912*(N912/$AO912)/VLOOKUP(M912,职业!$A$3:$E$16,4,FALSE),0),"")</f>
        <v/>
      </c>
      <c r="AI912" t="str">
        <f>IFERROR(O912&amp;"*"&amp;ROUND(S912*(P912/$AO912)/VLOOKUP(O912,职业!$A$3:$E$16,4,FALSE),0),"")</f>
        <v/>
      </c>
      <c r="AK912" t="str">
        <f>IFERROR(T912&amp;"*"&amp;ROUND(X912*(U912/$AP912)/VLOOKUP(T912,商品!$A$4:$D$67,4,FALSE),0),"")</f>
        <v/>
      </c>
      <c r="AL912" t="str">
        <f>IFERROR(V912&amp;"*"&amp;ROUND(X912*(W912/$AP912)/VLOOKUP(V912,商品!$A$4:$D$67,4,FALSE),0),"")</f>
        <v/>
      </c>
      <c r="AN912">
        <f t="shared" si="117"/>
        <v>0</v>
      </c>
      <c r="AO912">
        <f t="shared" si="118"/>
        <v>0</v>
      </c>
      <c r="AP912">
        <f t="shared" si="119"/>
        <v>0</v>
      </c>
    </row>
    <row r="913" customHeight="1" spans="1:42">
      <c r="A913" s="5" t="s">
        <v>454</v>
      </c>
      <c r="C913" s="5">
        <v>5</v>
      </c>
      <c r="D913" s="1" t="s">
        <v>222</v>
      </c>
      <c r="E913" s="1" t="s">
        <v>224</v>
      </c>
      <c r="L913" s="1">
        <f>IFERROR(VLOOKUP($D913&amp;$C913,生产方式定位!$A$2:$E$38,2,FALSE)+VLOOKUP($E913&amp;$C913,生产方式定位!$F$3:$J$38,2,FALSE),0)</f>
        <v>5800</v>
      </c>
      <c r="S913" s="1">
        <f>IFERROR(VLOOKUP($D913&amp;$C913,生产方式定位!$A$2:$E$38,3,FALSE)+VLOOKUP($E913&amp;$C913,生产方式定位!$F$3:$J$38,3,FALSE),0)</f>
        <v>1500</v>
      </c>
      <c r="X913" s="1">
        <f>IFERROR(VLOOKUP($D913&amp;$C913,生产方式定位!$A$2:$E$38,5,FALSE)+VLOOKUP($E913&amp;$C913,生产方式定位!$F$3:$J$38,5,FALSE),"错误")</f>
        <v>4850</v>
      </c>
      <c r="Y913" s="27" t="str">
        <f t="shared" si="112"/>
        <v/>
      </c>
      <c r="Z913" s="37" t="str">
        <f t="shared" si="113"/>
        <v/>
      </c>
      <c r="AA913" s="37" t="str">
        <f t="shared" si="114"/>
        <v/>
      </c>
      <c r="AB913" s="28">
        <f t="shared" si="115"/>
        <v>1.2</v>
      </c>
      <c r="AC913" s="37"/>
      <c r="AD913" s="38">
        <f t="shared" si="116"/>
        <v>5</v>
      </c>
      <c r="AE913" t="str">
        <f>IFERROR(F913&amp;"*"&amp;ROUND(L913*(G913/$AN913)/VLOOKUP(F913,商品!$A$4:$D$67,4,FALSE),0),"")</f>
        <v/>
      </c>
      <c r="AF913" t="str">
        <f>IFERROR(H913&amp;"*"&amp;ROUND(L913*(I913/$AN913)/VLOOKUP(H913,商品!$A$4:$D$67,4,FALSE),0),"")</f>
        <v/>
      </c>
      <c r="AG913" t="str">
        <f>IFERROR(J913&amp;"*"&amp;ROUND(L913*(K913/$AN913)/VLOOKUP(J913,商品!$A$4:$D$67,4,FALSE),0),"")</f>
        <v/>
      </c>
      <c r="AH913" t="str">
        <f>IFERROR(M913&amp;"*"&amp;ROUND(S913*(N913/$AO913)/VLOOKUP(M913,职业!$A$3:$E$16,4,FALSE),0),"")</f>
        <v/>
      </c>
      <c r="AI913" t="str">
        <f>IFERROR(O913&amp;"*"&amp;ROUND(S913*(P913/$AO913)/VLOOKUP(O913,职业!$A$3:$E$16,4,FALSE),0),"")</f>
        <v/>
      </c>
      <c r="AK913" t="str">
        <f>IFERROR(T913&amp;"*"&amp;ROUND(X913*(U913/$AP913)/VLOOKUP(T913,商品!$A$4:$D$67,4,FALSE),0),"")</f>
        <v/>
      </c>
      <c r="AL913" t="str">
        <f>IFERROR(V913&amp;"*"&amp;ROUND(X913*(W913/$AP913)/VLOOKUP(V913,商品!$A$4:$D$67,4,FALSE),0),"")</f>
        <v/>
      </c>
      <c r="AN913">
        <f t="shared" si="117"/>
        <v>0</v>
      </c>
      <c r="AO913">
        <f t="shared" si="118"/>
        <v>0</v>
      </c>
      <c r="AP913">
        <f t="shared" si="119"/>
        <v>0</v>
      </c>
    </row>
    <row r="914" customHeight="1" spans="1:42">
      <c r="A914" s="18" t="s">
        <v>455</v>
      </c>
      <c r="C914" s="18">
        <v>1</v>
      </c>
      <c r="D914" s="1" t="s">
        <v>222</v>
      </c>
      <c r="E914" s="1" t="s">
        <v>226</v>
      </c>
      <c r="L914" s="1">
        <f>IFERROR(VLOOKUP($D914&amp;$C914,生产方式定位!$A$2:$E$38,2,FALSE)+VLOOKUP($E914&amp;$C914,生产方式定位!$F$3:$J$38,2,FALSE),0)</f>
        <v>0</v>
      </c>
      <c r="S914" s="1">
        <f>IFERROR(VLOOKUP($D914&amp;$C914,生产方式定位!$A$2:$E$38,3,FALSE)+VLOOKUP($E914&amp;$C914,生产方式定位!$F$3:$J$38,3,FALSE),0)</f>
        <v>500</v>
      </c>
      <c r="X914" s="1">
        <f>IFERROR(VLOOKUP($D914&amp;$C914,生产方式定位!$A$2:$E$38,5,FALSE)+VLOOKUP($E914&amp;$C914,生产方式定位!$F$3:$J$38,5,FALSE),"错误")</f>
        <v>250</v>
      </c>
      <c r="Y914" s="27" t="str">
        <f t="shared" si="112"/>
        <v/>
      </c>
      <c r="Z914" s="37" t="str">
        <f t="shared" si="113"/>
        <v/>
      </c>
      <c r="AA914" s="37" t="str">
        <f t="shared" si="114"/>
        <v/>
      </c>
      <c r="AB914" s="28">
        <f t="shared" si="115"/>
        <v>0</v>
      </c>
      <c r="AC914" s="37"/>
      <c r="AD914" s="38">
        <f t="shared" si="116"/>
        <v>1</v>
      </c>
      <c r="AE914" t="str">
        <f>IFERROR(F914&amp;"*"&amp;ROUND(L914*(G914/$AN914)/VLOOKUP(F914,商品!$A$4:$D$67,4,FALSE),0),"")</f>
        <v/>
      </c>
      <c r="AF914" t="str">
        <f>IFERROR(H914&amp;"*"&amp;ROUND(L914*(I914/$AN914)/VLOOKUP(H914,商品!$A$4:$D$67,4,FALSE),0),"")</f>
        <v/>
      </c>
      <c r="AG914" t="str">
        <f>IFERROR(J914&amp;"*"&amp;ROUND(L914*(K914/$AN914)/VLOOKUP(J914,商品!$A$4:$D$67,4,FALSE),0),"")</f>
        <v/>
      </c>
      <c r="AH914" t="str">
        <f>IFERROR(M914&amp;"*"&amp;ROUND(S914*(N914/$AO914)/VLOOKUP(M914,职业!$A$3:$E$16,4,FALSE),0),"")</f>
        <v/>
      </c>
      <c r="AI914" t="str">
        <f>IFERROR(O914&amp;"*"&amp;ROUND(S914*(P914/$AO914)/VLOOKUP(O914,职业!$A$3:$E$16,4,FALSE),0),"")</f>
        <v/>
      </c>
      <c r="AK914" t="str">
        <f>IFERROR(T914&amp;"*"&amp;ROUND(X914*(U914/$AP914)/VLOOKUP(T914,商品!$A$4:$D$67,4,FALSE),0),"")</f>
        <v/>
      </c>
      <c r="AL914" t="str">
        <f>IFERROR(V914&amp;"*"&amp;ROUND(X914*(W914/$AP914)/VLOOKUP(V914,商品!$A$4:$D$67,4,FALSE),0),"")</f>
        <v/>
      </c>
      <c r="AN914">
        <f t="shared" si="117"/>
        <v>0</v>
      </c>
      <c r="AO914">
        <f t="shared" si="118"/>
        <v>0</v>
      </c>
      <c r="AP914">
        <f t="shared" si="119"/>
        <v>0</v>
      </c>
    </row>
    <row r="915" customHeight="1" spans="1:42">
      <c r="A915" s="18" t="s">
        <v>455</v>
      </c>
      <c r="C915" s="18">
        <v>2</v>
      </c>
      <c r="D915" s="1" t="s">
        <v>222</v>
      </c>
      <c r="E915" s="1" t="s">
        <v>226</v>
      </c>
      <c r="L915" s="1">
        <f>IFERROR(VLOOKUP($D915&amp;$C915,生产方式定位!$A$2:$E$38,2,FALSE)+VLOOKUP($E915&amp;$C915,生产方式定位!$F$3:$J$38,2,FALSE),0)</f>
        <v>3200</v>
      </c>
      <c r="S915" s="1">
        <f>IFERROR(VLOOKUP($D915&amp;$C915,生产方式定位!$A$2:$E$38,3,FALSE)+VLOOKUP($E915&amp;$C915,生产方式定位!$F$3:$J$38,3,FALSE),0)</f>
        <v>350</v>
      </c>
      <c r="X915" s="1">
        <f>IFERROR(VLOOKUP($D915&amp;$C915,生产方式定位!$A$2:$E$38,5,FALSE)+VLOOKUP($E915&amp;$C915,生产方式定位!$F$3:$J$38,5,FALSE),"错误")</f>
        <v>1865</v>
      </c>
      <c r="Y915" s="27" t="str">
        <f t="shared" si="112"/>
        <v/>
      </c>
      <c r="Z915" s="37" t="str">
        <f t="shared" si="113"/>
        <v/>
      </c>
      <c r="AA915" s="37" t="str">
        <f t="shared" si="114"/>
        <v/>
      </c>
      <c r="AB915" s="28">
        <f t="shared" si="115"/>
        <v>1.72</v>
      </c>
      <c r="AC915" s="37"/>
      <c r="AD915" s="38">
        <f t="shared" si="116"/>
        <v>2</v>
      </c>
      <c r="AE915" t="str">
        <f>IFERROR(F915&amp;"*"&amp;ROUND(L915*(G915/$AN915)/VLOOKUP(F915,商品!$A$4:$D$67,4,FALSE),0),"")</f>
        <v/>
      </c>
      <c r="AF915" t="str">
        <f>IFERROR(H915&amp;"*"&amp;ROUND(L915*(I915/$AN915)/VLOOKUP(H915,商品!$A$4:$D$67,4,FALSE),0),"")</f>
        <v/>
      </c>
      <c r="AG915" t="str">
        <f>IFERROR(J915&amp;"*"&amp;ROUND(L915*(K915/$AN915)/VLOOKUP(J915,商品!$A$4:$D$67,4,FALSE),0),"")</f>
        <v/>
      </c>
      <c r="AH915" t="str">
        <f>IFERROR(M915&amp;"*"&amp;ROUND(S915*(N915/$AO915)/VLOOKUP(M915,职业!$A$3:$E$16,4,FALSE),0),"")</f>
        <v/>
      </c>
      <c r="AI915" t="str">
        <f>IFERROR(O915&amp;"*"&amp;ROUND(S915*(P915/$AO915)/VLOOKUP(O915,职业!$A$3:$E$16,4,FALSE),0),"")</f>
        <v/>
      </c>
      <c r="AK915" t="str">
        <f>IFERROR(T915&amp;"*"&amp;ROUND(X915*(U915/$AP915)/VLOOKUP(T915,商品!$A$4:$D$67,4,FALSE),0),"")</f>
        <v/>
      </c>
      <c r="AL915" t="str">
        <f>IFERROR(V915&amp;"*"&amp;ROUND(X915*(W915/$AP915)/VLOOKUP(V915,商品!$A$4:$D$67,4,FALSE),0),"")</f>
        <v/>
      </c>
      <c r="AN915">
        <f t="shared" si="117"/>
        <v>0</v>
      </c>
      <c r="AO915">
        <f t="shared" si="118"/>
        <v>0</v>
      </c>
      <c r="AP915">
        <f t="shared" si="119"/>
        <v>0</v>
      </c>
    </row>
    <row r="916" customHeight="1" spans="1:42">
      <c r="A916" s="18" t="s">
        <v>455</v>
      </c>
      <c r="C916" s="18">
        <v>3</v>
      </c>
      <c r="D916" s="1" t="s">
        <v>222</v>
      </c>
      <c r="E916" s="1" t="s">
        <v>226</v>
      </c>
      <c r="L916" s="1">
        <f>IFERROR(VLOOKUP($D916&amp;$C916,生产方式定位!$A$2:$E$38,2,FALSE)+VLOOKUP($E916&amp;$C916,生产方式定位!$F$3:$J$38,2,FALSE),0)</f>
        <v>4400</v>
      </c>
      <c r="S916" s="1">
        <f>IFERROR(VLOOKUP($D916&amp;$C916,生产方式定位!$A$2:$E$38,3,FALSE)+VLOOKUP($E916&amp;$C916,生产方式定位!$F$3:$J$38,3,FALSE),0)</f>
        <v>200</v>
      </c>
      <c r="X916" s="1">
        <f>IFERROR(VLOOKUP($D916&amp;$C916,生产方式定位!$A$2:$E$38,5,FALSE)+VLOOKUP($E916&amp;$C916,生产方式定位!$F$3:$J$38,5,FALSE),"错误")</f>
        <v>2560</v>
      </c>
      <c r="Y916" s="27" t="str">
        <f t="shared" si="112"/>
        <v/>
      </c>
      <c r="Z916" s="37" t="str">
        <f t="shared" si="113"/>
        <v/>
      </c>
      <c r="AA916" s="37" t="str">
        <f t="shared" si="114"/>
        <v/>
      </c>
      <c r="AB916" s="28">
        <f t="shared" si="115"/>
        <v>1.72</v>
      </c>
      <c r="AC916" s="37"/>
      <c r="AD916" s="38">
        <f t="shared" si="116"/>
        <v>3</v>
      </c>
      <c r="AE916" t="str">
        <f>IFERROR(F916&amp;"*"&amp;ROUND(L916*(G916/$AN916)/VLOOKUP(F916,商品!$A$4:$D$67,4,FALSE),0),"")</f>
        <v/>
      </c>
      <c r="AF916" t="str">
        <f>IFERROR(H916&amp;"*"&amp;ROUND(L916*(I916/$AN916)/VLOOKUP(H916,商品!$A$4:$D$67,4,FALSE),0),"")</f>
        <v/>
      </c>
      <c r="AG916" t="str">
        <f>IFERROR(J916&amp;"*"&amp;ROUND(L916*(K916/$AN916)/VLOOKUP(J916,商品!$A$4:$D$67,4,FALSE),0),"")</f>
        <v/>
      </c>
      <c r="AH916" t="str">
        <f>IFERROR(M916&amp;"*"&amp;ROUND(S916*(N916/$AO916)/VLOOKUP(M916,职业!$A$3:$E$16,4,FALSE),0),"")</f>
        <v/>
      </c>
      <c r="AI916" t="str">
        <f>IFERROR(O916&amp;"*"&amp;ROUND(S916*(P916/$AO916)/VLOOKUP(O916,职业!$A$3:$E$16,4,FALSE),0),"")</f>
        <v/>
      </c>
      <c r="AK916" t="str">
        <f>IFERROR(T916&amp;"*"&amp;ROUND(X916*(U916/$AP916)/VLOOKUP(T916,商品!$A$4:$D$67,4,FALSE),0),"")</f>
        <v/>
      </c>
      <c r="AL916" t="str">
        <f>IFERROR(V916&amp;"*"&amp;ROUND(X916*(W916/$AP916)/VLOOKUP(V916,商品!$A$4:$D$67,4,FALSE),0),"")</f>
        <v/>
      </c>
      <c r="AN916">
        <f t="shared" si="117"/>
        <v>0</v>
      </c>
      <c r="AO916">
        <f t="shared" si="118"/>
        <v>0</v>
      </c>
      <c r="AP916">
        <f t="shared" si="119"/>
        <v>0</v>
      </c>
    </row>
    <row r="917" customHeight="1" spans="1:42">
      <c r="A917" s="18" t="s">
        <v>455</v>
      </c>
      <c r="C917" s="18">
        <v>4</v>
      </c>
      <c r="D917" s="1" t="s">
        <v>222</v>
      </c>
      <c r="E917" s="1" t="s">
        <v>226</v>
      </c>
      <c r="L917" s="1">
        <f>IFERROR(VLOOKUP($D917&amp;$C917,生产方式定位!$A$2:$E$38,2,FALSE)+VLOOKUP($E917&amp;$C917,生产方式定位!$F$3:$J$38,2,FALSE),0)</f>
        <v>5600</v>
      </c>
      <c r="S917" s="1">
        <f>IFERROR(VLOOKUP($D917&amp;$C917,生产方式定位!$A$2:$E$38,3,FALSE)+VLOOKUP($E917&amp;$C917,生产方式定位!$F$3:$J$38,3,FALSE),0)</f>
        <v>50</v>
      </c>
      <c r="X917" s="1">
        <f>IFERROR(VLOOKUP($D917&amp;$C917,生产方式定位!$A$2:$E$38,5,FALSE)+VLOOKUP($E917&amp;$C917,生产方式定位!$F$3:$J$38,5,FALSE),"错误")</f>
        <v>3335</v>
      </c>
      <c r="Y917" s="27" t="str">
        <f t="shared" si="112"/>
        <v/>
      </c>
      <c r="Z917" s="37" t="str">
        <f t="shared" si="113"/>
        <v/>
      </c>
      <c r="AA917" s="37" t="str">
        <f t="shared" si="114"/>
        <v/>
      </c>
      <c r="AB917" s="28">
        <f t="shared" si="115"/>
        <v>1.68</v>
      </c>
      <c r="AC917" s="37"/>
      <c r="AD917" s="38">
        <f t="shared" si="116"/>
        <v>4</v>
      </c>
      <c r="AE917" t="str">
        <f>IFERROR(F917&amp;"*"&amp;ROUND(L917*(G917/$AN917)/VLOOKUP(F917,商品!$A$4:$D$67,4,FALSE),0),"")</f>
        <v/>
      </c>
      <c r="AF917" t="str">
        <f>IFERROR(H917&amp;"*"&amp;ROUND(L917*(I917/$AN917)/VLOOKUP(H917,商品!$A$4:$D$67,4,FALSE),0),"")</f>
        <v/>
      </c>
      <c r="AG917" t="str">
        <f>IFERROR(J917&amp;"*"&amp;ROUND(L917*(K917/$AN917)/VLOOKUP(J917,商品!$A$4:$D$67,4,FALSE),0),"")</f>
        <v/>
      </c>
      <c r="AH917" t="str">
        <f>IFERROR(M917&amp;"*"&amp;ROUND(S917*(N917/$AO917)/VLOOKUP(M917,职业!$A$3:$E$16,4,FALSE),0),"")</f>
        <v/>
      </c>
      <c r="AI917" t="str">
        <f>IFERROR(O917&amp;"*"&amp;ROUND(S917*(P917/$AO917)/VLOOKUP(O917,职业!$A$3:$E$16,4,FALSE),0),"")</f>
        <v/>
      </c>
      <c r="AK917" t="str">
        <f>IFERROR(T917&amp;"*"&amp;ROUND(X917*(U917/$AP917)/VLOOKUP(T917,商品!$A$4:$D$67,4,FALSE),0),"")</f>
        <v/>
      </c>
      <c r="AL917" t="str">
        <f>IFERROR(V917&amp;"*"&amp;ROUND(X917*(W917/$AP917)/VLOOKUP(V917,商品!$A$4:$D$67,4,FALSE),0),"")</f>
        <v/>
      </c>
      <c r="AN917">
        <f t="shared" si="117"/>
        <v>0</v>
      </c>
      <c r="AO917">
        <f t="shared" si="118"/>
        <v>0</v>
      </c>
      <c r="AP917">
        <f t="shared" si="119"/>
        <v>0</v>
      </c>
    </row>
    <row r="918" customHeight="1" spans="1:42">
      <c r="A918" s="18" t="s">
        <v>455</v>
      </c>
      <c r="C918" s="18">
        <v>5</v>
      </c>
      <c r="D918" s="1" t="s">
        <v>222</v>
      </c>
      <c r="E918" s="1" t="s">
        <v>226</v>
      </c>
      <c r="L918" s="1">
        <f>IFERROR(VLOOKUP($D918&amp;$C918,生产方式定位!$A$2:$E$38,2,FALSE)+VLOOKUP($E918&amp;$C918,生产方式定位!$F$3:$J$38,2,FALSE),0)</f>
        <v>6800</v>
      </c>
      <c r="S918" s="1">
        <f>IFERROR(VLOOKUP($D918&amp;$C918,生产方式定位!$A$2:$E$38,3,FALSE)+VLOOKUP($E918&amp;$C918,生产方式定位!$F$3:$J$38,3,FALSE),0)</f>
        <v>-100</v>
      </c>
      <c r="X918" s="1">
        <f>IFERROR(VLOOKUP($D918&amp;$C918,生产方式定位!$A$2:$E$38,5,FALSE)+VLOOKUP($E918&amp;$C918,生产方式定位!$F$3:$J$38,5,FALSE),"错误")</f>
        <v>4190</v>
      </c>
      <c r="Y918" s="27" t="str">
        <f t="shared" si="112"/>
        <v/>
      </c>
      <c r="Z918" s="37" t="str">
        <f t="shared" si="113"/>
        <v/>
      </c>
      <c r="AA918" s="37" t="str">
        <f t="shared" si="114"/>
        <v/>
      </c>
      <c r="AB918" s="28">
        <f t="shared" si="115"/>
        <v>1.62</v>
      </c>
      <c r="AC918" s="37"/>
      <c r="AD918" s="38">
        <f t="shared" si="116"/>
        <v>5</v>
      </c>
      <c r="AE918" t="str">
        <f>IFERROR(F918&amp;"*"&amp;ROUND(L918*(G918/$AN918)/VLOOKUP(F918,商品!$A$4:$D$67,4,FALSE),0),"")</f>
        <v/>
      </c>
      <c r="AF918" t="str">
        <f>IFERROR(H918&amp;"*"&amp;ROUND(L918*(I918/$AN918)/VLOOKUP(H918,商品!$A$4:$D$67,4,FALSE),0),"")</f>
        <v/>
      </c>
      <c r="AG918" t="str">
        <f>IFERROR(J918&amp;"*"&amp;ROUND(L918*(K918/$AN918)/VLOOKUP(J918,商品!$A$4:$D$67,4,FALSE),0),"")</f>
        <v/>
      </c>
      <c r="AH918" t="str">
        <f>IFERROR(M918&amp;"*"&amp;ROUND(S918*(N918/$AO918)/VLOOKUP(M918,职业!$A$3:$E$16,4,FALSE),0),"")</f>
        <v/>
      </c>
      <c r="AI918" t="str">
        <f>IFERROR(O918&amp;"*"&amp;ROUND(S918*(P918/$AO918)/VLOOKUP(O918,职业!$A$3:$E$16,4,FALSE),0),"")</f>
        <v/>
      </c>
      <c r="AK918" t="str">
        <f>IFERROR(T918&amp;"*"&amp;ROUND(X918*(U918/$AP918)/VLOOKUP(T918,商品!$A$4:$D$67,4,FALSE),0),"")</f>
        <v/>
      </c>
      <c r="AL918" t="str">
        <f>IFERROR(V918&amp;"*"&amp;ROUND(X918*(W918/$AP918)/VLOOKUP(V918,商品!$A$4:$D$67,4,FALSE),0),"")</f>
        <v/>
      </c>
      <c r="AN918">
        <f t="shared" si="117"/>
        <v>0</v>
      </c>
      <c r="AO918">
        <f t="shared" si="118"/>
        <v>0</v>
      </c>
      <c r="AP918">
        <f t="shared" si="119"/>
        <v>0</v>
      </c>
    </row>
    <row r="919" customHeight="1" spans="1:42">
      <c r="A919" s="5" t="s">
        <v>455</v>
      </c>
      <c r="C919" s="5">
        <v>1</v>
      </c>
      <c r="D919" s="1" t="s">
        <v>222</v>
      </c>
      <c r="E919" s="1" t="s">
        <v>226</v>
      </c>
      <c r="L919" s="1">
        <f>IFERROR(VLOOKUP($D919&amp;$C919,生产方式定位!$A$2:$E$38,2,FALSE)+VLOOKUP($E919&amp;$C919,生产方式定位!$F$3:$J$38,2,FALSE),0)</f>
        <v>0</v>
      </c>
      <c r="S919" s="1">
        <f>IFERROR(VLOOKUP($D919&amp;$C919,生产方式定位!$A$2:$E$38,3,FALSE)+VLOOKUP($E919&amp;$C919,生产方式定位!$F$3:$J$38,3,FALSE),0)</f>
        <v>500</v>
      </c>
      <c r="X919" s="1">
        <f>IFERROR(VLOOKUP($D919&amp;$C919,生产方式定位!$A$2:$E$38,5,FALSE)+VLOOKUP($E919&amp;$C919,生产方式定位!$F$3:$J$38,5,FALSE),"错误")</f>
        <v>250</v>
      </c>
      <c r="Y919" s="27" t="str">
        <f t="shared" si="112"/>
        <v/>
      </c>
      <c r="Z919" s="37" t="str">
        <f t="shared" si="113"/>
        <v/>
      </c>
      <c r="AA919" s="37" t="str">
        <f t="shared" si="114"/>
        <v/>
      </c>
      <c r="AB919" s="28">
        <f t="shared" si="115"/>
        <v>0</v>
      </c>
      <c r="AC919" s="37"/>
      <c r="AD919" s="38">
        <f t="shared" si="116"/>
        <v>1</v>
      </c>
      <c r="AE919" t="str">
        <f>IFERROR(F919&amp;"*"&amp;ROUND(L919*(G919/$AN919)/VLOOKUP(F919,商品!$A$4:$D$67,4,FALSE),0),"")</f>
        <v/>
      </c>
      <c r="AF919" t="str">
        <f>IFERROR(H919&amp;"*"&amp;ROUND(L919*(I919/$AN919)/VLOOKUP(H919,商品!$A$4:$D$67,4,FALSE),0),"")</f>
        <v/>
      </c>
      <c r="AG919" t="str">
        <f>IFERROR(J919&amp;"*"&amp;ROUND(L919*(K919/$AN919)/VLOOKUP(J919,商品!$A$4:$D$67,4,FALSE),0),"")</f>
        <v/>
      </c>
      <c r="AH919" t="str">
        <f>IFERROR(M919&amp;"*"&amp;ROUND(S919*(N919/$AO919)/VLOOKUP(M919,职业!$A$3:$E$16,4,FALSE),0),"")</f>
        <v/>
      </c>
      <c r="AI919" t="str">
        <f>IFERROR(O919&amp;"*"&amp;ROUND(S919*(P919/$AO919)/VLOOKUP(O919,职业!$A$3:$E$16,4,FALSE),0),"")</f>
        <v/>
      </c>
      <c r="AK919" t="str">
        <f>IFERROR(T919&amp;"*"&amp;ROUND(X919*(U919/$AP919)/VLOOKUP(T919,商品!$A$4:$D$67,4,FALSE),0),"")</f>
        <v/>
      </c>
      <c r="AL919" t="str">
        <f>IFERROR(V919&amp;"*"&amp;ROUND(X919*(W919/$AP919)/VLOOKUP(V919,商品!$A$4:$D$67,4,FALSE),0),"")</f>
        <v/>
      </c>
      <c r="AN919">
        <f t="shared" si="117"/>
        <v>0</v>
      </c>
      <c r="AO919">
        <f t="shared" si="118"/>
        <v>0</v>
      </c>
      <c r="AP919">
        <f t="shared" si="119"/>
        <v>0</v>
      </c>
    </row>
    <row r="920" customHeight="1" spans="1:42">
      <c r="A920" s="5" t="s">
        <v>455</v>
      </c>
      <c r="C920" s="5">
        <v>2</v>
      </c>
      <c r="D920" s="1" t="s">
        <v>222</v>
      </c>
      <c r="E920" s="1" t="s">
        <v>226</v>
      </c>
      <c r="L920" s="1">
        <f>IFERROR(VLOOKUP($D920&amp;$C920,生产方式定位!$A$2:$E$38,2,FALSE)+VLOOKUP($E920&amp;$C920,生产方式定位!$F$3:$J$38,2,FALSE),0)</f>
        <v>3200</v>
      </c>
      <c r="S920" s="1">
        <f>IFERROR(VLOOKUP($D920&amp;$C920,生产方式定位!$A$2:$E$38,3,FALSE)+VLOOKUP($E920&amp;$C920,生产方式定位!$F$3:$J$38,3,FALSE),0)</f>
        <v>350</v>
      </c>
      <c r="X920" s="1">
        <f>IFERROR(VLOOKUP($D920&amp;$C920,生产方式定位!$A$2:$E$38,5,FALSE)+VLOOKUP($E920&amp;$C920,生产方式定位!$F$3:$J$38,5,FALSE),"错误")</f>
        <v>1865</v>
      </c>
      <c r="Y920" s="27" t="str">
        <f t="shared" si="112"/>
        <v/>
      </c>
      <c r="Z920" s="37" t="str">
        <f t="shared" si="113"/>
        <v/>
      </c>
      <c r="AA920" s="37" t="str">
        <f t="shared" si="114"/>
        <v/>
      </c>
      <c r="AB920" s="28">
        <f t="shared" si="115"/>
        <v>1.72</v>
      </c>
      <c r="AC920" s="37"/>
      <c r="AD920" s="38">
        <f t="shared" si="116"/>
        <v>2</v>
      </c>
      <c r="AE920" t="str">
        <f>IFERROR(F920&amp;"*"&amp;ROUND(L920*(G920/$AN920)/VLOOKUP(F920,商品!$A$4:$D$67,4,FALSE),0),"")</f>
        <v/>
      </c>
      <c r="AF920" t="str">
        <f>IFERROR(H920&amp;"*"&amp;ROUND(L920*(I920/$AN920)/VLOOKUP(H920,商品!$A$4:$D$67,4,FALSE),0),"")</f>
        <v/>
      </c>
      <c r="AG920" t="str">
        <f>IFERROR(J920&amp;"*"&amp;ROUND(L920*(K920/$AN920)/VLOOKUP(J920,商品!$A$4:$D$67,4,FALSE),0),"")</f>
        <v/>
      </c>
      <c r="AH920" t="str">
        <f>IFERROR(M920&amp;"*"&amp;ROUND(S920*(N920/$AO920)/VLOOKUP(M920,职业!$A$3:$E$16,4,FALSE),0),"")</f>
        <v/>
      </c>
      <c r="AI920" t="str">
        <f>IFERROR(O920&amp;"*"&amp;ROUND(S920*(P920/$AO920)/VLOOKUP(O920,职业!$A$3:$E$16,4,FALSE),0),"")</f>
        <v/>
      </c>
      <c r="AK920" t="str">
        <f>IFERROR(T920&amp;"*"&amp;ROUND(X920*(U920/$AP920)/VLOOKUP(T920,商品!$A$4:$D$67,4,FALSE),0),"")</f>
        <v/>
      </c>
      <c r="AL920" t="str">
        <f>IFERROR(V920&amp;"*"&amp;ROUND(X920*(W920/$AP920)/VLOOKUP(V920,商品!$A$4:$D$67,4,FALSE),0),"")</f>
        <v/>
      </c>
      <c r="AN920">
        <f t="shared" si="117"/>
        <v>0</v>
      </c>
      <c r="AO920">
        <f t="shared" si="118"/>
        <v>0</v>
      </c>
      <c r="AP920">
        <f t="shared" si="119"/>
        <v>0</v>
      </c>
    </row>
    <row r="921" customHeight="1" spans="1:42">
      <c r="A921" s="5" t="s">
        <v>455</v>
      </c>
      <c r="C921" s="5">
        <v>3</v>
      </c>
      <c r="D921" s="1" t="s">
        <v>222</v>
      </c>
      <c r="E921" s="1" t="s">
        <v>226</v>
      </c>
      <c r="L921" s="1">
        <f>IFERROR(VLOOKUP($D921&amp;$C921,生产方式定位!$A$2:$E$38,2,FALSE)+VLOOKUP($E921&amp;$C921,生产方式定位!$F$3:$J$38,2,FALSE),0)</f>
        <v>4400</v>
      </c>
      <c r="S921" s="1">
        <f>IFERROR(VLOOKUP($D921&amp;$C921,生产方式定位!$A$2:$E$38,3,FALSE)+VLOOKUP($E921&amp;$C921,生产方式定位!$F$3:$J$38,3,FALSE),0)</f>
        <v>200</v>
      </c>
      <c r="X921" s="1">
        <f>IFERROR(VLOOKUP($D921&amp;$C921,生产方式定位!$A$2:$E$38,5,FALSE)+VLOOKUP($E921&amp;$C921,生产方式定位!$F$3:$J$38,5,FALSE),"错误")</f>
        <v>2560</v>
      </c>
      <c r="Y921" s="27" t="str">
        <f t="shared" si="112"/>
        <v/>
      </c>
      <c r="Z921" s="37" t="str">
        <f t="shared" si="113"/>
        <v/>
      </c>
      <c r="AA921" s="37" t="str">
        <f t="shared" si="114"/>
        <v/>
      </c>
      <c r="AB921" s="28">
        <f t="shared" si="115"/>
        <v>1.72</v>
      </c>
      <c r="AC921" s="37"/>
      <c r="AD921" s="38">
        <f t="shared" si="116"/>
        <v>3</v>
      </c>
      <c r="AE921" t="str">
        <f>IFERROR(F921&amp;"*"&amp;ROUND(L921*(G921/$AN921)/VLOOKUP(F921,商品!$A$4:$D$67,4,FALSE),0),"")</f>
        <v/>
      </c>
      <c r="AF921" t="str">
        <f>IFERROR(H921&amp;"*"&amp;ROUND(L921*(I921/$AN921)/VLOOKUP(H921,商品!$A$4:$D$67,4,FALSE),0),"")</f>
        <v/>
      </c>
      <c r="AG921" t="str">
        <f>IFERROR(J921&amp;"*"&amp;ROUND(L921*(K921/$AN921)/VLOOKUP(J921,商品!$A$4:$D$67,4,FALSE),0),"")</f>
        <v/>
      </c>
      <c r="AH921" t="str">
        <f>IFERROR(M921&amp;"*"&amp;ROUND(S921*(N921/$AO921)/VLOOKUP(M921,职业!$A$3:$E$16,4,FALSE),0),"")</f>
        <v/>
      </c>
      <c r="AI921" t="str">
        <f>IFERROR(O921&amp;"*"&amp;ROUND(S921*(P921/$AO921)/VLOOKUP(O921,职业!$A$3:$E$16,4,FALSE),0),"")</f>
        <v/>
      </c>
      <c r="AK921" t="str">
        <f>IFERROR(T921&amp;"*"&amp;ROUND(X921*(U921/$AP921)/VLOOKUP(T921,商品!$A$4:$D$67,4,FALSE),0),"")</f>
        <v/>
      </c>
      <c r="AL921" t="str">
        <f>IFERROR(V921&amp;"*"&amp;ROUND(X921*(W921/$AP921)/VLOOKUP(V921,商品!$A$4:$D$67,4,FALSE),0),"")</f>
        <v/>
      </c>
      <c r="AN921">
        <f t="shared" si="117"/>
        <v>0</v>
      </c>
      <c r="AO921">
        <f t="shared" si="118"/>
        <v>0</v>
      </c>
      <c r="AP921">
        <f t="shared" si="119"/>
        <v>0</v>
      </c>
    </row>
    <row r="922" customHeight="1" spans="1:42">
      <c r="A922" s="5" t="s">
        <v>455</v>
      </c>
      <c r="C922" s="5">
        <v>4</v>
      </c>
      <c r="D922" s="1" t="s">
        <v>222</v>
      </c>
      <c r="E922" s="1" t="s">
        <v>226</v>
      </c>
      <c r="L922" s="1">
        <f>IFERROR(VLOOKUP($D922&amp;$C922,生产方式定位!$A$2:$E$38,2,FALSE)+VLOOKUP($E922&amp;$C922,生产方式定位!$F$3:$J$38,2,FALSE),0)</f>
        <v>5600</v>
      </c>
      <c r="S922" s="1">
        <f>IFERROR(VLOOKUP($D922&amp;$C922,生产方式定位!$A$2:$E$38,3,FALSE)+VLOOKUP($E922&amp;$C922,生产方式定位!$F$3:$J$38,3,FALSE),0)</f>
        <v>50</v>
      </c>
      <c r="X922" s="1">
        <f>IFERROR(VLOOKUP($D922&amp;$C922,生产方式定位!$A$2:$E$38,5,FALSE)+VLOOKUP($E922&amp;$C922,生产方式定位!$F$3:$J$38,5,FALSE),"错误")</f>
        <v>3335</v>
      </c>
      <c r="Y922" s="27" t="str">
        <f t="shared" si="112"/>
        <v/>
      </c>
      <c r="Z922" s="37" t="str">
        <f t="shared" si="113"/>
        <v/>
      </c>
      <c r="AA922" s="37" t="str">
        <f t="shared" si="114"/>
        <v/>
      </c>
      <c r="AB922" s="28">
        <f t="shared" si="115"/>
        <v>1.68</v>
      </c>
      <c r="AC922" s="37"/>
      <c r="AD922" s="38">
        <f t="shared" si="116"/>
        <v>4</v>
      </c>
      <c r="AE922" t="str">
        <f>IFERROR(F922&amp;"*"&amp;ROUND(L922*(G922/$AN922)/VLOOKUP(F922,商品!$A$4:$D$67,4,FALSE),0),"")</f>
        <v/>
      </c>
      <c r="AF922" t="str">
        <f>IFERROR(H922&amp;"*"&amp;ROUND(L922*(I922/$AN922)/VLOOKUP(H922,商品!$A$4:$D$67,4,FALSE),0),"")</f>
        <v/>
      </c>
      <c r="AG922" t="str">
        <f>IFERROR(J922&amp;"*"&amp;ROUND(L922*(K922/$AN922)/VLOOKUP(J922,商品!$A$4:$D$67,4,FALSE),0),"")</f>
        <v/>
      </c>
      <c r="AH922" t="str">
        <f>IFERROR(M922&amp;"*"&amp;ROUND(S922*(N922/$AO922)/VLOOKUP(M922,职业!$A$3:$E$16,4,FALSE),0),"")</f>
        <v/>
      </c>
      <c r="AI922" t="str">
        <f>IFERROR(O922&amp;"*"&amp;ROUND(S922*(P922/$AO922)/VLOOKUP(O922,职业!$A$3:$E$16,4,FALSE),0),"")</f>
        <v/>
      </c>
      <c r="AK922" t="str">
        <f>IFERROR(T922&amp;"*"&amp;ROUND(X922*(U922/$AP922)/VLOOKUP(T922,商品!$A$4:$D$67,4,FALSE),0),"")</f>
        <v/>
      </c>
      <c r="AL922" t="str">
        <f>IFERROR(V922&amp;"*"&amp;ROUND(X922*(W922/$AP922)/VLOOKUP(V922,商品!$A$4:$D$67,4,FALSE),0),"")</f>
        <v/>
      </c>
      <c r="AN922">
        <f t="shared" si="117"/>
        <v>0</v>
      </c>
      <c r="AO922">
        <f t="shared" si="118"/>
        <v>0</v>
      </c>
      <c r="AP922">
        <f t="shared" si="119"/>
        <v>0</v>
      </c>
    </row>
    <row r="923" customHeight="1" spans="1:42">
      <c r="A923" s="5" t="s">
        <v>455</v>
      </c>
      <c r="C923" s="5">
        <v>5</v>
      </c>
      <c r="D923" s="1" t="s">
        <v>222</v>
      </c>
      <c r="E923" s="1" t="s">
        <v>226</v>
      </c>
      <c r="L923" s="1">
        <f>IFERROR(VLOOKUP($D923&amp;$C923,生产方式定位!$A$2:$E$38,2,FALSE)+VLOOKUP($E923&amp;$C923,生产方式定位!$F$3:$J$38,2,FALSE),0)</f>
        <v>6800</v>
      </c>
      <c r="S923" s="1">
        <f>IFERROR(VLOOKUP($D923&amp;$C923,生产方式定位!$A$2:$E$38,3,FALSE)+VLOOKUP($E923&amp;$C923,生产方式定位!$F$3:$J$38,3,FALSE),0)</f>
        <v>-100</v>
      </c>
      <c r="X923" s="1">
        <f>IFERROR(VLOOKUP($D923&amp;$C923,生产方式定位!$A$2:$E$38,5,FALSE)+VLOOKUP($E923&amp;$C923,生产方式定位!$F$3:$J$38,5,FALSE),"错误")</f>
        <v>4190</v>
      </c>
      <c r="Y923" s="27" t="str">
        <f t="shared" si="112"/>
        <v/>
      </c>
      <c r="Z923" s="37" t="str">
        <f t="shared" si="113"/>
        <v/>
      </c>
      <c r="AA923" s="37" t="str">
        <f t="shared" si="114"/>
        <v/>
      </c>
      <c r="AB923" s="28">
        <f t="shared" si="115"/>
        <v>1.62</v>
      </c>
      <c r="AC923" s="37"/>
      <c r="AD923" s="38">
        <f t="shared" si="116"/>
        <v>5</v>
      </c>
      <c r="AE923" t="str">
        <f>IFERROR(F923&amp;"*"&amp;ROUND(L923*(G923/$AN923)/VLOOKUP(F923,商品!$A$4:$D$67,4,FALSE),0),"")</f>
        <v/>
      </c>
      <c r="AF923" t="str">
        <f>IFERROR(H923&amp;"*"&amp;ROUND(L923*(I923/$AN923)/VLOOKUP(H923,商品!$A$4:$D$67,4,FALSE),0),"")</f>
        <v/>
      </c>
      <c r="AG923" t="str">
        <f>IFERROR(J923&amp;"*"&amp;ROUND(L923*(K923/$AN923)/VLOOKUP(J923,商品!$A$4:$D$67,4,FALSE),0),"")</f>
        <v/>
      </c>
      <c r="AH923" t="str">
        <f>IFERROR(M923&amp;"*"&amp;ROUND(S923*(N923/$AO923)/VLOOKUP(M923,职业!$A$3:$E$16,4,FALSE),0),"")</f>
        <v/>
      </c>
      <c r="AI923" t="str">
        <f>IFERROR(O923&amp;"*"&amp;ROUND(S923*(P923/$AO923)/VLOOKUP(O923,职业!$A$3:$E$16,4,FALSE),0),"")</f>
        <v/>
      </c>
      <c r="AK923" t="str">
        <f>IFERROR(T923&amp;"*"&amp;ROUND(X923*(U923/$AP923)/VLOOKUP(T923,商品!$A$4:$D$67,4,FALSE),0),"")</f>
        <v/>
      </c>
      <c r="AL923" t="str">
        <f>IFERROR(V923&amp;"*"&amp;ROUND(X923*(W923/$AP923)/VLOOKUP(V923,商品!$A$4:$D$67,4,FALSE),0),"")</f>
        <v/>
      </c>
      <c r="AN923">
        <f t="shared" si="117"/>
        <v>0</v>
      </c>
      <c r="AO923">
        <f t="shared" si="118"/>
        <v>0</v>
      </c>
      <c r="AP923">
        <f t="shared" si="119"/>
        <v>0</v>
      </c>
    </row>
    <row r="924" customHeight="1" spans="1:42">
      <c r="A924" s="18" t="s">
        <v>456</v>
      </c>
      <c r="C924" s="18">
        <v>1</v>
      </c>
      <c r="D924" s="1" t="s">
        <v>293</v>
      </c>
      <c r="E924" s="1" t="s">
        <v>227</v>
      </c>
      <c r="L924" s="1">
        <f>IFERROR(VLOOKUP($D924&amp;$C924,生产方式定位!$A$2:$E$38,2,FALSE)+VLOOKUP($E924&amp;$C924,生产方式定位!$F$3:$J$38,2,FALSE),0)</f>
        <v>0</v>
      </c>
      <c r="S924" s="1">
        <f>IFERROR(VLOOKUP($D924&amp;$C924,生产方式定位!$A$2:$E$38,3,FALSE)+VLOOKUP($E924&amp;$C924,生产方式定位!$F$3:$J$38,3,FALSE),0)</f>
        <v>0</v>
      </c>
      <c r="X924" s="1">
        <f>IFERROR(VLOOKUP($D924&amp;$C924,生产方式定位!$A$2:$E$38,5,FALSE)+VLOOKUP($E924&amp;$C924,生产方式定位!$F$3:$J$38,5,FALSE),"错误")</f>
        <v>0</v>
      </c>
      <c r="Y924" s="27" t="str">
        <f t="shared" si="112"/>
        <v/>
      </c>
      <c r="Z924" s="37" t="str">
        <f t="shared" si="113"/>
        <v/>
      </c>
      <c r="AA924" s="37" t="str">
        <f t="shared" si="114"/>
        <v/>
      </c>
      <c r="AB924" s="28" t="str">
        <f t="shared" si="115"/>
        <v/>
      </c>
      <c r="AC924" s="37"/>
      <c r="AD924" s="38">
        <f t="shared" si="116"/>
        <v>1</v>
      </c>
      <c r="AE924" t="str">
        <f>IFERROR(F924&amp;"*"&amp;ROUND(L924*(G924/$AN924)/VLOOKUP(F924,商品!$A$4:$D$67,4,FALSE),0),"")</f>
        <v/>
      </c>
      <c r="AF924" t="str">
        <f>IFERROR(H924&amp;"*"&amp;ROUND(L924*(I924/$AN924)/VLOOKUP(H924,商品!$A$4:$D$67,4,FALSE),0),"")</f>
        <v/>
      </c>
      <c r="AG924" t="str">
        <f>IFERROR(J924&amp;"*"&amp;ROUND(L924*(K924/$AN924)/VLOOKUP(J924,商品!$A$4:$D$67,4,FALSE),0),"")</f>
        <v/>
      </c>
      <c r="AH924" t="str">
        <f>IFERROR(M924&amp;"*"&amp;ROUND(S924*(N924/$AO924)/VLOOKUP(M924,职业!$A$3:$E$16,4,FALSE),0),"")</f>
        <v/>
      </c>
      <c r="AI924" t="str">
        <f>IFERROR(O924&amp;"*"&amp;ROUND(S924*(P924/$AO924)/VLOOKUP(O924,职业!$A$3:$E$16,4,FALSE),0),"")</f>
        <v/>
      </c>
      <c r="AK924" t="str">
        <f>IFERROR(T924&amp;"*"&amp;ROUND(X924*(U924/$AP924)/VLOOKUP(T924,商品!$A$4:$D$67,4,FALSE),0),"")</f>
        <v/>
      </c>
      <c r="AL924" t="str">
        <f>IFERROR(V924&amp;"*"&amp;ROUND(X924*(W924/$AP924)/VLOOKUP(V924,商品!$A$4:$D$67,4,FALSE),0),"")</f>
        <v/>
      </c>
      <c r="AN924">
        <f t="shared" si="117"/>
        <v>0</v>
      </c>
      <c r="AO924">
        <f t="shared" si="118"/>
        <v>0</v>
      </c>
      <c r="AP924">
        <f t="shared" si="119"/>
        <v>0</v>
      </c>
    </row>
    <row r="925" customHeight="1" spans="1:42">
      <c r="A925" s="18" t="s">
        <v>456</v>
      </c>
      <c r="C925" s="18">
        <v>2</v>
      </c>
      <c r="D925" s="1" t="s">
        <v>293</v>
      </c>
      <c r="E925" s="1" t="s">
        <v>227</v>
      </c>
      <c r="L925" s="1">
        <f>IFERROR(VLOOKUP($D925&amp;$C925,生产方式定位!$A$2:$E$38,2,FALSE)+VLOOKUP($E925&amp;$C925,生产方式定位!$F$3:$J$38,2,FALSE),0)</f>
        <v>0</v>
      </c>
      <c r="S925" s="1">
        <f>IFERROR(VLOOKUP($D925&amp;$C925,生产方式定位!$A$2:$E$38,3,FALSE)+VLOOKUP($E925&amp;$C925,生产方式定位!$F$3:$J$38,3,FALSE),0)</f>
        <v>0</v>
      </c>
      <c r="X925" s="1">
        <f>IFERROR(VLOOKUP($D925&amp;$C925,生产方式定位!$A$2:$E$38,5,FALSE)+VLOOKUP($E925&amp;$C925,生产方式定位!$F$3:$J$38,5,FALSE),"错误")</f>
        <v>0</v>
      </c>
      <c r="Y925" s="27" t="str">
        <f t="shared" si="112"/>
        <v/>
      </c>
      <c r="Z925" s="37" t="str">
        <f t="shared" si="113"/>
        <v/>
      </c>
      <c r="AA925" s="37" t="str">
        <f t="shared" si="114"/>
        <v/>
      </c>
      <c r="AB925" s="28" t="str">
        <f t="shared" si="115"/>
        <v/>
      </c>
      <c r="AC925" s="37"/>
      <c r="AD925" s="38">
        <f t="shared" si="116"/>
        <v>2</v>
      </c>
      <c r="AE925" t="str">
        <f>IFERROR(F925&amp;"*"&amp;ROUND(L925*(G925/$AN925)/VLOOKUP(F925,商品!$A$4:$D$67,4,FALSE),0),"")</f>
        <v/>
      </c>
      <c r="AF925" t="str">
        <f>IFERROR(H925&amp;"*"&amp;ROUND(L925*(I925/$AN925)/VLOOKUP(H925,商品!$A$4:$D$67,4,FALSE),0),"")</f>
        <v/>
      </c>
      <c r="AG925" t="str">
        <f>IFERROR(J925&amp;"*"&amp;ROUND(L925*(K925/$AN925)/VLOOKUP(J925,商品!$A$4:$D$67,4,FALSE),0),"")</f>
        <v/>
      </c>
      <c r="AH925" t="str">
        <f>IFERROR(M925&amp;"*"&amp;ROUND(S925*(N925/$AO925)/VLOOKUP(M925,职业!$A$3:$E$16,4,FALSE),0),"")</f>
        <v/>
      </c>
      <c r="AI925" t="str">
        <f>IFERROR(O925&amp;"*"&amp;ROUND(S925*(P925/$AO925)/VLOOKUP(O925,职业!$A$3:$E$16,4,FALSE),0),"")</f>
        <v/>
      </c>
      <c r="AK925" t="str">
        <f>IFERROR(T925&amp;"*"&amp;ROUND(X925*(U925/$AP925)/VLOOKUP(T925,商品!$A$4:$D$67,4,FALSE),0),"")</f>
        <v/>
      </c>
      <c r="AL925" t="str">
        <f>IFERROR(V925&amp;"*"&amp;ROUND(X925*(W925/$AP925)/VLOOKUP(V925,商品!$A$4:$D$67,4,FALSE),0),"")</f>
        <v/>
      </c>
      <c r="AN925">
        <f t="shared" si="117"/>
        <v>0</v>
      </c>
      <c r="AO925">
        <f t="shared" si="118"/>
        <v>0</v>
      </c>
      <c r="AP925">
        <f t="shared" si="119"/>
        <v>0</v>
      </c>
    </row>
    <row r="926" customHeight="1" spans="1:42">
      <c r="A926" s="18" t="s">
        <v>456</v>
      </c>
      <c r="C926" s="18">
        <v>3</v>
      </c>
      <c r="D926" s="1" t="s">
        <v>293</v>
      </c>
      <c r="E926" s="1" t="s">
        <v>227</v>
      </c>
      <c r="L926" s="1">
        <f>IFERROR(VLOOKUP($D926&amp;$C926,生产方式定位!$A$2:$E$38,2,FALSE)+VLOOKUP($E926&amp;$C926,生产方式定位!$F$3:$J$38,2,FALSE),0)</f>
        <v>0</v>
      </c>
      <c r="S926" s="1">
        <f>IFERROR(VLOOKUP($D926&amp;$C926,生产方式定位!$A$2:$E$38,3,FALSE)+VLOOKUP($E926&amp;$C926,生产方式定位!$F$3:$J$38,3,FALSE),0)</f>
        <v>0</v>
      </c>
      <c r="X926" s="1">
        <f>IFERROR(VLOOKUP($D926&amp;$C926,生产方式定位!$A$2:$E$38,5,FALSE)+VLOOKUP($E926&amp;$C926,生产方式定位!$F$3:$J$38,5,FALSE),"错误")</f>
        <v>0</v>
      </c>
      <c r="Y926" s="27" t="str">
        <f t="shared" si="112"/>
        <v/>
      </c>
      <c r="Z926" s="37" t="str">
        <f t="shared" si="113"/>
        <v/>
      </c>
      <c r="AA926" s="37" t="str">
        <f t="shared" si="114"/>
        <v/>
      </c>
      <c r="AB926" s="28" t="str">
        <f t="shared" si="115"/>
        <v/>
      </c>
      <c r="AC926" s="37"/>
      <c r="AD926" s="38">
        <f t="shared" si="116"/>
        <v>3</v>
      </c>
      <c r="AE926" t="str">
        <f>IFERROR(F926&amp;"*"&amp;ROUND(L926*(G926/$AN926)/VLOOKUP(F926,商品!$A$4:$D$67,4,FALSE),0),"")</f>
        <v/>
      </c>
      <c r="AF926" t="str">
        <f>IFERROR(H926&amp;"*"&amp;ROUND(L926*(I926/$AN926)/VLOOKUP(H926,商品!$A$4:$D$67,4,FALSE),0),"")</f>
        <v/>
      </c>
      <c r="AG926" t="str">
        <f>IFERROR(J926&amp;"*"&amp;ROUND(L926*(K926/$AN926)/VLOOKUP(J926,商品!$A$4:$D$67,4,FALSE),0),"")</f>
        <v/>
      </c>
      <c r="AH926" t="str">
        <f>IFERROR(M926&amp;"*"&amp;ROUND(S926*(N926/$AO926)/VLOOKUP(M926,职业!$A$3:$E$16,4,FALSE),0),"")</f>
        <v/>
      </c>
      <c r="AI926" t="str">
        <f>IFERROR(O926&amp;"*"&amp;ROUND(S926*(P926/$AO926)/VLOOKUP(O926,职业!$A$3:$E$16,4,FALSE),0),"")</f>
        <v/>
      </c>
      <c r="AK926" t="str">
        <f>IFERROR(T926&amp;"*"&amp;ROUND(X926*(U926/$AP926)/VLOOKUP(T926,商品!$A$4:$D$67,4,FALSE),0),"")</f>
        <v/>
      </c>
      <c r="AL926" t="str">
        <f>IFERROR(V926&amp;"*"&amp;ROUND(X926*(W926/$AP926)/VLOOKUP(V926,商品!$A$4:$D$67,4,FALSE),0),"")</f>
        <v/>
      </c>
      <c r="AN926">
        <f t="shared" si="117"/>
        <v>0</v>
      </c>
      <c r="AO926">
        <f t="shared" si="118"/>
        <v>0</v>
      </c>
      <c r="AP926">
        <f t="shared" si="119"/>
        <v>0</v>
      </c>
    </row>
    <row r="927" customHeight="1" spans="1:42">
      <c r="A927" s="18" t="s">
        <v>456</v>
      </c>
      <c r="C927" s="18">
        <v>4</v>
      </c>
      <c r="D927" s="1" t="s">
        <v>293</v>
      </c>
      <c r="E927" s="1" t="s">
        <v>227</v>
      </c>
      <c r="L927" s="1">
        <f>IFERROR(VLOOKUP($D927&amp;$C927,生产方式定位!$A$2:$E$38,2,FALSE)+VLOOKUP($E927&amp;$C927,生产方式定位!$F$3:$J$38,2,FALSE),0)</f>
        <v>0</v>
      </c>
      <c r="S927" s="1">
        <f>IFERROR(VLOOKUP($D927&amp;$C927,生产方式定位!$A$2:$E$38,3,FALSE)+VLOOKUP($E927&amp;$C927,生产方式定位!$F$3:$J$38,3,FALSE),0)</f>
        <v>0</v>
      </c>
      <c r="X927" s="1">
        <f>IFERROR(VLOOKUP($D927&amp;$C927,生产方式定位!$A$2:$E$38,5,FALSE)+VLOOKUP($E927&amp;$C927,生产方式定位!$F$3:$J$38,5,FALSE),"错误")</f>
        <v>0</v>
      </c>
      <c r="Y927" s="27" t="str">
        <f t="shared" si="112"/>
        <v/>
      </c>
      <c r="Z927" s="37" t="str">
        <f t="shared" si="113"/>
        <v/>
      </c>
      <c r="AA927" s="37" t="str">
        <f t="shared" si="114"/>
        <v/>
      </c>
      <c r="AB927" s="28" t="str">
        <f t="shared" si="115"/>
        <v/>
      </c>
      <c r="AC927" s="37"/>
      <c r="AD927" s="38">
        <f t="shared" si="116"/>
        <v>4</v>
      </c>
      <c r="AE927" t="str">
        <f>IFERROR(F927&amp;"*"&amp;ROUND(L927*(G927/$AN927)/VLOOKUP(F927,商品!$A$4:$D$67,4,FALSE),0),"")</f>
        <v/>
      </c>
      <c r="AF927" t="str">
        <f>IFERROR(H927&amp;"*"&amp;ROUND(L927*(I927/$AN927)/VLOOKUP(H927,商品!$A$4:$D$67,4,FALSE),0),"")</f>
        <v/>
      </c>
      <c r="AG927" t="str">
        <f>IFERROR(J927&amp;"*"&amp;ROUND(L927*(K927/$AN927)/VLOOKUP(J927,商品!$A$4:$D$67,4,FALSE),0),"")</f>
        <v/>
      </c>
      <c r="AH927" t="str">
        <f>IFERROR(M927&amp;"*"&amp;ROUND(S927*(N927/$AO927)/VLOOKUP(M927,职业!$A$3:$E$16,4,FALSE),0),"")</f>
        <v/>
      </c>
      <c r="AI927" t="str">
        <f>IFERROR(O927&amp;"*"&amp;ROUND(S927*(P927/$AO927)/VLOOKUP(O927,职业!$A$3:$E$16,4,FALSE),0),"")</f>
        <v/>
      </c>
      <c r="AK927" t="str">
        <f>IFERROR(T927&amp;"*"&amp;ROUND(X927*(U927/$AP927)/VLOOKUP(T927,商品!$A$4:$D$67,4,FALSE),0),"")</f>
        <v/>
      </c>
      <c r="AL927" t="str">
        <f>IFERROR(V927&amp;"*"&amp;ROUND(X927*(W927/$AP927)/VLOOKUP(V927,商品!$A$4:$D$67,4,FALSE),0),"")</f>
        <v/>
      </c>
      <c r="AN927">
        <f t="shared" si="117"/>
        <v>0</v>
      </c>
      <c r="AO927">
        <f t="shared" si="118"/>
        <v>0</v>
      </c>
      <c r="AP927">
        <f t="shared" si="119"/>
        <v>0</v>
      </c>
    </row>
    <row r="928" customHeight="1" spans="1:42">
      <c r="A928" s="18" t="s">
        <v>456</v>
      </c>
      <c r="C928" s="18">
        <v>5</v>
      </c>
      <c r="D928" s="1" t="s">
        <v>293</v>
      </c>
      <c r="E928" s="1" t="s">
        <v>227</v>
      </c>
      <c r="L928" s="1">
        <f>IFERROR(VLOOKUP($D928&amp;$C928,生产方式定位!$A$2:$E$38,2,FALSE)+VLOOKUP($E928&amp;$C928,生产方式定位!$F$3:$J$38,2,FALSE),0)</f>
        <v>0</v>
      </c>
      <c r="S928" s="1">
        <f>IFERROR(VLOOKUP($D928&amp;$C928,生产方式定位!$A$2:$E$38,3,FALSE)+VLOOKUP($E928&amp;$C928,生产方式定位!$F$3:$J$38,3,FALSE),0)</f>
        <v>0</v>
      </c>
      <c r="X928" s="1">
        <f>IFERROR(VLOOKUP($D928&amp;$C928,生产方式定位!$A$2:$E$38,5,FALSE)+VLOOKUP($E928&amp;$C928,生产方式定位!$F$3:$J$38,5,FALSE),"错误")</f>
        <v>0</v>
      </c>
      <c r="Y928" s="27" t="str">
        <f t="shared" si="112"/>
        <v/>
      </c>
      <c r="Z928" s="37" t="str">
        <f t="shared" si="113"/>
        <v/>
      </c>
      <c r="AA928" s="37" t="str">
        <f t="shared" si="114"/>
        <v/>
      </c>
      <c r="AB928" s="28" t="str">
        <f t="shared" si="115"/>
        <v/>
      </c>
      <c r="AC928" s="37"/>
      <c r="AD928" s="38">
        <f t="shared" si="116"/>
        <v>5</v>
      </c>
      <c r="AE928" t="str">
        <f>IFERROR(F928&amp;"*"&amp;ROUND(L928*(G928/$AN928)/VLOOKUP(F928,商品!$A$4:$D$67,4,FALSE),0),"")</f>
        <v/>
      </c>
      <c r="AF928" t="str">
        <f>IFERROR(H928&amp;"*"&amp;ROUND(L928*(I928/$AN928)/VLOOKUP(H928,商品!$A$4:$D$67,4,FALSE),0),"")</f>
        <v/>
      </c>
      <c r="AG928" t="str">
        <f>IFERROR(J928&amp;"*"&amp;ROUND(L928*(K928/$AN928)/VLOOKUP(J928,商品!$A$4:$D$67,4,FALSE),0),"")</f>
        <v/>
      </c>
      <c r="AH928" t="str">
        <f>IFERROR(M928&amp;"*"&amp;ROUND(S928*(N928/$AO928)/VLOOKUP(M928,职业!$A$3:$E$16,4,FALSE),0),"")</f>
        <v/>
      </c>
      <c r="AI928" t="str">
        <f>IFERROR(O928&amp;"*"&amp;ROUND(S928*(P928/$AO928)/VLOOKUP(O928,职业!$A$3:$E$16,4,FALSE),0),"")</f>
        <v/>
      </c>
      <c r="AK928" t="str">
        <f>IFERROR(T928&amp;"*"&amp;ROUND(X928*(U928/$AP928)/VLOOKUP(T928,商品!$A$4:$D$67,4,FALSE),0),"")</f>
        <v/>
      </c>
      <c r="AL928" t="str">
        <f>IFERROR(V928&amp;"*"&amp;ROUND(X928*(W928/$AP928)/VLOOKUP(V928,商品!$A$4:$D$67,4,FALSE),0),"")</f>
        <v/>
      </c>
      <c r="AN928">
        <f t="shared" si="117"/>
        <v>0</v>
      </c>
      <c r="AO928">
        <f t="shared" si="118"/>
        <v>0</v>
      </c>
      <c r="AP928">
        <f t="shared" si="119"/>
        <v>0</v>
      </c>
    </row>
    <row r="929" customHeight="1" spans="1:42">
      <c r="A929" s="18" t="s">
        <v>456</v>
      </c>
      <c r="C929" s="18">
        <v>6</v>
      </c>
      <c r="D929" s="1" t="s">
        <v>293</v>
      </c>
      <c r="E929" s="1" t="s">
        <v>227</v>
      </c>
      <c r="L929" s="1">
        <f>IFERROR(VLOOKUP($D929&amp;$C929,生产方式定位!$A$2:$E$38,2,FALSE)+VLOOKUP($E929&amp;$C929,生产方式定位!$F$3:$J$38,2,FALSE),0)</f>
        <v>0</v>
      </c>
      <c r="S929" s="1">
        <f>IFERROR(VLOOKUP($D929&amp;$C929,生产方式定位!$A$2:$E$38,3,FALSE)+VLOOKUP($E929&amp;$C929,生产方式定位!$F$3:$J$38,3,FALSE),0)</f>
        <v>0</v>
      </c>
      <c r="X929" s="1">
        <f>IFERROR(VLOOKUP($D929&amp;$C929,生产方式定位!$A$2:$E$38,5,FALSE)+VLOOKUP($E929&amp;$C929,生产方式定位!$F$3:$J$38,5,FALSE),"错误")</f>
        <v>0</v>
      </c>
      <c r="Y929" s="27" t="str">
        <f t="shared" si="112"/>
        <v/>
      </c>
      <c r="Z929" s="37" t="str">
        <f t="shared" si="113"/>
        <v/>
      </c>
      <c r="AA929" s="37" t="str">
        <f t="shared" si="114"/>
        <v/>
      </c>
      <c r="AB929" s="28" t="str">
        <f t="shared" si="115"/>
        <v/>
      </c>
      <c r="AC929" s="37"/>
      <c r="AD929" s="38">
        <f t="shared" si="116"/>
        <v>6</v>
      </c>
      <c r="AE929" t="str">
        <f>IFERROR(F929&amp;"*"&amp;ROUND(L929*(G929/$AN929)/VLOOKUP(F929,商品!$A$4:$D$67,4,FALSE),0),"")</f>
        <v/>
      </c>
      <c r="AF929" t="str">
        <f>IFERROR(H929&amp;"*"&amp;ROUND(L929*(I929/$AN929)/VLOOKUP(H929,商品!$A$4:$D$67,4,FALSE),0),"")</f>
        <v/>
      </c>
      <c r="AG929" t="str">
        <f>IFERROR(J929&amp;"*"&amp;ROUND(L929*(K929/$AN929)/VLOOKUP(J929,商品!$A$4:$D$67,4,FALSE),0),"")</f>
        <v/>
      </c>
      <c r="AH929" t="str">
        <f>IFERROR(M929&amp;"*"&amp;ROUND(S929*(N929/$AO929)/VLOOKUP(M929,职业!$A$3:$E$16,4,FALSE),0),"")</f>
        <v/>
      </c>
      <c r="AI929" t="str">
        <f>IFERROR(O929&amp;"*"&amp;ROUND(S929*(P929/$AO929)/VLOOKUP(O929,职业!$A$3:$E$16,4,FALSE),0),"")</f>
        <v/>
      </c>
      <c r="AK929" t="str">
        <f>IFERROR(T929&amp;"*"&amp;ROUND(X929*(U929/$AP929)/VLOOKUP(T929,商品!$A$4:$D$67,4,FALSE),0),"")</f>
        <v/>
      </c>
      <c r="AL929" t="str">
        <f>IFERROR(V929&amp;"*"&amp;ROUND(X929*(W929/$AP929)/VLOOKUP(V929,商品!$A$4:$D$67,4,FALSE),0),"")</f>
        <v/>
      </c>
      <c r="AN929">
        <f t="shared" si="117"/>
        <v>0</v>
      </c>
      <c r="AO929">
        <f t="shared" si="118"/>
        <v>0</v>
      </c>
      <c r="AP929">
        <f t="shared" si="119"/>
        <v>0</v>
      </c>
    </row>
    <row r="930" customHeight="1" spans="1:42">
      <c r="A930" s="18" t="s">
        <v>456</v>
      </c>
      <c r="C930" s="18">
        <v>7</v>
      </c>
      <c r="D930" s="1" t="s">
        <v>293</v>
      </c>
      <c r="E930" s="1" t="s">
        <v>227</v>
      </c>
      <c r="L930" s="1">
        <f>IFERROR(VLOOKUP($D930&amp;$C930,生产方式定位!$A$2:$E$38,2,FALSE)+VLOOKUP($E930&amp;$C930,生产方式定位!$F$3:$J$38,2,FALSE),0)</f>
        <v>0</v>
      </c>
      <c r="S930" s="1">
        <f>IFERROR(VLOOKUP($D930&amp;$C930,生产方式定位!$A$2:$E$38,3,FALSE)+VLOOKUP($E930&amp;$C930,生产方式定位!$F$3:$J$38,3,FALSE),0)</f>
        <v>0</v>
      </c>
      <c r="X930" s="1">
        <f>IFERROR(VLOOKUP($D930&amp;$C930,生产方式定位!$A$2:$E$38,5,FALSE)+VLOOKUP($E930&amp;$C930,生产方式定位!$F$3:$J$38,5,FALSE),"错误")</f>
        <v>0</v>
      </c>
      <c r="Y930" s="27" t="str">
        <f t="shared" si="112"/>
        <v/>
      </c>
      <c r="Z930" s="37" t="str">
        <f t="shared" si="113"/>
        <v/>
      </c>
      <c r="AA930" s="37" t="str">
        <f t="shared" si="114"/>
        <v/>
      </c>
      <c r="AB930" s="28" t="str">
        <f t="shared" si="115"/>
        <v/>
      </c>
      <c r="AC930" s="37"/>
      <c r="AD930" s="38">
        <f t="shared" si="116"/>
        <v>7</v>
      </c>
      <c r="AE930" t="str">
        <f>IFERROR(F930&amp;"*"&amp;ROUND(L930*(G930/$AN930)/VLOOKUP(F930,商品!$A$4:$D$67,4,FALSE),0),"")</f>
        <v/>
      </c>
      <c r="AF930" t="str">
        <f>IFERROR(H930&amp;"*"&amp;ROUND(L930*(I930/$AN930)/VLOOKUP(H930,商品!$A$4:$D$67,4,FALSE),0),"")</f>
        <v/>
      </c>
      <c r="AG930" t="str">
        <f>IFERROR(J930&amp;"*"&amp;ROUND(L930*(K930/$AN930)/VLOOKUP(J930,商品!$A$4:$D$67,4,FALSE),0),"")</f>
        <v/>
      </c>
      <c r="AH930" t="str">
        <f>IFERROR(M930&amp;"*"&amp;ROUND(S930*(N930/$AO930)/VLOOKUP(M930,职业!$A$3:$E$16,4,FALSE),0),"")</f>
        <v/>
      </c>
      <c r="AI930" t="str">
        <f>IFERROR(O930&amp;"*"&amp;ROUND(S930*(P930/$AO930)/VLOOKUP(O930,职业!$A$3:$E$16,4,FALSE),0),"")</f>
        <v/>
      </c>
      <c r="AK930" t="str">
        <f>IFERROR(T930&amp;"*"&amp;ROUND(X930*(U930/$AP930)/VLOOKUP(T930,商品!$A$4:$D$67,4,FALSE),0),"")</f>
        <v/>
      </c>
      <c r="AL930" t="str">
        <f>IFERROR(V930&amp;"*"&amp;ROUND(X930*(W930/$AP930)/VLOOKUP(V930,商品!$A$4:$D$67,4,FALSE),0),"")</f>
        <v/>
      </c>
      <c r="AN930">
        <f t="shared" si="117"/>
        <v>0</v>
      </c>
      <c r="AO930">
        <f t="shared" si="118"/>
        <v>0</v>
      </c>
      <c r="AP930">
        <f t="shared" si="119"/>
        <v>0</v>
      </c>
    </row>
    <row r="931" customHeight="1" spans="1:42">
      <c r="A931" s="18" t="s">
        <v>456</v>
      </c>
      <c r="C931" s="18">
        <v>8</v>
      </c>
      <c r="D931" s="1" t="s">
        <v>293</v>
      </c>
      <c r="E931" s="1" t="s">
        <v>227</v>
      </c>
      <c r="L931" s="1">
        <f>IFERROR(VLOOKUP($D931&amp;$C931,生产方式定位!$A$2:$E$38,2,FALSE)+VLOOKUP($E931&amp;$C931,生产方式定位!$F$3:$J$38,2,FALSE),0)</f>
        <v>0</v>
      </c>
      <c r="S931" s="1">
        <f>IFERROR(VLOOKUP($D931&amp;$C931,生产方式定位!$A$2:$E$38,3,FALSE)+VLOOKUP($E931&amp;$C931,生产方式定位!$F$3:$J$38,3,FALSE),0)</f>
        <v>0</v>
      </c>
      <c r="X931" s="1">
        <f>IFERROR(VLOOKUP($D931&amp;$C931,生产方式定位!$A$2:$E$38,5,FALSE)+VLOOKUP($E931&amp;$C931,生产方式定位!$F$3:$J$38,5,FALSE),"错误")</f>
        <v>0</v>
      </c>
      <c r="Y931" s="27" t="str">
        <f t="shared" si="112"/>
        <v/>
      </c>
      <c r="Z931" s="37" t="str">
        <f t="shared" si="113"/>
        <v/>
      </c>
      <c r="AA931" s="37" t="str">
        <f t="shared" si="114"/>
        <v/>
      </c>
      <c r="AB931" s="28" t="str">
        <f t="shared" si="115"/>
        <v/>
      </c>
      <c r="AC931" s="37"/>
      <c r="AD931" s="38">
        <f t="shared" si="116"/>
        <v>8</v>
      </c>
      <c r="AE931" t="str">
        <f>IFERROR(F931&amp;"*"&amp;ROUND(L931*(G931/$AN931)/VLOOKUP(F931,商品!$A$4:$D$67,4,FALSE),0),"")</f>
        <v/>
      </c>
      <c r="AF931" t="str">
        <f>IFERROR(H931&amp;"*"&amp;ROUND(L931*(I931/$AN931)/VLOOKUP(H931,商品!$A$4:$D$67,4,FALSE),0),"")</f>
        <v/>
      </c>
      <c r="AG931" t="str">
        <f>IFERROR(J931&amp;"*"&amp;ROUND(L931*(K931/$AN931)/VLOOKUP(J931,商品!$A$4:$D$67,4,FALSE),0),"")</f>
        <v/>
      </c>
      <c r="AH931" t="str">
        <f>IFERROR(M931&amp;"*"&amp;ROUND(S931*(N931/$AO931)/VLOOKUP(M931,职业!$A$3:$E$16,4,FALSE),0),"")</f>
        <v/>
      </c>
      <c r="AI931" t="str">
        <f>IFERROR(O931&amp;"*"&amp;ROUND(S931*(P931/$AO931)/VLOOKUP(O931,职业!$A$3:$E$16,4,FALSE),0),"")</f>
        <v/>
      </c>
      <c r="AK931" t="str">
        <f>IFERROR(T931&amp;"*"&amp;ROUND(X931*(U931/$AP931)/VLOOKUP(T931,商品!$A$4:$D$67,4,FALSE),0),"")</f>
        <v/>
      </c>
      <c r="AL931" t="str">
        <f>IFERROR(V931&amp;"*"&amp;ROUND(X931*(W931/$AP931)/VLOOKUP(V931,商品!$A$4:$D$67,4,FALSE),0),"")</f>
        <v/>
      </c>
      <c r="AN931">
        <f t="shared" si="117"/>
        <v>0</v>
      </c>
      <c r="AO931">
        <f t="shared" si="118"/>
        <v>0</v>
      </c>
      <c r="AP931">
        <f t="shared" si="119"/>
        <v>0</v>
      </c>
    </row>
    <row r="932" customHeight="1" spans="1:42">
      <c r="A932" s="5" t="s">
        <v>458</v>
      </c>
      <c r="C932" s="5">
        <v>1</v>
      </c>
      <c r="D932" s="1" t="s">
        <v>222</v>
      </c>
      <c r="E932" s="1" t="s">
        <v>224</v>
      </c>
      <c r="L932" s="1">
        <f>IFERROR(VLOOKUP($D932&amp;$C932,生产方式定位!$A$2:$E$38,2,FALSE)+VLOOKUP($E932&amp;$C932,生产方式定位!$F$3:$J$38,2,FALSE),0)</f>
        <v>0</v>
      </c>
      <c r="S932" s="1">
        <f>IFERROR(VLOOKUP($D932&amp;$C932,生产方式定位!$A$2:$E$38,3,FALSE)+VLOOKUP($E932&amp;$C932,生产方式定位!$F$3:$J$38,3,FALSE),0)</f>
        <v>500</v>
      </c>
      <c r="X932" s="1">
        <f>IFERROR(VLOOKUP($D932&amp;$C932,生产方式定位!$A$2:$E$38,5,FALSE)+VLOOKUP($E932&amp;$C932,生产方式定位!$F$3:$J$38,5,FALSE),"错误")</f>
        <v>250</v>
      </c>
      <c r="Y932" s="27" t="str">
        <f t="shared" si="112"/>
        <v/>
      </c>
      <c r="Z932" s="37" t="str">
        <f t="shared" si="113"/>
        <v/>
      </c>
      <c r="AA932" s="37" t="str">
        <f t="shared" si="114"/>
        <v/>
      </c>
      <c r="AB932" s="28">
        <f t="shared" si="115"/>
        <v>0</v>
      </c>
      <c r="AC932" s="37"/>
      <c r="AD932" s="38">
        <f t="shared" si="116"/>
        <v>1</v>
      </c>
      <c r="AE932" t="str">
        <f>IFERROR(F932&amp;"*"&amp;ROUND(L932*(G932/$AN932)/VLOOKUP(F932,商品!$A$4:$D$67,4,FALSE),0),"")</f>
        <v/>
      </c>
      <c r="AF932" t="str">
        <f>IFERROR(H932&amp;"*"&amp;ROUND(L932*(I932/$AN932)/VLOOKUP(H932,商品!$A$4:$D$67,4,FALSE),0),"")</f>
        <v/>
      </c>
      <c r="AG932" t="str">
        <f>IFERROR(J932&amp;"*"&amp;ROUND(L932*(K932/$AN932)/VLOOKUP(J932,商品!$A$4:$D$67,4,FALSE),0),"")</f>
        <v/>
      </c>
      <c r="AH932" t="str">
        <f>IFERROR(M932&amp;"*"&amp;ROUND(S932*(N932/$AO932)/VLOOKUP(M932,职业!$A$3:$E$16,4,FALSE),0),"")</f>
        <v/>
      </c>
      <c r="AI932" t="str">
        <f>IFERROR(O932&amp;"*"&amp;ROUND(S932*(P932/$AO932)/VLOOKUP(O932,职业!$A$3:$E$16,4,FALSE),0),"")</f>
        <v/>
      </c>
      <c r="AK932" t="str">
        <f>IFERROR(T932&amp;"*"&amp;ROUND(X932*(U932/$AP932)/VLOOKUP(T932,商品!$A$4:$D$67,4,FALSE),0),"")</f>
        <v/>
      </c>
      <c r="AL932" t="str">
        <f>IFERROR(V932&amp;"*"&amp;ROUND(X932*(W932/$AP932)/VLOOKUP(V932,商品!$A$4:$D$67,4,FALSE),0),"")</f>
        <v/>
      </c>
      <c r="AN932">
        <f t="shared" si="117"/>
        <v>0</v>
      </c>
      <c r="AO932">
        <f t="shared" si="118"/>
        <v>0</v>
      </c>
      <c r="AP932">
        <f t="shared" si="119"/>
        <v>0</v>
      </c>
    </row>
    <row r="933" customHeight="1" spans="1:42">
      <c r="A933" s="5" t="s">
        <v>458</v>
      </c>
      <c r="C933" s="5">
        <v>2</v>
      </c>
      <c r="D933" s="1" t="s">
        <v>222</v>
      </c>
      <c r="E933" s="1" t="s">
        <v>224</v>
      </c>
      <c r="L933" s="1">
        <f>IFERROR(VLOOKUP($D933&amp;$C933,生产方式定位!$A$2:$E$38,2,FALSE)+VLOOKUP($E933&amp;$C933,生产方式定位!$F$3:$J$38,2,FALSE),0)</f>
        <v>2200</v>
      </c>
      <c r="S933" s="1">
        <f>IFERROR(VLOOKUP($D933&amp;$C933,生产方式定位!$A$2:$E$38,3,FALSE)+VLOOKUP($E933&amp;$C933,生产方式定位!$F$3:$J$38,3,FALSE),0)</f>
        <v>750</v>
      </c>
      <c r="X933" s="1">
        <f>IFERROR(VLOOKUP($D933&amp;$C933,生产方式定位!$A$2:$E$38,5,FALSE)+VLOOKUP($E933&amp;$C933,生产方式定位!$F$3:$J$38,5,FALSE),"错误")</f>
        <v>1547</v>
      </c>
      <c r="Y933" s="27" t="str">
        <f t="shared" si="112"/>
        <v/>
      </c>
      <c r="Z933" s="37" t="str">
        <f t="shared" si="113"/>
        <v/>
      </c>
      <c r="AA933" s="37" t="str">
        <f t="shared" si="114"/>
        <v/>
      </c>
      <c r="AB933" s="28">
        <f t="shared" si="115"/>
        <v>1.42</v>
      </c>
      <c r="AC933" s="37"/>
      <c r="AD933" s="38">
        <f t="shared" si="116"/>
        <v>2</v>
      </c>
      <c r="AE933" t="str">
        <f>IFERROR(F933&amp;"*"&amp;ROUND(L933*(G933/$AN933)/VLOOKUP(F933,商品!$A$4:$D$67,4,FALSE),0),"")</f>
        <v/>
      </c>
      <c r="AF933" t="str">
        <f>IFERROR(H933&amp;"*"&amp;ROUND(L933*(I933/$AN933)/VLOOKUP(H933,商品!$A$4:$D$67,4,FALSE),0),"")</f>
        <v/>
      </c>
      <c r="AG933" t="str">
        <f>IFERROR(J933&amp;"*"&amp;ROUND(L933*(K933/$AN933)/VLOOKUP(J933,商品!$A$4:$D$67,4,FALSE),0),"")</f>
        <v/>
      </c>
      <c r="AH933" t="str">
        <f>IFERROR(M933&amp;"*"&amp;ROUND(S933*(N933/$AO933)/VLOOKUP(M933,职业!$A$3:$E$16,4,FALSE),0),"")</f>
        <v/>
      </c>
      <c r="AI933" t="str">
        <f>IFERROR(O933&amp;"*"&amp;ROUND(S933*(P933/$AO933)/VLOOKUP(O933,职业!$A$3:$E$16,4,FALSE),0),"")</f>
        <v/>
      </c>
      <c r="AK933" t="str">
        <f>IFERROR(T933&amp;"*"&amp;ROUND(X933*(U933/$AP933)/VLOOKUP(T933,商品!$A$4:$D$67,4,FALSE),0),"")</f>
        <v/>
      </c>
      <c r="AL933" t="str">
        <f>IFERROR(V933&amp;"*"&amp;ROUND(X933*(W933/$AP933)/VLOOKUP(V933,商品!$A$4:$D$67,4,FALSE),0),"")</f>
        <v/>
      </c>
      <c r="AN933">
        <f t="shared" si="117"/>
        <v>0</v>
      </c>
      <c r="AO933">
        <f t="shared" si="118"/>
        <v>0</v>
      </c>
      <c r="AP933">
        <f t="shared" si="119"/>
        <v>0</v>
      </c>
    </row>
    <row r="934" customHeight="1" spans="1:42">
      <c r="A934" s="5" t="s">
        <v>458</v>
      </c>
      <c r="C934" s="5">
        <v>3</v>
      </c>
      <c r="D934" s="1" t="s">
        <v>222</v>
      </c>
      <c r="E934" s="1" t="s">
        <v>224</v>
      </c>
      <c r="L934" s="1">
        <f>IFERROR(VLOOKUP($D934&amp;$C934,生产方式定位!$A$2:$E$38,2,FALSE)+VLOOKUP($E934&amp;$C934,生产方式定位!$F$3:$J$38,2,FALSE),0)</f>
        <v>3400</v>
      </c>
      <c r="S934" s="1">
        <f>IFERROR(VLOOKUP($D934&amp;$C934,生产方式定位!$A$2:$E$38,3,FALSE)+VLOOKUP($E934&amp;$C934,生产方式定位!$F$3:$J$38,3,FALSE),0)</f>
        <v>1000</v>
      </c>
      <c r="X934" s="1">
        <f>IFERROR(VLOOKUP($D934&amp;$C934,生产方式定位!$A$2:$E$38,5,FALSE)+VLOOKUP($E934&amp;$C934,生产方式定位!$F$3:$J$38,5,FALSE),"错误")</f>
        <v>2488</v>
      </c>
      <c r="Y934" s="27" t="str">
        <f t="shared" si="112"/>
        <v/>
      </c>
      <c r="Z934" s="37" t="str">
        <f t="shared" si="113"/>
        <v/>
      </c>
      <c r="AA934" s="37" t="str">
        <f t="shared" si="114"/>
        <v/>
      </c>
      <c r="AB934" s="28">
        <f t="shared" si="115"/>
        <v>1.37</v>
      </c>
      <c r="AC934" s="37"/>
      <c r="AD934" s="38">
        <f t="shared" si="116"/>
        <v>3</v>
      </c>
      <c r="AE934" t="str">
        <f>IFERROR(F934&amp;"*"&amp;ROUND(L934*(G934/$AN934)/VLOOKUP(F934,商品!$A$4:$D$67,4,FALSE),0),"")</f>
        <v/>
      </c>
      <c r="AF934" t="str">
        <f>IFERROR(H934&amp;"*"&amp;ROUND(L934*(I934/$AN934)/VLOOKUP(H934,商品!$A$4:$D$67,4,FALSE),0),"")</f>
        <v/>
      </c>
      <c r="AG934" t="str">
        <f>IFERROR(J934&amp;"*"&amp;ROUND(L934*(K934/$AN934)/VLOOKUP(J934,商品!$A$4:$D$67,4,FALSE),0),"")</f>
        <v/>
      </c>
      <c r="AH934" t="str">
        <f>IFERROR(M934&amp;"*"&amp;ROUND(S934*(N934/$AO934)/VLOOKUP(M934,职业!$A$3:$E$16,4,FALSE),0),"")</f>
        <v/>
      </c>
      <c r="AI934" t="str">
        <f>IFERROR(O934&amp;"*"&amp;ROUND(S934*(P934/$AO934)/VLOOKUP(O934,职业!$A$3:$E$16,4,FALSE),0),"")</f>
        <v/>
      </c>
      <c r="AK934" t="str">
        <f>IFERROR(T934&amp;"*"&amp;ROUND(X934*(U934/$AP934)/VLOOKUP(T934,商品!$A$4:$D$67,4,FALSE),0),"")</f>
        <v/>
      </c>
      <c r="AL934" t="str">
        <f>IFERROR(V934&amp;"*"&amp;ROUND(X934*(W934/$AP934)/VLOOKUP(V934,商品!$A$4:$D$67,4,FALSE),0),"")</f>
        <v/>
      </c>
      <c r="AN934">
        <f t="shared" si="117"/>
        <v>0</v>
      </c>
      <c r="AO934">
        <f t="shared" si="118"/>
        <v>0</v>
      </c>
      <c r="AP934">
        <f t="shared" si="119"/>
        <v>0</v>
      </c>
    </row>
    <row r="935" customHeight="1" spans="1:42">
      <c r="A935" s="5" t="s">
        <v>458</v>
      </c>
      <c r="C935" s="5">
        <v>4</v>
      </c>
      <c r="D935" s="1" t="s">
        <v>222</v>
      </c>
      <c r="E935" s="1" t="s">
        <v>224</v>
      </c>
      <c r="L935" s="1">
        <f>IFERROR(VLOOKUP($D935&amp;$C935,生产方式定位!$A$2:$E$38,2,FALSE)+VLOOKUP($E935&amp;$C935,生产方式定位!$F$3:$J$38,2,FALSE),0)</f>
        <v>4600</v>
      </c>
      <c r="S935" s="1">
        <f>IFERROR(VLOOKUP($D935&amp;$C935,生产方式定位!$A$2:$E$38,3,FALSE)+VLOOKUP($E935&amp;$C935,生产方式定位!$F$3:$J$38,3,FALSE),0)</f>
        <v>1250</v>
      </c>
      <c r="X935" s="1">
        <f>IFERROR(VLOOKUP($D935&amp;$C935,生产方式定位!$A$2:$E$38,5,FALSE)+VLOOKUP($E935&amp;$C935,生产方式定位!$F$3:$J$38,5,FALSE),"错误")</f>
        <v>3573</v>
      </c>
      <c r="Y935" s="27" t="str">
        <f t="shared" si="112"/>
        <v/>
      </c>
      <c r="Z935" s="37" t="str">
        <f t="shared" si="113"/>
        <v/>
      </c>
      <c r="AA935" s="37" t="str">
        <f t="shared" si="114"/>
        <v/>
      </c>
      <c r="AB935" s="28">
        <f t="shared" si="115"/>
        <v>1.29</v>
      </c>
      <c r="AC935" s="37"/>
      <c r="AD935" s="38">
        <f t="shared" si="116"/>
        <v>4</v>
      </c>
      <c r="AE935" t="str">
        <f>IFERROR(F935&amp;"*"&amp;ROUND(L935*(G935/$AN935)/VLOOKUP(F935,商品!$A$4:$D$67,4,FALSE),0),"")</f>
        <v/>
      </c>
      <c r="AF935" t="str">
        <f>IFERROR(H935&amp;"*"&amp;ROUND(L935*(I935/$AN935)/VLOOKUP(H935,商品!$A$4:$D$67,4,FALSE),0),"")</f>
        <v/>
      </c>
      <c r="AG935" t="str">
        <f>IFERROR(J935&amp;"*"&amp;ROUND(L935*(K935/$AN935)/VLOOKUP(J935,商品!$A$4:$D$67,4,FALSE),0),"")</f>
        <v/>
      </c>
      <c r="AH935" t="str">
        <f>IFERROR(M935&amp;"*"&amp;ROUND(S935*(N935/$AO935)/VLOOKUP(M935,职业!$A$3:$E$16,4,FALSE),0),"")</f>
        <v/>
      </c>
      <c r="AI935" t="str">
        <f>IFERROR(O935&amp;"*"&amp;ROUND(S935*(P935/$AO935)/VLOOKUP(O935,职业!$A$3:$E$16,4,FALSE),0),"")</f>
        <v/>
      </c>
      <c r="AK935" t="str">
        <f>IFERROR(T935&amp;"*"&amp;ROUND(X935*(U935/$AP935)/VLOOKUP(T935,商品!$A$4:$D$67,4,FALSE),0),"")</f>
        <v/>
      </c>
      <c r="AL935" t="str">
        <f>IFERROR(V935&amp;"*"&amp;ROUND(X935*(W935/$AP935)/VLOOKUP(V935,商品!$A$4:$D$67,4,FALSE),0),"")</f>
        <v/>
      </c>
      <c r="AN935">
        <f t="shared" si="117"/>
        <v>0</v>
      </c>
      <c r="AO935">
        <f t="shared" si="118"/>
        <v>0</v>
      </c>
      <c r="AP935">
        <f t="shared" si="119"/>
        <v>0</v>
      </c>
    </row>
    <row r="936" customHeight="1" spans="1:42">
      <c r="A936" s="5" t="s">
        <v>458</v>
      </c>
      <c r="C936" s="5">
        <v>5</v>
      </c>
      <c r="D936" s="1" t="s">
        <v>222</v>
      </c>
      <c r="E936" s="1" t="s">
        <v>224</v>
      </c>
      <c r="L936" s="1">
        <f>IFERROR(VLOOKUP($D936&amp;$C936,生产方式定位!$A$2:$E$38,2,FALSE)+VLOOKUP($E936&amp;$C936,生产方式定位!$F$3:$J$38,2,FALSE),0)</f>
        <v>5800</v>
      </c>
      <c r="S936" s="1">
        <f>IFERROR(VLOOKUP($D936&amp;$C936,生产方式定位!$A$2:$E$38,3,FALSE)+VLOOKUP($E936&amp;$C936,生产方式定位!$F$3:$J$38,3,FALSE),0)</f>
        <v>1500</v>
      </c>
      <c r="X936" s="1">
        <f>IFERROR(VLOOKUP($D936&amp;$C936,生产方式定位!$A$2:$E$38,5,FALSE)+VLOOKUP($E936&amp;$C936,生产方式定位!$F$3:$J$38,5,FALSE),"错误")</f>
        <v>4850</v>
      </c>
      <c r="Y936" s="27" t="str">
        <f t="shared" si="112"/>
        <v/>
      </c>
      <c r="Z936" s="37" t="str">
        <f t="shared" si="113"/>
        <v/>
      </c>
      <c r="AA936" s="37" t="str">
        <f t="shared" si="114"/>
        <v/>
      </c>
      <c r="AB936" s="28">
        <f t="shared" si="115"/>
        <v>1.2</v>
      </c>
      <c r="AC936" s="37"/>
      <c r="AD936" s="38">
        <f t="shared" si="116"/>
        <v>5</v>
      </c>
      <c r="AE936" t="str">
        <f>IFERROR(F936&amp;"*"&amp;ROUND(L936*(G936/$AN936)/VLOOKUP(F936,商品!$A$4:$D$67,4,FALSE),0),"")</f>
        <v/>
      </c>
      <c r="AF936" t="str">
        <f>IFERROR(H936&amp;"*"&amp;ROUND(L936*(I936/$AN936)/VLOOKUP(H936,商品!$A$4:$D$67,4,FALSE),0),"")</f>
        <v/>
      </c>
      <c r="AG936" t="str">
        <f>IFERROR(J936&amp;"*"&amp;ROUND(L936*(K936/$AN936)/VLOOKUP(J936,商品!$A$4:$D$67,4,FALSE),0),"")</f>
        <v/>
      </c>
      <c r="AH936" t="str">
        <f>IFERROR(M936&amp;"*"&amp;ROUND(S936*(N936/$AO936)/VLOOKUP(M936,职业!$A$3:$E$16,4,FALSE),0),"")</f>
        <v/>
      </c>
      <c r="AI936" t="str">
        <f>IFERROR(O936&amp;"*"&amp;ROUND(S936*(P936/$AO936)/VLOOKUP(O936,职业!$A$3:$E$16,4,FALSE),0),"")</f>
        <v/>
      </c>
      <c r="AK936" t="str">
        <f>IFERROR(T936&amp;"*"&amp;ROUND(X936*(U936/$AP936)/VLOOKUP(T936,商品!$A$4:$D$67,4,FALSE),0),"")</f>
        <v/>
      </c>
      <c r="AL936" t="str">
        <f>IFERROR(V936&amp;"*"&amp;ROUND(X936*(W936/$AP936)/VLOOKUP(V936,商品!$A$4:$D$67,4,FALSE),0),"")</f>
        <v/>
      </c>
      <c r="AN936">
        <f t="shared" si="117"/>
        <v>0</v>
      </c>
      <c r="AO936">
        <f t="shared" si="118"/>
        <v>0</v>
      </c>
      <c r="AP936">
        <f t="shared" si="119"/>
        <v>0</v>
      </c>
    </row>
    <row r="937" customHeight="1" spans="1:42">
      <c r="A937" s="18" t="s">
        <v>459</v>
      </c>
      <c r="C937" s="18">
        <v>1</v>
      </c>
      <c r="D937" s="1" t="s">
        <v>222</v>
      </c>
      <c r="E937" s="1" t="s">
        <v>226</v>
      </c>
      <c r="L937" s="1">
        <f>IFERROR(VLOOKUP($D937&amp;$C937,生产方式定位!$A$2:$E$38,2,FALSE)+VLOOKUP($E937&amp;$C937,生产方式定位!$F$3:$J$38,2,FALSE),0)</f>
        <v>0</v>
      </c>
      <c r="S937" s="1">
        <f>IFERROR(VLOOKUP($D937&amp;$C937,生产方式定位!$A$2:$E$38,3,FALSE)+VLOOKUP($E937&amp;$C937,生产方式定位!$F$3:$J$38,3,FALSE),0)</f>
        <v>500</v>
      </c>
      <c r="X937" s="1">
        <f>IFERROR(VLOOKUP($D937&amp;$C937,生产方式定位!$A$2:$E$38,5,FALSE)+VLOOKUP($E937&amp;$C937,生产方式定位!$F$3:$J$38,5,FALSE),"错误")</f>
        <v>250</v>
      </c>
      <c r="Y937" s="27" t="str">
        <f t="shared" si="112"/>
        <v/>
      </c>
      <c r="Z937" s="37" t="str">
        <f t="shared" si="113"/>
        <v/>
      </c>
      <c r="AA937" s="37" t="str">
        <f t="shared" si="114"/>
        <v/>
      </c>
      <c r="AB937" s="28">
        <f t="shared" si="115"/>
        <v>0</v>
      </c>
      <c r="AC937" s="37"/>
      <c r="AD937" s="38">
        <f t="shared" si="116"/>
        <v>1</v>
      </c>
      <c r="AE937" t="str">
        <f>IFERROR(F937&amp;"*"&amp;ROUND(L937*(G937/$AN937)/VLOOKUP(F937,商品!$A$4:$D$67,4,FALSE),0),"")</f>
        <v/>
      </c>
      <c r="AF937" t="str">
        <f>IFERROR(H937&amp;"*"&amp;ROUND(L937*(I937/$AN937)/VLOOKUP(H937,商品!$A$4:$D$67,4,FALSE),0),"")</f>
        <v/>
      </c>
      <c r="AG937" t="str">
        <f>IFERROR(J937&amp;"*"&amp;ROUND(L937*(K937/$AN937)/VLOOKUP(J937,商品!$A$4:$D$67,4,FALSE),0),"")</f>
        <v/>
      </c>
      <c r="AH937" t="str">
        <f>IFERROR(M937&amp;"*"&amp;ROUND(S937*(N937/$AO937)/VLOOKUP(M937,职业!$A$3:$E$16,4,FALSE),0),"")</f>
        <v/>
      </c>
      <c r="AI937" t="str">
        <f>IFERROR(O937&amp;"*"&amp;ROUND(S937*(P937/$AO937)/VLOOKUP(O937,职业!$A$3:$E$16,4,FALSE),0),"")</f>
        <v/>
      </c>
      <c r="AK937" t="str">
        <f>IFERROR(T937&amp;"*"&amp;ROUND(X937*(U937/$AP937)/VLOOKUP(T937,商品!$A$4:$D$67,4,FALSE),0),"")</f>
        <v/>
      </c>
      <c r="AL937" t="str">
        <f>IFERROR(V937&amp;"*"&amp;ROUND(X937*(W937/$AP937)/VLOOKUP(V937,商品!$A$4:$D$67,4,FALSE),0),"")</f>
        <v/>
      </c>
      <c r="AN937">
        <f t="shared" si="117"/>
        <v>0</v>
      </c>
      <c r="AO937">
        <f t="shared" si="118"/>
        <v>0</v>
      </c>
      <c r="AP937">
        <f t="shared" si="119"/>
        <v>0</v>
      </c>
    </row>
    <row r="938" customHeight="1" spans="1:42">
      <c r="A938" s="18" t="s">
        <v>459</v>
      </c>
      <c r="C938" s="18">
        <v>2</v>
      </c>
      <c r="D938" s="1" t="s">
        <v>222</v>
      </c>
      <c r="E938" s="1" t="s">
        <v>226</v>
      </c>
      <c r="L938" s="1">
        <f>IFERROR(VLOOKUP($D938&amp;$C938,生产方式定位!$A$2:$E$38,2,FALSE)+VLOOKUP($E938&amp;$C938,生产方式定位!$F$3:$J$38,2,FALSE),0)</f>
        <v>3200</v>
      </c>
      <c r="S938" s="1">
        <f>IFERROR(VLOOKUP($D938&amp;$C938,生产方式定位!$A$2:$E$38,3,FALSE)+VLOOKUP($E938&amp;$C938,生产方式定位!$F$3:$J$38,3,FALSE),0)</f>
        <v>350</v>
      </c>
      <c r="X938" s="1">
        <f>IFERROR(VLOOKUP($D938&amp;$C938,生产方式定位!$A$2:$E$38,5,FALSE)+VLOOKUP($E938&amp;$C938,生产方式定位!$F$3:$J$38,5,FALSE),"错误")</f>
        <v>1865</v>
      </c>
      <c r="Y938" s="27" t="str">
        <f t="shared" si="112"/>
        <v/>
      </c>
      <c r="Z938" s="37" t="str">
        <f t="shared" si="113"/>
        <v/>
      </c>
      <c r="AA938" s="37" t="str">
        <f t="shared" si="114"/>
        <v/>
      </c>
      <c r="AB938" s="28">
        <f t="shared" si="115"/>
        <v>1.72</v>
      </c>
      <c r="AC938" s="37"/>
      <c r="AD938" s="38">
        <f t="shared" si="116"/>
        <v>2</v>
      </c>
      <c r="AE938" t="str">
        <f>IFERROR(F938&amp;"*"&amp;ROUND(L938*(G938/$AN938)/VLOOKUP(F938,商品!$A$4:$D$67,4,FALSE),0),"")</f>
        <v/>
      </c>
      <c r="AF938" t="str">
        <f>IFERROR(H938&amp;"*"&amp;ROUND(L938*(I938/$AN938)/VLOOKUP(H938,商品!$A$4:$D$67,4,FALSE),0),"")</f>
        <v/>
      </c>
      <c r="AG938" t="str">
        <f>IFERROR(J938&amp;"*"&amp;ROUND(L938*(K938/$AN938)/VLOOKUP(J938,商品!$A$4:$D$67,4,FALSE),0),"")</f>
        <v/>
      </c>
      <c r="AH938" t="str">
        <f>IFERROR(M938&amp;"*"&amp;ROUND(S938*(N938/$AO938)/VLOOKUP(M938,职业!$A$3:$E$16,4,FALSE),0),"")</f>
        <v/>
      </c>
      <c r="AI938" t="str">
        <f>IFERROR(O938&amp;"*"&amp;ROUND(S938*(P938/$AO938)/VLOOKUP(O938,职业!$A$3:$E$16,4,FALSE),0),"")</f>
        <v/>
      </c>
      <c r="AK938" t="str">
        <f>IFERROR(T938&amp;"*"&amp;ROUND(X938*(U938/$AP938)/VLOOKUP(T938,商品!$A$4:$D$67,4,FALSE),0),"")</f>
        <v/>
      </c>
      <c r="AL938" t="str">
        <f>IFERROR(V938&amp;"*"&amp;ROUND(X938*(W938/$AP938)/VLOOKUP(V938,商品!$A$4:$D$67,4,FALSE),0),"")</f>
        <v/>
      </c>
      <c r="AN938">
        <f t="shared" si="117"/>
        <v>0</v>
      </c>
      <c r="AO938">
        <f t="shared" si="118"/>
        <v>0</v>
      </c>
      <c r="AP938">
        <f t="shared" si="119"/>
        <v>0</v>
      </c>
    </row>
    <row r="939" customHeight="1" spans="1:42">
      <c r="A939" s="18" t="s">
        <v>459</v>
      </c>
      <c r="C939" s="18">
        <v>3</v>
      </c>
      <c r="D939" s="1" t="s">
        <v>222</v>
      </c>
      <c r="E939" s="1" t="s">
        <v>226</v>
      </c>
      <c r="L939" s="1">
        <f>IFERROR(VLOOKUP($D939&amp;$C939,生产方式定位!$A$2:$E$38,2,FALSE)+VLOOKUP($E939&amp;$C939,生产方式定位!$F$3:$J$38,2,FALSE),0)</f>
        <v>4400</v>
      </c>
      <c r="S939" s="1">
        <f>IFERROR(VLOOKUP($D939&amp;$C939,生产方式定位!$A$2:$E$38,3,FALSE)+VLOOKUP($E939&amp;$C939,生产方式定位!$F$3:$J$38,3,FALSE),0)</f>
        <v>200</v>
      </c>
      <c r="X939" s="1">
        <f>IFERROR(VLOOKUP($D939&amp;$C939,生产方式定位!$A$2:$E$38,5,FALSE)+VLOOKUP($E939&amp;$C939,生产方式定位!$F$3:$J$38,5,FALSE),"错误")</f>
        <v>2560</v>
      </c>
      <c r="Y939" s="27" t="str">
        <f t="shared" si="112"/>
        <v/>
      </c>
      <c r="Z939" s="37" t="str">
        <f t="shared" si="113"/>
        <v/>
      </c>
      <c r="AA939" s="37" t="str">
        <f t="shared" si="114"/>
        <v/>
      </c>
      <c r="AB939" s="28">
        <f t="shared" si="115"/>
        <v>1.72</v>
      </c>
      <c r="AC939" s="37"/>
      <c r="AD939" s="38">
        <f t="shared" si="116"/>
        <v>3</v>
      </c>
      <c r="AE939" t="str">
        <f>IFERROR(F939&amp;"*"&amp;ROUND(L939*(G939/$AN939)/VLOOKUP(F939,商品!$A$4:$D$67,4,FALSE),0),"")</f>
        <v/>
      </c>
      <c r="AF939" t="str">
        <f>IFERROR(H939&amp;"*"&amp;ROUND(L939*(I939/$AN939)/VLOOKUP(H939,商品!$A$4:$D$67,4,FALSE),0),"")</f>
        <v/>
      </c>
      <c r="AG939" t="str">
        <f>IFERROR(J939&amp;"*"&amp;ROUND(L939*(K939/$AN939)/VLOOKUP(J939,商品!$A$4:$D$67,4,FALSE),0),"")</f>
        <v/>
      </c>
      <c r="AH939" t="str">
        <f>IFERROR(M939&amp;"*"&amp;ROUND(S939*(N939/$AO939)/VLOOKUP(M939,职业!$A$3:$E$16,4,FALSE),0),"")</f>
        <v/>
      </c>
      <c r="AI939" t="str">
        <f>IFERROR(O939&amp;"*"&amp;ROUND(S939*(P939/$AO939)/VLOOKUP(O939,职业!$A$3:$E$16,4,FALSE),0),"")</f>
        <v/>
      </c>
      <c r="AK939" t="str">
        <f>IFERROR(T939&amp;"*"&amp;ROUND(X939*(U939/$AP939)/VLOOKUP(T939,商品!$A$4:$D$67,4,FALSE),0),"")</f>
        <v/>
      </c>
      <c r="AL939" t="str">
        <f>IFERROR(V939&amp;"*"&amp;ROUND(X939*(W939/$AP939)/VLOOKUP(V939,商品!$A$4:$D$67,4,FALSE),0),"")</f>
        <v/>
      </c>
      <c r="AN939">
        <f t="shared" si="117"/>
        <v>0</v>
      </c>
      <c r="AO939">
        <f t="shared" si="118"/>
        <v>0</v>
      </c>
      <c r="AP939">
        <f t="shared" si="119"/>
        <v>0</v>
      </c>
    </row>
    <row r="940" customHeight="1" spans="1:42">
      <c r="A940" s="18" t="s">
        <v>459</v>
      </c>
      <c r="C940" s="18">
        <v>4</v>
      </c>
      <c r="D940" s="1" t="s">
        <v>222</v>
      </c>
      <c r="E940" s="1" t="s">
        <v>226</v>
      </c>
      <c r="L940" s="1">
        <f>IFERROR(VLOOKUP($D940&amp;$C940,生产方式定位!$A$2:$E$38,2,FALSE)+VLOOKUP($E940&amp;$C940,生产方式定位!$F$3:$J$38,2,FALSE),0)</f>
        <v>5600</v>
      </c>
      <c r="S940" s="1">
        <f>IFERROR(VLOOKUP($D940&amp;$C940,生产方式定位!$A$2:$E$38,3,FALSE)+VLOOKUP($E940&amp;$C940,生产方式定位!$F$3:$J$38,3,FALSE),0)</f>
        <v>50</v>
      </c>
      <c r="X940" s="1">
        <f>IFERROR(VLOOKUP($D940&amp;$C940,生产方式定位!$A$2:$E$38,5,FALSE)+VLOOKUP($E940&amp;$C940,生产方式定位!$F$3:$J$38,5,FALSE),"错误")</f>
        <v>3335</v>
      </c>
      <c r="Y940" s="27" t="str">
        <f t="shared" si="112"/>
        <v/>
      </c>
      <c r="Z940" s="37" t="str">
        <f t="shared" si="113"/>
        <v/>
      </c>
      <c r="AA940" s="37" t="str">
        <f t="shared" si="114"/>
        <v/>
      </c>
      <c r="AB940" s="28">
        <f t="shared" si="115"/>
        <v>1.68</v>
      </c>
      <c r="AC940" s="37"/>
      <c r="AD940" s="38">
        <f t="shared" si="116"/>
        <v>4</v>
      </c>
      <c r="AE940" t="str">
        <f>IFERROR(F940&amp;"*"&amp;ROUND(L940*(G940/$AN940)/VLOOKUP(F940,商品!$A$4:$D$67,4,FALSE),0),"")</f>
        <v/>
      </c>
      <c r="AF940" t="str">
        <f>IFERROR(H940&amp;"*"&amp;ROUND(L940*(I940/$AN940)/VLOOKUP(H940,商品!$A$4:$D$67,4,FALSE),0),"")</f>
        <v/>
      </c>
      <c r="AG940" t="str">
        <f>IFERROR(J940&amp;"*"&amp;ROUND(L940*(K940/$AN940)/VLOOKUP(J940,商品!$A$4:$D$67,4,FALSE),0),"")</f>
        <v/>
      </c>
      <c r="AH940" t="str">
        <f>IFERROR(M940&amp;"*"&amp;ROUND(S940*(N940/$AO940)/VLOOKUP(M940,职业!$A$3:$E$16,4,FALSE),0),"")</f>
        <v/>
      </c>
      <c r="AI940" t="str">
        <f>IFERROR(O940&amp;"*"&amp;ROUND(S940*(P940/$AO940)/VLOOKUP(O940,职业!$A$3:$E$16,4,FALSE),0),"")</f>
        <v/>
      </c>
      <c r="AK940" t="str">
        <f>IFERROR(T940&amp;"*"&amp;ROUND(X940*(U940/$AP940)/VLOOKUP(T940,商品!$A$4:$D$67,4,FALSE),0),"")</f>
        <v/>
      </c>
      <c r="AL940" t="str">
        <f>IFERROR(V940&amp;"*"&amp;ROUND(X940*(W940/$AP940)/VLOOKUP(V940,商品!$A$4:$D$67,4,FALSE),0),"")</f>
        <v/>
      </c>
      <c r="AN940">
        <f t="shared" si="117"/>
        <v>0</v>
      </c>
      <c r="AO940">
        <f t="shared" si="118"/>
        <v>0</v>
      </c>
      <c r="AP940">
        <f t="shared" si="119"/>
        <v>0</v>
      </c>
    </row>
    <row r="941" customHeight="1" spans="1:42">
      <c r="A941" s="18" t="s">
        <v>459</v>
      </c>
      <c r="C941" s="18">
        <v>5</v>
      </c>
      <c r="D941" s="1" t="s">
        <v>222</v>
      </c>
      <c r="E941" s="1" t="s">
        <v>226</v>
      </c>
      <c r="L941" s="1">
        <f>IFERROR(VLOOKUP($D941&amp;$C941,生产方式定位!$A$2:$E$38,2,FALSE)+VLOOKUP($E941&amp;$C941,生产方式定位!$F$3:$J$38,2,FALSE),0)</f>
        <v>6800</v>
      </c>
      <c r="S941" s="1">
        <f>IFERROR(VLOOKUP($D941&amp;$C941,生产方式定位!$A$2:$E$38,3,FALSE)+VLOOKUP($E941&amp;$C941,生产方式定位!$F$3:$J$38,3,FALSE),0)</f>
        <v>-100</v>
      </c>
      <c r="X941" s="1">
        <f>IFERROR(VLOOKUP($D941&amp;$C941,生产方式定位!$A$2:$E$38,5,FALSE)+VLOOKUP($E941&amp;$C941,生产方式定位!$F$3:$J$38,5,FALSE),"错误")</f>
        <v>4190</v>
      </c>
      <c r="Y941" s="27" t="str">
        <f t="shared" si="112"/>
        <v/>
      </c>
      <c r="Z941" s="37" t="str">
        <f t="shared" si="113"/>
        <v/>
      </c>
      <c r="AA941" s="37" t="str">
        <f t="shared" si="114"/>
        <v/>
      </c>
      <c r="AB941" s="28">
        <f t="shared" si="115"/>
        <v>1.62</v>
      </c>
      <c r="AC941" s="37"/>
      <c r="AD941" s="38">
        <f t="shared" si="116"/>
        <v>5</v>
      </c>
      <c r="AE941" t="str">
        <f>IFERROR(F941&amp;"*"&amp;ROUND(L941*(G941/$AN941)/VLOOKUP(F941,商品!$A$4:$D$67,4,FALSE),0),"")</f>
        <v/>
      </c>
      <c r="AF941" t="str">
        <f>IFERROR(H941&amp;"*"&amp;ROUND(L941*(I941/$AN941)/VLOOKUP(H941,商品!$A$4:$D$67,4,FALSE),0),"")</f>
        <v/>
      </c>
      <c r="AG941" t="str">
        <f>IFERROR(J941&amp;"*"&amp;ROUND(L941*(K941/$AN941)/VLOOKUP(J941,商品!$A$4:$D$67,4,FALSE),0),"")</f>
        <v/>
      </c>
      <c r="AH941" t="str">
        <f>IFERROR(M941&amp;"*"&amp;ROUND(S941*(N941/$AO941)/VLOOKUP(M941,职业!$A$3:$E$16,4,FALSE),0),"")</f>
        <v/>
      </c>
      <c r="AI941" t="str">
        <f>IFERROR(O941&amp;"*"&amp;ROUND(S941*(P941/$AO941)/VLOOKUP(O941,职业!$A$3:$E$16,4,FALSE),0),"")</f>
        <v/>
      </c>
      <c r="AK941" t="str">
        <f>IFERROR(T941&amp;"*"&amp;ROUND(X941*(U941/$AP941)/VLOOKUP(T941,商品!$A$4:$D$67,4,FALSE),0),"")</f>
        <v/>
      </c>
      <c r="AL941" t="str">
        <f>IFERROR(V941&amp;"*"&amp;ROUND(X941*(W941/$AP941)/VLOOKUP(V941,商品!$A$4:$D$67,4,FALSE),0),"")</f>
        <v/>
      </c>
      <c r="AN941">
        <f t="shared" si="117"/>
        <v>0</v>
      </c>
      <c r="AO941">
        <f t="shared" si="118"/>
        <v>0</v>
      </c>
      <c r="AP941">
        <f t="shared" si="119"/>
        <v>0</v>
      </c>
    </row>
    <row r="942" customHeight="1" spans="1:42">
      <c r="A942" s="5" t="s">
        <v>459</v>
      </c>
      <c r="C942" s="5">
        <v>1</v>
      </c>
      <c r="D942" s="1" t="s">
        <v>222</v>
      </c>
      <c r="E942" s="1" t="s">
        <v>226</v>
      </c>
      <c r="L942" s="1">
        <f>IFERROR(VLOOKUP($D942&amp;$C942,生产方式定位!$A$2:$E$38,2,FALSE)+VLOOKUP($E942&amp;$C942,生产方式定位!$F$3:$J$38,2,FALSE),0)</f>
        <v>0</v>
      </c>
      <c r="S942" s="1">
        <f>IFERROR(VLOOKUP($D942&amp;$C942,生产方式定位!$A$2:$E$38,3,FALSE)+VLOOKUP($E942&amp;$C942,生产方式定位!$F$3:$J$38,3,FALSE),0)</f>
        <v>500</v>
      </c>
      <c r="X942" s="1">
        <f>IFERROR(VLOOKUP($D942&amp;$C942,生产方式定位!$A$2:$E$38,5,FALSE)+VLOOKUP($E942&amp;$C942,生产方式定位!$F$3:$J$38,5,FALSE),"错误")</f>
        <v>250</v>
      </c>
      <c r="Y942" s="27" t="str">
        <f t="shared" si="112"/>
        <v/>
      </c>
      <c r="Z942" s="37" t="str">
        <f t="shared" si="113"/>
        <v/>
      </c>
      <c r="AA942" s="37" t="str">
        <f t="shared" si="114"/>
        <v/>
      </c>
      <c r="AB942" s="28">
        <f t="shared" si="115"/>
        <v>0</v>
      </c>
      <c r="AC942" s="37"/>
      <c r="AD942" s="38">
        <f t="shared" si="116"/>
        <v>1</v>
      </c>
      <c r="AE942" t="str">
        <f>IFERROR(F942&amp;"*"&amp;ROUND(L942*(G942/$AN942)/VLOOKUP(F942,商品!$A$4:$D$67,4,FALSE),0),"")</f>
        <v/>
      </c>
      <c r="AF942" t="str">
        <f>IFERROR(H942&amp;"*"&amp;ROUND(L942*(I942/$AN942)/VLOOKUP(H942,商品!$A$4:$D$67,4,FALSE),0),"")</f>
        <v/>
      </c>
      <c r="AG942" t="str">
        <f>IFERROR(J942&amp;"*"&amp;ROUND(L942*(K942/$AN942)/VLOOKUP(J942,商品!$A$4:$D$67,4,FALSE),0),"")</f>
        <v/>
      </c>
      <c r="AH942" t="str">
        <f>IFERROR(M942&amp;"*"&amp;ROUND(S942*(N942/$AO942)/VLOOKUP(M942,职业!$A$3:$E$16,4,FALSE),0),"")</f>
        <v/>
      </c>
      <c r="AI942" t="str">
        <f>IFERROR(O942&amp;"*"&amp;ROUND(S942*(P942/$AO942)/VLOOKUP(O942,职业!$A$3:$E$16,4,FALSE),0),"")</f>
        <v/>
      </c>
      <c r="AK942" t="str">
        <f>IFERROR(T942&amp;"*"&amp;ROUND(X942*(U942/$AP942)/VLOOKUP(T942,商品!$A$4:$D$67,4,FALSE),0),"")</f>
        <v/>
      </c>
      <c r="AL942" t="str">
        <f>IFERROR(V942&amp;"*"&amp;ROUND(X942*(W942/$AP942)/VLOOKUP(V942,商品!$A$4:$D$67,4,FALSE),0),"")</f>
        <v/>
      </c>
      <c r="AN942">
        <f t="shared" si="117"/>
        <v>0</v>
      </c>
      <c r="AO942">
        <f t="shared" si="118"/>
        <v>0</v>
      </c>
      <c r="AP942">
        <f t="shared" si="119"/>
        <v>0</v>
      </c>
    </row>
    <row r="943" customHeight="1" spans="1:42">
      <c r="A943" s="5" t="s">
        <v>459</v>
      </c>
      <c r="C943" s="5">
        <v>2</v>
      </c>
      <c r="D943" s="1" t="s">
        <v>222</v>
      </c>
      <c r="E943" s="1" t="s">
        <v>226</v>
      </c>
      <c r="L943" s="1">
        <f>IFERROR(VLOOKUP($D943&amp;$C943,生产方式定位!$A$2:$E$38,2,FALSE)+VLOOKUP($E943&amp;$C943,生产方式定位!$F$3:$J$38,2,FALSE),0)</f>
        <v>3200</v>
      </c>
      <c r="S943" s="1">
        <f>IFERROR(VLOOKUP($D943&amp;$C943,生产方式定位!$A$2:$E$38,3,FALSE)+VLOOKUP($E943&amp;$C943,生产方式定位!$F$3:$J$38,3,FALSE),0)</f>
        <v>350</v>
      </c>
      <c r="X943" s="1">
        <f>IFERROR(VLOOKUP($D943&amp;$C943,生产方式定位!$A$2:$E$38,5,FALSE)+VLOOKUP($E943&amp;$C943,生产方式定位!$F$3:$J$38,5,FALSE),"错误")</f>
        <v>1865</v>
      </c>
      <c r="Y943" s="27" t="str">
        <f t="shared" si="112"/>
        <v/>
      </c>
      <c r="Z943" s="37" t="str">
        <f t="shared" si="113"/>
        <v/>
      </c>
      <c r="AA943" s="37" t="str">
        <f t="shared" si="114"/>
        <v/>
      </c>
      <c r="AB943" s="28">
        <f t="shared" si="115"/>
        <v>1.72</v>
      </c>
      <c r="AC943" s="37"/>
      <c r="AD943" s="38">
        <f t="shared" si="116"/>
        <v>2</v>
      </c>
      <c r="AE943" t="str">
        <f>IFERROR(F943&amp;"*"&amp;ROUND(L943*(G943/$AN943)/VLOOKUP(F943,商品!$A$4:$D$67,4,FALSE),0),"")</f>
        <v/>
      </c>
      <c r="AF943" t="str">
        <f>IFERROR(H943&amp;"*"&amp;ROUND(L943*(I943/$AN943)/VLOOKUP(H943,商品!$A$4:$D$67,4,FALSE),0),"")</f>
        <v/>
      </c>
      <c r="AG943" t="str">
        <f>IFERROR(J943&amp;"*"&amp;ROUND(L943*(K943/$AN943)/VLOOKUP(J943,商品!$A$4:$D$67,4,FALSE),0),"")</f>
        <v/>
      </c>
      <c r="AH943" t="str">
        <f>IFERROR(M943&amp;"*"&amp;ROUND(S943*(N943/$AO943)/VLOOKUP(M943,职业!$A$3:$E$16,4,FALSE),0),"")</f>
        <v/>
      </c>
      <c r="AI943" t="str">
        <f>IFERROR(O943&amp;"*"&amp;ROUND(S943*(P943/$AO943)/VLOOKUP(O943,职业!$A$3:$E$16,4,FALSE),0),"")</f>
        <v/>
      </c>
      <c r="AK943" t="str">
        <f>IFERROR(T943&amp;"*"&amp;ROUND(X943*(U943/$AP943)/VLOOKUP(T943,商品!$A$4:$D$67,4,FALSE),0),"")</f>
        <v/>
      </c>
      <c r="AL943" t="str">
        <f>IFERROR(V943&amp;"*"&amp;ROUND(X943*(W943/$AP943)/VLOOKUP(V943,商品!$A$4:$D$67,4,FALSE),0),"")</f>
        <v/>
      </c>
      <c r="AN943">
        <f t="shared" si="117"/>
        <v>0</v>
      </c>
      <c r="AO943">
        <f t="shared" si="118"/>
        <v>0</v>
      </c>
      <c r="AP943">
        <f t="shared" si="119"/>
        <v>0</v>
      </c>
    </row>
    <row r="944" customHeight="1" spans="1:42">
      <c r="A944" s="5" t="s">
        <v>459</v>
      </c>
      <c r="C944" s="5">
        <v>3</v>
      </c>
      <c r="D944" s="1" t="s">
        <v>222</v>
      </c>
      <c r="E944" s="1" t="s">
        <v>226</v>
      </c>
      <c r="L944" s="1">
        <f>IFERROR(VLOOKUP($D944&amp;$C944,生产方式定位!$A$2:$E$38,2,FALSE)+VLOOKUP($E944&amp;$C944,生产方式定位!$F$3:$J$38,2,FALSE),0)</f>
        <v>4400</v>
      </c>
      <c r="S944" s="1">
        <f>IFERROR(VLOOKUP($D944&amp;$C944,生产方式定位!$A$2:$E$38,3,FALSE)+VLOOKUP($E944&amp;$C944,生产方式定位!$F$3:$J$38,3,FALSE),0)</f>
        <v>200</v>
      </c>
      <c r="X944" s="1">
        <f>IFERROR(VLOOKUP($D944&amp;$C944,生产方式定位!$A$2:$E$38,5,FALSE)+VLOOKUP($E944&amp;$C944,生产方式定位!$F$3:$J$38,5,FALSE),"错误")</f>
        <v>2560</v>
      </c>
      <c r="Y944" s="27" t="str">
        <f t="shared" si="112"/>
        <v/>
      </c>
      <c r="Z944" s="37" t="str">
        <f t="shared" si="113"/>
        <v/>
      </c>
      <c r="AA944" s="37" t="str">
        <f t="shared" si="114"/>
        <v/>
      </c>
      <c r="AB944" s="28">
        <f t="shared" si="115"/>
        <v>1.72</v>
      </c>
      <c r="AC944" s="37"/>
      <c r="AD944" s="38">
        <f t="shared" si="116"/>
        <v>3</v>
      </c>
      <c r="AE944" t="str">
        <f>IFERROR(F944&amp;"*"&amp;ROUND(L944*(G944/$AN944)/VLOOKUP(F944,商品!$A$4:$D$67,4,FALSE),0),"")</f>
        <v/>
      </c>
      <c r="AF944" t="str">
        <f>IFERROR(H944&amp;"*"&amp;ROUND(L944*(I944/$AN944)/VLOOKUP(H944,商品!$A$4:$D$67,4,FALSE),0),"")</f>
        <v/>
      </c>
      <c r="AG944" t="str">
        <f>IFERROR(J944&amp;"*"&amp;ROUND(L944*(K944/$AN944)/VLOOKUP(J944,商品!$A$4:$D$67,4,FALSE),0),"")</f>
        <v/>
      </c>
      <c r="AH944" t="str">
        <f>IFERROR(M944&amp;"*"&amp;ROUND(S944*(N944/$AO944)/VLOOKUP(M944,职业!$A$3:$E$16,4,FALSE),0),"")</f>
        <v/>
      </c>
      <c r="AI944" t="str">
        <f>IFERROR(O944&amp;"*"&amp;ROUND(S944*(P944/$AO944)/VLOOKUP(O944,职业!$A$3:$E$16,4,FALSE),0),"")</f>
        <v/>
      </c>
      <c r="AK944" t="str">
        <f>IFERROR(T944&amp;"*"&amp;ROUND(X944*(U944/$AP944)/VLOOKUP(T944,商品!$A$4:$D$67,4,FALSE),0),"")</f>
        <v/>
      </c>
      <c r="AL944" t="str">
        <f>IFERROR(V944&amp;"*"&amp;ROUND(X944*(W944/$AP944)/VLOOKUP(V944,商品!$A$4:$D$67,4,FALSE),0),"")</f>
        <v/>
      </c>
      <c r="AN944">
        <f t="shared" si="117"/>
        <v>0</v>
      </c>
      <c r="AO944">
        <f t="shared" si="118"/>
        <v>0</v>
      </c>
      <c r="AP944">
        <f t="shared" si="119"/>
        <v>0</v>
      </c>
    </row>
    <row r="945" customHeight="1" spans="1:42">
      <c r="A945" s="5" t="s">
        <v>459</v>
      </c>
      <c r="C945" s="5">
        <v>4</v>
      </c>
      <c r="D945" s="1" t="s">
        <v>222</v>
      </c>
      <c r="E945" s="1" t="s">
        <v>226</v>
      </c>
      <c r="L945" s="1">
        <f>IFERROR(VLOOKUP($D945&amp;$C945,生产方式定位!$A$2:$E$38,2,FALSE)+VLOOKUP($E945&amp;$C945,生产方式定位!$F$3:$J$38,2,FALSE),0)</f>
        <v>5600</v>
      </c>
      <c r="S945" s="1">
        <f>IFERROR(VLOOKUP($D945&amp;$C945,生产方式定位!$A$2:$E$38,3,FALSE)+VLOOKUP($E945&amp;$C945,生产方式定位!$F$3:$J$38,3,FALSE),0)</f>
        <v>50</v>
      </c>
      <c r="X945" s="1">
        <f>IFERROR(VLOOKUP($D945&amp;$C945,生产方式定位!$A$2:$E$38,5,FALSE)+VLOOKUP($E945&amp;$C945,生产方式定位!$F$3:$J$38,5,FALSE),"错误")</f>
        <v>3335</v>
      </c>
      <c r="Y945" s="27" t="str">
        <f t="shared" si="112"/>
        <v/>
      </c>
      <c r="Z945" s="37" t="str">
        <f t="shared" si="113"/>
        <v/>
      </c>
      <c r="AA945" s="37" t="str">
        <f t="shared" si="114"/>
        <v/>
      </c>
      <c r="AB945" s="28">
        <f t="shared" si="115"/>
        <v>1.68</v>
      </c>
      <c r="AC945" s="37"/>
      <c r="AD945" s="38">
        <f t="shared" si="116"/>
        <v>4</v>
      </c>
      <c r="AE945" t="str">
        <f>IFERROR(F945&amp;"*"&amp;ROUND(L945*(G945/$AN945)/VLOOKUP(F945,商品!$A$4:$D$67,4,FALSE),0),"")</f>
        <v/>
      </c>
      <c r="AF945" t="str">
        <f>IFERROR(H945&amp;"*"&amp;ROUND(L945*(I945/$AN945)/VLOOKUP(H945,商品!$A$4:$D$67,4,FALSE),0),"")</f>
        <v/>
      </c>
      <c r="AG945" t="str">
        <f>IFERROR(J945&amp;"*"&amp;ROUND(L945*(K945/$AN945)/VLOOKUP(J945,商品!$A$4:$D$67,4,FALSE),0),"")</f>
        <v/>
      </c>
      <c r="AH945" t="str">
        <f>IFERROR(M945&amp;"*"&amp;ROUND(S945*(N945/$AO945)/VLOOKUP(M945,职业!$A$3:$E$16,4,FALSE),0),"")</f>
        <v/>
      </c>
      <c r="AI945" t="str">
        <f>IFERROR(O945&amp;"*"&amp;ROUND(S945*(P945/$AO945)/VLOOKUP(O945,职业!$A$3:$E$16,4,FALSE),0),"")</f>
        <v/>
      </c>
      <c r="AK945" t="str">
        <f>IFERROR(T945&amp;"*"&amp;ROUND(X945*(U945/$AP945)/VLOOKUP(T945,商品!$A$4:$D$67,4,FALSE),0),"")</f>
        <v/>
      </c>
      <c r="AL945" t="str">
        <f>IFERROR(V945&amp;"*"&amp;ROUND(X945*(W945/$AP945)/VLOOKUP(V945,商品!$A$4:$D$67,4,FALSE),0),"")</f>
        <v/>
      </c>
      <c r="AN945">
        <f t="shared" si="117"/>
        <v>0</v>
      </c>
      <c r="AO945">
        <f t="shared" si="118"/>
        <v>0</v>
      </c>
      <c r="AP945">
        <f t="shared" si="119"/>
        <v>0</v>
      </c>
    </row>
    <row r="946" customHeight="1" spans="1:42">
      <c r="A946" s="5" t="s">
        <v>459</v>
      </c>
      <c r="C946" s="5">
        <v>5</v>
      </c>
      <c r="D946" s="1" t="s">
        <v>222</v>
      </c>
      <c r="E946" s="1" t="s">
        <v>226</v>
      </c>
      <c r="L946" s="1">
        <f>IFERROR(VLOOKUP($D946&amp;$C946,生产方式定位!$A$2:$E$38,2,FALSE)+VLOOKUP($E946&amp;$C946,生产方式定位!$F$3:$J$38,2,FALSE),0)</f>
        <v>6800</v>
      </c>
      <c r="S946" s="1">
        <f>IFERROR(VLOOKUP($D946&amp;$C946,生产方式定位!$A$2:$E$38,3,FALSE)+VLOOKUP($E946&amp;$C946,生产方式定位!$F$3:$J$38,3,FALSE),0)</f>
        <v>-100</v>
      </c>
      <c r="X946" s="1">
        <f>IFERROR(VLOOKUP($D946&amp;$C946,生产方式定位!$A$2:$E$38,5,FALSE)+VLOOKUP($E946&amp;$C946,生产方式定位!$F$3:$J$38,5,FALSE),"错误")</f>
        <v>4190</v>
      </c>
      <c r="Y946" s="27" t="str">
        <f t="shared" si="112"/>
        <v/>
      </c>
      <c r="Z946" s="37" t="str">
        <f t="shared" si="113"/>
        <v/>
      </c>
      <c r="AA946" s="37" t="str">
        <f t="shared" si="114"/>
        <v/>
      </c>
      <c r="AB946" s="28">
        <f t="shared" si="115"/>
        <v>1.62</v>
      </c>
      <c r="AC946" s="37"/>
      <c r="AD946" s="38">
        <f t="shared" si="116"/>
        <v>5</v>
      </c>
      <c r="AE946" t="str">
        <f>IFERROR(F946&amp;"*"&amp;ROUND(L946*(G946/$AN946)/VLOOKUP(F946,商品!$A$4:$D$67,4,FALSE),0),"")</f>
        <v/>
      </c>
      <c r="AF946" t="str">
        <f>IFERROR(H946&amp;"*"&amp;ROUND(L946*(I946/$AN946)/VLOOKUP(H946,商品!$A$4:$D$67,4,FALSE),0),"")</f>
        <v/>
      </c>
      <c r="AG946" t="str">
        <f>IFERROR(J946&amp;"*"&amp;ROUND(L946*(K946/$AN946)/VLOOKUP(J946,商品!$A$4:$D$67,4,FALSE),0),"")</f>
        <v/>
      </c>
      <c r="AH946" t="str">
        <f>IFERROR(M946&amp;"*"&amp;ROUND(S946*(N946/$AO946)/VLOOKUP(M946,职业!$A$3:$E$16,4,FALSE),0),"")</f>
        <v/>
      </c>
      <c r="AI946" t="str">
        <f>IFERROR(O946&amp;"*"&amp;ROUND(S946*(P946/$AO946)/VLOOKUP(O946,职业!$A$3:$E$16,4,FALSE),0),"")</f>
        <v/>
      </c>
      <c r="AK946" t="str">
        <f>IFERROR(T946&amp;"*"&amp;ROUND(X946*(U946/$AP946)/VLOOKUP(T946,商品!$A$4:$D$67,4,FALSE),0),"")</f>
        <v/>
      </c>
      <c r="AL946" t="str">
        <f>IFERROR(V946&amp;"*"&amp;ROUND(X946*(W946/$AP946)/VLOOKUP(V946,商品!$A$4:$D$67,4,FALSE),0),"")</f>
        <v/>
      </c>
      <c r="AN946">
        <f t="shared" si="117"/>
        <v>0</v>
      </c>
      <c r="AO946">
        <f t="shared" si="118"/>
        <v>0</v>
      </c>
      <c r="AP946">
        <f t="shared" si="119"/>
        <v>0</v>
      </c>
    </row>
    <row r="947" customHeight="1" spans="1:42">
      <c r="A947" s="18" t="s">
        <v>460</v>
      </c>
      <c r="C947" s="18">
        <v>1</v>
      </c>
      <c r="D947" s="1" t="s">
        <v>293</v>
      </c>
      <c r="E947" s="1" t="s">
        <v>227</v>
      </c>
      <c r="L947" s="1">
        <f>IFERROR(VLOOKUP($D947&amp;$C947,生产方式定位!$A$2:$E$38,2,FALSE)+VLOOKUP($E947&amp;$C947,生产方式定位!$F$3:$J$38,2,FALSE),0)</f>
        <v>0</v>
      </c>
      <c r="S947" s="1">
        <f>IFERROR(VLOOKUP($D947&amp;$C947,生产方式定位!$A$2:$E$38,3,FALSE)+VLOOKUP($E947&amp;$C947,生产方式定位!$F$3:$J$38,3,FALSE),0)</f>
        <v>0</v>
      </c>
      <c r="X947" s="1">
        <f>IFERROR(VLOOKUP($D947&amp;$C947,生产方式定位!$A$2:$E$38,5,FALSE)+VLOOKUP($E947&amp;$C947,生产方式定位!$F$3:$J$38,5,FALSE),"错误")</f>
        <v>0</v>
      </c>
      <c r="Y947" s="27" t="str">
        <f t="shared" si="112"/>
        <v/>
      </c>
      <c r="Z947" s="37" t="str">
        <f t="shared" si="113"/>
        <v/>
      </c>
      <c r="AA947" s="37" t="str">
        <f t="shared" si="114"/>
        <v/>
      </c>
      <c r="AB947" s="28" t="str">
        <f t="shared" si="115"/>
        <v/>
      </c>
      <c r="AC947" s="37"/>
      <c r="AD947" s="38">
        <f t="shared" si="116"/>
        <v>1</v>
      </c>
      <c r="AE947" t="str">
        <f>IFERROR(F947&amp;"*"&amp;ROUND(L947*(G947/$AN947)/VLOOKUP(F947,商品!$A$4:$D$67,4,FALSE),0),"")</f>
        <v/>
      </c>
      <c r="AF947" t="str">
        <f>IFERROR(H947&amp;"*"&amp;ROUND(L947*(I947/$AN947)/VLOOKUP(H947,商品!$A$4:$D$67,4,FALSE),0),"")</f>
        <v/>
      </c>
      <c r="AG947" t="str">
        <f>IFERROR(J947&amp;"*"&amp;ROUND(L947*(K947/$AN947)/VLOOKUP(J947,商品!$A$4:$D$67,4,FALSE),0),"")</f>
        <v/>
      </c>
      <c r="AH947" t="str">
        <f>IFERROR(M947&amp;"*"&amp;ROUND(S947*(N947/$AO947)/VLOOKUP(M947,职业!$A$3:$E$16,4,FALSE),0),"")</f>
        <v/>
      </c>
      <c r="AI947" t="str">
        <f>IFERROR(O947&amp;"*"&amp;ROUND(S947*(P947/$AO947)/VLOOKUP(O947,职业!$A$3:$E$16,4,FALSE),0),"")</f>
        <v/>
      </c>
      <c r="AK947" t="str">
        <f>IFERROR(T947&amp;"*"&amp;ROUND(X947*(U947/$AP947)/VLOOKUP(T947,商品!$A$4:$D$67,4,FALSE),0),"")</f>
        <v/>
      </c>
      <c r="AL947" t="str">
        <f>IFERROR(V947&amp;"*"&amp;ROUND(X947*(W947/$AP947)/VLOOKUP(V947,商品!$A$4:$D$67,4,FALSE),0),"")</f>
        <v/>
      </c>
      <c r="AN947">
        <f t="shared" si="117"/>
        <v>0</v>
      </c>
      <c r="AO947">
        <f t="shared" si="118"/>
        <v>0</v>
      </c>
      <c r="AP947">
        <f t="shared" si="119"/>
        <v>0</v>
      </c>
    </row>
    <row r="948" customHeight="1" spans="1:42">
      <c r="A948" s="18" t="s">
        <v>460</v>
      </c>
      <c r="C948" s="18">
        <v>2</v>
      </c>
      <c r="D948" s="1" t="s">
        <v>293</v>
      </c>
      <c r="E948" s="1" t="s">
        <v>227</v>
      </c>
      <c r="L948" s="1">
        <f>IFERROR(VLOOKUP($D948&amp;$C948,生产方式定位!$A$2:$E$38,2,FALSE)+VLOOKUP($E948&amp;$C948,生产方式定位!$F$3:$J$38,2,FALSE),0)</f>
        <v>0</v>
      </c>
      <c r="S948" s="1">
        <f>IFERROR(VLOOKUP($D948&amp;$C948,生产方式定位!$A$2:$E$38,3,FALSE)+VLOOKUP($E948&amp;$C948,生产方式定位!$F$3:$J$38,3,FALSE),0)</f>
        <v>0</v>
      </c>
      <c r="X948" s="1">
        <f>IFERROR(VLOOKUP($D948&amp;$C948,生产方式定位!$A$2:$E$38,5,FALSE)+VLOOKUP($E948&amp;$C948,生产方式定位!$F$3:$J$38,5,FALSE),"错误")</f>
        <v>0</v>
      </c>
      <c r="Y948" s="27" t="str">
        <f t="shared" si="112"/>
        <v/>
      </c>
      <c r="Z948" s="37" t="str">
        <f t="shared" si="113"/>
        <v/>
      </c>
      <c r="AA948" s="37" t="str">
        <f t="shared" si="114"/>
        <v/>
      </c>
      <c r="AB948" s="28" t="str">
        <f t="shared" si="115"/>
        <v/>
      </c>
      <c r="AC948" s="37"/>
      <c r="AD948" s="38">
        <f t="shared" si="116"/>
        <v>2</v>
      </c>
      <c r="AE948" t="str">
        <f>IFERROR(F948&amp;"*"&amp;ROUND(L948*(G948/$AN948)/VLOOKUP(F948,商品!$A$4:$D$67,4,FALSE),0),"")</f>
        <v/>
      </c>
      <c r="AF948" t="str">
        <f>IFERROR(H948&amp;"*"&amp;ROUND(L948*(I948/$AN948)/VLOOKUP(H948,商品!$A$4:$D$67,4,FALSE),0),"")</f>
        <v/>
      </c>
      <c r="AG948" t="str">
        <f>IFERROR(J948&amp;"*"&amp;ROUND(L948*(K948/$AN948)/VLOOKUP(J948,商品!$A$4:$D$67,4,FALSE),0),"")</f>
        <v/>
      </c>
      <c r="AH948" t="str">
        <f>IFERROR(M948&amp;"*"&amp;ROUND(S948*(N948/$AO948)/VLOOKUP(M948,职业!$A$3:$E$16,4,FALSE),0),"")</f>
        <v/>
      </c>
      <c r="AI948" t="str">
        <f>IFERROR(O948&amp;"*"&amp;ROUND(S948*(P948/$AO948)/VLOOKUP(O948,职业!$A$3:$E$16,4,FALSE),0),"")</f>
        <v/>
      </c>
      <c r="AK948" t="str">
        <f>IFERROR(T948&amp;"*"&amp;ROUND(X948*(U948/$AP948)/VLOOKUP(T948,商品!$A$4:$D$67,4,FALSE),0),"")</f>
        <v/>
      </c>
      <c r="AL948" t="str">
        <f>IFERROR(V948&amp;"*"&amp;ROUND(X948*(W948/$AP948)/VLOOKUP(V948,商品!$A$4:$D$67,4,FALSE),0),"")</f>
        <v/>
      </c>
      <c r="AN948">
        <f t="shared" si="117"/>
        <v>0</v>
      </c>
      <c r="AO948">
        <f t="shared" si="118"/>
        <v>0</v>
      </c>
      <c r="AP948">
        <f t="shared" si="119"/>
        <v>0</v>
      </c>
    </row>
    <row r="949" customHeight="1" spans="1:42">
      <c r="A949" s="18" t="s">
        <v>460</v>
      </c>
      <c r="C949" s="18">
        <v>3</v>
      </c>
      <c r="D949" s="1" t="s">
        <v>293</v>
      </c>
      <c r="E949" s="1" t="s">
        <v>227</v>
      </c>
      <c r="L949" s="1">
        <f>IFERROR(VLOOKUP($D949&amp;$C949,生产方式定位!$A$2:$E$38,2,FALSE)+VLOOKUP($E949&amp;$C949,生产方式定位!$F$3:$J$38,2,FALSE),0)</f>
        <v>0</v>
      </c>
      <c r="S949" s="1">
        <f>IFERROR(VLOOKUP($D949&amp;$C949,生产方式定位!$A$2:$E$38,3,FALSE)+VLOOKUP($E949&amp;$C949,生产方式定位!$F$3:$J$38,3,FALSE),0)</f>
        <v>0</v>
      </c>
      <c r="X949" s="1">
        <f>IFERROR(VLOOKUP($D949&amp;$C949,生产方式定位!$A$2:$E$38,5,FALSE)+VLOOKUP($E949&amp;$C949,生产方式定位!$F$3:$J$38,5,FALSE),"错误")</f>
        <v>0</v>
      </c>
      <c r="Y949" s="27" t="str">
        <f t="shared" si="112"/>
        <v/>
      </c>
      <c r="Z949" s="37" t="str">
        <f t="shared" si="113"/>
        <v/>
      </c>
      <c r="AA949" s="37" t="str">
        <f t="shared" si="114"/>
        <v/>
      </c>
      <c r="AB949" s="28" t="str">
        <f t="shared" si="115"/>
        <v/>
      </c>
      <c r="AC949" s="37"/>
      <c r="AD949" s="38">
        <f t="shared" si="116"/>
        <v>3</v>
      </c>
      <c r="AE949" t="str">
        <f>IFERROR(F949&amp;"*"&amp;ROUND(L949*(G949/$AN949)/VLOOKUP(F949,商品!$A$4:$D$67,4,FALSE),0),"")</f>
        <v/>
      </c>
      <c r="AF949" t="str">
        <f>IFERROR(H949&amp;"*"&amp;ROUND(L949*(I949/$AN949)/VLOOKUP(H949,商品!$A$4:$D$67,4,FALSE),0),"")</f>
        <v/>
      </c>
      <c r="AG949" t="str">
        <f>IFERROR(J949&amp;"*"&amp;ROUND(L949*(K949/$AN949)/VLOOKUP(J949,商品!$A$4:$D$67,4,FALSE),0),"")</f>
        <v/>
      </c>
      <c r="AH949" t="str">
        <f>IFERROR(M949&amp;"*"&amp;ROUND(S949*(N949/$AO949)/VLOOKUP(M949,职业!$A$3:$E$16,4,FALSE),0),"")</f>
        <v/>
      </c>
      <c r="AI949" t="str">
        <f>IFERROR(O949&amp;"*"&amp;ROUND(S949*(P949/$AO949)/VLOOKUP(O949,职业!$A$3:$E$16,4,FALSE),0),"")</f>
        <v/>
      </c>
      <c r="AK949" t="str">
        <f>IFERROR(T949&amp;"*"&amp;ROUND(X949*(U949/$AP949)/VLOOKUP(T949,商品!$A$4:$D$67,4,FALSE),0),"")</f>
        <v/>
      </c>
      <c r="AL949" t="str">
        <f>IFERROR(V949&amp;"*"&amp;ROUND(X949*(W949/$AP949)/VLOOKUP(V949,商品!$A$4:$D$67,4,FALSE),0),"")</f>
        <v/>
      </c>
      <c r="AN949">
        <f t="shared" si="117"/>
        <v>0</v>
      </c>
      <c r="AO949">
        <f t="shared" si="118"/>
        <v>0</v>
      </c>
      <c r="AP949">
        <f t="shared" si="119"/>
        <v>0</v>
      </c>
    </row>
    <row r="950" customHeight="1" spans="1:42">
      <c r="A950" s="18" t="s">
        <v>460</v>
      </c>
      <c r="C950" s="18">
        <v>4</v>
      </c>
      <c r="D950" s="1" t="s">
        <v>293</v>
      </c>
      <c r="E950" s="1" t="s">
        <v>227</v>
      </c>
      <c r="L950" s="1">
        <f>IFERROR(VLOOKUP($D950&amp;$C950,生产方式定位!$A$2:$E$38,2,FALSE)+VLOOKUP($E950&amp;$C950,生产方式定位!$F$3:$J$38,2,FALSE),0)</f>
        <v>0</v>
      </c>
      <c r="S950" s="1">
        <f>IFERROR(VLOOKUP($D950&amp;$C950,生产方式定位!$A$2:$E$38,3,FALSE)+VLOOKUP($E950&amp;$C950,生产方式定位!$F$3:$J$38,3,FALSE),0)</f>
        <v>0</v>
      </c>
      <c r="X950" s="1">
        <f>IFERROR(VLOOKUP($D950&amp;$C950,生产方式定位!$A$2:$E$38,5,FALSE)+VLOOKUP($E950&amp;$C950,生产方式定位!$F$3:$J$38,5,FALSE),"错误")</f>
        <v>0</v>
      </c>
      <c r="Y950" s="27" t="str">
        <f t="shared" si="112"/>
        <v/>
      </c>
      <c r="Z950" s="37" t="str">
        <f t="shared" si="113"/>
        <v/>
      </c>
      <c r="AA950" s="37" t="str">
        <f t="shared" si="114"/>
        <v/>
      </c>
      <c r="AB950" s="28" t="str">
        <f t="shared" si="115"/>
        <v/>
      </c>
      <c r="AC950" s="37"/>
      <c r="AD950" s="38">
        <f t="shared" si="116"/>
        <v>4</v>
      </c>
      <c r="AE950" t="str">
        <f>IFERROR(F950&amp;"*"&amp;ROUND(L950*(G950/$AN950)/VLOOKUP(F950,商品!$A$4:$D$67,4,FALSE),0),"")</f>
        <v/>
      </c>
      <c r="AF950" t="str">
        <f>IFERROR(H950&amp;"*"&amp;ROUND(L950*(I950/$AN950)/VLOOKUP(H950,商品!$A$4:$D$67,4,FALSE),0),"")</f>
        <v/>
      </c>
      <c r="AG950" t="str">
        <f>IFERROR(J950&amp;"*"&amp;ROUND(L950*(K950/$AN950)/VLOOKUP(J950,商品!$A$4:$D$67,4,FALSE),0),"")</f>
        <v/>
      </c>
      <c r="AH950" t="str">
        <f>IFERROR(M950&amp;"*"&amp;ROUND(S950*(N950/$AO950)/VLOOKUP(M950,职业!$A$3:$E$16,4,FALSE),0),"")</f>
        <v/>
      </c>
      <c r="AI950" t="str">
        <f>IFERROR(O950&amp;"*"&amp;ROUND(S950*(P950/$AO950)/VLOOKUP(O950,职业!$A$3:$E$16,4,FALSE),0),"")</f>
        <v/>
      </c>
      <c r="AK950" t="str">
        <f>IFERROR(T950&amp;"*"&amp;ROUND(X950*(U950/$AP950)/VLOOKUP(T950,商品!$A$4:$D$67,4,FALSE),0),"")</f>
        <v/>
      </c>
      <c r="AL950" t="str">
        <f>IFERROR(V950&amp;"*"&amp;ROUND(X950*(W950/$AP950)/VLOOKUP(V950,商品!$A$4:$D$67,4,FALSE),0),"")</f>
        <v/>
      </c>
      <c r="AN950">
        <f t="shared" si="117"/>
        <v>0</v>
      </c>
      <c r="AO950">
        <f t="shared" si="118"/>
        <v>0</v>
      </c>
      <c r="AP950">
        <f t="shared" si="119"/>
        <v>0</v>
      </c>
    </row>
    <row r="951" customHeight="1" spans="1:42">
      <c r="A951" s="18" t="s">
        <v>460</v>
      </c>
      <c r="C951" s="18">
        <v>5</v>
      </c>
      <c r="D951" s="1" t="s">
        <v>293</v>
      </c>
      <c r="E951" s="1" t="s">
        <v>227</v>
      </c>
      <c r="L951" s="1">
        <f>IFERROR(VLOOKUP($D951&amp;$C951,生产方式定位!$A$2:$E$38,2,FALSE)+VLOOKUP($E951&amp;$C951,生产方式定位!$F$3:$J$38,2,FALSE),0)</f>
        <v>0</v>
      </c>
      <c r="S951" s="1">
        <f>IFERROR(VLOOKUP($D951&amp;$C951,生产方式定位!$A$2:$E$38,3,FALSE)+VLOOKUP($E951&amp;$C951,生产方式定位!$F$3:$J$38,3,FALSE),0)</f>
        <v>0</v>
      </c>
      <c r="X951" s="1">
        <f>IFERROR(VLOOKUP($D951&amp;$C951,生产方式定位!$A$2:$E$38,5,FALSE)+VLOOKUP($E951&amp;$C951,生产方式定位!$F$3:$J$38,5,FALSE),"错误")</f>
        <v>0</v>
      </c>
      <c r="Y951" s="27" t="str">
        <f t="shared" si="112"/>
        <v/>
      </c>
      <c r="Z951" s="37" t="str">
        <f t="shared" si="113"/>
        <v/>
      </c>
      <c r="AA951" s="37" t="str">
        <f t="shared" si="114"/>
        <v/>
      </c>
      <c r="AB951" s="28" t="str">
        <f t="shared" si="115"/>
        <v/>
      </c>
      <c r="AC951" s="37"/>
      <c r="AD951" s="38">
        <f t="shared" si="116"/>
        <v>5</v>
      </c>
      <c r="AE951" t="str">
        <f>IFERROR(F951&amp;"*"&amp;ROUND(L951*(G951/$AN951)/VLOOKUP(F951,商品!$A$4:$D$67,4,FALSE),0),"")</f>
        <v/>
      </c>
      <c r="AF951" t="str">
        <f>IFERROR(H951&amp;"*"&amp;ROUND(L951*(I951/$AN951)/VLOOKUP(H951,商品!$A$4:$D$67,4,FALSE),0),"")</f>
        <v/>
      </c>
      <c r="AG951" t="str">
        <f>IFERROR(J951&amp;"*"&amp;ROUND(L951*(K951/$AN951)/VLOOKUP(J951,商品!$A$4:$D$67,4,FALSE),0),"")</f>
        <v/>
      </c>
      <c r="AH951" t="str">
        <f>IFERROR(M951&amp;"*"&amp;ROUND(S951*(N951/$AO951)/VLOOKUP(M951,职业!$A$3:$E$16,4,FALSE),0),"")</f>
        <v/>
      </c>
      <c r="AI951" t="str">
        <f>IFERROR(O951&amp;"*"&amp;ROUND(S951*(P951/$AO951)/VLOOKUP(O951,职业!$A$3:$E$16,4,FALSE),0),"")</f>
        <v/>
      </c>
      <c r="AK951" t="str">
        <f>IFERROR(T951&amp;"*"&amp;ROUND(X951*(U951/$AP951)/VLOOKUP(T951,商品!$A$4:$D$67,4,FALSE),0),"")</f>
        <v/>
      </c>
      <c r="AL951" t="str">
        <f>IFERROR(V951&amp;"*"&amp;ROUND(X951*(W951/$AP951)/VLOOKUP(V951,商品!$A$4:$D$67,4,FALSE),0),"")</f>
        <v/>
      </c>
      <c r="AN951">
        <f t="shared" si="117"/>
        <v>0</v>
      </c>
      <c r="AO951">
        <f t="shared" si="118"/>
        <v>0</v>
      </c>
      <c r="AP951">
        <f t="shared" si="119"/>
        <v>0</v>
      </c>
    </row>
    <row r="952" customHeight="1" spans="1:42">
      <c r="A952" s="18" t="s">
        <v>460</v>
      </c>
      <c r="C952" s="18">
        <v>6</v>
      </c>
      <c r="D952" s="1" t="s">
        <v>293</v>
      </c>
      <c r="E952" s="1" t="s">
        <v>227</v>
      </c>
      <c r="L952" s="1">
        <f>IFERROR(VLOOKUP($D952&amp;$C952,生产方式定位!$A$2:$E$38,2,FALSE)+VLOOKUP($E952&amp;$C952,生产方式定位!$F$3:$J$38,2,FALSE),0)</f>
        <v>0</v>
      </c>
      <c r="S952" s="1">
        <f>IFERROR(VLOOKUP($D952&amp;$C952,生产方式定位!$A$2:$E$38,3,FALSE)+VLOOKUP($E952&amp;$C952,生产方式定位!$F$3:$J$38,3,FALSE),0)</f>
        <v>0</v>
      </c>
      <c r="X952" s="1">
        <f>IFERROR(VLOOKUP($D952&amp;$C952,生产方式定位!$A$2:$E$38,5,FALSE)+VLOOKUP($E952&amp;$C952,生产方式定位!$F$3:$J$38,5,FALSE),"错误")</f>
        <v>0</v>
      </c>
      <c r="Y952" s="27" t="str">
        <f t="shared" si="112"/>
        <v/>
      </c>
      <c r="Z952" s="37" t="str">
        <f t="shared" si="113"/>
        <v/>
      </c>
      <c r="AA952" s="37" t="str">
        <f t="shared" si="114"/>
        <v/>
      </c>
      <c r="AB952" s="28" t="str">
        <f t="shared" si="115"/>
        <v/>
      </c>
      <c r="AC952" s="37"/>
      <c r="AD952" s="38">
        <f t="shared" si="116"/>
        <v>6</v>
      </c>
      <c r="AE952" t="str">
        <f>IFERROR(F952&amp;"*"&amp;ROUND(L952*(G952/$AN952)/VLOOKUP(F952,商品!$A$4:$D$67,4,FALSE),0),"")</f>
        <v/>
      </c>
      <c r="AF952" t="str">
        <f>IFERROR(H952&amp;"*"&amp;ROUND(L952*(I952/$AN952)/VLOOKUP(H952,商品!$A$4:$D$67,4,FALSE),0),"")</f>
        <v/>
      </c>
      <c r="AG952" t="str">
        <f>IFERROR(J952&amp;"*"&amp;ROUND(L952*(K952/$AN952)/VLOOKUP(J952,商品!$A$4:$D$67,4,FALSE),0),"")</f>
        <v/>
      </c>
      <c r="AH952" t="str">
        <f>IFERROR(M952&amp;"*"&amp;ROUND(S952*(N952/$AO952)/VLOOKUP(M952,职业!$A$3:$E$16,4,FALSE),0),"")</f>
        <v/>
      </c>
      <c r="AI952" t="str">
        <f>IFERROR(O952&amp;"*"&amp;ROUND(S952*(P952/$AO952)/VLOOKUP(O952,职业!$A$3:$E$16,4,FALSE),0),"")</f>
        <v/>
      </c>
      <c r="AK952" t="str">
        <f>IFERROR(T952&amp;"*"&amp;ROUND(X952*(U952/$AP952)/VLOOKUP(T952,商品!$A$4:$D$67,4,FALSE),0),"")</f>
        <v/>
      </c>
      <c r="AL952" t="str">
        <f>IFERROR(V952&amp;"*"&amp;ROUND(X952*(W952/$AP952)/VLOOKUP(V952,商品!$A$4:$D$67,4,FALSE),0),"")</f>
        <v/>
      </c>
      <c r="AN952">
        <f t="shared" si="117"/>
        <v>0</v>
      </c>
      <c r="AO952">
        <f t="shared" si="118"/>
        <v>0</v>
      </c>
      <c r="AP952">
        <f t="shared" si="119"/>
        <v>0</v>
      </c>
    </row>
    <row r="953" customHeight="1" spans="1:42">
      <c r="A953" s="18" t="s">
        <v>460</v>
      </c>
      <c r="C953" s="18">
        <v>7</v>
      </c>
      <c r="D953" s="1" t="s">
        <v>293</v>
      </c>
      <c r="E953" s="1" t="s">
        <v>227</v>
      </c>
      <c r="L953" s="1">
        <f>IFERROR(VLOOKUP($D953&amp;$C953,生产方式定位!$A$2:$E$38,2,FALSE)+VLOOKUP($E953&amp;$C953,生产方式定位!$F$3:$J$38,2,FALSE),0)</f>
        <v>0</v>
      </c>
      <c r="S953" s="1">
        <f>IFERROR(VLOOKUP($D953&amp;$C953,生产方式定位!$A$2:$E$38,3,FALSE)+VLOOKUP($E953&amp;$C953,生产方式定位!$F$3:$J$38,3,FALSE),0)</f>
        <v>0</v>
      </c>
      <c r="X953" s="1">
        <f>IFERROR(VLOOKUP($D953&amp;$C953,生产方式定位!$A$2:$E$38,5,FALSE)+VLOOKUP($E953&amp;$C953,生产方式定位!$F$3:$J$38,5,FALSE),"错误")</f>
        <v>0</v>
      </c>
      <c r="Y953" s="27" t="str">
        <f t="shared" si="112"/>
        <v/>
      </c>
      <c r="Z953" s="37" t="str">
        <f t="shared" si="113"/>
        <v/>
      </c>
      <c r="AA953" s="37" t="str">
        <f t="shared" si="114"/>
        <v/>
      </c>
      <c r="AB953" s="28" t="str">
        <f t="shared" si="115"/>
        <v/>
      </c>
      <c r="AC953" s="37"/>
      <c r="AD953" s="38">
        <f t="shared" si="116"/>
        <v>7</v>
      </c>
      <c r="AE953" t="str">
        <f>IFERROR(F953&amp;"*"&amp;ROUND(L953*(G953/$AN953)/VLOOKUP(F953,商品!$A$4:$D$67,4,FALSE),0),"")</f>
        <v/>
      </c>
      <c r="AF953" t="str">
        <f>IFERROR(H953&amp;"*"&amp;ROUND(L953*(I953/$AN953)/VLOOKUP(H953,商品!$A$4:$D$67,4,FALSE),0),"")</f>
        <v/>
      </c>
      <c r="AG953" t="str">
        <f>IFERROR(J953&amp;"*"&amp;ROUND(L953*(K953/$AN953)/VLOOKUP(J953,商品!$A$4:$D$67,4,FALSE),0),"")</f>
        <v/>
      </c>
      <c r="AH953" t="str">
        <f>IFERROR(M953&amp;"*"&amp;ROUND(S953*(N953/$AO953)/VLOOKUP(M953,职业!$A$3:$E$16,4,FALSE),0),"")</f>
        <v/>
      </c>
      <c r="AI953" t="str">
        <f>IFERROR(O953&amp;"*"&amp;ROUND(S953*(P953/$AO953)/VLOOKUP(O953,职业!$A$3:$E$16,4,FALSE),0),"")</f>
        <v/>
      </c>
      <c r="AK953" t="str">
        <f>IFERROR(T953&amp;"*"&amp;ROUND(X953*(U953/$AP953)/VLOOKUP(T953,商品!$A$4:$D$67,4,FALSE),0),"")</f>
        <v/>
      </c>
      <c r="AL953" t="str">
        <f>IFERROR(V953&amp;"*"&amp;ROUND(X953*(W953/$AP953)/VLOOKUP(V953,商品!$A$4:$D$67,4,FALSE),0),"")</f>
        <v/>
      </c>
      <c r="AN953">
        <f t="shared" si="117"/>
        <v>0</v>
      </c>
      <c r="AO953">
        <f t="shared" si="118"/>
        <v>0</v>
      </c>
      <c r="AP953">
        <f t="shared" si="119"/>
        <v>0</v>
      </c>
    </row>
    <row r="954" customHeight="1" spans="1:42">
      <c r="A954" s="18" t="s">
        <v>460</v>
      </c>
      <c r="C954" s="18">
        <v>8</v>
      </c>
      <c r="D954" s="1" t="s">
        <v>293</v>
      </c>
      <c r="E954" s="1" t="s">
        <v>227</v>
      </c>
      <c r="L954" s="1">
        <f>IFERROR(VLOOKUP($D954&amp;$C954,生产方式定位!$A$2:$E$38,2,FALSE)+VLOOKUP($E954&amp;$C954,生产方式定位!$F$3:$J$38,2,FALSE),0)</f>
        <v>0</v>
      </c>
      <c r="S954" s="1">
        <f>IFERROR(VLOOKUP($D954&amp;$C954,生产方式定位!$A$2:$E$38,3,FALSE)+VLOOKUP($E954&amp;$C954,生产方式定位!$F$3:$J$38,3,FALSE),0)</f>
        <v>0</v>
      </c>
      <c r="X954" s="1">
        <f>IFERROR(VLOOKUP($D954&amp;$C954,生产方式定位!$A$2:$E$38,5,FALSE)+VLOOKUP($E954&amp;$C954,生产方式定位!$F$3:$J$38,5,FALSE),"错误")</f>
        <v>0</v>
      </c>
      <c r="Y954" s="27" t="str">
        <f t="shared" si="112"/>
        <v/>
      </c>
      <c r="Z954" s="37" t="str">
        <f t="shared" si="113"/>
        <v/>
      </c>
      <c r="AA954" s="37" t="str">
        <f t="shared" si="114"/>
        <v/>
      </c>
      <c r="AB954" s="28" t="str">
        <f t="shared" si="115"/>
        <v/>
      </c>
      <c r="AC954" s="37"/>
      <c r="AD954" s="38">
        <f t="shared" si="116"/>
        <v>8</v>
      </c>
      <c r="AE954" t="str">
        <f>IFERROR(F954&amp;"*"&amp;ROUND(L954*(G954/$AN954)/VLOOKUP(F954,商品!$A$4:$D$67,4,FALSE),0),"")</f>
        <v/>
      </c>
      <c r="AF954" t="str">
        <f>IFERROR(H954&amp;"*"&amp;ROUND(L954*(I954/$AN954)/VLOOKUP(H954,商品!$A$4:$D$67,4,FALSE),0),"")</f>
        <v/>
      </c>
      <c r="AG954" t="str">
        <f>IFERROR(J954&amp;"*"&amp;ROUND(L954*(K954/$AN954)/VLOOKUP(J954,商品!$A$4:$D$67,4,FALSE),0),"")</f>
        <v/>
      </c>
      <c r="AH954" t="str">
        <f>IFERROR(M954&amp;"*"&amp;ROUND(S954*(N954/$AO954)/VLOOKUP(M954,职业!$A$3:$E$16,4,FALSE),0),"")</f>
        <v/>
      </c>
      <c r="AI954" t="str">
        <f>IFERROR(O954&amp;"*"&amp;ROUND(S954*(P954/$AO954)/VLOOKUP(O954,职业!$A$3:$E$16,4,FALSE),0),"")</f>
        <v/>
      </c>
      <c r="AK954" t="str">
        <f>IFERROR(T954&amp;"*"&amp;ROUND(X954*(U954/$AP954)/VLOOKUP(T954,商品!$A$4:$D$67,4,FALSE),0),"")</f>
        <v/>
      </c>
      <c r="AL954" t="str">
        <f>IFERROR(V954&amp;"*"&amp;ROUND(X954*(W954/$AP954)/VLOOKUP(V954,商品!$A$4:$D$67,4,FALSE),0),"")</f>
        <v/>
      </c>
      <c r="AN954">
        <f t="shared" si="117"/>
        <v>0</v>
      </c>
      <c r="AO954">
        <f t="shared" si="118"/>
        <v>0</v>
      </c>
      <c r="AP954">
        <f t="shared" si="119"/>
        <v>0</v>
      </c>
    </row>
    <row r="955" customHeight="1" spans="1:42">
      <c r="A955" s="5" t="s">
        <v>462</v>
      </c>
      <c r="C955" s="5">
        <v>1</v>
      </c>
      <c r="D955" s="1" t="s">
        <v>222</v>
      </c>
      <c r="E955" s="1" t="s">
        <v>224</v>
      </c>
      <c r="L955" s="1">
        <f>IFERROR(VLOOKUP($D955&amp;$C955,生产方式定位!$A$2:$E$38,2,FALSE)+VLOOKUP($E955&amp;$C955,生产方式定位!$F$3:$J$38,2,FALSE),0)</f>
        <v>0</v>
      </c>
      <c r="S955" s="1">
        <f>IFERROR(VLOOKUP($D955&amp;$C955,生产方式定位!$A$2:$E$38,3,FALSE)+VLOOKUP($E955&amp;$C955,生产方式定位!$F$3:$J$38,3,FALSE),0)</f>
        <v>500</v>
      </c>
      <c r="X955" s="1">
        <f>IFERROR(VLOOKUP($D955&amp;$C955,生产方式定位!$A$2:$E$38,5,FALSE)+VLOOKUP($E955&amp;$C955,生产方式定位!$F$3:$J$38,5,FALSE),"错误")</f>
        <v>250</v>
      </c>
      <c r="Y955" s="27" t="str">
        <f t="shared" si="112"/>
        <v/>
      </c>
      <c r="Z955" s="37" t="str">
        <f t="shared" si="113"/>
        <v/>
      </c>
      <c r="AA955" s="37" t="str">
        <f t="shared" si="114"/>
        <v/>
      </c>
      <c r="AB955" s="28">
        <f t="shared" si="115"/>
        <v>0</v>
      </c>
      <c r="AC955" s="37"/>
      <c r="AD955" s="38">
        <f t="shared" si="116"/>
        <v>1</v>
      </c>
      <c r="AE955" t="str">
        <f>IFERROR(F955&amp;"*"&amp;ROUND(L955*(G955/$AN955)/VLOOKUP(F955,商品!$A$4:$D$67,4,FALSE),0),"")</f>
        <v/>
      </c>
      <c r="AF955" t="str">
        <f>IFERROR(H955&amp;"*"&amp;ROUND(L955*(I955/$AN955)/VLOOKUP(H955,商品!$A$4:$D$67,4,FALSE),0),"")</f>
        <v/>
      </c>
      <c r="AG955" t="str">
        <f>IFERROR(J955&amp;"*"&amp;ROUND(L955*(K955/$AN955)/VLOOKUP(J955,商品!$A$4:$D$67,4,FALSE),0),"")</f>
        <v/>
      </c>
      <c r="AH955" t="str">
        <f>IFERROR(M955&amp;"*"&amp;ROUND(S955*(N955/$AO955)/VLOOKUP(M955,职业!$A$3:$E$16,4,FALSE),0),"")</f>
        <v/>
      </c>
      <c r="AI955" t="str">
        <f>IFERROR(O955&amp;"*"&amp;ROUND(S955*(P955/$AO955)/VLOOKUP(O955,职业!$A$3:$E$16,4,FALSE),0),"")</f>
        <v/>
      </c>
      <c r="AK955" t="str">
        <f>IFERROR(T955&amp;"*"&amp;ROUND(X955*(U955/$AP955)/VLOOKUP(T955,商品!$A$4:$D$67,4,FALSE),0),"")</f>
        <v/>
      </c>
      <c r="AL955" t="str">
        <f>IFERROR(V955&amp;"*"&amp;ROUND(X955*(W955/$AP955)/VLOOKUP(V955,商品!$A$4:$D$67,4,FALSE),0),"")</f>
        <v/>
      </c>
      <c r="AN955">
        <f t="shared" si="117"/>
        <v>0</v>
      </c>
      <c r="AO955">
        <f t="shared" si="118"/>
        <v>0</v>
      </c>
      <c r="AP955">
        <f t="shared" si="119"/>
        <v>0</v>
      </c>
    </row>
    <row r="956" customHeight="1" spans="1:42">
      <c r="A956" s="5" t="s">
        <v>462</v>
      </c>
      <c r="C956" s="5">
        <v>2</v>
      </c>
      <c r="D956" s="1" t="s">
        <v>222</v>
      </c>
      <c r="E956" s="1" t="s">
        <v>224</v>
      </c>
      <c r="L956" s="1">
        <f>IFERROR(VLOOKUP($D956&amp;$C956,生产方式定位!$A$2:$E$38,2,FALSE)+VLOOKUP($E956&amp;$C956,生产方式定位!$F$3:$J$38,2,FALSE),0)</f>
        <v>2200</v>
      </c>
      <c r="S956" s="1">
        <f>IFERROR(VLOOKUP($D956&amp;$C956,生产方式定位!$A$2:$E$38,3,FALSE)+VLOOKUP($E956&amp;$C956,生产方式定位!$F$3:$J$38,3,FALSE),0)</f>
        <v>750</v>
      </c>
      <c r="X956" s="1">
        <f>IFERROR(VLOOKUP($D956&amp;$C956,生产方式定位!$A$2:$E$38,5,FALSE)+VLOOKUP($E956&amp;$C956,生产方式定位!$F$3:$J$38,5,FALSE),"错误")</f>
        <v>1547</v>
      </c>
      <c r="Y956" s="27" t="str">
        <f t="shared" si="112"/>
        <v/>
      </c>
      <c r="Z956" s="37" t="str">
        <f t="shared" si="113"/>
        <v/>
      </c>
      <c r="AA956" s="37" t="str">
        <f t="shared" si="114"/>
        <v/>
      </c>
      <c r="AB956" s="28">
        <f t="shared" si="115"/>
        <v>1.42</v>
      </c>
      <c r="AC956" s="37"/>
      <c r="AD956" s="38">
        <f t="shared" si="116"/>
        <v>2</v>
      </c>
      <c r="AE956" t="str">
        <f>IFERROR(F956&amp;"*"&amp;ROUND(L956*(G956/$AN956)/VLOOKUP(F956,商品!$A$4:$D$67,4,FALSE),0),"")</f>
        <v/>
      </c>
      <c r="AF956" t="str">
        <f>IFERROR(H956&amp;"*"&amp;ROUND(L956*(I956/$AN956)/VLOOKUP(H956,商品!$A$4:$D$67,4,FALSE),0),"")</f>
        <v/>
      </c>
      <c r="AG956" t="str">
        <f>IFERROR(J956&amp;"*"&amp;ROUND(L956*(K956/$AN956)/VLOOKUP(J956,商品!$A$4:$D$67,4,FALSE),0),"")</f>
        <v/>
      </c>
      <c r="AH956" t="str">
        <f>IFERROR(M956&amp;"*"&amp;ROUND(S956*(N956/$AO956)/VLOOKUP(M956,职业!$A$3:$E$16,4,FALSE),0),"")</f>
        <v/>
      </c>
      <c r="AI956" t="str">
        <f>IFERROR(O956&amp;"*"&amp;ROUND(S956*(P956/$AO956)/VLOOKUP(O956,职业!$A$3:$E$16,4,FALSE),0),"")</f>
        <v/>
      </c>
      <c r="AK956" t="str">
        <f>IFERROR(T956&amp;"*"&amp;ROUND(X956*(U956/$AP956)/VLOOKUP(T956,商品!$A$4:$D$67,4,FALSE),0),"")</f>
        <v/>
      </c>
      <c r="AL956" t="str">
        <f>IFERROR(V956&amp;"*"&amp;ROUND(X956*(W956/$AP956)/VLOOKUP(V956,商品!$A$4:$D$67,4,FALSE),0),"")</f>
        <v/>
      </c>
      <c r="AN956">
        <f t="shared" si="117"/>
        <v>0</v>
      </c>
      <c r="AO956">
        <f t="shared" si="118"/>
        <v>0</v>
      </c>
      <c r="AP956">
        <f t="shared" si="119"/>
        <v>0</v>
      </c>
    </row>
    <row r="957" customHeight="1" spans="1:42">
      <c r="A957" s="5" t="s">
        <v>462</v>
      </c>
      <c r="C957" s="5">
        <v>3</v>
      </c>
      <c r="D957" s="1" t="s">
        <v>222</v>
      </c>
      <c r="E957" s="1" t="s">
        <v>224</v>
      </c>
      <c r="L957" s="1">
        <f>IFERROR(VLOOKUP($D957&amp;$C957,生产方式定位!$A$2:$E$38,2,FALSE)+VLOOKUP($E957&amp;$C957,生产方式定位!$F$3:$J$38,2,FALSE),0)</f>
        <v>3400</v>
      </c>
      <c r="S957" s="1">
        <f>IFERROR(VLOOKUP($D957&amp;$C957,生产方式定位!$A$2:$E$38,3,FALSE)+VLOOKUP($E957&amp;$C957,生产方式定位!$F$3:$J$38,3,FALSE),0)</f>
        <v>1000</v>
      </c>
      <c r="X957" s="1">
        <f>IFERROR(VLOOKUP($D957&amp;$C957,生产方式定位!$A$2:$E$38,5,FALSE)+VLOOKUP($E957&amp;$C957,生产方式定位!$F$3:$J$38,5,FALSE),"错误")</f>
        <v>2488</v>
      </c>
      <c r="Y957" s="27" t="str">
        <f t="shared" si="112"/>
        <v/>
      </c>
      <c r="Z957" s="37" t="str">
        <f t="shared" si="113"/>
        <v/>
      </c>
      <c r="AA957" s="37" t="str">
        <f t="shared" si="114"/>
        <v/>
      </c>
      <c r="AB957" s="28">
        <f t="shared" si="115"/>
        <v>1.37</v>
      </c>
      <c r="AC957" s="37"/>
      <c r="AD957" s="38">
        <f t="shared" si="116"/>
        <v>3</v>
      </c>
      <c r="AE957" t="str">
        <f>IFERROR(F957&amp;"*"&amp;ROUND(L957*(G957/$AN957)/VLOOKUP(F957,商品!$A$4:$D$67,4,FALSE),0),"")</f>
        <v/>
      </c>
      <c r="AF957" t="str">
        <f>IFERROR(H957&amp;"*"&amp;ROUND(L957*(I957/$AN957)/VLOOKUP(H957,商品!$A$4:$D$67,4,FALSE),0),"")</f>
        <v/>
      </c>
      <c r="AG957" t="str">
        <f>IFERROR(J957&amp;"*"&amp;ROUND(L957*(K957/$AN957)/VLOOKUP(J957,商品!$A$4:$D$67,4,FALSE),0),"")</f>
        <v/>
      </c>
      <c r="AH957" t="str">
        <f>IFERROR(M957&amp;"*"&amp;ROUND(S957*(N957/$AO957)/VLOOKUP(M957,职业!$A$3:$E$16,4,FALSE),0),"")</f>
        <v/>
      </c>
      <c r="AI957" t="str">
        <f>IFERROR(O957&amp;"*"&amp;ROUND(S957*(P957/$AO957)/VLOOKUP(O957,职业!$A$3:$E$16,4,FALSE),0),"")</f>
        <v/>
      </c>
      <c r="AK957" t="str">
        <f>IFERROR(T957&amp;"*"&amp;ROUND(X957*(U957/$AP957)/VLOOKUP(T957,商品!$A$4:$D$67,4,FALSE),0),"")</f>
        <v/>
      </c>
      <c r="AL957" t="str">
        <f>IFERROR(V957&amp;"*"&amp;ROUND(X957*(W957/$AP957)/VLOOKUP(V957,商品!$A$4:$D$67,4,FALSE),0),"")</f>
        <v/>
      </c>
      <c r="AN957">
        <f t="shared" si="117"/>
        <v>0</v>
      </c>
      <c r="AO957">
        <f t="shared" si="118"/>
        <v>0</v>
      </c>
      <c r="AP957">
        <f t="shared" si="119"/>
        <v>0</v>
      </c>
    </row>
    <row r="958" customHeight="1" spans="1:42">
      <c r="A958" s="5" t="s">
        <v>462</v>
      </c>
      <c r="C958" s="5">
        <v>4</v>
      </c>
      <c r="D958" s="1" t="s">
        <v>222</v>
      </c>
      <c r="E958" s="1" t="s">
        <v>224</v>
      </c>
      <c r="L958" s="1">
        <f>IFERROR(VLOOKUP($D958&amp;$C958,生产方式定位!$A$2:$E$38,2,FALSE)+VLOOKUP($E958&amp;$C958,生产方式定位!$F$3:$J$38,2,FALSE),0)</f>
        <v>4600</v>
      </c>
      <c r="S958" s="1">
        <f>IFERROR(VLOOKUP($D958&amp;$C958,生产方式定位!$A$2:$E$38,3,FALSE)+VLOOKUP($E958&amp;$C958,生产方式定位!$F$3:$J$38,3,FALSE),0)</f>
        <v>1250</v>
      </c>
      <c r="X958" s="1">
        <f>IFERROR(VLOOKUP($D958&amp;$C958,生产方式定位!$A$2:$E$38,5,FALSE)+VLOOKUP($E958&amp;$C958,生产方式定位!$F$3:$J$38,5,FALSE),"错误")</f>
        <v>3573</v>
      </c>
      <c r="Y958" s="27" t="str">
        <f t="shared" si="112"/>
        <v/>
      </c>
      <c r="Z958" s="37" t="str">
        <f t="shared" si="113"/>
        <v/>
      </c>
      <c r="AA958" s="37" t="str">
        <f t="shared" si="114"/>
        <v/>
      </c>
      <c r="AB958" s="28">
        <f t="shared" si="115"/>
        <v>1.29</v>
      </c>
      <c r="AC958" s="37"/>
      <c r="AD958" s="38">
        <f t="shared" si="116"/>
        <v>4</v>
      </c>
      <c r="AE958" t="str">
        <f>IFERROR(F958&amp;"*"&amp;ROUND(L958*(G958/$AN958)/VLOOKUP(F958,商品!$A$4:$D$67,4,FALSE),0),"")</f>
        <v/>
      </c>
      <c r="AF958" t="str">
        <f>IFERROR(H958&amp;"*"&amp;ROUND(L958*(I958/$AN958)/VLOOKUP(H958,商品!$A$4:$D$67,4,FALSE),0),"")</f>
        <v/>
      </c>
      <c r="AG958" t="str">
        <f>IFERROR(J958&amp;"*"&amp;ROUND(L958*(K958/$AN958)/VLOOKUP(J958,商品!$A$4:$D$67,4,FALSE),0),"")</f>
        <v/>
      </c>
      <c r="AH958" t="str">
        <f>IFERROR(M958&amp;"*"&amp;ROUND(S958*(N958/$AO958)/VLOOKUP(M958,职业!$A$3:$E$16,4,FALSE),0),"")</f>
        <v/>
      </c>
      <c r="AI958" t="str">
        <f>IFERROR(O958&amp;"*"&amp;ROUND(S958*(P958/$AO958)/VLOOKUP(O958,职业!$A$3:$E$16,4,FALSE),0),"")</f>
        <v/>
      </c>
      <c r="AK958" t="str">
        <f>IFERROR(T958&amp;"*"&amp;ROUND(X958*(U958/$AP958)/VLOOKUP(T958,商品!$A$4:$D$67,4,FALSE),0),"")</f>
        <v/>
      </c>
      <c r="AL958" t="str">
        <f>IFERROR(V958&amp;"*"&amp;ROUND(X958*(W958/$AP958)/VLOOKUP(V958,商品!$A$4:$D$67,4,FALSE),0),"")</f>
        <v/>
      </c>
      <c r="AN958">
        <f t="shared" si="117"/>
        <v>0</v>
      </c>
      <c r="AO958">
        <f t="shared" si="118"/>
        <v>0</v>
      </c>
      <c r="AP958">
        <f t="shared" si="119"/>
        <v>0</v>
      </c>
    </row>
    <row r="959" customHeight="1" spans="1:42">
      <c r="A959" s="5" t="s">
        <v>462</v>
      </c>
      <c r="C959" s="5">
        <v>5</v>
      </c>
      <c r="D959" s="1" t="s">
        <v>222</v>
      </c>
      <c r="E959" s="1" t="s">
        <v>224</v>
      </c>
      <c r="L959" s="1">
        <f>IFERROR(VLOOKUP($D959&amp;$C959,生产方式定位!$A$2:$E$38,2,FALSE)+VLOOKUP($E959&amp;$C959,生产方式定位!$F$3:$J$38,2,FALSE),0)</f>
        <v>5800</v>
      </c>
      <c r="S959" s="1">
        <f>IFERROR(VLOOKUP($D959&amp;$C959,生产方式定位!$A$2:$E$38,3,FALSE)+VLOOKUP($E959&amp;$C959,生产方式定位!$F$3:$J$38,3,FALSE),0)</f>
        <v>1500</v>
      </c>
      <c r="X959" s="1">
        <f>IFERROR(VLOOKUP($D959&amp;$C959,生产方式定位!$A$2:$E$38,5,FALSE)+VLOOKUP($E959&amp;$C959,生产方式定位!$F$3:$J$38,5,FALSE),"错误")</f>
        <v>4850</v>
      </c>
      <c r="Y959" s="27" t="str">
        <f t="shared" si="112"/>
        <v/>
      </c>
      <c r="Z959" s="37" t="str">
        <f t="shared" si="113"/>
        <v/>
      </c>
      <c r="AA959" s="37" t="str">
        <f t="shared" si="114"/>
        <v/>
      </c>
      <c r="AB959" s="28">
        <f t="shared" si="115"/>
        <v>1.2</v>
      </c>
      <c r="AC959" s="37"/>
      <c r="AD959" s="38">
        <f t="shared" si="116"/>
        <v>5</v>
      </c>
      <c r="AE959" t="str">
        <f>IFERROR(F959&amp;"*"&amp;ROUND(L959*(G959/$AN959)/VLOOKUP(F959,商品!$A$4:$D$67,4,FALSE),0),"")</f>
        <v/>
      </c>
      <c r="AF959" t="str">
        <f>IFERROR(H959&amp;"*"&amp;ROUND(L959*(I959/$AN959)/VLOOKUP(H959,商品!$A$4:$D$67,4,FALSE),0),"")</f>
        <v/>
      </c>
      <c r="AG959" t="str">
        <f>IFERROR(J959&amp;"*"&amp;ROUND(L959*(K959/$AN959)/VLOOKUP(J959,商品!$A$4:$D$67,4,FALSE),0),"")</f>
        <v/>
      </c>
      <c r="AH959" t="str">
        <f>IFERROR(M959&amp;"*"&amp;ROUND(S959*(N959/$AO959)/VLOOKUP(M959,职业!$A$3:$E$16,4,FALSE),0),"")</f>
        <v/>
      </c>
      <c r="AI959" t="str">
        <f>IFERROR(O959&amp;"*"&amp;ROUND(S959*(P959/$AO959)/VLOOKUP(O959,职业!$A$3:$E$16,4,FALSE),0),"")</f>
        <v/>
      </c>
      <c r="AK959" t="str">
        <f>IFERROR(T959&amp;"*"&amp;ROUND(X959*(U959/$AP959)/VLOOKUP(T959,商品!$A$4:$D$67,4,FALSE),0),"")</f>
        <v/>
      </c>
      <c r="AL959" t="str">
        <f>IFERROR(V959&amp;"*"&amp;ROUND(X959*(W959/$AP959)/VLOOKUP(V959,商品!$A$4:$D$67,4,FALSE),0),"")</f>
        <v/>
      </c>
      <c r="AN959">
        <f t="shared" si="117"/>
        <v>0</v>
      </c>
      <c r="AO959">
        <f t="shared" si="118"/>
        <v>0</v>
      </c>
      <c r="AP959">
        <f t="shared" si="119"/>
        <v>0</v>
      </c>
    </row>
    <row r="960" customHeight="1" spans="1:42">
      <c r="A960" s="18" t="s">
        <v>463</v>
      </c>
      <c r="C960" s="18">
        <v>1</v>
      </c>
      <c r="D960" s="1" t="s">
        <v>222</v>
      </c>
      <c r="E960" s="1" t="s">
        <v>226</v>
      </c>
      <c r="L960" s="1">
        <f>IFERROR(VLOOKUP($D960&amp;$C960,生产方式定位!$A$2:$E$38,2,FALSE)+VLOOKUP($E960&amp;$C960,生产方式定位!$F$3:$J$38,2,FALSE),0)</f>
        <v>0</v>
      </c>
      <c r="S960" s="1">
        <f>IFERROR(VLOOKUP($D960&amp;$C960,生产方式定位!$A$2:$E$38,3,FALSE)+VLOOKUP($E960&amp;$C960,生产方式定位!$F$3:$J$38,3,FALSE),0)</f>
        <v>500</v>
      </c>
      <c r="X960" s="1">
        <f>IFERROR(VLOOKUP($D960&amp;$C960,生产方式定位!$A$2:$E$38,5,FALSE)+VLOOKUP($E960&amp;$C960,生产方式定位!$F$3:$J$38,5,FALSE),"错误")</f>
        <v>250</v>
      </c>
      <c r="Y960" s="27" t="str">
        <f t="shared" si="112"/>
        <v/>
      </c>
      <c r="Z960" s="37" t="str">
        <f t="shared" si="113"/>
        <v/>
      </c>
      <c r="AA960" s="37" t="str">
        <f t="shared" si="114"/>
        <v/>
      </c>
      <c r="AB960" s="28">
        <f t="shared" si="115"/>
        <v>0</v>
      </c>
      <c r="AC960" s="37"/>
      <c r="AD960" s="38">
        <f t="shared" si="116"/>
        <v>1</v>
      </c>
      <c r="AE960" t="str">
        <f>IFERROR(F960&amp;"*"&amp;ROUND(L960*(G960/$AN960)/VLOOKUP(F960,商品!$A$4:$D$67,4,FALSE),0),"")</f>
        <v/>
      </c>
      <c r="AF960" t="str">
        <f>IFERROR(H960&amp;"*"&amp;ROUND(L960*(I960/$AN960)/VLOOKUP(H960,商品!$A$4:$D$67,4,FALSE),0),"")</f>
        <v/>
      </c>
      <c r="AG960" t="str">
        <f>IFERROR(J960&amp;"*"&amp;ROUND(L960*(K960/$AN960)/VLOOKUP(J960,商品!$A$4:$D$67,4,FALSE),0),"")</f>
        <v/>
      </c>
      <c r="AH960" t="str">
        <f>IFERROR(M960&amp;"*"&amp;ROUND(S960*(N960/$AO960)/VLOOKUP(M960,职业!$A$3:$E$16,4,FALSE),0),"")</f>
        <v/>
      </c>
      <c r="AI960" t="str">
        <f>IFERROR(O960&amp;"*"&amp;ROUND(S960*(P960/$AO960)/VLOOKUP(O960,职业!$A$3:$E$16,4,FALSE),0),"")</f>
        <v/>
      </c>
      <c r="AK960" t="str">
        <f>IFERROR(T960&amp;"*"&amp;ROUND(X960*(U960/$AP960)/VLOOKUP(T960,商品!$A$4:$D$67,4,FALSE),0),"")</f>
        <v/>
      </c>
      <c r="AL960" t="str">
        <f>IFERROR(V960&amp;"*"&amp;ROUND(X960*(W960/$AP960)/VLOOKUP(V960,商品!$A$4:$D$67,4,FALSE),0),"")</f>
        <v/>
      </c>
      <c r="AN960">
        <f t="shared" si="117"/>
        <v>0</v>
      </c>
      <c r="AO960">
        <f t="shared" si="118"/>
        <v>0</v>
      </c>
      <c r="AP960">
        <f t="shared" si="119"/>
        <v>0</v>
      </c>
    </row>
    <row r="961" customHeight="1" spans="1:42">
      <c r="A961" s="18" t="s">
        <v>463</v>
      </c>
      <c r="C961" s="18">
        <v>2</v>
      </c>
      <c r="D961" s="1" t="s">
        <v>222</v>
      </c>
      <c r="E961" s="1" t="s">
        <v>226</v>
      </c>
      <c r="L961" s="1">
        <f>IFERROR(VLOOKUP($D961&amp;$C961,生产方式定位!$A$2:$E$38,2,FALSE)+VLOOKUP($E961&amp;$C961,生产方式定位!$F$3:$J$38,2,FALSE),0)</f>
        <v>3200</v>
      </c>
      <c r="S961" s="1">
        <f>IFERROR(VLOOKUP($D961&amp;$C961,生产方式定位!$A$2:$E$38,3,FALSE)+VLOOKUP($E961&amp;$C961,生产方式定位!$F$3:$J$38,3,FALSE),0)</f>
        <v>350</v>
      </c>
      <c r="X961" s="1">
        <f>IFERROR(VLOOKUP($D961&amp;$C961,生产方式定位!$A$2:$E$38,5,FALSE)+VLOOKUP($E961&amp;$C961,生产方式定位!$F$3:$J$38,5,FALSE),"错误")</f>
        <v>1865</v>
      </c>
      <c r="Y961" s="27" t="str">
        <f t="shared" si="112"/>
        <v/>
      </c>
      <c r="Z961" s="37" t="str">
        <f t="shared" si="113"/>
        <v/>
      </c>
      <c r="AA961" s="37" t="str">
        <f t="shared" si="114"/>
        <v/>
      </c>
      <c r="AB961" s="28">
        <f t="shared" si="115"/>
        <v>1.72</v>
      </c>
      <c r="AC961" s="37"/>
      <c r="AD961" s="38">
        <f t="shared" si="116"/>
        <v>2</v>
      </c>
      <c r="AE961" t="str">
        <f>IFERROR(F961&amp;"*"&amp;ROUND(L961*(G961/$AN961)/VLOOKUP(F961,商品!$A$4:$D$67,4,FALSE),0),"")</f>
        <v/>
      </c>
      <c r="AF961" t="str">
        <f>IFERROR(H961&amp;"*"&amp;ROUND(L961*(I961/$AN961)/VLOOKUP(H961,商品!$A$4:$D$67,4,FALSE),0),"")</f>
        <v/>
      </c>
      <c r="AG961" t="str">
        <f>IFERROR(J961&amp;"*"&amp;ROUND(L961*(K961/$AN961)/VLOOKUP(J961,商品!$A$4:$D$67,4,FALSE),0),"")</f>
        <v/>
      </c>
      <c r="AH961" t="str">
        <f>IFERROR(M961&amp;"*"&amp;ROUND(S961*(N961/$AO961)/VLOOKUP(M961,职业!$A$3:$E$16,4,FALSE),0),"")</f>
        <v/>
      </c>
      <c r="AI961" t="str">
        <f>IFERROR(O961&amp;"*"&amp;ROUND(S961*(P961/$AO961)/VLOOKUP(O961,职业!$A$3:$E$16,4,FALSE),0),"")</f>
        <v/>
      </c>
      <c r="AK961" t="str">
        <f>IFERROR(T961&amp;"*"&amp;ROUND(X961*(U961/$AP961)/VLOOKUP(T961,商品!$A$4:$D$67,4,FALSE),0),"")</f>
        <v/>
      </c>
      <c r="AL961" t="str">
        <f>IFERROR(V961&amp;"*"&amp;ROUND(X961*(W961/$AP961)/VLOOKUP(V961,商品!$A$4:$D$67,4,FALSE),0),"")</f>
        <v/>
      </c>
      <c r="AN961">
        <f t="shared" si="117"/>
        <v>0</v>
      </c>
      <c r="AO961">
        <f t="shared" si="118"/>
        <v>0</v>
      </c>
      <c r="AP961">
        <f t="shared" si="119"/>
        <v>0</v>
      </c>
    </row>
    <row r="962" customHeight="1" spans="1:42">
      <c r="A962" s="18" t="s">
        <v>463</v>
      </c>
      <c r="C962" s="18">
        <v>3</v>
      </c>
      <c r="D962" s="1" t="s">
        <v>222</v>
      </c>
      <c r="E962" s="1" t="s">
        <v>226</v>
      </c>
      <c r="L962" s="1">
        <f>IFERROR(VLOOKUP($D962&amp;$C962,生产方式定位!$A$2:$E$38,2,FALSE)+VLOOKUP($E962&amp;$C962,生产方式定位!$F$3:$J$38,2,FALSE),0)</f>
        <v>4400</v>
      </c>
      <c r="S962" s="1">
        <f>IFERROR(VLOOKUP($D962&amp;$C962,生产方式定位!$A$2:$E$38,3,FALSE)+VLOOKUP($E962&amp;$C962,生产方式定位!$F$3:$J$38,3,FALSE),0)</f>
        <v>200</v>
      </c>
      <c r="X962" s="1">
        <f>IFERROR(VLOOKUP($D962&amp;$C962,生产方式定位!$A$2:$E$38,5,FALSE)+VLOOKUP($E962&amp;$C962,生产方式定位!$F$3:$J$38,5,FALSE),"错误")</f>
        <v>2560</v>
      </c>
      <c r="Y962" s="27" t="str">
        <f t="shared" si="112"/>
        <v/>
      </c>
      <c r="Z962" s="37" t="str">
        <f t="shared" si="113"/>
        <v/>
      </c>
      <c r="AA962" s="37" t="str">
        <f t="shared" si="114"/>
        <v/>
      </c>
      <c r="AB962" s="28">
        <f t="shared" si="115"/>
        <v>1.72</v>
      </c>
      <c r="AC962" s="37"/>
      <c r="AD962" s="38">
        <f t="shared" si="116"/>
        <v>3</v>
      </c>
      <c r="AE962" t="str">
        <f>IFERROR(F962&amp;"*"&amp;ROUND(L962*(G962/$AN962)/VLOOKUP(F962,商品!$A$4:$D$67,4,FALSE),0),"")</f>
        <v/>
      </c>
      <c r="AF962" t="str">
        <f>IFERROR(H962&amp;"*"&amp;ROUND(L962*(I962/$AN962)/VLOOKUP(H962,商品!$A$4:$D$67,4,FALSE),0),"")</f>
        <v/>
      </c>
      <c r="AG962" t="str">
        <f>IFERROR(J962&amp;"*"&amp;ROUND(L962*(K962/$AN962)/VLOOKUP(J962,商品!$A$4:$D$67,4,FALSE),0),"")</f>
        <v/>
      </c>
      <c r="AH962" t="str">
        <f>IFERROR(M962&amp;"*"&amp;ROUND(S962*(N962/$AO962)/VLOOKUP(M962,职业!$A$3:$E$16,4,FALSE),0),"")</f>
        <v/>
      </c>
      <c r="AI962" t="str">
        <f>IFERROR(O962&amp;"*"&amp;ROUND(S962*(P962/$AO962)/VLOOKUP(O962,职业!$A$3:$E$16,4,FALSE),0),"")</f>
        <v/>
      </c>
      <c r="AK962" t="str">
        <f>IFERROR(T962&amp;"*"&amp;ROUND(X962*(U962/$AP962)/VLOOKUP(T962,商品!$A$4:$D$67,4,FALSE),0),"")</f>
        <v/>
      </c>
      <c r="AL962" t="str">
        <f>IFERROR(V962&amp;"*"&amp;ROUND(X962*(W962/$AP962)/VLOOKUP(V962,商品!$A$4:$D$67,4,FALSE),0),"")</f>
        <v/>
      </c>
      <c r="AN962">
        <f t="shared" si="117"/>
        <v>0</v>
      </c>
      <c r="AO962">
        <f t="shared" si="118"/>
        <v>0</v>
      </c>
      <c r="AP962">
        <f t="shared" si="119"/>
        <v>0</v>
      </c>
    </row>
    <row r="963" customHeight="1" spans="1:42">
      <c r="A963" s="18" t="s">
        <v>463</v>
      </c>
      <c r="C963" s="18">
        <v>4</v>
      </c>
      <c r="D963" s="1" t="s">
        <v>222</v>
      </c>
      <c r="E963" s="1" t="s">
        <v>226</v>
      </c>
      <c r="L963" s="1">
        <f>IFERROR(VLOOKUP($D963&amp;$C963,生产方式定位!$A$2:$E$38,2,FALSE)+VLOOKUP($E963&amp;$C963,生产方式定位!$F$3:$J$38,2,FALSE),0)</f>
        <v>5600</v>
      </c>
      <c r="S963" s="1">
        <f>IFERROR(VLOOKUP($D963&amp;$C963,生产方式定位!$A$2:$E$38,3,FALSE)+VLOOKUP($E963&amp;$C963,生产方式定位!$F$3:$J$38,3,FALSE),0)</f>
        <v>50</v>
      </c>
      <c r="X963" s="1">
        <f>IFERROR(VLOOKUP($D963&amp;$C963,生产方式定位!$A$2:$E$38,5,FALSE)+VLOOKUP($E963&amp;$C963,生产方式定位!$F$3:$J$38,5,FALSE),"错误")</f>
        <v>3335</v>
      </c>
      <c r="Y963" s="27" t="str">
        <f t="shared" si="112"/>
        <v/>
      </c>
      <c r="Z963" s="37" t="str">
        <f t="shared" si="113"/>
        <v/>
      </c>
      <c r="AA963" s="37" t="str">
        <f t="shared" si="114"/>
        <v/>
      </c>
      <c r="AB963" s="28">
        <f t="shared" si="115"/>
        <v>1.68</v>
      </c>
      <c r="AC963" s="37"/>
      <c r="AD963" s="38">
        <f t="shared" si="116"/>
        <v>4</v>
      </c>
      <c r="AE963" t="str">
        <f>IFERROR(F963&amp;"*"&amp;ROUND(L963*(G963/$AN963)/VLOOKUP(F963,商品!$A$4:$D$67,4,FALSE),0),"")</f>
        <v/>
      </c>
      <c r="AF963" t="str">
        <f>IFERROR(H963&amp;"*"&amp;ROUND(L963*(I963/$AN963)/VLOOKUP(H963,商品!$A$4:$D$67,4,FALSE),0),"")</f>
        <v/>
      </c>
      <c r="AG963" t="str">
        <f>IFERROR(J963&amp;"*"&amp;ROUND(L963*(K963/$AN963)/VLOOKUP(J963,商品!$A$4:$D$67,4,FALSE),0),"")</f>
        <v/>
      </c>
      <c r="AH963" t="str">
        <f>IFERROR(M963&amp;"*"&amp;ROUND(S963*(N963/$AO963)/VLOOKUP(M963,职业!$A$3:$E$16,4,FALSE),0),"")</f>
        <v/>
      </c>
      <c r="AI963" t="str">
        <f>IFERROR(O963&amp;"*"&amp;ROUND(S963*(P963/$AO963)/VLOOKUP(O963,职业!$A$3:$E$16,4,FALSE),0),"")</f>
        <v/>
      </c>
      <c r="AK963" t="str">
        <f>IFERROR(T963&amp;"*"&amp;ROUND(X963*(U963/$AP963)/VLOOKUP(T963,商品!$A$4:$D$67,4,FALSE),0),"")</f>
        <v/>
      </c>
      <c r="AL963" t="str">
        <f>IFERROR(V963&amp;"*"&amp;ROUND(X963*(W963/$AP963)/VLOOKUP(V963,商品!$A$4:$D$67,4,FALSE),0),"")</f>
        <v/>
      </c>
      <c r="AN963">
        <f t="shared" si="117"/>
        <v>0</v>
      </c>
      <c r="AO963">
        <f t="shared" si="118"/>
        <v>0</v>
      </c>
      <c r="AP963">
        <f t="shared" si="119"/>
        <v>0</v>
      </c>
    </row>
    <row r="964" customHeight="1" spans="1:42">
      <c r="A964" s="18" t="s">
        <v>463</v>
      </c>
      <c r="C964" s="18">
        <v>5</v>
      </c>
      <c r="D964" s="1" t="s">
        <v>222</v>
      </c>
      <c r="E964" s="1" t="s">
        <v>226</v>
      </c>
      <c r="L964" s="1">
        <f>IFERROR(VLOOKUP($D964&amp;$C964,生产方式定位!$A$2:$E$38,2,FALSE)+VLOOKUP($E964&amp;$C964,生产方式定位!$F$3:$J$38,2,FALSE),0)</f>
        <v>6800</v>
      </c>
      <c r="S964" s="1">
        <f>IFERROR(VLOOKUP($D964&amp;$C964,生产方式定位!$A$2:$E$38,3,FALSE)+VLOOKUP($E964&amp;$C964,生产方式定位!$F$3:$J$38,3,FALSE),0)</f>
        <v>-100</v>
      </c>
      <c r="X964" s="1">
        <f>IFERROR(VLOOKUP($D964&amp;$C964,生产方式定位!$A$2:$E$38,5,FALSE)+VLOOKUP($E964&amp;$C964,生产方式定位!$F$3:$J$38,5,FALSE),"错误")</f>
        <v>4190</v>
      </c>
      <c r="Y964" s="27" t="str">
        <f t="shared" si="112"/>
        <v/>
      </c>
      <c r="Z964" s="37" t="str">
        <f t="shared" si="113"/>
        <v/>
      </c>
      <c r="AA964" s="37" t="str">
        <f t="shared" si="114"/>
        <v/>
      </c>
      <c r="AB964" s="28">
        <f t="shared" si="115"/>
        <v>1.62</v>
      </c>
      <c r="AC964" s="37"/>
      <c r="AD964" s="38">
        <f t="shared" si="116"/>
        <v>5</v>
      </c>
      <c r="AE964" t="str">
        <f>IFERROR(F964&amp;"*"&amp;ROUND(L964*(G964/$AN964)/VLOOKUP(F964,商品!$A$4:$D$67,4,FALSE),0),"")</f>
        <v/>
      </c>
      <c r="AF964" t="str">
        <f>IFERROR(H964&amp;"*"&amp;ROUND(L964*(I964/$AN964)/VLOOKUP(H964,商品!$A$4:$D$67,4,FALSE),0),"")</f>
        <v/>
      </c>
      <c r="AG964" t="str">
        <f>IFERROR(J964&amp;"*"&amp;ROUND(L964*(K964/$AN964)/VLOOKUP(J964,商品!$A$4:$D$67,4,FALSE),0),"")</f>
        <v/>
      </c>
      <c r="AH964" t="str">
        <f>IFERROR(M964&amp;"*"&amp;ROUND(S964*(N964/$AO964)/VLOOKUP(M964,职业!$A$3:$E$16,4,FALSE),0),"")</f>
        <v/>
      </c>
      <c r="AI964" t="str">
        <f>IFERROR(O964&amp;"*"&amp;ROUND(S964*(P964/$AO964)/VLOOKUP(O964,职业!$A$3:$E$16,4,FALSE),0),"")</f>
        <v/>
      </c>
      <c r="AK964" t="str">
        <f>IFERROR(T964&amp;"*"&amp;ROUND(X964*(U964/$AP964)/VLOOKUP(T964,商品!$A$4:$D$67,4,FALSE),0),"")</f>
        <v/>
      </c>
      <c r="AL964" t="str">
        <f>IFERROR(V964&amp;"*"&amp;ROUND(X964*(W964/$AP964)/VLOOKUP(V964,商品!$A$4:$D$67,4,FALSE),0),"")</f>
        <v/>
      </c>
      <c r="AN964">
        <f t="shared" si="117"/>
        <v>0</v>
      </c>
      <c r="AO964">
        <f t="shared" si="118"/>
        <v>0</v>
      </c>
      <c r="AP964">
        <f t="shared" si="119"/>
        <v>0</v>
      </c>
    </row>
    <row r="965" customHeight="1" spans="1:42">
      <c r="A965" s="5" t="s">
        <v>463</v>
      </c>
      <c r="C965" s="5">
        <v>1</v>
      </c>
      <c r="D965" s="1" t="s">
        <v>222</v>
      </c>
      <c r="E965" s="1" t="s">
        <v>226</v>
      </c>
      <c r="L965" s="1">
        <f>IFERROR(VLOOKUP($D965&amp;$C965,生产方式定位!$A$2:$E$38,2,FALSE)+VLOOKUP($E965&amp;$C965,生产方式定位!$F$3:$J$38,2,FALSE),0)</f>
        <v>0</v>
      </c>
      <c r="S965" s="1">
        <f>IFERROR(VLOOKUP($D965&amp;$C965,生产方式定位!$A$2:$E$38,3,FALSE)+VLOOKUP($E965&amp;$C965,生产方式定位!$F$3:$J$38,3,FALSE),0)</f>
        <v>500</v>
      </c>
      <c r="X965" s="1">
        <f>IFERROR(VLOOKUP($D965&amp;$C965,生产方式定位!$A$2:$E$38,5,FALSE)+VLOOKUP($E965&amp;$C965,生产方式定位!$F$3:$J$38,5,FALSE),"错误")</f>
        <v>250</v>
      </c>
      <c r="Y965" s="27" t="str">
        <f t="shared" ref="Y965:Y1028" si="120">IF(AE965="","",AE965)&amp;IF(AF965="","",","&amp;AF965)&amp;IF(AG965="","",","&amp;AG965)</f>
        <v/>
      </c>
      <c r="Z965" s="37" t="str">
        <f t="shared" ref="Z965:Z1028" si="121">IF(AH965="","",AH965)&amp;IF(AI965="","",","&amp;AI965)</f>
        <v/>
      </c>
      <c r="AA965" s="37" t="str">
        <f t="shared" ref="AA965:AA1028" si="122">IF(AK965="","",AK965)&amp;IF(AL965="","",","&amp;AL965)</f>
        <v/>
      </c>
      <c r="AB965" s="28">
        <f t="shared" ref="AB965:AB1028" si="123">IFERROR(ROUND(L965/X965,2),"")</f>
        <v>0</v>
      </c>
      <c r="AC965" s="37"/>
      <c r="AD965" s="38">
        <f t="shared" ref="AD965:AD1028" si="124">C965</f>
        <v>1</v>
      </c>
      <c r="AE965" t="str">
        <f>IFERROR(F965&amp;"*"&amp;ROUND(L965*(G965/$AN965)/VLOOKUP(F965,商品!$A$4:$D$67,4,FALSE),0),"")</f>
        <v/>
      </c>
      <c r="AF965" t="str">
        <f>IFERROR(H965&amp;"*"&amp;ROUND(L965*(I965/$AN965)/VLOOKUP(H965,商品!$A$4:$D$67,4,FALSE),0),"")</f>
        <v/>
      </c>
      <c r="AG965" t="str">
        <f>IFERROR(J965&amp;"*"&amp;ROUND(L965*(K965/$AN965)/VLOOKUP(J965,商品!$A$4:$D$67,4,FALSE),0),"")</f>
        <v/>
      </c>
      <c r="AH965" t="str">
        <f>IFERROR(M965&amp;"*"&amp;ROUND(S965*(N965/$AO965)/VLOOKUP(M965,职业!$A$3:$E$16,4,FALSE),0),"")</f>
        <v/>
      </c>
      <c r="AI965" t="str">
        <f>IFERROR(O965&amp;"*"&amp;ROUND(S965*(P965/$AO965)/VLOOKUP(O965,职业!$A$3:$E$16,4,FALSE),0),"")</f>
        <v/>
      </c>
      <c r="AK965" t="str">
        <f>IFERROR(T965&amp;"*"&amp;ROUND(X965*(U965/$AP965)/VLOOKUP(T965,商品!$A$4:$D$67,4,FALSE),0),"")</f>
        <v/>
      </c>
      <c r="AL965" t="str">
        <f>IFERROR(V965&amp;"*"&amp;ROUND(X965*(W965/$AP965)/VLOOKUP(V965,商品!$A$4:$D$67,4,FALSE),0),"")</f>
        <v/>
      </c>
      <c r="AN965">
        <f t="shared" si="117"/>
        <v>0</v>
      </c>
      <c r="AO965">
        <f t="shared" si="118"/>
        <v>0</v>
      </c>
      <c r="AP965">
        <f t="shared" si="119"/>
        <v>0</v>
      </c>
    </row>
    <row r="966" customHeight="1" spans="1:42">
      <c r="A966" s="5" t="s">
        <v>463</v>
      </c>
      <c r="C966" s="5">
        <v>2</v>
      </c>
      <c r="D966" s="1" t="s">
        <v>222</v>
      </c>
      <c r="E966" s="1" t="s">
        <v>226</v>
      </c>
      <c r="L966" s="1">
        <f>IFERROR(VLOOKUP($D966&amp;$C966,生产方式定位!$A$2:$E$38,2,FALSE)+VLOOKUP($E966&amp;$C966,生产方式定位!$F$3:$J$38,2,FALSE),0)</f>
        <v>3200</v>
      </c>
      <c r="S966" s="1">
        <f>IFERROR(VLOOKUP($D966&amp;$C966,生产方式定位!$A$2:$E$38,3,FALSE)+VLOOKUP($E966&amp;$C966,生产方式定位!$F$3:$J$38,3,FALSE),0)</f>
        <v>350</v>
      </c>
      <c r="X966" s="1">
        <f>IFERROR(VLOOKUP($D966&amp;$C966,生产方式定位!$A$2:$E$38,5,FALSE)+VLOOKUP($E966&amp;$C966,生产方式定位!$F$3:$J$38,5,FALSE),"错误")</f>
        <v>1865</v>
      </c>
      <c r="Y966" s="27" t="str">
        <f t="shared" si="120"/>
        <v/>
      </c>
      <c r="Z966" s="37" t="str">
        <f t="shared" si="121"/>
        <v/>
      </c>
      <c r="AA966" s="37" t="str">
        <f t="shared" si="122"/>
        <v/>
      </c>
      <c r="AB966" s="28">
        <f t="shared" si="123"/>
        <v>1.72</v>
      </c>
      <c r="AC966" s="37"/>
      <c r="AD966" s="38">
        <f t="shared" si="124"/>
        <v>2</v>
      </c>
      <c r="AE966" t="str">
        <f>IFERROR(F966&amp;"*"&amp;ROUND(L966*(G966/$AN966)/VLOOKUP(F966,商品!$A$4:$D$67,4,FALSE),0),"")</f>
        <v/>
      </c>
      <c r="AF966" t="str">
        <f>IFERROR(H966&amp;"*"&amp;ROUND(L966*(I966/$AN966)/VLOOKUP(H966,商品!$A$4:$D$67,4,FALSE),0),"")</f>
        <v/>
      </c>
      <c r="AG966" t="str">
        <f>IFERROR(J966&amp;"*"&amp;ROUND(L966*(K966/$AN966)/VLOOKUP(J966,商品!$A$4:$D$67,4,FALSE),0),"")</f>
        <v/>
      </c>
      <c r="AH966" t="str">
        <f>IFERROR(M966&amp;"*"&amp;ROUND(S966*(N966/$AO966)/VLOOKUP(M966,职业!$A$3:$E$16,4,FALSE),0),"")</f>
        <v/>
      </c>
      <c r="AI966" t="str">
        <f>IFERROR(O966&amp;"*"&amp;ROUND(S966*(P966/$AO966)/VLOOKUP(O966,职业!$A$3:$E$16,4,FALSE),0),"")</f>
        <v/>
      </c>
      <c r="AK966" t="str">
        <f>IFERROR(T966&amp;"*"&amp;ROUND(X966*(U966/$AP966)/VLOOKUP(T966,商品!$A$4:$D$67,4,FALSE),0),"")</f>
        <v/>
      </c>
      <c r="AL966" t="str">
        <f>IFERROR(V966&amp;"*"&amp;ROUND(X966*(W966/$AP966)/VLOOKUP(V966,商品!$A$4:$D$67,4,FALSE),0),"")</f>
        <v/>
      </c>
      <c r="AN966">
        <f t="shared" ref="AN966:AN1029" si="125">G966+I966+K966</f>
        <v>0</v>
      </c>
      <c r="AO966">
        <f t="shared" ref="AO966:AO1029" si="126">N966+P966+R966</f>
        <v>0</v>
      </c>
      <c r="AP966">
        <f t="shared" ref="AP966:AP1029" si="127">U966+W966</f>
        <v>0</v>
      </c>
    </row>
    <row r="967" customHeight="1" spans="1:42">
      <c r="A967" s="5" t="s">
        <v>463</v>
      </c>
      <c r="C967" s="5">
        <v>3</v>
      </c>
      <c r="D967" s="1" t="s">
        <v>222</v>
      </c>
      <c r="E967" s="1" t="s">
        <v>226</v>
      </c>
      <c r="L967" s="1">
        <f>IFERROR(VLOOKUP($D967&amp;$C967,生产方式定位!$A$2:$E$38,2,FALSE)+VLOOKUP($E967&amp;$C967,生产方式定位!$F$3:$J$38,2,FALSE),0)</f>
        <v>4400</v>
      </c>
      <c r="S967" s="1">
        <f>IFERROR(VLOOKUP($D967&amp;$C967,生产方式定位!$A$2:$E$38,3,FALSE)+VLOOKUP($E967&amp;$C967,生产方式定位!$F$3:$J$38,3,FALSE),0)</f>
        <v>200</v>
      </c>
      <c r="X967" s="1">
        <f>IFERROR(VLOOKUP($D967&amp;$C967,生产方式定位!$A$2:$E$38,5,FALSE)+VLOOKUP($E967&amp;$C967,生产方式定位!$F$3:$J$38,5,FALSE),"错误")</f>
        <v>2560</v>
      </c>
      <c r="Y967" s="27" t="str">
        <f t="shared" si="120"/>
        <v/>
      </c>
      <c r="Z967" s="37" t="str">
        <f t="shared" si="121"/>
        <v/>
      </c>
      <c r="AA967" s="37" t="str">
        <f t="shared" si="122"/>
        <v/>
      </c>
      <c r="AB967" s="28">
        <f t="shared" si="123"/>
        <v>1.72</v>
      </c>
      <c r="AC967" s="37"/>
      <c r="AD967" s="38">
        <f t="shared" si="124"/>
        <v>3</v>
      </c>
      <c r="AE967" t="str">
        <f>IFERROR(F967&amp;"*"&amp;ROUND(L967*(G967/$AN967)/VLOOKUP(F967,商品!$A$4:$D$67,4,FALSE),0),"")</f>
        <v/>
      </c>
      <c r="AF967" t="str">
        <f>IFERROR(H967&amp;"*"&amp;ROUND(L967*(I967/$AN967)/VLOOKUP(H967,商品!$A$4:$D$67,4,FALSE),0),"")</f>
        <v/>
      </c>
      <c r="AG967" t="str">
        <f>IFERROR(J967&amp;"*"&amp;ROUND(L967*(K967/$AN967)/VLOOKUP(J967,商品!$A$4:$D$67,4,FALSE),0),"")</f>
        <v/>
      </c>
      <c r="AH967" t="str">
        <f>IFERROR(M967&amp;"*"&amp;ROUND(S967*(N967/$AO967)/VLOOKUP(M967,职业!$A$3:$E$16,4,FALSE),0),"")</f>
        <v/>
      </c>
      <c r="AI967" t="str">
        <f>IFERROR(O967&amp;"*"&amp;ROUND(S967*(P967/$AO967)/VLOOKUP(O967,职业!$A$3:$E$16,4,FALSE),0),"")</f>
        <v/>
      </c>
      <c r="AK967" t="str">
        <f>IFERROR(T967&amp;"*"&amp;ROUND(X967*(U967/$AP967)/VLOOKUP(T967,商品!$A$4:$D$67,4,FALSE),0),"")</f>
        <v/>
      </c>
      <c r="AL967" t="str">
        <f>IFERROR(V967&amp;"*"&amp;ROUND(X967*(W967/$AP967)/VLOOKUP(V967,商品!$A$4:$D$67,4,FALSE),0),"")</f>
        <v/>
      </c>
      <c r="AN967">
        <f t="shared" si="125"/>
        <v>0</v>
      </c>
      <c r="AO967">
        <f t="shared" si="126"/>
        <v>0</v>
      </c>
      <c r="AP967">
        <f t="shared" si="127"/>
        <v>0</v>
      </c>
    </row>
    <row r="968" customHeight="1" spans="1:42">
      <c r="A968" s="5" t="s">
        <v>463</v>
      </c>
      <c r="C968" s="5">
        <v>4</v>
      </c>
      <c r="D968" s="1" t="s">
        <v>222</v>
      </c>
      <c r="E968" s="1" t="s">
        <v>226</v>
      </c>
      <c r="L968" s="1">
        <f>IFERROR(VLOOKUP($D968&amp;$C968,生产方式定位!$A$2:$E$38,2,FALSE)+VLOOKUP($E968&amp;$C968,生产方式定位!$F$3:$J$38,2,FALSE),0)</f>
        <v>5600</v>
      </c>
      <c r="S968" s="1">
        <f>IFERROR(VLOOKUP($D968&amp;$C968,生产方式定位!$A$2:$E$38,3,FALSE)+VLOOKUP($E968&amp;$C968,生产方式定位!$F$3:$J$38,3,FALSE),0)</f>
        <v>50</v>
      </c>
      <c r="X968" s="1">
        <f>IFERROR(VLOOKUP($D968&amp;$C968,生产方式定位!$A$2:$E$38,5,FALSE)+VLOOKUP($E968&amp;$C968,生产方式定位!$F$3:$J$38,5,FALSE),"错误")</f>
        <v>3335</v>
      </c>
      <c r="Y968" s="27" t="str">
        <f t="shared" si="120"/>
        <v/>
      </c>
      <c r="Z968" s="37" t="str">
        <f t="shared" si="121"/>
        <v/>
      </c>
      <c r="AA968" s="37" t="str">
        <f t="shared" si="122"/>
        <v/>
      </c>
      <c r="AB968" s="28">
        <f t="shared" si="123"/>
        <v>1.68</v>
      </c>
      <c r="AC968" s="37"/>
      <c r="AD968" s="38">
        <f t="shared" si="124"/>
        <v>4</v>
      </c>
      <c r="AE968" t="str">
        <f>IFERROR(F968&amp;"*"&amp;ROUND(L968*(G968/$AN968)/VLOOKUP(F968,商品!$A$4:$D$67,4,FALSE),0),"")</f>
        <v/>
      </c>
      <c r="AF968" t="str">
        <f>IFERROR(H968&amp;"*"&amp;ROUND(L968*(I968/$AN968)/VLOOKUP(H968,商品!$A$4:$D$67,4,FALSE),0),"")</f>
        <v/>
      </c>
      <c r="AG968" t="str">
        <f>IFERROR(J968&amp;"*"&amp;ROUND(L968*(K968/$AN968)/VLOOKUP(J968,商品!$A$4:$D$67,4,FALSE),0),"")</f>
        <v/>
      </c>
      <c r="AH968" t="str">
        <f>IFERROR(M968&amp;"*"&amp;ROUND(S968*(N968/$AO968)/VLOOKUP(M968,职业!$A$3:$E$16,4,FALSE),0),"")</f>
        <v/>
      </c>
      <c r="AI968" t="str">
        <f>IFERROR(O968&amp;"*"&amp;ROUND(S968*(P968/$AO968)/VLOOKUP(O968,职业!$A$3:$E$16,4,FALSE),0),"")</f>
        <v/>
      </c>
      <c r="AK968" t="str">
        <f>IFERROR(T968&amp;"*"&amp;ROUND(X968*(U968/$AP968)/VLOOKUP(T968,商品!$A$4:$D$67,4,FALSE),0),"")</f>
        <v/>
      </c>
      <c r="AL968" t="str">
        <f>IFERROR(V968&amp;"*"&amp;ROUND(X968*(W968/$AP968)/VLOOKUP(V968,商品!$A$4:$D$67,4,FALSE),0),"")</f>
        <v/>
      </c>
      <c r="AN968">
        <f t="shared" si="125"/>
        <v>0</v>
      </c>
      <c r="AO968">
        <f t="shared" si="126"/>
        <v>0</v>
      </c>
      <c r="AP968">
        <f t="shared" si="127"/>
        <v>0</v>
      </c>
    </row>
    <row r="969" customHeight="1" spans="1:42">
      <c r="A969" s="5" t="s">
        <v>463</v>
      </c>
      <c r="C969" s="5">
        <v>5</v>
      </c>
      <c r="D969" s="1" t="s">
        <v>222</v>
      </c>
      <c r="E969" s="1" t="s">
        <v>226</v>
      </c>
      <c r="L969" s="1">
        <f>IFERROR(VLOOKUP($D969&amp;$C969,生产方式定位!$A$2:$E$38,2,FALSE)+VLOOKUP($E969&amp;$C969,生产方式定位!$F$3:$J$38,2,FALSE),0)</f>
        <v>6800</v>
      </c>
      <c r="S969" s="1">
        <f>IFERROR(VLOOKUP($D969&amp;$C969,生产方式定位!$A$2:$E$38,3,FALSE)+VLOOKUP($E969&amp;$C969,生产方式定位!$F$3:$J$38,3,FALSE),0)</f>
        <v>-100</v>
      </c>
      <c r="X969" s="1">
        <f>IFERROR(VLOOKUP($D969&amp;$C969,生产方式定位!$A$2:$E$38,5,FALSE)+VLOOKUP($E969&amp;$C969,生产方式定位!$F$3:$J$38,5,FALSE),"错误")</f>
        <v>4190</v>
      </c>
      <c r="Y969" s="27" t="str">
        <f t="shared" si="120"/>
        <v/>
      </c>
      <c r="Z969" s="37" t="str">
        <f t="shared" si="121"/>
        <v/>
      </c>
      <c r="AA969" s="37" t="str">
        <f t="shared" si="122"/>
        <v/>
      </c>
      <c r="AB969" s="28">
        <f t="shared" si="123"/>
        <v>1.62</v>
      </c>
      <c r="AC969" s="37"/>
      <c r="AD969" s="38">
        <f t="shared" si="124"/>
        <v>5</v>
      </c>
      <c r="AE969" t="str">
        <f>IFERROR(F969&amp;"*"&amp;ROUND(L969*(G969/$AN969)/VLOOKUP(F969,商品!$A$4:$D$67,4,FALSE),0),"")</f>
        <v/>
      </c>
      <c r="AF969" t="str">
        <f>IFERROR(H969&amp;"*"&amp;ROUND(L969*(I969/$AN969)/VLOOKUP(H969,商品!$A$4:$D$67,4,FALSE),0),"")</f>
        <v/>
      </c>
      <c r="AG969" t="str">
        <f>IFERROR(J969&amp;"*"&amp;ROUND(L969*(K969/$AN969)/VLOOKUP(J969,商品!$A$4:$D$67,4,FALSE),0),"")</f>
        <v/>
      </c>
      <c r="AH969" t="str">
        <f>IFERROR(M969&amp;"*"&amp;ROUND(S969*(N969/$AO969)/VLOOKUP(M969,职业!$A$3:$E$16,4,FALSE),0),"")</f>
        <v/>
      </c>
      <c r="AI969" t="str">
        <f>IFERROR(O969&amp;"*"&amp;ROUND(S969*(P969/$AO969)/VLOOKUP(O969,职业!$A$3:$E$16,4,FALSE),0),"")</f>
        <v/>
      </c>
      <c r="AK969" t="str">
        <f>IFERROR(T969&amp;"*"&amp;ROUND(X969*(U969/$AP969)/VLOOKUP(T969,商品!$A$4:$D$67,4,FALSE),0),"")</f>
        <v/>
      </c>
      <c r="AL969" t="str">
        <f>IFERROR(V969&amp;"*"&amp;ROUND(X969*(W969/$AP969)/VLOOKUP(V969,商品!$A$4:$D$67,4,FALSE),0),"")</f>
        <v/>
      </c>
      <c r="AN969">
        <f t="shared" si="125"/>
        <v>0</v>
      </c>
      <c r="AO969">
        <f t="shared" si="126"/>
        <v>0</v>
      </c>
      <c r="AP969">
        <f t="shared" si="127"/>
        <v>0</v>
      </c>
    </row>
    <row r="970" customHeight="1" spans="1:42">
      <c r="A970" s="18" t="s">
        <v>464</v>
      </c>
      <c r="C970" s="18">
        <v>1</v>
      </c>
      <c r="D970" s="1" t="s">
        <v>293</v>
      </c>
      <c r="E970" s="1" t="s">
        <v>227</v>
      </c>
      <c r="L970" s="1">
        <f>IFERROR(VLOOKUP($D970&amp;$C970,生产方式定位!$A$2:$E$38,2,FALSE)+VLOOKUP($E970&amp;$C970,生产方式定位!$F$3:$J$38,2,FALSE),0)</f>
        <v>0</v>
      </c>
      <c r="S970" s="1">
        <f>IFERROR(VLOOKUP($D970&amp;$C970,生产方式定位!$A$2:$E$38,3,FALSE)+VLOOKUP($E970&amp;$C970,生产方式定位!$F$3:$J$38,3,FALSE),0)</f>
        <v>0</v>
      </c>
      <c r="X970" s="1">
        <f>IFERROR(VLOOKUP($D970&amp;$C970,生产方式定位!$A$2:$E$38,5,FALSE)+VLOOKUP($E970&amp;$C970,生产方式定位!$F$3:$J$38,5,FALSE),"错误")</f>
        <v>0</v>
      </c>
      <c r="Y970" s="27" t="str">
        <f t="shared" si="120"/>
        <v/>
      </c>
      <c r="Z970" s="37" t="str">
        <f t="shared" si="121"/>
        <v/>
      </c>
      <c r="AA970" s="37" t="str">
        <f t="shared" si="122"/>
        <v/>
      </c>
      <c r="AB970" s="28" t="str">
        <f t="shared" si="123"/>
        <v/>
      </c>
      <c r="AC970" s="37"/>
      <c r="AD970" s="38">
        <f t="shared" si="124"/>
        <v>1</v>
      </c>
      <c r="AE970" t="str">
        <f>IFERROR(F970&amp;"*"&amp;ROUND(L970*(G970/$AN970)/VLOOKUP(F970,商品!$A$4:$D$67,4,FALSE),0),"")</f>
        <v/>
      </c>
      <c r="AF970" t="str">
        <f>IFERROR(H970&amp;"*"&amp;ROUND(L970*(I970/$AN970)/VLOOKUP(H970,商品!$A$4:$D$67,4,FALSE),0),"")</f>
        <v/>
      </c>
      <c r="AG970" t="str">
        <f>IFERROR(J970&amp;"*"&amp;ROUND(L970*(K970/$AN970)/VLOOKUP(J970,商品!$A$4:$D$67,4,FALSE),0),"")</f>
        <v/>
      </c>
      <c r="AH970" t="str">
        <f>IFERROR(M970&amp;"*"&amp;ROUND(S970*(N970/$AO970)/VLOOKUP(M970,职业!$A$3:$E$16,4,FALSE),0),"")</f>
        <v/>
      </c>
      <c r="AI970" t="str">
        <f>IFERROR(O970&amp;"*"&amp;ROUND(S970*(P970/$AO970)/VLOOKUP(O970,职业!$A$3:$E$16,4,FALSE),0),"")</f>
        <v/>
      </c>
      <c r="AK970" t="str">
        <f>IFERROR(T970&amp;"*"&amp;ROUND(X970*(U970/$AP970)/VLOOKUP(T970,商品!$A$4:$D$67,4,FALSE),0),"")</f>
        <v/>
      </c>
      <c r="AL970" t="str">
        <f>IFERROR(V970&amp;"*"&amp;ROUND(X970*(W970/$AP970)/VLOOKUP(V970,商品!$A$4:$D$67,4,FALSE),0),"")</f>
        <v/>
      </c>
      <c r="AN970">
        <f t="shared" si="125"/>
        <v>0</v>
      </c>
      <c r="AO970">
        <f t="shared" si="126"/>
        <v>0</v>
      </c>
      <c r="AP970">
        <f t="shared" si="127"/>
        <v>0</v>
      </c>
    </row>
    <row r="971" customHeight="1" spans="1:42">
      <c r="A971" s="18" t="s">
        <v>464</v>
      </c>
      <c r="C971" s="18">
        <v>2</v>
      </c>
      <c r="D971" s="1" t="s">
        <v>293</v>
      </c>
      <c r="E971" s="1" t="s">
        <v>227</v>
      </c>
      <c r="L971" s="1">
        <f>IFERROR(VLOOKUP($D971&amp;$C971,生产方式定位!$A$2:$E$38,2,FALSE)+VLOOKUP($E971&amp;$C971,生产方式定位!$F$3:$J$38,2,FALSE),0)</f>
        <v>0</v>
      </c>
      <c r="S971" s="1">
        <f>IFERROR(VLOOKUP($D971&amp;$C971,生产方式定位!$A$2:$E$38,3,FALSE)+VLOOKUP($E971&amp;$C971,生产方式定位!$F$3:$J$38,3,FALSE),0)</f>
        <v>0</v>
      </c>
      <c r="X971" s="1">
        <f>IFERROR(VLOOKUP($D971&amp;$C971,生产方式定位!$A$2:$E$38,5,FALSE)+VLOOKUP($E971&amp;$C971,生产方式定位!$F$3:$J$38,5,FALSE),"错误")</f>
        <v>0</v>
      </c>
      <c r="Y971" s="27" t="str">
        <f t="shared" si="120"/>
        <v/>
      </c>
      <c r="Z971" s="37" t="str">
        <f t="shared" si="121"/>
        <v/>
      </c>
      <c r="AA971" s="37" t="str">
        <f t="shared" si="122"/>
        <v/>
      </c>
      <c r="AB971" s="28" t="str">
        <f t="shared" si="123"/>
        <v/>
      </c>
      <c r="AC971" s="37"/>
      <c r="AD971" s="38">
        <f t="shared" si="124"/>
        <v>2</v>
      </c>
      <c r="AE971" t="str">
        <f>IFERROR(F971&amp;"*"&amp;ROUND(L971*(G971/$AN971)/VLOOKUP(F971,商品!$A$4:$D$67,4,FALSE),0),"")</f>
        <v/>
      </c>
      <c r="AF971" t="str">
        <f>IFERROR(H971&amp;"*"&amp;ROUND(L971*(I971/$AN971)/VLOOKUP(H971,商品!$A$4:$D$67,4,FALSE),0),"")</f>
        <v/>
      </c>
      <c r="AG971" t="str">
        <f>IFERROR(J971&amp;"*"&amp;ROUND(L971*(K971/$AN971)/VLOOKUP(J971,商品!$A$4:$D$67,4,FALSE),0),"")</f>
        <v/>
      </c>
      <c r="AH971" t="str">
        <f>IFERROR(M971&amp;"*"&amp;ROUND(S971*(N971/$AO971)/VLOOKUP(M971,职业!$A$3:$E$16,4,FALSE),0),"")</f>
        <v/>
      </c>
      <c r="AI971" t="str">
        <f>IFERROR(O971&amp;"*"&amp;ROUND(S971*(P971/$AO971)/VLOOKUP(O971,职业!$A$3:$E$16,4,FALSE),0),"")</f>
        <v/>
      </c>
      <c r="AK971" t="str">
        <f>IFERROR(T971&amp;"*"&amp;ROUND(X971*(U971/$AP971)/VLOOKUP(T971,商品!$A$4:$D$67,4,FALSE),0),"")</f>
        <v/>
      </c>
      <c r="AL971" t="str">
        <f>IFERROR(V971&amp;"*"&amp;ROUND(X971*(W971/$AP971)/VLOOKUP(V971,商品!$A$4:$D$67,4,FALSE),0),"")</f>
        <v/>
      </c>
      <c r="AN971">
        <f t="shared" si="125"/>
        <v>0</v>
      </c>
      <c r="AO971">
        <f t="shared" si="126"/>
        <v>0</v>
      </c>
      <c r="AP971">
        <f t="shared" si="127"/>
        <v>0</v>
      </c>
    </row>
    <row r="972" customHeight="1" spans="1:42">
      <c r="A972" s="18" t="s">
        <v>464</v>
      </c>
      <c r="C972" s="18">
        <v>3</v>
      </c>
      <c r="D972" s="1" t="s">
        <v>293</v>
      </c>
      <c r="E972" s="1" t="s">
        <v>227</v>
      </c>
      <c r="L972" s="1">
        <f>IFERROR(VLOOKUP($D972&amp;$C972,生产方式定位!$A$2:$E$38,2,FALSE)+VLOOKUP($E972&amp;$C972,生产方式定位!$F$3:$J$38,2,FALSE),0)</f>
        <v>0</v>
      </c>
      <c r="S972" s="1">
        <f>IFERROR(VLOOKUP($D972&amp;$C972,生产方式定位!$A$2:$E$38,3,FALSE)+VLOOKUP($E972&amp;$C972,生产方式定位!$F$3:$J$38,3,FALSE),0)</f>
        <v>0</v>
      </c>
      <c r="X972" s="1">
        <f>IFERROR(VLOOKUP($D972&amp;$C972,生产方式定位!$A$2:$E$38,5,FALSE)+VLOOKUP($E972&amp;$C972,生产方式定位!$F$3:$J$38,5,FALSE),"错误")</f>
        <v>0</v>
      </c>
      <c r="Y972" s="27" t="str">
        <f t="shared" si="120"/>
        <v/>
      </c>
      <c r="Z972" s="37" t="str">
        <f t="shared" si="121"/>
        <v/>
      </c>
      <c r="AA972" s="37" t="str">
        <f t="shared" si="122"/>
        <v/>
      </c>
      <c r="AB972" s="28" t="str">
        <f t="shared" si="123"/>
        <v/>
      </c>
      <c r="AC972" s="37"/>
      <c r="AD972" s="38">
        <f t="shared" si="124"/>
        <v>3</v>
      </c>
      <c r="AE972" t="str">
        <f>IFERROR(F972&amp;"*"&amp;ROUND(L972*(G972/$AN972)/VLOOKUP(F972,商品!$A$4:$D$67,4,FALSE),0),"")</f>
        <v/>
      </c>
      <c r="AF972" t="str">
        <f>IFERROR(H972&amp;"*"&amp;ROUND(L972*(I972/$AN972)/VLOOKUP(H972,商品!$A$4:$D$67,4,FALSE),0),"")</f>
        <v/>
      </c>
      <c r="AG972" t="str">
        <f>IFERROR(J972&amp;"*"&amp;ROUND(L972*(K972/$AN972)/VLOOKUP(J972,商品!$A$4:$D$67,4,FALSE),0),"")</f>
        <v/>
      </c>
      <c r="AH972" t="str">
        <f>IFERROR(M972&amp;"*"&amp;ROUND(S972*(N972/$AO972)/VLOOKUP(M972,职业!$A$3:$E$16,4,FALSE),0),"")</f>
        <v/>
      </c>
      <c r="AI972" t="str">
        <f>IFERROR(O972&amp;"*"&amp;ROUND(S972*(P972/$AO972)/VLOOKUP(O972,职业!$A$3:$E$16,4,FALSE),0),"")</f>
        <v/>
      </c>
      <c r="AK972" t="str">
        <f>IFERROR(T972&amp;"*"&amp;ROUND(X972*(U972/$AP972)/VLOOKUP(T972,商品!$A$4:$D$67,4,FALSE),0),"")</f>
        <v/>
      </c>
      <c r="AL972" t="str">
        <f>IFERROR(V972&amp;"*"&amp;ROUND(X972*(W972/$AP972)/VLOOKUP(V972,商品!$A$4:$D$67,4,FALSE),0),"")</f>
        <v/>
      </c>
      <c r="AN972">
        <f t="shared" si="125"/>
        <v>0</v>
      </c>
      <c r="AO972">
        <f t="shared" si="126"/>
        <v>0</v>
      </c>
      <c r="AP972">
        <f t="shared" si="127"/>
        <v>0</v>
      </c>
    </row>
    <row r="973" customHeight="1" spans="1:42">
      <c r="A973" s="18" t="s">
        <v>464</v>
      </c>
      <c r="C973" s="18">
        <v>4</v>
      </c>
      <c r="D973" s="1" t="s">
        <v>293</v>
      </c>
      <c r="E973" s="1" t="s">
        <v>227</v>
      </c>
      <c r="L973" s="1">
        <f>IFERROR(VLOOKUP($D973&amp;$C973,生产方式定位!$A$2:$E$38,2,FALSE)+VLOOKUP($E973&amp;$C973,生产方式定位!$F$3:$J$38,2,FALSE),0)</f>
        <v>0</v>
      </c>
      <c r="S973" s="1">
        <f>IFERROR(VLOOKUP($D973&amp;$C973,生产方式定位!$A$2:$E$38,3,FALSE)+VLOOKUP($E973&amp;$C973,生产方式定位!$F$3:$J$38,3,FALSE),0)</f>
        <v>0</v>
      </c>
      <c r="X973" s="1">
        <f>IFERROR(VLOOKUP($D973&amp;$C973,生产方式定位!$A$2:$E$38,5,FALSE)+VLOOKUP($E973&amp;$C973,生产方式定位!$F$3:$J$38,5,FALSE),"错误")</f>
        <v>0</v>
      </c>
      <c r="Y973" s="27" t="str">
        <f t="shared" si="120"/>
        <v/>
      </c>
      <c r="Z973" s="37" t="str">
        <f t="shared" si="121"/>
        <v/>
      </c>
      <c r="AA973" s="37" t="str">
        <f t="shared" si="122"/>
        <v/>
      </c>
      <c r="AB973" s="28" t="str">
        <f t="shared" si="123"/>
        <v/>
      </c>
      <c r="AC973" s="37"/>
      <c r="AD973" s="38">
        <f t="shared" si="124"/>
        <v>4</v>
      </c>
      <c r="AE973" t="str">
        <f>IFERROR(F973&amp;"*"&amp;ROUND(L973*(G973/$AN973)/VLOOKUP(F973,商品!$A$4:$D$67,4,FALSE),0),"")</f>
        <v/>
      </c>
      <c r="AF973" t="str">
        <f>IFERROR(H973&amp;"*"&amp;ROUND(L973*(I973/$AN973)/VLOOKUP(H973,商品!$A$4:$D$67,4,FALSE),0),"")</f>
        <v/>
      </c>
      <c r="AG973" t="str">
        <f>IFERROR(J973&amp;"*"&amp;ROUND(L973*(K973/$AN973)/VLOOKUP(J973,商品!$A$4:$D$67,4,FALSE),0),"")</f>
        <v/>
      </c>
      <c r="AH973" t="str">
        <f>IFERROR(M973&amp;"*"&amp;ROUND(S973*(N973/$AO973)/VLOOKUP(M973,职业!$A$3:$E$16,4,FALSE),0),"")</f>
        <v/>
      </c>
      <c r="AI973" t="str">
        <f>IFERROR(O973&amp;"*"&amp;ROUND(S973*(P973/$AO973)/VLOOKUP(O973,职业!$A$3:$E$16,4,FALSE),0),"")</f>
        <v/>
      </c>
      <c r="AK973" t="str">
        <f>IFERROR(T973&amp;"*"&amp;ROUND(X973*(U973/$AP973)/VLOOKUP(T973,商品!$A$4:$D$67,4,FALSE),0),"")</f>
        <v/>
      </c>
      <c r="AL973" t="str">
        <f>IFERROR(V973&amp;"*"&amp;ROUND(X973*(W973/$AP973)/VLOOKUP(V973,商品!$A$4:$D$67,4,FALSE),0),"")</f>
        <v/>
      </c>
      <c r="AN973">
        <f t="shared" si="125"/>
        <v>0</v>
      </c>
      <c r="AO973">
        <f t="shared" si="126"/>
        <v>0</v>
      </c>
      <c r="AP973">
        <f t="shared" si="127"/>
        <v>0</v>
      </c>
    </row>
    <row r="974" customHeight="1" spans="1:42">
      <c r="A974" s="18" t="s">
        <v>464</v>
      </c>
      <c r="C974" s="18">
        <v>5</v>
      </c>
      <c r="D974" s="1" t="s">
        <v>293</v>
      </c>
      <c r="E974" s="1" t="s">
        <v>227</v>
      </c>
      <c r="L974" s="1">
        <f>IFERROR(VLOOKUP($D974&amp;$C974,生产方式定位!$A$2:$E$38,2,FALSE)+VLOOKUP($E974&amp;$C974,生产方式定位!$F$3:$J$38,2,FALSE),0)</f>
        <v>0</v>
      </c>
      <c r="S974" s="1">
        <f>IFERROR(VLOOKUP($D974&amp;$C974,生产方式定位!$A$2:$E$38,3,FALSE)+VLOOKUP($E974&amp;$C974,生产方式定位!$F$3:$J$38,3,FALSE),0)</f>
        <v>0</v>
      </c>
      <c r="X974" s="1">
        <f>IFERROR(VLOOKUP($D974&amp;$C974,生产方式定位!$A$2:$E$38,5,FALSE)+VLOOKUP($E974&amp;$C974,生产方式定位!$F$3:$J$38,5,FALSE),"错误")</f>
        <v>0</v>
      </c>
      <c r="Y974" s="27" t="str">
        <f t="shared" si="120"/>
        <v/>
      </c>
      <c r="Z974" s="37" t="str">
        <f t="shared" si="121"/>
        <v/>
      </c>
      <c r="AA974" s="37" t="str">
        <f t="shared" si="122"/>
        <v/>
      </c>
      <c r="AB974" s="28" t="str">
        <f t="shared" si="123"/>
        <v/>
      </c>
      <c r="AC974" s="37"/>
      <c r="AD974" s="38">
        <f t="shared" si="124"/>
        <v>5</v>
      </c>
      <c r="AE974" t="str">
        <f>IFERROR(F974&amp;"*"&amp;ROUND(L974*(G974/$AN974)/VLOOKUP(F974,商品!$A$4:$D$67,4,FALSE),0),"")</f>
        <v/>
      </c>
      <c r="AF974" t="str">
        <f>IFERROR(H974&amp;"*"&amp;ROUND(L974*(I974/$AN974)/VLOOKUP(H974,商品!$A$4:$D$67,4,FALSE),0),"")</f>
        <v/>
      </c>
      <c r="AG974" t="str">
        <f>IFERROR(J974&amp;"*"&amp;ROUND(L974*(K974/$AN974)/VLOOKUP(J974,商品!$A$4:$D$67,4,FALSE),0),"")</f>
        <v/>
      </c>
      <c r="AH974" t="str">
        <f>IFERROR(M974&amp;"*"&amp;ROUND(S974*(N974/$AO974)/VLOOKUP(M974,职业!$A$3:$E$16,4,FALSE),0),"")</f>
        <v/>
      </c>
      <c r="AI974" t="str">
        <f>IFERROR(O974&amp;"*"&amp;ROUND(S974*(P974/$AO974)/VLOOKUP(O974,职业!$A$3:$E$16,4,FALSE),0),"")</f>
        <v/>
      </c>
      <c r="AK974" t="str">
        <f>IFERROR(T974&amp;"*"&amp;ROUND(X974*(U974/$AP974)/VLOOKUP(T974,商品!$A$4:$D$67,4,FALSE),0),"")</f>
        <v/>
      </c>
      <c r="AL974" t="str">
        <f>IFERROR(V974&amp;"*"&amp;ROUND(X974*(W974/$AP974)/VLOOKUP(V974,商品!$A$4:$D$67,4,FALSE),0),"")</f>
        <v/>
      </c>
      <c r="AN974">
        <f t="shared" si="125"/>
        <v>0</v>
      </c>
      <c r="AO974">
        <f t="shared" si="126"/>
        <v>0</v>
      </c>
      <c r="AP974">
        <f t="shared" si="127"/>
        <v>0</v>
      </c>
    </row>
    <row r="975" customHeight="1" spans="1:42">
      <c r="A975" s="18" t="s">
        <v>464</v>
      </c>
      <c r="C975" s="18">
        <v>6</v>
      </c>
      <c r="D975" s="1" t="s">
        <v>293</v>
      </c>
      <c r="E975" s="1" t="s">
        <v>227</v>
      </c>
      <c r="L975" s="1">
        <f>IFERROR(VLOOKUP($D975&amp;$C975,生产方式定位!$A$2:$E$38,2,FALSE)+VLOOKUP($E975&amp;$C975,生产方式定位!$F$3:$J$38,2,FALSE),0)</f>
        <v>0</v>
      </c>
      <c r="S975" s="1">
        <f>IFERROR(VLOOKUP($D975&amp;$C975,生产方式定位!$A$2:$E$38,3,FALSE)+VLOOKUP($E975&amp;$C975,生产方式定位!$F$3:$J$38,3,FALSE),0)</f>
        <v>0</v>
      </c>
      <c r="X975" s="1">
        <f>IFERROR(VLOOKUP($D975&amp;$C975,生产方式定位!$A$2:$E$38,5,FALSE)+VLOOKUP($E975&amp;$C975,生产方式定位!$F$3:$J$38,5,FALSE),"错误")</f>
        <v>0</v>
      </c>
      <c r="Y975" s="27" t="str">
        <f t="shared" si="120"/>
        <v/>
      </c>
      <c r="Z975" s="37" t="str">
        <f t="shared" si="121"/>
        <v/>
      </c>
      <c r="AA975" s="37" t="str">
        <f t="shared" si="122"/>
        <v/>
      </c>
      <c r="AB975" s="28" t="str">
        <f t="shared" si="123"/>
        <v/>
      </c>
      <c r="AC975" s="37"/>
      <c r="AD975" s="38">
        <f t="shared" si="124"/>
        <v>6</v>
      </c>
      <c r="AE975" t="str">
        <f>IFERROR(F975&amp;"*"&amp;ROUND(L975*(G975/$AN975)/VLOOKUP(F975,商品!$A$4:$D$67,4,FALSE),0),"")</f>
        <v/>
      </c>
      <c r="AF975" t="str">
        <f>IFERROR(H975&amp;"*"&amp;ROUND(L975*(I975/$AN975)/VLOOKUP(H975,商品!$A$4:$D$67,4,FALSE),0),"")</f>
        <v/>
      </c>
      <c r="AG975" t="str">
        <f>IFERROR(J975&amp;"*"&amp;ROUND(L975*(K975/$AN975)/VLOOKUP(J975,商品!$A$4:$D$67,4,FALSE),0),"")</f>
        <v/>
      </c>
      <c r="AH975" t="str">
        <f>IFERROR(M975&amp;"*"&amp;ROUND(S975*(N975/$AO975)/VLOOKUP(M975,职业!$A$3:$E$16,4,FALSE),0),"")</f>
        <v/>
      </c>
      <c r="AI975" t="str">
        <f>IFERROR(O975&amp;"*"&amp;ROUND(S975*(P975/$AO975)/VLOOKUP(O975,职业!$A$3:$E$16,4,FALSE),0),"")</f>
        <v/>
      </c>
      <c r="AK975" t="str">
        <f>IFERROR(T975&amp;"*"&amp;ROUND(X975*(U975/$AP975)/VLOOKUP(T975,商品!$A$4:$D$67,4,FALSE),0),"")</f>
        <v/>
      </c>
      <c r="AL975" t="str">
        <f>IFERROR(V975&amp;"*"&amp;ROUND(X975*(W975/$AP975)/VLOOKUP(V975,商品!$A$4:$D$67,4,FALSE),0),"")</f>
        <v/>
      </c>
      <c r="AN975">
        <f t="shared" si="125"/>
        <v>0</v>
      </c>
      <c r="AO975">
        <f t="shared" si="126"/>
        <v>0</v>
      </c>
      <c r="AP975">
        <f t="shared" si="127"/>
        <v>0</v>
      </c>
    </row>
    <row r="976" customHeight="1" spans="1:42">
      <c r="A976" s="18" t="s">
        <v>464</v>
      </c>
      <c r="C976" s="18">
        <v>7</v>
      </c>
      <c r="D976" s="1" t="s">
        <v>293</v>
      </c>
      <c r="E976" s="1" t="s">
        <v>227</v>
      </c>
      <c r="L976" s="1">
        <f>IFERROR(VLOOKUP($D976&amp;$C976,生产方式定位!$A$2:$E$38,2,FALSE)+VLOOKUP($E976&amp;$C976,生产方式定位!$F$3:$J$38,2,FALSE),0)</f>
        <v>0</v>
      </c>
      <c r="S976" s="1">
        <f>IFERROR(VLOOKUP($D976&amp;$C976,生产方式定位!$A$2:$E$38,3,FALSE)+VLOOKUP($E976&amp;$C976,生产方式定位!$F$3:$J$38,3,FALSE),0)</f>
        <v>0</v>
      </c>
      <c r="X976" s="1">
        <f>IFERROR(VLOOKUP($D976&amp;$C976,生产方式定位!$A$2:$E$38,5,FALSE)+VLOOKUP($E976&amp;$C976,生产方式定位!$F$3:$J$38,5,FALSE),"错误")</f>
        <v>0</v>
      </c>
      <c r="Y976" s="27" t="str">
        <f t="shared" si="120"/>
        <v/>
      </c>
      <c r="Z976" s="37" t="str">
        <f t="shared" si="121"/>
        <v/>
      </c>
      <c r="AA976" s="37" t="str">
        <f t="shared" si="122"/>
        <v/>
      </c>
      <c r="AB976" s="28" t="str">
        <f t="shared" si="123"/>
        <v/>
      </c>
      <c r="AC976" s="37"/>
      <c r="AD976" s="38">
        <f t="shared" si="124"/>
        <v>7</v>
      </c>
      <c r="AE976" t="str">
        <f>IFERROR(F976&amp;"*"&amp;ROUND(L976*(G976/$AN976)/VLOOKUP(F976,商品!$A$4:$D$67,4,FALSE),0),"")</f>
        <v/>
      </c>
      <c r="AF976" t="str">
        <f>IFERROR(H976&amp;"*"&amp;ROUND(L976*(I976/$AN976)/VLOOKUP(H976,商品!$A$4:$D$67,4,FALSE),0),"")</f>
        <v/>
      </c>
      <c r="AG976" t="str">
        <f>IFERROR(J976&amp;"*"&amp;ROUND(L976*(K976/$AN976)/VLOOKUP(J976,商品!$A$4:$D$67,4,FALSE),0),"")</f>
        <v/>
      </c>
      <c r="AH976" t="str">
        <f>IFERROR(M976&amp;"*"&amp;ROUND(S976*(N976/$AO976)/VLOOKUP(M976,职业!$A$3:$E$16,4,FALSE),0),"")</f>
        <v/>
      </c>
      <c r="AI976" t="str">
        <f>IFERROR(O976&amp;"*"&amp;ROUND(S976*(P976/$AO976)/VLOOKUP(O976,职业!$A$3:$E$16,4,FALSE),0),"")</f>
        <v/>
      </c>
      <c r="AK976" t="str">
        <f>IFERROR(T976&amp;"*"&amp;ROUND(X976*(U976/$AP976)/VLOOKUP(T976,商品!$A$4:$D$67,4,FALSE),0),"")</f>
        <v/>
      </c>
      <c r="AL976" t="str">
        <f>IFERROR(V976&amp;"*"&amp;ROUND(X976*(W976/$AP976)/VLOOKUP(V976,商品!$A$4:$D$67,4,FALSE),0),"")</f>
        <v/>
      </c>
      <c r="AN976">
        <f t="shared" si="125"/>
        <v>0</v>
      </c>
      <c r="AO976">
        <f t="shared" si="126"/>
        <v>0</v>
      </c>
      <c r="AP976">
        <f t="shared" si="127"/>
        <v>0</v>
      </c>
    </row>
    <row r="977" customHeight="1" spans="1:42">
      <c r="A977" s="18" t="s">
        <v>464</v>
      </c>
      <c r="C977" s="18">
        <v>8</v>
      </c>
      <c r="D977" s="1" t="s">
        <v>293</v>
      </c>
      <c r="E977" s="1" t="s">
        <v>227</v>
      </c>
      <c r="L977" s="1">
        <f>IFERROR(VLOOKUP($D977&amp;$C977,生产方式定位!$A$2:$E$38,2,FALSE)+VLOOKUP($E977&amp;$C977,生产方式定位!$F$3:$J$38,2,FALSE),0)</f>
        <v>0</v>
      </c>
      <c r="S977" s="1">
        <f>IFERROR(VLOOKUP($D977&amp;$C977,生产方式定位!$A$2:$E$38,3,FALSE)+VLOOKUP($E977&amp;$C977,生产方式定位!$F$3:$J$38,3,FALSE),0)</f>
        <v>0</v>
      </c>
      <c r="X977" s="1">
        <f>IFERROR(VLOOKUP($D977&amp;$C977,生产方式定位!$A$2:$E$38,5,FALSE)+VLOOKUP($E977&amp;$C977,生产方式定位!$F$3:$J$38,5,FALSE),"错误")</f>
        <v>0</v>
      </c>
      <c r="Y977" s="27" t="str">
        <f t="shared" si="120"/>
        <v/>
      </c>
      <c r="Z977" s="37" t="str">
        <f t="shared" si="121"/>
        <v/>
      </c>
      <c r="AA977" s="37" t="str">
        <f t="shared" si="122"/>
        <v/>
      </c>
      <c r="AB977" s="28" t="str">
        <f t="shared" si="123"/>
        <v/>
      </c>
      <c r="AC977" s="37"/>
      <c r="AD977" s="38">
        <f t="shared" si="124"/>
        <v>8</v>
      </c>
      <c r="AE977" t="str">
        <f>IFERROR(F977&amp;"*"&amp;ROUND(L977*(G977/$AN977)/VLOOKUP(F977,商品!$A$4:$D$67,4,FALSE),0),"")</f>
        <v/>
      </c>
      <c r="AF977" t="str">
        <f>IFERROR(H977&amp;"*"&amp;ROUND(L977*(I977/$AN977)/VLOOKUP(H977,商品!$A$4:$D$67,4,FALSE),0),"")</f>
        <v/>
      </c>
      <c r="AG977" t="str">
        <f>IFERROR(J977&amp;"*"&amp;ROUND(L977*(K977/$AN977)/VLOOKUP(J977,商品!$A$4:$D$67,4,FALSE),0),"")</f>
        <v/>
      </c>
      <c r="AH977" t="str">
        <f>IFERROR(M977&amp;"*"&amp;ROUND(S977*(N977/$AO977)/VLOOKUP(M977,职业!$A$3:$E$16,4,FALSE),0),"")</f>
        <v/>
      </c>
      <c r="AI977" t="str">
        <f>IFERROR(O977&amp;"*"&amp;ROUND(S977*(P977/$AO977)/VLOOKUP(O977,职业!$A$3:$E$16,4,FALSE),0),"")</f>
        <v/>
      </c>
      <c r="AK977" t="str">
        <f>IFERROR(T977&amp;"*"&amp;ROUND(X977*(U977/$AP977)/VLOOKUP(T977,商品!$A$4:$D$67,4,FALSE),0),"")</f>
        <v/>
      </c>
      <c r="AL977" t="str">
        <f>IFERROR(V977&amp;"*"&amp;ROUND(X977*(W977/$AP977)/VLOOKUP(V977,商品!$A$4:$D$67,4,FALSE),0),"")</f>
        <v/>
      </c>
      <c r="AN977">
        <f t="shared" si="125"/>
        <v>0</v>
      </c>
      <c r="AO977">
        <f t="shared" si="126"/>
        <v>0</v>
      </c>
      <c r="AP977">
        <f t="shared" si="127"/>
        <v>0</v>
      </c>
    </row>
    <row r="978" customHeight="1" spans="1:42">
      <c r="A978" s="5" t="s">
        <v>466</v>
      </c>
      <c r="C978" s="5">
        <v>1</v>
      </c>
      <c r="D978" s="1" t="s">
        <v>222</v>
      </c>
      <c r="E978" s="1" t="s">
        <v>224</v>
      </c>
      <c r="L978" s="1">
        <f>IFERROR(VLOOKUP($D978&amp;$C978,生产方式定位!$A$2:$E$38,2,FALSE)+VLOOKUP($E978&amp;$C978,生产方式定位!$F$3:$J$38,2,FALSE),0)</f>
        <v>0</v>
      </c>
      <c r="S978" s="1">
        <f>IFERROR(VLOOKUP($D978&amp;$C978,生产方式定位!$A$2:$E$38,3,FALSE)+VLOOKUP($E978&amp;$C978,生产方式定位!$F$3:$J$38,3,FALSE),0)</f>
        <v>500</v>
      </c>
      <c r="X978" s="1">
        <f>IFERROR(VLOOKUP($D978&amp;$C978,生产方式定位!$A$2:$E$38,5,FALSE)+VLOOKUP($E978&amp;$C978,生产方式定位!$F$3:$J$38,5,FALSE),"错误")</f>
        <v>250</v>
      </c>
      <c r="Y978" s="27" t="str">
        <f t="shared" si="120"/>
        <v/>
      </c>
      <c r="Z978" s="37" t="str">
        <f t="shared" si="121"/>
        <v/>
      </c>
      <c r="AA978" s="37" t="str">
        <f t="shared" si="122"/>
        <v/>
      </c>
      <c r="AB978" s="28">
        <f t="shared" si="123"/>
        <v>0</v>
      </c>
      <c r="AC978" s="37"/>
      <c r="AD978" s="38">
        <f t="shared" si="124"/>
        <v>1</v>
      </c>
      <c r="AE978" t="str">
        <f>IFERROR(F978&amp;"*"&amp;ROUND(L978*(G978/$AN978)/VLOOKUP(F978,商品!$A$4:$D$67,4,FALSE),0),"")</f>
        <v/>
      </c>
      <c r="AF978" t="str">
        <f>IFERROR(H978&amp;"*"&amp;ROUND(L978*(I978/$AN978)/VLOOKUP(H978,商品!$A$4:$D$67,4,FALSE),0),"")</f>
        <v/>
      </c>
      <c r="AG978" t="str">
        <f>IFERROR(J978&amp;"*"&amp;ROUND(L978*(K978/$AN978)/VLOOKUP(J978,商品!$A$4:$D$67,4,FALSE),0),"")</f>
        <v/>
      </c>
      <c r="AH978" t="str">
        <f>IFERROR(M978&amp;"*"&amp;ROUND(S978*(N978/$AO978)/VLOOKUP(M978,职业!$A$3:$E$16,4,FALSE),0),"")</f>
        <v/>
      </c>
      <c r="AI978" t="str">
        <f>IFERROR(O978&amp;"*"&amp;ROUND(S978*(P978/$AO978)/VLOOKUP(O978,职业!$A$3:$E$16,4,FALSE),0),"")</f>
        <v/>
      </c>
      <c r="AK978" t="str">
        <f>IFERROR(T978&amp;"*"&amp;ROUND(X978*(U978/$AP978)/VLOOKUP(T978,商品!$A$4:$D$67,4,FALSE),0),"")</f>
        <v/>
      </c>
      <c r="AL978" t="str">
        <f>IFERROR(V978&amp;"*"&amp;ROUND(X978*(W978/$AP978)/VLOOKUP(V978,商品!$A$4:$D$67,4,FALSE),0),"")</f>
        <v/>
      </c>
      <c r="AN978">
        <f t="shared" si="125"/>
        <v>0</v>
      </c>
      <c r="AO978">
        <f t="shared" si="126"/>
        <v>0</v>
      </c>
      <c r="AP978">
        <f t="shared" si="127"/>
        <v>0</v>
      </c>
    </row>
    <row r="979" customHeight="1" spans="1:42">
      <c r="A979" s="5" t="s">
        <v>466</v>
      </c>
      <c r="C979" s="5">
        <v>2</v>
      </c>
      <c r="D979" s="1" t="s">
        <v>222</v>
      </c>
      <c r="E979" s="1" t="s">
        <v>224</v>
      </c>
      <c r="L979" s="1">
        <f>IFERROR(VLOOKUP($D979&amp;$C979,生产方式定位!$A$2:$E$38,2,FALSE)+VLOOKUP($E979&amp;$C979,生产方式定位!$F$3:$J$38,2,FALSE),0)</f>
        <v>2200</v>
      </c>
      <c r="S979" s="1">
        <f>IFERROR(VLOOKUP($D979&amp;$C979,生产方式定位!$A$2:$E$38,3,FALSE)+VLOOKUP($E979&amp;$C979,生产方式定位!$F$3:$J$38,3,FALSE),0)</f>
        <v>750</v>
      </c>
      <c r="X979" s="1">
        <f>IFERROR(VLOOKUP($D979&amp;$C979,生产方式定位!$A$2:$E$38,5,FALSE)+VLOOKUP($E979&amp;$C979,生产方式定位!$F$3:$J$38,5,FALSE),"错误")</f>
        <v>1547</v>
      </c>
      <c r="Y979" s="27" t="str">
        <f t="shared" si="120"/>
        <v/>
      </c>
      <c r="Z979" s="37" t="str">
        <f t="shared" si="121"/>
        <v/>
      </c>
      <c r="AA979" s="37" t="str">
        <f t="shared" si="122"/>
        <v/>
      </c>
      <c r="AB979" s="28">
        <f t="shared" si="123"/>
        <v>1.42</v>
      </c>
      <c r="AC979" s="37"/>
      <c r="AD979" s="38">
        <f t="shared" si="124"/>
        <v>2</v>
      </c>
      <c r="AE979" t="str">
        <f>IFERROR(F979&amp;"*"&amp;ROUND(L979*(G979/$AN979)/VLOOKUP(F979,商品!$A$4:$D$67,4,FALSE),0),"")</f>
        <v/>
      </c>
      <c r="AF979" t="str">
        <f>IFERROR(H979&amp;"*"&amp;ROUND(L979*(I979/$AN979)/VLOOKUP(H979,商品!$A$4:$D$67,4,FALSE),0),"")</f>
        <v/>
      </c>
      <c r="AG979" t="str">
        <f>IFERROR(J979&amp;"*"&amp;ROUND(L979*(K979/$AN979)/VLOOKUP(J979,商品!$A$4:$D$67,4,FALSE),0),"")</f>
        <v/>
      </c>
      <c r="AH979" t="str">
        <f>IFERROR(M979&amp;"*"&amp;ROUND(S979*(N979/$AO979)/VLOOKUP(M979,职业!$A$3:$E$16,4,FALSE),0),"")</f>
        <v/>
      </c>
      <c r="AI979" t="str">
        <f>IFERROR(O979&amp;"*"&amp;ROUND(S979*(P979/$AO979)/VLOOKUP(O979,职业!$A$3:$E$16,4,FALSE),0),"")</f>
        <v/>
      </c>
      <c r="AK979" t="str">
        <f>IFERROR(T979&amp;"*"&amp;ROUND(X979*(U979/$AP979)/VLOOKUP(T979,商品!$A$4:$D$67,4,FALSE),0),"")</f>
        <v/>
      </c>
      <c r="AL979" t="str">
        <f>IFERROR(V979&amp;"*"&amp;ROUND(X979*(W979/$AP979)/VLOOKUP(V979,商品!$A$4:$D$67,4,FALSE),0),"")</f>
        <v/>
      </c>
      <c r="AN979">
        <f t="shared" si="125"/>
        <v>0</v>
      </c>
      <c r="AO979">
        <f t="shared" si="126"/>
        <v>0</v>
      </c>
      <c r="AP979">
        <f t="shared" si="127"/>
        <v>0</v>
      </c>
    </row>
    <row r="980" customHeight="1" spans="1:42">
      <c r="A980" s="5" t="s">
        <v>466</v>
      </c>
      <c r="C980" s="5">
        <v>3</v>
      </c>
      <c r="D980" s="1" t="s">
        <v>222</v>
      </c>
      <c r="E980" s="1" t="s">
        <v>224</v>
      </c>
      <c r="L980" s="1">
        <f>IFERROR(VLOOKUP($D980&amp;$C980,生产方式定位!$A$2:$E$38,2,FALSE)+VLOOKUP($E980&amp;$C980,生产方式定位!$F$3:$J$38,2,FALSE),0)</f>
        <v>3400</v>
      </c>
      <c r="S980" s="1">
        <f>IFERROR(VLOOKUP($D980&amp;$C980,生产方式定位!$A$2:$E$38,3,FALSE)+VLOOKUP($E980&amp;$C980,生产方式定位!$F$3:$J$38,3,FALSE),0)</f>
        <v>1000</v>
      </c>
      <c r="X980" s="1">
        <f>IFERROR(VLOOKUP($D980&amp;$C980,生产方式定位!$A$2:$E$38,5,FALSE)+VLOOKUP($E980&amp;$C980,生产方式定位!$F$3:$J$38,5,FALSE),"错误")</f>
        <v>2488</v>
      </c>
      <c r="Y980" s="27" t="str">
        <f t="shared" si="120"/>
        <v/>
      </c>
      <c r="Z980" s="37" t="str">
        <f t="shared" si="121"/>
        <v/>
      </c>
      <c r="AA980" s="37" t="str">
        <f t="shared" si="122"/>
        <v/>
      </c>
      <c r="AB980" s="28">
        <f t="shared" si="123"/>
        <v>1.37</v>
      </c>
      <c r="AC980" s="37"/>
      <c r="AD980" s="38">
        <f t="shared" si="124"/>
        <v>3</v>
      </c>
      <c r="AE980" t="str">
        <f>IFERROR(F980&amp;"*"&amp;ROUND(L980*(G980/$AN980)/VLOOKUP(F980,商品!$A$4:$D$67,4,FALSE),0),"")</f>
        <v/>
      </c>
      <c r="AF980" t="str">
        <f>IFERROR(H980&amp;"*"&amp;ROUND(L980*(I980/$AN980)/VLOOKUP(H980,商品!$A$4:$D$67,4,FALSE),0),"")</f>
        <v/>
      </c>
      <c r="AG980" t="str">
        <f>IFERROR(J980&amp;"*"&amp;ROUND(L980*(K980/$AN980)/VLOOKUP(J980,商品!$A$4:$D$67,4,FALSE),0),"")</f>
        <v/>
      </c>
      <c r="AH980" t="str">
        <f>IFERROR(M980&amp;"*"&amp;ROUND(S980*(N980/$AO980)/VLOOKUP(M980,职业!$A$3:$E$16,4,FALSE),0),"")</f>
        <v/>
      </c>
      <c r="AI980" t="str">
        <f>IFERROR(O980&amp;"*"&amp;ROUND(S980*(P980/$AO980)/VLOOKUP(O980,职业!$A$3:$E$16,4,FALSE),0),"")</f>
        <v/>
      </c>
      <c r="AK980" t="str">
        <f>IFERROR(T980&amp;"*"&amp;ROUND(X980*(U980/$AP980)/VLOOKUP(T980,商品!$A$4:$D$67,4,FALSE),0),"")</f>
        <v/>
      </c>
      <c r="AL980" t="str">
        <f>IFERROR(V980&amp;"*"&amp;ROUND(X980*(W980/$AP980)/VLOOKUP(V980,商品!$A$4:$D$67,4,FALSE),0),"")</f>
        <v/>
      </c>
      <c r="AN980">
        <f t="shared" si="125"/>
        <v>0</v>
      </c>
      <c r="AO980">
        <f t="shared" si="126"/>
        <v>0</v>
      </c>
      <c r="AP980">
        <f t="shared" si="127"/>
        <v>0</v>
      </c>
    </row>
    <row r="981" customHeight="1" spans="1:42">
      <c r="A981" s="5" t="s">
        <v>466</v>
      </c>
      <c r="C981" s="5">
        <v>4</v>
      </c>
      <c r="D981" s="1" t="s">
        <v>222</v>
      </c>
      <c r="E981" s="1" t="s">
        <v>224</v>
      </c>
      <c r="L981" s="1">
        <f>IFERROR(VLOOKUP($D981&amp;$C981,生产方式定位!$A$2:$E$38,2,FALSE)+VLOOKUP($E981&amp;$C981,生产方式定位!$F$3:$J$38,2,FALSE),0)</f>
        <v>4600</v>
      </c>
      <c r="S981" s="1">
        <f>IFERROR(VLOOKUP($D981&amp;$C981,生产方式定位!$A$2:$E$38,3,FALSE)+VLOOKUP($E981&amp;$C981,生产方式定位!$F$3:$J$38,3,FALSE),0)</f>
        <v>1250</v>
      </c>
      <c r="X981" s="1">
        <f>IFERROR(VLOOKUP($D981&amp;$C981,生产方式定位!$A$2:$E$38,5,FALSE)+VLOOKUP($E981&amp;$C981,生产方式定位!$F$3:$J$38,5,FALSE),"错误")</f>
        <v>3573</v>
      </c>
      <c r="Y981" s="27" t="str">
        <f t="shared" si="120"/>
        <v/>
      </c>
      <c r="Z981" s="37" t="str">
        <f t="shared" si="121"/>
        <v/>
      </c>
      <c r="AA981" s="37" t="str">
        <f t="shared" si="122"/>
        <v/>
      </c>
      <c r="AB981" s="28">
        <f t="shared" si="123"/>
        <v>1.29</v>
      </c>
      <c r="AC981" s="37"/>
      <c r="AD981" s="38">
        <f t="shared" si="124"/>
        <v>4</v>
      </c>
      <c r="AE981" t="str">
        <f>IFERROR(F981&amp;"*"&amp;ROUND(L981*(G981/$AN981)/VLOOKUP(F981,商品!$A$4:$D$67,4,FALSE),0),"")</f>
        <v/>
      </c>
      <c r="AF981" t="str">
        <f>IFERROR(H981&amp;"*"&amp;ROUND(L981*(I981/$AN981)/VLOOKUP(H981,商品!$A$4:$D$67,4,FALSE),0),"")</f>
        <v/>
      </c>
      <c r="AG981" t="str">
        <f>IFERROR(J981&amp;"*"&amp;ROUND(L981*(K981/$AN981)/VLOOKUP(J981,商品!$A$4:$D$67,4,FALSE),0),"")</f>
        <v/>
      </c>
      <c r="AH981" t="str">
        <f>IFERROR(M981&amp;"*"&amp;ROUND(S981*(N981/$AO981)/VLOOKUP(M981,职业!$A$3:$E$16,4,FALSE),0),"")</f>
        <v/>
      </c>
      <c r="AI981" t="str">
        <f>IFERROR(O981&amp;"*"&amp;ROUND(S981*(P981/$AO981)/VLOOKUP(O981,职业!$A$3:$E$16,4,FALSE),0),"")</f>
        <v/>
      </c>
      <c r="AK981" t="str">
        <f>IFERROR(T981&amp;"*"&amp;ROUND(X981*(U981/$AP981)/VLOOKUP(T981,商品!$A$4:$D$67,4,FALSE),0),"")</f>
        <v/>
      </c>
      <c r="AL981" t="str">
        <f>IFERROR(V981&amp;"*"&amp;ROUND(X981*(W981/$AP981)/VLOOKUP(V981,商品!$A$4:$D$67,4,FALSE),0),"")</f>
        <v/>
      </c>
      <c r="AN981">
        <f t="shared" si="125"/>
        <v>0</v>
      </c>
      <c r="AO981">
        <f t="shared" si="126"/>
        <v>0</v>
      </c>
      <c r="AP981">
        <f t="shared" si="127"/>
        <v>0</v>
      </c>
    </row>
    <row r="982" customHeight="1" spans="1:42">
      <c r="A982" s="5" t="s">
        <v>466</v>
      </c>
      <c r="C982" s="5">
        <v>5</v>
      </c>
      <c r="D982" s="1" t="s">
        <v>222</v>
      </c>
      <c r="E982" s="1" t="s">
        <v>224</v>
      </c>
      <c r="L982" s="1">
        <f>IFERROR(VLOOKUP($D982&amp;$C982,生产方式定位!$A$2:$E$38,2,FALSE)+VLOOKUP($E982&amp;$C982,生产方式定位!$F$3:$J$38,2,FALSE),0)</f>
        <v>5800</v>
      </c>
      <c r="S982" s="1">
        <f>IFERROR(VLOOKUP($D982&amp;$C982,生产方式定位!$A$2:$E$38,3,FALSE)+VLOOKUP($E982&amp;$C982,生产方式定位!$F$3:$J$38,3,FALSE),0)</f>
        <v>1500</v>
      </c>
      <c r="X982" s="1">
        <f>IFERROR(VLOOKUP($D982&amp;$C982,生产方式定位!$A$2:$E$38,5,FALSE)+VLOOKUP($E982&amp;$C982,生产方式定位!$F$3:$J$38,5,FALSE),"错误")</f>
        <v>4850</v>
      </c>
      <c r="Y982" s="27" t="str">
        <f t="shared" si="120"/>
        <v/>
      </c>
      <c r="Z982" s="37" t="str">
        <f t="shared" si="121"/>
        <v/>
      </c>
      <c r="AA982" s="37" t="str">
        <f t="shared" si="122"/>
        <v/>
      </c>
      <c r="AB982" s="28">
        <f t="shared" si="123"/>
        <v>1.2</v>
      </c>
      <c r="AC982" s="37"/>
      <c r="AD982" s="38">
        <f t="shared" si="124"/>
        <v>5</v>
      </c>
      <c r="AE982" t="str">
        <f>IFERROR(F982&amp;"*"&amp;ROUND(L982*(G982/$AN982)/VLOOKUP(F982,商品!$A$4:$D$67,4,FALSE),0),"")</f>
        <v/>
      </c>
      <c r="AF982" t="str">
        <f>IFERROR(H982&amp;"*"&amp;ROUND(L982*(I982/$AN982)/VLOOKUP(H982,商品!$A$4:$D$67,4,FALSE),0),"")</f>
        <v/>
      </c>
      <c r="AG982" t="str">
        <f>IFERROR(J982&amp;"*"&amp;ROUND(L982*(K982/$AN982)/VLOOKUP(J982,商品!$A$4:$D$67,4,FALSE),0),"")</f>
        <v/>
      </c>
      <c r="AH982" t="str">
        <f>IFERROR(M982&amp;"*"&amp;ROUND(S982*(N982/$AO982)/VLOOKUP(M982,职业!$A$3:$E$16,4,FALSE),0),"")</f>
        <v/>
      </c>
      <c r="AI982" t="str">
        <f>IFERROR(O982&amp;"*"&amp;ROUND(S982*(P982/$AO982)/VLOOKUP(O982,职业!$A$3:$E$16,4,FALSE),0),"")</f>
        <v/>
      </c>
      <c r="AK982" t="str">
        <f>IFERROR(T982&amp;"*"&amp;ROUND(X982*(U982/$AP982)/VLOOKUP(T982,商品!$A$4:$D$67,4,FALSE),0),"")</f>
        <v/>
      </c>
      <c r="AL982" t="str">
        <f>IFERROR(V982&amp;"*"&amp;ROUND(X982*(W982/$AP982)/VLOOKUP(V982,商品!$A$4:$D$67,4,FALSE),0),"")</f>
        <v/>
      </c>
      <c r="AN982">
        <f t="shared" si="125"/>
        <v>0</v>
      </c>
      <c r="AO982">
        <f t="shared" si="126"/>
        <v>0</v>
      </c>
      <c r="AP982">
        <f t="shared" si="127"/>
        <v>0</v>
      </c>
    </row>
    <row r="983" customHeight="1" spans="1:42">
      <c r="A983" s="18" t="s">
        <v>467</v>
      </c>
      <c r="C983" s="18">
        <v>1</v>
      </c>
      <c r="D983" s="1" t="s">
        <v>222</v>
      </c>
      <c r="E983" s="1" t="s">
        <v>226</v>
      </c>
      <c r="L983" s="1">
        <f>IFERROR(VLOOKUP($D983&amp;$C983,生产方式定位!$A$2:$E$38,2,FALSE)+VLOOKUP($E983&amp;$C983,生产方式定位!$F$3:$J$38,2,FALSE),0)</f>
        <v>0</v>
      </c>
      <c r="S983" s="1">
        <f>IFERROR(VLOOKUP($D983&amp;$C983,生产方式定位!$A$2:$E$38,3,FALSE)+VLOOKUP($E983&amp;$C983,生产方式定位!$F$3:$J$38,3,FALSE),0)</f>
        <v>500</v>
      </c>
      <c r="X983" s="1">
        <f>IFERROR(VLOOKUP($D983&amp;$C983,生产方式定位!$A$2:$E$38,5,FALSE)+VLOOKUP($E983&amp;$C983,生产方式定位!$F$3:$J$38,5,FALSE),"错误")</f>
        <v>250</v>
      </c>
      <c r="Y983" s="27" t="str">
        <f t="shared" si="120"/>
        <v/>
      </c>
      <c r="Z983" s="37" t="str">
        <f t="shared" si="121"/>
        <v/>
      </c>
      <c r="AA983" s="37" t="str">
        <f t="shared" si="122"/>
        <v/>
      </c>
      <c r="AB983" s="28">
        <f t="shared" si="123"/>
        <v>0</v>
      </c>
      <c r="AC983" s="37"/>
      <c r="AD983" s="38">
        <f t="shared" si="124"/>
        <v>1</v>
      </c>
      <c r="AE983" t="str">
        <f>IFERROR(F983&amp;"*"&amp;ROUND(L983*(G983/$AN983)/VLOOKUP(F983,商品!$A$4:$D$67,4,FALSE),0),"")</f>
        <v/>
      </c>
      <c r="AF983" t="str">
        <f>IFERROR(H983&amp;"*"&amp;ROUND(L983*(I983/$AN983)/VLOOKUP(H983,商品!$A$4:$D$67,4,FALSE),0),"")</f>
        <v/>
      </c>
      <c r="AG983" t="str">
        <f>IFERROR(J983&amp;"*"&amp;ROUND(L983*(K983/$AN983)/VLOOKUP(J983,商品!$A$4:$D$67,4,FALSE),0),"")</f>
        <v/>
      </c>
      <c r="AH983" t="str">
        <f>IFERROR(M983&amp;"*"&amp;ROUND(S983*(N983/$AO983)/VLOOKUP(M983,职业!$A$3:$E$16,4,FALSE),0),"")</f>
        <v/>
      </c>
      <c r="AI983" t="str">
        <f>IFERROR(O983&amp;"*"&amp;ROUND(S983*(P983/$AO983)/VLOOKUP(O983,职业!$A$3:$E$16,4,FALSE),0),"")</f>
        <v/>
      </c>
      <c r="AK983" t="str">
        <f>IFERROR(T983&amp;"*"&amp;ROUND(X983*(U983/$AP983)/VLOOKUP(T983,商品!$A$4:$D$67,4,FALSE),0),"")</f>
        <v/>
      </c>
      <c r="AL983" t="str">
        <f>IFERROR(V983&amp;"*"&amp;ROUND(X983*(W983/$AP983)/VLOOKUP(V983,商品!$A$4:$D$67,4,FALSE),0),"")</f>
        <v/>
      </c>
      <c r="AN983">
        <f t="shared" si="125"/>
        <v>0</v>
      </c>
      <c r="AO983">
        <f t="shared" si="126"/>
        <v>0</v>
      </c>
      <c r="AP983">
        <f t="shared" si="127"/>
        <v>0</v>
      </c>
    </row>
    <row r="984" customHeight="1" spans="1:42">
      <c r="A984" s="18" t="s">
        <v>467</v>
      </c>
      <c r="C984" s="18">
        <v>2</v>
      </c>
      <c r="D984" s="1" t="s">
        <v>222</v>
      </c>
      <c r="E984" s="1" t="s">
        <v>226</v>
      </c>
      <c r="L984" s="1">
        <f>IFERROR(VLOOKUP($D984&amp;$C984,生产方式定位!$A$2:$E$38,2,FALSE)+VLOOKUP($E984&amp;$C984,生产方式定位!$F$3:$J$38,2,FALSE),0)</f>
        <v>3200</v>
      </c>
      <c r="S984" s="1">
        <f>IFERROR(VLOOKUP($D984&amp;$C984,生产方式定位!$A$2:$E$38,3,FALSE)+VLOOKUP($E984&amp;$C984,生产方式定位!$F$3:$J$38,3,FALSE),0)</f>
        <v>350</v>
      </c>
      <c r="X984" s="1">
        <f>IFERROR(VLOOKUP($D984&amp;$C984,生产方式定位!$A$2:$E$38,5,FALSE)+VLOOKUP($E984&amp;$C984,生产方式定位!$F$3:$J$38,5,FALSE),"错误")</f>
        <v>1865</v>
      </c>
      <c r="Y984" s="27" t="str">
        <f t="shared" si="120"/>
        <v/>
      </c>
      <c r="Z984" s="37" t="str">
        <f t="shared" si="121"/>
        <v/>
      </c>
      <c r="AA984" s="37" t="str">
        <f t="shared" si="122"/>
        <v/>
      </c>
      <c r="AB984" s="28">
        <f t="shared" si="123"/>
        <v>1.72</v>
      </c>
      <c r="AC984" s="37"/>
      <c r="AD984" s="38">
        <f t="shared" si="124"/>
        <v>2</v>
      </c>
      <c r="AE984" t="str">
        <f>IFERROR(F984&amp;"*"&amp;ROUND(L984*(G984/$AN984)/VLOOKUP(F984,商品!$A$4:$D$67,4,FALSE),0),"")</f>
        <v/>
      </c>
      <c r="AF984" t="str">
        <f>IFERROR(H984&amp;"*"&amp;ROUND(L984*(I984/$AN984)/VLOOKUP(H984,商品!$A$4:$D$67,4,FALSE),0),"")</f>
        <v/>
      </c>
      <c r="AG984" t="str">
        <f>IFERROR(J984&amp;"*"&amp;ROUND(L984*(K984/$AN984)/VLOOKUP(J984,商品!$A$4:$D$67,4,FALSE),0),"")</f>
        <v/>
      </c>
      <c r="AH984" t="str">
        <f>IFERROR(M984&amp;"*"&amp;ROUND(S984*(N984/$AO984)/VLOOKUP(M984,职业!$A$3:$E$16,4,FALSE),0),"")</f>
        <v/>
      </c>
      <c r="AI984" t="str">
        <f>IFERROR(O984&amp;"*"&amp;ROUND(S984*(P984/$AO984)/VLOOKUP(O984,职业!$A$3:$E$16,4,FALSE),0),"")</f>
        <v/>
      </c>
      <c r="AK984" t="str">
        <f>IFERROR(T984&amp;"*"&amp;ROUND(X984*(U984/$AP984)/VLOOKUP(T984,商品!$A$4:$D$67,4,FALSE),0),"")</f>
        <v/>
      </c>
      <c r="AL984" t="str">
        <f>IFERROR(V984&amp;"*"&amp;ROUND(X984*(W984/$AP984)/VLOOKUP(V984,商品!$A$4:$D$67,4,FALSE),0),"")</f>
        <v/>
      </c>
      <c r="AN984">
        <f t="shared" si="125"/>
        <v>0</v>
      </c>
      <c r="AO984">
        <f t="shared" si="126"/>
        <v>0</v>
      </c>
      <c r="AP984">
        <f t="shared" si="127"/>
        <v>0</v>
      </c>
    </row>
    <row r="985" customHeight="1" spans="1:42">
      <c r="A985" s="18" t="s">
        <v>467</v>
      </c>
      <c r="C985" s="18">
        <v>3</v>
      </c>
      <c r="D985" s="1" t="s">
        <v>222</v>
      </c>
      <c r="E985" s="1" t="s">
        <v>226</v>
      </c>
      <c r="L985" s="1">
        <f>IFERROR(VLOOKUP($D985&amp;$C985,生产方式定位!$A$2:$E$38,2,FALSE)+VLOOKUP($E985&amp;$C985,生产方式定位!$F$3:$J$38,2,FALSE),0)</f>
        <v>4400</v>
      </c>
      <c r="S985" s="1">
        <f>IFERROR(VLOOKUP($D985&amp;$C985,生产方式定位!$A$2:$E$38,3,FALSE)+VLOOKUP($E985&amp;$C985,生产方式定位!$F$3:$J$38,3,FALSE),0)</f>
        <v>200</v>
      </c>
      <c r="X985" s="1">
        <f>IFERROR(VLOOKUP($D985&amp;$C985,生产方式定位!$A$2:$E$38,5,FALSE)+VLOOKUP($E985&amp;$C985,生产方式定位!$F$3:$J$38,5,FALSE),"错误")</f>
        <v>2560</v>
      </c>
      <c r="Y985" s="27" t="str">
        <f t="shared" si="120"/>
        <v/>
      </c>
      <c r="Z985" s="37" t="str">
        <f t="shared" si="121"/>
        <v/>
      </c>
      <c r="AA985" s="37" t="str">
        <f t="shared" si="122"/>
        <v/>
      </c>
      <c r="AB985" s="28">
        <f t="shared" si="123"/>
        <v>1.72</v>
      </c>
      <c r="AC985" s="37"/>
      <c r="AD985" s="38">
        <f t="shared" si="124"/>
        <v>3</v>
      </c>
      <c r="AE985" t="str">
        <f>IFERROR(F985&amp;"*"&amp;ROUND(L985*(G985/$AN985)/VLOOKUP(F985,商品!$A$4:$D$67,4,FALSE),0),"")</f>
        <v/>
      </c>
      <c r="AF985" t="str">
        <f>IFERROR(H985&amp;"*"&amp;ROUND(L985*(I985/$AN985)/VLOOKUP(H985,商品!$A$4:$D$67,4,FALSE),0),"")</f>
        <v/>
      </c>
      <c r="AG985" t="str">
        <f>IFERROR(J985&amp;"*"&amp;ROUND(L985*(K985/$AN985)/VLOOKUP(J985,商品!$A$4:$D$67,4,FALSE),0),"")</f>
        <v/>
      </c>
      <c r="AH985" t="str">
        <f>IFERROR(M985&amp;"*"&amp;ROUND(S985*(N985/$AO985)/VLOOKUP(M985,职业!$A$3:$E$16,4,FALSE),0),"")</f>
        <v/>
      </c>
      <c r="AI985" t="str">
        <f>IFERROR(O985&amp;"*"&amp;ROUND(S985*(P985/$AO985)/VLOOKUP(O985,职业!$A$3:$E$16,4,FALSE),0),"")</f>
        <v/>
      </c>
      <c r="AK985" t="str">
        <f>IFERROR(T985&amp;"*"&amp;ROUND(X985*(U985/$AP985)/VLOOKUP(T985,商品!$A$4:$D$67,4,FALSE),0),"")</f>
        <v/>
      </c>
      <c r="AL985" t="str">
        <f>IFERROR(V985&amp;"*"&amp;ROUND(X985*(W985/$AP985)/VLOOKUP(V985,商品!$A$4:$D$67,4,FALSE),0),"")</f>
        <v/>
      </c>
      <c r="AN985">
        <f t="shared" si="125"/>
        <v>0</v>
      </c>
      <c r="AO985">
        <f t="shared" si="126"/>
        <v>0</v>
      </c>
      <c r="AP985">
        <f t="shared" si="127"/>
        <v>0</v>
      </c>
    </row>
    <row r="986" customHeight="1" spans="1:42">
      <c r="A986" s="18" t="s">
        <v>467</v>
      </c>
      <c r="C986" s="18">
        <v>4</v>
      </c>
      <c r="D986" s="1" t="s">
        <v>222</v>
      </c>
      <c r="E986" s="1" t="s">
        <v>226</v>
      </c>
      <c r="L986" s="1">
        <f>IFERROR(VLOOKUP($D986&amp;$C986,生产方式定位!$A$2:$E$38,2,FALSE)+VLOOKUP($E986&amp;$C986,生产方式定位!$F$3:$J$38,2,FALSE),0)</f>
        <v>5600</v>
      </c>
      <c r="S986" s="1">
        <f>IFERROR(VLOOKUP($D986&amp;$C986,生产方式定位!$A$2:$E$38,3,FALSE)+VLOOKUP($E986&amp;$C986,生产方式定位!$F$3:$J$38,3,FALSE),0)</f>
        <v>50</v>
      </c>
      <c r="X986" s="1">
        <f>IFERROR(VLOOKUP($D986&amp;$C986,生产方式定位!$A$2:$E$38,5,FALSE)+VLOOKUP($E986&amp;$C986,生产方式定位!$F$3:$J$38,5,FALSE),"错误")</f>
        <v>3335</v>
      </c>
      <c r="Y986" s="27" t="str">
        <f t="shared" si="120"/>
        <v/>
      </c>
      <c r="Z986" s="37" t="str">
        <f t="shared" si="121"/>
        <v/>
      </c>
      <c r="AA986" s="37" t="str">
        <f t="shared" si="122"/>
        <v/>
      </c>
      <c r="AB986" s="28">
        <f t="shared" si="123"/>
        <v>1.68</v>
      </c>
      <c r="AC986" s="37"/>
      <c r="AD986" s="38">
        <f t="shared" si="124"/>
        <v>4</v>
      </c>
      <c r="AE986" t="str">
        <f>IFERROR(F986&amp;"*"&amp;ROUND(L986*(G986/$AN986)/VLOOKUP(F986,商品!$A$4:$D$67,4,FALSE),0),"")</f>
        <v/>
      </c>
      <c r="AF986" t="str">
        <f>IFERROR(H986&amp;"*"&amp;ROUND(L986*(I986/$AN986)/VLOOKUP(H986,商品!$A$4:$D$67,4,FALSE),0),"")</f>
        <v/>
      </c>
      <c r="AG986" t="str">
        <f>IFERROR(J986&amp;"*"&amp;ROUND(L986*(K986/$AN986)/VLOOKUP(J986,商品!$A$4:$D$67,4,FALSE),0),"")</f>
        <v/>
      </c>
      <c r="AH986" t="str">
        <f>IFERROR(M986&amp;"*"&amp;ROUND(S986*(N986/$AO986)/VLOOKUP(M986,职业!$A$3:$E$16,4,FALSE),0),"")</f>
        <v/>
      </c>
      <c r="AI986" t="str">
        <f>IFERROR(O986&amp;"*"&amp;ROUND(S986*(P986/$AO986)/VLOOKUP(O986,职业!$A$3:$E$16,4,FALSE),0),"")</f>
        <v/>
      </c>
      <c r="AK986" t="str">
        <f>IFERROR(T986&amp;"*"&amp;ROUND(X986*(U986/$AP986)/VLOOKUP(T986,商品!$A$4:$D$67,4,FALSE),0),"")</f>
        <v/>
      </c>
      <c r="AL986" t="str">
        <f>IFERROR(V986&amp;"*"&amp;ROUND(X986*(W986/$AP986)/VLOOKUP(V986,商品!$A$4:$D$67,4,FALSE),0),"")</f>
        <v/>
      </c>
      <c r="AN986">
        <f t="shared" si="125"/>
        <v>0</v>
      </c>
      <c r="AO986">
        <f t="shared" si="126"/>
        <v>0</v>
      </c>
      <c r="AP986">
        <f t="shared" si="127"/>
        <v>0</v>
      </c>
    </row>
    <row r="987" customHeight="1" spans="1:42">
      <c r="A987" s="18" t="s">
        <v>467</v>
      </c>
      <c r="C987" s="18">
        <v>5</v>
      </c>
      <c r="D987" s="1" t="s">
        <v>222</v>
      </c>
      <c r="E987" s="1" t="s">
        <v>226</v>
      </c>
      <c r="L987" s="1">
        <f>IFERROR(VLOOKUP($D987&amp;$C987,生产方式定位!$A$2:$E$38,2,FALSE)+VLOOKUP($E987&amp;$C987,生产方式定位!$F$3:$J$38,2,FALSE),0)</f>
        <v>6800</v>
      </c>
      <c r="S987" s="1">
        <f>IFERROR(VLOOKUP($D987&amp;$C987,生产方式定位!$A$2:$E$38,3,FALSE)+VLOOKUP($E987&amp;$C987,生产方式定位!$F$3:$J$38,3,FALSE),0)</f>
        <v>-100</v>
      </c>
      <c r="X987" s="1">
        <f>IFERROR(VLOOKUP($D987&amp;$C987,生产方式定位!$A$2:$E$38,5,FALSE)+VLOOKUP($E987&amp;$C987,生产方式定位!$F$3:$J$38,5,FALSE),"错误")</f>
        <v>4190</v>
      </c>
      <c r="Y987" s="27" t="str">
        <f t="shared" si="120"/>
        <v/>
      </c>
      <c r="Z987" s="37" t="str">
        <f t="shared" si="121"/>
        <v/>
      </c>
      <c r="AA987" s="37" t="str">
        <f t="shared" si="122"/>
        <v/>
      </c>
      <c r="AB987" s="28">
        <f t="shared" si="123"/>
        <v>1.62</v>
      </c>
      <c r="AC987" s="37"/>
      <c r="AD987" s="38">
        <f t="shared" si="124"/>
        <v>5</v>
      </c>
      <c r="AE987" t="str">
        <f>IFERROR(F987&amp;"*"&amp;ROUND(L987*(G987/$AN987)/VLOOKUP(F987,商品!$A$4:$D$67,4,FALSE),0),"")</f>
        <v/>
      </c>
      <c r="AF987" t="str">
        <f>IFERROR(H987&amp;"*"&amp;ROUND(L987*(I987/$AN987)/VLOOKUP(H987,商品!$A$4:$D$67,4,FALSE),0),"")</f>
        <v/>
      </c>
      <c r="AG987" t="str">
        <f>IFERROR(J987&amp;"*"&amp;ROUND(L987*(K987/$AN987)/VLOOKUP(J987,商品!$A$4:$D$67,4,FALSE),0),"")</f>
        <v/>
      </c>
      <c r="AH987" t="str">
        <f>IFERROR(M987&amp;"*"&amp;ROUND(S987*(N987/$AO987)/VLOOKUP(M987,职业!$A$3:$E$16,4,FALSE),0),"")</f>
        <v/>
      </c>
      <c r="AI987" t="str">
        <f>IFERROR(O987&amp;"*"&amp;ROUND(S987*(P987/$AO987)/VLOOKUP(O987,职业!$A$3:$E$16,4,FALSE),0),"")</f>
        <v/>
      </c>
      <c r="AK987" t="str">
        <f>IFERROR(T987&amp;"*"&amp;ROUND(X987*(U987/$AP987)/VLOOKUP(T987,商品!$A$4:$D$67,4,FALSE),0),"")</f>
        <v/>
      </c>
      <c r="AL987" t="str">
        <f>IFERROR(V987&amp;"*"&amp;ROUND(X987*(W987/$AP987)/VLOOKUP(V987,商品!$A$4:$D$67,4,FALSE),0),"")</f>
        <v/>
      </c>
      <c r="AN987">
        <f t="shared" si="125"/>
        <v>0</v>
      </c>
      <c r="AO987">
        <f t="shared" si="126"/>
        <v>0</v>
      </c>
      <c r="AP987">
        <f t="shared" si="127"/>
        <v>0</v>
      </c>
    </row>
    <row r="988" customHeight="1" spans="1:42">
      <c r="A988" s="5" t="s">
        <v>467</v>
      </c>
      <c r="C988" s="5">
        <v>1</v>
      </c>
      <c r="D988" s="1" t="s">
        <v>222</v>
      </c>
      <c r="E988" s="1" t="s">
        <v>226</v>
      </c>
      <c r="L988" s="1">
        <f>IFERROR(VLOOKUP($D988&amp;$C988,生产方式定位!$A$2:$E$38,2,FALSE)+VLOOKUP($E988&amp;$C988,生产方式定位!$F$3:$J$38,2,FALSE),0)</f>
        <v>0</v>
      </c>
      <c r="S988" s="1">
        <f>IFERROR(VLOOKUP($D988&amp;$C988,生产方式定位!$A$2:$E$38,3,FALSE)+VLOOKUP($E988&amp;$C988,生产方式定位!$F$3:$J$38,3,FALSE),0)</f>
        <v>500</v>
      </c>
      <c r="X988" s="1">
        <f>IFERROR(VLOOKUP($D988&amp;$C988,生产方式定位!$A$2:$E$38,5,FALSE)+VLOOKUP($E988&amp;$C988,生产方式定位!$F$3:$J$38,5,FALSE),"错误")</f>
        <v>250</v>
      </c>
      <c r="Y988" s="27" t="str">
        <f t="shared" si="120"/>
        <v/>
      </c>
      <c r="Z988" s="37" t="str">
        <f t="shared" si="121"/>
        <v/>
      </c>
      <c r="AA988" s="37" t="str">
        <f t="shared" si="122"/>
        <v/>
      </c>
      <c r="AB988" s="28">
        <f t="shared" si="123"/>
        <v>0</v>
      </c>
      <c r="AC988" s="37"/>
      <c r="AD988" s="38">
        <f t="shared" si="124"/>
        <v>1</v>
      </c>
      <c r="AE988" t="str">
        <f>IFERROR(F988&amp;"*"&amp;ROUND(L988*(G988/$AN988)/VLOOKUP(F988,商品!$A$4:$D$67,4,FALSE),0),"")</f>
        <v/>
      </c>
      <c r="AF988" t="str">
        <f>IFERROR(H988&amp;"*"&amp;ROUND(L988*(I988/$AN988)/VLOOKUP(H988,商品!$A$4:$D$67,4,FALSE),0),"")</f>
        <v/>
      </c>
      <c r="AG988" t="str">
        <f>IFERROR(J988&amp;"*"&amp;ROUND(L988*(K988/$AN988)/VLOOKUP(J988,商品!$A$4:$D$67,4,FALSE),0),"")</f>
        <v/>
      </c>
      <c r="AH988" t="str">
        <f>IFERROR(M988&amp;"*"&amp;ROUND(S988*(N988/$AO988)/VLOOKUP(M988,职业!$A$3:$E$16,4,FALSE),0),"")</f>
        <v/>
      </c>
      <c r="AI988" t="str">
        <f>IFERROR(O988&amp;"*"&amp;ROUND(S988*(P988/$AO988)/VLOOKUP(O988,职业!$A$3:$E$16,4,FALSE),0),"")</f>
        <v/>
      </c>
      <c r="AK988" t="str">
        <f>IFERROR(T988&amp;"*"&amp;ROUND(X988*(U988/$AP988)/VLOOKUP(T988,商品!$A$4:$D$67,4,FALSE),0),"")</f>
        <v/>
      </c>
      <c r="AL988" t="str">
        <f>IFERROR(V988&amp;"*"&amp;ROUND(X988*(W988/$AP988)/VLOOKUP(V988,商品!$A$4:$D$67,4,FALSE),0),"")</f>
        <v/>
      </c>
      <c r="AN988">
        <f t="shared" si="125"/>
        <v>0</v>
      </c>
      <c r="AO988">
        <f t="shared" si="126"/>
        <v>0</v>
      </c>
      <c r="AP988">
        <f t="shared" si="127"/>
        <v>0</v>
      </c>
    </row>
    <row r="989" customHeight="1" spans="1:42">
      <c r="A989" s="5" t="s">
        <v>467</v>
      </c>
      <c r="C989" s="5">
        <v>2</v>
      </c>
      <c r="D989" s="1" t="s">
        <v>222</v>
      </c>
      <c r="E989" s="1" t="s">
        <v>226</v>
      </c>
      <c r="L989" s="1">
        <f>IFERROR(VLOOKUP($D989&amp;$C989,生产方式定位!$A$2:$E$38,2,FALSE)+VLOOKUP($E989&amp;$C989,生产方式定位!$F$3:$J$38,2,FALSE),0)</f>
        <v>3200</v>
      </c>
      <c r="S989" s="1">
        <f>IFERROR(VLOOKUP($D989&amp;$C989,生产方式定位!$A$2:$E$38,3,FALSE)+VLOOKUP($E989&amp;$C989,生产方式定位!$F$3:$J$38,3,FALSE),0)</f>
        <v>350</v>
      </c>
      <c r="X989" s="1">
        <f>IFERROR(VLOOKUP($D989&amp;$C989,生产方式定位!$A$2:$E$38,5,FALSE)+VLOOKUP($E989&amp;$C989,生产方式定位!$F$3:$J$38,5,FALSE),"错误")</f>
        <v>1865</v>
      </c>
      <c r="Y989" s="27" t="str">
        <f t="shared" si="120"/>
        <v/>
      </c>
      <c r="Z989" s="37" t="str">
        <f t="shared" si="121"/>
        <v/>
      </c>
      <c r="AA989" s="37" t="str">
        <f t="shared" si="122"/>
        <v/>
      </c>
      <c r="AB989" s="28">
        <f t="shared" si="123"/>
        <v>1.72</v>
      </c>
      <c r="AC989" s="37"/>
      <c r="AD989" s="38">
        <f t="shared" si="124"/>
        <v>2</v>
      </c>
      <c r="AE989" t="str">
        <f>IFERROR(F989&amp;"*"&amp;ROUND(L989*(G989/$AN989)/VLOOKUP(F989,商品!$A$4:$D$67,4,FALSE),0),"")</f>
        <v/>
      </c>
      <c r="AF989" t="str">
        <f>IFERROR(H989&amp;"*"&amp;ROUND(L989*(I989/$AN989)/VLOOKUP(H989,商品!$A$4:$D$67,4,FALSE),0),"")</f>
        <v/>
      </c>
      <c r="AG989" t="str">
        <f>IFERROR(J989&amp;"*"&amp;ROUND(L989*(K989/$AN989)/VLOOKUP(J989,商品!$A$4:$D$67,4,FALSE),0),"")</f>
        <v/>
      </c>
      <c r="AH989" t="str">
        <f>IFERROR(M989&amp;"*"&amp;ROUND(S989*(N989/$AO989)/VLOOKUP(M989,职业!$A$3:$E$16,4,FALSE),0),"")</f>
        <v/>
      </c>
      <c r="AI989" t="str">
        <f>IFERROR(O989&amp;"*"&amp;ROUND(S989*(P989/$AO989)/VLOOKUP(O989,职业!$A$3:$E$16,4,FALSE),0),"")</f>
        <v/>
      </c>
      <c r="AK989" t="str">
        <f>IFERROR(T989&amp;"*"&amp;ROUND(X989*(U989/$AP989)/VLOOKUP(T989,商品!$A$4:$D$67,4,FALSE),0),"")</f>
        <v/>
      </c>
      <c r="AL989" t="str">
        <f>IFERROR(V989&amp;"*"&amp;ROUND(X989*(W989/$AP989)/VLOOKUP(V989,商品!$A$4:$D$67,4,FALSE),0),"")</f>
        <v/>
      </c>
      <c r="AN989">
        <f t="shared" si="125"/>
        <v>0</v>
      </c>
      <c r="AO989">
        <f t="shared" si="126"/>
        <v>0</v>
      </c>
      <c r="AP989">
        <f t="shared" si="127"/>
        <v>0</v>
      </c>
    </row>
    <row r="990" customHeight="1" spans="1:42">
      <c r="A990" s="5" t="s">
        <v>467</v>
      </c>
      <c r="C990" s="5">
        <v>3</v>
      </c>
      <c r="D990" s="1" t="s">
        <v>222</v>
      </c>
      <c r="E990" s="1" t="s">
        <v>226</v>
      </c>
      <c r="L990" s="1">
        <f>IFERROR(VLOOKUP($D990&amp;$C990,生产方式定位!$A$2:$E$38,2,FALSE)+VLOOKUP($E990&amp;$C990,生产方式定位!$F$3:$J$38,2,FALSE),0)</f>
        <v>4400</v>
      </c>
      <c r="S990" s="1">
        <f>IFERROR(VLOOKUP($D990&amp;$C990,生产方式定位!$A$2:$E$38,3,FALSE)+VLOOKUP($E990&amp;$C990,生产方式定位!$F$3:$J$38,3,FALSE),0)</f>
        <v>200</v>
      </c>
      <c r="X990" s="1">
        <f>IFERROR(VLOOKUP($D990&amp;$C990,生产方式定位!$A$2:$E$38,5,FALSE)+VLOOKUP($E990&amp;$C990,生产方式定位!$F$3:$J$38,5,FALSE),"错误")</f>
        <v>2560</v>
      </c>
      <c r="Y990" s="27" t="str">
        <f t="shared" si="120"/>
        <v/>
      </c>
      <c r="Z990" s="37" t="str">
        <f t="shared" si="121"/>
        <v/>
      </c>
      <c r="AA990" s="37" t="str">
        <f t="shared" si="122"/>
        <v/>
      </c>
      <c r="AB990" s="28">
        <f t="shared" si="123"/>
        <v>1.72</v>
      </c>
      <c r="AC990" s="37"/>
      <c r="AD990" s="38">
        <f t="shared" si="124"/>
        <v>3</v>
      </c>
      <c r="AE990" t="str">
        <f>IFERROR(F990&amp;"*"&amp;ROUND(L990*(G990/$AN990)/VLOOKUP(F990,商品!$A$4:$D$67,4,FALSE),0),"")</f>
        <v/>
      </c>
      <c r="AF990" t="str">
        <f>IFERROR(H990&amp;"*"&amp;ROUND(L990*(I990/$AN990)/VLOOKUP(H990,商品!$A$4:$D$67,4,FALSE),0),"")</f>
        <v/>
      </c>
      <c r="AG990" t="str">
        <f>IFERROR(J990&amp;"*"&amp;ROUND(L990*(K990/$AN990)/VLOOKUP(J990,商品!$A$4:$D$67,4,FALSE),0),"")</f>
        <v/>
      </c>
      <c r="AH990" t="str">
        <f>IFERROR(M990&amp;"*"&amp;ROUND(S990*(N990/$AO990)/VLOOKUP(M990,职业!$A$3:$E$16,4,FALSE),0),"")</f>
        <v/>
      </c>
      <c r="AI990" t="str">
        <f>IFERROR(O990&amp;"*"&amp;ROUND(S990*(P990/$AO990)/VLOOKUP(O990,职业!$A$3:$E$16,4,FALSE),0),"")</f>
        <v/>
      </c>
      <c r="AK990" t="str">
        <f>IFERROR(T990&amp;"*"&amp;ROUND(X990*(U990/$AP990)/VLOOKUP(T990,商品!$A$4:$D$67,4,FALSE),0),"")</f>
        <v/>
      </c>
      <c r="AL990" t="str">
        <f>IFERROR(V990&amp;"*"&amp;ROUND(X990*(W990/$AP990)/VLOOKUP(V990,商品!$A$4:$D$67,4,FALSE),0),"")</f>
        <v/>
      </c>
      <c r="AN990">
        <f t="shared" si="125"/>
        <v>0</v>
      </c>
      <c r="AO990">
        <f t="shared" si="126"/>
        <v>0</v>
      </c>
      <c r="AP990">
        <f t="shared" si="127"/>
        <v>0</v>
      </c>
    </row>
    <row r="991" customHeight="1" spans="1:42">
      <c r="A991" s="5" t="s">
        <v>467</v>
      </c>
      <c r="C991" s="5">
        <v>4</v>
      </c>
      <c r="D991" s="1" t="s">
        <v>222</v>
      </c>
      <c r="E991" s="1" t="s">
        <v>226</v>
      </c>
      <c r="L991" s="1">
        <f>IFERROR(VLOOKUP($D991&amp;$C991,生产方式定位!$A$2:$E$38,2,FALSE)+VLOOKUP($E991&amp;$C991,生产方式定位!$F$3:$J$38,2,FALSE),0)</f>
        <v>5600</v>
      </c>
      <c r="S991" s="1">
        <f>IFERROR(VLOOKUP($D991&amp;$C991,生产方式定位!$A$2:$E$38,3,FALSE)+VLOOKUP($E991&amp;$C991,生产方式定位!$F$3:$J$38,3,FALSE),0)</f>
        <v>50</v>
      </c>
      <c r="X991" s="1">
        <f>IFERROR(VLOOKUP($D991&amp;$C991,生产方式定位!$A$2:$E$38,5,FALSE)+VLOOKUP($E991&amp;$C991,生产方式定位!$F$3:$J$38,5,FALSE),"错误")</f>
        <v>3335</v>
      </c>
      <c r="Y991" s="27" t="str">
        <f t="shared" si="120"/>
        <v/>
      </c>
      <c r="Z991" s="37" t="str">
        <f t="shared" si="121"/>
        <v/>
      </c>
      <c r="AA991" s="37" t="str">
        <f t="shared" si="122"/>
        <v/>
      </c>
      <c r="AB991" s="28">
        <f t="shared" si="123"/>
        <v>1.68</v>
      </c>
      <c r="AC991" s="37"/>
      <c r="AD991" s="38">
        <f t="shared" si="124"/>
        <v>4</v>
      </c>
      <c r="AE991" t="str">
        <f>IFERROR(F991&amp;"*"&amp;ROUND(L991*(G991/$AN991)/VLOOKUP(F991,商品!$A$4:$D$67,4,FALSE),0),"")</f>
        <v/>
      </c>
      <c r="AF991" t="str">
        <f>IFERROR(H991&amp;"*"&amp;ROUND(L991*(I991/$AN991)/VLOOKUP(H991,商品!$A$4:$D$67,4,FALSE),0),"")</f>
        <v/>
      </c>
      <c r="AG991" t="str">
        <f>IFERROR(J991&amp;"*"&amp;ROUND(L991*(K991/$AN991)/VLOOKUP(J991,商品!$A$4:$D$67,4,FALSE),0),"")</f>
        <v/>
      </c>
      <c r="AH991" t="str">
        <f>IFERROR(M991&amp;"*"&amp;ROUND(S991*(N991/$AO991)/VLOOKUP(M991,职业!$A$3:$E$16,4,FALSE),0),"")</f>
        <v/>
      </c>
      <c r="AI991" t="str">
        <f>IFERROR(O991&amp;"*"&amp;ROUND(S991*(P991/$AO991)/VLOOKUP(O991,职业!$A$3:$E$16,4,FALSE),0),"")</f>
        <v/>
      </c>
      <c r="AK991" t="str">
        <f>IFERROR(T991&amp;"*"&amp;ROUND(X991*(U991/$AP991)/VLOOKUP(T991,商品!$A$4:$D$67,4,FALSE),0),"")</f>
        <v/>
      </c>
      <c r="AL991" t="str">
        <f>IFERROR(V991&amp;"*"&amp;ROUND(X991*(W991/$AP991)/VLOOKUP(V991,商品!$A$4:$D$67,4,FALSE),0),"")</f>
        <v/>
      </c>
      <c r="AN991">
        <f t="shared" si="125"/>
        <v>0</v>
      </c>
      <c r="AO991">
        <f t="shared" si="126"/>
        <v>0</v>
      </c>
      <c r="AP991">
        <f t="shared" si="127"/>
        <v>0</v>
      </c>
    </row>
    <row r="992" customHeight="1" spans="1:42">
      <c r="A992" s="5" t="s">
        <v>467</v>
      </c>
      <c r="C992" s="5">
        <v>5</v>
      </c>
      <c r="D992" s="1" t="s">
        <v>222</v>
      </c>
      <c r="E992" s="1" t="s">
        <v>226</v>
      </c>
      <c r="L992" s="1">
        <f>IFERROR(VLOOKUP($D992&amp;$C992,生产方式定位!$A$2:$E$38,2,FALSE)+VLOOKUP($E992&amp;$C992,生产方式定位!$F$3:$J$38,2,FALSE),0)</f>
        <v>6800</v>
      </c>
      <c r="S992" s="1">
        <f>IFERROR(VLOOKUP($D992&amp;$C992,生产方式定位!$A$2:$E$38,3,FALSE)+VLOOKUP($E992&amp;$C992,生产方式定位!$F$3:$J$38,3,FALSE),0)</f>
        <v>-100</v>
      </c>
      <c r="X992" s="1">
        <f>IFERROR(VLOOKUP($D992&amp;$C992,生产方式定位!$A$2:$E$38,5,FALSE)+VLOOKUP($E992&amp;$C992,生产方式定位!$F$3:$J$38,5,FALSE),"错误")</f>
        <v>4190</v>
      </c>
      <c r="Y992" s="27" t="str">
        <f t="shared" si="120"/>
        <v/>
      </c>
      <c r="Z992" s="37" t="str">
        <f t="shared" si="121"/>
        <v/>
      </c>
      <c r="AA992" s="37" t="str">
        <f t="shared" si="122"/>
        <v/>
      </c>
      <c r="AB992" s="28">
        <f t="shared" si="123"/>
        <v>1.62</v>
      </c>
      <c r="AC992" s="37"/>
      <c r="AD992" s="38">
        <f t="shared" si="124"/>
        <v>5</v>
      </c>
      <c r="AE992" t="str">
        <f>IFERROR(F992&amp;"*"&amp;ROUND(L992*(G992/$AN992)/VLOOKUP(F992,商品!$A$4:$D$67,4,FALSE),0),"")</f>
        <v/>
      </c>
      <c r="AF992" t="str">
        <f>IFERROR(H992&amp;"*"&amp;ROUND(L992*(I992/$AN992)/VLOOKUP(H992,商品!$A$4:$D$67,4,FALSE),0),"")</f>
        <v/>
      </c>
      <c r="AG992" t="str">
        <f>IFERROR(J992&amp;"*"&amp;ROUND(L992*(K992/$AN992)/VLOOKUP(J992,商品!$A$4:$D$67,4,FALSE),0),"")</f>
        <v/>
      </c>
      <c r="AH992" t="str">
        <f>IFERROR(M992&amp;"*"&amp;ROUND(S992*(N992/$AO992)/VLOOKUP(M992,职业!$A$3:$E$16,4,FALSE),0),"")</f>
        <v/>
      </c>
      <c r="AI992" t="str">
        <f>IFERROR(O992&amp;"*"&amp;ROUND(S992*(P992/$AO992)/VLOOKUP(O992,职业!$A$3:$E$16,4,FALSE),0),"")</f>
        <v/>
      </c>
      <c r="AK992" t="str">
        <f>IFERROR(T992&amp;"*"&amp;ROUND(X992*(U992/$AP992)/VLOOKUP(T992,商品!$A$4:$D$67,4,FALSE),0),"")</f>
        <v/>
      </c>
      <c r="AL992" t="str">
        <f>IFERROR(V992&amp;"*"&amp;ROUND(X992*(W992/$AP992)/VLOOKUP(V992,商品!$A$4:$D$67,4,FALSE),0),"")</f>
        <v/>
      </c>
      <c r="AN992">
        <f t="shared" si="125"/>
        <v>0</v>
      </c>
      <c r="AO992">
        <f t="shared" si="126"/>
        <v>0</v>
      </c>
      <c r="AP992">
        <f t="shared" si="127"/>
        <v>0</v>
      </c>
    </row>
    <row r="993" customHeight="1" spans="1:42">
      <c r="A993" s="18" t="s">
        <v>468</v>
      </c>
      <c r="C993" s="18">
        <v>1</v>
      </c>
      <c r="D993" s="1" t="s">
        <v>293</v>
      </c>
      <c r="E993" s="1" t="s">
        <v>227</v>
      </c>
      <c r="L993" s="1">
        <f>IFERROR(VLOOKUP($D993&amp;$C993,生产方式定位!$A$2:$E$38,2,FALSE)+VLOOKUP($E993&amp;$C993,生产方式定位!$F$3:$J$38,2,FALSE),0)</f>
        <v>0</v>
      </c>
      <c r="S993" s="1">
        <f>IFERROR(VLOOKUP($D993&amp;$C993,生产方式定位!$A$2:$E$38,3,FALSE)+VLOOKUP($E993&amp;$C993,生产方式定位!$F$3:$J$38,3,FALSE),0)</f>
        <v>0</v>
      </c>
      <c r="X993" s="1">
        <f>IFERROR(VLOOKUP($D993&amp;$C993,生产方式定位!$A$2:$E$38,5,FALSE)+VLOOKUP($E993&amp;$C993,生产方式定位!$F$3:$J$38,5,FALSE),"错误")</f>
        <v>0</v>
      </c>
      <c r="Y993" s="27" t="str">
        <f t="shared" si="120"/>
        <v/>
      </c>
      <c r="Z993" s="37" t="str">
        <f t="shared" si="121"/>
        <v/>
      </c>
      <c r="AA993" s="37" t="str">
        <f t="shared" si="122"/>
        <v/>
      </c>
      <c r="AB993" s="28" t="str">
        <f t="shared" si="123"/>
        <v/>
      </c>
      <c r="AC993" s="37"/>
      <c r="AD993" s="38">
        <f t="shared" si="124"/>
        <v>1</v>
      </c>
      <c r="AE993" t="str">
        <f>IFERROR(F993&amp;"*"&amp;ROUND(L993*(G993/$AN993)/VLOOKUP(F993,商品!$A$4:$D$67,4,FALSE),0),"")</f>
        <v/>
      </c>
      <c r="AF993" t="str">
        <f>IFERROR(H993&amp;"*"&amp;ROUND(L993*(I993/$AN993)/VLOOKUP(H993,商品!$A$4:$D$67,4,FALSE),0),"")</f>
        <v/>
      </c>
      <c r="AG993" t="str">
        <f>IFERROR(J993&amp;"*"&amp;ROUND(L993*(K993/$AN993)/VLOOKUP(J993,商品!$A$4:$D$67,4,FALSE),0),"")</f>
        <v/>
      </c>
      <c r="AH993" t="str">
        <f>IFERROR(M993&amp;"*"&amp;ROUND(S993*(N993/$AO993)/VLOOKUP(M993,职业!$A$3:$E$16,4,FALSE),0),"")</f>
        <v/>
      </c>
      <c r="AI993" t="str">
        <f>IFERROR(O993&amp;"*"&amp;ROUND(S993*(P993/$AO993)/VLOOKUP(O993,职业!$A$3:$E$16,4,FALSE),0),"")</f>
        <v/>
      </c>
      <c r="AK993" t="str">
        <f>IFERROR(T993&amp;"*"&amp;ROUND(X993*(U993/$AP993)/VLOOKUP(T993,商品!$A$4:$D$67,4,FALSE),0),"")</f>
        <v/>
      </c>
      <c r="AL993" t="str">
        <f>IFERROR(V993&amp;"*"&amp;ROUND(X993*(W993/$AP993)/VLOOKUP(V993,商品!$A$4:$D$67,4,FALSE),0),"")</f>
        <v/>
      </c>
      <c r="AN993">
        <f t="shared" si="125"/>
        <v>0</v>
      </c>
      <c r="AO993">
        <f t="shared" si="126"/>
        <v>0</v>
      </c>
      <c r="AP993">
        <f t="shared" si="127"/>
        <v>0</v>
      </c>
    </row>
    <row r="994" customHeight="1" spans="1:42">
      <c r="A994" s="18" t="s">
        <v>468</v>
      </c>
      <c r="C994" s="18">
        <v>2</v>
      </c>
      <c r="D994" s="1" t="s">
        <v>293</v>
      </c>
      <c r="E994" s="1" t="s">
        <v>227</v>
      </c>
      <c r="L994" s="1">
        <f>IFERROR(VLOOKUP($D994&amp;$C994,生产方式定位!$A$2:$E$38,2,FALSE)+VLOOKUP($E994&amp;$C994,生产方式定位!$F$3:$J$38,2,FALSE),0)</f>
        <v>0</v>
      </c>
      <c r="S994" s="1">
        <f>IFERROR(VLOOKUP($D994&amp;$C994,生产方式定位!$A$2:$E$38,3,FALSE)+VLOOKUP($E994&amp;$C994,生产方式定位!$F$3:$J$38,3,FALSE),0)</f>
        <v>0</v>
      </c>
      <c r="X994" s="1">
        <f>IFERROR(VLOOKUP($D994&amp;$C994,生产方式定位!$A$2:$E$38,5,FALSE)+VLOOKUP($E994&amp;$C994,生产方式定位!$F$3:$J$38,5,FALSE),"错误")</f>
        <v>0</v>
      </c>
      <c r="Y994" s="27" t="str">
        <f t="shared" si="120"/>
        <v/>
      </c>
      <c r="Z994" s="37" t="str">
        <f t="shared" si="121"/>
        <v/>
      </c>
      <c r="AA994" s="37" t="str">
        <f t="shared" si="122"/>
        <v/>
      </c>
      <c r="AB994" s="28" t="str">
        <f t="shared" si="123"/>
        <v/>
      </c>
      <c r="AC994" s="37"/>
      <c r="AD994" s="38">
        <f t="shared" si="124"/>
        <v>2</v>
      </c>
      <c r="AE994" t="str">
        <f>IFERROR(F994&amp;"*"&amp;ROUND(L994*(G994/$AN994)/VLOOKUP(F994,商品!$A$4:$D$67,4,FALSE),0),"")</f>
        <v/>
      </c>
      <c r="AF994" t="str">
        <f>IFERROR(H994&amp;"*"&amp;ROUND(L994*(I994/$AN994)/VLOOKUP(H994,商品!$A$4:$D$67,4,FALSE),0),"")</f>
        <v/>
      </c>
      <c r="AG994" t="str">
        <f>IFERROR(J994&amp;"*"&amp;ROUND(L994*(K994/$AN994)/VLOOKUP(J994,商品!$A$4:$D$67,4,FALSE),0),"")</f>
        <v/>
      </c>
      <c r="AH994" t="str">
        <f>IFERROR(M994&amp;"*"&amp;ROUND(S994*(N994/$AO994)/VLOOKUP(M994,职业!$A$3:$E$16,4,FALSE),0),"")</f>
        <v/>
      </c>
      <c r="AI994" t="str">
        <f>IFERROR(O994&amp;"*"&amp;ROUND(S994*(P994/$AO994)/VLOOKUP(O994,职业!$A$3:$E$16,4,FALSE),0),"")</f>
        <v/>
      </c>
      <c r="AK994" t="str">
        <f>IFERROR(T994&amp;"*"&amp;ROUND(X994*(U994/$AP994)/VLOOKUP(T994,商品!$A$4:$D$67,4,FALSE),0),"")</f>
        <v/>
      </c>
      <c r="AL994" t="str">
        <f>IFERROR(V994&amp;"*"&amp;ROUND(X994*(W994/$AP994)/VLOOKUP(V994,商品!$A$4:$D$67,4,FALSE),0),"")</f>
        <v/>
      </c>
      <c r="AN994">
        <f t="shared" si="125"/>
        <v>0</v>
      </c>
      <c r="AO994">
        <f t="shared" si="126"/>
        <v>0</v>
      </c>
      <c r="AP994">
        <f t="shared" si="127"/>
        <v>0</v>
      </c>
    </row>
    <row r="995" customHeight="1" spans="1:42">
      <c r="A995" s="18" t="s">
        <v>468</v>
      </c>
      <c r="C995" s="18">
        <v>3</v>
      </c>
      <c r="D995" s="1" t="s">
        <v>293</v>
      </c>
      <c r="E995" s="1" t="s">
        <v>227</v>
      </c>
      <c r="L995" s="1">
        <f>IFERROR(VLOOKUP($D995&amp;$C995,生产方式定位!$A$2:$E$38,2,FALSE)+VLOOKUP($E995&amp;$C995,生产方式定位!$F$3:$J$38,2,FALSE),0)</f>
        <v>0</v>
      </c>
      <c r="S995" s="1">
        <f>IFERROR(VLOOKUP($D995&amp;$C995,生产方式定位!$A$2:$E$38,3,FALSE)+VLOOKUP($E995&amp;$C995,生产方式定位!$F$3:$J$38,3,FALSE),0)</f>
        <v>0</v>
      </c>
      <c r="X995" s="1">
        <f>IFERROR(VLOOKUP($D995&amp;$C995,生产方式定位!$A$2:$E$38,5,FALSE)+VLOOKUP($E995&amp;$C995,生产方式定位!$F$3:$J$38,5,FALSE),"错误")</f>
        <v>0</v>
      </c>
      <c r="Y995" s="27" t="str">
        <f t="shared" si="120"/>
        <v/>
      </c>
      <c r="Z995" s="37" t="str">
        <f t="shared" si="121"/>
        <v/>
      </c>
      <c r="AA995" s="37" t="str">
        <f t="shared" si="122"/>
        <v/>
      </c>
      <c r="AB995" s="28" t="str">
        <f t="shared" si="123"/>
        <v/>
      </c>
      <c r="AC995" s="37"/>
      <c r="AD995" s="38">
        <f t="shared" si="124"/>
        <v>3</v>
      </c>
      <c r="AE995" t="str">
        <f>IFERROR(F995&amp;"*"&amp;ROUND(L995*(G995/$AN995)/VLOOKUP(F995,商品!$A$4:$D$67,4,FALSE),0),"")</f>
        <v/>
      </c>
      <c r="AF995" t="str">
        <f>IFERROR(H995&amp;"*"&amp;ROUND(L995*(I995/$AN995)/VLOOKUP(H995,商品!$A$4:$D$67,4,FALSE),0),"")</f>
        <v/>
      </c>
      <c r="AG995" t="str">
        <f>IFERROR(J995&amp;"*"&amp;ROUND(L995*(K995/$AN995)/VLOOKUP(J995,商品!$A$4:$D$67,4,FALSE),0),"")</f>
        <v/>
      </c>
      <c r="AH995" t="str">
        <f>IFERROR(M995&amp;"*"&amp;ROUND(S995*(N995/$AO995)/VLOOKUP(M995,职业!$A$3:$E$16,4,FALSE),0),"")</f>
        <v/>
      </c>
      <c r="AI995" t="str">
        <f>IFERROR(O995&amp;"*"&amp;ROUND(S995*(P995/$AO995)/VLOOKUP(O995,职业!$A$3:$E$16,4,FALSE),0),"")</f>
        <v/>
      </c>
      <c r="AK995" t="str">
        <f>IFERROR(T995&amp;"*"&amp;ROUND(X995*(U995/$AP995)/VLOOKUP(T995,商品!$A$4:$D$67,4,FALSE),0),"")</f>
        <v/>
      </c>
      <c r="AL995" t="str">
        <f>IFERROR(V995&amp;"*"&amp;ROUND(X995*(W995/$AP995)/VLOOKUP(V995,商品!$A$4:$D$67,4,FALSE),0),"")</f>
        <v/>
      </c>
      <c r="AN995">
        <f t="shared" si="125"/>
        <v>0</v>
      </c>
      <c r="AO995">
        <f t="shared" si="126"/>
        <v>0</v>
      </c>
      <c r="AP995">
        <f t="shared" si="127"/>
        <v>0</v>
      </c>
    </row>
    <row r="996" customHeight="1" spans="1:42">
      <c r="A996" s="18" t="s">
        <v>468</v>
      </c>
      <c r="C996" s="18">
        <v>4</v>
      </c>
      <c r="D996" s="1" t="s">
        <v>293</v>
      </c>
      <c r="E996" s="1" t="s">
        <v>227</v>
      </c>
      <c r="L996" s="1">
        <f>IFERROR(VLOOKUP($D996&amp;$C996,生产方式定位!$A$2:$E$38,2,FALSE)+VLOOKUP($E996&amp;$C996,生产方式定位!$F$3:$J$38,2,FALSE),0)</f>
        <v>0</v>
      </c>
      <c r="S996" s="1">
        <f>IFERROR(VLOOKUP($D996&amp;$C996,生产方式定位!$A$2:$E$38,3,FALSE)+VLOOKUP($E996&amp;$C996,生产方式定位!$F$3:$J$38,3,FALSE),0)</f>
        <v>0</v>
      </c>
      <c r="X996" s="1">
        <f>IFERROR(VLOOKUP($D996&amp;$C996,生产方式定位!$A$2:$E$38,5,FALSE)+VLOOKUP($E996&amp;$C996,生产方式定位!$F$3:$J$38,5,FALSE),"错误")</f>
        <v>0</v>
      </c>
      <c r="Y996" s="27" t="str">
        <f t="shared" si="120"/>
        <v/>
      </c>
      <c r="Z996" s="37" t="str">
        <f t="shared" si="121"/>
        <v/>
      </c>
      <c r="AA996" s="37" t="str">
        <f t="shared" si="122"/>
        <v/>
      </c>
      <c r="AB996" s="28" t="str">
        <f t="shared" si="123"/>
        <v/>
      </c>
      <c r="AC996" s="37"/>
      <c r="AD996" s="38">
        <f t="shared" si="124"/>
        <v>4</v>
      </c>
      <c r="AE996" t="str">
        <f>IFERROR(F996&amp;"*"&amp;ROUND(L996*(G996/$AN996)/VLOOKUP(F996,商品!$A$4:$D$67,4,FALSE),0),"")</f>
        <v/>
      </c>
      <c r="AF996" t="str">
        <f>IFERROR(H996&amp;"*"&amp;ROUND(L996*(I996/$AN996)/VLOOKUP(H996,商品!$A$4:$D$67,4,FALSE),0),"")</f>
        <v/>
      </c>
      <c r="AG996" t="str">
        <f>IFERROR(J996&amp;"*"&amp;ROUND(L996*(K996/$AN996)/VLOOKUP(J996,商品!$A$4:$D$67,4,FALSE),0),"")</f>
        <v/>
      </c>
      <c r="AH996" t="str">
        <f>IFERROR(M996&amp;"*"&amp;ROUND(S996*(N996/$AO996)/VLOOKUP(M996,职业!$A$3:$E$16,4,FALSE),0),"")</f>
        <v/>
      </c>
      <c r="AI996" t="str">
        <f>IFERROR(O996&amp;"*"&amp;ROUND(S996*(P996/$AO996)/VLOOKUP(O996,职业!$A$3:$E$16,4,FALSE),0),"")</f>
        <v/>
      </c>
      <c r="AK996" t="str">
        <f>IFERROR(T996&amp;"*"&amp;ROUND(X996*(U996/$AP996)/VLOOKUP(T996,商品!$A$4:$D$67,4,FALSE),0),"")</f>
        <v/>
      </c>
      <c r="AL996" t="str">
        <f>IFERROR(V996&amp;"*"&amp;ROUND(X996*(W996/$AP996)/VLOOKUP(V996,商品!$A$4:$D$67,4,FALSE),0),"")</f>
        <v/>
      </c>
      <c r="AN996">
        <f t="shared" si="125"/>
        <v>0</v>
      </c>
      <c r="AO996">
        <f t="shared" si="126"/>
        <v>0</v>
      </c>
      <c r="AP996">
        <f t="shared" si="127"/>
        <v>0</v>
      </c>
    </row>
    <row r="997" customHeight="1" spans="1:42">
      <c r="A997" s="18" t="s">
        <v>468</v>
      </c>
      <c r="C997" s="18">
        <v>5</v>
      </c>
      <c r="D997" s="1" t="s">
        <v>293</v>
      </c>
      <c r="E997" s="1" t="s">
        <v>227</v>
      </c>
      <c r="L997" s="1">
        <f>IFERROR(VLOOKUP($D997&amp;$C997,生产方式定位!$A$2:$E$38,2,FALSE)+VLOOKUP($E997&amp;$C997,生产方式定位!$F$3:$J$38,2,FALSE),0)</f>
        <v>0</v>
      </c>
      <c r="S997" s="1">
        <f>IFERROR(VLOOKUP($D997&amp;$C997,生产方式定位!$A$2:$E$38,3,FALSE)+VLOOKUP($E997&amp;$C997,生产方式定位!$F$3:$J$38,3,FALSE),0)</f>
        <v>0</v>
      </c>
      <c r="X997" s="1">
        <f>IFERROR(VLOOKUP($D997&amp;$C997,生产方式定位!$A$2:$E$38,5,FALSE)+VLOOKUP($E997&amp;$C997,生产方式定位!$F$3:$J$38,5,FALSE),"错误")</f>
        <v>0</v>
      </c>
      <c r="Y997" s="27" t="str">
        <f t="shared" si="120"/>
        <v/>
      </c>
      <c r="Z997" s="37" t="str">
        <f t="shared" si="121"/>
        <v/>
      </c>
      <c r="AA997" s="37" t="str">
        <f t="shared" si="122"/>
        <v/>
      </c>
      <c r="AB997" s="28" t="str">
        <f t="shared" si="123"/>
        <v/>
      </c>
      <c r="AC997" s="37"/>
      <c r="AD997" s="38">
        <f t="shared" si="124"/>
        <v>5</v>
      </c>
      <c r="AE997" t="str">
        <f>IFERROR(F997&amp;"*"&amp;ROUND(L997*(G997/$AN997)/VLOOKUP(F997,商品!$A$4:$D$67,4,FALSE),0),"")</f>
        <v/>
      </c>
      <c r="AF997" t="str">
        <f>IFERROR(H997&amp;"*"&amp;ROUND(L997*(I997/$AN997)/VLOOKUP(H997,商品!$A$4:$D$67,4,FALSE),0),"")</f>
        <v/>
      </c>
      <c r="AG997" t="str">
        <f>IFERROR(J997&amp;"*"&amp;ROUND(L997*(K997/$AN997)/VLOOKUP(J997,商品!$A$4:$D$67,4,FALSE),0),"")</f>
        <v/>
      </c>
      <c r="AH997" t="str">
        <f>IFERROR(M997&amp;"*"&amp;ROUND(S997*(N997/$AO997)/VLOOKUP(M997,职业!$A$3:$E$16,4,FALSE),0),"")</f>
        <v/>
      </c>
      <c r="AI997" t="str">
        <f>IFERROR(O997&amp;"*"&amp;ROUND(S997*(P997/$AO997)/VLOOKUP(O997,职业!$A$3:$E$16,4,FALSE),0),"")</f>
        <v/>
      </c>
      <c r="AK997" t="str">
        <f>IFERROR(T997&amp;"*"&amp;ROUND(X997*(U997/$AP997)/VLOOKUP(T997,商品!$A$4:$D$67,4,FALSE),0),"")</f>
        <v/>
      </c>
      <c r="AL997" t="str">
        <f>IFERROR(V997&amp;"*"&amp;ROUND(X997*(W997/$AP997)/VLOOKUP(V997,商品!$A$4:$D$67,4,FALSE),0),"")</f>
        <v/>
      </c>
      <c r="AN997">
        <f t="shared" si="125"/>
        <v>0</v>
      </c>
      <c r="AO997">
        <f t="shared" si="126"/>
        <v>0</v>
      </c>
      <c r="AP997">
        <f t="shared" si="127"/>
        <v>0</v>
      </c>
    </row>
    <row r="998" customHeight="1" spans="1:42">
      <c r="A998" s="18" t="s">
        <v>468</v>
      </c>
      <c r="C998" s="18">
        <v>6</v>
      </c>
      <c r="D998" s="1" t="s">
        <v>293</v>
      </c>
      <c r="E998" s="1" t="s">
        <v>227</v>
      </c>
      <c r="L998" s="1">
        <f>IFERROR(VLOOKUP($D998&amp;$C998,生产方式定位!$A$2:$E$38,2,FALSE)+VLOOKUP($E998&amp;$C998,生产方式定位!$F$3:$J$38,2,FALSE),0)</f>
        <v>0</v>
      </c>
      <c r="S998" s="1">
        <f>IFERROR(VLOOKUP($D998&amp;$C998,生产方式定位!$A$2:$E$38,3,FALSE)+VLOOKUP($E998&amp;$C998,生产方式定位!$F$3:$J$38,3,FALSE),0)</f>
        <v>0</v>
      </c>
      <c r="X998" s="1">
        <f>IFERROR(VLOOKUP($D998&amp;$C998,生产方式定位!$A$2:$E$38,5,FALSE)+VLOOKUP($E998&amp;$C998,生产方式定位!$F$3:$J$38,5,FALSE),"错误")</f>
        <v>0</v>
      </c>
      <c r="Y998" s="27" t="str">
        <f t="shared" si="120"/>
        <v/>
      </c>
      <c r="Z998" s="37" t="str">
        <f t="shared" si="121"/>
        <v/>
      </c>
      <c r="AA998" s="37" t="str">
        <f t="shared" si="122"/>
        <v/>
      </c>
      <c r="AB998" s="28" t="str">
        <f t="shared" si="123"/>
        <v/>
      </c>
      <c r="AC998" s="37"/>
      <c r="AD998" s="38">
        <f t="shared" si="124"/>
        <v>6</v>
      </c>
      <c r="AE998" t="str">
        <f>IFERROR(F998&amp;"*"&amp;ROUND(L998*(G998/$AN998)/VLOOKUP(F998,商品!$A$4:$D$67,4,FALSE),0),"")</f>
        <v/>
      </c>
      <c r="AF998" t="str">
        <f>IFERROR(H998&amp;"*"&amp;ROUND(L998*(I998/$AN998)/VLOOKUP(H998,商品!$A$4:$D$67,4,FALSE),0),"")</f>
        <v/>
      </c>
      <c r="AG998" t="str">
        <f>IFERROR(J998&amp;"*"&amp;ROUND(L998*(K998/$AN998)/VLOOKUP(J998,商品!$A$4:$D$67,4,FALSE),0),"")</f>
        <v/>
      </c>
      <c r="AH998" t="str">
        <f>IFERROR(M998&amp;"*"&amp;ROUND(S998*(N998/$AO998)/VLOOKUP(M998,职业!$A$3:$E$16,4,FALSE),0),"")</f>
        <v/>
      </c>
      <c r="AI998" t="str">
        <f>IFERROR(O998&amp;"*"&amp;ROUND(S998*(P998/$AO998)/VLOOKUP(O998,职业!$A$3:$E$16,4,FALSE),0),"")</f>
        <v/>
      </c>
      <c r="AK998" t="str">
        <f>IFERROR(T998&amp;"*"&amp;ROUND(X998*(U998/$AP998)/VLOOKUP(T998,商品!$A$4:$D$67,4,FALSE),0),"")</f>
        <v/>
      </c>
      <c r="AL998" t="str">
        <f>IFERROR(V998&amp;"*"&amp;ROUND(X998*(W998/$AP998)/VLOOKUP(V998,商品!$A$4:$D$67,4,FALSE),0),"")</f>
        <v/>
      </c>
      <c r="AN998">
        <f t="shared" si="125"/>
        <v>0</v>
      </c>
      <c r="AO998">
        <f t="shared" si="126"/>
        <v>0</v>
      </c>
      <c r="AP998">
        <f t="shared" si="127"/>
        <v>0</v>
      </c>
    </row>
    <row r="999" customHeight="1" spans="1:42">
      <c r="A999" s="18" t="s">
        <v>468</v>
      </c>
      <c r="C999" s="18">
        <v>7</v>
      </c>
      <c r="D999" s="1" t="s">
        <v>293</v>
      </c>
      <c r="E999" s="1" t="s">
        <v>227</v>
      </c>
      <c r="L999" s="1">
        <f>IFERROR(VLOOKUP($D999&amp;$C999,生产方式定位!$A$2:$E$38,2,FALSE)+VLOOKUP($E999&amp;$C999,生产方式定位!$F$3:$J$38,2,FALSE),0)</f>
        <v>0</v>
      </c>
      <c r="S999" s="1">
        <f>IFERROR(VLOOKUP($D999&amp;$C999,生产方式定位!$A$2:$E$38,3,FALSE)+VLOOKUP($E999&amp;$C999,生产方式定位!$F$3:$J$38,3,FALSE),0)</f>
        <v>0</v>
      </c>
      <c r="X999" s="1">
        <f>IFERROR(VLOOKUP($D999&amp;$C999,生产方式定位!$A$2:$E$38,5,FALSE)+VLOOKUP($E999&amp;$C999,生产方式定位!$F$3:$J$38,5,FALSE),"错误")</f>
        <v>0</v>
      </c>
      <c r="Y999" s="27" t="str">
        <f t="shared" si="120"/>
        <v/>
      </c>
      <c r="Z999" s="37" t="str">
        <f t="shared" si="121"/>
        <v/>
      </c>
      <c r="AA999" s="37" t="str">
        <f t="shared" si="122"/>
        <v/>
      </c>
      <c r="AB999" s="28" t="str">
        <f t="shared" si="123"/>
        <v/>
      </c>
      <c r="AC999" s="37"/>
      <c r="AD999" s="38">
        <f t="shared" si="124"/>
        <v>7</v>
      </c>
      <c r="AE999" t="str">
        <f>IFERROR(F999&amp;"*"&amp;ROUND(L999*(G999/$AN999)/VLOOKUP(F999,商品!$A$4:$D$67,4,FALSE),0),"")</f>
        <v/>
      </c>
      <c r="AF999" t="str">
        <f>IFERROR(H999&amp;"*"&amp;ROUND(L999*(I999/$AN999)/VLOOKUP(H999,商品!$A$4:$D$67,4,FALSE),0),"")</f>
        <v/>
      </c>
      <c r="AG999" t="str">
        <f>IFERROR(J999&amp;"*"&amp;ROUND(L999*(K999/$AN999)/VLOOKUP(J999,商品!$A$4:$D$67,4,FALSE),0),"")</f>
        <v/>
      </c>
      <c r="AH999" t="str">
        <f>IFERROR(M999&amp;"*"&amp;ROUND(S999*(N999/$AO999)/VLOOKUP(M999,职业!$A$3:$E$16,4,FALSE),0),"")</f>
        <v/>
      </c>
      <c r="AI999" t="str">
        <f>IFERROR(O999&amp;"*"&amp;ROUND(S999*(P999/$AO999)/VLOOKUP(O999,职业!$A$3:$E$16,4,FALSE),0),"")</f>
        <v/>
      </c>
      <c r="AK999" t="str">
        <f>IFERROR(T999&amp;"*"&amp;ROUND(X999*(U999/$AP999)/VLOOKUP(T999,商品!$A$4:$D$67,4,FALSE),0),"")</f>
        <v/>
      </c>
      <c r="AL999" t="str">
        <f>IFERROR(V999&amp;"*"&amp;ROUND(X999*(W999/$AP999)/VLOOKUP(V999,商品!$A$4:$D$67,4,FALSE),0),"")</f>
        <v/>
      </c>
      <c r="AN999">
        <f t="shared" si="125"/>
        <v>0</v>
      </c>
      <c r="AO999">
        <f t="shared" si="126"/>
        <v>0</v>
      </c>
      <c r="AP999">
        <f t="shared" si="127"/>
        <v>0</v>
      </c>
    </row>
    <row r="1000" customHeight="1" spans="1:42">
      <c r="A1000" s="18" t="s">
        <v>468</v>
      </c>
      <c r="C1000" s="18">
        <v>8</v>
      </c>
      <c r="D1000" s="1" t="s">
        <v>293</v>
      </c>
      <c r="E1000" s="1" t="s">
        <v>227</v>
      </c>
      <c r="L1000" s="1">
        <f>IFERROR(VLOOKUP($D1000&amp;$C1000,生产方式定位!$A$2:$E$38,2,FALSE)+VLOOKUP($E1000&amp;$C1000,生产方式定位!$F$3:$J$38,2,FALSE),0)</f>
        <v>0</v>
      </c>
      <c r="S1000" s="1">
        <f>IFERROR(VLOOKUP($D1000&amp;$C1000,生产方式定位!$A$2:$E$38,3,FALSE)+VLOOKUP($E1000&amp;$C1000,生产方式定位!$F$3:$J$38,3,FALSE),0)</f>
        <v>0</v>
      </c>
      <c r="X1000" s="1">
        <f>IFERROR(VLOOKUP($D1000&amp;$C1000,生产方式定位!$A$2:$E$38,5,FALSE)+VLOOKUP($E1000&amp;$C1000,生产方式定位!$F$3:$J$38,5,FALSE),"错误")</f>
        <v>0</v>
      </c>
      <c r="Y1000" s="27" t="str">
        <f t="shared" si="120"/>
        <v/>
      </c>
      <c r="Z1000" s="37" t="str">
        <f t="shared" si="121"/>
        <v/>
      </c>
      <c r="AA1000" s="37" t="str">
        <f t="shared" si="122"/>
        <v/>
      </c>
      <c r="AB1000" s="28" t="str">
        <f t="shared" si="123"/>
        <v/>
      </c>
      <c r="AC1000" s="37"/>
      <c r="AD1000" s="38">
        <f t="shared" si="124"/>
        <v>8</v>
      </c>
      <c r="AE1000" t="str">
        <f>IFERROR(F1000&amp;"*"&amp;ROUND(L1000*(G1000/$AN1000)/VLOOKUP(F1000,商品!$A$4:$D$67,4,FALSE),0),"")</f>
        <v/>
      </c>
      <c r="AF1000" t="str">
        <f>IFERROR(H1000&amp;"*"&amp;ROUND(L1000*(I1000/$AN1000)/VLOOKUP(H1000,商品!$A$4:$D$67,4,FALSE),0),"")</f>
        <v/>
      </c>
      <c r="AG1000" t="str">
        <f>IFERROR(J1000&amp;"*"&amp;ROUND(L1000*(K1000/$AN1000)/VLOOKUP(J1000,商品!$A$4:$D$67,4,FALSE),0),"")</f>
        <v/>
      </c>
      <c r="AH1000" t="str">
        <f>IFERROR(M1000&amp;"*"&amp;ROUND(S1000*(N1000/$AO1000)/VLOOKUP(M1000,职业!$A$3:$E$16,4,FALSE),0),"")</f>
        <v/>
      </c>
      <c r="AI1000" t="str">
        <f>IFERROR(O1000&amp;"*"&amp;ROUND(S1000*(P1000/$AO1000)/VLOOKUP(O1000,职业!$A$3:$E$16,4,FALSE),0),"")</f>
        <v/>
      </c>
      <c r="AK1000" t="str">
        <f>IFERROR(T1000&amp;"*"&amp;ROUND(X1000*(U1000/$AP1000)/VLOOKUP(T1000,商品!$A$4:$D$67,4,FALSE),0),"")</f>
        <v/>
      </c>
      <c r="AL1000" t="str">
        <f>IFERROR(V1000&amp;"*"&amp;ROUND(X1000*(W1000/$AP1000)/VLOOKUP(V1000,商品!$A$4:$D$67,4,FALSE),0),"")</f>
        <v/>
      </c>
      <c r="AN1000">
        <f t="shared" si="125"/>
        <v>0</v>
      </c>
      <c r="AO1000">
        <f t="shared" si="126"/>
        <v>0</v>
      </c>
      <c r="AP1000">
        <f t="shared" si="127"/>
        <v>0</v>
      </c>
    </row>
    <row r="1001" customHeight="1" spans="1:42">
      <c r="A1001" s="5" t="s">
        <v>470</v>
      </c>
      <c r="C1001" s="5">
        <v>1</v>
      </c>
      <c r="D1001" s="1" t="s">
        <v>222</v>
      </c>
      <c r="E1001" s="1" t="s">
        <v>224</v>
      </c>
      <c r="L1001" s="1">
        <f>IFERROR(VLOOKUP($D1001&amp;$C1001,生产方式定位!$A$2:$E$38,2,FALSE)+VLOOKUP($E1001&amp;$C1001,生产方式定位!$F$3:$J$38,2,FALSE),0)</f>
        <v>0</v>
      </c>
      <c r="S1001" s="1">
        <f>IFERROR(VLOOKUP($D1001&amp;$C1001,生产方式定位!$A$2:$E$38,3,FALSE)+VLOOKUP($E1001&amp;$C1001,生产方式定位!$F$3:$J$38,3,FALSE),0)</f>
        <v>500</v>
      </c>
      <c r="X1001" s="1">
        <f>IFERROR(VLOOKUP($D1001&amp;$C1001,生产方式定位!$A$2:$E$38,5,FALSE)+VLOOKUP($E1001&amp;$C1001,生产方式定位!$F$3:$J$38,5,FALSE),"错误")</f>
        <v>250</v>
      </c>
      <c r="Y1001" s="27" t="str">
        <f t="shared" si="120"/>
        <v/>
      </c>
      <c r="Z1001" s="37" t="str">
        <f t="shared" si="121"/>
        <v/>
      </c>
      <c r="AA1001" s="37" t="str">
        <f t="shared" si="122"/>
        <v/>
      </c>
      <c r="AB1001" s="28">
        <f t="shared" si="123"/>
        <v>0</v>
      </c>
      <c r="AC1001" s="37"/>
      <c r="AD1001" s="38">
        <f t="shared" si="124"/>
        <v>1</v>
      </c>
      <c r="AE1001" t="str">
        <f>IFERROR(F1001&amp;"*"&amp;ROUND(L1001*(G1001/$AN1001)/VLOOKUP(F1001,商品!$A$4:$D$67,4,FALSE),0),"")</f>
        <v/>
      </c>
      <c r="AF1001" t="str">
        <f>IFERROR(H1001&amp;"*"&amp;ROUND(L1001*(I1001/$AN1001)/VLOOKUP(H1001,商品!$A$4:$D$67,4,FALSE),0),"")</f>
        <v/>
      </c>
      <c r="AG1001" t="str">
        <f>IFERROR(J1001&amp;"*"&amp;ROUND(L1001*(K1001/$AN1001)/VLOOKUP(J1001,商品!$A$4:$D$67,4,FALSE),0),"")</f>
        <v/>
      </c>
      <c r="AH1001" t="str">
        <f>IFERROR(M1001&amp;"*"&amp;ROUND(S1001*(N1001/$AO1001)/VLOOKUP(M1001,职业!$A$3:$E$16,4,FALSE),0),"")</f>
        <v/>
      </c>
      <c r="AI1001" t="str">
        <f>IFERROR(O1001&amp;"*"&amp;ROUND(S1001*(P1001/$AO1001)/VLOOKUP(O1001,职业!$A$3:$E$16,4,FALSE),0),"")</f>
        <v/>
      </c>
      <c r="AK1001" t="str">
        <f>IFERROR(T1001&amp;"*"&amp;ROUND(X1001*(U1001/$AP1001)/VLOOKUP(T1001,商品!$A$4:$D$67,4,FALSE),0),"")</f>
        <v/>
      </c>
      <c r="AL1001" t="str">
        <f>IFERROR(V1001&amp;"*"&amp;ROUND(X1001*(W1001/$AP1001)/VLOOKUP(V1001,商品!$A$4:$D$67,4,FALSE),0),"")</f>
        <v/>
      </c>
      <c r="AN1001">
        <f t="shared" si="125"/>
        <v>0</v>
      </c>
      <c r="AO1001">
        <f t="shared" si="126"/>
        <v>0</v>
      </c>
      <c r="AP1001">
        <f t="shared" si="127"/>
        <v>0</v>
      </c>
    </row>
    <row r="1002" customHeight="1" spans="1:42">
      <c r="A1002" s="5" t="s">
        <v>470</v>
      </c>
      <c r="C1002" s="5">
        <v>2</v>
      </c>
      <c r="D1002" s="1" t="s">
        <v>222</v>
      </c>
      <c r="E1002" s="1" t="s">
        <v>224</v>
      </c>
      <c r="L1002" s="1">
        <f>IFERROR(VLOOKUP($D1002&amp;$C1002,生产方式定位!$A$2:$E$38,2,FALSE)+VLOOKUP($E1002&amp;$C1002,生产方式定位!$F$3:$J$38,2,FALSE),0)</f>
        <v>2200</v>
      </c>
      <c r="S1002" s="1">
        <f>IFERROR(VLOOKUP($D1002&amp;$C1002,生产方式定位!$A$2:$E$38,3,FALSE)+VLOOKUP($E1002&amp;$C1002,生产方式定位!$F$3:$J$38,3,FALSE),0)</f>
        <v>750</v>
      </c>
      <c r="X1002" s="1">
        <f>IFERROR(VLOOKUP($D1002&amp;$C1002,生产方式定位!$A$2:$E$38,5,FALSE)+VLOOKUP($E1002&amp;$C1002,生产方式定位!$F$3:$J$38,5,FALSE),"错误")</f>
        <v>1547</v>
      </c>
      <c r="Y1002" s="27" t="str">
        <f t="shared" si="120"/>
        <v/>
      </c>
      <c r="Z1002" s="37" t="str">
        <f t="shared" si="121"/>
        <v/>
      </c>
      <c r="AA1002" s="37" t="str">
        <f t="shared" si="122"/>
        <v/>
      </c>
      <c r="AB1002" s="28">
        <f t="shared" si="123"/>
        <v>1.42</v>
      </c>
      <c r="AC1002" s="37"/>
      <c r="AD1002" s="38">
        <f t="shared" si="124"/>
        <v>2</v>
      </c>
      <c r="AE1002" t="str">
        <f>IFERROR(F1002&amp;"*"&amp;ROUND(L1002*(G1002/$AN1002)/VLOOKUP(F1002,商品!$A$4:$D$67,4,FALSE),0),"")</f>
        <v/>
      </c>
      <c r="AF1002" t="str">
        <f>IFERROR(H1002&amp;"*"&amp;ROUND(L1002*(I1002/$AN1002)/VLOOKUP(H1002,商品!$A$4:$D$67,4,FALSE),0),"")</f>
        <v/>
      </c>
      <c r="AG1002" t="str">
        <f>IFERROR(J1002&amp;"*"&amp;ROUND(L1002*(K1002/$AN1002)/VLOOKUP(J1002,商品!$A$4:$D$67,4,FALSE),0),"")</f>
        <v/>
      </c>
      <c r="AH1002" t="str">
        <f>IFERROR(M1002&amp;"*"&amp;ROUND(S1002*(N1002/$AO1002)/VLOOKUP(M1002,职业!$A$3:$E$16,4,FALSE),0),"")</f>
        <v/>
      </c>
      <c r="AI1002" t="str">
        <f>IFERROR(O1002&amp;"*"&amp;ROUND(S1002*(P1002/$AO1002)/VLOOKUP(O1002,职业!$A$3:$E$16,4,FALSE),0),"")</f>
        <v/>
      </c>
      <c r="AK1002" t="str">
        <f>IFERROR(T1002&amp;"*"&amp;ROUND(X1002*(U1002/$AP1002)/VLOOKUP(T1002,商品!$A$4:$D$67,4,FALSE),0),"")</f>
        <v/>
      </c>
      <c r="AL1002" t="str">
        <f>IFERROR(V1002&amp;"*"&amp;ROUND(X1002*(W1002/$AP1002)/VLOOKUP(V1002,商品!$A$4:$D$67,4,FALSE),0),"")</f>
        <v/>
      </c>
      <c r="AN1002">
        <f t="shared" si="125"/>
        <v>0</v>
      </c>
      <c r="AO1002">
        <f t="shared" si="126"/>
        <v>0</v>
      </c>
      <c r="AP1002">
        <f t="shared" si="127"/>
        <v>0</v>
      </c>
    </row>
    <row r="1003" customHeight="1" spans="1:42">
      <c r="A1003" s="5" t="s">
        <v>470</v>
      </c>
      <c r="C1003" s="5">
        <v>3</v>
      </c>
      <c r="D1003" s="1" t="s">
        <v>222</v>
      </c>
      <c r="E1003" s="1" t="s">
        <v>224</v>
      </c>
      <c r="L1003" s="1">
        <f>IFERROR(VLOOKUP($D1003&amp;$C1003,生产方式定位!$A$2:$E$38,2,FALSE)+VLOOKUP($E1003&amp;$C1003,生产方式定位!$F$3:$J$38,2,FALSE),0)</f>
        <v>3400</v>
      </c>
      <c r="S1003" s="1">
        <f>IFERROR(VLOOKUP($D1003&amp;$C1003,生产方式定位!$A$2:$E$38,3,FALSE)+VLOOKUP($E1003&amp;$C1003,生产方式定位!$F$3:$J$38,3,FALSE),0)</f>
        <v>1000</v>
      </c>
      <c r="X1003" s="1">
        <f>IFERROR(VLOOKUP($D1003&amp;$C1003,生产方式定位!$A$2:$E$38,5,FALSE)+VLOOKUP($E1003&amp;$C1003,生产方式定位!$F$3:$J$38,5,FALSE),"错误")</f>
        <v>2488</v>
      </c>
      <c r="Y1003" s="27" t="str">
        <f t="shared" si="120"/>
        <v/>
      </c>
      <c r="Z1003" s="37" t="str">
        <f t="shared" si="121"/>
        <v/>
      </c>
      <c r="AA1003" s="37" t="str">
        <f t="shared" si="122"/>
        <v/>
      </c>
      <c r="AB1003" s="28">
        <f t="shared" si="123"/>
        <v>1.37</v>
      </c>
      <c r="AC1003" s="37"/>
      <c r="AD1003" s="38">
        <f t="shared" si="124"/>
        <v>3</v>
      </c>
      <c r="AE1003" t="str">
        <f>IFERROR(F1003&amp;"*"&amp;ROUND(L1003*(G1003/$AN1003)/VLOOKUP(F1003,商品!$A$4:$D$67,4,FALSE),0),"")</f>
        <v/>
      </c>
      <c r="AF1003" t="str">
        <f>IFERROR(H1003&amp;"*"&amp;ROUND(L1003*(I1003/$AN1003)/VLOOKUP(H1003,商品!$A$4:$D$67,4,FALSE),0),"")</f>
        <v/>
      </c>
      <c r="AG1003" t="str">
        <f>IFERROR(J1003&amp;"*"&amp;ROUND(L1003*(K1003/$AN1003)/VLOOKUP(J1003,商品!$A$4:$D$67,4,FALSE),0),"")</f>
        <v/>
      </c>
      <c r="AH1003" t="str">
        <f>IFERROR(M1003&amp;"*"&amp;ROUND(S1003*(N1003/$AO1003)/VLOOKUP(M1003,职业!$A$3:$E$16,4,FALSE),0),"")</f>
        <v/>
      </c>
      <c r="AI1003" t="str">
        <f>IFERROR(O1003&amp;"*"&amp;ROUND(S1003*(P1003/$AO1003)/VLOOKUP(O1003,职业!$A$3:$E$16,4,FALSE),0),"")</f>
        <v/>
      </c>
      <c r="AK1003" t="str">
        <f>IFERROR(T1003&amp;"*"&amp;ROUND(X1003*(U1003/$AP1003)/VLOOKUP(T1003,商品!$A$4:$D$67,4,FALSE),0),"")</f>
        <v/>
      </c>
      <c r="AL1003" t="str">
        <f>IFERROR(V1003&amp;"*"&amp;ROUND(X1003*(W1003/$AP1003)/VLOOKUP(V1003,商品!$A$4:$D$67,4,FALSE),0),"")</f>
        <v/>
      </c>
      <c r="AN1003">
        <f t="shared" si="125"/>
        <v>0</v>
      </c>
      <c r="AO1003">
        <f t="shared" si="126"/>
        <v>0</v>
      </c>
      <c r="AP1003">
        <f t="shared" si="127"/>
        <v>0</v>
      </c>
    </row>
    <row r="1004" customHeight="1" spans="1:42">
      <c r="A1004" s="5" t="s">
        <v>470</v>
      </c>
      <c r="C1004" s="5">
        <v>4</v>
      </c>
      <c r="D1004" s="1" t="s">
        <v>222</v>
      </c>
      <c r="E1004" s="1" t="s">
        <v>224</v>
      </c>
      <c r="L1004" s="1">
        <f>IFERROR(VLOOKUP($D1004&amp;$C1004,生产方式定位!$A$2:$E$38,2,FALSE)+VLOOKUP($E1004&amp;$C1004,生产方式定位!$F$3:$J$38,2,FALSE),0)</f>
        <v>4600</v>
      </c>
      <c r="S1004" s="1">
        <f>IFERROR(VLOOKUP($D1004&amp;$C1004,生产方式定位!$A$2:$E$38,3,FALSE)+VLOOKUP($E1004&amp;$C1004,生产方式定位!$F$3:$J$38,3,FALSE),0)</f>
        <v>1250</v>
      </c>
      <c r="X1004" s="1">
        <f>IFERROR(VLOOKUP($D1004&amp;$C1004,生产方式定位!$A$2:$E$38,5,FALSE)+VLOOKUP($E1004&amp;$C1004,生产方式定位!$F$3:$J$38,5,FALSE),"错误")</f>
        <v>3573</v>
      </c>
      <c r="Y1004" s="27" t="str">
        <f t="shared" si="120"/>
        <v/>
      </c>
      <c r="Z1004" s="37" t="str">
        <f t="shared" si="121"/>
        <v/>
      </c>
      <c r="AA1004" s="37" t="str">
        <f t="shared" si="122"/>
        <v/>
      </c>
      <c r="AB1004" s="28">
        <f t="shared" si="123"/>
        <v>1.29</v>
      </c>
      <c r="AC1004" s="37"/>
      <c r="AD1004" s="38">
        <f t="shared" si="124"/>
        <v>4</v>
      </c>
      <c r="AE1004" t="str">
        <f>IFERROR(F1004&amp;"*"&amp;ROUND(L1004*(G1004/$AN1004)/VLOOKUP(F1004,商品!$A$4:$D$67,4,FALSE),0),"")</f>
        <v/>
      </c>
      <c r="AF1004" t="str">
        <f>IFERROR(H1004&amp;"*"&amp;ROUND(L1004*(I1004/$AN1004)/VLOOKUP(H1004,商品!$A$4:$D$67,4,FALSE),0),"")</f>
        <v/>
      </c>
      <c r="AG1004" t="str">
        <f>IFERROR(J1004&amp;"*"&amp;ROUND(L1004*(K1004/$AN1004)/VLOOKUP(J1004,商品!$A$4:$D$67,4,FALSE),0),"")</f>
        <v/>
      </c>
      <c r="AH1004" t="str">
        <f>IFERROR(M1004&amp;"*"&amp;ROUND(S1004*(N1004/$AO1004)/VLOOKUP(M1004,职业!$A$3:$E$16,4,FALSE),0),"")</f>
        <v/>
      </c>
      <c r="AI1004" t="str">
        <f>IFERROR(O1004&amp;"*"&amp;ROUND(S1004*(P1004/$AO1004)/VLOOKUP(O1004,职业!$A$3:$E$16,4,FALSE),0),"")</f>
        <v/>
      </c>
      <c r="AK1004" t="str">
        <f>IFERROR(T1004&amp;"*"&amp;ROUND(X1004*(U1004/$AP1004)/VLOOKUP(T1004,商品!$A$4:$D$67,4,FALSE),0),"")</f>
        <v/>
      </c>
      <c r="AL1004" t="str">
        <f>IFERROR(V1004&amp;"*"&amp;ROUND(X1004*(W1004/$AP1004)/VLOOKUP(V1004,商品!$A$4:$D$67,4,FALSE),0),"")</f>
        <v/>
      </c>
      <c r="AN1004">
        <f t="shared" si="125"/>
        <v>0</v>
      </c>
      <c r="AO1004">
        <f t="shared" si="126"/>
        <v>0</v>
      </c>
      <c r="AP1004">
        <f t="shared" si="127"/>
        <v>0</v>
      </c>
    </row>
    <row r="1005" customHeight="1" spans="1:42">
      <c r="A1005" s="5" t="s">
        <v>470</v>
      </c>
      <c r="C1005" s="5">
        <v>5</v>
      </c>
      <c r="D1005" s="1" t="s">
        <v>222</v>
      </c>
      <c r="E1005" s="1" t="s">
        <v>224</v>
      </c>
      <c r="L1005" s="1">
        <f>IFERROR(VLOOKUP($D1005&amp;$C1005,生产方式定位!$A$2:$E$38,2,FALSE)+VLOOKUP($E1005&amp;$C1005,生产方式定位!$F$3:$J$38,2,FALSE),0)</f>
        <v>5800</v>
      </c>
      <c r="S1005" s="1">
        <f>IFERROR(VLOOKUP($D1005&amp;$C1005,生产方式定位!$A$2:$E$38,3,FALSE)+VLOOKUP($E1005&amp;$C1005,生产方式定位!$F$3:$J$38,3,FALSE),0)</f>
        <v>1500</v>
      </c>
      <c r="X1005" s="1">
        <f>IFERROR(VLOOKUP($D1005&amp;$C1005,生产方式定位!$A$2:$E$38,5,FALSE)+VLOOKUP($E1005&amp;$C1005,生产方式定位!$F$3:$J$38,5,FALSE),"错误")</f>
        <v>4850</v>
      </c>
      <c r="Y1005" s="27" t="str">
        <f t="shared" si="120"/>
        <v/>
      </c>
      <c r="Z1005" s="37" t="str">
        <f t="shared" si="121"/>
        <v/>
      </c>
      <c r="AA1005" s="37" t="str">
        <f t="shared" si="122"/>
        <v/>
      </c>
      <c r="AB1005" s="28">
        <f t="shared" si="123"/>
        <v>1.2</v>
      </c>
      <c r="AC1005" s="37"/>
      <c r="AD1005" s="38">
        <f t="shared" si="124"/>
        <v>5</v>
      </c>
      <c r="AE1005" t="str">
        <f>IFERROR(F1005&amp;"*"&amp;ROUND(L1005*(G1005/$AN1005)/VLOOKUP(F1005,商品!$A$4:$D$67,4,FALSE),0),"")</f>
        <v/>
      </c>
      <c r="AF1005" t="str">
        <f>IFERROR(H1005&amp;"*"&amp;ROUND(L1005*(I1005/$AN1005)/VLOOKUP(H1005,商品!$A$4:$D$67,4,FALSE),0),"")</f>
        <v/>
      </c>
      <c r="AG1005" t="str">
        <f>IFERROR(J1005&amp;"*"&amp;ROUND(L1005*(K1005/$AN1005)/VLOOKUP(J1005,商品!$A$4:$D$67,4,FALSE),0),"")</f>
        <v/>
      </c>
      <c r="AH1005" t="str">
        <f>IFERROR(M1005&amp;"*"&amp;ROUND(S1005*(N1005/$AO1005)/VLOOKUP(M1005,职业!$A$3:$E$16,4,FALSE),0),"")</f>
        <v/>
      </c>
      <c r="AI1005" t="str">
        <f>IFERROR(O1005&amp;"*"&amp;ROUND(S1005*(P1005/$AO1005)/VLOOKUP(O1005,职业!$A$3:$E$16,4,FALSE),0),"")</f>
        <v/>
      </c>
      <c r="AK1005" t="str">
        <f>IFERROR(T1005&amp;"*"&amp;ROUND(X1005*(U1005/$AP1005)/VLOOKUP(T1005,商品!$A$4:$D$67,4,FALSE),0),"")</f>
        <v/>
      </c>
      <c r="AL1005" t="str">
        <f>IFERROR(V1005&amp;"*"&amp;ROUND(X1005*(W1005/$AP1005)/VLOOKUP(V1005,商品!$A$4:$D$67,4,FALSE),0),"")</f>
        <v/>
      </c>
      <c r="AN1005">
        <f t="shared" si="125"/>
        <v>0</v>
      </c>
      <c r="AO1005">
        <f t="shared" si="126"/>
        <v>0</v>
      </c>
      <c r="AP1005">
        <f t="shared" si="127"/>
        <v>0</v>
      </c>
    </row>
    <row r="1006" customHeight="1" spans="1:42">
      <c r="A1006" s="18" t="s">
        <v>471</v>
      </c>
      <c r="C1006" s="18">
        <v>1</v>
      </c>
      <c r="D1006" s="1" t="s">
        <v>222</v>
      </c>
      <c r="E1006" s="1" t="s">
        <v>226</v>
      </c>
      <c r="L1006" s="1">
        <f>IFERROR(VLOOKUP($D1006&amp;$C1006,生产方式定位!$A$2:$E$38,2,FALSE)+VLOOKUP($E1006&amp;$C1006,生产方式定位!$F$3:$J$38,2,FALSE),0)</f>
        <v>0</v>
      </c>
      <c r="S1006" s="1">
        <f>IFERROR(VLOOKUP($D1006&amp;$C1006,生产方式定位!$A$2:$E$38,3,FALSE)+VLOOKUP($E1006&amp;$C1006,生产方式定位!$F$3:$J$38,3,FALSE),0)</f>
        <v>500</v>
      </c>
      <c r="X1006" s="1">
        <f>IFERROR(VLOOKUP($D1006&amp;$C1006,生产方式定位!$A$2:$E$38,5,FALSE)+VLOOKUP($E1006&amp;$C1006,生产方式定位!$F$3:$J$38,5,FALSE),"错误")</f>
        <v>250</v>
      </c>
      <c r="Y1006" s="27" t="str">
        <f t="shared" si="120"/>
        <v/>
      </c>
      <c r="Z1006" s="37" t="str">
        <f t="shared" si="121"/>
        <v/>
      </c>
      <c r="AA1006" s="37" t="str">
        <f t="shared" si="122"/>
        <v/>
      </c>
      <c r="AB1006" s="28">
        <f t="shared" si="123"/>
        <v>0</v>
      </c>
      <c r="AC1006" s="37"/>
      <c r="AD1006" s="38">
        <f t="shared" si="124"/>
        <v>1</v>
      </c>
      <c r="AE1006" t="str">
        <f>IFERROR(F1006&amp;"*"&amp;ROUND(L1006*(G1006/$AN1006)/VLOOKUP(F1006,商品!$A$4:$D$67,4,FALSE),0),"")</f>
        <v/>
      </c>
      <c r="AF1006" t="str">
        <f>IFERROR(H1006&amp;"*"&amp;ROUND(L1006*(I1006/$AN1006)/VLOOKUP(H1006,商品!$A$4:$D$67,4,FALSE),0),"")</f>
        <v/>
      </c>
      <c r="AG1006" t="str">
        <f>IFERROR(J1006&amp;"*"&amp;ROUND(L1006*(K1006/$AN1006)/VLOOKUP(J1006,商品!$A$4:$D$67,4,FALSE),0),"")</f>
        <v/>
      </c>
      <c r="AH1006" t="str">
        <f>IFERROR(M1006&amp;"*"&amp;ROUND(S1006*(N1006/$AO1006)/VLOOKUP(M1006,职业!$A$3:$E$16,4,FALSE),0),"")</f>
        <v/>
      </c>
      <c r="AI1006" t="str">
        <f>IFERROR(O1006&amp;"*"&amp;ROUND(S1006*(P1006/$AO1006)/VLOOKUP(O1006,职业!$A$3:$E$16,4,FALSE),0),"")</f>
        <v/>
      </c>
      <c r="AK1006" t="str">
        <f>IFERROR(T1006&amp;"*"&amp;ROUND(X1006*(U1006/$AP1006)/VLOOKUP(T1006,商品!$A$4:$D$67,4,FALSE),0),"")</f>
        <v/>
      </c>
      <c r="AL1006" t="str">
        <f>IFERROR(V1006&amp;"*"&amp;ROUND(X1006*(W1006/$AP1006)/VLOOKUP(V1006,商品!$A$4:$D$67,4,FALSE),0),"")</f>
        <v/>
      </c>
      <c r="AN1006">
        <f t="shared" si="125"/>
        <v>0</v>
      </c>
      <c r="AO1006">
        <f t="shared" si="126"/>
        <v>0</v>
      </c>
      <c r="AP1006">
        <f t="shared" si="127"/>
        <v>0</v>
      </c>
    </row>
    <row r="1007" customHeight="1" spans="1:42">
      <c r="A1007" s="18" t="s">
        <v>471</v>
      </c>
      <c r="C1007" s="18">
        <v>2</v>
      </c>
      <c r="D1007" s="1" t="s">
        <v>222</v>
      </c>
      <c r="E1007" s="1" t="s">
        <v>226</v>
      </c>
      <c r="L1007" s="1">
        <f>IFERROR(VLOOKUP($D1007&amp;$C1007,生产方式定位!$A$2:$E$38,2,FALSE)+VLOOKUP($E1007&amp;$C1007,生产方式定位!$F$3:$J$38,2,FALSE),0)</f>
        <v>3200</v>
      </c>
      <c r="S1007" s="1">
        <f>IFERROR(VLOOKUP($D1007&amp;$C1007,生产方式定位!$A$2:$E$38,3,FALSE)+VLOOKUP($E1007&amp;$C1007,生产方式定位!$F$3:$J$38,3,FALSE),0)</f>
        <v>350</v>
      </c>
      <c r="X1007" s="1">
        <f>IFERROR(VLOOKUP($D1007&amp;$C1007,生产方式定位!$A$2:$E$38,5,FALSE)+VLOOKUP($E1007&amp;$C1007,生产方式定位!$F$3:$J$38,5,FALSE),"错误")</f>
        <v>1865</v>
      </c>
      <c r="Y1007" s="27" t="str">
        <f t="shared" si="120"/>
        <v/>
      </c>
      <c r="Z1007" s="37" t="str">
        <f t="shared" si="121"/>
        <v/>
      </c>
      <c r="AA1007" s="37" t="str">
        <f t="shared" si="122"/>
        <v/>
      </c>
      <c r="AB1007" s="28">
        <f t="shared" si="123"/>
        <v>1.72</v>
      </c>
      <c r="AC1007" s="37"/>
      <c r="AD1007" s="38">
        <f t="shared" si="124"/>
        <v>2</v>
      </c>
      <c r="AE1007" t="str">
        <f>IFERROR(F1007&amp;"*"&amp;ROUND(L1007*(G1007/$AN1007)/VLOOKUP(F1007,商品!$A$4:$D$67,4,FALSE),0),"")</f>
        <v/>
      </c>
      <c r="AF1007" t="str">
        <f>IFERROR(H1007&amp;"*"&amp;ROUND(L1007*(I1007/$AN1007)/VLOOKUP(H1007,商品!$A$4:$D$67,4,FALSE),0),"")</f>
        <v/>
      </c>
      <c r="AG1007" t="str">
        <f>IFERROR(J1007&amp;"*"&amp;ROUND(L1007*(K1007/$AN1007)/VLOOKUP(J1007,商品!$A$4:$D$67,4,FALSE),0),"")</f>
        <v/>
      </c>
      <c r="AH1007" t="str">
        <f>IFERROR(M1007&amp;"*"&amp;ROUND(S1007*(N1007/$AO1007)/VLOOKUP(M1007,职业!$A$3:$E$16,4,FALSE),0),"")</f>
        <v/>
      </c>
      <c r="AI1007" t="str">
        <f>IFERROR(O1007&amp;"*"&amp;ROUND(S1007*(P1007/$AO1007)/VLOOKUP(O1007,职业!$A$3:$E$16,4,FALSE),0),"")</f>
        <v/>
      </c>
      <c r="AK1007" t="str">
        <f>IFERROR(T1007&amp;"*"&amp;ROUND(X1007*(U1007/$AP1007)/VLOOKUP(T1007,商品!$A$4:$D$67,4,FALSE),0),"")</f>
        <v/>
      </c>
      <c r="AL1007" t="str">
        <f>IFERROR(V1007&amp;"*"&amp;ROUND(X1007*(W1007/$AP1007)/VLOOKUP(V1007,商品!$A$4:$D$67,4,FALSE),0),"")</f>
        <v/>
      </c>
      <c r="AN1007">
        <f t="shared" si="125"/>
        <v>0</v>
      </c>
      <c r="AO1007">
        <f t="shared" si="126"/>
        <v>0</v>
      </c>
      <c r="AP1007">
        <f t="shared" si="127"/>
        <v>0</v>
      </c>
    </row>
    <row r="1008" customHeight="1" spans="1:42">
      <c r="A1008" s="18" t="s">
        <v>471</v>
      </c>
      <c r="C1008" s="18">
        <v>3</v>
      </c>
      <c r="D1008" s="1" t="s">
        <v>222</v>
      </c>
      <c r="E1008" s="1" t="s">
        <v>226</v>
      </c>
      <c r="L1008" s="1">
        <f>IFERROR(VLOOKUP($D1008&amp;$C1008,生产方式定位!$A$2:$E$38,2,FALSE)+VLOOKUP($E1008&amp;$C1008,生产方式定位!$F$3:$J$38,2,FALSE),0)</f>
        <v>4400</v>
      </c>
      <c r="S1008" s="1">
        <f>IFERROR(VLOOKUP($D1008&amp;$C1008,生产方式定位!$A$2:$E$38,3,FALSE)+VLOOKUP($E1008&amp;$C1008,生产方式定位!$F$3:$J$38,3,FALSE),0)</f>
        <v>200</v>
      </c>
      <c r="X1008" s="1">
        <f>IFERROR(VLOOKUP($D1008&amp;$C1008,生产方式定位!$A$2:$E$38,5,FALSE)+VLOOKUP($E1008&amp;$C1008,生产方式定位!$F$3:$J$38,5,FALSE),"错误")</f>
        <v>2560</v>
      </c>
      <c r="Y1008" s="27" t="str">
        <f t="shared" si="120"/>
        <v/>
      </c>
      <c r="Z1008" s="37" t="str">
        <f t="shared" si="121"/>
        <v/>
      </c>
      <c r="AA1008" s="37" t="str">
        <f t="shared" si="122"/>
        <v/>
      </c>
      <c r="AB1008" s="28">
        <f t="shared" si="123"/>
        <v>1.72</v>
      </c>
      <c r="AC1008" s="37"/>
      <c r="AD1008" s="38">
        <f t="shared" si="124"/>
        <v>3</v>
      </c>
      <c r="AE1008" t="str">
        <f>IFERROR(F1008&amp;"*"&amp;ROUND(L1008*(G1008/$AN1008)/VLOOKUP(F1008,商品!$A$4:$D$67,4,FALSE),0),"")</f>
        <v/>
      </c>
      <c r="AF1008" t="str">
        <f>IFERROR(H1008&amp;"*"&amp;ROUND(L1008*(I1008/$AN1008)/VLOOKUP(H1008,商品!$A$4:$D$67,4,FALSE),0),"")</f>
        <v/>
      </c>
      <c r="AG1008" t="str">
        <f>IFERROR(J1008&amp;"*"&amp;ROUND(L1008*(K1008/$AN1008)/VLOOKUP(J1008,商品!$A$4:$D$67,4,FALSE),0),"")</f>
        <v/>
      </c>
      <c r="AH1008" t="str">
        <f>IFERROR(M1008&amp;"*"&amp;ROUND(S1008*(N1008/$AO1008)/VLOOKUP(M1008,职业!$A$3:$E$16,4,FALSE),0),"")</f>
        <v/>
      </c>
      <c r="AI1008" t="str">
        <f>IFERROR(O1008&amp;"*"&amp;ROUND(S1008*(P1008/$AO1008)/VLOOKUP(O1008,职业!$A$3:$E$16,4,FALSE),0),"")</f>
        <v/>
      </c>
      <c r="AK1008" t="str">
        <f>IFERROR(T1008&amp;"*"&amp;ROUND(X1008*(U1008/$AP1008)/VLOOKUP(T1008,商品!$A$4:$D$67,4,FALSE),0),"")</f>
        <v/>
      </c>
      <c r="AL1008" t="str">
        <f>IFERROR(V1008&amp;"*"&amp;ROUND(X1008*(W1008/$AP1008)/VLOOKUP(V1008,商品!$A$4:$D$67,4,FALSE),0),"")</f>
        <v/>
      </c>
      <c r="AN1008">
        <f t="shared" si="125"/>
        <v>0</v>
      </c>
      <c r="AO1008">
        <f t="shared" si="126"/>
        <v>0</v>
      </c>
      <c r="AP1008">
        <f t="shared" si="127"/>
        <v>0</v>
      </c>
    </row>
    <row r="1009" customHeight="1" spans="1:42">
      <c r="A1009" s="18" t="s">
        <v>471</v>
      </c>
      <c r="C1009" s="18">
        <v>4</v>
      </c>
      <c r="D1009" s="1" t="s">
        <v>222</v>
      </c>
      <c r="E1009" s="1" t="s">
        <v>226</v>
      </c>
      <c r="L1009" s="1">
        <f>IFERROR(VLOOKUP($D1009&amp;$C1009,生产方式定位!$A$2:$E$38,2,FALSE)+VLOOKUP($E1009&amp;$C1009,生产方式定位!$F$3:$J$38,2,FALSE),0)</f>
        <v>5600</v>
      </c>
      <c r="S1009" s="1">
        <f>IFERROR(VLOOKUP($D1009&amp;$C1009,生产方式定位!$A$2:$E$38,3,FALSE)+VLOOKUP($E1009&amp;$C1009,生产方式定位!$F$3:$J$38,3,FALSE),0)</f>
        <v>50</v>
      </c>
      <c r="X1009" s="1">
        <f>IFERROR(VLOOKUP($D1009&amp;$C1009,生产方式定位!$A$2:$E$38,5,FALSE)+VLOOKUP($E1009&amp;$C1009,生产方式定位!$F$3:$J$38,5,FALSE),"错误")</f>
        <v>3335</v>
      </c>
      <c r="Y1009" s="27" t="str">
        <f t="shared" si="120"/>
        <v/>
      </c>
      <c r="Z1009" s="37" t="str">
        <f t="shared" si="121"/>
        <v/>
      </c>
      <c r="AA1009" s="37" t="str">
        <f t="shared" si="122"/>
        <v/>
      </c>
      <c r="AB1009" s="28">
        <f t="shared" si="123"/>
        <v>1.68</v>
      </c>
      <c r="AC1009" s="37"/>
      <c r="AD1009" s="38">
        <f t="shared" si="124"/>
        <v>4</v>
      </c>
      <c r="AE1009" t="str">
        <f>IFERROR(F1009&amp;"*"&amp;ROUND(L1009*(G1009/$AN1009)/VLOOKUP(F1009,商品!$A$4:$D$67,4,FALSE),0),"")</f>
        <v/>
      </c>
      <c r="AF1009" t="str">
        <f>IFERROR(H1009&amp;"*"&amp;ROUND(L1009*(I1009/$AN1009)/VLOOKUP(H1009,商品!$A$4:$D$67,4,FALSE),0),"")</f>
        <v/>
      </c>
      <c r="AG1009" t="str">
        <f>IFERROR(J1009&amp;"*"&amp;ROUND(L1009*(K1009/$AN1009)/VLOOKUP(J1009,商品!$A$4:$D$67,4,FALSE),0),"")</f>
        <v/>
      </c>
      <c r="AH1009" t="str">
        <f>IFERROR(M1009&amp;"*"&amp;ROUND(S1009*(N1009/$AO1009)/VLOOKUP(M1009,职业!$A$3:$E$16,4,FALSE),0),"")</f>
        <v/>
      </c>
      <c r="AI1009" t="str">
        <f>IFERROR(O1009&amp;"*"&amp;ROUND(S1009*(P1009/$AO1009)/VLOOKUP(O1009,职业!$A$3:$E$16,4,FALSE),0),"")</f>
        <v/>
      </c>
      <c r="AK1009" t="str">
        <f>IFERROR(T1009&amp;"*"&amp;ROUND(X1009*(U1009/$AP1009)/VLOOKUP(T1009,商品!$A$4:$D$67,4,FALSE),0),"")</f>
        <v/>
      </c>
      <c r="AL1009" t="str">
        <f>IFERROR(V1009&amp;"*"&amp;ROUND(X1009*(W1009/$AP1009)/VLOOKUP(V1009,商品!$A$4:$D$67,4,FALSE),0),"")</f>
        <v/>
      </c>
      <c r="AN1009">
        <f t="shared" si="125"/>
        <v>0</v>
      </c>
      <c r="AO1009">
        <f t="shared" si="126"/>
        <v>0</v>
      </c>
      <c r="AP1009">
        <f t="shared" si="127"/>
        <v>0</v>
      </c>
    </row>
    <row r="1010" customHeight="1" spans="1:42">
      <c r="A1010" s="18" t="s">
        <v>471</v>
      </c>
      <c r="C1010" s="18">
        <v>5</v>
      </c>
      <c r="D1010" s="1" t="s">
        <v>222</v>
      </c>
      <c r="E1010" s="1" t="s">
        <v>226</v>
      </c>
      <c r="L1010" s="1">
        <f>IFERROR(VLOOKUP($D1010&amp;$C1010,生产方式定位!$A$2:$E$38,2,FALSE)+VLOOKUP($E1010&amp;$C1010,生产方式定位!$F$3:$J$38,2,FALSE),0)</f>
        <v>6800</v>
      </c>
      <c r="S1010" s="1">
        <f>IFERROR(VLOOKUP($D1010&amp;$C1010,生产方式定位!$A$2:$E$38,3,FALSE)+VLOOKUP($E1010&amp;$C1010,生产方式定位!$F$3:$J$38,3,FALSE),0)</f>
        <v>-100</v>
      </c>
      <c r="X1010" s="1">
        <f>IFERROR(VLOOKUP($D1010&amp;$C1010,生产方式定位!$A$2:$E$38,5,FALSE)+VLOOKUP($E1010&amp;$C1010,生产方式定位!$F$3:$J$38,5,FALSE),"错误")</f>
        <v>4190</v>
      </c>
      <c r="Y1010" s="27" t="str">
        <f t="shared" si="120"/>
        <v/>
      </c>
      <c r="Z1010" s="37" t="str">
        <f t="shared" si="121"/>
        <v/>
      </c>
      <c r="AA1010" s="37" t="str">
        <f t="shared" si="122"/>
        <v/>
      </c>
      <c r="AB1010" s="28">
        <f t="shared" si="123"/>
        <v>1.62</v>
      </c>
      <c r="AC1010" s="37"/>
      <c r="AD1010" s="38">
        <f t="shared" si="124"/>
        <v>5</v>
      </c>
      <c r="AE1010" t="str">
        <f>IFERROR(F1010&amp;"*"&amp;ROUND(L1010*(G1010/$AN1010)/VLOOKUP(F1010,商品!$A$4:$D$67,4,FALSE),0),"")</f>
        <v/>
      </c>
      <c r="AF1010" t="str">
        <f>IFERROR(H1010&amp;"*"&amp;ROUND(L1010*(I1010/$AN1010)/VLOOKUP(H1010,商品!$A$4:$D$67,4,FALSE),0),"")</f>
        <v/>
      </c>
      <c r="AG1010" t="str">
        <f>IFERROR(J1010&amp;"*"&amp;ROUND(L1010*(K1010/$AN1010)/VLOOKUP(J1010,商品!$A$4:$D$67,4,FALSE),0),"")</f>
        <v/>
      </c>
      <c r="AH1010" t="str">
        <f>IFERROR(M1010&amp;"*"&amp;ROUND(S1010*(N1010/$AO1010)/VLOOKUP(M1010,职业!$A$3:$E$16,4,FALSE),0),"")</f>
        <v/>
      </c>
      <c r="AI1010" t="str">
        <f>IFERROR(O1010&amp;"*"&amp;ROUND(S1010*(P1010/$AO1010)/VLOOKUP(O1010,职业!$A$3:$E$16,4,FALSE),0),"")</f>
        <v/>
      </c>
      <c r="AK1010" t="str">
        <f>IFERROR(T1010&amp;"*"&amp;ROUND(X1010*(U1010/$AP1010)/VLOOKUP(T1010,商品!$A$4:$D$67,4,FALSE),0),"")</f>
        <v/>
      </c>
      <c r="AL1010" t="str">
        <f>IFERROR(V1010&amp;"*"&amp;ROUND(X1010*(W1010/$AP1010)/VLOOKUP(V1010,商品!$A$4:$D$67,4,FALSE),0),"")</f>
        <v/>
      </c>
      <c r="AN1010">
        <f t="shared" si="125"/>
        <v>0</v>
      </c>
      <c r="AO1010">
        <f t="shared" si="126"/>
        <v>0</v>
      </c>
      <c r="AP1010">
        <f t="shared" si="127"/>
        <v>0</v>
      </c>
    </row>
    <row r="1011" customHeight="1" spans="1:42">
      <c r="A1011" s="5" t="s">
        <v>471</v>
      </c>
      <c r="C1011" s="5">
        <v>1</v>
      </c>
      <c r="D1011" s="1" t="s">
        <v>222</v>
      </c>
      <c r="E1011" s="1" t="s">
        <v>226</v>
      </c>
      <c r="L1011" s="1">
        <f>IFERROR(VLOOKUP($D1011&amp;$C1011,生产方式定位!$A$2:$E$38,2,FALSE)+VLOOKUP($E1011&amp;$C1011,生产方式定位!$F$3:$J$38,2,FALSE),0)</f>
        <v>0</v>
      </c>
      <c r="S1011" s="1">
        <f>IFERROR(VLOOKUP($D1011&amp;$C1011,生产方式定位!$A$2:$E$38,3,FALSE)+VLOOKUP($E1011&amp;$C1011,生产方式定位!$F$3:$J$38,3,FALSE),0)</f>
        <v>500</v>
      </c>
      <c r="X1011" s="1">
        <f>IFERROR(VLOOKUP($D1011&amp;$C1011,生产方式定位!$A$2:$E$38,5,FALSE)+VLOOKUP($E1011&amp;$C1011,生产方式定位!$F$3:$J$38,5,FALSE),"错误")</f>
        <v>250</v>
      </c>
      <c r="Y1011" s="27" t="str">
        <f t="shared" si="120"/>
        <v/>
      </c>
      <c r="Z1011" s="37" t="str">
        <f t="shared" si="121"/>
        <v/>
      </c>
      <c r="AA1011" s="37" t="str">
        <f t="shared" si="122"/>
        <v/>
      </c>
      <c r="AB1011" s="28">
        <f t="shared" si="123"/>
        <v>0</v>
      </c>
      <c r="AC1011" s="37"/>
      <c r="AD1011" s="38">
        <f t="shared" si="124"/>
        <v>1</v>
      </c>
      <c r="AE1011" t="str">
        <f>IFERROR(F1011&amp;"*"&amp;ROUND(L1011*(G1011/$AN1011)/VLOOKUP(F1011,商品!$A$4:$D$67,4,FALSE),0),"")</f>
        <v/>
      </c>
      <c r="AF1011" t="str">
        <f>IFERROR(H1011&amp;"*"&amp;ROUND(L1011*(I1011/$AN1011)/VLOOKUP(H1011,商品!$A$4:$D$67,4,FALSE),0),"")</f>
        <v/>
      </c>
      <c r="AG1011" t="str">
        <f>IFERROR(J1011&amp;"*"&amp;ROUND(L1011*(K1011/$AN1011)/VLOOKUP(J1011,商品!$A$4:$D$67,4,FALSE),0),"")</f>
        <v/>
      </c>
      <c r="AH1011" t="str">
        <f>IFERROR(M1011&amp;"*"&amp;ROUND(S1011*(N1011/$AO1011)/VLOOKUP(M1011,职业!$A$3:$E$16,4,FALSE),0),"")</f>
        <v/>
      </c>
      <c r="AI1011" t="str">
        <f>IFERROR(O1011&amp;"*"&amp;ROUND(S1011*(P1011/$AO1011)/VLOOKUP(O1011,职业!$A$3:$E$16,4,FALSE),0),"")</f>
        <v/>
      </c>
      <c r="AK1011" t="str">
        <f>IFERROR(T1011&amp;"*"&amp;ROUND(X1011*(U1011/$AP1011)/VLOOKUP(T1011,商品!$A$4:$D$67,4,FALSE),0),"")</f>
        <v/>
      </c>
      <c r="AL1011" t="str">
        <f>IFERROR(V1011&amp;"*"&amp;ROUND(X1011*(W1011/$AP1011)/VLOOKUP(V1011,商品!$A$4:$D$67,4,FALSE),0),"")</f>
        <v/>
      </c>
      <c r="AN1011">
        <f t="shared" si="125"/>
        <v>0</v>
      </c>
      <c r="AO1011">
        <f t="shared" si="126"/>
        <v>0</v>
      </c>
      <c r="AP1011">
        <f t="shared" si="127"/>
        <v>0</v>
      </c>
    </row>
    <row r="1012" customHeight="1" spans="1:42">
      <c r="A1012" s="5" t="s">
        <v>471</v>
      </c>
      <c r="C1012" s="5">
        <v>2</v>
      </c>
      <c r="D1012" s="1" t="s">
        <v>222</v>
      </c>
      <c r="E1012" s="1" t="s">
        <v>226</v>
      </c>
      <c r="L1012" s="1">
        <f>IFERROR(VLOOKUP($D1012&amp;$C1012,生产方式定位!$A$2:$E$38,2,FALSE)+VLOOKUP($E1012&amp;$C1012,生产方式定位!$F$3:$J$38,2,FALSE),0)</f>
        <v>3200</v>
      </c>
      <c r="S1012" s="1">
        <f>IFERROR(VLOOKUP($D1012&amp;$C1012,生产方式定位!$A$2:$E$38,3,FALSE)+VLOOKUP($E1012&amp;$C1012,生产方式定位!$F$3:$J$38,3,FALSE),0)</f>
        <v>350</v>
      </c>
      <c r="X1012" s="1">
        <f>IFERROR(VLOOKUP($D1012&amp;$C1012,生产方式定位!$A$2:$E$38,5,FALSE)+VLOOKUP($E1012&amp;$C1012,生产方式定位!$F$3:$J$38,5,FALSE),"错误")</f>
        <v>1865</v>
      </c>
      <c r="Y1012" s="27" t="str">
        <f t="shared" si="120"/>
        <v/>
      </c>
      <c r="Z1012" s="37" t="str">
        <f t="shared" si="121"/>
        <v/>
      </c>
      <c r="AA1012" s="37" t="str">
        <f t="shared" si="122"/>
        <v/>
      </c>
      <c r="AB1012" s="28">
        <f t="shared" si="123"/>
        <v>1.72</v>
      </c>
      <c r="AC1012" s="37"/>
      <c r="AD1012" s="38">
        <f t="shared" si="124"/>
        <v>2</v>
      </c>
      <c r="AE1012" t="str">
        <f>IFERROR(F1012&amp;"*"&amp;ROUND(L1012*(G1012/$AN1012)/VLOOKUP(F1012,商品!$A$4:$D$67,4,FALSE),0),"")</f>
        <v/>
      </c>
      <c r="AF1012" t="str">
        <f>IFERROR(H1012&amp;"*"&amp;ROUND(L1012*(I1012/$AN1012)/VLOOKUP(H1012,商品!$A$4:$D$67,4,FALSE),0),"")</f>
        <v/>
      </c>
      <c r="AG1012" t="str">
        <f>IFERROR(J1012&amp;"*"&amp;ROUND(L1012*(K1012/$AN1012)/VLOOKUP(J1012,商品!$A$4:$D$67,4,FALSE),0),"")</f>
        <v/>
      </c>
      <c r="AH1012" t="str">
        <f>IFERROR(M1012&amp;"*"&amp;ROUND(S1012*(N1012/$AO1012)/VLOOKUP(M1012,职业!$A$3:$E$16,4,FALSE),0),"")</f>
        <v/>
      </c>
      <c r="AI1012" t="str">
        <f>IFERROR(O1012&amp;"*"&amp;ROUND(S1012*(P1012/$AO1012)/VLOOKUP(O1012,职业!$A$3:$E$16,4,FALSE),0),"")</f>
        <v/>
      </c>
      <c r="AK1012" t="str">
        <f>IFERROR(T1012&amp;"*"&amp;ROUND(X1012*(U1012/$AP1012)/VLOOKUP(T1012,商品!$A$4:$D$67,4,FALSE),0),"")</f>
        <v/>
      </c>
      <c r="AL1012" t="str">
        <f>IFERROR(V1012&amp;"*"&amp;ROUND(X1012*(W1012/$AP1012)/VLOOKUP(V1012,商品!$A$4:$D$67,4,FALSE),0),"")</f>
        <v/>
      </c>
      <c r="AN1012">
        <f t="shared" si="125"/>
        <v>0</v>
      </c>
      <c r="AO1012">
        <f t="shared" si="126"/>
        <v>0</v>
      </c>
      <c r="AP1012">
        <f t="shared" si="127"/>
        <v>0</v>
      </c>
    </row>
    <row r="1013" customHeight="1" spans="1:42">
      <c r="A1013" s="5" t="s">
        <v>471</v>
      </c>
      <c r="C1013" s="5">
        <v>3</v>
      </c>
      <c r="D1013" s="1" t="s">
        <v>222</v>
      </c>
      <c r="E1013" s="1" t="s">
        <v>226</v>
      </c>
      <c r="L1013" s="1">
        <f>IFERROR(VLOOKUP($D1013&amp;$C1013,生产方式定位!$A$2:$E$38,2,FALSE)+VLOOKUP($E1013&amp;$C1013,生产方式定位!$F$3:$J$38,2,FALSE),0)</f>
        <v>4400</v>
      </c>
      <c r="S1013" s="1">
        <f>IFERROR(VLOOKUP($D1013&amp;$C1013,生产方式定位!$A$2:$E$38,3,FALSE)+VLOOKUP($E1013&amp;$C1013,生产方式定位!$F$3:$J$38,3,FALSE),0)</f>
        <v>200</v>
      </c>
      <c r="X1013" s="1">
        <f>IFERROR(VLOOKUP($D1013&amp;$C1013,生产方式定位!$A$2:$E$38,5,FALSE)+VLOOKUP($E1013&amp;$C1013,生产方式定位!$F$3:$J$38,5,FALSE),"错误")</f>
        <v>2560</v>
      </c>
      <c r="Y1013" s="27" t="str">
        <f t="shared" si="120"/>
        <v/>
      </c>
      <c r="Z1013" s="37" t="str">
        <f t="shared" si="121"/>
        <v/>
      </c>
      <c r="AA1013" s="37" t="str">
        <f t="shared" si="122"/>
        <v/>
      </c>
      <c r="AB1013" s="28">
        <f t="shared" si="123"/>
        <v>1.72</v>
      </c>
      <c r="AC1013" s="37"/>
      <c r="AD1013" s="38">
        <f t="shared" si="124"/>
        <v>3</v>
      </c>
      <c r="AE1013" t="str">
        <f>IFERROR(F1013&amp;"*"&amp;ROUND(L1013*(G1013/$AN1013)/VLOOKUP(F1013,商品!$A$4:$D$67,4,FALSE),0),"")</f>
        <v/>
      </c>
      <c r="AF1013" t="str">
        <f>IFERROR(H1013&amp;"*"&amp;ROUND(L1013*(I1013/$AN1013)/VLOOKUP(H1013,商品!$A$4:$D$67,4,FALSE),0),"")</f>
        <v/>
      </c>
      <c r="AG1013" t="str">
        <f>IFERROR(J1013&amp;"*"&amp;ROUND(L1013*(K1013/$AN1013)/VLOOKUP(J1013,商品!$A$4:$D$67,4,FALSE),0),"")</f>
        <v/>
      </c>
      <c r="AH1013" t="str">
        <f>IFERROR(M1013&amp;"*"&amp;ROUND(S1013*(N1013/$AO1013)/VLOOKUP(M1013,职业!$A$3:$E$16,4,FALSE),0),"")</f>
        <v/>
      </c>
      <c r="AI1013" t="str">
        <f>IFERROR(O1013&amp;"*"&amp;ROUND(S1013*(P1013/$AO1013)/VLOOKUP(O1013,职业!$A$3:$E$16,4,FALSE),0),"")</f>
        <v/>
      </c>
      <c r="AK1013" t="str">
        <f>IFERROR(T1013&amp;"*"&amp;ROUND(X1013*(U1013/$AP1013)/VLOOKUP(T1013,商品!$A$4:$D$67,4,FALSE),0),"")</f>
        <v/>
      </c>
      <c r="AL1013" t="str">
        <f>IFERROR(V1013&amp;"*"&amp;ROUND(X1013*(W1013/$AP1013)/VLOOKUP(V1013,商品!$A$4:$D$67,4,FALSE),0),"")</f>
        <v/>
      </c>
      <c r="AN1013">
        <f t="shared" si="125"/>
        <v>0</v>
      </c>
      <c r="AO1013">
        <f t="shared" si="126"/>
        <v>0</v>
      </c>
      <c r="AP1013">
        <f t="shared" si="127"/>
        <v>0</v>
      </c>
    </row>
    <row r="1014" customHeight="1" spans="1:42">
      <c r="A1014" s="5" t="s">
        <v>471</v>
      </c>
      <c r="C1014" s="5">
        <v>4</v>
      </c>
      <c r="D1014" s="1" t="s">
        <v>222</v>
      </c>
      <c r="E1014" s="1" t="s">
        <v>226</v>
      </c>
      <c r="L1014" s="1">
        <f>IFERROR(VLOOKUP($D1014&amp;$C1014,生产方式定位!$A$2:$E$38,2,FALSE)+VLOOKUP($E1014&amp;$C1014,生产方式定位!$F$3:$J$38,2,FALSE),0)</f>
        <v>5600</v>
      </c>
      <c r="S1014" s="1">
        <f>IFERROR(VLOOKUP($D1014&amp;$C1014,生产方式定位!$A$2:$E$38,3,FALSE)+VLOOKUP($E1014&amp;$C1014,生产方式定位!$F$3:$J$38,3,FALSE),0)</f>
        <v>50</v>
      </c>
      <c r="X1014" s="1">
        <f>IFERROR(VLOOKUP($D1014&amp;$C1014,生产方式定位!$A$2:$E$38,5,FALSE)+VLOOKUP($E1014&amp;$C1014,生产方式定位!$F$3:$J$38,5,FALSE),"错误")</f>
        <v>3335</v>
      </c>
      <c r="Y1014" s="27" t="str">
        <f t="shared" si="120"/>
        <v/>
      </c>
      <c r="Z1014" s="37" t="str">
        <f t="shared" si="121"/>
        <v/>
      </c>
      <c r="AA1014" s="37" t="str">
        <f t="shared" si="122"/>
        <v/>
      </c>
      <c r="AB1014" s="28">
        <f t="shared" si="123"/>
        <v>1.68</v>
      </c>
      <c r="AC1014" s="37"/>
      <c r="AD1014" s="38">
        <f t="shared" si="124"/>
        <v>4</v>
      </c>
      <c r="AE1014" t="str">
        <f>IFERROR(F1014&amp;"*"&amp;ROUND(L1014*(G1014/$AN1014)/VLOOKUP(F1014,商品!$A$4:$D$67,4,FALSE),0),"")</f>
        <v/>
      </c>
      <c r="AF1014" t="str">
        <f>IFERROR(H1014&amp;"*"&amp;ROUND(L1014*(I1014/$AN1014)/VLOOKUP(H1014,商品!$A$4:$D$67,4,FALSE),0),"")</f>
        <v/>
      </c>
      <c r="AG1014" t="str">
        <f>IFERROR(J1014&amp;"*"&amp;ROUND(L1014*(K1014/$AN1014)/VLOOKUP(J1014,商品!$A$4:$D$67,4,FALSE),0),"")</f>
        <v/>
      </c>
      <c r="AH1014" t="str">
        <f>IFERROR(M1014&amp;"*"&amp;ROUND(S1014*(N1014/$AO1014)/VLOOKUP(M1014,职业!$A$3:$E$16,4,FALSE),0),"")</f>
        <v/>
      </c>
      <c r="AI1014" t="str">
        <f>IFERROR(O1014&amp;"*"&amp;ROUND(S1014*(P1014/$AO1014)/VLOOKUP(O1014,职业!$A$3:$E$16,4,FALSE),0),"")</f>
        <v/>
      </c>
      <c r="AK1014" t="str">
        <f>IFERROR(T1014&amp;"*"&amp;ROUND(X1014*(U1014/$AP1014)/VLOOKUP(T1014,商品!$A$4:$D$67,4,FALSE),0),"")</f>
        <v/>
      </c>
      <c r="AL1014" t="str">
        <f>IFERROR(V1014&amp;"*"&amp;ROUND(X1014*(W1014/$AP1014)/VLOOKUP(V1014,商品!$A$4:$D$67,4,FALSE),0),"")</f>
        <v/>
      </c>
      <c r="AN1014">
        <f t="shared" si="125"/>
        <v>0</v>
      </c>
      <c r="AO1014">
        <f t="shared" si="126"/>
        <v>0</v>
      </c>
      <c r="AP1014">
        <f t="shared" si="127"/>
        <v>0</v>
      </c>
    </row>
    <row r="1015" customHeight="1" spans="1:42">
      <c r="A1015" s="5" t="s">
        <v>471</v>
      </c>
      <c r="C1015" s="5">
        <v>5</v>
      </c>
      <c r="D1015" s="1" t="s">
        <v>222</v>
      </c>
      <c r="E1015" s="1" t="s">
        <v>226</v>
      </c>
      <c r="L1015" s="1">
        <f>IFERROR(VLOOKUP($D1015&amp;$C1015,生产方式定位!$A$2:$E$38,2,FALSE)+VLOOKUP($E1015&amp;$C1015,生产方式定位!$F$3:$J$38,2,FALSE),0)</f>
        <v>6800</v>
      </c>
      <c r="S1015" s="1">
        <f>IFERROR(VLOOKUP($D1015&amp;$C1015,生产方式定位!$A$2:$E$38,3,FALSE)+VLOOKUP($E1015&amp;$C1015,生产方式定位!$F$3:$J$38,3,FALSE),0)</f>
        <v>-100</v>
      </c>
      <c r="X1015" s="1">
        <f>IFERROR(VLOOKUP($D1015&amp;$C1015,生产方式定位!$A$2:$E$38,5,FALSE)+VLOOKUP($E1015&amp;$C1015,生产方式定位!$F$3:$J$38,5,FALSE),"错误")</f>
        <v>4190</v>
      </c>
      <c r="Y1015" s="27" t="str">
        <f t="shared" si="120"/>
        <v/>
      </c>
      <c r="Z1015" s="37" t="str">
        <f t="shared" si="121"/>
        <v/>
      </c>
      <c r="AA1015" s="37" t="str">
        <f t="shared" si="122"/>
        <v/>
      </c>
      <c r="AB1015" s="28">
        <f t="shared" si="123"/>
        <v>1.62</v>
      </c>
      <c r="AC1015" s="37"/>
      <c r="AD1015" s="38">
        <f t="shared" si="124"/>
        <v>5</v>
      </c>
      <c r="AE1015" t="str">
        <f>IFERROR(F1015&amp;"*"&amp;ROUND(L1015*(G1015/$AN1015)/VLOOKUP(F1015,商品!$A$4:$D$67,4,FALSE),0),"")</f>
        <v/>
      </c>
      <c r="AF1015" t="str">
        <f>IFERROR(H1015&amp;"*"&amp;ROUND(L1015*(I1015/$AN1015)/VLOOKUP(H1015,商品!$A$4:$D$67,4,FALSE),0),"")</f>
        <v/>
      </c>
      <c r="AG1015" t="str">
        <f>IFERROR(J1015&amp;"*"&amp;ROUND(L1015*(K1015/$AN1015)/VLOOKUP(J1015,商品!$A$4:$D$67,4,FALSE),0),"")</f>
        <v/>
      </c>
      <c r="AH1015" t="str">
        <f>IFERROR(M1015&amp;"*"&amp;ROUND(S1015*(N1015/$AO1015)/VLOOKUP(M1015,职业!$A$3:$E$16,4,FALSE),0),"")</f>
        <v/>
      </c>
      <c r="AI1015" t="str">
        <f>IFERROR(O1015&amp;"*"&amp;ROUND(S1015*(P1015/$AO1015)/VLOOKUP(O1015,职业!$A$3:$E$16,4,FALSE),0),"")</f>
        <v/>
      </c>
      <c r="AK1015" t="str">
        <f>IFERROR(T1015&amp;"*"&amp;ROUND(X1015*(U1015/$AP1015)/VLOOKUP(T1015,商品!$A$4:$D$67,4,FALSE),0),"")</f>
        <v/>
      </c>
      <c r="AL1015" t="str">
        <f>IFERROR(V1015&amp;"*"&amp;ROUND(X1015*(W1015/$AP1015)/VLOOKUP(V1015,商品!$A$4:$D$67,4,FALSE),0),"")</f>
        <v/>
      </c>
      <c r="AN1015">
        <f t="shared" si="125"/>
        <v>0</v>
      </c>
      <c r="AO1015">
        <f t="shared" si="126"/>
        <v>0</v>
      </c>
      <c r="AP1015">
        <f t="shared" si="127"/>
        <v>0</v>
      </c>
    </row>
    <row r="1016" customHeight="1" spans="1:42">
      <c r="A1016" s="18" t="s">
        <v>472</v>
      </c>
      <c r="C1016" s="18">
        <v>1</v>
      </c>
      <c r="D1016" s="1" t="s">
        <v>293</v>
      </c>
      <c r="E1016" s="1" t="s">
        <v>227</v>
      </c>
      <c r="L1016" s="1">
        <f>IFERROR(VLOOKUP($D1016&amp;$C1016,生产方式定位!$A$2:$E$38,2,FALSE)+VLOOKUP($E1016&amp;$C1016,生产方式定位!$F$3:$J$38,2,FALSE),0)</f>
        <v>0</v>
      </c>
      <c r="S1016" s="1">
        <f>IFERROR(VLOOKUP($D1016&amp;$C1016,生产方式定位!$A$2:$E$38,3,FALSE)+VLOOKUP($E1016&amp;$C1016,生产方式定位!$F$3:$J$38,3,FALSE),0)</f>
        <v>0</v>
      </c>
      <c r="X1016" s="1">
        <f>IFERROR(VLOOKUP($D1016&amp;$C1016,生产方式定位!$A$2:$E$38,5,FALSE)+VLOOKUP($E1016&amp;$C1016,生产方式定位!$F$3:$J$38,5,FALSE),"错误")</f>
        <v>0</v>
      </c>
      <c r="Y1016" s="27" t="str">
        <f t="shared" si="120"/>
        <v/>
      </c>
      <c r="Z1016" s="37" t="str">
        <f t="shared" si="121"/>
        <v/>
      </c>
      <c r="AA1016" s="37" t="str">
        <f t="shared" si="122"/>
        <v/>
      </c>
      <c r="AB1016" s="28" t="str">
        <f t="shared" si="123"/>
        <v/>
      </c>
      <c r="AC1016" s="37"/>
      <c r="AD1016" s="38">
        <f t="shared" si="124"/>
        <v>1</v>
      </c>
      <c r="AE1016" t="str">
        <f>IFERROR(F1016&amp;"*"&amp;ROUND(L1016*(G1016/$AN1016)/VLOOKUP(F1016,商品!$A$4:$D$67,4,FALSE),0),"")</f>
        <v/>
      </c>
      <c r="AF1016" t="str">
        <f>IFERROR(H1016&amp;"*"&amp;ROUND(L1016*(I1016/$AN1016)/VLOOKUP(H1016,商品!$A$4:$D$67,4,FALSE),0),"")</f>
        <v/>
      </c>
      <c r="AG1016" t="str">
        <f>IFERROR(J1016&amp;"*"&amp;ROUND(L1016*(K1016/$AN1016)/VLOOKUP(J1016,商品!$A$4:$D$67,4,FALSE),0),"")</f>
        <v/>
      </c>
      <c r="AH1016" t="str">
        <f>IFERROR(M1016&amp;"*"&amp;ROUND(S1016*(N1016/$AO1016)/VLOOKUP(M1016,职业!$A$3:$E$16,4,FALSE),0),"")</f>
        <v/>
      </c>
      <c r="AI1016" t="str">
        <f>IFERROR(O1016&amp;"*"&amp;ROUND(S1016*(P1016/$AO1016)/VLOOKUP(O1016,职业!$A$3:$E$16,4,FALSE),0),"")</f>
        <v/>
      </c>
      <c r="AK1016" t="str">
        <f>IFERROR(T1016&amp;"*"&amp;ROUND(X1016*(U1016/$AP1016)/VLOOKUP(T1016,商品!$A$4:$D$67,4,FALSE),0),"")</f>
        <v/>
      </c>
      <c r="AL1016" t="str">
        <f>IFERROR(V1016&amp;"*"&amp;ROUND(X1016*(W1016/$AP1016)/VLOOKUP(V1016,商品!$A$4:$D$67,4,FALSE),0),"")</f>
        <v/>
      </c>
      <c r="AN1016">
        <f t="shared" si="125"/>
        <v>0</v>
      </c>
      <c r="AO1016">
        <f t="shared" si="126"/>
        <v>0</v>
      </c>
      <c r="AP1016">
        <f t="shared" si="127"/>
        <v>0</v>
      </c>
    </row>
    <row r="1017" customHeight="1" spans="1:42">
      <c r="A1017" s="18" t="s">
        <v>472</v>
      </c>
      <c r="C1017" s="18">
        <v>2</v>
      </c>
      <c r="D1017" s="1" t="s">
        <v>293</v>
      </c>
      <c r="E1017" s="1" t="s">
        <v>227</v>
      </c>
      <c r="L1017" s="1">
        <f>IFERROR(VLOOKUP($D1017&amp;$C1017,生产方式定位!$A$2:$E$38,2,FALSE)+VLOOKUP($E1017&amp;$C1017,生产方式定位!$F$3:$J$38,2,FALSE),0)</f>
        <v>0</v>
      </c>
      <c r="S1017" s="1">
        <f>IFERROR(VLOOKUP($D1017&amp;$C1017,生产方式定位!$A$2:$E$38,3,FALSE)+VLOOKUP($E1017&amp;$C1017,生产方式定位!$F$3:$J$38,3,FALSE),0)</f>
        <v>0</v>
      </c>
      <c r="X1017" s="1">
        <f>IFERROR(VLOOKUP($D1017&amp;$C1017,生产方式定位!$A$2:$E$38,5,FALSE)+VLOOKUP($E1017&amp;$C1017,生产方式定位!$F$3:$J$38,5,FALSE),"错误")</f>
        <v>0</v>
      </c>
      <c r="Y1017" s="27" t="str">
        <f t="shared" si="120"/>
        <v/>
      </c>
      <c r="Z1017" s="37" t="str">
        <f t="shared" si="121"/>
        <v/>
      </c>
      <c r="AA1017" s="37" t="str">
        <f t="shared" si="122"/>
        <v/>
      </c>
      <c r="AB1017" s="28" t="str">
        <f t="shared" si="123"/>
        <v/>
      </c>
      <c r="AC1017" s="37"/>
      <c r="AD1017" s="38">
        <f t="shared" si="124"/>
        <v>2</v>
      </c>
      <c r="AE1017" t="str">
        <f>IFERROR(F1017&amp;"*"&amp;ROUND(L1017*(G1017/$AN1017)/VLOOKUP(F1017,商品!$A$4:$D$67,4,FALSE),0),"")</f>
        <v/>
      </c>
      <c r="AF1017" t="str">
        <f>IFERROR(H1017&amp;"*"&amp;ROUND(L1017*(I1017/$AN1017)/VLOOKUP(H1017,商品!$A$4:$D$67,4,FALSE),0),"")</f>
        <v/>
      </c>
      <c r="AG1017" t="str">
        <f>IFERROR(J1017&amp;"*"&amp;ROUND(L1017*(K1017/$AN1017)/VLOOKUP(J1017,商品!$A$4:$D$67,4,FALSE),0),"")</f>
        <v/>
      </c>
      <c r="AH1017" t="str">
        <f>IFERROR(M1017&amp;"*"&amp;ROUND(S1017*(N1017/$AO1017)/VLOOKUP(M1017,职业!$A$3:$E$16,4,FALSE),0),"")</f>
        <v/>
      </c>
      <c r="AI1017" t="str">
        <f>IFERROR(O1017&amp;"*"&amp;ROUND(S1017*(P1017/$AO1017)/VLOOKUP(O1017,职业!$A$3:$E$16,4,FALSE),0),"")</f>
        <v/>
      </c>
      <c r="AK1017" t="str">
        <f>IFERROR(T1017&amp;"*"&amp;ROUND(X1017*(U1017/$AP1017)/VLOOKUP(T1017,商品!$A$4:$D$67,4,FALSE),0),"")</f>
        <v/>
      </c>
      <c r="AL1017" t="str">
        <f>IFERROR(V1017&amp;"*"&amp;ROUND(X1017*(W1017/$AP1017)/VLOOKUP(V1017,商品!$A$4:$D$67,4,FALSE),0),"")</f>
        <v/>
      </c>
      <c r="AN1017">
        <f t="shared" si="125"/>
        <v>0</v>
      </c>
      <c r="AO1017">
        <f t="shared" si="126"/>
        <v>0</v>
      </c>
      <c r="AP1017">
        <f t="shared" si="127"/>
        <v>0</v>
      </c>
    </row>
    <row r="1018" customHeight="1" spans="1:42">
      <c r="A1018" s="18" t="s">
        <v>472</v>
      </c>
      <c r="C1018" s="18">
        <v>3</v>
      </c>
      <c r="D1018" s="1" t="s">
        <v>293</v>
      </c>
      <c r="E1018" s="1" t="s">
        <v>227</v>
      </c>
      <c r="L1018" s="1">
        <f>IFERROR(VLOOKUP($D1018&amp;$C1018,生产方式定位!$A$2:$E$38,2,FALSE)+VLOOKUP($E1018&amp;$C1018,生产方式定位!$F$3:$J$38,2,FALSE),0)</f>
        <v>0</v>
      </c>
      <c r="S1018" s="1">
        <f>IFERROR(VLOOKUP($D1018&amp;$C1018,生产方式定位!$A$2:$E$38,3,FALSE)+VLOOKUP($E1018&amp;$C1018,生产方式定位!$F$3:$J$38,3,FALSE),0)</f>
        <v>0</v>
      </c>
      <c r="X1018" s="1">
        <f>IFERROR(VLOOKUP($D1018&amp;$C1018,生产方式定位!$A$2:$E$38,5,FALSE)+VLOOKUP($E1018&amp;$C1018,生产方式定位!$F$3:$J$38,5,FALSE),"错误")</f>
        <v>0</v>
      </c>
      <c r="Y1018" s="27" t="str">
        <f t="shared" si="120"/>
        <v/>
      </c>
      <c r="Z1018" s="37" t="str">
        <f t="shared" si="121"/>
        <v/>
      </c>
      <c r="AA1018" s="37" t="str">
        <f t="shared" si="122"/>
        <v/>
      </c>
      <c r="AB1018" s="28" t="str">
        <f t="shared" si="123"/>
        <v/>
      </c>
      <c r="AC1018" s="37"/>
      <c r="AD1018" s="38">
        <f t="shared" si="124"/>
        <v>3</v>
      </c>
      <c r="AE1018" t="str">
        <f>IFERROR(F1018&amp;"*"&amp;ROUND(L1018*(G1018/$AN1018)/VLOOKUP(F1018,商品!$A$4:$D$67,4,FALSE),0),"")</f>
        <v/>
      </c>
      <c r="AF1018" t="str">
        <f>IFERROR(H1018&amp;"*"&amp;ROUND(L1018*(I1018/$AN1018)/VLOOKUP(H1018,商品!$A$4:$D$67,4,FALSE),0),"")</f>
        <v/>
      </c>
      <c r="AG1018" t="str">
        <f>IFERROR(J1018&amp;"*"&amp;ROUND(L1018*(K1018/$AN1018)/VLOOKUP(J1018,商品!$A$4:$D$67,4,FALSE),0),"")</f>
        <v/>
      </c>
      <c r="AH1018" t="str">
        <f>IFERROR(M1018&amp;"*"&amp;ROUND(S1018*(N1018/$AO1018)/VLOOKUP(M1018,职业!$A$3:$E$16,4,FALSE),0),"")</f>
        <v/>
      </c>
      <c r="AI1018" t="str">
        <f>IFERROR(O1018&amp;"*"&amp;ROUND(S1018*(P1018/$AO1018)/VLOOKUP(O1018,职业!$A$3:$E$16,4,FALSE),0),"")</f>
        <v/>
      </c>
      <c r="AK1018" t="str">
        <f>IFERROR(T1018&amp;"*"&amp;ROUND(X1018*(U1018/$AP1018)/VLOOKUP(T1018,商品!$A$4:$D$67,4,FALSE),0),"")</f>
        <v/>
      </c>
      <c r="AL1018" t="str">
        <f>IFERROR(V1018&amp;"*"&amp;ROUND(X1018*(W1018/$AP1018)/VLOOKUP(V1018,商品!$A$4:$D$67,4,FALSE),0),"")</f>
        <v/>
      </c>
      <c r="AN1018">
        <f t="shared" si="125"/>
        <v>0</v>
      </c>
      <c r="AO1018">
        <f t="shared" si="126"/>
        <v>0</v>
      </c>
      <c r="AP1018">
        <f t="shared" si="127"/>
        <v>0</v>
      </c>
    </row>
    <row r="1019" customHeight="1" spans="1:42">
      <c r="A1019" s="18" t="s">
        <v>472</v>
      </c>
      <c r="C1019" s="18">
        <v>4</v>
      </c>
      <c r="D1019" s="1" t="s">
        <v>293</v>
      </c>
      <c r="E1019" s="1" t="s">
        <v>227</v>
      </c>
      <c r="L1019" s="1">
        <f>IFERROR(VLOOKUP($D1019&amp;$C1019,生产方式定位!$A$2:$E$38,2,FALSE)+VLOOKUP($E1019&amp;$C1019,生产方式定位!$F$3:$J$38,2,FALSE),0)</f>
        <v>0</v>
      </c>
      <c r="S1019" s="1">
        <f>IFERROR(VLOOKUP($D1019&amp;$C1019,生产方式定位!$A$2:$E$38,3,FALSE)+VLOOKUP($E1019&amp;$C1019,生产方式定位!$F$3:$J$38,3,FALSE),0)</f>
        <v>0</v>
      </c>
      <c r="X1019" s="1">
        <f>IFERROR(VLOOKUP($D1019&amp;$C1019,生产方式定位!$A$2:$E$38,5,FALSE)+VLOOKUP($E1019&amp;$C1019,生产方式定位!$F$3:$J$38,5,FALSE),"错误")</f>
        <v>0</v>
      </c>
      <c r="Y1019" s="27" t="str">
        <f t="shared" si="120"/>
        <v/>
      </c>
      <c r="Z1019" s="37" t="str">
        <f t="shared" si="121"/>
        <v/>
      </c>
      <c r="AA1019" s="37" t="str">
        <f t="shared" si="122"/>
        <v/>
      </c>
      <c r="AB1019" s="28" t="str">
        <f t="shared" si="123"/>
        <v/>
      </c>
      <c r="AC1019" s="37"/>
      <c r="AD1019" s="38">
        <f t="shared" si="124"/>
        <v>4</v>
      </c>
      <c r="AE1019" t="str">
        <f>IFERROR(F1019&amp;"*"&amp;ROUND(L1019*(G1019/$AN1019)/VLOOKUP(F1019,商品!$A$4:$D$67,4,FALSE),0),"")</f>
        <v/>
      </c>
      <c r="AF1019" t="str">
        <f>IFERROR(H1019&amp;"*"&amp;ROUND(L1019*(I1019/$AN1019)/VLOOKUP(H1019,商品!$A$4:$D$67,4,FALSE),0),"")</f>
        <v/>
      </c>
      <c r="AG1019" t="str">
        <f>IFERROR(J1019&amp;"*"&amp;ROUND(L1019*(K1019/$AN1019)/VLOOKUP(J1019,商品!$A$4:$D$67,4,FALSE),0),"")</f>
        <v/>
      </c>
      <c r="AH1019" t="str">
        <f>IFERROR(M1019&amp;"*"&amp;ROUND(S1019*(N1019/$AO1019)/VLOOKUP(M1019,职业!$A$3:$E$16,4,FALSE),0),"")</f>
        <v/>
      </c>
      <c r="AI1019" t="str">
        <f>IFERROR(O1019&amp;"*"&amp;ROUND(S1019*(P1019/$AO1019)/VLOOKUP(O1019,职业!$A$3:$E$16,4,FALSE),0),"")</f>
        <v/>
      </c>
      <c r="AK1019" t="str">
        <f>IFERROR(T1019&amp;"*"&amp;ROUND(X1019*(U1019/$AP1019)/VLOOKUP(T1019,商品!$A$4:$D$67,4,FALSE),0),"")</f>
        <v/>
      </c>
      <c r="AL1019" t="str">
        <f>IFERROR(V1019&amp;"*"&amp;ROUND(X1019*(W1019/$AP1019)/VLOOKUP(V1019,商品!$A$4:$D$67,4,FALSE),0),"")</f>
        <v/>
      </c>
      <c r="AN1019">
        <f t="shared" si="125"/>
        <v>0</v>
      </c>
      <c r="AO1019">
        <f t="shared" si="126"/>
        <v>0</v>
      </c>
      <c r="AP1019">
        <f t="shared" si="127"/>
        <v>0</v>
      </c>
    </row>
    <row r="1020" customHeight="1" spans="1:42">
      <c r="A1020" s="18" t="s">
        <v>472</v>
      </c>
      <c r="C1020" s="18">
        <v>5</v>
      </c>
      <c r="D1020" s="1" t="s">
        <v>293</v>
      </c>
      <c r="E1020" s="1" t="s">
        <v>227</v>
      </c>
      <c r="L1020" s="1">
        <f>IFERROR(VLOOKUP($D1020&amp;$C1020,生产方式定位!$A$2:$E$38,2,FALSE)+VLOOKUP($E1020&amp;$C1020,生产方式定位!$F$3:$J$38,2,FALSE),0)</f>
        <v>0</v>
      </c>
      <c r="S1020" s="1">
        <f>IFERROR(VLOOKUP($D1020&amp;$C1020,生产方式定位!$A$2:$E$38,3,FALSE)+VLOOKUP($E1020&amp;$C1020,生产方式定位!$F$3:$J$38,3,FALSE),0)</f>
        <v>0</v>
      </c>
      <c r="X1020" s="1">
        <f>IFERROR(VLOOKUP($D1020&amp;$C1020,生产方式定位!$A$2:$E$38,5,FALSE)+VLOOKUP($E1020&amp;$C1020,生产方式定位!$F$3:$J$38,5,FALSE),"错误")</f>
        <v>0</v>
      </c>
      <c r="Y1020" s="27" t="str">
        <f t="shared" si="120"/>
        <v/>
      </c>
      <c r="Z1020" s="37" t="str">
        <f t="shared" si="121"/>
        <v/>
      </c>
      <c r="AA1020" s="37" t="str">
        <f t="shared" si="122"/>
        <v/>
      </c>
      <c r="AB1020" s="28" t="str">
        <f t="shared" si="123"/>
        <v/>
      </c>
      <c r="AC1020" s="37"/>
      <c r="AD1020" s="38">
        <f t="shared" si="124"/>
        <v>5</v>
      </c>
      <c r="AE1020" t="str">
        <f>IFERROR(F1020&amp;"*"&amp;ROUND(L1020*(G1020/$AN1020)/VLOOKUP(F1020,商品!$A$4:$D$67,4,FALSE),0),"")</f>
        <v/>
      </c>
      <c r="AF1020" t="str">
        <f>IFERROR(H1020&amp;"*"&amp;ROUND(L1020*(I1020/$AN1020)/VLOOKUP(H1020,商品!$A$4:$D$67,4,FALSE),0),"")</f>
        <v/>
      </c>
      <c r="AG1020" t="str">
        <f>IFERROR(J1020&amp;"*"&amp;ROUND(L1020*(K1020/$AN1020)/VLOOKUP(J1020,商品!$A$4:$D$67,4,FALSE),0),"")</f>
        <v/>
      </c>
      <c r="AH1020" t="str">
        <f>IFERROR(M1020&amp;"*"&amp;ROUND(S1020*(N1020/$AO1020)/VLOOKUP(M1020,职业!$A$3:$E$16,4,FALSE),0),"")</f>
        <v/>
      </c>
      <c r="AI1020" t="str">
        <f>IFERROR(O1020&amp;"*"&amp;ROUND(S1020*(P1020/$AO1020)/VLOOKUP(O1020,职业!$A$3:$E$16,4,FALSE),0),"")</f>
        <v/>
      </c>
      <c r="AK1020" t="str">
        <f>IFERROR(T1020&amp;"*"&amp;ROUND(X1020*(U1020/$AP1020)/VLOOKUP(T1020,商品!$A$4:$D$67,4,FALSE),0),"")</f>
        <v/>
      </c>
      <c r="AL1020" t="str">
        <f>IFERROR(V1020&amp;"*"&amp;ROUND(X1020*(W1020/$AP1020)/VLOOKUP(V1020,商品!$A$4:$D$67,4,FALSE),0),"")</f>
        <v/>
      </c>
      <c r="AN1020">
        <f t="shared" si="125"/>
        <v>0</v>
      </c>
      <c r="AO1020">
        <f t="shared" si="126"/>
        <v>0</v>
      </c>
      <c r="AP1020">
        <f t="shared" si="127"/>
        <v>0</v>
      </c>
    </row>
    <row r="1021" customHeight="1" spans="1:42">
      <c r="A1021" s="18" t="s">
        <v>472</v>
      </c>
      <c r="C1021" s="18">
        <v>6</v>
      </c>
      <c r="D1021" s="1" t="s">
        <v>293</v>
      </c>
      <c r="E1021" s="1" t="s">
        <v>227</v>
      </c>
      <c r="L1021" s="1">
        <f>IFERROR(VLOOKUP($D1021&amp;$C1021,生产方式定位!$A$2:$E$38,2,FALSE)+VLOOKUP($E1021&amp;$C1021,生产方式定位!$F$3:$J$38,2,FALSE),0)</f>
        <v>0</v>
      </c>
      <c r="S1021" s="1">
        <f>IFERROR(VLOOKUP($D1021&amp;$C1021,生产方式定位!$A$2:$E$38,3,FALSE)+VLOOKUP($E1021&amp;$C1021,生产方式定位!$F$3:$J$38,3,FALSE),0)</f>
        <v>0</v>
      </c>
      <c r="X1021" s="1">
        <f>IFERROR(VLOOKUP($D1021&amp;$C1021,生产方式定位!$A$2:$E$38,5,FALSE)+VLOOKUP($E1021&amp;$C1021,生产方式定位!$F$3:$J$38,5,FALSE),"错误")</f>
        <v>0</v>
      </c>
      <c r="Y1021" s="27" t="str">
        <f t="shared" si="120"/>
        <v/>
      </c>
      <c r="Z1021" s="37" t="str">
        <f t="shared" si="121"/>
        <v/>
      </c>
      <c r="AA1021" s="37" t="str">
        <f t="shared" si="122"/>
        <v/>
      </c>
      <c r="AB1021" s="28" t="str">
        <f t="shared" si="123"/>
        <v/>
      </c>
      <c r="AC1021" s="37"/>
      <c r="AD1021" s="38">
        <f t="shared" si="124"/>
        <v>6</v>
      </c>
      <c r="AE1021" t="str">
        <f>IFERROR(F1021&amp;"*"&amp;ROUND(L1021*(G1021/$AN1021)/VLOOKUP(F1021,商品!$A$4:$D$67,4,FALSE),0),"")</f>
        <v/>
      </c>
      <c r="AF1021" t="str">
        <f>IFERROR(H1021&amp;"*"&amp;ROUND(L1021*(I1021/$AN1021)/VLOOKUP(H1021,商品!$A$4:$D$67,4,FALSE),0),"")</f>
        <v/>
      </c>
      <c r="AG1021" t="str">
        <f>IFERROR(J1021&amp;"*"&amp;ROUND(L1021*(K1021/$AN1021)/VLOOKUP(J1021,商品!$A$4:$D$67,4,FALSE),0),"")</f>
        <v/>
      </c>
      <c r="AH1021" t="str">
        <f>IFERROR(M1021&amp;"*"&amp;ROUND(S1021*(N1021/$AO1021)/VLOOKUP(M1021,职业!$A$3:$E$16,4,FALSE),0),"")</f>
        <v/>
      </c>
      <c r="AI1021" t="str">
        <f>IFERROR(O1021&amp;"*"&amp;ROUND(S1021*(P1021/$AO1021)/VLOOKUP(O1021,职业!$A$3:$E$16,4,FALSE),0),"")</f>
        <v/>
      </c>
      <c r="AK1021" t="str">
        <f>IFERROR(T1021&amp;"*"&amp;ROUND(X1021*(U1021/$AP1021)/VLOOKUP(T1021,商品!$A$4:$D$67,4,FALSE),0),"")</f>
        <v/>
      </c>
      <c r="AL1021" t="str">
        <f>IFERROR(V1021&amp;"*"&amp;ROUND(X1021*(W1021/$AP1021)/VLOOKUP(V1021,商品!$A$4:$D$67,4,FALSE),0),"")</f>
        <v/>
      </c>
      <c r="AN1021">
        <f t="shared" si="125"/>
        <v>0</v>
      </c>
      <c r="AO1021">
        <f t="shared" si="126"/>
        <v>0</v>
      </c>
      <c r="AP1021">
        <f t="shared" si="127"/>
        <v>0</v>
      </c>
    </row>
    <row r="1022" customHeight="1" spans="1:42">
      <c r="A1022" s="18" t="s">
        <v>472</v>
      </c>
      <c r="C1022" s="18">
        <v>7</v>
      </c>
      <c r="D1022" s="1" t="s">
        <v>293</v>
      </c>
      <c r="E1022" s="1" t="s">
        <v>227</v>
      </c>
      <c r="L1022" s="1">
        <f>IFERROR(VLOOKUP($D1022&amp;$C1022,生产方式定位!$A$2:$E$38,2,FALSE)+VLOOKUP($E1022&amp;$C1022,生产方式定位!$F$3:$J$38,2,FALSE),0)</f>
        <v>0</v>
      </c>
      <c r="S1022" s="1">
        <f>IFERROR(VLOOKUP($D1022&amp;$C1022,生产方式定位!$A$2:$E$38,3,FALSE)+VLOOKUP($E1022&amp;$C1022,生产方式定位!$F$3:$J$38,3,FALSE),0)</f>
        <v>0</v>
      </c>
      <c r="X1022" s="1">
        <f>IFERROR(VLOOKUP($D1022&amp;$C1022,生产方式定位!$A$2:$E$38,5,FALSE)+VLOOKUP($E1022&amp;$C1022,生产方式定位!$F$3:$J$38,5,FALSE),"错误")</f>
        <v>0</v>
      </c>
      <c r="Y1022" s="27" t="str">
        <f t="shared" si="120"/>
        <v/>
      </c>
      <c r="Z1022" s="37" t="str">
        <f t="shared" si="121"/>
        <v/>
      </c>
      <c r="AA1022" s="37" t="str">
        <f t="shared" si="122"/>
        <v/>
      </c>
      <c r="AB1022" s="28" t="str">
        <f t="shared" si="123"/>
        <v/>
      </c>
      <c r="AC1022" s="37"/>
      <c r="AD1022" s="38">
        <f t="shared" si="124"/>
        <v>7</v>
      </c>
      <c r="AE1022" t="str">
        <f>IFERROR(F1022&amp;"*"&amp;ROUND(L1022*(G1022/$AN1022)/VLOOKUP(F1022,商品!$A$4:$D$67,4,FALSE),0),"")</f>
        <v/>
      </c>
      <c r="AF1022" t="str">
        <f>IFERROR(H1022&amp;"*"&amp;ROUND(L1022*(I1022/$AN1022)/VLOOKUP(H1022,商品!$A$4:$D$67,4,FALSE),0),"")</f>
        <v/>
      </c>
      <c r="AG1022" t="str">
        <f>IFERROR(J1022&amp;"*"&amp;ROUND(L1022*(K1022/$AN1022)/VLOOKUP(J1022,商品!$A$4:$D$67,4,FALSE),0),"")</f>
        <v/>
      </c>
      <c r="AH1022" t="str">
        <f>IFERROR(M1022&amp;"*"&amp;ROUND(S1022*(N1022/$AO1022)/VLOOKUP(M1022,职业!$A$3:$E$16,4,FALSE),0),"")</f>
        <v/>
      </c>
      <c r="AI1022" t="str">
        <f>IFERROR(O1022&amp;"*"&amp;ROUND(S1022*(P1022/$AO1022)/VLOOKUP(O1022,职业!$A$3:$E$16,4,FALSE),0),"")</f>
        <v/>
      </c>
      <c r="AK1022" t="str">
        <f>IFERROR(T1022&amp;"*"&amp;ROUND(X1022*(U1022/$AP1022)/VLOOKUP(T1022,商品!$A$4:$D$67,4,FALSE),0),"")</f>
        <v/>
      </c>
      <c r="AL1022" t="str">
        <f>IFERROR(V1022&amp;"*"&amp;ROUND(X1022*(W1022/$AP1022)/VLOOKUP(V1022,商品!$A$4:$D$67,4,FALSE),0),"")</f>
        <v/>
      </c>
      <c r="AN1022">
        <f t="shared" si="125"/>
        <v>0</v>
      </c>
      <c r="AO1022">
        <f t="shared" si="126"/>
        <v>0</v>
      </c>
      <c r="AP1022">
        <f t="shared" si="127"/>
        <v>0</v>
      </c>
    </row>
    <row r="1023" customHeight="1" spans="1:42">
      <c r="A1023" s="18" t="s">
        <v>472</v>
      </c>
      <c r="C1023" s="18">
        <v>8</v>
      </c>
      <c r="D1023" s="1" t="s">
        <v>293</v>
      </c>
      <c r="E1023" s="1" t="s">
        <v>227</v>
      </c>
      <c r="L1023" s="1">
        <f>IFERROR(VLOOKUP($D1023&amp;$C1023,生产方式定位!$A$2:$E$38,2,FALSE)+VLOOKUP($E1023&amp;$C1023,生产方式定位!$F$3:$J$38,2,FALSE),0)</f>
        <v>0</v>
      </c>
      <c r="S1023" s="1">
        <f>IFERROR(VLOOKUP($D1023&amp;$C1023,生产方式定位!$A$2:$E$38,3,FALSE)+VLOOKUP($E1023&amp;$C1023,生产方式定位!$F$3:$J$38,3,FALSE),0)</f>
        <v>0</v>
      </c>
      <c r="X1023" s="1">
        <f>IFERROR(VLOOKUP($D1023&amp;$C1023,生产方式定位!$A$2:$E$38,5,FALSE)+VLOOKUP($E1023&amp;$C1023,生产方式定位!$F$3:$J$38,5,FALSE),"错误")</f>
        <v>0</v>
      </c>
      <c r="Y1023" s="27" t="str">
        <f t="shared" si="120"/>
        <v/>
      </c>
      <c r="Z1023" s="37" t="str">
        <f t="shared" si="121"/>
        <v/>
      </c>
      <c r="AA1023" s="37" t="str">
        <f t="shared" si="122"/>
        <v/>
      </c>
      <c r="AB1023" s="28" t="str">
        <f t="shared" si="123"/>
        <v/>
      </c>
      <c r="AC1023" s="37"/>
      <c r="AD1023" s="38">
        <f t="shared" si="124"/>
        <v>8</v>
      </c>
      <c r="AE1023" t="str">
        <f>IFERROR(F1023&amp;"*"&amp;ROUND(L1023*(G1023/$AN1023)/VLOOKUP(F1023,商品!$A$4:$D$67,4,FALSE),0),"")</f>
        <v/>
      </c>
      <c r="AF1023" t="str">
        <f>IFERROR(H1023&amp;"*"&amp;ROUND(L1023*(I1023/$AN1023)/VLOOKUP(H1023,商品!$A$4:$D$67,4,FALSE),0),"")</f>
        <v/>
      </c>
      <c r="AG1023" t="str">
        <f>IFERROR(J1023&amp;"*"&amp;ROUND(L1023*(K1023/$AN1023)/VLOOKUP(J1023,商品!$A$4:$D$67,4,FALSE),0),"")</f>
        <v/>
      </c>
      <c r="AH1023" t="str">
        <f>IFERROR(M1023&amp;"*"&amp;ROUND(S1023*(N1023/$AO1023)/VLOOKUP(M1023,职业!$A$3:$E$16,4,FALSE),0),"")</f>
        <v/>
      </c>
      <c r="AI1023" t="str">
        <f>IFERROR(O1023&amp;"*"&amp;ROUND(S1023*(P1023/$AO1023)/VLOOKUP(O1023,职业!$A$3:$E$16,4,FALSE),0),"")</f>
        <v/>
      </c>
      <c r="AK1023" t="str">
        <f>IFERROR(T1023&amp;"*"&amp;ROUND(X1023*(U1023/$AP1023)/VLOOKUP(T1023,商品!$A$4:$D$67,4,FALSE),0),"")</f>
        <v/>
      </c>
      <c r="AL1023" t="str">
        <f>IFERROR(V1023&amp;"*"&amp;ROUND(X1023*(W1023/$AP1023)/VLOOKUP(V1023,商品!$A$4:$D$67,4,FALSE),0),"")</f>
        <v/>
      </c>
      <c r="AN1023">
        <f t="shared" si="125"/>
        <v>0</v>
      </c>
      <c r="AO1023">
        <f t="shared" si="126"/>
        <v>0</v>
      </c>
      <c r="AP1023">
        <f t="shared" si="127"/>
        <v>0</v>
      </c>
    </row>
    <row r="1024" customHeight="1" spans="1:42">
      <c r="A1024" s="5" t="s">
        <v>474</v>
      </c>
      <c r="C1024" s="5">
        <v>1</v>
      </c>
      <c r="D1024" s="1" t="s">
        <v>222</v>
      </c>
      <c r="E1024" s="1" t="s">
        <v>224</v>
      </c>
      <c r="L1024" s="1">
        <f>IFERROR(VLOOKUP($D1024&amp;$C1024,生产方式定位!$A$2:$E$38,2,FALSE)+VLOOKUP($E1024&amp;$C1024,生产方式定位!$F$3:$J$38,2,FALSE),0)</f>
        <v>0</v>
      </c>
      <c r="S1024" s="1">
        <f>IFERROR(VLOOKUP($D1024&amp;$C1024,生产方式定位!$A$2:$E$38,3,FALSE)+VLOOKUP($E1024&amp;$C1024,生产方式定位!$F$3:$J$38,3,FALSE),0)</f>
        <v>500</v>
      </c>
      <c r="X1024" s="1">
        <f>IFERROR(VLOOKUP($D1024&amp;$C1024,生产方式定位!$A$2:$E$38,5,FALSE)+VLOOKUP($E1024&amp;$C1024,生产方式定位!$F$3:$J$38,5,FALSE),"错误")</f>
        <v>250</v>
      </c>
      <c r="Y1024" s="27" t="str">
        <f t="shared" si="120"/>
        <v/>
      </c>
      <c r="Z1024" s="37" t="str">
        <f t="shared" si="121"/>
        <v/>
      </c>
      <c r="AA1024" s="37" t="str">
        <f t="shared" si="122"/>
        <v/>
      </c>
      <c r="AB1024" s="28">
        <f t="shared" si="123"/>
        <v>0</v>
      </c>
      <c r="AC1024" s="37"/>
      <c r="AD1024" s="38">
        <f t="shared" si="124"/>
        <v>1</v>
      </c>
      <c r="AE1024" t="str">
        <f>IFERROR(F1024&amp;"*"&amp;ROUND(L1024*(G1024/$AN1024)/VLOOKUP(F1024,商品!$A$4:$D$67,4,FALSE),0),"")</f>
        <v/>
      </c>
      <c r="AF1024" t="str">
        <f>IFERROR(H1024&amp;"*"&amp;ROUND(L1024*(I1024/$AN1024)/VLOOKUP(H1024,商品!$A$4:$D$67,4,FALSE),0),"")</f>
        <v/>
      </c>
      <c r="AG1024" t="str">
        <f>IFERROR(J1024&amp;"*"&amp;ROUND(L1024*(K1024/$AN1024)/VLOOKUP(J1024,商品!$A$4:$D$67,4,FALSE),0),"")</f>
        <v/>
      </c>
      <c r="AH1024" t="str">
        <f>IFERROR(M1024&amp;"*"&amp;ROUND(S1024*(N1024/$AO1024)/VLOOKUP(M1024,职业!$A$3:$E$16,4,FALSE),0),"")</f>
        <v/>
      </c>
      <c r="AI1024" t="str">
        <f>IFERROR(O1024&amp;"*"&amp;ROUND(S1024*(P1024/$AO1024)/VLOOKUP(O1024,职业!$A$3:$E$16,4,FALSE),0),"")</f>
        <v/>
      </c>
      <c r="AK1024" t="str">
        <f>IFERROR(T1024&amp;"*"&amp;ROUND(X1024*(U1024/$AP1024)/VLOOKUP(T1024,商品!$A$4:$D$67,4,FALSE),0),"")</f>
        <v/>
      </c>
      <c r="AL1024" t="str">
        <f>IFERROR(V1024&amp;"*"&amp;ROUND(X1024*(W1024/$AP1024)/VLOOKUP(V1024,商品!$A$4:$D$67,4,FALSE),0),"")</f>
        <v/>
      </c>
      <c r="AN1024">
        <f t="shared" si="125"/>
        <v>0</v>
      </c>
      <c r="AO1024">
        <f t="shared" si="126"/>
        <v>0</v>
      </c>
      <c r="AP1024">
        <f t="shared" si="127"/>
        <v>0</v>
      </c>
    </row>
    <row r="1025" customHeight="1" spans="1:42">
      <c r="A1025" s="5" t="s">
        <v>474</v>
      </c>
      <c r="C1025" s="5">
        <v>2</v>
      </c>
      <c r="D1025" s="1" t="s">
        <v>222</v>
      </c>
      <c r="E1025" s="1" t="s">
        <v>224</v>
      </c>
      <c r="L1025" s="1">
        <f>IFERROR(VLOOKUP($D1025&amp;$C1025,生产方式定位!$A$2:$E$38,2,FALSE)+VLOOKUP($E1025&amp;$C1025,生产方式定位!$F$3:$J$38,2,FALSE),0)</f>
        <v>2200</v>
      </c>
      <c r="S1025" s="1">
        <f>IFERROR(VLOOKUP($D1025&amp;$C1025,生产方式定位!$A$2:$E$38,3,FALSE)+VLOOKUP($E1025&amp;$C1025,生产方式定位!$F$3:$J$38,3,FALSE),0)</f>
        <v>750</v>
      </c>
      <c r="X1025" s="1">
        <f>IFERROR(VLOOKUP($D1025&amp;$C1025,生产方式定位!$A$2:$E$38,5,FALSE)+VLOOKUP($E1025&amp;$C1025,生产方式定位!$F$3:$J$38,5,FALSE),"错误")</f>
        <v>1547</v>
      </c>
      <c r="Y1025" s="27" t="str">
        <f t="shared" si="120"/>
        <v/>
      </c>
      <c r="Z1025" s="37" t="str">
        <f t="shared" si="121"/>
        <v/>
      </c>
      <c r="AA1025" s="37" t="str">
        <f t="shared" si="122"/>
        <v/>
      </c>
      <c r="AB1025" s="28">
        <f t="shared" si="123"/>
        <v>1.42</v>
      </c>
      <c r="AC1025" s="37"/>
      <c r="AD1025" s="38">
        <f t="shared" si="124"/>
        <v>2</v>
      </c>
      <c r="AE1025" t="str">
        <f>IFERROR(F1025&amp;"*"&amp;ROUND(L1025*(G1025/$AN1025)/VLOOKUP(F1025,商品!$A$4:$D$67,4,FALSE),0),"")</f>
        <v/>
      </c>
      <c r="AF1025" t="str">
        <f>IFERROR(H1025&amp;"*"&amp;ROUND(L1025*(I1025/$AN1025)/VLOOKUP(H1025,商品!$A$4:$D$67,4,FALSE),0),"")</f>
        <v/>
      </c>
      <c r="AG1025" t="str">
        <f>IFERROR(J1025&amp;"*"&amp;ROUND(L1025*(K1025/$AN1025)/VLOOKUP(J1025,商品!$A$4:$D$67,4,FALSE),0),"")</f>
        <v/>
      </c>
      <c r="AH1025" t="str">
        <f>IFERROR(M1025&amp;"*"&amp;ROUND(S1025*(N1025/$AO1025)/VLOOKUP(M1025,职业!$A$3:$E$16,4,FALSE),0),"")</f>
        <v/>
      </c>
      <c r="AI1025" t="str">
        <f>IFERROR(O1025&amp;"*"&amp;ROUND(S1025*(P1025/$AO1025)/VLOOKUP(O1025,职业!$A$3:$E$16,4,FALSE),0),"")</f>
        <v/>
      </c>
      <c r="AK1025" t="str">
        <f>IFERROR(T1025&amp;"*"&amp;ROUND(X1025*(U1025/$AP1025)/VLOOKUP(T1025,商品!$A$4:$D$67,4,FALSE),0),"")</f>
        <v/>
      </c>
      <c r="AL1025" t="str">
        <f>IFERROR(V1025&amp;"*"&amp;ROUND(X1025*(W1025/$AP1025)/VLOOKUP(V1025,商品!$A$4:$D$67,4,FALSE),0),"")</f>
        <v/>
      </c>
      <c r="AN1025">
        <f t="shared" si="125"/>
        <v>0</v>
      </c>
      <c r="AO1025">
        <f t="shared" si="126"/>
        <v>0</v>
      </c>
      <c r="AP1025">
        <f t="shared" si="127"/>
        <v>0</v>
      </c>
    </row>
    <row r="1026" customHeight="1" spans="1:42">
      <c r="A1026" s="5" t="s">
        <v>474</v>
      </c>
      <c r="C1026" s="5">
        <v>3</v>
      </c>
      <c r="D1026" s="1" t="s">
        <v>222</v>
      </c>
      <c r="E1026" s="1" t="s">
        <v>224</v>
      </c>
      <c r="L1026" s="1">
        <f>IFERROR(VLOOKUP($D1026&amp;$C1026,生产方式定位!$A$2:$E$38,2,FALSE)+VLOOKUP($E1026&amp;$C1026,生产方式定位!$F$3:$J$38,2,FALSE),0)</f>
        <v>3400</v>
      </c>
      <c r="S1026" s="1">
        <f>IFERROR(VLOOKUP($D1026&amp;$C1026,生产方式定位!$A$2:$E$38,3,FALSE)+VLOOKUP($E1026&amp;$C1026,生产方式定位!$F$3:$J$38,3,FALSE),0)</f>
        <v>1000</v>
      </c>
      <c r="X1026" s="1">
        <f>IFERROR(VLOOKUP($D1026&amp;$C1026,生产方式定位!$A$2:$E$38,5,FALSE)+VLOOKUP($E1026&amp;$C1026,生产方式定位!$F$3:$J$38,5,FALSE),"错误")</f>
        <v>2488</v>
      </c>
      <c r="Y1026" s="27" t="str">
        <f t="shared" si="120"/>
        <v/>
      </c>
      <c r="Z1026" s="37" t="str">
        <f t="shared" si="121"/>
        <v/>
      </c>
      <c r="AA1026" s="37" t="str">
        <f t="shared" si="122"/>
        <v/>
      </c>
      <c r="AB1026" s="28">
        <f t="shared" si="123"/>
        <v>1.37</v>
      </c>
      <c r="AC1026" s="37"/>
      <c r="AD1026" s="38">
        <f t="shared" si="124"/>
        <v>3</v>
      </c>
      <c r="AE1026" t="str">
        <f>IFERROR(F1026&amp;"*"&amp;ROUND(L1026*(G1026/$AN1026)/VLOOKUP(F1026,商品!$A$4:$D$67,4,FALSE),0),"")</f>
        <v/>
      </c>
      <c r="AF1026" t="str">
        <f>IFERROR(H1026&amp;"*"&amp;ROUND(L1026*(I1026/$AN1026)/VLOOKUP(H1026,商品!$A$4:$D$67,4,FALSE),0),"")</f>
        <v/>
      </c>
      <c r="AG1026" t="str">
        <f>IFERROR(J1026&amp;"*"&amp;ROUND(L1026*(K1026/$AN1026)/VLOOKUP(J1026,商品!$A$4:$D$67,4,FALSE),0),"")</f>
        <v/>
      </c>
      <c r="AH1026" t="str">
        <f>IFERROR(M1026&amp;"*"&amp;ROUND(S1026*(N1026/$AO1026)/VLOOKUP(M1026,职业!$A$3:$E$16,4,FALSE),0),"")</f>
        <v/>
      </c>
      <c r="AI1026" t="str">
        <f>IFERROR(O1026&amp;"*"&amp;ROUND(S1026*(P1026/$AO1026)/VLOOKUP(O1026,职业!$A$3:$E$16,4,FALSE),0),"")</f>
        <v/>
      </c>
      <c r="AK1026" t="str">
        <f>IFERROR(T1026&amp;"*"&amp;ROUND(X1026*(U1026/$AP1026)/VLOOKUP(T1026,商品!$A$4:$D$67,4,FALSE),0),"")</f>
        <v/>
      </c>
      <c r="AL1026" t="str">
        <f>IFERROR(V1026&amp;"*"&amp;ROUND(X1026*(W1026/$AP1026)/VLOOKUP(V1026,商品!$A$4:$D$67,4,FALSE),0),"")</f>
        <v/>
      </c>
      <c r="AN1026">
        <f t="shared" si="125"/>
        <v>0</v>
      </c>
      <c r="AO1026">
        <f t="shared" si="126"/>
        <v>0</v>
      </c>
      <c r="AP1026">
        <f t="shared" si="127"/>
        <v>0</v>
      </c>
    </row>
    <row r="1027" customHeight="1" spans="1:42">
      <c r="A1027" s="5" t="s">
        <v>474</v>
      </c>
      <c r="C1027" s="5">
        <v>4</v>
      </c>
      <c r="D1027" s="1" t="s">
        <v>222</v>
      </c>
      <c r="E1027" s="1" t="s">
        <v>224</v>
      </c>
      <c r="L1027" s="1">
        <f>IFERROR(VLOOKUP($D1027&amp;$C1027,生产方式定位!$A$2:$E$38,2,FALSE)+VLOOKUP($E1027&amp;$C1027,生产方式定位!$F$3:$J$38,2,FALSE),0)</f>
        <v>4600</v>
      </c>
      <c r="S1027" s="1">
        <f>IFERROR(VLOOKUP($D1027&amp;$C1027,生产方式定位!$A$2:$E$38,3,FALSE)+VLOOKUP($E1027&amp;$C1027,生产方式定位!$F$3:$J$38,3,FALSE),0)</f>
        <v>1250</v>
      </c>
      <c r="X1027" s="1">
        <f>IFERROR(VLOOKUP($D1027&amp;$C1027,生产方式定位!$A$2:$E$38,5,FALSE)+VLOOKUP($E1027&amp;$C1027,生产方式定位!$F$3:$J$38,5,FALSE),"错误")</f>
        <v>3573</v>
      </c>
      <c r="Y1027" s="27" t="str">
        <f t="shared" si="120"/>
        <v/>
      </c>
      <c r="Z1027" s="37" t="str">
        <f t="shared" si="121"/>
        <v/>
      </c>
      <c r="AA1027" s="37" t="str">
        <f t="shared" si="122"/>
        <v/>
      </c>
      <c r="AB1027" s="28">
        <f t="shared" si="123"/>
        <v>1.29</v>
      </c>
      <c r="AC1027" s="37"/>
      <c r="AD1027" s="38">
        <f t="shared" si="124"/>
        <v>4</v>
      </c>
      <c r="AE1027" t="str">
        <f>IFERROR(F1027&amp;"*"&amp;ROUND(L1027*(G1027/$AN1027)/VLOOKUP(F1027,商品!$A$4:$D$67,4,FALSE),0),"")</f>
        <v/>
      </c>
      <c r="AF1027" t="str">
        <f>IFERROR(H1027&amp;"*"&amp;ROUND(L1027*(I1027/$AN1027)/VLOOKUP(H1027,商品!$A$4:$D$67,4,FALSE),0),"")</f>
        <v/>
      </c>
      <c r="AG1027" t="str">
        <f>IFERROR(J1027&amp;"*"&amp;ROUND(L1027*(K1027/$AN1027)/VLOOKUP(J1027,商品!$A$4:$D$67,4,FALSE),0),"")</f>
        <v/>
      </c>
      <c r="AH1027" t="str">
        <f>IFERROR(M1027&amp;"*"&amp;ROUND(S1027*(N1027/$AO1027)/VLOOKUP(M1027,职业!$A$3:$E$16,4,FALSE),0),"")</f>
        <v/>
      </c>
      <c r="AI1027" t="str">
        <f>IFERROR(O1027&amp;"*"&amp;ROUND(S1027*(P1027/$AO1027)/VLOOKUP(O1027,职业!$A$3:$E$16,4,FALSE),0),"")</f>
        <v/>
      </c>
      <c r="AK1027" t="str">
        <f>IFERROR(T1027&amp;"*"&amp;ROUND(X1027*(U1027/$AP1027)/VLOOKUP(T1027,商品!$A$4:$D$67,4,FALSE),0),"")</f>
        <v/>
      </c>
      <c r="AL1027" t="str">
        <f>IFERROR(V1027&amp;"*"&amp;ROUND(X1027*(W1027/$AP1027)/VLOOKUP(V1027,商品!$A$4:$D$67,4,FALSE),0),"")</f>
        <v/>
      </c>
      <c r="AN1027">
        <f t="shared" si="125"/>
        <v>0</v>
      </c>
      <c r="AO1027">
        <f t="shared" si="126"/>
        <v>0</v>
      </c>
      <c r="AP1027">
        <f t="shared" si="127"/>
        <v>0</v>
      </c>
    </row>
    <row r="1028" customHeight="1" spans="1:42">
      <c r="A1028" s="5" t="s">
        <v>474</v>
      </c>
      <c r="C1028" s="5">
        <v>5</v>
      </c>
      <c r="D1028" s="1" t="s">
        <v>222</v>
      </c>
      <c r="E1028" s="1" t="s">
        <v>224</v>
      </c>
      <c r="L1028" s="1">
        <f>IFERROR(VLOOKUP($D1028&amp;$C1028,生产方式定位!$A$2:$E$38,2,FALSE)+VLOOKUP($E1028&amp;$C1028,生产方式定位!$F$3:$J$38,2,FALSE),0)</f>
        <v>5800</v>
      </c>
      <c r="S1028" s="1">
        <f>IFERROR(VLOOKUP($D1028&amp;$C1028,生产方式定位!$A$2:$E$38,3,FALSE)+VLOOKUP($E1028&amp;$C1028,生产方式定位!$F$3:$J$38,3,FALSE),0)</f>
        <v>1500</v>
      </c>
      <c r="X1028" s="1">
        <f>IFERROR(VLOOKUP($D1028&amp;$C1028,生产方式定位!$A$2:$E$38,5,FALSE)+VLOOKUP($E1028&amp;$C1028,生产方式定位!$F$3:$J$38,5,FALSE),"错误")</f>
        <v>4850</v>
      </c>
      <c r="Y1028" s="27" t="str">
        <f t="shared" si="120"/>
        <v/>
      </c>
      <c r="Z1028" s="37" t="str">
        <f t="shared" si="121"/>
        <v/>
      </c>
      <c r="AA1028" s="37" t="str">
        <f t="shared" si="122"/>
        <v/>
      </c>
      <c r="AB1028" s="28">
        <f t="shared" si="123"/>
        <v>1.2</v>
      </c>
      <c r="AC1028" s="37"/>
      <c r="AD1028" s="38">
        <f t="shared" si="124"/>
        <v>5</v>
      </c>
      <c r="AE1028" t="str">
        <f>IFERROR(F1028&amp;"*"&amp;ROUND(L1028*(G1028/$AN1028)/VLOOKUP(F1028,商品!$A$4:$D$67,4,FALSE),0),"")</f>
        <v/>
      </c>
      <c r="AF1028" t="str">
        <f>IFERROR(H1028&amp;"*"&amp;ROUND(L1028*(I1028/$AN1028)/VLOOKUP(H1028,商品!$A$4:$D$67,4,FALSE),0),"")</f>
        <v/>
      </c>
      <c r="AG1028" t="str">
        <f>IFERROR(J1028&amp;"*"&amp;ROUND(L1028*(K1028/$AN1028)/VLOOKUP(J1028,商品!$A$4:$D$67,4,FALSE),0),"")</f>
        <v/>
      </c>
      <c r="AH1028" t="str">
        <f>IFERROR(M1028&amp;"*"&amp;ROUND(S1028*(N1028/$AO1028)/VLOOKUP(M1028,职业!$A$3:$E$16,4,FALSE),0),"")</f>
        <v/>
      </c>
      <c r="AI1028" t="str">
        <f>IFERROR(O1028&amp;"*"&amp;ROUND(S1028*(P1028/$AO1028)/VLOOKUP(O1028,职业!$A$3:$E$16,4,FALSE),0),"")</f>
        <v/>
      </c>
      <c r="AK1028" t="str">
        <f>IFERROR(T1028&amp;"*"&amp;ROUND(X1028*(U1028/$AP1028)/VLOOKUP(T1028,商品!$A$4:$D$67,4,FALSE),0),"")</f>
        <v/>
      </c>
      <c r="AL1028" t="str">
        <f>IFERROR(V1028&amp;"*"&amp;ROUND(X1028*(W1028/$AP1028)/VLOOKUP(V1028,商品!$A$4:$D$67,4,FALSE),0),"")</f>
        <v/>
      </c>
      <c r="AN1028">
        <f t="shared" si="125"/>
        <v>0</v>
      </c>
      <c r="AO1028">
        <f t="shared" si="126"/>
        <v>0</v>
      </c>
      <c r="AP1028">
        <f t="shared" si="127"/>
        <v>0</v>
      </c>
    </row>
    <row r="1029" customHeight="1" spans="1:42">
      <c r="A1029" s="18" t="s">
        <v>475</v>
      </c>
      <c r="C1029" s="18">
        <v>1</v>
      </c>
      <c r="D1029" s="1" t="s">
        <v>222</v>
      </c>
      <c r="E1029" s="1" t="s">
        <v>226</v>
      </c>
      <c r="L1029" s="1">
        <f>IFERROR(VLOOKUP($D1029&amp;$C1029,生产方式定位!$A$2:$E$38,2,FALSE)+VLOOKUP($E1029&amp;$C1029,生产方式定位!$F$3:$J$38,2,FALSE),0)</f>
        <v>0</v>
      </c>
      <c r="S1029" s="1">
        <f>IFERROR(VLOOKUP($D1029&amp;$C1029,生产方式定位!$A$2:$E$38,3,FALSE)+VLOOKUP($E1029&amp;$C1029,生产方式定位!$F$3:$J$38,3,FALSE),0)</f>
        <v>500</v>
      </c>
      <c r="X1029" s="1">
        <f>IFERROR(VLOOKUP($D1029&amp;$C1029,生产方式定位!$A$2:$E$38,5,FALSE)+VLOOKUP($E1029&amp;$C1029,生产方式定位!$F$3:$J$38,5,FALSE),"错误")</f>
        <v>250</v>
      </c>
      <c r="Y1029" s="27" t="str">
        <f t="shared" ref="Y1029:Y1092" si="128">IF(AE1029="","",AE1029)&amp;IF(AF1029="","",","&amp;AF1029)&amp;IF(AG1029="","",","&amp;AG1029)</f>
        <v/>
      </c>
      <c r="Z1029" s="37" t="str">
        <f t="shared" ref="Z1029:Z1092" si="129">IF(AH1029="","",AH1029)&amp;IF(AI1029="","",","&amp;AI1029)</f>
        <v/>
      </c>
      <c r="AA1029" s="37" t="str">
        <f t="shared" ref="AA1029:AA1092" si="130">IF(AK1029="","",AK1029)&amp;IF(AL1029="","",","&amp;AL1029)</f>
        <v/>
      </c>
      <c r="AB1029" s="28">
        <f t="shared" ref="AB1029:AB1092" si="131">IFERROR(ROUND(L1029/X1029,2),"")</f>
        <v>0</v>
      </c>
      <c r="AC1029" s="37"/>
      <c r="AD1029" s="38">
        <f t="shared" ref="AD1029:AD1092" si="132">C1029</f>
        <v>1</v>
      </c>
      <c r="AE1029" t="str">
        <f>IFERROR(F1029&amp;"*"&amp;ROUND(L1029*(G1029/$AN1029)/VLOOKUP(F1029,商品!$A$4:$D$67,4,FALSE),0),"")</f>
        <v/>
      </c>
      <c r="AF1029" t="str">
        <f>IFERROR(H1029&amp;"*"&amp;ROUND(L1029*(I1029/$AN1029)/VLOOKUP(H1029,商品!$A$4:$D$67,4,FALSE),0),"")</f>
        <v/>
      </c>
      <c r="AG1029" t="str">
        <f>IFERROR(J1029&amp;"*"&amp;ROUND(L1029*(K1029/$AN1029)/VLOOKUP(J1029,商品!$A$4:$D$67,4,FALSE),0),"")</f>
        <v/>
      </c>
      <c r="AH1029" t="str">
        <f>IFERROR(M1029&amp;"*"&amp;ROUND(S1029*(N1029/$AO1029)/VLOOKUP(M1029,职业!$A$3:$E$16,4,FALSE),0),"")</f>
        <v/>
      </c>
      <c r="AI1029" t="str">
        <f>IFERROR(O1029&amp;"*"&amp;ROUND(S1029*(P1029/$AO1029)/VLOOKUP(O1029,职业!$A$3:$E$16,4,FALSE),0),"")</f>
        <v/>
      </c>
      <c r="AK1029" t="str">
        <f>IFERROR(T1029&amp;"*"&amp;ROUND(X1029*(U1029/$AP1029)/VLOOKUP(T1029,商品!$A$4:$D$67,4,FALSE),0),"")</f>
        <v/>
      </c>
      <c r="AL1029" t="str">
        <f>IFERROR(V1029&amp;"*"&amp;ROUND(X1029*(W1029/$AP1029)/VLOOKUP(V1029,商品!$A$4:$D$67,4,FALSE),0),"")</f>
        <v/>
      </c>
      <c r="AN1029">
        <f t="shared" si="125"/>
        <v>0</v>
      </c>
      <c r="AO1029">
        <f t="shared" si="126"/>
        <v>0</v>
      </c>
      <c r="AP1029">
        <f t="shared" si="127"/>
        <v>0</v>
      </c>
    </row>
    <row r="1030" customHeight="1" spans="1:42">
      <c r="A1030" s="18" t="s">
        <v>475</v>
      </c>
      <c r="C1030" s="18">
        <v>2</v>
      </c>
      <c r="D1030" s="1" t="s">
        <v>222</v>
      </c>
      <c r="E1030" s="1" t="s">
        <v>226</v>
      </c>
      <c r="L1030" s="1">
        <f>IFERROR(VLOOKUP($D1030&amp;$C1030,生产方式定位!$A$2:$E$38,2,FALSE)+VLOOKUP($E1030&amp;$C1030,生产方式定位!$F$3:$J$38,2,FALSE),0)</f>
        <v>3200</v>
      </c>
      <c r="S1030" s="1">
        <f>IFERROR(VLOOKUP($D1030&amp;$C1030,生产方式定位!$A$2:$E$38,3,FALSE)+VLOOKUP($E1030&amp;$C1030,生产方式定位!$F$3:$J$38,3,FALSE),0)</f>
        <v>350</v>
      </c>
      <c r="X1030" s="1">
        <f>IFERROR(VLOOKUP($D1030&amp;$C1030,生产方式定位!$A$2:$E$38,5,FALSE)+VLOOKUP($E1030&amp;$C1030,生产方式定位!$F$3:$J$38,5,FALSE),"错误")</f>
        <v>1865</v>
      </c>
      <c r="Y1030" s="27" t="str">
        <f t="shared" si="128"/>
        <v/>
      </c>
      <c r="Z1030" s="37" t="str">
        <f t="shared" si="129"/>
        <v/>
      </c>
      <c r="AA1030" s="37" t="str">
        <f t="shared" si="130"/>
        <v/>
      </c>
      <c r="AB1030" s="28">
        <f t="shared" si="131"/>
        <v>1.72</v>
      </c>
      <c r="AC1030" s="37"/>
      <c r="AD1030" s="38">
        <f t="shared" si="132"/>
        <v>2</v>
      </c>
      <c r="AE1030" t="str">
        <f>IFERROR(F1030&amp;"*"&amp;ROUND(L1030*(G1030/$AN1030)/VLOOKUP(F1030,商品!$A$4:$D$67,4,FALSE),0),"")</f>
        <v/>
      </c>
      <c r="AF1030" t="str">
        <f>IFERROR(H1030&amp;"*"&amp;ROUND(L1030*(I1030/$AN1030)/VLOOKUP(H1030,商品!$A$4:$D$67,4,FALSE),0),"")</f>
        <v/>
      </c>
      <c r="AG1030" t="str">
        <f>IFERROR(J1030&amp;"*"&amp;ROUND(L1030*(K1030/$AN1030)/VLOOKUP(J1030,商品!$A$4:$D$67,4,FALSE),0),"")</f>
        <v/>
      </c>
      <c r="AH1030" t="str">
        <f>IFERROR(M1030&amp;"*"&amp;ROUND(S1030*(N1030/$AO1030)/VLOOKUP(M1030,职业!$A$3:$E$16,4,FALSE),0),"")</f>
        <v/>
      </c>
      <c r="AI1030" t="str">
        <f>IFERROR(O1030&amp;"*"&amp;ROUND(S1030*(P1030/$AO1030)/VLOOKUP(O1030,职业!$A$3:$E$16,4,FALSE),0),"")</f>
        <v/>
      </c>
      <c r="AK1030" t="str">
        <f>IFERROR(T1030&amp;"*"&amp;ROUND(X1030*(U1030/$AP1030)/VLOOKUP(T1030,商品!$A$4:$D$67,4,FALSE),0),"")</f>
        <v/>
      </c>
      <c r="AL1030" t="str">
        <f>IFERROR(V1030&amp;"*"&amp;ROUND(X1030*(W1030/$AP1030)/VLOOKUP(V1030,商品!$A$4:$D$67,4,FALSE),0),"")</f>
        <v/>
      </c>
      <c r="AN1030">
        <f t="shared" ref="AN1030:AN1093" si="133">G1030+I1030+K1030</f>
        <v>0</v>
      </c>
      <c r="AO1030">
        <f t="shared" ref="AO1030:AO1093" si="134">N1030+P1030+R1030</f>
        <v>0</v>
      </c>
      <c r="AP1030">
        <f t="shared" ref="AP1030:AP1093" si="135">U1030+W1030</f>
        <v>0</v>
      </c>
    </row>
    <row r="1031" customHeight="1" spans="1:42">
      <c r="A1031" s="18" t="s">
        <v>475</v>
      </c>
      <c r="C1031" s="18">
        <v>3</v>
      </c>
      <c r="D1031" s="1" t="s">
        <v>222</v>
      </c>
      <c r="E1031" s="1" t="s">
        <v>226</v>
      </c>
      <c r="L1031" s="1">
        <f>IFERROR(VLOOKUP($D1031&amp;$C1031,生产方式定位!$A$2:$E$38,2,FALSE)+VLOOKUP($E1031&amp;$C1031,生产方式定位!$F$3:$J$38,2,FALSE),0)</f>
        <v>4400</v>
      </c>
      <c r="S1031" s="1">
        <f>IFERROR(VLOOKUP($D1031&amp;$C1031,生产方式定位!$A$2:$E$38,3,FALSE)+VLOOKUP($E1031&amp;$C1031,生产方式定位!$F$3:$J$38,3,FALSE),0)</f>
        <v>200</v>
      </c>
      <c r="X1031" s="1">
        <f>IFERROR(VLOOKUP($D1031&amp;$C1031,生产方式定位!$A$2:$E$38,5,FALSE)+VLOOKUP($E1031&amp;$C1031,生产方式定位!$F$3:$J$38,5,FALSE),"错误")</f>
        <v>2560</v>
      </c>
      <c r="Y1031" s="27" t="str">
        <f t="shared" si="128"/>
        <v/>
      </c>
      <c r="Z1031" s="37" t="str">
        <f t="shared" si="129"/>
        <v/>
      </c>
      <c r="AA1031" s="37" t="str">
        <f t="shared" si="130"/>
        <v/>
      </c>
      <c r="AB1031" s="28">
        <f t="shared" si="131"/>
        <v>1.72</v>
      </c>
      <c r="AC1031" s="37"/>
      <c r="AD1031" s="38">
        <f t="shared" si="132"/>
        <v>3</v>
      </c>
      <c r="AE1031" t="str">
        <f>IFERROR(F1031&amp;"*"&amp;ROUND(L1031*(G1031/$AN1031)/VLOOKUP(F1031,商品!$A$4:$D$67,4,FALSE),0),"")</f>
        <v/>
      </c>
      <c r="AF1031" t="str">
        <f>IFERROR(H1031&amp;"*"&amp;ROUND(L1031*(I1031/$AN1031)/VLOOKUP(H1031,商品!$A$4:$D$67,4,FALSE),0),"")</f>
        <v/>
      </c>
      <c r="AG1031" t="str">
        <f>IFERROR(J1031&amp;"*"&amp;ROUND(L1031*(K1031/$AN1031)/VLOOKUP(J1031,商品!$A$4:$D$67,4,FALSE),0),"")</f>
        <v/>
      </c>
      <c r="AH1031" t="str">
        <f>IFERROR(M1031&amp;"*"&amp;ROUND(S1031*(N1031/$AO1031)/VLOOKUP(M1031,职业!$A$3:$E$16,4,FALSE),0),"")</f>
        <v/>
      </c>
      <c r="AI1031" t="str">
        <f>IFERROR(O1031&amp;"*"&amp;ROUND(S1031*(P1031/$AO1031)/VLOOKUP(O1031,职业!$A$3:$E$16,4,FALSE),0),"")</f>
        <v/>
      </c>
      <c r="AK1031" t="str">
        <f>IFERROR(T1031&amp;"*"&amp;ROUND(X1031*(U1031/$AP1031)/VLOOKUP(T1031,商品!$A$4:$D$67,4,FALSE),0),"")</f>
        <v/>
      </c>
      <c r="AL1031" t="str">
        <f>IFERROR(V1031&amp;"*"&amp;ROUND(X1031*(W1031/$AP1031)/VLOOKUP(V1031,商品!$A$4:$D$67,4,FALSE),0),"")</f>
        <v/>
      </c>
      <c r="AN1031">
        <f t="shared" si="133"/>
        <v>0</v>
      </c>
      <c r="AO1031">
        <f t="shared" si="134"/>
        <v>0</v>
      </c>
      <c r="AP1031">
        <f t="shared" si="135"/>
        <v>0</v>
      </c>
    </row>
    <row r="1032" customHeight="1" spans="1:42">
      <c r="A1032" s="18" t="s">
        <v>475</v>
      </c>
      <c r="C1032" s="18">
        <v>4</v>
      </c>
      <c r="D1032" s="1" t="s">
        <v>222</v>
      </c>
      <c r="E1032" s="1" t="s">
        <v>226</v>
      </c>
      <c r="L1032" s="1">
        <f>IFERROR(VLOOKUP($D1032&amp;$C1032,生产方式定位!$A$2:$E$38,2,FALSE)+VLOOKUP($E1032&amp;$C1032,生产方式定位!$F$3:$J$38,2,FALSE),0)</f>
        <v>5600</v>
      </c>
      <c r="S1032" s="1">
        <f>IFERROR(VLOOKUP($D1032&amp;$C1032,生产方式定位!$A$2:$E$38,3,FALSE)+VLOOKUP($E1032&amp;$C1032,生产方式定位!$F$3:$J$38,3,FALSE),0)</f>
        <v>50</v>
      </c>
      <c r="X1032" s="1">
        <f>IFERROR(VLOOKUP($D1032&amp;$C1032,生产方式定位!$A$2:$E$38,5,FALSE)+VLOOKUP($E1032&amp;$C1032,生产方式定位!$F$3:$J$38,5,FALSE),"错误")</f>
        <v>3335</v>
      </c>
      <c r="Y1032" s="27" t="str">
        <f t="shared" si="128"/>
        <v/>
      </c>
      <c r="Z1032" s="37" t="str">
        <f t="shared" si="129"/>
        <v/>
      </c>
      <c r="AA1032" s="37" t="str">
        <f t="shared" si="130"/>
        <v/>
      </c>
      <c r="AB1032" s="28">
        <f t="shared" si="131"/>
        <v>1.68</v>
      </c>
      <c r="AC1032" s="37"/>
      <c r="AD1032" s="38">
        <f t="shared" si="132"/>
        <v>4</v>
      </c>
      <c r="AE1032" t="str">
        <f>IFERROR(F1032&amp;"*"&amp;ROUND(L1032*(G1032/$AN1032)/VLOOKUP(F1032,商品!$A$4:$D$67,4,FALSE),0),"")</f>
        <v/>
      </c>
      <c r="AF1032" t="str">
        <f>IFERROR(H1032&amp;"*"&amp;ROUND(L1032*(I1032/$AN1032)/VLOOKUP(H1032,商品!$A$4:$D$67,4,FALSE),0),"")</f>
        <v/>
      </c>
      <c r="AG1032" t="str">
        <f>IFERROR(J1032&amp;"*"&amp;ROUND(L1032*(K1032/$AN1032)/VLOOKUP(J1032,商品!$A$4:$D$67,4,FALSE),0),"")</f>
        <v/>
      </c>
      <c r="AH1032" t="str">
        <f>IFERROR(M1032&amp;"*"&amp;ROUND(S1032*(N1032/$AO1032)/VLOOKUP(M1032,职业!$A$3:$E$16,4,FALSE),0),"")</f>
        <v/>
      </c>
      <c r="AI1032" t="str">
        <f>IFERROR(O1032&amp;"*"&amp;ROUND(S1032*(P1032/$AO1032)/VLOOKUP(O1032,职业!$A$3:$E$16,4,FALSE),0),"")</f>
        <v/>
      </c>
      <c r="AK1032" t="str">
        <f>IFERROR(T1032&amp;"*"&amp;ROUND(X1032*(U1032/$AP1032)/VLOOKUP(T1032,商品!$A$4:$D$67,4,FALSE),0),"")</f>
        <v/>
      </c>
      <c r="AL1032" t="str">
        <f>IFERROR(V1032&amp;"*"&amp;ROUND(X1032*(W1032/$AP1032)/VLOOKUP(V1032,商品!$A$4:$D$67,4,FALSE),0),"")</f>
        <v/>
      </c>
      <c r="AN1032">
        <f t="shared" si="133"/>
        <v>0</v>
      </c>
      <c r="AO1032">
        <f t="shared" si="134"/>
        <v>0</v>
      </c>
      <c r="AP1032">
        <f t="shared" si="135"/>
        <v>0</v>
      </c>
    </row>
    <row r="1033" customHeight="1" spans="1:42">
      <c r="A1033" s="18" t="s">
        <v>475</v>
      </c>
      <c r="C1033" s="18">
        <v>5</v>
      </c>
      <c r="D1033" s="1" t="s">
        <v>222</v>
      </c>
      <c r="E1033" s="1" t="s">
        <v>226</v>
      </c>
      <c r="L1033" s="1">
        <f>IFERROR(VLOOKUP($D1033&amp;$C1033,生产方式定位!$A$2:$E$38,2,FALSE)+VLOOKUP($E1033&amp;$C1033,生产方式定位!$F$3:$J$38,2,FALSE),0)</f>
        <v>6800</v>
      </c>
      <c r="S1033" s="1">
        <f>IFERROR(VLOOKUP($D1033&amp;$C1033,生产方式定位!$A$2:$E$38,3,FALSE)+VLOOKUP($E1033&amp;$C1033,生产方式定位!$F$3:$J$38,3,FALSE),0)</f>
        <v>-100</v>
      </c>
      <c r="X1033" s="1">
        <f>IFERROR(VLOOKUP($D1033&amp;$C1033,生产方式定位!$A$2:$E$38,5,FALSE)+VLOOKUP($E1033&amp;$C1033,生产方式定位!$F$3:$J$38,5,FALSE),"错误")</f>
        <v>4190</v>
      </c>
      <c r="Y1033" s="27" t="str">
        <f t="shared" si="128"/>
        <v/>
      </c>
      <c r="Z1033" s="37" t="str">
        <f t="shared" si="129"/>
        <v/>
      </c>
      <c r="AA1033" s="37" t="str">
        <f t="shared" si="130"/>
        <v/>
      </c>
      <c r="AB1033" s="28">
        <f t="shared" si="131"/>
        <v>1.62</v>
      </c>
      <c r="AC1033" s="37"/>
      <c r="AD1033" s="38">
        <f t="shared" si="132"/>
        <v>5</v>
      </c>
      <c r="AE1033" t="str">
        <f>IFERROR(F1033&amp;"*"&amp;ROUND(L1033*(G1033/$AN1033)/VLOOKUP(F1033,商品!$A$4:$D$67,4,FALSE),0),"")</f>
        <v/>
      </c>
      <c r="AF1033" t="str">
        <f>IFERROR(H1033&amp;"*"&amp;ROUND(L1033*(I1033/$AN1033)/VLOOKUP(H1033,商品!$A$4:$D$67,4,FALSE),0),"")</f>
        <v/>
      </c>
      <c r="AG1033" t="str">
        <f>IFERROR(J1033&amp;"*"&amp;ROUND(L1033*(K1033/$AN1033)/VLOOKUP(J1033,商品!$A$4:$D$67,4,FALSE),0),"")</f>
        <v/>
      </c>
      <c r="AH1033" t="str">
        <f>IFERROR(M1033&amp;"*"&amp;ROUND(S1033*(N1033/$AO1033)/VLOOKUP(M1033,职业!$A$3:$E$16,4,FALSE),0),"")</f>
        <v/>
      </c>
      <c r="AI1033" t="str">
        <f>IFERROR(O1033&amp;"*"&amp;ROUND(S1033*(P1033/$AO1033)/VLOOKUP(O1033,职业!$A$3:$E$16,4,FALSE),0),"")</f>
        <v/>
      </c>
      <c r="AK1033" t="str">
        <f>IFERROR(T1033&amp;"*"&amp;ROUND(X1033*(U1033/$AP1033)/VLOOKUP(T1033,商品!$A$4:$D$67,4,FALSE),0),"")</f>
        <v/>
      </c>
      <c r="AL1033" t="str">
        <f>IFERROR(V1033&amp;"*"&amp;ROUND(X1033*(W1033/$AP1033)/VLOOKUP(V1033,商品!$A$4:$D$67,4,FALSE),0),"")</f>
        <v/>
      </c>
      <c r="AN1033">
        <f t="shared" si="133"/>
        <v>0</v>
      </c>
      <c r="AO1033">
        <f t="shared" si="134"/>
        <v>0</v>
      </c>
      <c r="AP1033">
        <f t="shared" si="135"/>
        <v>0</v>
      </c>
    </row>
    <row r="1034" customHeight="1" spans="1:42">
      <c r="A1034" s="5" t="s">
        <v>475</v>
      </c>
      <c r="C1034" s="5">
        <v>1</v>
      </c>
      <c r="D1034" s="1" t="s">
        <v>222</v>
      </c>
      <c r="E1034" s="1" t="s">
        <v>226</v>
      </c>
      <c r="L1034" s="1">
        <f>IFERROR(VLOOKUP($D1034&amp;$C1034,生产方式定位!$A$2:$E$38,2,FALSE)+VLOOKUP($E1034&amp;$C1034,生产方式定位!$F$3:$J$38,2,FALSE),0)</f>
        <v>0</v>
      </c>
      <c r="S1034" s="1">
        <f>IFERROR(VLOOKUP($D1034&amp;$C1034,生产方式定位!$A$2:$E$38,3,FALSE)+VLOOKUP($E1034&amp;$C1034,生产方式定位!$F$3:$J$38,3,FALSE),0)</f>
        <v>500</v>
      </c>
      <c r="X1034" s="1">
        <f>IFERROR(VLOOKUP($D1034&amp;$C1034,生产方式定位!$A$2:$E$38,5,FALSE)+VLOOKUP($E1034&amp;$C1034,生产方式定位!$F$3:$J$38,5,FALSE),"错误")</f>
        <v>250</v>
      </c>
      <c r="Y1034" s="27" t="str">
        <f t="shared" si="128"/>
        <v/>
      </c>
      <c r="Z1034" s="37" t="str">
        <f t="shared" si="129"/>
        <v/>
      </c>
      <c r="AA1034" s="37" t="str">
        <f t="shared" si="130"/>
        <v/>
      </c>
      <c r="AB1034" s="28">
        <f t="shared" si="131"/>
        <v>0</v>
      </c>
      <c r="AC1034" s="37"/>
      <c r="AD1034" s="38">
        <f t="shared" si="132"/>
        <v>1</v>
      </c>
      <c r="AE1034" t="str">
        <f>IFERROR(F1034&amp;"*"&amp;ROUND(L1034*(G1034/$AN1034)/VLOOKUP(F1034,商品!$A$4:$D$67,4,FALSE),0),"")</f>
        <v/>
      </c>
      <c r="AF1034" t="str">
        <f>IFERROR(H1034&amp;"*"&amp;ROUND(L1034*(I1034/$AN1034)/VLOOKUP(H1034,商品!$A$4:$D$67,4,FALSE),0),"")</f>
        <v/>
      </c>
      <c r="AG1034" t="str">
        <f>IFERROR(J1034&amp;"*"&amp;ROUND(L1034*(K1034/$AN1034)/VLOOKUP(J1034,商品!$A$4:$D$67,4,FALSE),0),"")</f>
        <v/>
      </c>
      <c r="AH1034" t="str">
        <f>IFERROR(M1034&amp;"*"&amp;ROUND(S1034*(N1034/$AO1034)/VLOOKUP(M1034,职业!$A$3:$E$16,4,FALSE),0),"")</f>
        <v/>
      </c>
      <c r="AI1034" t="str">
        <f>IFERROR(O1034&amp;"*"&amp;ROUND(S1034*(P1034/$AO1034)/VLOOKUP(O1034,职业!$A$3:$E$16,4,FALSE),0),"")</f>
        <v/>
      </c>
      <c r="AK1034" t="str">
        <f>IFERROR(T1034&amp;"*"&amp;ROUND(X1034*(U1034/$AP1034)/VLOOKUP(T1034,商品!$A$4:$D$67,4,FALSE),0),"")</f>
        <v/>
      </c>
      <c r="AL1034" t="str">
        <f>IFERROR(V1034&amp;"*"&amp;ROUND(X1034*(W1034/$AP1034)/VLOOKUP(V1034,商品!$A$4:$D$67,4,FALSE),0),"")</f>
        <v/>
      </c>
      <c r="AN1034">
        <f t="shared" si="133"/>
        <v>0</v>
      </c>
      <c r="AO1034">
        <f t="shared" si="134"/>
        <v>0</v>
      </c>
      <c r="AP1034">
        <f t="shared" si="135"/>
        <v>0</v>
      </c>
    </row>
    <row r="1035" customHeight="1" spans="1:42">
      <c r="A1035" s="5" t="s">
        <v>475</v>
      </c>
      <c r="C1035" s="5">
        <v>2</v>
      </c>
      <c r="D1035" s="1" t="s">
        <v>222</v>
      </c>
      <c r="E1035" s="1" t="s">
        <v>226</v>
      </c>
      <c r="L1035" s="1">
        <f>IFERROR(VLOOKUP($D1035&amp;$C1035,生产方式定位!$A$2:$E$38,2,FALSE)+VLOOKUP($E1035&amp;$C1035,生产方式定位!$F$3:$J$38,2,FALSE),0)</f>
        <v>3200</v>
      </c>
      <c r="S1035" s="1">
        <f>IFERROR(VLOOKUP($D1035&amp;$C1035,生产方式定位!$A$2:$E$38,3,FALSE)+VLOOKUP($E1035&amp;$C1035,生产方式定位!$F$3:$J$38,3,FALSE),0)</f>
        <v>350</v>
      </c>
      <c r="X1035" s="1">
        <f>IFERROR(VLOOKUP($D1035&amp;$C1035,生产方式定位!$A$2:$E$38,5,FALSE)+VLOOKUP($E1035&amp;$C1035,生产方式定位!$F$3:$J$38,5,FALSE),"错误")</f>
        <v>1865</v>
      </c>
      <c r="Y1035" s="27" t="str">
        <f t="shared" si="128"/>
        <v/>
      </c>
      <c r="Z1035" s="37" t="str">
        <f t="shared" si="129"/>
        <v/>
      </c>
      <c r="AA1035" s="37" t="str">
        <f t="shared" si="130"/>
        <v/>
      </c>
      <c r="AB1035" s="28">
        <f t="shared" si="131"/>
        <v>1.72</v>
      </c>
      <c r="AC1035" s="37"/>
      <c r="AD1035" s="38">
        <f t="shared" si="132"/>
        <v>2</v>
      </c>
      <c r="AE1035" t="str">
        <f>IFERROR(F1035&amp;"*"&amp;ROUND(L1035*(G1035/$AN1035)/VLOOKUP(F1035,商品!$A$4:$D$67,4,FALSE),0),"")</f>
        <v/>
      </c>
      <c r="AF1035" t="str">
        <f>IFERROR(H1035&amp;"*"&amp;ROUND(L1035*(I1035/$AN1035)/VLOOKUP(H1035,商品!$A$4:$D$67,4,FALSE),0),"")</f>
        <v/>
      </c>
      <c r="AG1035" t="str">
        <f>IFERROR(J1035&amp;"*"&amp;ROUND(L1035*(K1035/$AN1035)/VLOOKUP(J1035,商品!$A$4:$D$67,4,FALSE),0),"")</f>
        <v/>
      </c>
      <c r="AH1035" t="str">
        <f>IFERROR(M1035&amp;"*"&amp;ROUND(S1035*(N1035/$AO1035)/VLOOKUP(M1035,职业!$A$3:$E$16,4,FALSE),0),"")</f>
        <v/>
      </c>
      <c r="AI1035" t="str">
        <f>IFERROR(O1035&amp;"*"&amp;ROUND(S1035*(P1035/$AO1035)/VLOOKUP(O1035,职业!$A$3:$E$16,4,FALSE),0),"")</f>
        <v/>
      </c>
      <c r="AK1035" t="str">
        <f>IFERROR(T1035&amp;"*"&amp;ROUND(X1035*(U1035/$AP1035)/VLOOKUP(T1035,商品!$A$4:$D$67,4,FALSE),0),"")</f>
        <v/>
      </c>
      <c r="AL1035" t="str">
        <f>IFERROR(V1035&amp;"*"&amp;ROUND(X1035*(W1035/$AP1035)/VLOOKUP(V1035,商品!$A$4:$D$67,4,FALSE),0),"")</f>
        <v/>
      </c>
      <c r="AN1035">
        <f t="shared" si="133"/>
        <v>0</v>
      </c>
      <c r="AO1035">
        <f t="shared" si="134"/>
        <v>0</v>
      </c>
      <c r="AP1035">
        <f t="shared" si="135"/>
        <v>0</v>
      </c>
    </row>
    <row r="1036" customHeight="1" spans="1:42">
      <c r="A1036" s="5" t="s">
        <v>475</v>
      </c>
      <c r="C1036" s="5">
        <v>3</v>
      </c>
      <c r="D1036" s="1" t="s">
        <v>222</v>
      </c>
      <c r="E1036" s="1" t="s">
        <v>226</v>
      </c>
      <c r="L1036" s="1">
        <f>IFERROR(VLOOKUP($D1036&amp;$C1036,生产方式定位!$A$2:$E$38,2,FALSE)+VLOOKUP($E1036&amp;$C1036,生产方式定位!$F$3:$J$38,2,FALSE),0)</f>
        <v>4400</v>
      </c>
      <c r="S1036" s="1">
        <f>IFERROR(VLOOKUP($D1036&amp;$C1036,生产方式定位!$A$2:$E$38,3,FALSE)+VLOOKUP($E1036&amp;$C1036,生产方式定位!$F$3:$J$38,3,FALSE),0)</f>
        <v>200</v>
      </c>
      <c r="X1036" s="1">
        <f>IFERROR(VLOOKUP($D1036&amp;$C1036,生产方式定位!$A$2:$E$38,5,FALSE)+VLOOKUP($E1036&amp;$C1036,生产方式定位!$F$3:$J$38,5,FALSE),"错误")</f>
        <v>2560</v>
      </c>
      <c r="Y1036" s="27" t="str">
        <f t="shared" si="128"/>
        <v/>
      </c>
      <c r="Z1036" s="37" t="str">
        <f t="shared" si="129"/>
        <v/>
      </c>
      <c r="AA1036" s="37" t="str">
        <f t="shared" si="130"/>
        <v/>
      </c>
      <c r="AB1036" s="28">
        <f t="shared" si="131"/>
        <v>1.72</v>
      </c>
      <c r="AC1036" s="37"/>
      <c r="AD1036" s="38">
        <f t="shared" si="132"/>
        <v>3</v>
      </c>
      <c r="AE1036" t="str">
        <f>IFERROR(F1036&amp;"*"&amp;ROUND(L1036*(G1036/$AN1036)/VLOOKUP(F1036,商品!$A$4:$D$67,4,FALSE),0),"")</f>
        <v/>
      </c>
      <c r="AF1036" t="str">
        <f>IFERROR(H1036&amp;"*"&amp;ROUND(L1036*(I1036/$AN1036)/VLOOKUP(H1036,商品!$A$4:$D$67,4,FALSE),0),"")</f>
        <v/>
      </c>
      <c r="AG1036" t="str">
        <f>IFERROR(J1036&amp;"*"&amp;ROUND(L1036*(K1036/$AN1036)/VLOOKUP(J1036,商品!$A$4:$D$67,4,FALSE),0),"")</f>
        <v/>
      </c>
      <c r="AH1036" t="str">
        <f>IFERROR(M1036&amp;"*"&amp;ROUND(S1036*(N1036/$AO1036)/VLOOKUP(M1036,职业!$A$3:$E$16,4,FALSE),0),"")</f>
        <v/>
      </c>
      <c r="AI1036" t="str">
        <f>IFERROR(O1036&amp;"*"&amp;ROUND(S1036*(P1036/$AO1036)/VLOOKUP(O1036,职业!$A$3:$E$16,4,FALSE),0),"")</f>
        <v/>
      </c>
      <c r="AK1036" t="str">
        <f>IFERROR(T1036&amp;"*"&amp;ROUND(X1036*(U1036/$AP1036)/VLOOKUP(T1036,商品!$A$4:$D$67,4,FALSE),0),"")</f>
        <v/>
      </c>
      <c r="AL1036" t="str">
        <f>IFERROR(V1036&amp;"*"&amp;ROUND(X1036*(W1036/$AP1036)/VLOOKUP(V1036,商品!$A$4:$D$67,4,FALSE),0),"")</f>
        <v/>
      </c>
      <c r="AN1036">
        <f t="shared" si="133"/>
        <v>0</v>
      </c>
      <c r="AO1036">
        <f t="shared" si="134"/>
        <v>0</v>
      </c>
      <c r="AP1036">
        <f t="shared" si="135"/>
        <v>0</v>
      </c>
    </row>
    <row r="1037" customHeight="1" spans="1:42">
      <c r="A1037" s="5" t="s">
        <v>475</v>
      </c>
      <c r="C1037" s="5">
        <v>4</v>
      </c>
      <c r="D1037" s="1" t="s">
        <v>222</v>
      </c>
      <c r="E1037" s="1" t="s">
        <v>226</v>
      </c>
      <c r="L1037" s="1">
        <f>IFERROR(VLOOKUP($D1037&amp;$C1037,生产方式定位!$A$2:$E$38,2,FALSE)+VLOOKUP($E1037&amp;$C1037,生产方式定位!$F$3:$J$38,2,FALSE),0)</f>
        <v>5600</v>
      </c>
      <c r="S1037" s="1">
        <f>IFERROR(VLOOKUP($D1037&amp;$C1037,生产方式定位!$A$2:$E$38,3,FALSE)+VLOOKUP($E1037&amp;$C1037,生产方式定位!$F$3:$J$38,3,FALSE),0)</f>
        <v>50</v>
      </c>
      <c r="X1037" s="1">
        <f>IFERROR(VLOOKUP($D1037&amp;$C1037,生产方式定位!$A$2:$E$38,5,FALSE)+VLOOKUP($E1037&amp;$C1037,生产方式定位!$F$3:$J$38,5,FALSE),"错误")</f>
        <v>3335</v>
      </c>
      <c r="Y1037" s="27" t="str">
        <f t="shared" si="128"/>
        <v/>
      </c>
      <c r="Z1037" s="37" t="str">
        <f t="shared" si="129"/>
        <v/>
      </c>
      <c r="AA1037" s="37" t="str">
        <f t="shared" si="130"/>
        <v/>
      </c>
      <c r="AB1037" s="28">
        <f t="shared" si="131"/>
        <v>1.68</v>
      </c>
      <c r="AC1037" s="37"/>
      <c r="AD1037" s="38">
        <f t="shared" si="132"/>
        <v>4</v>
      </c>
      <c r="AE1037" t="str">
        <f>IFERROR(F1037&amp;"*"&amp;ROUND(L1037*(G1037/$AN1037)/VLOOKUP(F1037,商品!$A$4:$D$67,4,FALSE),0),"")</f>
        <v/>
      </c>
      <c r="AF1037" t="str">
        <f>IFERROR(H1037&amp;"*"&amp;ROUND(L1037*(I1037/$AN1037)/VLOOKUP(H1037,商品!$A$4:$D$67,4,FALSE),0),"")</f>
        <v/>
      </c>
      <c r="AG1037" t="str">
        <f>IFERROR(J1037&amp;"*"&amp;ROUND(L1037*(K1037/$AN1037)/VLOOKUP(J1037,商品!$A$4:$D$67,4,FALSE),0),"")</f>
        <v/>
      </c>
      <c r="AH1037" t="str">
        <f>IFERROR(M1037&amp;"*"&amp;ROUND(S1037*(N1037/$AO1037)/VLOOKUP(M1037,职业!$A$3:$E$16,4,FALSE),0),"")</f>
        <v/>
      </c>
      <c r="AI1037" t="str">
        <f>IFERROR(O1037&amp;"*"&amp;ROUND(S1037*(P1037/$AO1037)/VLOOKUP(O1037,职业!$A$3:$E$16,4,FALSE),0),"")</f>
        <v/>
      </c>
      <c r="AK1037" t="str">
        <f>IFERROR(T1037&amp;"*"&amp;ROUND(X1037*(U1037/$AP1037)/VLOOKUP(T1037,商品!$A$4:$D$67,4,FALSE),0),"")</f>
        <v/>
      </c>
      <c r="AL1037" t="str">
        <f>IFERROR(V1037&amp;"*"&amp;ROUND(X1037*(W1037/$AP1037)/VLOOKUP(V1037,商品!$A$4:$D$67,4,FALSE),0),"")</f>
        <v/>
      </c>
      <c r="AN1037">
        <f t="shared" si="133"/>
        <v>0</v>
      </c>
      <c r="AO1037">
        <f t="shared" si="134"/>
        <v>0</v>
      </c>
      <c r="AP1037">
        <f t="shared" si="135"/>
        <v>0</v>
      </c>
    </row>
    <row r="1038" customHeight="1" spans="1:42">
      <c r="A1038" s="5" t="s">
        <v>475</v>
      </c>
      <c r="C1038" s="5">
        <v>5</v>
      </c>
      <c r="D1038" s="1" t="s">
        <v>222</v>
      </c>
      <c r="E1038" s="1" t="s">
        <v>226</v>
      </c>
      <c r="L1038" s="1">
        <f>IFERROR(VLOOKUP($D1038&amp;$C1038,生产方式定位!$A$2:$E$38,2,FALSE)+VLOOKUP($E1038&amp;$C1038,生产方式定位!$F$3:$J$38,2,FALSE),0)</f>
        <v>6800</v>
      </c>
      <c r="S1038" s="1">
        <f>IFERROR(VLOOKUP($D1038&amp;$C1038,生产方式定位!$A$2:$E$38,3,FALSE)+VLOOKUP($E1038&amp;$C1038,生产方式定位!$F$3:$J$38,3,FALSE),0)</f>
        <v>-100</v>
      </c>
      <c r="X1038" s="1">
        <f>IFERROR(VLOOKUP($D1038&amp;$C1038,生产方式定位!$A$2:$E$38,5,FALSE)+VLOOKUP($E1038&amp;$C1038,生产方式定位!$F$3:$J$38,5,FALSE),"错误")</f>
        <v>4190</v>
      </c>
      <c r="Y1038" s="27" t="str">
        <f t="shared" si="128"/>
        <v/>
      </c>
      <c r="Z1038" s="37" t="str">
        <f t="shared" si="129"/>
        <v/>
      </c>
      <c r="AA1038" s="37" t="str">
        <f t="shared" si="130"/>
        <v/>
      </c>
      <c r="AB1038" s="28">
        <f t="shared" si="131"/>
        <v>1.62</v>
      </c>
      <c r="AC1038" s="37"/>
      <c r="AD1038" s="38">
        <f t="shared" si="132"/>
        <v>5</v>
      </c>
      <c r="AE1038" t="str">
        <f>IFERROR(F1038&amp;"*"&amp;ROUND(L1038*(G1038/$AN1038)/VLOOKUP(F1038,商品!$A$4:$D$67,4,FALSE),0),"")</f>
        <v/>
      </c>
      <c r="AF1038" t="str">
        <f>IFERROR(H1038&amp;"*"&amp;ROUND(L1038*(I1038/$AN1038)/VLOOKUP(H1038,商品!$A$4:$D$67,4,FALSE),0),"")</f>
        <v/>
      </c>
      <c r="AG1038" t="str">
        <f>IFERROR(J1038&amp;"*"&amp;ROUND(L1038*(K1038/$AN1038)/VLOOKUP(J1038,商品!$A$4:$D$67,4,FALSE),0),"")</f>
        <v/>
      </c>
      <c r="AH1038" t="str">
        <f>IFERROR(M1038&amp;"*"&amp;ROUND(S1038*(N1038/$AO1038)/VLOOKUP(M1038,职业!$A$3:$E$16,4,FALSE),0),"")</f>
        <v/>
      </c>
      <c r="AI1038" t="str">
        <f>IFERROR(O1038&amp;"*"&amp;ROUND(S1038*(P1038/$AO1038)/VLOOKUP(O1038,职业!$A$3:$E$16,4,FALSE),0),"")</f>
        <v/>
      </c>
      <c r="AK1038" t="str">
        <f>IFERROR(T1038&amp;"*"&amp;ROUND(X1038*(U1038/$AP1038)/VLOOKUP(T1038,商品!$A$4:$D$67,4,FALSE),0),"")</f>
        <v/>
      </c>
      <c r="AL1038" t="str">
        <f>IFERROR(V1038&amp;"*"&amp;ROUND(X1038*(W1038/$AP1038)/VLOOKUP(V1038,商品!$A$4:$D$67,4,FALSE),0),"")</f>
        <v/>
      </c>
      <c r="AN1038">
        <f t="shared" si="133"/>
        <v>0</v>
      </c>
      <c r="AO1038">
        <f t="shared" si="134"/>
        <v>0</v>
      </c>
      <c r="AP1038">
        <f t="shared" si="135"/>
        <v>0</v>
      </c>
    </row>
    <row r="1039" customHeight="1" spans="1:42">
      <c r="A1039" s="18" t="s">
        <v>476</v>
      </c>
      <c r="C1039" s="18">
        <v>1</v>
      </c>
      <c r="D1039" s="1" t="s">
        <v>293</v>
      </c>
      <c r="E1039" s="1" t="s">
        <v>227</v>
      </c>
      <c r="L1039" s="1">
        <f>IFERROR(VLOOKUP($D1039&amp;$C1039,生产方式定位!$A$2:$E$38,2,FALSE)+VLOOKUP($E1039&amp;$C1039,生产方式定位!$F$3:$J$38,2,FALSE),0)</f>
        <v>0</v>
      </c>
      <c r="S1039" s="1">
        <f>IFERROR(VLOOKUP($D1039&amp;$C1039,生产方式定位!$A$2:$E$38,3,FALSE)+VLOOKUP($E1039&amp;$C1039,生产方式定位!$F$3:$J$38,3,FALSE),0)</f>
        <v>0</v>
      </c>
      <c r="X1039" s="1">
        <f>IFERROR(VLOOKUP($D1039&amp;$C1039,生产方式定位!$A$2:$E$38,5,FALSE)+VLOOKUP($E1039&amp;$C1039,生产方式定位!$F$3:$J$38,5,FALSE),"错误")</f>
        <v>0</v>
      </c>
      <c r="Y1039" s="27" t="str">
        <f t="shared" si="128"/>
        <v/>
      </c>
      <c r="Z1039" s="37" t="str">
        <f t="shared" si="129"/>
        <v/>
      </c>
      <c r="AA1039" s="37" t="str">
        <f t="shared" si="130"/>
        <v/>
      </c>
      <c r="AB1039" s="28" t="str">
        <f t="shared" si="131"/>
        <v/>
      </c>
      <c r="AC1039" s="37"/>
      <c r="AD1039" s="38">
        <f t="shared" si="132"/>
        <v>1</v>
      </c>
      <c r="AE1039" t="str">
        <f>IFERROR(F1039&amp;"*"&amp;ROUND(L1039*(G1039/$AN1039)/VLOOKUP(F1039,商品!$A$4:$D$67,4,FALSE),0),"")</f>
        <v/>
      </c>
      <c r="AF1039" t="str">
        <f>IFERROR(H1039&amp;"*"&amp;ROUND(L1039*(I1039/$AN1039)/VLOOKUP(H1039,商品!$A$4:$D$67,4,FALSE),0),"")</f>
        <v/>
      </c>
      <c r="AG1039" t="str">
        <f>IFERROR(J1039&amp;"*"&amp;ROUND(L1039*(K1039/$AN1039)/VLOOKUP(J1039,商品!$A$4:$D$67,4,FALSE),0),"")</f>
        <v/>
      </c>
      <c r="AH1039" t="str">
        <f>IFERROR(M1039&amp;"*"&amp;ROUND(S1039*(N1039/$AO1039)/VLOOKUP(M1039,职业!$A$3:$E$16,4,FALSE),0),"")</f>
        <v/>
      </c>
      <c r="AI1039" t="str">
        <f>IFERROR(O1039&amp;"*"&amp;ROUND(S1039*(P1039/$AO1039)/VLOOKUP(O1039,职业!$A$3:$E$16,4,FALSE),0),"")</f>
        <v/>
      </c>
      <c r="AK1039" t="str">
        <f>IFERROR(T1039&amp;"*"&amp;ROUND(X1039*(U1039/$AP1039)/VLOOKUP(T1039,商品!$A$4:$D$67,4,FALSE),0),"")</f>
        <v/>
      </c>
      <c r="AL1039" t="str">
        <f>IFERROR(V1039&amp;"*"&amp;ROUND(X1039*(W1039/$AP1039)/VLOOKUP(V1039,商品!$A$4:$D$67,4,FALSE),0),"")</f>
        <v/>
      </c>
      <c r="AN1039">
        <f t="shared" si="133"/>
        <v>0</v>
      </c>
      <c r="AO1039">
        <f t="shared" si="134"/>
        <v>0</v>
      </c>
      <c r="AP1039">
        <f t="shared" si="135"/>
        <v>0</v>
      </c>
    </row>
    <row r="1040" customHeight="1" spans="1:42">
      <c r="A1040" s="18" t="s">
        <v>476</v>
      </c>
      <c r="C1040" s="18">
        <v>2</v>
      </c>
      <c r="D1040" s="1" t="s">
        <v>293</v>
      </c>
      <c r="E1040" s="1" t="s">
        <v>227</v>
      </c>
      <c r="L1040" s="1">
        <f>IFERROR(VLOOKUP($D1040&amp;$C1040,生产方式定位!$A$2:$E$38,2,FALSE)+VLOOKUP($E1040&amp;$C1040,生产方式定位!$F$3:$J$38,2,FALSE),0)</f>
        <v>0</v>
      </c>
      <c r="S1040" s="1">
        <f>IFERROR(VLOOKUP($D1040&amp;$C1040,生产方式定位!$A$2:$E$38,3,FALSE)+VLOOKUP($E1040&amp;$C1040,生产方式定位!$F$3:$J$38,3,FALSE),0)</f>
        <v>0</v>
      </c>
      <c r="X1040" s="1">
        <f>IFERROR(VLOOKUP($D1040&amp;$C1040,生产方式定位!$A$2:$E$38,5,FALSE)+VLOOKUP($E1040&amp;$C1040,生产方式定位!$F$3:$J$38,5,FALSE),"错误")</f>
        <v>0</v>
      </c>
      <c r="Y1040" s="27" t="str">
        <f t="shared" si="128"/>
        <v/>
      </c>
      <c r="Z1040" s="37" t="str">
        <f t="shared" si="129"/>
        <v/>
      </c>
      <c r="AA1040" s="37" t="str">
        <f t="shared" si="130"/>
        <v/>
      </c>
      <c r="AB1040" s="28" t="str">
        <f t="shared" si="131"/>
        <v/>
      </c>
      <c r="AC1040" s="37"/>
      <c r="AD1040" s="38">
        <f t="shared" si="132"/>
        <v>2</v>
      </c>
      <c r="AE1040" t="str">
        <f>IFERROR(F1040&amp;"*"&amp;ROUND(L1040*(G1040/$AN1040)/VLOOKUP(F1040,商品!$A$4:$D$67,4,FALSE),0),"")</f>
        <v/>
      </c>
      <c r="AF1040" t="str">
        <f>IFERROR(H1040&amp;"*"&amp;ROUND(L1040*(I1040/$AN1040)/VLOOKUP(H1040,商品!$A$4:$D$67,4,FALSE),0),"")</f>
        <v/>
      </c>
      <c r="AG1040" t="str">
        <f>IFERROR(J1040&amp;"*"&amp;ROUND(L1040*(K1040/$AN1040)/VLOOKUP(J1040,商品!$A$4:$D$67,4,FALSE),0),"")</f>
        <v/>
      </c>
      <c r="AH1040" t="str">
        <f>IFERROR(M1040&amp;"*"&amp;ROUND(S1040*(N1040/$AO1040)/VLOOKUP(M1040,职业!$A$3:$E$16,4,FALSE),0),"")</f>
        <v/>
      </c>
      <c r="AI1040" t="str">
        <f>IFERROR(O1040&amp;"*"&amp;ROUND(S1040*(P1040/$AO1040)/VLOOKUP(O1040,职业!$A$3:$E$16,4,FALSE),0),"")</f>
        <v/>
      </c>
      <c r="AK1040" t="str">
        <f>IFERROR(T1040&amp;"*"&amp;ROUND(X1040*(U1040/$AP1040)/VLOOKUP(T1040,商品!$A$4:$D$67,4,FALSE),0),"")</f>
        <v/>
      </c>
      <c r="AL1040" t="str">
        <f>IFERROR(V1040&amp;"*"&amp;ROUND(X1040*(W1040/$AP1040)/VLOOKUP(V1040,商品!$A$4:$D$67,4,FALSE),0),"")</f>
        <v/>
      </c>
      <c r="AN1040">
        <f t="shared" si="133"/>
        <v>0</v>
      </c>
      <c r="AO1040">
        <f t="shared" si="134"/>
        <v>0</v>
      </c>
      <c r="AP1040">
        <f t="shared" si="135"/>
        <v>0</v>
      </c>
    </row>
    <row r="1041" customHeight="1" spans="1:42">
      <c r="A1041" s="18" t="s">
        <v>476</v>
      </c>
      <c r="C1041" s="18">
        <v>3</v>
      </c>
      <c r="D1041" s="1" t="s">
        <v>293</v>
      </c>
      <c r="E1041" s="1" t="s">
        <v>227</v>
      </c>
      <c r="L1041" s="1">
        <f>IFERROR(VLOOKUP($D1041&amp;$C1041,生产方式定位!$A$2:$E$38,2,FALSE)+VLOOKUP($E1041&amp;$C1041,生产方式定位!$F$3:$J$38,2,FALSE),0)</f>
        <v>0</v>
      </c>
      <c r="S1041" s="1">
        <f>IFERROR(VLOOKUP($D1041&amp;$C1041,生产方式定位!$A$2:$E$38,3,FALSE)+VLOOKUP($E1041&amp;$C1041,生产方式定位!$F$3:$J$38,3,FALSE),0)</f>
        <v>0</v>
      </c>
      <c r="X1041" s="1">
        <f>IFERROR(VLOOKUP($D1041&amp;$C1041,生产方式定位!$A$2:$E$38,5,FALSE)+VLOOKUP($E1041&amp;$C1041,生产方式定位!$F$3:$J$38,5,FALSE),"错误")</f>
        <v>0</v>
      </c>
      <c r="Y1041" s="27" t="str">
        <f t="shared" si="128"/>
        <v/>
      </c>
      <c r="Z1041" s="37" t="str">
        <f t="shared" si="129"/>
        <v/>
      </c>
      <c r="AA1041" s="37" t="str">
        <f t="shared" si="130"/>
        <v/>
      </c>
      <c r="AB1041" s="28" t="str">
        <f t="shared" si="131"/>
        <v/>
      </c>
      <c r="AC1041" s="37"/>
      <c r="AD1041" s="38">
        <f t="shared" si="132"/>
        <v>3</v>
      </c>
      <c r="AE1041" t="str">
        <f>IFERROR(F1041&amp;"*"&amp;ROUND(L1041*(G1041/$AN1041)/VLOOKUP(F1041,商品!$A$4:$D$67,4,FALSE),0),"")</f>
        <v/>
      </c>
      <c r="AF1041" t="str">
        <f>IFERROR(H1041&amp;"*"&amp;ROUND(L1041*(I1041/$AN1041)/VLOOKUP(H1041,商品!$A$4:$D$67,4,FALSE),0),"")</f>
        <v/>
      </c>
      <c r="AG1041" t="str">
        <f>IFERROR(J1041&amp;"*"&amp;ROUND(L1041*(K1041/$AN1041)/VLOOKUP(J1041,商品!$A$4:$D$67,4,FALSE),0),"")</f>
        <v/>
      </c>
      <c r="AH1041" t="str">
        <f>IFERROR(M1041&amp;"*"&amp;ROUND(S1041*(N1041/$AO1041)/VLOOKUP(M1041,职业!$A$3:$E$16,4,FALSE),0),"")</f>
        <v/>
      </c>
      <c r="AI1041" t="str">
        <f>IFERROR(O1041&amp;"*"&amp;ROUND(S1041*(P1041/$AO1041)/VLOOKUP(O1041,职业!$A$3:$E$16,4,FALSE),0),"")</f>
        <v/>
      </c>
      <c r="AK1041" t="str">
        <f>IFERROR(T1041&amp;"*"&amp;ROUND(X1041*(U1041/$AP1041)/VLOOKUP(T1041,商品!$A$4:$D$67,4,FALSE),0),"")</f>
        <v/>
      </c>
      <c r="AL1041" t="str">
        <f>IFERROR(V1041&amp;"*"&amp;ROUND(X1041*(W1041/$AP1041)/VLOOKUP(V1041,商品!$A$4:$D$67,4,FALSE),0),"")</f>
        <v/>
      </c>
      <c r="AN1041">
        <f t="shared" si="133"/>
        <v>0</v>
      </c>
      <c r="AO1041">
        <f t="shared" si="134"/>
        <v>0</v>
      </c>
      <c r="AP1041">
        <f t="shared" si="135"/>
        <v>0</v>
      </c>
    </row>
    <row r="1042" customHeight="1" spans="1:42">
      <c r="A1042" s="18" t="s">
        <v>476</v>
      </c>
      <c r="C1042" s="18">
        <v>4</v>
      </c>
      <c r="D1042" s="1" t="s">
        <v>293</v>
      </c>
      <c r="E1042" s="1" t="s">
        <v>227</v>
      </c>
      <c r="L1042" s="1">
        <f>IFERROR(VLOOKUP($D1042&amp;$C1042,生产方式定位!$A$2:$E$38,2,FALSE)+VLOOKUP($E1042&amp;$C1042,生产方式定位!$F$3:$J$38,2,FALSE),0)</f>
        <v>0</v>
      </c>
      <c r="S1042" s="1">
        <f>IFERROR(VLOOKUP($D1042&amp;$C1042,生产方式定位!$A$2:$E$38,3,FALSE)+VLOOKUP($E1042&amp;$C1042,生产方式定位!$F$3:$J$38,3,FALSE),0)</f>
        <v>0</v>
      </c>
      <c r="X1042" s="1">
        <f>IFERROR(VLOOKUP($D1042&amp;$C1042,生产方式定位!$A$2:$E$38,5,FALSE)+VLOOKUP($E1042&amp;$C1042,生产方式定位!$F$3:$J$38,5,FALSE),"错误")</f>
        <v>0</v>
      </c>
      <c r="Y1042" s="27" t="str">
        <f t="shared" si="128"/>
        <v/>
      </c>
      <c r="Z1042" s="37" t="str">
        <f t="shared" si="129"/>
        <v/>
      </c>
      <c r="AA1042" s="37" t="str">
        <f t="shared" si="130"/>
        <v/>
      </c>
      <c r="AB1042" s="28" t="str">
        <f t="shared" si="131"/>
        <v/>
      </c>
      <c r="AC1042" s="37"/>
      <c r="AD1042" s="38">
        <f t="shared" si="132"/>
        <v>4</v>
      </c>
      <c r="AE1042" t="str">
        <f>IFERROR(F1042&amp;"*"&amp;ROUND(L1042*(G1042/$AN1042)/VLOOKUP(F1042,商品!$A$4:$D$67,4,FALSE),0),"")</f>
        <v/>
      </c>
      <c r="AF1042" t="str">
        <f>IFERROR(H1042&amp;"*"&amp;ROUND(L1042*(I1042/$AN1042)/VLOOKUP(H1042,商品!$A$4:$D$67,4,FALSE),0),"")</f>
        <v/>
      </c>
      <c r="AG1042" t="str">
        <f>IFERROR(J1042&amp;"*"&amp;ROUND(L1042*(K1042/$AN1042)/VLOOKUP(J1042,商品!$A$4:$D$67,4,FALSE),0),"")</f>
        <v/>
      </c>
      <c r="AH1042" t="str">
        <f>IFERROR(M1042&amp;"*"&amp;ROUND(S1042*(N1042/$AO1042)/VLOOKUP(M1042,职业!$A$3:$E$16,4,FALSE),0),"")</f>
        <v/>
      </c>
      <c r="AI1042" t="str">
        <f>IFERROR(O1042&amp;"*"&amp;ROUND(S1042*(P1042/$AO1042)/VLOOKUP(O1042,职业!$A$3:$E$16,4,FALSE),0),"")</f>
        <v/>
      </c>
      <c r="AK1042" t="str">
        <f>IFERROR(T1042&amp;"*"&amp;ROUND(X1042*(U1042/$AP1042)/VLOOKUP(T1042,商品!$A$4:$D$67,4,FALSE),0),"")</f>
        <v/>
      </c>
      <c r="AL1042" t="str">
        <f>IFERROR(V1042&amp;"*"&amp;ROUND(X1042*(W1042/$AP1042)/VLOOKUP(V1042,商品!$A$4:$D$67,4,FALSE),0),"")</f>
        <v/>
      </c>
      <c r="AN1042">
        <f t="shared" si="133"/>
        <v>0</v>
      </c>
      <c r="AO1042">
        <f t="shared" si="134"/>
        <v>0</v>
      </c>
      <c r="AP1042">
        <f t="shared" si="135"/>
        <v>0</v>
      </c>
    </row>
    <row r="1043" customHeight="1" spans="1:42">
      <c r="A1043" s="18" t="s">
        <v>476</v>
      </c>
      <c r="C1043" s="18">
        <v>5</v>
      </c>
      <c r="D1043" s="1" t="s">
        <v>293</v>
      </c>
      <c r="E1043" s="1" t="s">
        <v>227</v>
      </c>
      <c r="L1043" s="1">
        <f>IFERROR(VLOOKUP($D1043&amp;$C1043,生产方式定位!$A$2:$E$38,2,FALSE)+VLOOKUP($E1043&amp;$C1043,生产方式定位!$F$3:$J$38,2,FALSE),0)</f>
        <v>0</v>
      </c>
      <c r="S1043" s="1">
        <f>IFERROR(VLOOKUP($D1043&amp;$C1043,生产方式定位!$A$2:$E$38,3,FALSE)+VLOOKUP($E1043&amp;$C1043,生产方式定位!$F$3:$J$38,3,FALSE),0)</f>
        <v>0</v>
      </c>
      <c r="X1043" s="1">
        <f>IFERROR(VLOOKUP($D1043&amp;$C1043,生产方式定位!$A$2:$E$38,5,FALSE)+VLOOKUP($E1043&amp;$C1043,生产方式定位!$F$3:$J$38,5,FALSE),"错误")</f>
        <v>0</v>
      </c>
      <c r="Y1043" s="27" t="str">
        <f t="shared" si="128"/>
        <v/>
      </c>
      <c r="Z1043" s="37" t="str">
        <f t="shared" si="129"/>
        <v/>
      </c>
      <c r="AA1043" s="37" t="str">
        <f t="shared" si="130"/>
        <v/>
      </c>
      <c r="AB1043" s="28" t="str">
        <f t="shared" si="131"/>
        <v/>
      </c>
      <c r="AC1043" s="37"/>
      <c r="AD1043" s="38">
        <f t="shared" si="132"/>
        <v>5</v>
      </c>
      <c r="AE1043" t="str">
        <f>IFERROR(F1043&amp;"*"&amp;ROUND(L1043*(G1043/$AN1043)/VLOOKUP(F1043,商品!$A$4:$D$67,4,FALSE),0),"")</f>
        <v/>
      </c>
      <c r="AF1043" t="str">
        <f>IFERROR(H1043&amp;"*"&amp;ROUND(L1043*(I1043/$AN1043)/VLOOKUP(H1043,商品!$A$4:$D$67,4,FALSE),0),"")</f>
        <v/>
      </c>
      <c r="AG1043" t="str">
        <f>IFERROR(J1043&amp;"*"&amp;ROUND(L1043*(K1043/$AN1043)/VLOOKUP(J1043,商品!$A$4:$D$67,4,FALSE),0),"")</f>
        <v/>
      </c>
      <c r="AH1043" t="str">
        <f>IFERROR(M1043&amp;"*"&amp;ROUND(S1043*(N1043/$AO1043)/VLOOKUP(M1043,职业!$A$3:$E$16,4,FALSE),0),"")</f>
        <v/>
      </c>
      <c r="AI1043" t="str">
        <f>IFERROR(O1043&amp;"*"&amp;ROUND(S1043*(P1043/$AO1043)/VLOOKUP(O1043,职业!$A$3:$E$16,4,FALSE),0),"")</f>
        <v/>
      </c>
      <c r="AK1043" t="str">
        <f>IFERROR(T1043&amp;"*"&amp;ROUND(X1043*(U1043/$AP1043)/VLOOKUP(T1043,商品!$A$4:$D$67,4,FALSE),0),"")</f>
        <v/>
      </c>
      <c r="AL1043" t="str">
        <f>IFERROR(V1043&amp;"*"&amp;ROUND(X1043*(W1043/$AP1043)/VLOOKUP(V1043,商品!$A$4:$D$67,4,FALSE),0),"")</f>
        <v/>
      </c>
      <c r="AN1043">
        <f t="shared" si="133"/>
        <v>0</v>
      </c>
      <c r="AO1043">
        <f t="shared" si="134"/>
        <v>0</v>
      </c>
      <c r="AP1043">
        <f t="shared" si="135"/>
        <v>0</v>
      </c>
    </row>
    <row r="1044" customHeight="1" spans="1:42">
      <c r="A1044" s="18" t="s">
        <v>476</v>
      </c>
      <c r="C1044" s="18">
        <v>6</v>
      </c>
      <c r="D1044" s="1" t="s">
        <v>293</v>
      </c>
      <c r="E1044" s="1" t="s">
        <v>227</v>
      </c>
      <c r="L1044" s="1">
        <f>IFERROR(VLOOKUP($D1044&amp;$C1044,生产方式定位!$A$2:$E$38,2,FALSE)+VLOOKUP($E1044&amp;$C1044,生产方式定位!$F$3:$J$38,2,FALSE),0)</f>
        <v>0</v>
      </c>
      <c r="S1044" s="1">
        <f>IFERROR(VLOOKUP($D1044&amp;$C1044,生产方式定位!$A$2:$E$38,3,FALSE)+VLOOKUP($E1044&amp;$C1044,生产方式定位!$F$3:$J$38,3,FALSE),0)</f>
        <v>0</v>
      </c>
      <c r="X1044" s="1">
        <f>IFERROR(VLOOKUP($D1044&amp;$C1044,生产方式定位!$A$2:$E$38,5,FALSE)+VLOOKUP($E1044&amp;$C1044,生产方式定位!$F$3:$J$38,5,FALSE),"错误")</f>
        <v>0</v>
      </c>
      <c r="Y1044" s="27" t="str">
        <f t="shared" si="128"/>
        <v/>
      </c>
      <c r="Z1044" s="37" t="str">
        <f t="shared" si="129"/>
        <v/>
      </c>
      <c r="AA1044" s="37" t="str">
        <f t="shared" si="130"/>
        <v/>
      </c>
      <c r="AB1044" s="28" t="str">
        <f t="shared" si="131"/>
        <v/>
      </c>
      <c r="AC1044" s="37"/>
      <c r="AD1044" s="38">
        <f t="shared" si="132"/>
        <v>6</v>
      </c>
      <c r="AE1044" t="str">
        <f>IFERROR(F1044&amp;"*"&amp;ROUND(L1044*(G1044/$AN1044)/VLOOKUP(F1044,商品!$A$4:$D$67,4,FALSE),0),"")</f>
        <v/>
      </c>
      <c r="AF1044" t="str">
        <f>IFERROR(H1044&amp;"*"&amp;ROUND(L1044*(I1044/$AN1044)/VLOOKUP(H1044,商品!$A$4:$D$67,4,FALSE),0),"")</f>
        <v/>
      </c>
      <c r="AG1044" t="str">
        <f>IFERROR(J1044&amp;"*"&amp;ROUND(L1044*(K1044/$AN1044)/VLOOKUP(J1044,商品!$A$4:$D$67,4,FALSE),0),"")</f>
        <v/>
      </c>
      <c r="AH1044" t="str">
        <f>IFERROR(M1044&amp;"*"&amp;ROUND(S1044*(N1044/$AO1044)/VLOOKUP(M1044,职业!$A$3:$E$16,4,FALSE),0),"")</f>
        <v/>
      </c>
      <c r="AI1044" t="str">
        <f>IFERROR(O1044&amp;"*"&amp;ROUND(S1044*(P1044/$AO1044)/VLOOKUP(O1044,职业!$A$3:$E$16,4,FALSE),0),"")</f>
        <v/>
      </c>
      <c r="AK1044" t="str">
        <f>IFERROR(T1044&amp;"*"&amp;ROUND(X1044*(U1044/$AP1044)/VLOOKUP(T1044,商品!$A$4:$D$67,4,FALSE),0),"")</f>
        <v/>
      </c>
      <c r="AL1044" t="str">
        <f>IFERROR(V1044&amp;"*"&amp;ROUND(X1044*(W1044/$AP1044)/VLOOKUP(V1044,商品!$A$4:$D$67,4,FALSE),0),"")</f>
        <v/>
      </c>
      <c r="AN1044">
        <f t="shared" si="133"/>
        <v>0</v>
      </c>
      <c r="AO1044">
        <f t="shared" si="134"/>
        <v>0</v>
      </c>
      <c r="AP1044">
        <f t="shared" si="135"/>
        <v>0</v>
      </c>
    </row>
    <row r="1045" customHeight="1" spans="1:42">
      <c r="A1045" s="18" t="s">
        <v>476</v>
      </c>
      <c r="C1045" s="18">
        <v>7</v>
      </c>
      <c r="D1045" s="1" t="s">
        <v>293</v>
      </c>
      <c r="E1045" s="1" t="s">
        <v>227</v>
      </c>
      <c r="L1045" s="1">
        <f>IFERROR(VLOOKUP($D1045&amp;$C1045,生产方式定位!$A$2:$E$38,2,FALSE)+VLOOKUP($E1045&amp;$C1045,生产方式定位!$F$3:$J$38,2,FALSE),0)</f>
        <v>0</v>
      </c>
      <c r="S1045" s="1">
        <f>IFERROR(VLOOKUP($D1045&amp;$C1045,生产方式定位!$A$2:$E$38,3,FALSE)+VLOOKUP($E1045&amp;$C1045,生产方式定位!$F$3:$J$38,3,FALSE),0)</f>
        <v>0</v>
      </c>
      <c r="X1045" s="1">
        <f>IFERROR(VLOOKUP($D1045&amp;$C1045,生产方式定位!$A$2:$E$38,5,FALSE)+VLOOKUP($E1045&amp;$C1045,生产方式定位!$F$3:$J$38,5,FALSE),"错误")</f>
        <v>0</v>
      </c>
      <c r="Y1045" s="27" t="str">
        <f t="shared" si="128"/>
        <v/>
      </c>
      <c r="Z1045" s="37" t="str">
        <f t="shared" si="129"/>
        <v/>
      </c>
      <c r="AA1045" s="37" t="str">
        <f t="shared" si="130"/>
        <v/>
      </c>
      <c r="AB1045" s="28" t="str">
        <f t="shared" si="131"/>
        <v/>
      </c>
      <c r="AC1045" s="37"/>
      <c r="AD1045" s="38">
        <f t="shared" si="132"/>
        <v>7</v>
      </c>
      <c r="AE1045" t="str">
        <f>IFERROR(F1045&amp;"*"&amp;ROUND(L1045*(G1045/$AN1045)/VLOOKUP(F1045,商品!$A$4:$D$67,4,FALSE),0),"")</f>
        <v/>
      </c>
      <c r="AF1045" t="str">
        <f>IFERROR(H1045&amp;"*"&amp;ROUND(L1045*(I1045/$AN1045)/VLOOKUP(H1045,商品!$A$4:$D$67,4,FALSE),0),"")</f>
        <v/>
      </c>
      <c r="AG1045" t="str">
        <f>IFERROR(J1045&amp;"*"&amp;ROUND(L1045*(K1045/$AN1045)/VLOOKUP(J1045,商品!$A$4:$D$67,4,FALSE),0),"")</f>
        <v/>
      </c>
      <c r="AH1045" t="str">
        <f>IFERROR(M1045&amp;"*"&amp;ROUND(S1045*(N1045/$AO1045)/VLOOKUP(M1045,职业!$A$3:$E$16,4,FALSE),0),"")</f>
        <v/>
      </c>
      <c r="AI1045" t="str">
        <f>IFERROR(O1045&amp;"*"&amp;ROUND(S1045*(P1045/$AO1045)/VLOOKUP(O1045,职业!$A$3:$E$16,4,FALSE),0),"")</f>
        <v/>
      </c>
      <c r="AK1045" t="str">
        <f>IFERROR(T1045&amp;"*"&amp;ROUND(X1045*(U1045/$AP1045)/VLOOKUP(T1045,商品!$A$4:$D$67,4,FALSE),0),"")</f>
        <v/>
      </c>
      <c r="AL1045" t="str">
        <f>IFERROR(V1045&amp;"*"&amp;ROUND(X1045*(W1045/$AP1045)/VLOOKUP(V1045,商品!$A$4:$D$67,4,FALSE),0),"")</f>
        <v/>
      </c>
      <c r="AN1045">
        <f t="shared" si="133"/>
        <v>0</v>
      </c>
      <c r="AO1045">
        <f t="shared" si="134"/>
        <v>0</v>
      </c>
      <c r="AP1045">
        <f t="shared" si="135"/>
        <v>0</v>
      </c>
    </row>
    <row r="1046" customHeight="1" spans="1:42">
      <c r="A1046" s="18" t="s">
        <v>476</v>
      </c>
      <c r="C1046" s="18">
        <v>8</v>
      </c>
      <c r="D1046" s="1" t="s">
        <v>293</v>
      </c>
      <c r="E1046" s="1" t="s">
        <v>227</v>
      </c>
      <c r="L1046" s="1">
        <f>IFERROR(VLOOKUP($D1046&amp;$C1046,生产方式定位!$A$2:$E$38,2,FALSE)+VLOOKUP($E1046&amp;$C1046,生产方式定位!$F$3:$J$38,2,FALSE),0)</f>
        <v>0</v>
      </c>
      <c r="S1046" s="1">
        <f>IFERROR(VLOOKUP($D1046&amp;$C1046,生产方式定位!$A$2:$E$38,3,FALSE)+VLOOKUP($E1046&amp;$C1046,生产方式定位!$F$3:$J$38,3,FALSE),0)</f>
        <v>0</v>
      </c>
      <c r="X1046" s="1">
        <f>IFERROR(VLOOKUP($D1046&amp;$C1046,生产方式定位!$A$2:$E$38,5,FALSE)+VLOOKUP($E1046&amp;$C1046,生产方式定位!$F$3:$J$38,5,FALSE),"错误")</f>
        <v>0</v>
      </c>
      <c r="Y1046" s="27" t="str">
        <f t="shared" si="128"/>
        <v/>
      </c>
      <c r="Z1046" s="37" t="str">
        <f t="shared" si="129"/>
        <v/>
      </c>
      <c r="AA1046" s="37" t="str">
        <f t="shared" si="130"/>
        <v/>
      </c>
      <c r="AB1046" s="28" t="str">
        <f t="shared" si="131"/>
        <v/>
      </c>
      <c r="AC1046" s="37"/>
      <c r="AD1046" s="38">
        <f t="shared" si="132"/>
        <v>8</v>
      </c>
      <c r="AE1046" t="str">
        <f>IFERROR(F1046&amp;"*"&amp;ROUND(L1046*(G1046/$AN1046)/VLOOKUP(F1046,商品!$A$4:$D$67,4,FALSE),0),"")</f>
        <v/>
      </c>
      <c r="AF1046" t="str">
        <f>IFERROR(H1046&amp;"*"&amp;ROUND(L1046*(I1046/$AN1046)/VLOOKUP(H1046,商品!$A$4:$D$67,4,FALSE),0),"")</f>
        <v/>
      </c>
      <c r="AG1046" t="str">
        <f>IFERROR(J1046&amp;"*"&amp;ROUND(L1046*(K1046/$AN1046)/VLOOKUP(J1046,商品!$A$4:$D$67,4,FALSE),0),"")</f>
        <v/>
      </c>
      <c r="AH1046" t="str">
        <f>IFERROR(M1046&amp;"*"&amp;ROUND(S1046*(N1046/$AO1046)/VLOOKUP(M1046,职业!$A$3:$E$16,4,FALSE),0),"")</f>
        <v/>
      </c>
      <c r="AI1046" t="str">
        <f>IFERROR(O1046&amp;"*"&amp;ROUND(S1046*(P1046/$AO1046)/VLOOKUP(O1046,职业!$A$3:$E$16,4,FALSE),0),"")</f>
        <v/>
      </c>
      <c r="AK1046" t="str">
        <f>IFERROR(T1046&amp;"*"&amp;ROUND(X1046*(U1046/$AP1046)/VLOOKUP(T1046,商品!$A$4:$D$67,4,FALSE),0),"")</f>
        <v/>
      </c>
      <c r="AL1046" t="str">
        <f>IFERROR(V1046&amp;"*"&amp;ROUND(X1046*(W1046/$AP1046)/VLOOKUP(V1046,商品!$A$4:$D$67,4,FALSE),0),"")</f>
        <v/>
      </c>
      <c r="AN1046">
        <f t="shared" si="133"/>
        <v>0</v>
      </c>
      <c r="AO1046">
        <f t="shared" si="134"/>
        <v>0</v>
      </c>
      <c r="AP1046">
        <f t="shared" si="135"/>
        <v>0</v>
      </c>
    </row>
    <row r="1047" customHeight="1" spans="1:42">
      <c r="A1047" s="5" t="s">
        <v>478</v>
      </c>
      <c r="C1047" s="5">
        <v>1</v>
      </c>
      <c r="D1047" s="1" t="s">
        <v>222</v>
      </c>
      <c r="E1047" s="1" t="s">
        <v>224</v>
      </c>
      <c r="L1047" s="1">
        <f>IFERROR(VLOOKUP($D1047&amp;$C1047,生产方式定位!$A$2:$E$38,2,FALSE)+VLOOKUP($E1047&amp;$C1047,生产方式定位!$F$3:$J$38,2,FALSE),0)</f>
        <v>0</v>
      </c>
      <c r="S1047" s="1">
        <f>IFERROR(VLOOKUP($D1047&amp;$C1047,生产方式定位!$A$2:$E$38,3,FALSE)+VLOOKUP($E1047&amp;$C1047,生产方式定位!$F$3:$J$38,3,FALSE),0)</f>
        <v>500</v>
      </c>
      <c r="X1047" s="1">
        <f>IFERROR(VLOOKUP($D1047&amp;$C1047,生产方式定位!$A$2:$E$38,5,FALSE)+VLOOKUP($E1047&amp;$C1047,生产方式定位!$F$3:$J$38,5,FALSE),"错误")</f>
        <v>250</v>
      </c>
      <c r="Y1047" s="27" t="str">
        <f t="shared" si="128"/>
        <v/>
      </c>
      <c r="Z1047" s="37" t="str">
        <f t="shared" si="129"/>
        <v/>
      </c>
      <c r="AA1047" s="37" t="str">
        <f t="shared" si="130"/>
        <v/>
      </c>
      <c r="AB1047" s="28">
        <f t="shared" si="131"/>
        <v>0</v>
      </c>
      <c r="AC1047" s="37"/>
      <c r="AD1047" s="38">
        <f t="shared" si="132"/>
        <v>1</v>
      </c>
      <c r="AE1047" t="str">
        <f>IFERROR(F1047&amp;"*"&amp;ROUND(L1047*(G1047/$AN1047)/VLOOKUP(F1047,商品!$A$4:$D$67,4,FALSE),0),"")</f>
        <v/>
      </c>
      <c r="AF1047" t="str">
        <f>IFERROR(H1047&amp;"*"&amp;ROUND(L1047*(I1047/$AN1047)/VLOOKUP(H1047,商品!$A$4:$D$67,4,FALSE),0),"")</f>
        <v/>
      </c>
      <c r="AG1047" t="str">
        <f>IFERROR(J1047&amp;"*"&amp;ROUND(L1047*(K1047/$AN1047)/VLOOKUP(J1047,商品!$A$4:$D$67,4,FALSE),0),"")</f>
        <v/>
      </c>
      <c r="AH1047" t="str">
        <f>IFERROR(M1047&amp;"*"&amp;ROUND(S1047*(N1047/$AO1047)/VLOOKUP(M1047,职业!$A$3:$E$16,4,FALSE),0),"")</f>
        <v/>
      </c>
      <c r="AI1047" t="str">
        <f>IFERROR(O1047&amp;"*"&amp;ROUND(S1047*(P1047/$AO1047)/VLOOKUP(O1047,职业!$A$3:$E$16,4,FALSE),0),"")</f>
        <v/>
      </c>
      <c r="AK1047" t="str">
        <f>IFERROR(T1047&amp;"*"&amp;ROUND(X1047*(U1047/$AP1047)/VLOOKUP(T1047,商品!$A$4:$D$67,4,FALSE),0),"")</f>
        <v/>
      </c>
      <c r="AL1047" t="str">
        <f>IFERROR(V1047&amp;"*"&amp;ROUND(X1047*(W1047/$AP1047)/VLOOKUP(V1047,商品!$A$4:$D$67,4,FALSE),0),"")</f>
        <v/>
      </c>
      <c r="AN1047">
        <f t="shared" si="133"/>
        <v>0</v>
      </c>
      <c r="AO1047">
        <f t="shared" si="134"/>
        <v>0</v>
      </c>
      <c r="AP1047">
        <f t="shared" si="135"/>
        <v>0</v>
      </c>
    </row>
    <row r="1048" customHeight="1" spans="1:42">
      <c r="A1048" s="5" t="s">
        <v>478</v>
      </c>
      <c r="C1048" s="5">
        <v>2</v>
      </c>
      <c r="D1048" s="1" t="s">
        <v>222</v>
      </c>
      <c r="E1048" s="1" t="s">
        <v>224</v>
      </c>
      <c r="L1048" s="1">
        <f>IFERROR(VLOOKUP($D1048&amp;$C1048,生产方式定位!$A$2:$E$38,2,FALSE)+VLOOKUP($E1048&amp;$C1048,生产方式定位!$F$3:$J$38,2,FALSE),0)</f>
        <v>2200</v>
      </c>
      <c r="S1048" s="1">
        <f>IFERROR(VLOOKUP($D1048&amp;$C1048,生产方式定位!$A$2:$E$38,3,FALSE)+VLOOKUP($E1048&amp;$C1048,生产方式定位!$F$3:$J$38,3,FALSE),0)</f>
        <v>750</v>
      </c>
      <c r="X1048" s="1">
        <f>IFERROR(VLOOKUP($D1048&amp;$C1048,生产方式定位!$A$2:$E$38,5,FALSE)+VLOOKUP($E1048&amp;$C1048,生产方式定位!$F$3:$J$38,5,FALSE),"错误")</f>
        <v>1547</v>
      </c>
      <c r="Y1048" s="27" t="str">
        <f t="shared" si="128"/>
        <v/>
      </c>
      <c r="Z1048" s="37" t="str">
        <f t="shared" si="129"/>
        <v/>
      </c>
      <c r="AA1048" s="37" t="str">
        <f t="shared" si="130"/>
        <v/>
      </c>
      <c r="AB1048" s="28">
        <f t="shared" si="131"/>
        <v>1.42</v>
      </c>
      <c r="AC1048" s="37"/>
      <c r="AD1048" s="38">
        <f t="shared" si="132"/>
        <v>2</v>
      </c>
      <c r="AE1048" t="str">
        <f>IFERROR(F1048&amp;"*"&amp;ROUND(L1048*(G1048/$AN1048)/VLOOKUP(F1048,商品!$A$4:$D$67,4,FALSE),0),"")</f>
        <v/>
      </c>
      <c r="AF1048" t="str">
        <f>IFERROR(H1048&amp;"*"&amp;ROUND(L1048*(I1048/$AN1048)/VLOOKUP(H1048,商品!$A$4:$D$67,4,FALSE),0),"")</f>
        <v/>
      </c>
      <c r="AG1048" t="str">
        <f>IFERROR(J1048&amp;"*"&amp;ROUND(L1048*(K1048/$AN1048)/VLOOKUP(J1048,商品!$A$4:$D$67,4,FALSE),0),"")</f>
        <v/>
      </c>
      <c r="AH1048" t="str">
        <f>IFERROR(M1048&amp;"*"&amp;ROUND(S1048*(N1048/$AO1048)/VLOOKUP(M1048,职业!$A$3:$E$16,4,FALSE),0),"")</f>
        <v/>
      </c>
      <c r="AI1048" t="str">
        <f>IFERROR(O1048&amp;"*"&amp;ROUND(S1048*(P1048/$AO1048)/VLOOKUP(O1048,职业!$A$3:$E$16,4,FALSE),0),"")</f>
        <v/>
      </c>
      <c r="AK1048" t="str">
        <f>IFERROR(T1048&amp;"*"&amp;ROUND(X1048*(U1048/$AP1048)/VLOOKUP(T1048,商品!$A$4:$D$67,4,FALSE),0),"")</f>
        <v/>
      </c>
      <c r="AL1048" t="str">
        <f>IFERROR(V1048&amp;"*"&amp;ROUND(X1048*(W1048/$AP1048)/VLOOKUP(V1048,商品!$A$4:$D$67,4,FALSE),0),"")</f>
        <v/>
      </c>
      <c r="AN1048">
        <f t="shared" si="133"/>
        <v>0</v>
      </c>
      <c r="AO1048">
        <f t="shared" si="134"/>
        <v>0</v>
      </c>
      <c r="AP1048">
        <f t="shared" si="135"/>
        <v>0</v>
      </c>
    </row>
    <row r="1049" customHeight="1" spans="1:42">
      <c r="A1049" s="5" t="s">
        <v>478</v>
      </c>
      <c r="C1049" s="5">
        <v>3</v>
      </c>
      <c r="D1049" s="1" t="s">
        <v>222</v>
      </c>
      <c r="E1049" s="1" t="s">
        <v>224</v>
      </c>
      <c r="L1049" s="1">
        <f>IFERROR(VLOOKUP($D1049&amp;$C1049,生产方式定位!$A$2:$E$38,2,FALSE)+VLOOKUP($E1049&amp;$C1049,生产方式定位!$F$3:$J$38,2,FALSE),0)</f>
        <v>3400</v>
      </c>
      <c r="S1049" s="1">
        <f>IFERROR(VLOOKUP($D1049&amp;$C1049,生产方式定位!$A$2:$E$38,3,FALSE)+VLOOKUP($E1049&amp;$C1049,生产方式定位!$F$3:$J$38,3,FALSE),0)</f>
        <v>1000</v>
      </c>
      <c r="X1049" s="1">
        <f>IFERROR(VLOOKUP($D1049&amp;$C1049,生产方式定位!$A$2:$E$38,5,FALSE)+VLOOKUP($E1049&amp;$C1049,生产方式定位!$F$3:$J$38,5,FALSE),"错误")</f>
        <v>2488</v>
      </c>
      <c r="Y1049" s="27" t="str">
        <f t="shared" si="128"/>
        <v/>
      </c>
      <c r="Z1049" s="37" t="str">
        <f t="shared" si="129"/>
        <v/>
      </c>
      <c r="AA1049" s="37" t="str">
        <f t="shared" si="130"/>
        <v/>
      </c>
      <c r="AB1049" s="28">
        <f t="shared" si="131"/>
        <v>1.37</v>
      </c>
      <c r="AC1049" s="37"/>
      <c r="AD1049" s="38">
        <f t="shared" si="132"/>
        <v>3</v>
      </c>
      <c r="AE1049" t="str">
        <f>IFERROR(F1049&amp;"*"&amp;ROUND(L1049*(G1049/$AN1049)/VLOOKUP(F1049,商品!$A$4:$D$67,4,FALSE),0),"")</f>
        <v/>
      </c>
      <c r="AF1049" t="str">
        <f>IFERROR(H1049&amp;"*"&amp;ROUND(L1049*(I1049/$AN1049)/VLOOKUP(H1049,商品!$A$4:$D$67,4,FALSE),0),"")</f>
        <v/>
      </c>
      <c r="AG1049" t="str">
        <f>IFERROR(J1049&amp;"*"&amp;ROUND(L1049*(K1049/$AN1049)/VLOOKUP(J1049,商品!$A$4:$D$67,4,FALSE),0),"")</f>
        <v/>
      </c>
      <c r="AH1049" t="str">
        <f>IFERROR(M1049&amp;"*"&amp;ROUND(S1049*(N1049/$AO1049)/VLOOKUP(M1049,职业!$A$3:$E$16,4,FALSE),0),"")</f>
        <v/>
      </c>
      <c r="AI1049" t="str">
        <f>IFERROR(O1049&amp;"*"&amp;ROUND(S1049*(P1049/$AO1049)/VLOOKUP(O1049,职业!$A$3:$E$16,4,FALSE),0),"")</f>
        <v/>
      </c>
      <c r="AK1049" t="str">
        <f>IFERROR(T1049&amp;"*"&amp;ROUND(X1049*(U1049/$AP1049)/VLOOKUP(T1049,商品!$A$4:$D$67,4,FALSE),0),"")</f>
        <v/>
      </c>
      <c r="AL1049" t="str">
        <f>IFERROR(V1049&amp;"*"&amp;ROUND(X1049*(W1049/$AP1049)/VLOOKUP(V1049,商品!$A$4:$D$67,4,FALSE),0),"")</f>
        <v/>
      </c>
      <c r="AN1049">
        <f t="shared" si="133"/>
        <v>0</v>
      </c>
      <c r="AO1049">
        <f t="shared" si="134"/>
        <v>0</v>
      </c>
      <c r="AP1049">
        <f t="shared" si="135"/>
        <v>0</v>
      </c>
    </row>
    <row r="1050" customHeight="1" spans="1:42">
      <c r="A1050" s="5" t="s">
        <v>478</v>
      </c>
      <c r="C1050" s="5">
        <v>4</v>
      </c>
      <c r="D1050" s="1" t="s">
        <v>222</v>
      </c>
      <c r="E1050" s="1" t="s">
        <v>224</v>
      </c>
      <c r="L1050" s="1">
        <f>IFERROR(VLOOKUP($D1050&amp;$C1050,生产方式定位!$A$2:$E$38,2,FALSE)+VLOOKUP($E1050&amp;$C1050,生产方式定位!$F$3:$J$38,2,FALSE),0)</f>
        <v>4600</v>
      </c>
      <c r="S1050" s="1">
        <f>IFERROR(VLOOKUP($D1050&amp;$C1050,生产方式定位!$A$2:$E$38,3,FALSE)+VLOOKUP($E1050&amp;$C1050,生产方式定位!$F$3:$J$38,3,FALSE),0)</f>
        <v>1250</v>
      </c>
      <c r="X1050" s="1">
        <f>IFERROR(VLOOKUP($D1050&amp;$C1050,生产方式定位!$A$2:$E$38,5,FALSE)+VLOOKUP($E1050&amp;$C1050,生产方式定位!$F$3:$J$38,5,FALSE),"错误")</f>
        <v>3573</v>
      </c>
      <c r="Y1050" s="27" t="str">
        <f t="shared" si="128"/>
        <v/>
      </c>
      <c r="Z1050" s="37" t="str">
        <f t="shared" si="129"/>
        <v/>
      </c>
      <c r="AA1050" s="37" t="str">
        <f t="shared" si="130"/>
        <v/>
      </c>
      <c r="AB1050" s="28">
        <f t="shared" si="131"/>
        <v>1.29</v>
      </c>
      <c r="AC1050" s="37"/>
      <c r="AD1050" s="38">
        <f t="shared" si="132"/>
        <v>4</v>
      </c>
      <c r="AE1050" t="str">
        <f>IFERROR(F1050&amp;"*"&amp;ROUND(L1050*(G1050/$AN1050)/VLOOKUP(F1050,商品!$A$4:$D$67,4,FALSE),0),"")</f>
        <v/>
      </c>
      <c r="AF1050" t="str">
        <f>IFERROR(H1050&amp;"*"&amp;ROUND(L1050*(I1050/$AN1050)/VLOOKUP(H1050,商品!$A$4:$D$67,4,FALSE),0),"")</f>
        <v/>
      </c>
      <c r="AG1050" t="str">
        <f>IFERROR(J1050&amp;"*"&amp;ROUND(L1050*(K1050/$AN1050)/VLOOKUP(J1050,商品!$A$4:$D$67,4,FALSE),0),"")</f>
        <v/>
      </c>
      <c r="AH1050" t="str">
        <f>IFERROR(M1050&amp;"*"&amp;ROUND(S1050*(N1050/$AO1050)/VLOOKUP(M1050,职业!$A$3:$E$16,4,FALSE),0),"")</f>
        <v/>
      </c>
      <c r="AI1050" t="str">
        <f>IFERROR(O1050&amp;"*"&amp;ROUND(S1050*(P1050/$AO1050)/VLOOKUP(O1050,职业!$A$3:$E$16,4,FALSE),0),"")</f>
        <v/>
      </c>
      <c r="AK1050" t="str">
        <f>IFERROR(T1050&amp;"*"&amp;ROUND(X1050*(U1050/$AP1050)/VLOOKUP(T1050,商品!$A$4:$D$67,4,FALSE),0),"")</f>
        <v/>
      </c>
      <c r="AL1050" t="str">
        <f>IFERROR(V1050&amp;"*"&amp;ROUND(X1050*(W1050/$AP1050)/VLOOKUP(V1050,商品!$A$4:$D$67,4,FALSE),0),"")</f>
        <v/>
      </c>
      <c r="AN1050">
        <f t="shared" si="133"/>
        <v>0</v>
      </c>
      <c r="AO1050">
        <f t="shared" si="134"/>
        <v>0</v>
      </c>
      <c r="AP1050">
        <f t="shared" si="135"/>
        <v>0</v>
      </c>
    </row>
    <row r="1051" customHeight="1" spans="1:42">
      <c r="A1051" s="5" t="s">
        <v>478</v>
      </c>
      <c r="C1051" s="5">
        <v>5</v>
      </c>
      <c r="D1051" s="1" t="s">
        <v>222</v>
      </c>
      <c r="E1051" s="1" t="s">
        <v>224</v>
      </c>
      <c r="L1051" s="1">
        <f>IFERROR(VLOOKUP($D1051&amp;$C1051,生产方式定位!$A$2:$E$38,2,FALSE)+VLOOKUP($E1051&amp;$C1051,生产方式定位!$F$3:$J$38,2,FALSE),0)</f>
        <v>5800</v>
      </c>
      <c r="S1051" s="1">
        <f>IFERROR(VLOOKUP($D1051&amp;$C1051,生产方式定位!$A$2:$E$38,3,FALSE)+VLOOKUP($E1051&amp;$C1051,生产方式定位!$F$3:$J$38,3,FALSE),0)</f>
        <v>1500</v>
      </c>
      <c r="X1051" s="1">
        <f>IFERROR(VLOOKUP($D1051&amp;$C1051,生产方式定位!$A$2:$E$38,5,FALSE)+VLOOKUP($E1051&amp;$C1051,生产方式定位!$F$3:$J$38,5,FALSE),"错误")</f>
        <v>4850</v>
      </c>
      <c r="Y1051" s="27" t="str">
        <f t="shared" si="128"/>
        <v/>
      </c>
      <c r="Z1051" s="37" t="str">
        <f t="shared" si="129"/>
        <v/>
      </c>
      <c r="AA1051" s="37" t="str">
        <f t="shared" si="130"/>
        <v/>
      </c>
      <c r="AB1051" s="28">
        <f t="shared" si="131"/>
        <v>1.2</v>
      </c>
      <c r="AC1051" s="37"/>
      <c r="AD1051" s="38">
        <f t="shared" si="132"/>
        <v>5</v>
      </c>
      <c r="AE1051" t="str">
        <f>IFERROR(F1051&amp;"*"&amp;ROUND(L1051*(G1051/$AN1051)/VLOOKUP(F1051,商品!$A$4:$D$67,4,FALSE),0),"")</f>
        <v/>
      </c>
      <c r="AF1051" t="str">
        <f>IFERROR(H1051&amp;"*"&amp;ROUND(L1051*(I1051/$AN1051)/VLOOKUP(H1051,商品!$A$4:$D$67,4,FALSE),0),"")</f>
        <v/>
      </c>
      <c r="AG1051" t="str">
        <f>IFERROR(J1051&amp;"*"&amp;ROUND(L1051*(K1051/$AN1051)/VLOOKUP(J1051,商品!$A$4:$D$67,4,FALSE),0),"")</f>
        <v/>
      </c>
      <c r="AH1051" t="str">
        <f>IFERROR(M1051&amp;"*"&amp;ROUND(S1051*(N1051/$AO1051)/VLOOKUP(M1051,职业!$A$3:$E$16,4,FALSE),0),"")</f>
        <v/>
      </c>
      <c r="AI1051" t="str">
        <f>IFERROR(O1051&amp;"*"&amp;ROUND(S1051*(P1051/$AO1051)/VLOOKUP(O1051,职业!$A$3:$E$16,4,FALSE),0),"")</f>
        <v/>
      </c>
      <c r="AK1051" t="str">
        <f>IFERROR(T1051&amp;"*"&amp;ROUND(X1051*(U1051/$AP1051)/VLOOKUP(T1051,商品!$A$4:$D$67,4,FALSE),0),"")</f>
        <v/>
      </c>
      <c r="AL1051" t="str">
        <f>IFERROR(V1051&amp;"*"&amp;ROUND(X1051*(W1051/$AP1051)/VLOOKUP(V1051,商品!$A$4:$D$67,4,FALSE),0),"")</f>
        <v/>
      </c>
      <c r="AN1051">
        <f t="shared" si="133"/>
        <v>0</v>
      </c>
      <c r="AO1051">
        <f t="shared" si="134"/>
        <v>0</v>
      </c>
      <c r="AP1051">
        <f t="shared" si="135"/>
        <v>0</v>
      </c>
    </row>
    <row r="1052" customHeight="1" spans="1:42">
      <c r="A1052" s="18" t="s">
        <v>479</v>
      </c>
      <c r="C1052" s="18">
        <v>1</v>
      </c>
      <c r="D1052" s="1" t="s">
        <v>222</v>
      </c>
      <c r="E1052" s="1" t="s">
        <v>226</v>
      </c>
      <c r="L1052" s="1">
        <f>IFERROR(VLOOKUP($D1052&amp;$C1052,生产方式定位!$A$2:$E$38,2,FALSE)+VLOOKUP($E1052&amp;$C1052,生产方式定位!$F$3:$J$38,2,FALSE),0)</f>
        <v>0</v>
      </c>
      <c r="S1052" s="1">
        <f>IFERROR(VLOOKUP($D1052&amp;$C1052,生产方式定位!$A$2:$E$38,3,FALSE)+VLOOKUP($E1052&amp;$C1052,生产方式定位!$F$3:$J$38,3,FALSE),0)</f>
        <v>500</v>
      </c>
      <c r="X1052" s="1">
        <f>IFERROR(VLOOKUP($D1052&amp;$C1052,生产方式定位!$A$2:$E$38,5,FALSE)+VLOOKUP($E1052&amp;$C1052,生产方式定位!$F$3:$J$38,5,FALSE),"错误")</f>
        <v>250</v>
      </c>
      <c r="Y1052" s="27" t="str">
        <f t="shared" si="128"/>
        <v/>
      </c>
      <c r="Z1052" s="37" t="str">
        <f t="shared" si="129"/>
        <v/>
      </c>
      <c r="AA1052" s="37" t="str">
        <f t="shared" si="130"/>
        <v/>
      </c>
      <c r="AB1052" s="28">
        <f t="shared" si="131"/>
        <v>0</v>
      </c>
      <c r="AC1052" s="37"/>
      <c r="AD1052" s="38">
        <f t="shared" si="132"/>
        <v>1</v>
      </c>
      <c r="AE1052" t="str">
        <f>IFERROR(F1052&amp;"*"&amp;ROUND(L1052*(G1052/$AN1052)/VLOOKUP(F1052,商品!$A$4:$D$67,4,FALSE),0),"")</f>
        <v/>
      </c>
      <c r="AF1052" t="str">
        <f>IFERROR(H1052&amp;"*"&amp;ROUND(L1052*(I1052/$AN1052)/VLOOKUP(H1052,商品!$A$4:$D$67,4,FALSE),0),"")</f>
        <v/>
      </c>
      <c r="AG1052" t="str">
        <f>IFERROR(J1052&amp;"*"&amp;ROUND(L1052*(K1052/$AN1052)/VLOOKUP(J1052,商品!$A$4:$D$67,4,FALSE),0),"")</f>
        <v/>
      </c>
      <c r="AH1052" t="str">
        <f>IFERROR(M1052&amp;"*"&amp;ROUND(S1052*(N1052/$AO1052)/VLOOKUP(M1052,职业!$A$3:$E$16,4,FALSE),0),"")</f>
        <v/>
      </c>
      <c r="AI1052" t="str">
        <f>IFERROR(O1052&amp;"*"&amp;ROUND(S1052*(P1052/$AO1052)/VLOOKUP(O1052,职业!$A$3:$E$16,4,FALSE),0),"")</f>
        <v/>
      </c>
      <c r="AK1052" t="str">
        <f>IFERROR(T1052&amp;"*"&amp;ROUND(X1052*(U1052/$AP1052)/VLOOKUP(T1052,商品!$A$4:$D$67,4,FALSE),0),"")</f>
        <v/>
      </c>
      <c r="AL1052" t="str">
        <f>IFERROR(V1052&amp;"*"&amp;ROUND(X1052*(W1052/$AP1052)/VLOOKUP(V1052,商品!$A$4:$D$67,4,FALSE),0),"")</f>
        <v/>
      </c>
      <c r="AN1052">
        <f t="shared" si="133"/>
        <v>0</v>
      </c>
      <c r="AO1052">
        <f t="shared" si="134"/>
        <v>0</v>
      </c>
      <c r="AP1052">
        <f t="shared" si="135"/>
        <v>0</v>
      </c>
    </row>
    <row r="1053" customHeight="1" spans="1:42">
      <c r="A1053" s="18" t="s">
        <v>479</v>
      </c>
      <c r="C1053" s="18">
        <v>2</v>
      </c>
      <c r="D1053" s="1" t="s">
        <v>222</v>
      </c>
      <c r="E1053" s="1" t="s">
        <v>226</v>
      </c>
      <c r="L1053" s="1">
        <f>IFERROR(VLOOKUP($D1053&amp;$C1053,生产方式定位!$A$2:$E$38,2,FALSE)+VLOOKUP($E1053&amp;$C1053,生产方式定位!$F$3:$J$38,2,FALSE),0)</f>
        <v>3200</v>
      </c>
      <c r="S1053" s="1">
        <f>IFERROR(VLOOKUP($D1053&amp;$C1053,生产方式定位!$A$2:$E$38,3,FALSE)+VLOOKUP($E1053&amp;$C1053,生产方式定位!$F$3:$J$38,3,FALSE),0)</f>
        <v>350</v>
      </c>
      <c r="X1053" s="1">
        <f>IFERROR(VLOOKUP($D1053&amp;$C1053,生产方式定位!$A$2:$E$38,5,FALSE)+VLOOKUP($E1053&amp;$C1053,生产方式定位!$F$3:$J$38,5,FALSE),"错误")</f>
        <v>1865</v>
      </c>
      <c r="Y1053" s="27" t="str">
        <f t="shared" si="128"/>
        <v/>
      </c>
      <c r="Z1053" s="37" t="str">
        <f t="shared" si="129"/>
        <v/>
      </c>
      <c r="AA1053" s="37" t="str">
        <f t="shared" si="130"/>
        <v/>
      </c>
      <c r="AB1053" s="28">
        <f t="shared" si="131"/>
        <v>1.72</v>
      </c>
      <c r="AC1053" s="37"/>
      <c r="AD1053" s="38">
        <f t="shared" si="132"/>
        <v>2</v>
      </c>
      <c r="AE1053" t="str">
        <f>IFERROR(F1053&amp;"*"&amp;ROUND(L1053*(G1053/$AN1053)/VLOOKUP(F1053,商品!$A$4:$D$67,4,FALSE),0),"")</f>
        <v/>
      </c>
      <c r="AF1053" t="str">
        <f>IFERROR(H1053&amp;"*"&amp;ROUND(L1053*(I1053/$AN1053)/VLOOKUP(H1053,商品!$A$4:$D$67,4,FALSE),0),"")</f>
        <v/>
      </c>
      <c r="AG1053" t="str">
        <f>IFERROR(J1053&amp;"*"&amp;ROUND(L1053*(K1053/$AN1053)/VLOOKUP(J1053,商品!$A$4:$D$67,4,FALSE),0),"")</f>
        <v/>
      </c>
      <c r="AH1053" t="str">
        <f>IFERROR(M1053&amp;"*"&amp;ROUND(S1053*(N1053/$AO1053)/VLOOKUP(M1053,职业!$A$3:$E$16,4,FALSE),0),"")</f>
        <v/>
      </c>
      <c r="AI1053" t="str">
        <f>IFERROR(O1053&amp;"*"&amp;ROUND(S1053*(P1053/$AO1053)/VLOOKUP(O1053,职业!$A$3:$E$16,4,FALSE),0),"")</f>
        <v/>
      </c>
      <c r="AK1053" t="str">
        <f>IFERROR(T1053&amp;"*"&amp;ROUND(X1053*(U1053/$AP1053)/VLOOKUP(T1053,商品!$A$4:$D$67,4,FALSE),0),"")</f>
        <v/>
      </c>
      <c r="AL1053" t="str">
        <f>IFERROR(V1053&amp;"*"&amp;ROUND(X1053*(W1053/$AP1053)/VLOOKUP(V1053,商品!$A$4:$D$67,4,FALSE),0),"")</f>
        <v/>
      </c>
      <c r="AN1053">
        <f t="shared" si="133"/>
        <v>0</v>
      </c>
      <c r="AO1053">
        <f t="shared" si="134"/>
        <v>0</v>
      </c>
      <c r="AP1053">
        <f t="shared" si="135"/>
        <v>0</v>
      </c>
    </row>
    <row r="1054" customHeight="1" spans="1:42">
      <c r="A1054" s="18" t="s">
        <v>479</v>
      </c>
      <c r="C1054" s="18">
        <v>3</v>
      </c>
      <c r="D1054" s="1" t="s">
        <v>222</v>
      </c>
      <c r="E1054" s="1" t="s">
        <v>226</v>
      </c>
      <c r="L1054" s="1">
        <f>IFERROR(VLOOKUP($D1054&amp;$C1054,生产方式定位!$A$2:$E$38,2,FALSE)+VLOOKUP($E1054&amp;$C1054,生产方式定位!$F$3:$J$38,2,FALSE),0)</f>
        <v>4400</v>
      </c>
      <c r="S1054" s="1">
        <f>IFERROR(VLOOKUP($D1054&amp;$C1054,生产方式定位!$A$2:$E$38,3,FALSE)+VLOOKUP($E1054&amp;$C1054,生产方式定位!$F$3:$J$38,3,FALSE),0)</f>
        <v>200</v>
      </c>
      <c r="X1054" s="1">
        <f>IFERROR(VLOOKUP($D1054&amp;$C1054,生产方式定位!$A$2:$E$38,5,FALSE)+VLOOKUP($E1054&amp;$C1054,生产方式定位!$F$3:$J$38,5,FALSE),"错误")</f>
        <v>2560</v>
      </c>
      <c r="Y1054" s="27" t="str">
        <f t="shared" si="128"/>
        <v/>
      </c>
      <c r="Z1054" s="37" t="str">
        <f t="shared" si="129"/>
        <v/>
      </c>
      <c r="AA1054" s="37" t="str">
        <f t="shared" si="130"/>
        <v/>
      </c>
      <c r="AB1054" s="28">
        <f t="shared" si="131"/>
        <v>1.72</v>
      </c>
      <c r="AC1054" s="37"/>
      <c r="AD1054" s="38">
        <f t="shared" si="132"/>
        <v>3</v>
      </c>
      <c r="AE1054" t="str">
        <f>IFERROR(F1054&amp;"*"&amp;ROUND(L1054*(G1054/$AN1054)/VLOOKUP(F1054,商品!$A$4:$D$67,4,FALSE),0),"")</f>
        <v/>
      </c>
      <c r="AF1054" t="str">
        <f>IFERROR(H1054&amp;"*"&amp;ROUND(L1054*(I1054/$AN1054)/VLOOKUP(H1054,商品!$A$4:$D$67,4,FALSE),0),"")</f>
        <v/>
      </c>
      <c r="AG1054" t="str">
        <f>IFERROR(J1054&amp;"*"&amp;ROUND(L1054*(K1054/$AN1054)/VLOOKUP(J1054,商品!$A$4:$D$67,4,FALSE),0),"")</f>
        <v/>
      </c>
      <c r="AH1054" t="str">
        <f>IFERROR(M1054&amp;"*"&amp;ROUND(S1054*(N1054/$AO1054)/VLOOKUP(M1054,职业!$A$3:$E$16,4,FALSE),0),"")</f>
        <v/>
      </c>
      <c r="AI1054" t="str">
        <f>IFERROR(O1054&amp;"*"&amp;ROUND(S1054*(P1054/$AO1054)/VLOOKUP(O1054,职业!$A$3:$E$16,4,FALSE),0),"")</f>
        <v/>
      </c>
      <c r="AK1054" t="str">
        <f>IFERROR(T1054&amp;"*"&amp;ROUND(X1054*(U1054/$AP1054)/VLOOKUP(T1054,商品!$A$4:$D$67,4,FALSE),0),"")</f>
        <v/>
      </c>
      <c r="AL1054" t="str">
        <f>IFERROR(V1054&amp;"*"&amp;ROUND(X1054*(W1054/$AP1054)/VLOOKUP(V1054,商品!$A$4:$D$67,4,FALSE),0),"")</f>
        <v/>
      </c>
      <c r="AN1054">
        <f t="shared" si="133"/>
        <v>0</v>
      </c>
      <c r="AO1054">
        <f t="shared" si="134"/>
        <v>0</v>
      </c>
      <c r="AP1054">
        <f t="shared" si="135"/>
        <v>0</v>
      </c>
    </row>
    <row r="1055" customHeight="1" spans="1:42">
      <c r="A1055" s="18" t="s">
        <v>479</v>
      </c>
      <c r="C1055" s="18">
        <v>4</v>
      </c>
      <c r="D1055" s="1" t="s">
        <v>222</v>
      </c>
      <c r="E1055" s="1" t="s">
        <v>226</v>
      </c>
      <c r="L1055" s="1">
        <f>IFERROR(VLOOKUP($D1055&amp;$C1055,生产方式定位!$A$2:$E$38,2,FALSE)+VLOOKUP($E1055&amp;$C1055,生产方式定位!$F$3:$J$38,2,FALSE),0)</f>
        <v>5600</v>
      </c>
      <c r="S1055" s="1">
        <f>IFERROR(VLOOKUP($D1055&amp;$C1055,生产方式定位!$A$2:$E$38,3,FALSE)+VLOOKUP($E1055&amp;$C1055,生产方式定位!$F$3:$J$38,3,FALSE),0)</f>
        <v>50</v>
      </c>
      <c r="X1055" s="1">
        <f>IFERROR(VLOOKUP($D1055&amp;$C1055,生产方式定位!$A$2:$E$38,5,FALSE)+VLOOKUP($E1055&amp;$C1055,生产方式定位!$F$3:$J$38,5,FALSE),"错误")</f>
        <v>3335</v>
      </c>
      <c r="Y1055" s="27" t="str">
        <f t="shared" si="128"/>
        <v/>
      </c>
      <c r="Z1055" s="37" t="str">
        <f t="shared" si="129"/>
        <v/>
      </c>
      <c r="AA1055" s="37" t="str">
        <f t="shared" si="130"/>
        <v/>
      </c>
      <c r="AB1055" s="28">
        <f t="shared" si="131"/>
        <v>1.68</v>
      </c>
      <c r="AC1055" s="37"/>
      <c r="AD1055" s="38">
        <f t="shared" si="132"/>
        <v>4</v>
      </c>
      <c r="AE1055" t="str">
        <f>IFERROR(F1055&amp;"*"&amp;ROUND(L1055*(G1055/$AN1055)/VLOOKUP(F1055,商品!$A$4:$D$67,4,FALSE),0),"")</f>
        <v/>
      </c>
      <c r="AF1055" t="str">
        <f>IFERROR(H1055&amp;"*"&amp;ROUND(L1055*(I1055/$AN1055)/VLOOKUP(H1055,商品!$A$4:$D$67,4,FALSE),0),"")</f>
        <v/>
      </c>
      <c r="AG1055" t="str">
        <f>IFERROR(J1055&amp;"*"&amp;ROUND(L1055*(K1055/$AN1055)/VLOOKUP(J1055,商品!$A$4:$D$67,4,FALSE),0),"")</f>
        <v/>
      </c>
      <c r="AH1055" t="str">
        <f>IFERROR(M1055&amp;"*"&amp;ROUND(S1055*(N1055/$AO1055)/VLOOKUP(M1055,职业!$A$3:$E$16,4,FALSE),0),"")</f>
        <v/>
      </c>
      <c r="AI1055" t="str">
        <f>IFERROR(O1055&amp;"*"&amp;ROUND(S1055*(P1055/$AO1055)/VLOOKUP(O1055,职业!$A$3:$E$16,4,FALSE),0),"")</f>
        <v/>
      </c>
      <c r="AK1055" t="str">
        <f>IFERROR(T1055&amp;"*"&amp;ROUND(X1055*(U1055/$AP1055)/VLOOKUP(T1055,商品!$A$4:$D$67,4,FALSE),0),"")</f>
        <v/>
      </c>
      <c r="AL1055" t="str">
        <f>IFERROR(V1055&amp;"*"&amp;ROUND(X1055*(W1055/$AP1055)/VLOOKUP(V1055,商品!$A$4:$D$67,4,FALSE),0),"")</f>
        <v/>
      </c>
      <c r="AN1055">
        <f t="shared" si="133"/>
        <v>0</v>
      </c>
      <c r="AO1055">
        <f t="shared" si="134"/>
        <v>0</v>
      </c>
      <c r="AP1055">
        <f t="shared" si="135"/>
        <v>0</v>
      </c>
    </row>
    <row r="1056" customHeight="1" spans="1:42">
      <c r="A1056" s="18" t="s">
        <v>479</v>
      </c>
      <c r="C1056" s="18">
        <v>5</v>
      </c>
      <c r="D1056" s="1" t="s">
        <v>222</v>
      </c>
      <c r="E1056" s="1" t="s">
        <v>226</v>
      </c>
      <c r="L1056" s="1">
        <f>IFERROR(VLOOKUP($D1056&amp;$C1056,生产方式定位!$A$2:$E$38,2,FALSE)+VLOOKUP($E1056&amp;$C1056,生产方式定位!$F$3:$J$38,2,FALSE),0)</f>
        <v>6800</v>
      </c>
      <c r="S1056" s="1">
        <f>IFERROR(VLOOKUP($D1056&amp;$C1056,生产方式定位!$A$2:$E$38,3,FALSE)+VLOOKUP($E1056&amp;$C1056,生产方式定位!$F$3:$J$38,3,FALSE),0)</f>
        <v>-100</v>
      </c>
      <c r="X1056" s="1">
        <f>IFERROR(VLOOKUP($D1056&amp;$C1056,生产方式定位!$A$2:$E$38,5,FALSE)+VLOOKUP($E1056&amp;$C1056,生产方式定位!$F$3:$J$38,5,FALSE),"错误")</f>
        <v>4190</v>
      </c>
      <c r="Y1056" s="27" t="str">
        <f t="shared" si="128"/>
        <v/>
      </c>
      <c r="Z1056" s="37" t="str">
        <f t="shared" si="129"/>
        <v/>
      </c>
      <c r="AA1056" s="37" t="str">
        <f t="shared" si="130"/>
        <v/>
      </c>
      <c r="AB1056" s="28">
        <f t="shared" si="131"/>
        <v>1.62</v>
      </c>
      <c r="AC1056" s="37"/>
      <c r="AD1056" s="38">
        <f t="shared" si="132"/>
        <v>5</v>
      </c>
      <c r="AE1056" t="str">
        <f>IFERROR(F1056&amp;"*"&amp;ROUND(L1056*(G1056/$AN1056)/VLOOKUP(F1056,商品!$A$4:$D$67,4,FALSE),0),"")</f>
        <v/>
      </c>
      <c r="AF1056" t="str">
        <f>IFERROR(H1056&amp;"*"&amp;ROUND(L1056*(I1056/$AN1056)/VLOOKUP(H1056,商品!$A$4:$D$67,4,FALSE),0),"")</f>
        <v/>
      </c>
      <c r="AG1056" t="str">
        <f>IFERROR(J1056&amp;"*"&amp;ROUND(L1056*(K1056/$AN1056)/VLOOKUP(J1056,商品!$A$4:$D$67,4,FALSE),0),"")</f>
        <v/>
      </c>
      <c r="AH1056" t="str">
        <f>IFERROR(M1056&amp;"*"&amp;ROUND(S1056*(N1056/$AO1056)/VLOOKUP(M1056,职业!$A$3:$E$16,4,FALSE),0),"")</f>
        <v/>
      </c>
      <c r="AI1056" t="str">
        <f>IFERROR(O1056&amp;"*"&amp;ROUND(S1056*(P1056/$AO1056)/VLOOKUP(O1056,职业!$A$3:$E$16,4,FALSE),0),"")</f>
        <v/>
      </c>
      <c r="AK1056" t="str">
        <f>IFERROR(T1056&amp;"*"&amp;ROUND(X1056*(U1056/$AP1056)/VLOOKUP(T1056,商品!$A$4:$D$67,4,FALSE),0),"")</f>
        <v/>
      </c>
      <c r="AL1056" t="str">
        <f>IFERROR(V1056&amp;"*"&amp;ROUND(X1056*(W1056/$AP1056)/VLOOKUP(V1056,商品!$A$4:$D$67,4,FALSE),0),"")</f>
        <v/>
      </c>
      <c r="AN1056">
        <f t="shared" si="133"/>
        <v>0</v>
      </c>
      <c r="AO1056">
        <f t="shared" si="134"/>
        <v>0</v>
      </c>
      <c r="AP1056">
        <f t="shared" si="135"/>
        <v>0</v>
      </c>
    </row>
    <row r="1057" customHeight="1" spans="1:42">
      <c r="A1057" s="5" t="s">
        <v>479</v>
      </c>
      <c r="C1057" s="5">
        <v>1</v>
      </c>
      <c r="D1057" s="1" t="s">
        <v>222</v>
      </c>
      <c r="E1057" s="1" t="s">
        <v>226</v>
      </c>
      <c r="L1057" s="1">
        <f>IFERROR(VLOOKUP($D1057&amp;$C1057,生产方式定位!$A$2:$E$38,2,FALSE)+VLOOKUP($E1057&amp;$C1057,生产方式定位!$F$3:$J$38,2,FALSE),0)</f>
        <v>0</v>
      </c>
      <c r="S1057" s="1">
        <f>IFERROR(VLOOKUP($D1057&amp;$C1057,生产方式定位!$A$2:$E$38,3,FALSE)+VLOOKUP($E1057&amp;$C1057,生产方式定位!$F$3:$J$38,3,FALSE),0)</f>
        <v>500</v>
      </c>
      <c r="X1057" s="1">
        <f>IFERROR(VLOOKUP($D1057&amp;$C1057,生产方式定位!$A$2:$E$38,5,FALSE)+VLOOKUP($E1057&amp;$C1057,生产方式定位!$F$3:$J$38,5,FALSE),"错误")</f>
        <v>250</v>
      </c>
      <c r="Y1057" s="27" t="str">
        <f t="shared" si="128"/>
        <v/>
      </c>
      <c r="Z1057" s="37" t="str">
        <f t="shared" si="129"/>
        <v/>
      </c>
      <c r="AA1057" s="37" t="str">
        <f t="shared" si="130"/>
        <v/>
      </c>
      <c r="AB1057" s="28">
        <f t="shared" si="131"/>
        <v>0</v>
      </c>
      <c r="AC1057" s="37"/>
      <c r="AD1057" s="38">
        <f t="shared" si="132"/>
        <v>1</v>
      </c>
      <c r="AE1057" t="str">
        <f>IFERROR(F1057&amp;"*"&amp;ROUND(L1057*(G1057/$AN1057)/VLOOKUP(F1057,商品!$A$4:$D$67,4,FALSE),0),"")</f>
        <v/>
      </c>
      <c r="AF1057" t="str">
        <f>IFERROR(H1057&amp;"*"&amp;ROUND(L1057*(I1057/$AN1057)/VLOOKUP(H1057,商品!$A$4:$D$67,4,FALSE),0),"")</f>
        <v/>
      </c>
      <c r="AG1057" t="str">
        <f>IFERROR(J1057&amp;"*"&amp;ROUND(L1057*(K1057/$AN1057)/VLOOKUP(J1057,商品!$A$4:$D$67,4,FALSE),0),"")</f>
        <v/>
      </c>
      <c r="AH1057" t="str">
        <f>IFERROR(M1057&amp;"*"&amp;ROUND(S1057*(N1057/$AO1057)/VLOOKUP(M1057,职业!$A$3:$E$16,4,FALSE),0),"")</f>
        <v/>
      </c>
      <c r="AI1057" t="str">
        <f>IFERROR(O1057&amp;"*"&amp;ROUND(S1057*(P1057/$AO1057)/VLOOKUP(O1057,职业!$A$3:$E$16,4,FALSE),0),"")</f>
        <v/>
      </c>
      <c r="AK1057" t="str">
        <f>IFERROR(T1057&amp;"*"&amp;ROUND(X1057*(U1057/$AP1057)/VLOOKUP(T1057,商品!$A$4:$D$67,4,FALSE),0),"")</f>
        <v/>
      </c>
      <c r="AL1057" t="str">
        <f>IFERROR(V1057&amp;"*"&amp;ROUND(X1057*(W1057/$AP1057)/VLOOKUP(V1057,商品!$A$4:$D$67,4,FALSE),0),"")</f>
        <v/>
      </c>
      <c r="AN1057">
        <f t="shared" si="133"/>
        <v>0</v>
      </c>
      <c r="AO1057">
        <f t="shared" si="134"/>
        <v>0</v>
      </c>
      <c r="AP1057">
        <f t="shared" si="135"/>
        <v>0</v>
      </c>
    </row>
    <row r="1058" customHeight="1" spans="1:42">
      <c r="A1058" s="5" t="s">
        <v>479</v>
      </c>
      <c r="C1058" s="5">
        <v>2</v>
      </c>
      <c r="D1058" s="1" t="s">
        <v>222</v>
      </c>
      <c r="E1058" s="1" t="s">
        <v>226</v>
      </c>
      <c r="L1058" s="1">
        <f>IFERROR(VLOOKUP($D1058&amp;$C1058,生产方式定位!$A$2:$E$38,2,FALSE)+VLOOKUP($E1058&amp;$C1058,生产方式定位!$F$3:$J$38,2,FALSE),0)</f>
        <v>3200</v>
      </c>
      <c r="S1058" s="1">
        <f>IFERROR(VLOOKUP($D1058&amp;$C1058,生产方式定位!$A$2:$E$38,3,FALSE)+VLOOKUP($E1058&amp;$C1058,生产方式定位!$F$3:$J$38,3,FALSE),0)</f>
        <v>350</v>
      </c>
      <c r="X1058" s="1">
        <f>IFERROR(VLOOKUP($D1058&amp;$C1058,生产方式定位!$A$2:$E$38,5,FALSE)+VLOOKUP($E1058&amp;$C1058,生产方式定位!$F$3:$J$38,5,FALSE),"错误")</f>
        <v>1865</v>
      </c>
      <c r="Y1058" s="27" t="str">
        <f t="shared" si="128"/>
        <v/>
      </c>
      <c r="Z1058" s="37" t="str">
        <f t="shared" si="129"/>
        <v/>
      </c>
      <c r="AA1058" s="37" t="str">
        <f t="shared" si="130"/>
        <v/>
      </c>
      <c r="AB1058" s="28">
        <f t="shared" si="131"/>
        <v>1.72</v>
      </c>
      <c r="AC1058" s="37"/>
      <c r="AD1058" s="38">
        <f t="shared" si="132"/>
        <v>2</v>
      </c>
      <c r="AE1058" t="str">
        <f>IFERROR(F1058&amp;"*"&amp;ROUND(L1058*(G1058/$AN1058)/VLOOKUP(F1058,商品!$A$4:$D$67,4,FALSE),0),"")</f>
        <v/>
      </c>
      <c r="AF1058" t="str">
        <f>IFERROR(H1058&amp;"*"&amp;ROUND(L1058*(I1058/$AN1058)/VLOOKUP(H1058,商品!$A$4:$D$67,4,FALSE),0),"")</f>
        <v/>
      </c>
      <c r="AG1058" t="str">
        <f>IFERROR(J1058&amp;"*"&amp;ROUND(L1058*(K1058/$AN1058)/VLOOKUP(J1058,商品!$A$4:$D$67,4,FALSE),0),"")</f>
        <v/>
      </c>
      <c r="AH1058" t="str">
        <f>IFERROR(M1058&amp;"*"&amp;ROUND(S1058*(N1058/$AO1058)/VLOOKUP(M1058,职业!$A$3:$E$16,4,FALSE),0),"")</f>
        <v/>
      </c>
      <c r="AI1058" t="str">
        <f>IFERROR(O1058&amp;"*"&amp;ROUND(S1058*(P1058/$AO1058)/VLOOKUP(O1058,职业!$A$3:$E$16,4,FALSE),0),"")</f>
        <v/>
      </c>
      <c r="AK1058" t="str">
        <f>IFERROR(T1058&amp;"*"&amp;ROUND(X1058*(U1058/$AP1058)/VLOOKUP(T1058,商品!$A$4:$D$67,4,FALSE),0),"")</f>
        <v/>
      </c>
      <c r="AL1058" t="str">
        <f>IFERROR(V1058&amp;"*"&amp;ROUND(X1058*(W1058/$AP1058)/VLOOKUP(V1058,商品!$A$4:$D$67,4,FALSE),0),"")</f>
        <v/>
      </c>
      <c r="AN1058">
        <f t="shared" si="133"/>
        <v>0</v>
      </c>
      <c r="AO1058">
        <f t="shared" si="134"/>
        <v>0</v>
      </c>
      <c r="AP1058">
        <f t="shared" si="135"/>
        <v>0</v>
      </c>
    </row>
    <row r="1059" customHeight="1" spans="1:42">
      <c r="A1059" s="5" t="s">
        <v>479</v>
      </c>
      <c r="C1059" s="5">
        <v>3</v>
      </c>
      <c r="D1059" s="1" t="s">
        <v>222</v>
      </c>
      <c r="E1059" s="1" t="s">
        <v>226</v>
      </c>
      <c r="L1059" s="1">
        <f>IFERROR(VLOOKUP($D1059&amp;$C1059,生产方式定位!$A$2:$E$38,2,FALSE)+VLOOKUP($E1059&amp;$C1059,生产方式定位!$F$3:$J$38,2,FALSE),0)</f>
        <v>4400</v>
      </c>
      <c r="S1059" s="1">
        <f>IFERROR(VLOOKUP($D1059&amp;$C1059,生产方式定位!$A$2:$E$38,3,FALSE)+VLOOKUP($E1059&amp;$C1059,生产方式定位!$F$3:$J$38,3,FALSE),0)</f>
        <v>200</v>
      </c>
      <c r="X1059" s="1">
        <f>IFERROR(VLOOKUP($D1059&amp;$C1059,生产方式定位!$A$2:$E$38,5,FALSE)+VLOOKUP($E1059&amp;$C1059,生产方式定位!$F$3:$J$38,5,FALSE),"错误")</f>
        <v>2560</v>
      </c>
      <c r="Y1059" s="27" t="str">
        <f t="shared" si="128"/>
        <v/>
      </c>
      <c r="Z1059" s="37" t="str">
        <f t="shared" si="129"/>
        <v/>
      </c>
      <c r="AA1059" s="37" t="str">
        <f t="shared" si="130"/>
        <v/>
      </c>
      <c r="AB1059" s="28">
        <f t="shared" si="131"/>
        <v>1.72</v>
      </c>
      <c r="AC1059" s="37"/>
      <c r="AD1059" s="38">
        <f t="shared" si="132"/>
        <v>3</v>
      </c>
      <c r="AE1059" t="str">
        <f>IFERROR(F1059&amp;"*"&amp;ROUND(L1059*(G1059/$AN1059)/VLOOKUP(F1059,商品!$A$4:$D$67,4,FALSE),0),"")</f>
        <v/>
      </c>
      <c r="AF1059" t="str">
        <f>IFERROR(H1059&amp;"*"&amp;ROUND(L1059*(I1059/$AN1059)/VLOOKUP(H1059,商品!$A$4:$D$67,4,FALSE),0),"")</f>
        <v/>
      </c>
      <c r="AG1059" t="str">
        <f>IFERROR(J1059&amp;"*"&amp;ROUND(L1059*(K1059/$AN1059)/VLOOKUP(J1059,商品!$A$4:$D$67,4,FALSE),0),"")</f>
        <v/>
      </c>
      <c r="AH1059" t="str">
        <f>IFERROR(M1059&amp;"*"&amp;ROUND(S1059*(N1059/$AO1059)/VLOOKUP(M1059,职业!$A$3:$E$16,4,FALSE),0),"")</f>
        <v/>
      </c>
      <c r="AI1059" t="str">
        <f>IFERROR(O1059&amp;"*"&amp;ROUND(S1059*(P1059/$AO1059)/VLOOKUP(O1059,职业!$A$3:$E$16,4,FALSE),0),"")</f>
        <v/>
      </c>
      <c r="AK1059" t="str">
        <f>IFERROR(T1059&amp;"*"&amp;ROUND(X1059*(U1059/$AP1059)/VLOOKUP(T1059,商品!$A$4:$D$67,4,FALSE),0),"")</f>
        <v/>
      </c>
      <c r="AL1059" t="str">
        <f>IFERROR(V1059&amp;"*"&amp;ROUND(X1059*(W1059/$AP1059)/VLOOKUP(V1059,商品!$A$4:$D$67,4,FALSE),0),"")</f>
        <v/>
      </c>
      <c r="AN1059">
        <f t="shared" si="133"/>
        <v>0</v>
      </c>
      <c r="AO1059">
        <f t="shared" si="134"/>
        <v>0</v>
      </c>
      <c r="AP1059">
        <f t="shared" si="135"/>
        <v>0</v>
      </c>
    </row>
    <row r="1060" customHeight="1" spans="1:42">
      <c r="A1060" s="5" t="s">
        <v>479</v>
      </c>
      <c r="C1060" s="5">
        <v>4</v>
      </c>
      <c r="D1060" s="1" t="s">
        <v>222</v>
      </c>
      <c r="E1060" s="1" t="s">
        <v>226</v>
      </c>
      <c r="L1060" s="1">
        <f>IFERROR(VLOOKUP($D1060&amp;$C1060,生产方式定位!$A$2:$E$38,2,FALSE)+VLOOKUP($E1060&amp;$C1060,生产方式定位!$F$3:$J$38,2,FALSE),0)</f>
        <v>5600</v>
      </c>
      <c r="S1060" s="1">
        <f>IFERROR(VLOOKUP($D1060&amp;$C1060,生产方式定位!$A$2:$E$38,3,FALSE)+VLOOKUP($E1060&amp;$C1060,生产方式定位!$F$3:$J$38,3,FALSE),0)</f>
        <v>50</v>
      </c>
      <c r="X1060" s="1">
        <f>IFERROR(VLOOKUP($D1060&amp;$C1060,生产方式定位!$A$2:$E$38,5,FALSE)+VLOOKUP($E1060&amp;$C1060,生产方式定位!$F$3:$J$38,5,FALSE),"错误")</f>
        <v>3335</v>
      </c>
      <c r="Y1060" s="27" t="str">
        <f t="shared" si="128"/>
        <v/>
      </c>
      <c r="Z1060" s="37" t="str">
        <f t="shared" si="129"/>
        <v/>
      </c>
      <c r="AA1060" s="37" t="str">
        <f t="shared" si="130"/>
        <v/>
      </c>
      <c r="AB1060" s="28">
        <f t="shared" si="131"/>
        <v>1.68</v>
      </c>
      <c r="AC1060" s="37"/>
      <c r="AD1060" s="38">
        <f t="shared" si="132"/>
        <v>4</v>
      </c>
      <c r="AE1060" t="str">
        <f>IFERROR(F1060&amp;"*"&amp;ROUND(L1060*(G1060/$AN1060)/VLOOKUP(F1060,商品!$A$4:$D$67,4,FALSE),0),"")</f>
        <v/>
      </c>
      <c r="AF1060" t="str">
        <f>IFERROR(H1060&amp;"*"&amp;ROUND(L1060*(I1060/$AN1060)/VLOOKUP(H1060,商品!$A$4:$D$67,4,FALSE),0),"")</f>
        <v/>
      </c>
      <c r="AG1060" t="str">
        <f>IFERROR(J1060&amp;"*"&amp;ROUND(L1060*(K1060/$AN1060)/VLOOKUP(J1060,商品!$A$4:$D$67,4,FALSE),0),"")</f>
        <v/>
      </c>
      <c r="AH1060" t="str">
        <f>IFERROR(M1060&amp;"*"&amp;ROUND(S1060*(N1060/$AO1060)/VLOOKUP(M1060,职业!$A$3:$E$16,4,FALSE),0),"")</f>
        <v/>
      </c>
      <c r="AI1060" t="str">
        <f>IFERROR(O1060&amp;"*"&amp;ROUND(S1060*(P1060/$AO1060)/VLOOKUP(O1060,职业!$A$3:$E$16,4,FALSE),0),"")</f>
        <v/>
      </c>
      <c r="AK1060" t="str">
        <f>IFERROR(T1060&amp;"*"&amp;ROUND(X1060*(U1060/$AP1060)/VLOOKUP(T1060,商品!$A$4:$D$67,4,FALSE),0),"")</f>
        <v/>
      </c>
      <c r="AL1060" t="str">
        <f>IFERROR(V1060&amp;"*"&amp;ROUND(X1060*(W1060/$AP1060)/VLOOKUP(V1060,商品!$A$4:$D$67,4,FALSE),0),"")</f>
        <v/>
      </c>
      <c r="AN1060">
        <f t="shared" si="133"/>
        <v>0</v>
      </c>
      <c r="AO1060">
        <f t="shared" si="134"/>
        <v>0</v>
      </c>
      <c r="AP1060">
        <f t="shared" si="135"/>
        <v>0</v>
      </c>
    </row>
    <row r="1061" customHeight="1" spans="1:42">
      <c r="A1061" s="5" t="s">
        <v>479</v>
      </c>
      <c r="C1061" s="5">
        <v>5</v>
      </c>
      <c r="D1061" s="1" t="s">
        <v>222</v>
      </c>
      <c r="E1061" s="1" t="s">
        <v>226</v>
      </c>
      <c r="L1061" s="1">
        <f>IFERROR(VLOOKUP($D1061&amp;$C1061,生产方式定位!$A$2:$E$38,2,FALSE)+VLOOKUP($E1061&amp;$C1061,生产方式定位!$F$3:$J$38,2,FALSE),0)</f>
        <v>6800</v>
      </c>
      <c r="S1061" s="1">
        <f>IFERROR(VLOOKUP($D1061&amp;$C1061,生产方式定位!$A$2:$E$38,3,FALSE)+VLOOKUP($E1061&amp;$C1061,生产方式定位!$F$3:$J$38,3,FALSE),0)</f>
        <v>-100</v>
      </c>
      <c r="X1061" s="1">
        <f>IFERROR(VLOOKUP($D1061&amp;$C1061,生产方式定位!$A$2:$E$38,5,FALSE)+VLOOKUP($E1061&amp;$C1061,生产方式定位!$F$3:$J$38,5,FALSE),"错误")</f>
        <v>4190</v>
      </c>
      <c r="Y1061" s="27" t="str">
        <f t="shared" si="128"/>
        <v/>
      </c>
      <c r="Z1061" s="37" t="str">
        <f t="shared" si="129"/>
        <v/>
      </c>
      <c r="AA1061" s="37" t="str">
        <f t="shared" si="130"/>
        <v/>
      </c>
      <c r="AB1061" s="28">
        <f t="shared" si="131"/>
        <v>1.62</v>
      </c>
      <c r="AC1061" s="37"/>
      <c r="AD1061" s="38">
        <f t="shared" si="132"/>
        <v>5</v>
      </c>
      <c r="AE1061" t="str">
        <f>IFERROR(F1061&amp;"*"&amp;ROUND(L1061*(G1061/$AN1061)/VLOOKUP(F1061,商品!$A$4:$D$67,4,FALSE),0),"")</f>
        <v/>
      </c>
      <c r="AF1061" t="str">
        <f>IFERROR(H1061&amp;"*"&amp;ROUND(L1061*(I1061/$AN1061)/VLOOKUP(H1061,商品!$A$4:$D$67,4,FALSE),0),"")</f>
        <v/>
      </c>
      <c r="AG1061" t="str">
        <f>IFERROR(J1061&amp;"*"&amp;ROUND(L1061*(K1061/$AN1061)/VLOOKUP(J1061,商品!$A$4:$D$67,4,FALSE),0),"")</f>
        <v/>
      </c>
      <c r="AH1061" t="str">
        <f>IFERROR(M1061&amp;"*"&amp;ROUND(S1061*(N1061/$AO1061)/VLOOKUP(M1061,职业!$A$3:$E$16,4,FALSE),0),"")</f>
        <v/>
      </c>
      <c r="AI1061" t="str">
        <f>IFERROR(O1061&amp;"*"&amp;ROUND(S1061*(P1061/$AO1061)/VLOOKUP(O1061,职业!$A$3:$E$16,4,FALSE),0),"")</f>
        <v/>
      </c>
      <c r="AK1061" t="str">
        <f>IFERROR(T1061&amp;"*"&amp;ROUND(X1061*(U1061/$AP1061)/VLOOKUP(T1061,商品!$A$4:$D$67,4,FALSE),0),"")</f>
        <v/>
      </c>
      <c r="AL1061" t="str">
        <f>IFERROR(V1061&amp;"*"&amp;ROUND(X1061*(W1061/$AP1061)/VLOOKUP(V1061,商品!$A$4:$D$67,4,FALSE),0),"")</f>
        <v/>
      </c>
      <c r="AN1061">
        <f t="shared" si="133"/>
        <v>0</v>
      </c>
      <c r="AO1061">
        <f t="shared" si="134"/>
        <v>0</v>
      </c>
      <c r="AP1061">
        <f t="shared" si="135"/>
        <v>0</v>
      </c>
    </row>
    <row r="1062" customHeight="1" spans="1:42">
      <c r="A1062" s="18" t="s">
        <v>480</v>
      </c>
      <c r="C1062" s="18">
        <v>1</v>
      </c>
      <c r="D1062" s="1" t="s">
        <v>293</v>
      </c>
      <c r="E1062" s="1" t="s">
        <v>227</v>
      </c>
      <c r="L1062" s="1">
        <f>IFERROR(VLOOKUP($D1062&amp;$C1062,生产方式定位!$A$2:$E$38,2,FALSE)+VLOOKUP($E1062&amp;$C1062,生产方式定位!$F$3:$J$38,2,FALSE),0)</f>
        <v>0</v>
      </c>
      <c r="S1062" s="1">
        <f>IFERROR(VLOOKUP($D1062&amp;$C1062,生产方式定位!$A$2:$E$38,3,FALSE)+VLOOKUP($E1062&amp;$C1062,生产方式定位!$F$3:$J$38,3,FALSE),0)</f>
        <v>0</v>
      </c>
      <c r="X1062" s="1">
        <f>IFERROR(VLOOKUP($D1062&amp;$C1062,生产方式定位!$A$2:$E$38,5,FALSE)+VLOOKUP($E1062&amp;$C1062,生产方式定位!$F$3:$J$38,5,FALSE),"错误")</f>
        <v>0</v>
      </c>
      <c r="Y1062" s="27" t="str">
        <f t="shared" si="128"/>
        <v/>
      </c>
      <c r="Z1062" s="37" t="str">
        <f t="shared" si="129"/>
        <v/>
      </c>
      <c r="AA1062" s="37" t="str">
        <f t="shared" si="130"/>
        <v/>
      </c>
      <c r="AB1062" s="28" t="str">
        <f t="shared" si="131"/>
        <v/>
      </c>
      <c r="AC1062" s="37"/>
      <c r="AD1062" s="38">
        <f t="shared" si="132"/>
        <v>1</v>
      </c>
      <c r="AE1062" t="str">
        <f>IFERROR(F1062&amp;"*"&amp;ROUND(L1062*(G1062/$AN1062)/VLOOKUP(F1062,商品!$A$4:$D$67,4,FALSE),0),"")</f>
        <v/>
      </c>
      <c r="AF1062" t="str">
        <f>IFERROR(H1062&amp;"*"&amp;ROUND(L1062*(I1062/$AN1062)/VLOOKUP(H1062,商品!$A$4:$D$67,4,FALSE),0),"")</f>
        <v/>
      </c>
      <c r="AG1062" t="str">
        <f>IFERROR(J1062&amp;"*"&amp;ROUND(L1062*(K1062/$AN1062)/VLOOKUP(J1062,商品!$A$4:$D$67,4,FALSE),0),"")</f>
        <v/>
      </c>
      <c r="AH1062" t="str">
        <f>IFERROR(M1062&amp;"*"&amp;ROUND(S1062*(N1062/$AO1062)/VLOOKUP(M1062,职业!$A$3:$E$16,4,FALSE),0),"")</f>
        <v/>
      </c>
      <c r="AI1062" t="str">
        <f>IFERROR(O1062&amp;"*"&amp;ROUND(S1062*(P1062/$AO1062)/VLOOKUP(O1062,职业!$A$3:$E$16,4,FALSE),0),"")</f>
        <v/>
      </c>
      <c r="AK1062" t="str">
        <f>IFERROR(T1062&amp;"*"&amp;ROUND(X1062*(U1062/$AP1062)/VLOOKUP(T1062,商品!$A$4:$D$67,4,FALSE),0),"")</f>
        <v/>
      </c>
      <c r="AL1062" t="str">
        <f>IFERROR(V1062&amp;"*"&amp;ROUND(X1062*(W1062/$AP1062)/VLOOKUP(V1062,商品!$A$4:$D$67,4,FALSE),0),"")</f>
        <v/>
      </c>
      <c r="AN1062">
        <f t="shared" si="133"/>
        <v>0</v>
      </c>
      <c r="AO1062">
        <f t="shared" si="134"/>
        <v>0</v>
      </c>
      <c r="AP1062">
        <f t="shared" si="135"/>
        <v>0</v>
      </c>
    </row>
    <row r="1063" customHeight="1" spans="1:42">
      <c r="A1063" s="18" t="s">
        <v>480</v>
      </c>
      <c r="C1063" s="18">
        <v>2</v>
      </c>
      <c r="D1063" s="1" t="s">
        <v>293</v>
      </c>
      <c r="E1063" s="1" t="s">
        <v>227</v>
      </c>
      <c r="L1063" s="1">
        <f>IFERROR(VLOOKUP($D1063&amp;$C1063,生产方式定位!$A$2:$E$38,2,FALSE)+VLOOKUP($E1063&amp;$C1063,生产方式定位!$F$3:$J$38,2,FALSE),0)</f>
        <v>0</v>
      </c>
      <c r="S1063" s="1">
        <f>IFERROR(VLOOKUP($D1063&amp;$C1063,生产方式定位!$A$2:$E$38,3,FALSE)+VLOOKUP($E1063&amp;$C1063,生产方式定位!$F$3:$J$38,3,FALSE),0)</f>
        <v>0</v>
      </c>
      <c r="X1063" s="1">
        <f>IFERROR(VLOOKUP($D1063&amp;$C1063,生产方式定位!$A$2:$E$38,5,FALSE)+VLOOKUP($E1063&amp;$C1063,生产方式定位!$F$3:$J$38,5,FALSE),"错误")</f>
        <v>0</v>
      </c>
      <c r="Y1063" s="27" t="str">
        <f t="shared" si="128"/>
        <v/>
      </c>
      <c r="Z1063" s="37" t="str">
        <f t="shared" si="129"/>
        <v/>
      </c>
      <c r="AA1063" s="37" t="str">
        <f t="shared" si="130"/>
        <v/>
      </c>
      <c r="AB1063" s="28" t="str">
        <f t="shared" si="131"/>
        <v/>
      </c>
      <c r="AC1063" s="37"/>
      <c r="AD1063" s="38">
        <f t="shared" si="132"/>
        <v>2</v>
      </c>
      <c r="AE1063" t="str">
        <f>IFERROR(F1063&amp;"*"&amp;ROUND(L1063*(G1063/$AN1063)/VLOOKUP(F1063,商品!$A$4:$D$67,4,FALSE),0),"")</f>
        <v/>
      </c>
      <c r="AF1063" t="str">
        <f>IFERROR(H1063&amp;"*"&amp;ROUND(L1063*(I1063/$AN1063)/VLOOKUP(H1063,商品!$A$4:$D$67,4,FALSE),0),"")</f>
        <v/>
      </c>
      <c r="AG1063" t="str">
        <f>IFERROR(J1063&amp;"*"&amp;ROUND(L1063*(K1063/$AN1063)/VLOOKUP(J1063,商品!$A$4:$D$67,4,FALSE),0),"")</f>
        <v/>
      </c>
      <c r="AH1063" t="str">
        <f>IFERROR(M1063&amp;"*"&amp;ROUND(S1063*(N1063/$AO1063)/VLOOKUP(M1063,职业!$A$3:$E$16,4,FALSE),0),"")</f>
        <v/>
      </c>
      <c r="AI1063" t="str">
        <f>IFERROR(O1063&amp;"*"&amp;ROUND(S1063*(P1063/$AO1063)/VLOOKUP(O1063,职业!$A$3:$E$16,4,FALSE),0),"")</f>
        <v/>
      </c>
      <c r="AK1063" t="str">
        <f>IFERROR(T1063&amp;"*"&amp;ROUND(X1063*(U1063/$AP1063)/VLOOKUP(T1063,商品!$A$4:$D$67,4,FALSE),0),"")</f>
        <v/>
      </c>
      <c r="AL1063" t="str">
        <f>IFERROR(V1063&amp;"*"&amp;ROUND(X1063*(W1063/$AP1063)/VLOOKUP(V1063,商品!$A$4:$D$67,4,FALSE),0),"")</f>
        <v/>
      </c>
      <c r="AN1063">
        <f t="shared" si="133"/>
        <v>0</v>
      </c>
      <c r="AO1063">
        <f t="shared" si="134"/>
        <v>0</v>
      </c>
      <c r="AP1063">
        <f t="shared" si="135"/>
        <v>0</v>
      </c>
    </row>
    <row r="1064" customHeight="1" spans="1:42">
      <c r="A1064" s="18" t="s">
        <v>480</v>
      </c>
      <c r="C1064" s="18">
        <v>3</v>
      </c>
      <c r="D1064" s="1" t="s">
        <v>293</v>
      </c>
      <c r="E1064" s="1" t="s">
        <v>227</v>
      </c>
      <c r="L1064" s="1">
        <f>IFERROR(VLOOKUP($D1064&amp;$C1064,生产方式定位!$A$2:$E$38,2,FALSE)+VLOOKUP($E1064&amp;$C1064,生产方式定位!$F$3:$J$38,2,FALSE),0)</f>
        <v>0</v>
      </c>
      <c r="S1064" s="1">
        <f>IFERROR(VLOOKUP($D1064&amp;$C1064,生产方式定位!$A$2:$E$38,3,FALSE)+VLOOKUP($E1064&amp;$C1064,生产方式定位!$F$3:$J$38,3,FALSE),0)</f>
        <v>0</v>
      </c>
      <c r="X1064" s="1">
        <f>IFERROR(VLOOKUP($D1064&amp;$C1064,生产方式定位!$A$2:$E$38,5,FALSE)+VLOOKUP($E1064&amp;$C1064,生产方式定位!$F$3:$J$38,5,FALSE),"错误")</f>
        <v>0</v>
      </c>
      <c r="Y1064" s="27" t="str">
        <f t="shared" si="128"/>
        <v/>
      </c>
      <c r="Z1064" s="37" t="str">
        <f t="shared" si="129"/>
        <v/>
      </c>
      <c r="AA1064" s="37" t="str">
        <f t="shared" si="130"/>
        <v/>
      </c>
      <c r="AB1064" s="28" t="str">
        <f t="shared" si="131"/>
        <v/>
      </c>
      <c r="AC1064" s="37"/>
      <c r="AD1064" s="38">
        <f t="shared" si="132"/>
        <v>3</v>
      </c>
      <c r="AE1064" t="str">
        <f>IFERROR(F1064&amp;"*"&amp;ROUND(L1064*(G1064/$AN1064)/VLOOKUP(F1064,商品!$A$4:$D$67,4,FALSE),0),"")</f>
        <v/>
      </c>
      <c r="AF1064" t="str">
        <f>IFERROR(H1064&amp;"*"&amp;ROUND(L1064*(I1064/$AN1064)/VLOOKUP(H1064,商品!$A$4:$D$67,4,FALSE),0),"")</f>
        <v/>
      </c>
      <c r="AG1064" t="str">
        <f>IFERROR(J1064&amp;"*"&amp;ROUND(L1064*(K1064/$AN1064)/VLOOKUP(J1064,商品!$A$4:$D$67,4,FALSE),0),"")</f>
        <v/>
      </c>
      <c r="AH1064" t="str">
        <f>IFERROR(M1064&amp;"*"&amp;ROUND(S1064*(N1064/$AO1064)/VLOOKUP(M1064,职业!$A$3:$E$16,4,FALSE),0),"")</f>
        <v/>
      </c>
      <c r="AI1064" t="str">
        <f>IFERROR(O1064&amp;"*"&amp;ROUND(S1064*(P1064/$AO1064)/VLOOKUP(O1064,职业!$A$3:$E$16,4,FALSE),0),"")</f>
        <v/>
      </c>
      <c r="AK1064" t="str">
        <f>IFERROR(T1064&amp;"*"&amp;ROUND(X1064*(U1064/$AP1064)/VLOOKUP(T1064,商品!$A$4:$D$67,4,FALSE),0),"")</f>
        <v/>
      </c>
      <c r="AL1064" t="str">
        <f>IFERROR(V1064&amp;"*"&amp;ROUND(X1064*(W1064/$AP1064)/VLOOKUP(V1064,商品!$A$4:$D$67,4,FALSE),0),"")</f>
        <v/>
      </c>
      <c r="AN1064">
        <f t="shared" si="133"/>
        <v>0</v>
      </c>
      <c r="AO1064">
        <f t="shared" si="134"/>
        <v>0</v>
      </c>
      <c r="AP1064">
        <f t="shared" si="135"/>
        <v>0</v>
      </c>
    </row>
    <row r="1065" customHeight="1" spans="1:42">
      <c r="A1065" s="18" t="s">
        <v>480</v>
      </c>
      <c r="C1065" s="18">
        <v>4</v>
      </c>
      <c r="D1065" s="1" t="s">
        <v>293</v>
      </c>
      <c r="E1065" s="1" t="s">
        <v>227</v>
      </c>
      <c r="L1065" s="1">
        <f>IFERROR(VLOOKUP($D1065&amp;$C1065,生产方式定位!$A$2:$E$38,2,FALSE)+VLOOKUP($E1065&amp;$C1065,生产方式定位!$F$3:$J$38,2,FALSE),0)</f>
        <v>0</v>
      </c>
      <c r="S1065" s="1">
        <f>IFERROR(VLOOKUP($D1065&amp;$C1065,生产方式定位!$A$2:$E$38,3,FALSE)+VLOOKUP($E1065&amp;$C1065,生产方式定位!$F$3:$J$38,3,FALSE),0)</f>
        <v>0</v>
      </c>
      <c r="X1065" s="1">
        <f>IFERROR(VLOOKUP($D1065&amp;$C1065,生产方式定位!$A$2:$E$38,5,FALSE)+VLOOKUP($E1065&amp;$C1065,生产方式定位!$F$3:$J$38,5,FALSE),"错误")</f>
        <v>0</v>
      </c>
      <c r="Y1065" s="27" t="str">
        <f t="shared" si="128"/>
        <v/>
      </c>
      <c r="Z1065" s="37" t="str">
        <f t="shared" si="129"/>
        <v/>
      </c>
      <c r="AA1065" s="37" t="str">
        <f t="shared" si="130"/>
        <v/>
      </c>
      <c r="AB1065" s="28" t="str">
        <f t="shared" si="131"/>
        <v/>
      </c>
      <c r="AC1065" s="37"/>
      <c r="AD1065" s="38">
        <f t="shared" si="132"/>
        <v>4</v>
      </c>
      <c r="AE1065" t="str">
        <f>IFERROR(F1065&amp;"*"&amp;ROUND(L1065*(G1065/$AN1065)/VLOOKUP(F1065,商品!$A$4:$D$67,4,FALSE),0),"")</f>
        <v/>
      </c>
      <c r="AF1065" t="str">
        <f>IFERROR(H1065&amp;"*"&amp;ROUND(L1065*(I1065/$AN1065)/VLOOKUP(H1065,商品!$A$4:$D$67,4,FALSE),0),"")</f>
        <v/>
      </c>
      <c r="AG1065" t="str">
        <f>IFERROR(J1065&amp;"*"&amp;ROUND(L1065*(K1065/$AN1065)/VLOOKUP(J1065,商品!$A$4:$D$67,4,FALSE),0),"")</f>
        <v/>
      </c>
      <c r="AH1065" t="str">
        <f>IFERROR(M1065&amp;"*"&amp;ROUND(S1065*(N1065/$AO1065)/VLOOKUP(M1065,职业!$A$3:$E$16,4,FALSE),0),"")</f>
        <v/>
      </c>
      <c r="AI1065" t="str">
        <f>IFERROR(O1065&amp;"*"&amp;ROUND(S1065*(P1065/$AO1065)/VLOOKUP(O1065,职业!$A$3:$E$16,4,FALSE),0),"")</f>
        <v/>
      </c>
      <c r="AK1065" t="str">
        <f>IFERROR(T1065&amp;"*"&amp;ROUND(X1065*(U1065/$AP1065)/VLOOKUP(T1065,商品!$A$4:$D$67,4,FALSE),0),"")</f>
        <v/>
      </c>
      <c r="AL1065" t="str">
        <f>IFERROR(V1065&amp;"*"&amp;ROUND(X1065*(W1065/$AP1065)/VLOOKUP(V1065,商品!$A$4:$D$67,4,FALSE),0),"")</f>
        <v/>
      </c>
      <c r="AN1065">
        <f t="shared" si="133"/>
        <v>0</v>
      </c>
      <c r="AO1065">
        <f t="shared" si="134"/>
        <v>0</v>
      </c>
      <c r="AP1065">
        <f t="shared" si="135"/>
        <v>0</v>
      </c>
    </row>
    <row r="1066" customHeight="1" spans="1:42">
      <c r="A1066" s="18" t="s">
        <v>480</v>
      </c>
      <c r="C1066" s="18">
        <v>5</v>
      </c>
      <c r="D1066" s="1" t="s">
        <v>293</v>
      </c>
      <c r="E1066" s="1" t="s">
        <v>227</v>
      </c>
      <c r="L1066" s="1">
        <f>IFERROR(VLOOKUP($D1066&amp;$C1066,生产方式定位!$A$2:$E$38,2,FALSE)+VLOOKUP($E1066&amp;$C1066,生产方式定位!$F$3:$J$38,2,FALSE),0)</f>
        <v>0</v>
      </c>
      <c r="S1066" s="1">
        <f>IFERROR(VLOOKUP($D1066&amp;$C1066,生产方式定位!$A$2:$E$38,3,FALSE)+VLOOKUP($E1066&amp;$C1066,生产方式定位!$F$3:$J$38,3,FALSE),0)</f>
        <v>0</v>
      </c>
      <c r="X1066" s="1">
        <f>IFERROR(VLOOKUP($D1066&amp;$C1066,生产方式定位!$A$2:$E$38,5,FALSE)+VLOOKUP($E1066&amp;$C1066,生产方式定位!$F$3:$J$38,5,FALSE),"错误")</f>
        <v>0</v>
      </c>
      <c r="Y1066" s="27" t="str">
        <f t="shared" si="128"/>
        <v/>
      </c>
      <c r="Z1066" s="37" t="str">
        <f t="shared" si="129"/>
        <v/>
      </c>
      <c r="AA1066" s="37" t="str">
        <f t="shared" si="130"/>
        <v/>
      </c>
      <c r="AB1066" s="28" t="str">
        <f t="shared" si="131"/>
        <v/>
      </c>
      <c r="AC1066" s="37"/>
      <c r="AD1066" s="38">
        <f t="shared" si="132"/>
        <v>5</v>
      </c>
      <c r="AE1066" t="str">
        <f>IFERROR(F1066&amp;"*"&amp;ROUND(L1066*(G1066/$AN1066)/VLOOKUP(F1066,商品!$A$4:$D$67,4,FALSE),0),"")</f>
        <v/>
      </c>
      <c r="AF1066" t="str">
        <f>IFERROR(H1066&amp;"*"&amp;ROUND(L1066*(I1066/$AN1066)/VLOOKUP(H1066,商品!$A$4:$D$67,4,FALSE),0),"")</f>
        <v/>
      </c>
      <c r="AG1066" t="str">
        <f>IFERROR(J1066&amp;"*"&amp;ROUND(L1066*(K1066/$AN1066)/VLOOKUP(J1066,商品!$A$4:$D$67,4,FALSE),0),"")</f>
        <v/>
      </c>
      <c r="AH1066" t="str">
        <f>IFERROR(M1066&amp;"*"&amp;ROUND(S1066*(N1066/$AO1066)/VLOOKUP(M1066,职业!$A$3:$E$16,4,FALSE),0),"")</f>
        <v/>
      </c>
      <c r="AI1066" t="str">
        <f>IFERROR(O1066&amp;"*"&amp;ROUND(S1066*(P1066/$AO1066)/VLOOKUP(O1066,职业!$A$3:$E$16,4,FALSE),0),"")</f>
        <v/>
      </c>
      <c r="AK1066" t="str">
        <f>IFERROR(T1066&amp;"*"&amp;ROUND(X1066*(U1066/$AP1066)/VLOOKUP(T1066,商品!$A$4:$D$67,4,FALSE),0),"")</f>
        <v/>
      </c>
      <c r="AL1066" t="str">
        <f>IFERROR(V1066&amp;"*"&amp;ROUND(X1066*(W1066/$AP1066)/VLOOKUP(V1066,商品!$A$4:$D$67,4,FALSE),0),"")</f>
        <v/>
      </c>
      <c r="AN1066">
        <f t="shared" si="133"/>
        <v>0</v>
      </c>
      <c r="AO1066">
        <f t="shared" si="134"/>
        <v>0</v>
      </c>
      <c r="AP1066">
        <f t="shared" si="135"/>
        <v>0</v>
      </c>
    </row>
    <row r="1067" customHeight="1" spans="1:42">
      <c r="A1067" s="18" t="s">
        <v>480</v>
      </c>
      <c r="C1067" s="18">
        <v>6</v>
      </c>
      <c r="D1067" s="1" t="s">
        <v>293</v>
      </c>
      <c r="E1067" s="1" t="s">
        <v>227</v>
      </c>
      <c r="L1067" s="1">
        <f>IFERROR(VLOOKUP($D1067&amp;$C1067,生产方式定位!$A$2:$E$38,2,FALSE)+VLOOKUP($E1067&amp;$C1067,生产方式定位!$F$3:$J$38,2,FALSE),0)</f>
        <v>0</v>
      </c>
      <c r="S1067" s="1">
        <f>IFERROR(VLOOKUP($D1067&amp;$C1067,生产方式定位!$A$2:$E$38,3,FALSE)+VLOOKUP($E1067&amp;$C1067,生产方式定位!$F$3:$J$38,3,FALSE),0)</f>
        <v>0</v>
      </c>
      <c r="X1067" s="1">
        <f>IFERROR(VLOOKUP($D1067&amp;$C1067,生产方式定位!$A$2:$E$38,5,FALSE)+VLOOKUP($E1067&amp;$C1067,生产方式定位!$F$3:$J$38,5,FALSE),"错误")</f>
        <v>0</v>
      </c>
      <c r="Y1067" s="27" t="str">
        <f t="shared" si="128"/>
        <v/>
      </c>
      <c r="Z1067" s="37" t="str">
        <f t="shared" si="129"/>
        <v/>
      </c>
      <c r="AA1067" s="37" t="str">
        <f t="shared" si="130"/>
        <v/>
      </c>
      <c r="AB1067" s="28" t="str">
        <f t="shared" si="131"/>
        <v/>
      </c>
      <c r="AC1067" s="37"/>
      <c r="AD1067" s="38">
        <f t="shared" si="132"/>
        <v>6</v>
      </c>
      <c r="AE1067" t="str">
        <f>IFERROR(F1067&amp;"*"&amp;ROUND(L1067*(G1067/$AN1067)/VLOOKUP(F1067,商品!$A$4:$D$67,4,FALSE),0),"")</f>
        <v/>
      </c>
      <c r="AF1067" t="str">
        <f>IFERROR(H1067&amp;"*"&amp;ROUND(L1067*(I1067/$AN1067)/VLOOKUP(H1067,商品!$A$4:$D$67,4,FALSE),0),"")</f>
        <v/>
      </c>
      <c r="AG1067" t="str">
        <f>IFERROR(J1067&amp;"*"&amp;ROUND(L1067*(K1067/$AN1067)/VLOOKUP(J1067,商品!$A$4:$D$67,4,FALSE),0),"")</f>
        <v/>
      </c>
      <c r="AH1067" t="str">
        <f>IFERROR(M1067&amp;"*"&amp;ROUND(S1067*(N1067/$AO1067)/VLOOKUP(M1067,职业!$A$3:$E$16,4,FALSE),0),"")</f>
        <v/>
      </c>
      <c r="AI1067" t="str">
        <f>IFERROR(O1067&amp;"*"&amp;ROUND(S1067*(P1067/$AO1067)/VLOOKUP(O1067,职业!$A$3:$E$16,4,FALSE),0),"")</f>
        <v/>
      </c>
      <c r="AK1067" t="str">
        <f>IFERROR(T1067&amp;"*"&amp;ROUND(X1067*(U1067/$AP1067)/VLOOKUP(T1067,商品!$A$4:$D$67,4,FALSE),0),"")</f>
        <v/>
      </c>
      <c r="AL1067" t="str">
        <f>IFERROR(V1067&amp;"*"&amp;ROUND(X1067*(W1067/$AP1067)/VLOOKUP(V1067,商品!$A$4:$D$67,4,FALSE),0),"")</f>
        <v/>
      </c>
      <c r="AN1067">
        <f t="shared" si="133"/>
        <v>0</v>
      </c>
      <c r="AO1067">
        <f t="shared" si="134"/>
        <v>0</v>
      </c>
      <c r="AP1067">
        <f t="shared" si="135"/>
        <v>0</v>
      </c>
    </row>
    <row r="1068" customHeight="1" spans="1:42">
      <c r="A1068" s="18" t="s">
        <v>480</v>
      </c>
      <c r="C1068" s="18">
        <v>7</v>
      </c>
      <c r="D1068" s="1" t="s">
        <v>293</v>
      </c>
      <c r="E1068" s="1" t="s">
        <v>227</v>
      </c>
      <c r="L1068" s="1">
        <f>IFERROR(VLOOKUP($D1068&amp;$C1068,生产方式定位!$A$2:$E$38,2,FALSE)+VLOOKUP($E1068&amp;$C1068,生产方式定位!$F$3:$J$38,2,FALSE),0)</f>
        <v>0</v>
      </c>
      <c r="S1068" s="1">
        <f>IFERROR(VLOOKUP($D1068&amp;$C1068,生产方式定位!$A$2:$E$38,3,FALSE)+VLOOKUP($E1068&amp;$C1068,生产方式定位!$F$3:$J$38,3,FALSE),0)</f>
        <v>0</v>
      </c>
      <c r="X1068" s="1">
        <f>IFERROR(VLOOKUP($D1068&amp;$C1068,生产方式定位!$A$2:$E$38,5,FALSE)+VLOOKUP($E1068&amp;$C1068,生产方式定位!$F$3:$J$38,5,FALSE),"错误")</f>
        <v>0</v>
      </c>
      <c r="Y1068" s="27" t="str">
        <f t="shared" si="128"/>
        <v/>
      </c>
      <c r="Z1068" s="37" t="str">
        <f t="shared" si="129"/>
        <v/>
      </c>
      <c r="AA1068" s="37" t="str">
        <f t="shared" si="130"/>
        <v/>
      </c>
      <c r="AB1068" s="28" t="str">
        <f t="shared" si="131"/>
        <v/>
      </c>
      <c r="AC1068" s="37"/>
      <c r="AD1068" s="38">
        <f t="shared" si="132"/>
        <v>7</v>
      </c>
      <c r="AE1068" t="str">
        <f>IFERROR(F1068&amp;"*"&amp;ROUND(L1068*(G1068/$AN1068)/VLOOKUP(F1068,商品!$A$4:$D$67,4,FALSE),0),"")</f>
        <v/>
      </c>
      <c r="AF1068" t="str">
        <f>IFERROR(H1068&amp;"*"&amp;ROUND(L1068*(I1068/$AN1068)/VLOOKUP(H1068,商品!$A$4:$D$67,4,FALSE),0),"")</f>
        <v/>
      </c>
      <c r="AG1068" t="str">
        <f>IFERROR(J1068&amp;"*"&amp;ROUND(L1068*(K1068/$AN1068)/VLOOKUP(J1068,商品!$A$4:$D$67,4,FALSE),0),"")</f>
        <v/>
      </c>
      <c r="AH1068" t="str">
        <f>IFERROR(M1068&amp;"*"&amp;ROUND(S1068*(N1068/$AO1068)/VLOOKUP(M1068,职业!$A$3:$E$16,4,FALSE),0),"")</f>
        <v/>
      </c>
      <c r="AI1068" t="str">
        <f>IFERROR(O1068&amp;"*"&amp;ROUND(S1068*(P1068/$AO1068)/VLOOKUP(O1068,职业!$A$3:$E$16,4,FALSE),0),"")</f>
        <v/>
      </c>
      <c r="AK1068" t="str">
        <f>IFERROR(T1068&amp;"*"&amp;ROUND(X1068*(U1068/$AP1068)/VLOOKUP(T1068,商品!$A$4:$D$67,4,FALSE),0),"")</f>
        <v/>
      </c>
      <c r="AL1068" t="str">
        <f>IFERROR(V1068&amp;"*"&amp;ROUND(X1068*(W1068/$AP1068)/VLOOKUP(V1068,商品!$A$4:$D$67,4,FALSE),0),"")</f>
        <v/>
      </c>
      <c r="AN1068">
        <f t="shared" si="133"/>
        <v>0</v>
      </c>
      <c r="AO1068">
        <f t="shared" si="134"/>
        <v>0</v>
      </c>
      <c r="AP1068">
        <f t="shared" si="135"/>
        <v>0</v>
      </c>
    </row>
    <row r="1069" customHeight="1" spans="1:42">
      <c r="A1069" s="18" t="s">
        <v>480</v>
      </c>
      <c r="C1069" s="18">
        <v>8</v>
      </c>
      <c r="D1069" s="1" t="s">
        <v>293</v>
      </c>
      <c r="E1069" s="1" t="s">
        <v>227</v>
      </c>
      <c r="L1069" s="1">
        <f>IFERROR(VLOOKUP($D1069&amp;$C1069,生产方式定位!$A$2:$E$38,2,FALSE)+VLOOKUP($E1069&amp;$C1069,生产方式定位!$F$3:$J$38,2,FALSE),0)</f>
        <v>0</v>
      </c>
      <c r="S1069" s="1">
        <f>IFERROR(VLOOKUP($D1069&amp;$C1069,生产方式定位!$A$2:$E$38,3,FALSE)+VLOOKUP($E1069&amp;$C1069,生产方式定位!$F$3:$J$38,3,FALSE),0)</f>
        <v>0</v>
      </c>
      <c r="X1069" s="1">
        <f>IFERROR(VLOOKUP($D1069&amp;$C1069,生产方式定位!$A$2:$E$38,5,FALSE)+VLOOKUP($E1069&amp;$C1069,生产方式定位!$F$3:$J$38,5,FALSE),"错误")</f>
        <v>0</v>
      </c>
      <c r="Y1069" s="27" t="str">
        <f t="shared" si="128"/>
        <v/>
      </c>
      <c r="Z1069" s="37" t="str">
        <f t="shared" si="129"/>
        <v/>
      </c>
      <c r="AA1069" s="37" t="str">
        <f t="shared" si="130"/>
        <v/>
      </c>
      <c r="AB1069" s="28" t="str">
        <f t="shared" si="131"/>
        <v/>
      </c>
      <c r="AC1069" s="37"/>
      <c r="AD1069" s="38">
        <f t="shared" si="132"/>
        <v>8</v>
      </c>
      <c r="AE1069" t="str">
        <f>IFERROR(F1069&amp;"*"&amp;ROUND(L1069*(G1069/$AN1069)/VLOOKUP(F1069,商品!$A$4:$D$67,4,FALSE),0),"")</f>
        <v/>
      </c>
      <c r="AF1069" t="str">
        <f>IFERROR(H1069&amp;"*"&amp;ROUND(L1069*(I1069/$AN1069)/VLOOKUP(H1069,商品!$A$4:$D$67,4,FALSE),0),"")</f>
        <v/>
      </c>
      <c r="AG1069" t="str">
        <f>IFERROR(J1069&amp;"*"&amp;ROUND(L1069*(K1069/$AN1069)/VLOOKUP(J1069,商品!$A$4:$D$67,4,FALSE),0),"")</f>
        <v/>
      </c>
      <c r="AH1069" t="str">
        <f>IFERROR(M1069&amp;"*"&amp;ROUND(S1069*(N1069/$AO1069)/VLOOKUP(M1069,职业!$A$3:$E$16,4,FALSE),0),"")</f>
        <v/>
      </c>
      <c r="AI1069" t="str">
        <f>IFERROR(O1069&amp;"*"&amp;ROUND(S1069*(P1069/$AO1069)/VLOOKUP(O1069,职业!$A$3:$E$16,4,FALSE),0),"")</f>
        <v/>
      </c>
      <c r="AK1069" t="str">
        <f>IFERROR(T1069&amp;"*"&amp;ROUND(X1069*(U1069/$AP1069)/VLOOKUP(T1069,商品!$A$4:$D$67,4,FALSE),0),"")</f>
        <v/>
      </c>
      <c r="AL1069" t="str">
        <f>IFERROR(V1069&amp;"*"&amp;ROUND(X1069*(W1069/$AP1069)/VLOOKUP(V1069,商品!$A$4:$D$67,4,FALSE),0),"")</f>
        <v/>
      </c>
      <c r="AN1069">
        <f t="shared" si="133"/>
        <v>0</v>
      </c>
      <c r="AO1069">
        <f t="shared" si="134"/>
        <v>0</v>
      </c>
      <c r="AP1069">
        <f t="shared" si="135"/>
        <v>0</v>
      </c>
    </row>
    <row r="1070" customHeight="1" spans="1:42">
      <c r="A1070" s="5" t="s">
        <v>482</v>
      </c>
      <c r="C1070" s="5">
        <v>1</v>
      </c>
      <c r="D1070" s="1" t="s">
        <v>222</v>
      </c>
      <c r="E1070" s="1" t="s">
        <v>224</v>
      </c>
      <c r="L1070" s="1">
        <f>IFERROR(VLOOKUP($D1070&amp;$C1070,生产方式定位!$A$2:$E$38,2,FALSE)+VLOOKUP($E1070&amp;$C1070,生产方式定位!$F$3:$J$38,2,FALSE),0)</f>
        <v>0</v>
      </c>
      <c r="S1070" s="1">
        <f>IFERROR(VLOOKUP($D1070&amp;$C1070,生产方式定位!$A$2:$E$38,3,FALSE)+VLOOKUP($E1070&amp;$C1070,生产方式定位!$F$3:$J$38,3,FALSE),0)</f>
        <v>500</v>
      </c>
      <c r="X1070" s="1">
        <f>IFERROR(VLOOKUP($D1070&amp;$C1070,生产方式定位!$A$2:$E$38,5,FALSE)+VLOOKUP($E1070&amp;$C1070,生产方式定位!$F$3:$J$38,5,FALSE),"错误")</f>
        <v>250</v>
      </c>
      <c r="Y1070" s="27" t="str">
        <f t="shared" si="128"/>
        <v/>
      </c>
      <c r="Z1070" s="37" t="str">
        <f t="shared" si="129"/>
        <v/>
      </c>
      <c r="AA1070" s="37" t="str">
        <f t="shared" si="130"/>
        <v/>
      </c>
      <c r="AB1070" s="28">
        <f t="shared" si="131"/>
        <v>0</v>
      </c>
      <c r="AC1070" s="37"/>
      <c r="AD1070" s="38">
        <f t="shared" si="132"/>
        <v>1</v>
      </c>
      <c r="AE1070" t="str">
        <f>IFERROR(F1070&amp;"*"&amp;ROUND(L1070*(G1070/$AN1070)/VLOOKUP(F1070,商品!$A$4:$D$67,4,FALSE),0),"")</f>
        <v/>
      </c>
      <c r="AF1070" t="str">
        <f>IFERROR(H1070&amp;"*"&amp;ROUND(L1070*(I1070/$AN1070)/VLOOKUP(H1070,商品!$A$4:$D$67,4,FALSE),0),"")</f>
        <v/>
      </c>
      <c r="AG1070" t="str">
        <f>IFERROR(J1070&amp;"*"&amp;ROUND(L1070*(K1070/$AN1070)/VLOOKUP(J1070,商品!$A$4:$D$67,4,FALSE),0),"")</f>
        <v/>
      </c>
      <c r="AH1070" t="str">
        <f>IFERROR(M1070&amp;"*"&amp;ROUND(S1070*(N1070/$AO1070)/VLOOKUP(M1070,职业!$A$3:$E$16,4,FALSE),0),"")</f>
        <v/>
      </c>
      <c r="AI1070" t="str">
        <f>IFERROR(O1070&amp;"*"&amp;ROUND(S1070*(P1070/$AO1070)/VLOOKUP(O1070,职业!$A$3:$E$16,4,FALSE),0),"")</f>
        <v/>
      </c>
      <c r="AK1070" t="str">
        <f>IFERROR(T1070&amp;"*"&amp;ROUND(X1070*(U1070/$AP1070)/VLOOKUP(T1070,商品!$A$4:$D$67,4,FALSE),0),"")</f>
        <v/>
      </c>
      <c r="AL1070" t="str">
        <f>IFERROR(V1070&amp;"*"&amp;ROUND(X1070*(W1070/$AP1070)/VLOOKUP(V1070,商品!$A$4:$D$67,4,FALSE),0),"")</f>
        <v/>
      </c>
      <c r="AN1070">
        <f t="shared" si="133"/>
        <v>0</v>
      </c>
      <c r="AO1070">
        <f t="shared" si="134"/>
        <v>0</v>
      </c>
      <c r="AP1070">
        <f t="shared" si="135"/>
        <v>0</v>
      </c>
    </row>
    <row r="1071" customHeight="1" spans="1:42">
      <c r="A1071" s="5" t="s">
        <v>482</v>
      </c>
      <c r="C1071" s="5">
        <v>2</v>
      </c>
      <c r="D1071" s="1" t="s">
        <v>222</v>
      </c>
      <c r="E1071" s="1" t="s">
        <v>224</v>
      </c>
      <c r="L1071" s="1">
        <f>IFERROR(VLOOKUP($D1071&amp;$C1071,生产方式定位!$A$2:$E$38,2,FALSE)+VLOOKUP($E1071&amp;$C1071,生产方式定位!$F$3:$J$38,2,FALSE),0)</f>
        <v>2200</v>
      </c>
      <c r="S1071" s="1">
        <f>IFERROR(VLOOKUP($D1071&amp;$C1071,生产方式定位!$A$2:$E$38,3,FALSE)+VLOOKUP($E1071&amp;$C1071,生产方式定位!$F$3:$J$38,3,FALSE),0)</f>
        <v>750</v>
      </c>
      <c r="X1071" s="1">
        <f>IFERROR(VLOOKUP($D1071&amp;$C1071,生产方式定位!$A$2:$E$38,5,FALSE)+VLOOKUP($E1071&amp;$C1071,生产方式定位!$F$3:$J$38,5,FALSE),"错误")</f>
        <v>1547</v>
      </c>
      <c r="Y1071" s="27" t="str">
        <f t="shared" si="128"/>
        <v/>
      </c>
      <c r="Z1071" s="37" t="str">
        <f t="shared" si="129"/>
        <v/>
      </c>
      <c r="AA1071" s="37" t="str">
        <f t="shared" si="130"/>
        <v/>
      </c>
      <c r="AB1071" s="28">
        <f t="shared" si="131"/>
        <v>1.42</v>
      </c>
      <c r="AC1071" s="37"/>
      <c r="AD1071" s="38">
        <f t="shared" si="132"/>
        <v>2</v>
      </c>
      <c r="AE1071" t="str">
        <f>IFERROR(F1071&amp;"*"&amp;ROUND(L1071*(G1071/$AN1071)/VLOOKUP(F1071,商品!$A$4:$D$67,4,FALSE),0),"")</f>
        <v/>
      </c>
      <c r="AF1071" t="str">
        <f>IFERROR(H1071&amp;"*"&amp;ROUND(L1071*(I1071/$AN1071)/VLOOKUP(H1071,商品!$A$4:$D$67,4,FALSE),0),"")</f>
        <v/>
      </c>
      <c r="AG1071" t="str">
        <f>IFERROR(J1071&amp;"*"&amp;ROUND(L1071*(K1071/$AN1071)/VLOOKUP(J1071,商品!$A$4:$D$67,4,FALSE),0),"")</f>
        <v/>
      </c>
      <c r="AH1071" t="str">
        <f>IFERROR(M1071&amp;"*"&amp;ROUND(S1071*(N1071/$AO1071)/VLOOKUP(M1071,职业!$A$3:$E$16,4,FALSE),0),"")</f>
        <v/>
      </c>
      <c r="AI1071" t="str">
        <f>IFERROR(O1071&amp;"*"&amp;ROUND(S1071*(P1071/$AO1071)/VLOOKUP(O1071,职业!$A$3:$E$16,4,FALSE),0),"")</f>
        <v/>
      </c>
      <c r="AK1071" t="str">
        <f>IFERROR(T1071&amp;"*"&amp;ROUND(X1071*(U1071/$AP1071)/VLOOKUP(T1071,商品!$A$4:$D$67,4,FALSE),0),"")</f>
        <v/>
      </c>
      <c r="AL1071" t="str">
        <f>IFERROR(V1071&amp;"*"&amp;ROUND(X1071*(W1071/$AP1071)/VLOOKUP(V1071,商品!$A$4:$D$67,4,FALSE),0),"")</f>
        <v/>
      </c>
      <c r="AN1071">
        <f t="shared" si="133"/>
        <v>0</v>
      </c>
      <c r="AO1071">
        <f t="shared" si="134"/>
        <v>0</v>
      </c>
      <c r="AP1071">
        <f t="shared" si="135"/>
        <v>0</v>
      </c>
    </row>
    <row r="1072" customHeight="1" spans="1:42">
      <c r="A1072" s="5" t="s">
        <v>482</v>
      </c>
      <c r="C1072" s="5">
        <v>3</v>
      </c>
      <c r="D1072" s="1" t="s">
        <v>222</v>
      </c>
      <c r="E1072" s="1" t="s">
        <v>224</v>
      </c>
      <c r="L1072" s="1">
        <f>IFERROR(VLOOKUP($D1072&amp;$C1072,生产方式定位!$A$2:$E$38,2,FALSE)+VLOOKUP($E1072&amp;$C1072,生产方式定位!$F$3:$J$38,2,FALSE),0)</f>
        <v>3400</v>
      </c>
      <c r="S1072" s="1">
        <f>IFERROR(VLOOKUP($D1072&amp;$C1072,生产方式定位!$A$2:$E$38,3,FALSE)+VLOOKUP($E1072&amp;$C1072,生产方式定位!$F$3:$J$38,3,FALSE),0)</f>
        <v>1000</v>
      </c>
      <c r="X1072" s="1">
        <f>IFERROR(VLOOKUP($D1072&amp;$C1072,生产方式定位!$A$2:$E$38,5,FALSE)+VLOOKUP($E1072&amp;$C1072,生产方式定位!$F$3:$J$38,5,FALSE),"错误")</f>
        <v>2488</v>
      </c>
      <c r="Y1072" s="27" t="str">
        <f t="shared" si="128"/>
        <v/>
      </c>
      <c r="Z1072" s="37" t="str">
        <f t="shared" si="129"/>
        <v/>
      </c>
      <c r="AA1072" s="37" t="str">
        <f t="shared" si="130"/>
        <v/>
      </c>
      <c r="AB1072" s="28">
        <f t="shared" si="131"/>
        <v>1.37</v>
      </c>
      <c r="AC1072" s="37"/>
      <c r="AD1072" s="38">
        <f t="shared" si="132"/>
        <v>3</v>
      </c>
      <c r="AE1072" t="str">
        <f>IFERROR(F1072&amp;"*"&amp;ROUND(L1072*(G1072/$AN1072)/VLOOKUP(F1072,商品!$A$4:$D$67,4,FALSE),0),"")</f>
        <v/>
      </c>
      <c r="AF1072" t="str">
        <f>IFERROR(H1072&amp;"*"&amp;ROUND(L1072*(I1072/$AN1072)/VLOOKUP(H1072,商品!$A$4:$D$67,4,FALSE),0),"")</f>
        <v/>
      </c>
      <c r="AG1072" t="str">
        <f>IFERROR(J1072&amp;"*"&amp;ROUND(L1072*(K1072/$AN1072)/VLOOKUP(J1072,商品!$A$4:$D$67,4,FALSE),0),"")</f>
        <v/>
      </c>
      <c r="AH1072" t="str">
        <f>IFERROR(M1072&amp;"*"&amp;ROUND(S1072*(N1072/$AO1072)/VLOOKUP(M1072,职业!$A$3:$E$16,4,FALSE),0),"")</f>
        <v/>
      </c>
      <c r="AI1072" t="str">
        <f>IFERROR(O1072&amp;"*"&amp;ROUND(S1072*(P1072/$AO1072)/VLOOKUP(O1072,职业!$A$3:$E$16,4,FALSE),0),"")</f>
        <v/>
      </c>
      <c r="AK1072" t="str">
        <f>IFERROR(T1072&amp;"*"&amp;ROUND(X1072*(U1072/$AP1072)/VLOOKUP(T1072,商品!$A$4:$D$67,4,FALSE),0),"")</f>
        <v/>
      </c>
      <c r="AL1072" t="str">
        <f>IFERROR(V1072&amp;"*"&amp;ROUND(X1072*(W1072/$AP1072)/VLOOKUP(V1072,商品!$A$4:$D$67,4,FALSE),0),"")</f>
        <v/>
      </c>
      <c r="AN1072">
        <f t="shared" si="133"/>
        <v>0</v>
      </c>
      <c r="AO1072">
        <f t="shared" si="134"/>
        <v>0</v>
      </c>
      <c r="AP1072">
        <f t="shared" si="135"/>
        <v>0</v>
      </c>
    </row>
    <row r="1073" customHeight="1" spans="1:42">
      <c r="A1073" s="5" t="s">
        <v>482</v>
      </c>
      <c r="C1073" s="5">
        <v>4</v>
      </c>
      <c r="D1073" s="1" t="s">
        <v>222</v>
      </c>
      <c r="E1073" s="1" t="s">
        <v>224</v>
      </c>
      <c r="L1073" s="1">
        <f>IFERROR(VLOOKUP($D1073&amp;$C1073,生产方式定位!$A$2:$E$38,2,FALSE)+VLOOKUP($E1073&amp;$C1073,生产方式定位!$F$3:$J$38,2,FALSE),0)</f>
        <v>4600</v>
      </c>
      <c r="S1073" s="1">
        <f>IFERROR(VLOOKUP($D1073&amp;$C1073,生产方式定位!$A$2:$E$38,3,FALSE)+VLOOKUP($E1073&amp;$C1073,生产方式定位!$F$3:$J$38,3,FALSE),0)</f>
        <v>1250</v>
      </c>
      <c r="X1073" s="1">
        <f>IFERROR(VLOOKUP($D1073&amp;$C1073,生产方式定位!$A$2:$E$38,5,FALSE)+VLOOKUP($E1073&amp;$C1073,生产方式定位!$F$3:$J$38,5,FALSE),"错误")</f>
        <v>3573</v>
      </c>
      <c r="Y1073" s="27" t="str">
        <f t="shared" si="128"/>
        <v/>
      </c>
      <c r="Z1073" s="37" t="str">
        <f t="shared" si="129"/>
        <v/>
      </c>
      <c r="AA1073" s="37" t="str">
        <f t="shared" si="130"/>
        <v/>
      </c>
      <c r="AB1073" s="28">
        <f t="shared" si="131"/>
        <v>1.29</v>
      </c>
      <c r="AC1073" s="37"/>
      <c r="AD1073" s="38">
        <f t="shared" si="132"/>
        <v>4</v>
      </c>
      <c r="AE1073" t="str">
        <f>IFERROR(F1073&amp;"*"&amp;ROUND(L1073*(G1073/$AN1073)/VLOOKUP(F1073,商品!$A$4:$D$67,4,FALSE),0),"")</f>
        <v/>
      </c>
      <c r="AF1073" t="str">
        <f>IFERROR(H1073&amp;"*"&amp;ROUND(L1073*(I1073/$AN1073)/VLOOKUP(H1073,商品!$A$4:$D$67,4,FALSE),0),"")</f>
        <v/>
      </c>
      <c r="AG1073" t="str">
        <f>IFERROR(J1073&amp;"*"&amp;ROUND(L1073*(K1073/$AN1073)/VLOOKUP(J1073,商品!$A$4:$D$67,4,FALSE),0),"")</f>
        <v/>
      </c>
      <c r="AH1073" t="str">
        <f>IFERROR(M1073&amp;"*"&amp;ROUND(S1073*(N1073/$AO1073)/VLOOKUP(M1073,职业!$A$3:$E$16,4,FALSE),0),"")</f>
        <v/>
      </c>
      <c r="AI1073" t="str">
        <f>IFERROR(O1073&amp;"*"&amp;ROUND(S1073*(P1073/$AO1073)/VLOOKUP(O1073,职业!$A$3:$E$16,4,FALSE),0),"")</f>
        <v/>
      </c>
      <c r="AK1073" t="str">
        <f>IFERROR(T1073&amp;"*"&amp;ROUND(X1073*(U1073/$AP1073)/VLOOKUP(T1073,商品!$A$4:$D$67,4,FALSE),0),"")</f>
        <v/>
      </c>
      <c r="AL1073" t="str">
        <f>IFERROR(V1073&amp;"*"&amp;ROUND(X1073*(W1073/$AP1073)/VLOOKUP(V1073,商品!$A$4:$D$67,4,FALSE),0),"")</f>
        <v/>
      </c>
      <c r="AN1073">
        <f t="shared" si="133"/>
        <v>0</v>
      </c>
      <c r="AO1073">
        <f t="shared" si="134"/>
        <v>0</v>
      </c>
      <c r="AP1073">
        <f t="shared" si="135"/>
        <v>0</v>
      </c>
    </row>
    <row r="1074" customHeight="1" spans="1:42">
      <c r="A1074" s="5" t="s">
        <v>482</v>
      </c>
      <c r="C1074" s="5">
        <v>5</v>
      </c>
      <c r="D1074" s="1" t="s">
        <v>222</v>
      </c>
      <c r="E1074" s="1" t="s">
        <v>224</v>
      </c>
      <c r="L1074" s="1">
        <f>IFERROR(VLOOKUP($D1074&amp;$C1074,生产方式定位!$A$2:$E$38,2,FALSE)+VLOOKUP($E1074&amp;$C1074,生产方式定位!$F$3:$J$38,2,FALSE),0)</f>
        <v>5800</v>
      </c>
      <c r="S1074" s="1">
        <f>IFERROR(VLOOKUP($D1074&amp;$C1074,生产方式定位!$A$2:$E$38,3,FALSE)+VLOOKUP($E1074&amp;$C1074,生产方式定位!$F$3:$J$38,3,FALSE),0)</f>
        <v>1500</v>
      </c>
      <c r="X1074" s="1">
        <f>IFERROR(VLOOKUP($D1074&amp;$C1074,生产方式定位!$A$2:$E$38,5,FALSE)+VLOOKUP($E1074&amp;$C1074,生产方式定位!$F$3:$J$38,5,FALSE),"错误")</f>
        <v>4850</v>
      </c>
      <c r="Y1074" s="27" t="str">
        <f t="shared" si="128"/>
        <v/>
      </c>
      <c r="Z1074" s="37" t="str">
        <f t="shared" si="129"/>
        <v/>
      </c>
      <c r="AA1074" s="37" t="str">
        <f t="shared" si="130"/>
        <v/>
      </c>
      <c r="AB1074" s="28">
        <f t="shared" si="131"/>
        <v>1.2</v>
      </c>
      <c r="AC1074" s="37"/>
      <c r="AD1074" s="38">
        <f t="shared" si="132"/>
        <v>5</v>
      </c>
      <c r="AE1074" t="str">
        <f>IFERROR(F1074&amp;"*"&amp;ROUND(L1074*(G1074/$AN1074)/VLOOKUP(F1074,商品!$A$4:$D$67,4,FALSE),0),"")</f>
        <v/>
      </c>
      <c r="AF1074" t="str">
        <f>IFERROR(H1074&amp;"*"&amp;ROUND(L1074*(I1074/$AN1074)/VLOOKUP(H1074,商品!$A$4:$D$67,4,FALSE),0),"")</f>
        <v/>
      </c>
      <c r="AG1074" t="str">
        <f>IFERROR(J1074&amp;"*"&amp;ROUND(L1074*(K1074/$AN1074)/VLOOKUP(J1074,商品!$A$4:$D$67,4,FALSE),0),"")</f>
        <v/>
      </c>
      <c r="AH1074" t="str">
        <f>IFERROR(M1074&amp;"*"&amp;ROUND(S1074*(N1074/$AO1074)/VLOOKUP(M1074,职业!$A$3:$E$16,4,FALSE),0),"")</f>
        <v/>
      </c>
      <c r="AI1074" t="str">
        <f>IFERROR(O1074&amp;"*"&amp;ROUND(S1074*(P1074/$AO1074)/VLOOKUP(O1074,职业!$A$3:$E$16,4,FALSE),0),"")</f>
        <v/>
      </c>
      <c r="AK1074" t="str">
        <f>IFERROR(T1074&amp;"*"&amp;ROUND(X1074*(U1074/$AP1074)/VLOOKUP(T1074,商品!$A$4:$D$67,4,FALSE),0),"")</f>
        <v/>
      </c>
      <c r="AL1074" t="str">
        <f>IFERROR(V1074&amp;"*"&amp;ROUND(X1074*(W1074/$AP1074)/VLOOKUP(V1074,商品!$A$4:$D$67,4,FALSE),0),"")</f>
        <v/>
      </c>
      <c r="AN1074">
        <f t="shared" si="133"/>
        <v>0</v>
      </c>
      <c r="AO1074">
        <f t="shared" si="134"/>
        <v>0</v>
      </c>
      <c r="AP1074">
        <f t="shared" si="135"/>
        <v>0</v>
      </c>
    </row>
    <row r="1075" customHeight="1" spans="1:42">
      <c r="A1075" s="18" t="s">
        <v>483</v>
      </c>
      <c r="C1075" s="18">
        <v>1</v>
      </c>
      <c r="D1075" s="1" t="s">
        <v>222</v>
      </c>
      <c r="E1075" s="1" t="s">
        <v>226</v>
      </c>
      <c r="L1075" s="1">
        <f>IFERROR(VLOOKUP($D1075&amp;$C1075,生产方式定位!$A$2:$E$38,2,FALSE)+VLOOKUP($E1075&amp;$C1075,生产方式定位!$F$3:$J$38,2,FALSE),0)</f>
        <v>0</v>
      </c>
      <c r="S1075" s="1">
        <f>IFERROR(VLOOKUP($D1075&amp;$C1075,生产方式定位!$A$2:$E$38,3,FALSE)+VLOOKUP($E1075&amp;$C1075,生产方式定位!$F$3:$J$38,3,FALSE),0)</f>
        <v>500</v>
      </c>
      <c r="X1075" s="1">
        <f>IFERROR(VLOOKUP($D1075&amp;$C1075,生产方式定位!$A$2:$E$38,5,FALSE)+VLOOKUP($E1075&amp;$C1075,生产方式定位!$F$3:$J$38,5,FALSE),"错误")</f>
        <v>250</v>
      </c>
      <c r="Y1075" s="27" t="str">
        <f t="shared" si="128"/>
        <v/>
      </c>
      <c r="Z1075" s="37" t="str">
        <f t="shared" si="129"/>
        <v/>
      </c>
      <c r="AA1075" s="37" t="str">
        <f t="shared" si="130"/>
        <v/>
      </c>
      <c r="AB1075" s="28">
        <f t="shared" si="131"/>
        <v>0</v>
      </c>
      <c r="AC1075" s="37"/>
      <c r="AD1075" s="38">
        <f t="shared" si="132"/>
        <v>1</v>
      </c>
      <c r="AE1075" t="str">
        <f>IFERROR(F1075&amp;"*"&amp;ROUND(L1075*(G1075/$AN1075)/VLOOKUP(F1075,商品!$A$4:$D$67,4,FALSE),0),"")</f>
        <v/>
      </c>
      <c r="AF1075" t="str">
        <f>IFERROR(H1075&amp;"*"&amp;ROUND(L1075*(I1075/$AN1075)/VLOOKUP(H1075,商品!$A$4:$D$67,4,FALSE),0),"")</f>
        <v/>
      </c>
      <c r="AG1075" t="str">
        <f>IFERROR(J1075&amp;"*"&amp;ROUND(L1075*(K1075/$AN1075)/VLOOKUP(J1075,商品!$A$4:$D$67,4,FALSE),0),"")</f>
        <v/>
      </c>
      <c r="AH1075" t="str">
        <f>IFERROR(M1075&amp;"*"&amp;ROUND(S1075*(N1075/$AO1075)/VLOOKUP(M1075,职业!$A$3:$E$16,4,FALSE),0),"")</f>
        <v/>
      </c>
      <c r="AI1075" t="str">
        <f>IFERROR(O1075&amp;"*"&amp;ROUND(S1075*(P1075/$AO1075)/VLOOKUP(O1075,职业!$A$3:$E$16,4,FALSE),0),"")</f>
        <v/>
      </c>
      <c r="AK1075" t="str">
        <f>IFERROR(T1075&amp;"*"&amp;ROUND(X1075*(U1075/$AP1075)/VLOOKUP(T1075,商品!$A$4:$D$67,4,FALSE),0),"")</f>
        <v/>
      </c>
      <c r="AL1075" t="str">
        <f>IFERROR(V1075&amp;"*"&amp;ROUND(X1075*(W1075/$AP1075)/VLOOKUP(V1075,商品!$A$4:$D$67,4,FALSE),0),"")</f>
        <v/>
      </c>
      <c r="AN1075">
        <f t="shared" si="133"/>
        <v>0</v>
      </c>
      <c r="AO1075">
        <f t="shared" si="134"/>
        <v>0</v>
      </c>
      <c r="AP1075">
        <f t="shared" si="135"/>
        <v>0</v>
      </c>
    </row>
    <row r="1076" customHeight="1" spans="1:42">
      <c r="A1076" s="18" t="s">
        <v>483</v>
      </c>
      <c r="C1076" s="18">
        <v>2</v>
      </c>
      <c r="D1076" s="1" t="s">
        <v>222</v>
      </c>
      <c r="E1076" s="1" t="s">
        <v>226</v>
      </c>
      <c r="L1076" s="1">
        <f>IFERROR(VLOOKUP($D1076&amp;$C1076,生产方式定位!$A$2:$E$38,2,FALSE)+VLOOKUP($E1076&amp;$C1076,生产方式定位!$F$3:$J$38,2,FALSE),0)</f>
        <v>3200</v>
      </c>
      <c r="S1076" s="1">
        <f>IFERROR(VLOOKUP($D1076&amp;$C1076,生产方式定位!$A$2:$E$38,3,FALSE)+VLOOKUP($E1076&amp;$C1076,生产方式定位!$F$3:$J$38,3,FALSE),0)</f>
        <v>350</v>
      </c>
      <c r="X1076" s="1">
        <f>IFERROR(VLOOKUP($D1076&amp;$C1076,生产方式定位!$A$2:$E$38,5,FALSE)+VLOOKUP($E1076&amp;$C1076,生产方式定位!$F$3:$J$38,5,FALSE),"错误")</f>
        <v>1865</v>
      </c>
      <c r="Y1076" s="27" t="str">
        <f t="shared" si="128"/>
        <v/>
      </c>
      <c r="Z1076" s="37" t="str">
        <f t="shared" si="129"/>
        <v/>
      </c>
      <c r="AA1076" s="37" t="str">
        <f t="shared" si="130"/>
        <v/>
      </c>
      <c r="AB1076" s="28">
        <f t="shared" si="131"/>
        <v>1.72</v>
      </c>
      <c r="AC1076" s="37"/>
      <c r="AD1076" s="38">
        <f t="shared" si="132"/>
        <v>2</v>
      </c>
      <c r="AE1076" t="str">
        <f>IFERROR(F1076&amp;"*"&amp;ROUND(L1076*(G1076/$AN1076)/VLOOKUP(F1076,商品!$A$4:$D$67,4,FALSE),0),"")</f>
        <v/>
      </c>
      <c r="AF1076" t="str">
        <f>IFERROR(H1076&amp;"*"&amp;ROUND(L1076*(I1076/$AN1076)/VLOOKUP(H1076,商品!$A$4:$D$67,4,FALSE),0),"")</f>
        <v/>
      </c>
      <c r="AG1076" t="str">
        <f>IFERROR(J1076&amp;"*"&amp;ROUND(L1076*(K1076/$AN1076)/VLOOKUP(J1076,商品!$A$4:$D$67,4,FALSE),0),"")</f>
        <v/>
      </c>
      <c r="AH1076" t="str">
        <f>IFERROR(M1076&amp;"*"&amp;ROUND(S1076*(N1076/$AO1076)/VLOOKUP(M1076,职业!$A$3:$E$16,4,FALSE),0),"")</f>
        <v/>
      </c>
      <c r="AI1076" t="str">
        <f>IFERROR(O1076&amp;"*"&amp;ROUND(S1076*(P1076/$AO1076)/VLOOKUP(O1076,职业!$A$3:$E$16,4,FALSE),0),"")</f>
        <v/>
      </c>
      <c r="AK1076" t="str">
        <f>IFERROR(T1076&amp;"*"&amp;ROUND(X1076*(U1076/$AP1076)/VLOOKUP(T1076,商品!$A$4:$D$67,4,FALSE),0),"")</f>
        <v/>
      </c>
      <c r="AL1076" t="str">
        <f>IFERROR(V1076&amp;"*"&amp;ROUND(X1076*(W1076/$AP1076)/VLOOKUP(V1076,商品!$A$4:$D$67,4,FALSE),0),"")</f>
        <v/>
      </c>
      <c r="AN1076">
        <f t="shared" si="133"/>
        <v>0</v>
      </c>
      <c r="AO1076">
        <f t="shared" si="134"/>
        <v>0</v>
      </c>
      <c r="AP1076">
        <f t="shared" si="135"/>
        <v>0</v>
      </c>
    </row>
    <row r="1077" customHeight="1" spans="1:42">
      <c r="A1077" s="18" t="s">
        <v>483</v>
      </c>
      <c r="C1077" s="18">
        <v>3</v>
      </c>
      <c r="D1077" s="1" t="s">
        <v>222</v>
      </c>
      <c r="E1077" s="1" t="s">
        <v>226</v>
      </c>
      <c r="L1077" s="1">
        <f>IFERROR(VLOOKUP($D1077&amp;$C1077,生产方式定位!$A$2:$E$38,2,FALSE)+VLOOKUP($E1077&amp;$C1077,生产方式定位!$F$3:$J$38,2,FALSE),0)</f>
        <v>4400</v>
      </c>
      <c r="S1077" s="1">
        <f>IFERROR(VLOOKUP($D1077&amp;$C1077,生产方式定位!$A$2:$E$38,3,FALSE)+VLOOKUP($E1077&amp;$C1077,生产方式定位!$F$3:$J$38,3,FALSE),0)</f>
        <v>200</v>
      </c>
      <c r="X1077" s="1">
        <f>IFERROR(VLOOKUP($D1077&amp;$C1077,生产方式定位!$A$2:$E$38,5,FALSE)+VLOOKUP($E1077&amp;$C1077,生产方式定位!$F$3:$J$38,5,FALSE),"错误")</f>
        <v>2560</v>
      </c>
      <c r="Y1077" s="27" t="str">
        <f t="shared" si="128"/>
        <v/>
      </c>
      <c r="Z1077" s="37" t="str">
        <f t="shared" si="129"/>
        <v/>
      </c>
      <c r="AA1077" s="37" t="str">
        <f t="shared" si="130"/>
        <v/>
      </c>
      <c r="AB1077" s="28">
        <f t="shared" si="131"/>
        <v>1.72</v>
      </c>
      <c r="AC1077" s="37"/>
      <c r="AD1077" s="38">
        <f t="shared" si="132"/>
        <v>3</v>
      </c>
      <c r="AE1077" t="str">
        <f>IFERROR(F1077&amp;"*"&amp;ROUND(L1077*(G1077/$AN1077)/VLOOKUP(F1077,商品!$A$4:$D$67,4,FALSE),0),"")</f>
        <v/>
      </c>
      <c r="AF1077" t="str">
        <f>IFERROR(H1077&amp;"*"&amp;ROUND(L1077*(I1077/$AN1077)/VLOOKUP(H1077,商品!$A$4:$D$67,4,FALSE),0),"")</f>
        <v/>
      </c>
      <c r="AG1077" t="str">
        <f>IFERROR(J1077&amp;"*"&amp;ROUND(L1077*(K1077/$AN1077)/VLOOKUP(J1077,商品!$A$4:$D$67,4,FALSE),0),"")</f>
        <v/>
      </c>
      <c r="AH1077" t="str">
        <f>IFERROR(M1077&amp;"*"&amp;ROUND(S1077*(N1077/$AO1077)/VLOOKUP(M1077,职业!$A$3:$E$16,4,FALSE),0),"")</f>
        <v/>
      </c>
      <c r="AI1077" t="str">
        <f>IFERROR(O1077&amp;"*"&amp;ROUND(S1077*(P1077/$AO1077)/VLOOKUP(O1077,职业!$A$3:$E$16,4,FALSE),0),"")</f>
        <v/>
      </c>
      <c r="AK1077" t="str">
        <f>IFERROR(T1077&amp;"*"&amp;ROUND(X1077*(U1077/$AP1077)/VLOOKUP(T1077,商品!$A$4:$D$67,4,FALSE),0),"")</f>
        <v/>
      </c>
      <c r="AL1077" t="str">
        <f>IFERROR(V1077&amp;"*"&amp;ROUND(X1077*(W1077/$AP1077)/VLOOKUP(V1077,商品!$A$4:$D$67,4,FALSE),0),"")</f>
        <v/>
      </c>
      <c r="AN1077">
        <f t="shared" si="133"/>
        <v>0</v>
      </c>
      <c r="AO1077">
        <f t="shared" si="134"/>
        <v>0</v>
      </c>
      <c r="AP1077">
        <f t="shared" si="135"/>
        <v>0</v>
      </c>
    </row>
    <row r="1078" customHeight="1" spans="1:42">
      <c r="A1078" s="18" t="s">
        <v>483</v>
      </c>
      <c r="C1078" s="18">
        <v>4</v>
      </c>
      <c r="D1078" s="1" t="s">
        <v>222</v>
      </c>
      <c r="E1078" s="1" t="s">
        <v>226</v>
      </c>
      <c r="L1078" s="1">
        <f>IFERROR(VLOOKUP($D1078&amp;$C1078,生产方式定位!$A$2:$E$38,2,FALSE)+VLOOKUP($E1078&amp;$C1078,生产方式定位!$F$3:$J$38,2,FALSE),0)</f>
        <v>5600</v>
      </c>
      <c r="S1078" s="1">
        <f>IFERROR(VLOOKUP($D1078&amp;$C1078,生产方式定位!$A$2:$E$38,3,FALSE)+VLOOKUP($E1078&amp;$C1078,生产方式定位!$F$3:$J$38,3,FALSE),0)</f>
        <v>50</v>
      </c>
      <c r="X1078" s="1">
        <f>IFERROR(VLOOKUP($D1078&amp;$C1078,生产方式定位!$A$2:$E$38,5,FALSE)+VLOOKUP($E1078&amp;$C1078,生产方式定位!$F$3:$J$38,5,FALSE),"错误")</f>
        <v>3335</v>
      </c>
      <c r="Y1078" s="27" t="str">
        <f t="shared" si="128"/>
        <v/>
      </c>
      <c r="Z1078" s="37" t="str">
        <f t="shared" si="129"/>
        <v/>
      </c>
      <c r="AA1078" s="37" t="str">
        <f t="shared" si="130"/>
        <v/>
      </c>
      <c r="AB1078" s="28">
        <f t="shared" si="131"/>
        <v>1.68</v>
      </c>
      <c r="AC1078" s="37"/>
      <c r="AD1078" s="38">
        <f t="shared" si="132"/>
        <v>4</v>
      </c>
      <c r="AE1078" t="str">
        <f>IFERROR(F1078&amp;"*"&amp;ROUND(L1078*(G1078/$AN1078)/VLOOKUP(F1078,商品!$A$4:$D$67,4,FALSE),0),"")</f>
        <v/>
      </c>
      <c r="AF1078" t="str">
        <f>IFERROR(H1078&amp;"*"&amp;ROUND(L1078*(I1078/$AN1078)/VLOOKUP(H1078,商品!$A$4:$D$67,4,FALSE),0),"")</f>
        <v/>
      </c>
      <c r="AG1078" t="str">
        <f>IFERROR(J1078&amp;"*"&amp;ROUND(L1078*(K1078/$AN1078)/VLOOKUP(J1078,商品!$A$4:$D$67,4,FALSE),0),"")</f>
        <v/>
      </c>
      <c r="AH1078" t="str">
        <f>IFERROR(M1078&amp;"*"&amp;ROUND(S1078*(N1078/$AO1078)/VLOOKUP(M1078,职业!$A$3:$E$16,4,FALSE),0),"")</f>
        <v/>
      </c>
      <c r="AI1078" t="str">
        <f>IFERROR(O1078&amp;"*"&amp;ROUND(S1078*(P1078/$AO1078)/VLOOKUP(O1078,职业!$A$3:$E$16,4,FALSE),0),"")</f>
        <v/>
      </c>
      <c r="AK1078" t="str">
        <f>IFERROR(T1078&amp;"*"&amp;ROUND(X1078*(U1078/$AP1078)/VLOOKUP(T1078,商品!$A$4:$D$67,4,FALSE),0),"")</f>
        <v/>
      </c>
      <c r="AL1078" t="str">
        <f>IFERROR(V1078&amp;"*"&amp;ROUND(X1078*(W1078/$AP1078)/VLOOKUP(V1078,商品!$A$4:$D$67,4,FALSE),0),"")</f>
        <v/>
      </c>
      <c r="AN1078">
        <f t="shared" si="133"/>
        <v>0</v>
      </c>
      <c r="AO1078">
        <f t="shared" si="134"/>
        <v>0</v>
      </c>
      <c r="AP1078">
        <f t="shared" si="135"/>
        <v>0</v>
      </c>
    </row>
    <row r="1079" customHeight="1" spans="1:42">
      <c r="A1079" s="18" t="s">
        <v>483</v>
      </c>
      <c r="C1079" s="18">
        <v>5</v>
      </c>
      <c r="D1079" s="1" t="s">
        <v>222</v>
      </c>
      <c r="E1079" s="1" t="s">
        <v>226</v>
      </c>
      <c r="L1079" s="1">
        <f>IFERROR(VLOOKUP($D1079&amp;$C1079,生产方式定位!$A$2:$E$38,2,FALSE)+VLOOKUP($E1079&amp;$C1079,生产方式定位!$F$3:$J$38,2,FALSE),0)</f>
        <v>6800</v>
      </c>
      <c r="S1079" s="1">
        <f>IFERROR(VLOOKUP($D1079&amp;$C1079,生产方式定位!$A$2:$E$38,3,FALSE)+VLOOKUP($E1079&amp;$C1079,生产方式定位!$F$3:$J$38,3,FALSE),0)</f>
        <v>-100</v>
      </c>
      <c r="X1079" s="1">
        <f>IFERROR(VLOOKUP($D1079&amp;$C1079,生产方式定位!$A$2:$E$38,5,FALSE)+VLOOKUP($E1079&amp;$C1079,生产方式定位!$F$3:$J$38,5,FALSE),"错误")</f>
        <v>4190</v>
      </c>
      <c r="Y1079" s="27" t="str">
        <f t="shared" si="128"/>
        <v/>
      </c>
      <c r="Z1079" s="37" t="str">
        <f t="shared" si="129"/>
        <v/>
      </c>
      <c r="AA1079" s="37" t="str">
        <f t="shared" si="130"/>
        <v/>
      </c>
      <c r="AB1079" s="28">
        <f t="shared" si="131"/>
        <v>1.62</v>
      </c>
      <c r="AC1079" s="37"/>
      <c r="AD1079" s="38">
        <f t="shared" si="132"/>
        <v>5</v>
      </c>
      <c r="AE1079" t="str">
        <f>IFERROR(F1079&amp;"*"&amp;ROUND(L1079*(G1079/$AN1079)/VLOOKUP(F1079,商品!$A$4:$D$67,4,FALSE),0),"")</f>
        <v/>
      </c>
      <c r="AF1079" t="str">
        <f>IFERROR(H1079&amp;"*"&amp;ROUND(L1079*(I1079/$AN1079)/VLOOKUP(H1079,商品!$A$4:$D$67,4,FALSE),0),"")</f>
        <v/>
      </c>
      <c r="AG1079" t="str">
        <f>IFERROR(J1079&amp;"*"&amp;ROUND(L1079*(K1079/$AN1079)/VLOOKUP(J1079,商品!$A$4:$D$67,4,FALSE),0),"")</f>
        <v/>
      </c>
      <c r="AH1079" t="str">
        <f>IFERROR(M1079&amp;"*"&amp;ROUND(S1079*(N1079/$AO1079)/VLOOKUP(M1079,职业!$A$3:$E$16,4,FALSE),0),"")</f>
        <v/>
      </c>
      <c r="AI1079" t="str">
        <f>IFERROR(O1079&amp;"*"&amp;ROUND(S1079*(P1079/$AO1079)/VLOOKUP(O1079,职业!$A$3:$E$16,4,FALSE),0),"")</f>
        <v/>
      </c>
      <c r="AK1079" t="str">
        <f>IFERROR(T1079&amp;"*"&amp;ROUND(X1079*(U1079/$AP1079)/VLOOKUP(T1079,商品!$A$4:$D$67,4,FALSE),0),"")</f>
        <v/>
      </c>
      <c r="AL1079" t="str">
        <f>IFERROR(V1079&amp;"*"&amp;ROUND(X1079*(W1079/$AP1079)/VLOOKUP(V1079,商品!$A$4:$D$67,4,FALSE),0),"")</f>
        <v/>
      </c>
      <c r="AN1079">
        <f t="shared" si="133"/>
        <v>0</v>
      </c>
      <c r="AO1079">
        <f t="shared" si="134"/>
        <v>0</v>
      </c>
      <c r="AP1079">
        <f t="shared" si="135"/>
        <v>0</v>
      </c>
    </row>
    <row r="1080" customHeight="1" spans="1:42">
      <c r="A1080" s="5" t="s">
        <v>483</v>
      </c>
      <c r="C1080" s="5">
        <v>1</v>
      </c>
      <c r="D1080" s="1" t="s">
        <v>222</v>
      </c>
      <c r="E1080" s="1" t="s">
        <v>226</v>
      </c>
      <c r="L1080" s="1">
        <f>IFERROR(VLOOKUP($D1080&amp;$C1080,生产方式定位!$A$2:$E$38,2,FALSE)+VLOOKUP($E1080&amp;$C1080,生产方式定位!$F$3:$J$38,2,FALSE),0)</f>
        <v>0</v>
      </c>
      <c r="S1080" s="1">
        <f>IFERROR(VLOOKUP($D1080&amp;$C1080,生产方式定位!$A$2:$E$38,3,FALSE)+VLOOKUP($E1080&amp;$C1080,生产方式定位!$F$3:$J$38,3,FALSE),0)</f>
        <v>500</v>
      </c>
      <c r="X1080" s="1">
        <f>IFERROR(VLOOKUP($D1080&amp;$C1080,生产方式定位!$A$2:$E$38,5,FALSE)+VLOOKUP($E1080&amp;$C1080,生产方式定位!$F$3:$J$38,5,FALSE),"错误")</f>
        <v>250</v>
      </c>
      <c r="Y1080" s="27" t="str">
        <f t="shared" si="128"/>
        <v/>
      </c>
      <c r="Z1080" s="37" t="str">
        <f t="shared" si="129"/>
        <v/>
      </c>
      <c r="AA1080" s="37" t="str">
        <f t="shared" si="130"/>
        <v/>
      </c>
      <c r="AB1080" s="28">
        <f t="shared" si="131"/>
        <v>0</v>
      </c>
      <c r="AC1080" s="37"/>
      <c r="AD1080" s="38">
        <f t="shared" si="132"/>
        <v>1</v>
      </c>
      <c r="AE1080" t="str">
        <f>IFERROR(F1080&amp;"*"&amp;ROUND(L1080*(G1080/$AN1080)/VLOOKUP(F1080,商品!$A$4:$D$67,4,FALSE),0),"")</f>
        <v/>
      </c>
      <c r="AF1080" t="str">
        <f>IFERROR(H1080&amp;"*"&amp;ROUND(L1080*(I1080/$AN1080)/VLOOKUP(H1080,商品!$A$4:$D$67,4,FALSE),0),"")</f>
        <v/>
      </c>
      <c r="AG1080" t="str">
        <f>IFERROR(J1080&amp;"*"&amp;ROUND(L1080*(K1080/$AN1080)/VLOOKUP(J1080,商品!$A$4:$D$67,4,FALSE),0),"")</f>
        <v/>
      </c>
      <c r="AH1080" t="str">
        <f>IFERROR(M1080&amp;"*"&amp;ROUND(S1080*(N1080/$AO1080)/VLOOKUP(M1080,职业!$A$3:$E$16,4,FALSE),0),"")</f>
        <v/>
      </c>
      <c r="AI1080" t="str">
        <f>IFERROR(O1080&amp;"*"&amp;ROUND(S1080*(P1080/$AO1080)/VLOOKUP(O1080,职业!$A$3:$E$16,4,FALSE),0),"")</f>
        <v/>
      </c>
      <c r="AK1080" t="str">
        <f>IFERROR(T1080&amp;"*"&amp;ROUND(X1080*(U1080/$AP1080)/VLOOKUP(T1080,商品!$A$4:$D$67,4,FALSE),0),"")</f>
        <v/>
      </c>
      <c r="AL1080" t="str">
        <f>IFERROR(V1080&amp;"*"&amp;ROUND(X1080*(W1080/$AP1080)/VLOOKUP(V1080,商品!$A$4:$D$67,4,FALSE),0),"")</f>
        <v/>
      </c>
      <c r="AN1080">
        <f t="shared" si="133"/>
        <v>0</v>
      </c>
      <c r="AO1080">
        <f t="shared" si="134"/>
        <v>0</v>
      </c>
      <c r="AP1080">
        <f t="shared" si="135"/>
        <v>0</v>
      </c>
    </row>
    <row r="1081" customHeight="1" spans="1:42">
      <c r="A1081" s="5" t="s">
        <v>483</v>
      </c>
      <c r="C1081" s="5">
        <v>2</v>
      </c>
      <c r="D1081" s="1" t="s">
        <v>222</v>
      </c>
      <c r="E1081" s="1" t="s">
        <v>226</v>
      </c>
      <c r="L1081" s="1">
        <f>IFERROR(VLOOKUP($D1081&amp;$C1081,生产方式定位!$A$2:$E$38,2,FALSE)+VLOOKUP($E1081&amp;$C1081,生产方式定位!$F$3:$J$38,2,FALSE),0)</f>
        <v>3200</v>
      </c>
      <c r="S1081" s="1">
        <f>IFERROR(VLOOKUP($D1081&amp;$C1081,生产方式定位!$A$2:$E$38,3,FALSE)+VLOOKUP($E1081&amp;$C1081,生产方式定位!$F$3:$J$38,3,FALSE),0)</f>
        <v>350</v>
      </c>
      <c r="X1081" s="1">
        <f>IFERROR(VLOOKUP($D1081&amp;$C1081,生产方式定位!$A$2:$E$38,5,FALSE)+VLOOKUP($E1081&amp;$C1081,生产方式定位!$F$3:$J$38,5,FALSE),"错误")</f>
        <v>1865</v>
      </c>
      <c r="Y1081" s="27" t="str">
        <f t="shared" si="128"/>
        <v/>
      </c>
      <c r="Z1081" s="37" t="str">
        <f t="shared" si="129"/>
        <v/>
      </c>
      <c r="AA1081" s="37" t="str">
        <f t="shared" si="130"/>
        <v/>
      </c>
      <c r="AB1081" s="28">
        <f t="shared" si="131"/>
        <v>1.72</v>
      </c>
      <c r="AC1081" s="37"/>
      <c r="AD1081" s="38">
        <f t="shared" si="132"/>
        <v>2</v>
      </c>
      <c r="AE1081" t="str">
        <f>IFERROR(F1081&amp;"*"&amp;ROUND(L1081*(G1081/$AN1081)/VLOOKUP(F1081,商品!$A$4:$D$67,4,FALSE),0),"")</f>
        <v/>
      </c>
      <c r="AF1081" t="str">
        <f>IFERROR(H1081&amp;"*"&amp;ROUND(L1081*(I1081/$AN1081)/VLOOKUP(H1081,商品!$A$4:$D$67,4,FALSE),0),"")</f>
        <v/>
      </c>
      <c r="AG1081" t="str">
        <f>IFERROR(J1081&amp;"*"&amp;ROUND(L1081*(K1081/$AN1081)/VLOOKUP(J1081,商品!$A$4:$D$67,4,FALSE),0),"")</f>
        <v/>
      </c>
      <c r="AH1081" t="str">
        <f>IFERROR(M1081&amp;"*"&amp;ROUND(S1081*(N1081/$AO1081)/VLOOKUP(M1081,职业!$A$3:$E$16,4,FALSE),0),"")</f>
        <v/>
      </c>
      <c r="AI1081" t="str">
        <f>IFERROR(O1081&amp;"*"&amp;ROUND(S1081*(P1081/$AO1081)/VLOOKUP(O1081,职业!$A$3:$E$16,4,FALSE),0),"")</f>
        <v/>
      </c>
      <c r="AK1081" t="str">
        <f>IFERROR(T1081&amp;"*"&amp;ROUND(X1081*(U1081/$AP1081)/VLOOKUP(T1081,商品!$A$4:$D$67,4,FALSE),0),"")</f>
        <v/>
      </c>
      <c r="AL1081" t="str">
        <f>IFERROR(V1081&amp;"*"&amp;ROUND(X1081*(W1081/$AP1081)/VLOOKUP(V1081,商品!$A$4:$D$67,4,FALSE),0),"")</f>
        <v/>
      </c>
      <c r="AN1081">
        <f t="shared" si="133"/>
        <v>0</v>
      </c>
      <c r="AO1081">
        <f t="shared" si="134"/>
        <v>0</v>
      </c>
      <c r="AP1081">
        <f t="shared" si="135"/>
        <v>0</v>
      </c>
    </row>
    <row r="1082" customHeight="1" spans="1:42">
      <c r="A1082" s="5" t="s">
        <v>483</v>
      </c>
      <c r="C1082" s="5">
        <v>3</v>
      </c>
      <c r="D1082" s="1" t="s">
        <v>222</v>
      </c>
      <c r="E1082" s="1" t="s">
        <v>226</v>
      </c>
      <c r="L1082" s="1">
        <f>IFERROR(VLOOKUP($D1082&amp;$C1082,生产方式定位!$A$2:$E$38,2,FALSE)+VLOOKUP($E1082&amp;$C1082,生产方式定位!$F$3:$J$38,2,FALSE),0)</f>
        <v>4400</v>
      </c>
      <c r="S1082" s="1">
        <f>IFERROR(VLOOKUP($D1082&amp;$C1082,生产方式定位!$A$2:$E$38,3,FALSE)+VLOOKUP($E1082&amp;$C1082,生产方式定位!$F$3:$J$38,3,FALSE),0)</f>
        <v>200</v>
      </c>
      <c r="X1082" s="1">
        <f>IFERROR(VLOOKUP($D1082&amp;$C1082,生产方式定位!$A$2:$E$38,5,FALSE)+VLOOKUP($E1082&amp;$C1082,生产方式定位!$F$3:$J$38,5,FALSE),"错误")</f>
        <v>2560</v>
      </c>
      <c r="Y1082" s="27" t="str">
        <f t="shared" si="128"/>
        <v/>
      </c>
      <c r="Z1082" s="37" t="str">
        <f t="shared" si="129"/>
        <v/>
      </c>
      <c r="AA1082" s="37" t="str">
        <f t="shared" si="130"/>
        <v/>
      </c>
      <c r="AB1082" s="28">
        <f t="shared" si="131"/>
        <v>1.72</v>
      </c>
      <c r="AC1082" s="37"/>
      <c r="AD1082" s="38">
        <f t="shared" si="132"/>
        <v>3</v>
      </c>
      <c r="AE1082" t="str">
        <f>IFERROR(F1082&amp;"*"&amp;ROUND(L1082*(G1082/$AN1082)/VLOOKUP(F1082,商品!$A$4:$D$67,4,FALSE),0),"")</f>
        <v/>
      </c>
      <c r="AF1082" t="str">
        <f>IFERROR(H1082&amp;"*"&amp;ROUND(L1082*(I1082/$AN1082)/VLOOKUP(H1082,商品!$A$4:$D$67,4,FALSE),0),"")</f>
        <v/>
      </c>
      <c r="AG1082" t="str">
        <f>IFERROR(J1082&amp;"*"&amp;ROUND(L1082*(K1082/$AN1082)/VLOOKUP(J1082,商品!$A$4:$D$67,4,FALSE),0),"")</f>
        <v/>
      </c>
      <c r="AH1082" t="str">
        <f>IFERROR(M1082&amp;"*"&amp;ROUND(S1082*(N1082/$AO1082)/VLOOKUP(M1082,职业!$A$3:$E$16,4,FALSE),0),"")</f>
        <v/>
      </c>
      <c r="AI1082" t="str">
        <f>IFERROR(O1082&amp;"*"&amp;ROUND(S1082*(P1082/$AO1082)/VLOOKUP(O1082,职业!$A$3:$E$16,4,FALSE),0),"")</f>
        <v/>
      </c>
      <c r="AK1082" t="str">
        <f>IFERROR(T1082&amp;"*"&amp;ROUND(X1082*(U1082/$AP1082)/VLOOKUP(T1082,商品!$A$4:$D$67,4,FALSE),0),"")</f>
        <v/>
      </c>
      <c r="AL1082" t="str">
        <f>IFERROR(V1082&amp;"*"&amp;ROUND(X1082*(W1082/$AP1082)/VLOOKUP(V1082,商品!$A$4:$D$67,4,FALSE),0),"")</f>
        <v/>
      </c>
      <c r="AN1082">
        <f t="shared" si="133"/>
        <v>0</v>
      </c>
      <c r="AO1082">
        <f t="shared" si="134"/>
        <v>0</v>
      </c>
      <c r="AP1082">
        <f t="shared" si="135"/>
        <v>0</v>
      </c>
    </row>
    <row r="1083" customHeight="1" spans="1:42">
      <c r="A1083" s="5" t="s">
        <v>483</v>
      </c>
      <c r="C1083" s="5">
        <v>4</v>
      </c>
      <c r="D1083" s="1" t="s">
        <v>222</v>
      </c>
      <c r="E1083" s="1" t="s">
        <v>226</v>
      </c>
      <c r="L1083" s="1">
        <f>IFERROR(VLOOKUP($D1083&amp;$C1083,生产方式定位!$A$2:$E$38,2,FALSE)+VLOOKUP($E1083&amp;$C1083,生产方式定位!$F$3:$J$38,2,FALSE),0)</f>
        <v>5600</v>
      </c>
      <c r="S1083" s="1">
        <f>IFERROR(VLOOKUP($D1083&amp;$C1083,生产方式定位!$A$2:$E$38,3,FALSE)+VLOOKUP($E1083&amp;$C1083,生产方式定位!$F$3:$J$38,3,FALSE),0)</f>
        <v>50</v>
      </c>
      <c r="X1083" s="1">
        <f>IFERROR(VLOOKUP($D1083&amp;$C1083,生产方式定位!$A$2:$E$38,5,FALSE)+VLOOKUP($E1083&amp;$C1083,生产方式定位!$F$3:$J$38,5,FALSE),"错误")</f>
        <v>3335</v>
      </c>
      <c r="Y1083" s="27" t="str">
        <f t="shared" si="128"/>
        <v/>
      </c>
      <c r="Z1083" s="37" t="str">
        <f t="shared" si="129"/>
        <v/>
      </c>
      <c r="AA1083" s="37" t="str">
        <f t="shared" si="130"/>
        <v/>
      </c>
      <c r="AB1083" s="28">
        <f t="shared" si="131"/>
        <v>1.68</v>
      </c>
      <c r="AC1083" s="37"/>
      <c r="AD1083" s="38">
        <f t="shared" si="132"/>
        <v>4</v>
      </c>
      <c r="AE1083" t="str">
        <f>IFERROR(F1083&amp;"*"&amp;ROUND(L1083*(G1083/$AN1083)/VLOOKUP(F1083,商品!$A$4:$D$67,4,FALSE),0),"")</f>
        <v/>
      </c>
      <c r="AF1083" t="str">
        <f>IFERROR(H1083&amp;"*"&amp;ROUND(L1083*(I1083/$AN1083)/VLOOKUP(H1083,商品!$A$4:$D$67,4,FALSE),0),"")</f>
        <v/>
      </c>
      <c r="AG1083" t="str">
        <f>IFERROR(J1083&amp;"*"&amp;ROUND(L1083*(K1083/$AN1083)/VLOOKUP(J1083,商品!$A$4:$D$67,4,FALSE),0),"")</f>
        <v/>
      </c>
      <c r="AH1083" t="str">
        <f>IFERROR(M1083&amp;"*"&amp;ROUND(S1083*(N1083/$AO1083)/VLOOKUP(M1083,职业!$A$3:$E$16,4,FALSE),0),"")</f>
        <v/>
      </c>
      <c r="AI1083" t="str">
        <f>IFERROR(O1083&amp;"*"&amp;ROUND(S1083*(P1083/$AO1083)/VLOOKUP(O1083,职业!$A$3:$E$16,4,FALSE),0),"")</f>
        <v/>
      </c>
      <c r="AK1083" t="str">
        <f>IFERROR(T1083&amp;"*"&amp;ROUND(X1083*(U1083/$AP1083)/VLOOKUP(T1083,商品!$A$4:$D$67,4,FALSE),0),"")</f>
        <v/>
      </c>
      <c r="AL1083" t="str">
        <f>IFERROR(V1083&amp;"*"&amp;ROUND(X1083*(W1083/$AP1083)/VLOOKUP(V1083,商品!$A$4:$D$67,4,FALSE),0),"")</f>
        <v/>
      </c>
      <c r="AN1083">
        <f t="shared" si="133"/>
        <v>0</v>
      </c>
      <c r="AO1083">
        <f t="shared" si="134"/>
        <v>0</v>
      </c>
      <c r="AP1083">
        <f t="shared" si="135"/>
        <v>0</v>
      </c>
    </row>
    <row r="1084" customHeight="1" spans="1:42">
      <c r="A1084" s="5" t="s">
        <v>483</v>
      </c>
      <c r="C1084" s="5">
        <v>5</v>
      </c>
      <c r="D1084" s="1" t="s">
        <v>222</v>
      </c>
      <c r="E1084" s="1" t="s">
        <v>226</v>
      </c>
      <c r="L1084" s="1">
        <f>IFERROR(VLOOKUP($D1084&amp;$C1084,生产方式定位!$A$2:$E$38,2,FALSE)+VLOOKUP($E1084&amp;$C1084,生产方式定位!$F$3:$J$38,2,FALSE),0)</f>
        <v>6800</v>
      </c>
      <c r="S1084" s="1">
        <f>IFERROR(VLOOKUP($D1084&amp;$C1084,生产方式定位!$A$2:$E$38,3,FALSE)+VLOOKUP($E1084&amp;$C1084,生产方式定位!$F$3:$J$38,3,FALSE),0)</f>
        <v>-100</v>
      </c>
      <c r="X1084" s="1">
        <f>IFERROR(VLOOKUP($D1084&amp;$C1084,生产方式定位!$A$2:$E$38,5,FALSE)+VLOOKUP($E1084&amp;$C1084,生产方式定位!$F$3:$J$38,5,FALSE),"错误")</f>
        <v>4190</v>
      </c>
      <c r="Y1084" s="27" t="str">
        <f t="shared" si="128"/>
        <v/>
      </c>
      <c r="Z1084" s="37" t="str">
        <f t="shared" si="129"/>
        <v/>
      </c>
      <c r="AA1084" s="37" t="str">
        <f t="shared" si="130"/>
        <v/>
      </c>
      <c r="AB1084" s="28">
        <f t="shared" si="131"/>
        <v>1.62</v>
      </c>
      <c r="AC1084" s="37"/>
      <c r="AD1084" s="38">
        <f t="shared" si="132"/>
        <v>5</v>
      </c>
      <c r="AE1084" t="str">
        <f>IFERROR(F1084&amp;"*"&amp;ROUND(L1084*(G1084/$AN1084)/VLOOKUP(F1084,商品!$A$4:$D$67,4,FALSE),0),"")</f>
        <v/>
      </c>
      <c r="AF1084" t="str">
        <f>IFERROR(H1084&amp;"*"&amp;ROUND(L1084*(I1084/$AN1084)/VLOOKUP(H1084,商品!$A$4:$D$67,4,FALSE),0),"")</f>
        <v/>
      </c>
      <c r="AG1084" t="str">
        <f>IFERROR(J1084&amp;"*"&amp;ROUND(L1084*(K1084/$AN1084)/VLOOKUP(J1084,商品!$A$4:$D$67,4,FALSE),0),"")</f>
        <v/>
      </c>
      <c r="AH1084" t="str">
        <f>IFERROR(M1084&amp;"*"&amp;ROUND(S1084*(N1084/$AO1084)/VLOOKUP(M1084,职业!$A$3:$E$16,4,FALSE),0),"")</f>
        <v/>
      </c>
      <c r="AI1084" t="str">
        <f>IFERROR(O1084&amp;"*"&amp;ROUND(S1084*(P1084/$AO1084)/VLOOKUP(O1084,职业!$A$3:$E$16,4,FALSE),0),"")</f>
        <v/>
      </c>
      <c r="AK1084" t="str">
        <f>IFERROR(T1084&amp;"*"&amp;ROUND(X1084*(U1084/$AP1084)/VLOOKUP(T1084,商品!$A$4:$D$67,4,FALSE),0),"")</f>
        <v/>
      </c>
      <c r="AL1084" t="str">
        <f>IFERROR(V1084&amp;"*"&amp;ROUND(X1084*(W1084/$AP1084)/VLOOKUP(V1084,商品!$A$4:$D$67,4,FALSE),0),"")</f>
        <v/>
      </c>
      <c r="AN1084">
        <f t="shared" si="133"/>
        <v>0</v>
      </c>
      <c r="AO1084">
        <f t="shared" si="134"/>
        <v>0</v>
      </c>
      <c r="AP1084">
        <f t="shared" si="135"/>
        <v>0</v>
      </c>
    </row>
    <row r="1085" customHeight="1" spans="1:42">
      <c r="A1085" s="18" t="s">
        <v>484</v>
      </c>
      <c r="C1085" s="18">
        <v>1</v>
      </c>
      <c r="D1085" s="1" t="s">
        <v>293</v>
      </c>
      <c r="E1085" s="1" t="s">
        <v>227</v>
      </c>
      <c r="L1085" s="1">
        <f>IFERROR(VLOOKUP($D1085&amp;$C1085,生产方式定位!$A$2:$E$38,2,FALSE)+VLOOKUP($E1085&amp;$C1085,生产方式定位!$F$3:$J$38,2,FALSE),0)</f>
        <v>0</v>
      </c>
      <c r="S1085" s="1">
        <f>IFERROR(VLOOKUP($D1085&amp;$C1085,生产方式定位!$A$2:$E$38,3,FALSE)+VLOOKUP($E1085&amp;$C1085,生产方式定位!$F$3:$J$38,3,FALSE),0)</f>
        <v>0</v>
      </c>
      <c r="X1085" s="1">
        <f>IFERROR(VLOOKUP($D1085&amp;$C1085,生产方式定位!$A$2:$E$38,5,FALSE)+VLOOKUP($E1085&amp;$C1085,生产方式定位!$F$3:$J$38,5,FALSE),"错误")</f>
        <v>0</v>
      </c>
      <c r="Y1085" s="27" t="str">
        <f t="shared" si="128"/>
        <v/>
      </c>
      <c r="Z1085" s="37" t="str">
        <f t="shared" si="129"/>
        <v/>
      </c>
      <c r="AA1085" s="37" t="str">
        <f t="shared" si="130"/>
        <v/>
      </c>
      <c r="AB1085" s="28" t="str">
        <f t="shared" si="131"/>
        <v/>
      </c>
      <c r="AC1085" s="37"/>
      <c r="AD1085" s="38">
        <f t="shared" si="132"/>
        <v>1</v>
      </c>
      <c r="AE1085" t="str">
        <f>IFERROR(F1085&amp;"*"&amp;ROUND(L1085*(G1085/$AN1085)/VLOOKUP(F1085,商品!$A$4:$D$67,4,FALSE),0),"")</f>
        <v/>
      </c>
      <c r="AF1085" t="str">
        <f>IFERROR(H1085&amp;"*"&amp;ROUND(L1085*(I1085/$AN1085)/VLOOKUP(H1085,商品!$A$4:$D$67,4,FALSE),0),"")</f>
        <v/>
      </c>
      <c r="AG1085" t="str">
        <f>IFERROR(J1085&amp;"*"&amp;ROUND(L1085*(K1085/$AN1085)/VLOOKUP(J1085,商品!$A$4:$D$67,4,FALSE),0),"")</f>
        <v/>
      </c>
      <c r="AH1085" t="str">
        <f>IFERROR(M1085&amp;"*"&amp;ROUND(S1085*(N1085/$AO1085)/VLOOKUP(M1085,职业!$A$3:$E$16,4,FALSE),0),"")</f>
        <v/>
      </c>
      <c r="AI1085" t="str">
        <f>IFERROR(O1085&amp;"*"&amp;ROUND(S1085*(P1085/$AO1085)/VLOOKUP(O1085,职业!$A$3:$E$16,4,FALSE),0),"")</f>
        <v/>
      </c>
      <c r="AK1085" t="str">
        <f>IFERROR(T1085&amp;"*"&amp;ROUND(X1085*(U1085/$AP1085)/VLOOKUP(T1085,商品!$A$4:$D$67,4,FALSE),0),"")</f>
        <v/>
      </c>
      <c r="AL1085" t="str">
        <f>IFERROR(V1085&amp;"*"&amp;ROUND(X1085*(W1085/$AP1085)/VLOOKUP(V1085,商品!$A$4:$D$67,4,FALSE),0),"")</f>
        <v/>
      </c>
      <c r="AN1085">
        <f t="shared" si="133"/>
        <v>0</v>
      </c>
      <c r="AO1085">
        <f t="shared" si="134"/>
        <v>0</v>
      </c>
      <c r="AP1085">
        <f t="shared" si="135"/>
        <v>0</v>
      </c>
    </row>
    <row r="1086" customHeight="1" spans="1:42">
      <c r="A1086" s="18" t="s">
        <v>484</v>
      </c>
      <c r="C1086" s="18">
        <v>2</v>
      </c>
      <c r="D1086" s="1" t="s">
        <v>293</v>
      </c>
      <c r="E1086" s="1" t="s">
        <v>227</v>
      </c>
      <c r="L1086" s="1">
        <f>IFERROR(VLOOKUP($D1086&amp;$C1086,生产方式定位!$A$2:$E$38,2,FALSE)+VLOOKUP($E1086&amp;$C1086,生产方式定位!$F$3:$J$38,2,FALSE),0)</f>
        <v>0</v>
      </c>
      <c r="S1086" s="1">
        <f>IFERROR(VLOOKUP($D1086&amp;$C1086,生产方式定位!$A$2:$E$38,3,FALSE)+VLOOKUP($E1086&amp;$C1086,生产方式定位!$F$3:$J$38,3,FALSE),0)</f>
        <v>0</v>
      </c>
      <c r="X1086" s="1">
        <f>IFERROR(VLOOKUP($D1086&amp;$C1086,生产方式定位!$A$2:$E$38,5,FALSE)+VLOOKUP($E1086&amp;$C1086,生产方式定位!$F$3:$J$38,5,FALSE),"错误")</f>
        <v>0</v>
      </c>
      <c r="Y1086" s="27" t="str">
        <f t="shared" si="128"/>
        <v/>
      </c>
      <c r="Z1086" s="37" t="str">
        <f t="shared" si="129"/>
        <v/>
      </c>
      <c r="AA1086" s="37" t="str">
        <f t="shared" si="130"/>
        <v/>
      </c>
      <c r="AB1086" s="28" t="str">
        <f t="shared" si="131"/>
        <v/>
      </c>
      <c r="AC1086" s="37"/>
      <c r="AD1086" s="38">
        <f t="shared" si="132"/>
        <v>2</v>
      </c>
      <c r="AE1086" t="str">
        <f>IFERROR(F1086&amp;"*"&amp;ROUND(L1086*(G1086/$AN1086)/VLOOKUP(F1086,商品!$A$4:$D$67,4,FALSE),0),"")</f>
        <v/>
      </c>
      <c r="AF1086" t="str">
        <f>IFERROR(H1086&amp;"*"&amp;ROUND(L1086*(I1086/$AN1086)/VLOOKUP(H1086,商品!$A$4:$D$67,4,FALSE),0),"")</f>
        <v/>
      </c>
      <c r="AG1086" t="str">
        <f>IFERROR(J1086&amp;"*"&amp;ROUND(L1086*(K1086/$AN1086)/VLOOKUP(J1086,商品!$A$4:$D$67,4,FALSE),0),"")</f>
        <v/>
      </c>
      <c r="AH1086" t="str">
        <f>IFERROR(M1086&amp;"*"&amp;ROUND(S1086*(N1086/$AO1086)/VLOOKUP(M1086,职业!$A$3:$E$16,4,FALSE),0),"")</f>
        <v/>
      </c>
      <c r="AI1086" t="str">
        <f>IFERROR(O1086&amp;"*"&amp;ROUND(S1086*(P1086/$AO1086)/VLOOKUP(O1086,职业!$A$3:$E$16,4,FALSE),0),"")</f>
        <v/>
      </c>
      <c r="AK1086" t="str">
        <f>IFERROR(T1086&amp;"*"&amp;ROUND(X1086*(U1086/$AP1086)/VLOOKUP(T1086,商品!$A$4:$D$67,4,FALSE),0),"")</f>
        <v/>
      </c>
      <c r="AL1086" t="str">
        <f>IFERROR(V1086&amp;"*"&amp;ROUND(X1086*(W1086/$AP1086)/VLOOKUP(V1086,商品!$A$4:$D$67,4,FALSE),0),"")</f>
        <v/>
      </c>
      <c r="AN1086">
        <f t="shared" si="133"/>
        <v>0</v>
      </c>
      <c r="AO1086">
        <f t="shared" si="134"/>
        <v>0</v>
      </c>
      <c r="AP1086">
        <f t="shared" si="135"/>
        <v>0</v>
      </c>
    </row>
    <row r="1087" customHeight="1" spans="1:42">
      <c r="A1087" s="18" t="s">
        <v>484</v>
      </c>
      <c r="C1087" s="18">
        <v>3</v>
      </c>
      <c r="D1087" s="1" t="s">
        <v>293</v>
      </c>
      <c r="E1087" s="1" t="s">
        <v>227</v>
      </c>
      <c r="L1087" s="1">
        <f>IFERROR(VLOOKUP($D1087&amp;$C1087,生产方式定位!$A$2:$E$38,2,FALSE)+VLOOKUP($E1087&amp;$C1087,生产方式定位!$F$3:$J$38,2,FALSE),0)</f>
        <v>0</v>
      </c>
      <c r="S1087" s="1">
        <f>IFERROR(VLOOKUP($D1087&amp;$C1087,生产方式定位!$A$2:$E$38,3,FALSE)+VLOOKUP($E1087&amp;$C1087,生产方式定位!$F$3:$J$38,3,FALSE),0)</f>
        <v>0</v>
      </c>
      <c r="X1087" s="1">
        <f>IFERROR(VLOOKUP($D1087&amp;$C1087,生产方式定位!$A$2:$E$38,5,FALSE)+VLOOKUP($E1087&amp;$C1087,生产方式定位!$F$3:$J$38,5,FALSE),"错误")</f>
        <v>0</v>
      </c>
      <c r="Y1087" s="27" t="str">
        <f t="shared" si="128"/>
        <v/>
      </c>
      <c r="Z1087" s="37" t="str">
        <f t="shared" si="129"/>
        <v/>
      </c>
      <c r="AA1087" s="37" t="str">
        <f t="shared" si="130"/>
        <v/>
      </c>
      <c r="AB1087" s="28" t="str">
        <f t="shared" si="131"/>
        <v/>
      </c>
      <c r="AC1087" s="37"/>
      <c r="AD1087" s="38">
        <f t="shared" si="132"/>
        <v>3</v>
      </c>
      <c r="AE1087" t="str">
        <f>IFERROR(F1087&amp;"*"&amp;ROUND(L1087*(G1087/$AN1087)/VLOOKUP(F1087,商品!$A$4:$D$67,4,FALSE),0),"")</f>
        <v/>
      </c>
      <c r="AF1087" t="str">
        <f>IFERROR(H1087&amp;"*"&amp;ROUND(L1087*(I1087/$AN1087)/VLOOKUP(H1087,商品!$A$4:$D$67,4,FALSE),0),"")</f>
        <v/>
      </c>
      <c r="AG1087" t="str">
        <f>IFERROR(J1087&amp;"*"&amp;ROUND(L1087*(K1087/$AN1087)/VLOOKUP(J1087,商品!$A$4:$D$67,4,FALSE),0),"")</f>
        <v/>
      </c>
      <c r="AH1087" t="str">
        <f>IFERROR(M1087&amp;"*"&amp;ROUND(S1087*(N1087/$AO1087)/VLOOKUP(M1087,职业!$A$3:$E$16,4,FALSE),0),"")</f>
        <v/>
      </c>
      <c r="AI1087" t="str">
        <f>IFERROR(O1087&amp;"*"&amp;ROUND(S1087*(P1087/$AO1087)/VLOOKUP(O1087,职业!$A$3:$E$16,4,FALSE),0),"")</f>
        <v/>
      </c>
      <c r="AK1087" t="str">
        <f>IFERROR(T1087&amp;"*"&amp;ROUND(X1087*(U1087/$AP1087)/VLOOKUP(T1087,商品!$A$4:$D$67,4,FALSE),0),"")</f>
        <v/>
      </c>
      <c r="AL1087" t="str">
        <f>IFERROR(V1087&amp;"*"&amp;ROUND(X1087*(W1087/$AP1087)/VLOOKUP(V1087,商品!$A$4:$D$67,4,FALSE),0),"")</f>
        <v/>
      </c>
      <c r="AN1087">
        <f t="shared" si="133"/>
        <v>0</v>
      </c>
      <c r="AO1087">
        <f t="shared" si="134"/>
        <v>0</v>
      </c>
      <c r="AP1087">
        <f t="shared" si="135"/>
        <v>0</v>
      </c>
    </row>
    <row r="1088" customHeight="1" spans="1:42">
      <c r="A1088" s="18" t="s">
        <v>484</v>
      </c>
      <c r="C1088" s="18">
        <v>4</v>
      </c>
      <c r="D1088" s="1" t="s">
        <v>293</v>
      </c>
      <c r="E1088" s="1" t="s">
        <v>227</v>
      </c>
      <c r="L1088" s="1">
        <f>IFERROR(VLOOKUP($D1088&amp;$C1088,生产方式定位!$A$2:$E$38,2,FALSE)+VLOOKUP($E1088&amp;$C1088,生产方式定位!$F$3:$J$38,2,FALSE),0)</f>
        <v>0</v>
      </c>
      <c r="S1088" s="1">
        <f>IFERROR(VLOOKUP($D1088&amp;$C1088,生产方式定位!$A$2:$E$38,3,FALSE)+VLOOKUP($E1088&amp;$C1088,生产方式定位!$F$3:$J$38,3,FALSE),0)</f>
        <v>0</v>
      </c>
      <c r="X1088" s="1">
        <f>IFERROR(VLOOKUP($D1088&amp;$C1088,生产方式定位!$A$2:$E$38,5,FALSE)+VLOOKUP($E1088&amp;$C1088,生产方式定位!$F$3:$J$38,5,FALSE),"错误")</f>
        <v>0</v>
      </c>
      <c r="Y1088" s="27" t="str">
        <f t="shared" si="128"/>
        <v/>
      </c>
      <c r="Z1088" s="37" t="str">
        <f t="shared" si="129"/>
        <v/>
      </c>
      <c r="AA1088" s="37" t="str">
        <f t="shared" si="130"/>
        <v/>
      </c>
      <c r="AB1088" s="28" t="str">
        <f t="shared" si="131"/>
        <v/>
      </c>
      <c r="AC1088" s="37"/>
      <c r="AD1088" s="38">
        <f t="shared" si="132"/>
        <v>4</v>
      </c>
      <c r="AE1088" t="str">
        <f>IFERROR(F1088&amp;"*"&amp;ROUND(L1088*(G1088/$AN1088)/VLOOKUP(F1088,商品!$A$4:$D$67,4,FALSE),0),"")</f>
        <v/>
      </c>
      <c r="AF1088" t="str">
        <f>IFERROR(H1088&amp;"*"&amp;ROUND(L1088*(I1088/$AN1088)/VLOOKUP(H1088,商品!$A$4:$D$67,4,FALSE),0),"")</f>
        <v/>
      </c>
      <c r="AG1088" t="str">
        <f>IFERROR(J1088&amp;"*"&amp;ROUND(L1088*(K1088/$AN1088)/VLOOKUP(J1088,商品!$A$4:$D$67,4,FALSE),0),"")</f>
        <v/>
      </c>
      <c r="AH1088" t="str">
        <f>IFERROR(M1088&amp;"*"&amp;ROUND(S1088*(N1088/$AO1088)/VLOOKUP(M1088,职业!$A$3:$E$16,4,FALSE),0),"")</f>
        <v/>
      </c>
      <c r="AI1088" t="str">
        <f>IFERROR(O1088&amp;"*"&amp;ROUND(S1088*(P1088/$AO1088)/VLOOKUP(O1088,职业!$A$3:$E$16,4,FALSE),0),"")</f>
        <v/>
      </c>
      <c r="AK1088" t="str">
        <f>IFERROR(T1088&amp;"*"&amp;ROUND(X1088*(U1088/$AP1088)/VLOOKUP(T1088,商品!$A$4:$D$67,4,FALSE),0),"")</f>
        <v/>
      </c>
      <c r="AL1088" t="str">
        <f>IFERROR(V1088&amp;"*"&amp;ROUND(X1088*(W1088/$AP1088)/VLOOKUP(V1088,商品!$A$4:$D$67,4,FALSE),0),"")</f>
        <v/>
      </c>
      <c r="AN1088">
        <f t="shared" si="133"/>
        <v>0</v>
      </c>
      <c r="AO1088">
        <f t="shared" si="134"/>
        <v>0</v>
      </c>
      <c r="AP1088">
        <f t="shared" si="135"/>
        <v>0</v>
      </c>
    </row>
    <row r="1089" customHeight="1" spans="1:42">
      <c r="A1089" s="18" t="s">
        <v>484</v>
      </c>
      <c r="C1089" s="18">
        <v>5</v>
      </c>
      <c r="D1089" s="1" t="s">
        <v>293</v>
      </c>
      <c r="E1089" s="1" t="s">
        <v>227</v>
      </c>
      <c r="L1089" s="1">
        <f>IFERROR(VLOOKUP($D1089&amp;$C1089,生产方式定位!$A$2:$E$38,2,FALSE)+VLOOKUP($E1089&amp;$C1089,生产方式定位!$F$3:$J$38,2,FALSE),0)</f>
        <v>0</v>
      </c>
      <c r="S1089" s="1">
        <f>IFERROR(VLOOKUP($D1089&amp;$C1089,生产方式定位!$A$2:$E$38,3,FALSE)+VLOOKUP($E1089&amp;$C1089,生产方式定位!$F$3:$J$38,3,FALSE),0)</f>
        <v>0</v>
      </c>
      <c r="X1089" s="1">
        <f>IFERROR(VLOOKUP($D1089&amp;$C1089,生产方式定位!$A$2:$E$38,5,FALSE)+VLOOKUP($E1089&amp;$C1089,生产方式定位!$F$3:$J$38,5,FALSE),"错误")</f>
        <v>0</v>
      </c>
      <c r="Y1089" s="27" t="str">
        <f t="shared" si="128"/>
        <v/>
      </c>
      <c r="Z1089" s="37" t="str">
        <f t="shared" si="129"/>
        <v/>
      </c>
      <c r="AA1089" s="37" t="str">
        <f t="shared" si="130"/>
        <v/>
      </c>
      <c r="AB1089" s="28" t="str">
        <f t="shared" si="131"/>
        <v/>
      </c>
      <c r="AC1089" s="37"/>
      <c r="AD1089" s="38">
        <f t="shared" si="132"/>
        <v>5</v>
      </c>
      <c r="AE1089" t="str">
        <f>IFERROR(F1089&amp;"*"&amp;ROUND(L1089*(G1089/$AN1089)/VLOOKUP(F1089,商品!$A$4:$D$67,4,FALSE),0),"")</f>
        <v/>
      </c>
      <c r="AF1089" t="str">
        <f>IFERROR(H1089&amp;"*"&amp;ROUND(L1089*(I1089/$AN1089)/VLOOKUP(H1089,商品!$A$4:$D$67,4,FALSE),0),"")</f>
        <v/>
      </c>
      <c r="AG1089" t="str">
        <f>IFERROR(J1089&amp;"*"&amp;ROUND(L1089*(K1089/$AN1089)/VLOOKUP(J1089,商品!$A$4:$D$67,4,FALSE),0),"")</f>
        <v/>
      </c>
      <c r="AH1089" t="str">
        <f>IFERROR(M1089&amp;"*"&amp;ROUND(S1089*(N1089/$AO1089)/VLOOKUP(M1089,职业!$A$3:$E$16,4,FALSE),0),"")</f>
        <v/>
      </c>
      <c r="AI1089" t="str">
        <f>IFERROR(O1089&amp;"*"&amp;ROUND(S1089*(P1089/$AO1089)/VLOOKUP(O1089,职业!$A$3:$E$16,4,FALSE),0),"")</f>
        <v/>
      </c>
      <c r="AK1089" t="str">
        <f>IFERROR(T1089&amp;"*"&amp;ROUND(X1089*(U1089/$AP1089)/VLOOKUP(T1089,商品!$A$4:$D$67,4,FALSE),0),"")</f>
        <v/>
      </c>
      <c r="AL1089" t="str">
        <f>IFERROR(V1089&amp;"*"&amp;ROUND(X1089*(W1089/$AP1089)/VLOOKUP(V1089,商品!$A$4:$D$67,4,FALSE),0),"")</f>
        <v/>
      </c>
      <c r="AN1089">
        <f t="shared" si="133"/>
        <v>0</v>
      </c>
      <c r="AO1089">
        <f t="shared" si="134"/>
        <v>0</v>
      </c>
      <c r="AP1089">
        <f t="shared" si="135"/>
        <v>0</v>
      </c>
    </row>
    <row r="1090" customHeight="1" spans="1:42">
      <c r="A1090" s="18" t="s">
        <v>484</v>
      </c>
      <c r="C1090" s="18">
        <v>6</v>
      </c>
      <c r="D1090" s="1" t="s">
        <v>293</v>
      </c>
      <c r="E1090" s="1" t="s">
        <v>227</v>
      </c>
      <c r="L1090" s="1">
        <f>IFERROR(VLOOKUP($D1090&amp;$C1090,生产方式定位!$A$2:$E$38,2,FALSE)+VLOOKUP($E1090&amp;$C1090,生产方式定位!$F$3:$J$38,2,FALSE),0)</f>
        <v>0</v>
      </c>
      <c r="S1090" s="1">
        <f>IFERROR(VLOOKUP($D1090&amp;$C1090,生产方式定位!$A$2:$E$38,3,FALSE)+VLOOKUP($E1090&amp;$C1090,生产方式定位!$F$3:$J$38,3,FALSE),0)</f>
        <v>0</v>
      </c>
      <c r="X1090" s="1">
        <f>IFERROR(VLOOKUP($D1090&amp;$C1090,生产方式定位!$A$2:$E$38,5,FALSE)+VLOOKUP($E1090&amp;$C1090,生产方式定位!$F$3:$J$38,5,FALSE),"错误")</f>
        <v>0</v>
      </c>
      <c r="Y1090" s="27" t="str">
        <f t="shared" si="128"/>
        <v/>
      </c>
      <c r="Z1090" s="37" t="str">
        <f t="shared" si="129"/>
        <v/>
      </c>
      <c r="AA1090" s="37" t="str">
        <f t="shared" si="130"/>
        <v/>
      </c>
      <c r="AB1090" s="28" t="str">
        <f t="shared" si="131"/>
        <v/>
      </c>
      <c r="AC1090" s="37"/>
      <c r="AD1090" s="38">
        <f t="shared" si="132"/>
        <v>6</v>
      </c>
      <c r="AE1090" t="str">
        <f>IFERROR(F1090&amp;"*"&amp;ROUND(L1090*(G1090/$AN1090)/VLOOKUP(F1090,商品!$A$4:$D$67,4,FALSE),0),"")</f>
        <v/>
      </c>
      <c r="AF1090" t="str">
        <f>IFERROR(H1090&amp;"*"&amp;ROUND(L1090*(I1090/$AN1090)/VLOOKUP(H1090,商品!$A$4:$D$67,4,FALSE),0),"")</f>
        <v/>
      </c>
      <c r="AG1090" t="str">
        <f>IFERROR(J1090&amp;"*"&amp;ROUND(L1090*(K1090/$AN1090)/VLOOKUP(J1090,商品!$A$4:$D$67,4,FALSE),0),"")</f>
        <v/>
      </c>
      <c r="AH1090" t="str">
        <f>IFERROR(M1090&amp;"*"&amp;ROUND(S1090*(N1090/$AO1090)/VLOOKUP(M1090,职业!$A$3:$E$16,4,FALSE),0),"")</f>
        <v/>
      </c>
      <c r="AI1090" t="str">
        <f>IFERROR(O1090&amp;"*"&amp;ROUND(S1090*(P1090/$AO1090)/VLOOKUP(O1090,职业!$A$3:$E$16,4,FALSE),0),"")</f>
        <v/>
      </c>
      <c r="AK1090" t="str">
        <f>IFERROR(T1090&amp;"*"&amp;ROUND(X1090*(U1090/$AP1090)/VLOOKUP(T1090,商品!$A$4:$D$67,4,FALSE),0),"")</f>
        <v/>
      </c>
      <c r="AL1090" t="str">
        <f>IFERROR(V1090&amp;"*"&amp;ROUND(X1090*(W1090/$AP1090)/VLOOKUP(V1090,商品!$A$4:$D$67,4,FALSE),0),"")</f>
        <v/>
      </c>
      <c r="AN1090">
        <f t="shared" si="133"/>
        <v>0</v>
      </c>
      <c r="AO1090">
        <f t="shared" si="134"/>
        <v>0</v>
      </c>
      <c r="AP1090">
        <f t="shared" si="135"/>
        <v>0</v>
      </c>
    </row>
    <row r="1091" customHeight="1" spans="1:42">
      <c r="A1091" s="18" t="s">
        <v>484</v>
      </c>
      <c r="C1091" s="18">
        <v>7</v>
      </c>
      <c r="D1091" s="1" t="s">
        <v>293</v>
      </c>
      <c r="E1091" s="1" t="s">
        <v>227</v>
      </c>
      <c r="L1091" s="1">
        <f>IFERROR(VLOOKUP($D1091&amp;$C1091,生产方式定位!$A$2:$E$38,2,FALSE)+VLOOKUP($E1091&amp;$C1091,生产方式定位!$F$3:$J$38,2,FALSE),0)</f>
        <v>0</v>
      </c>
      <c r="S1091" s="1">
        <f>IFERROR(VLOOKUP($D1091&amp;$C1091,生产方式定位!$A$2:$E$38,3,FALSE)+VLOOKUP($E1091&amp;$C1091,生产方式定位!$F$3:$J$38,3,FALSE),0)</f>
        <v>0</v>
      </c>
      <c r="X1091" s="1">
        <f>IFERROR(VLOOKUP($D1091&amp;$C1091,生产方式定位!$A$2:$E$38,5,FALSE)+VLOOKUP($E1091&amp;$C1091,生产方式定位!$F$3:$J$38,5,FALSE),"错误")</f>
        <v>0</v>
      </c>
      <c r="Y1091" s="27" t="str">
        <f t="shared" si="128"/>
        <v/>
      </c>
      <c r="Z1091" s="37" t="str">
        <f t="shared" si="129"/>
        <v/>
      </c>
      <c r="AA1091" s="37" t="str">
        <f t="shared" si="130"/>
        <v/>
      </c>
      <c r="AB1091" s="28" t="str">
        <f t="shared" si="131"/>
        <v/>
      </c>
      <c r="AC1091" s="37"/>
      <c r="AD1091" s="38">
        <f t="shared" si="132"/>
        <v>7</v>
      </c>
      <c r="AE1091" t="str">
        <f>IFERROR(F1091&amp;"*"&amp;ROUND(L1091*(G1091/$AN1091)/VLOOKUP(F1091,商品!$A$4:$D$67,4,FALSE),0),"")</f>
        <v/>
      </c>
      <c r="AF1091" t="str">
        <f>IFERROR(H1091&amp;"*"&amp;ROUND(L1091*(I1091/$AN1091)/VLOOKUP(H1091,商品!$A$4:$D$67,4,FALSE),0),"")</f>
        <v/>
      </c>
      <c r="AG1091" t="str">
        <f>IFERROR(J1091&amp;"*"&amp;ROUND(L1091*(K1091/$AN1091)/VLOOKUP(J1091,商品!$A$4:$D$67,4,FALSE),0),"")</f>
        <v/>
      </c>
      <c r="AH1091" t="str">
        <f>IFERROR(M1091&amp;"*"&amp;ROUND(S1091*(N1091/$AO1091)/VLOOKUP(M1091,职业!$A$3:$E$16,4,FALSE),0),"")</f>
        <v/>
      </c>
      <c r="AI1091" t="str">
        <f>IFERROR(O1091&amp;"*"&amp;ROUND(S1091*(P1091/$AO1091)/VLOOKUP(O1091,职业!$A$3:$E$16,4,FALSE),0),"")</f>
        <v/>
      </c>
      <c r="AK1091" t="str">
        <f>IFERROR(T1091&amp;"*"&amp;ROUND(X1091*(U1091/$AP1091)/VLOOKUP(T1091,商品!$A$4:$D$67,4,FALSE),0),"")</f>
        <v/>
      </c>
      <c r="AL1091" t="str">
        <f>IFERROR(V1091&amp;"*"&amp;ROUND(X1091*(W1091/$AP1091)/VLOOKUP(V1091,商品!$A$4:$D$67,4,FALSE),0),"")</f>
        <v/>
      </c>
      <c r="AN1091">
        <f t="shared" si="133"/>
        <v>0</v>
      </c>
      <c r="AO1091">
        <f t="shared" si="134"/>
        <v>0</v>
      </c>
      <c r="AP1091">
        <f t="shared" si="135"/>
        <v>0</v>
      </c>
    </row>
    <row r="1092" customHeight="1" spans="1:42">
      <c r="A1092" s="18" t="s">
        <v>484</v>
      </c>
      <c r="C1092" s="18">
        <v>8</v>
      </c>
      <c r="D1092" s="1" t="s">
        <v>293</v>
      </c>
      <c r="E1092" s="1" t="s">
        <v>227</v>
      </c>
      <c r="L1092" s="1">
        <f>IFERROR(VLOOKUP($D1092&amp;$C1092,生产方式定位!$A$2:$E$38,2,FALSE)+VLOOKUP($E1092&amp;$C1092,生产方式定位!$F$3:$J$38,2,FALSE),0)</f>
        <v>0</v>
      </c>
      <c r="S1092" s="1">
        <f>IFERROR(VLOOKUP($D1092&amp;$C1092,生产方式定位!$A$2:$E$38,3,FALSE)+VLOOKUP($E1092&amp;$C1092,生产方式定位!$F$3:$J$38,3,FALSE),0)</f>
        <v>0</v>
      </c>
      <c r="X1092" s="1">
        <f>IFERROR(VLOOKUP($D1092&amp;$C1092,生产方式定位!$A$2:$E$38,5,FALSE)+VLOOKUP($E1092&amp;$C1092,生产方式定位!$F$3:$J$38,5,FALSE),"错误")</f>
        <v>0</v>
      </c>
      <c r="Y1092" s="27" t="str">
        <f t="shared" si="128"/>
        <v/>
      </c>
      <c r="Z1092" s="37" t="str">
        <f t="shared" si="129"/>
        <v/>
      </c>
      <c r="AA1092" s="37" t="str">
        <f t="shared" si="130"/>
        <v/>
      </c>
      <c r="AB1092" s="28" t="str">
        <f t="shared" si="131"/>
        <v/>
      </c>
      <c r="AC1092" s="37"/>
      <c r="AD1092" s="38">
        <f t="shared" si="132"/>
        <v>8</v>
      </c>
      <c r="AE1092" t="str">
        <f>IFERROR(F1092&amp;"*"&amp;ROUND(L1092*(G1092/$AN1092)/VLOOKUP(F1092,商品!$A$4:$D$67,4,FALSE),0),"")</f>
        <v/>
      </c>
      <c r="AF1092" t="str">
        <f>IFERROR(H1092&amp;"*"&amp;ROUND(L1092*(I1092/$AN1092)/VLOOKUP(H1092,商品!$A$4:$D$67,4,FALSE),0),"")</f>
        <v/>
      </c>
      <c r="AG1092" t="str">
        <f>IFERROR(J1092&amp;"*"&amp;ROUND(L1092*(K1092/$AN1092)/VLOOKUP(J1092,商品!$A$4:$D$67,4,FALSE),0),"")</f>
        <v/>
      </c>
      <c r="AH1092" t="str">
        <f>IFERROR(M1092&amp;"*"&amp;ROUND(S1092*(N1092/$AO1092)/VLOOKUP(M1092,职业!$A$3:$E$16,4,FALSE),0),"")</f>
        <v/>
      </c>
      <c r="AI1092" t="str">
        <f>IFERROR(O1092&amp;"*"&amp;ROUND(S1092*(P1092/$AO1092)/VLOOKUP(O1092,职业!$A$3:$E$16,4,FALSE),0),"")</f>
        <v/>
      </c>
      <c r="AK1092" t="str">
        <f>IFERROR(T1092&amp;"*"&amp;ROUND(X1092*(U1092/$AP1092)/VLOOKUP(T1092,商品!$A$4:$D$67,4,FALSE),0),"")</f>
        <v/>
      </c>
      <c r="AL1092" t="str">
        <f>IFERROR(V1092&amp;"*"&amp;ROUND(X1092*(W1092/$AP1092)/VLOOKUP(V1092,商品!$A$4:$D$67,4,FALSE),0),"")</f>
        <v/>
      </c>
      <c r="AN1092">
        <f t="shared" si="133"/>
        <v>0</v>
      </c>
      <c r="AO1092">
        <f t="shared" si="134"/>
        <v>0</v>
      </c>
      <c r="AP1092">
        <f t="shared" si="135"/>
        <v>0</v>
      </c>
    </row>
    <row r="1093" customHeight="1" spans="1:42">
      <c r="A1093" s="5" t="s">
        <v>486</v>
      </c>
      <c r="C1093" s="5">
        <v>1</v>
      </c>
      <c r="D1093" s="1" t="s">
        <v>222</v>
      </c>
      <c r="E1093" s="1" t="s">
        <v>224</v>
      </c>
      <c r="L1093" s="1">
        <f>IFERROR(VLOOKUP($D1093&amp;$C1093,生产方式定位!$A$2:$E$38,2,FALSE)+VLOOKUP($E1093&amp;$C1093,生产方式定位!$F$3:$J$38,2,FALSE),0)</f>
        <v>0</v>
      </c>
      <c r="S1093" s="1">
        <f>IFERROR(VLOOKUP($D1093&amp;$C1093,生产方式定位!$A$2:$E$38,3,FALSE)+VLOOKUP($E1093&amp;$C1093,生产方式定位!$F$3:$J$38,3,FALSE),0)</f>
        <v>500</v>
      </c>
      <c r="X1093" s="1">
        <f>IFERROR(VLOOKUP($D1093&amp;$C1093,生产方式定位!$A$2:$E$38,5,FALSE)+VLOOKUP($E1093&amp;$C1093,生产方式定位!$F$3:$J$38,5,FALSE),"错误")</f>
        <v>250</v>
      </c>
      <c r="Y1093" s="27" t="str">
        <f t="shared" ref="Y1093:Y1156" si="136">IF(AE1093="","",AE1093)&amp;IF(AF1093="","",","&amp;AF1093)&amp;IF(AG1093="","",","&amp;AG1093)</f>
        <v/>
      </c>
      <c r="Z1093" s="37" t="str">
        <f t="shared" ref="Z1093:Z1156" si="137">IF(AH1093="","",AH1093)&amp;IF(AI1093="","",","&amp;AI1093)</f>
        <v/>
      </c>
      <c r="AA1093" s="37" t="str">
        <f t="shared" ref="AA1093:AA1156" si="138">IF(AK1093="","",AK1093)&amp;IF(AL1093="","",","&amp;AL1093)</f>
        <v/>
      </c>
      <c r="AB1093" s="28">
        <f t="shared" ref="AB1093:AB1156" si="139">IFERROR(ROUND(L1093/X1093,2),"")</f>
        <v>0</v>
      </c>
      <c r="AC1093" s="37"/>
      <c r="AD1093" s="38">
        <f t="shared" ref="AD1093:AD1156" si="140">C1093</f>
        <v>1</v>
      </c>
      <c r="AE1093" t="str">
        <f>IFERROR(F1093&amp;"*"&amp;ROUND(L1093*(G1093/$AN1093)/VLOOKUP(F1093,商品!$A$4:$D$67,4,FALSE),0),"")</f>
        <v/>
      </c>
      <c r="AF1093" t="str">
        <f>IFERROR(H1093&amp;"*"&amp;ROUND(L1093*(I1093/$AN1093)/VLOOKUP(H1093,商品!$A$4:$D$67,4,FALSE),0),"")</f>
        <v/>
      </c>
      <c r="AG1093" t="str">
        <f>IFERROR(J1093&amp;"*"&amp;ROUND(L1093*(K1093/$AN1093)/VLOOKUP(J1093,商品!$A$4:$D$67,4,FALSE),0),"")</f>
        <v/>
      </c>
      <c r="AH1093" t="str">
        <f>IFERROR(M1093&amp;"*"&amp;ROUND(S1093*(N1093/$AO1093)/VLOOKUP(M1093,职业!$A$3:$E$16,4,FALSE),0),"")</f>
        <v/>
      </c>
      <c r="AI1093" t="str">
        <f>IFERROR(O1093&amp;"*"&amp;ROUND(S1093*(P1093/$AO1093)/VLOOKUP(O1093,职业!$A$3:$E$16,4,FALSE),0),"")</f>
        <v/>
      </c>
      <c r="AK1093" t="str">
        <f>IFERROR(T1093&amp;"*"&amp;ROUND(X1093*(U1093/$AP1093)/VLOOKUP(T1093,商品!$A$4:$D$67,4,FALSE),0),"")</f>
        <v/>
      </c>
      <c r="AL1093" t="str">
        <f>IFERROR(V1093&amp;"*"&amp;ROUND(X1093*(W1093/$AP1093)/VLOOKUP(V1093,商品!$A$4:$D$67,4,FALSE),0),"")</f>
        <v/>
      </c>
      <c r="AN1093">
        <f t="shared" si="133"/>
        <v>0</v>
      </c>
      <c r="AO1093">
        <f t="shared" si="134"/>
        <v>0</v>
      </c>
      <c r="AP1093">
        <f t="shared" si="135"/>
        <v>0</v>
      </c>
    </row>
    <row r="1094" customHeight="1" spans="1:42">
      <c r="A1094" s="5" t="s">
        <v>486</v>
      </c>
      <c r="C1094" s="5">
        <v>2</v>
      </c>
      <c r="D1094" s="1" t="s">
        <v>222</v>
      </c>
      <c r="E1094" s="1" t="s">
        <v>224</v>
      </c>
      <c r="L1094" s="1">
        <f>IFERROR(VLOOKUP($D1094&amp;$C1094,生产方式定位!$A$2:$E$38,2,FALSE)+VLOOKUP($E1094&amp;$C1094,生产方式定位!$F$3:$J$38,2,FALSE),0)</f>
        <v>2200</v>
      </c>
      <c r="S1094" s="1">
        <f>IFERROR(VLOOKUP($D1094&amp;$C1094,生产方式定位!$A$2:$E$38,3,FALSE)+VLOOKUP($E1094&amp;$C1094,生产方式定位!$F$3:$J$38,3,FALSE),0)</f>
        <v>750</v>
      </c>
      <c r="X1094" s="1">
        <f>IFERROR(VLOOKUP($D1094&amp;$C1094,生产方式定位!$A$2:$E$38,5,FALSE)+VLOOKUP($E1094&amp;$C1094,生产方式定位!$F$3:$J$38,5,FALSE),"错误")</f>
        <v>1547</v>
      </c>
      <c r="Y1094" s="27" t="str">
        <f t="shared" si="136"/>
        <v/>
      </c>
      <c r="Z1094" s="37" t="str">
        <f t="shared" si="137"/>
        <v/>
      </c>
      <c r="AA1094" s="37" t="str">
        <f t="shared" si="138"/>
        <v/>
      </c>
      <c r="AB1094" s="28">
        <f t="shared" si="139"/>
        <v>1.42</v>
      </c>
      <c r="AC1094" s="37"/>
      <c r="AD1094" s="38">
        <f t="shared" si="140"/>
        <v>2</v>
      </c>
      <c r="AE1094" t="str">
        <f>IFERROR(F1094&amp;"*"&amp;ROUND(L1094*(G1094/$AN1094)/VLOOKUP(F1094,商品!$A$4:$D$67,4,FALSE),0),"")</f>
        <v/>
      </c>
      <c r="AF1094" t="str">
        <f>IFERROR(H1094&amp;"*"&amp;ROUND(L1094*(I1094/$AN1094)/VLOOKUP(H1094,商品!$A$4:$D$67,4,FALSE),0),"")</f>
        <v/>
      </c>
      <c r="AG1094" t="str">
        <f>IFERROR(J1094&amp;"*"&amp;ROUND(L1094*(K1094/$AN1094)/VLOOKUP(J1094,商品!$A$4:$D$67,4,FALSE),0),"")</f>
        <v/>
      </c>
      <c r="AH1094" t="str">
        <f>IFERROR(M1094&amp;"*"&amp;ROUND(S1094*(N1094/$AO1094)/VLOOKUP(M1094,职业!$A$3:$E$16,4,FALSE),0),"")</f>
        <v/>
      </c>
      <c r="AI1094" t="str">
        <f>IFERROR(O1094&amp;"*"&amp;ROUND(S1094*(P1094/$AO1094)/VLOOKUP(O1094,职业!$A$3:$E$16,4,FALSE),0),"")</f>
        <v/>
      </c>
      <c r="AK1094" t="str">
        <f>IFERROR(T1094&amp;"*"&amp;ROUND(X1094*(U1094/$AP1094)/VLOOKUP(T1094,商品!$A$4:$D$67,4,FALSE),0),"")</f>
        <v/>
      </c>
      <c r="AL1094" t="str">
        <f>IFERROR(V1094&amp;"*"&amp;ROUND(X1094*(W1094/$AP1094)/VLOOKUP(V1094,商品!$A$4:$D$67,4,FALSE),0),"")</f>
        <v/>
      </c>
      <c r="AN1094">
        <f t="shared" ref="AN1094:AN1157" si="141">G1094+I1094+K1094</f>
        <v>0</v>
      </c>
      <c r="AO1094">
        <f t="shared" ref="AO1094:AO1157" si="142">N1094+P1094+R1094</f>
        <v>0</v>
      </c>
      <c r="AP1094">
        <f t="shared" ref="AP1094:AP1157" si="143">U1094+W1094</f>
        <v>0</v>
      </c>
    </row>
    <row r="1095" customHeight="1" spans="1:42">
      <c r="A1095" s="5" t="s">
        <v>486</v>
      </c>
      <c r="C1095" s="5">
        <v>3</v>
      </c>
      <c r="D1095" s="1" t="s">
        <v>222</v>
      </c>
      <c r="E1095" s="1" t="s">
        <v>224</v>
      </c>
      <c r="L1095" s="1">
        <f>IFERROR(VLOOKUP($D1095&amp;$C1095,生产方式定位!$A$2:$E$38,2,FALSE)+VLOOKUP($E1095&amp;$C1095,生产方式定位!$F$3:$J$38,2,FALSE),0)</f>
        <v>3400</v>
      </c>
      <c r="S1095" s="1">
        <f>IFERROR(VLOOKUP($D1095&amp;$C1095,生产方式定位!$A$2:$E$38,3,FALSE)+VLOOKUP($E1095&amp;$C1095,生产方式定位!$F$3:$J$38,3,FALSE),0)</f>
        <v>1000</v>
      </c>
      <c r="X1095" s="1">
        <f>IFERROR(VLOOKUP($D1095&amp;$C1095,生产方式定位!$A$2:$E$38,5,FALSE)+VLOOKUP($E1095&amp;$C1095,生产方式定位!$F$3:$J$38,5,FALSE),"错误")</f>
        <v>2488</v>
      </c>
      <c r="Y1095" s="27" t="str">
        <f t="shared" si="136"/>
        <v/>
      </c>
      <c r="Z1095" s="37" t="str">
        <f t="shared" si="137"/>
        <v/>
      </c>
      <c r="AA1095" s="37" t="str">
        <f t="shared" si="138"/>
        <v/>
      </c>
      <c r="AB1095" s="28">
        <f t="shared" si="139"/>
        <v>1.37</v>
      </c>
      <c r="AC1095" s="37"/>
      <c r="AD1095" s="38">
        <f t="shared" si="140"/>
        <v>3</v>
      </c>
      <c r="AE1095" t="str">
        <f>IFERROR(F1095&amp;"*"&amp;ROUND(L1095*(G1095/$AN1095)/VLOOKUP(F1095,商品!$A$4:$D$67,4,FALSE),0),"")</f>
        <v/>
      </c>
      <c r="AF1095" t="str">
        <f>IFERROR(H1095&amp;"*"&amp;ROUND(L1095*(I1095/$AN1095)/VLOOKUP(H1095,商品!$A$4:$D$67,4,FALSE),0),"")</f>
        <v/>
      </c>
      <c r="AG1095" t="str">
        <f>IFERROR(J1095&amp;"*"&amp;ROUND(L1095*(K1095/$AN1095)/VLOOKUP(J1095,商品!$A$4:$D$67,4,FALSE),0),"")</f>
        <v/>
      </c>
      <c r="AH1095" t="str">
        <f>IFERROR(M1095&amp;"*"&amp;ROUND(S1095*(N1095/$AO1095)/VLOOKUP(M1095,职业!$A$3:$E$16,4,FALSE),0),"")</f>
        <v/>
      </c>
      <c r="AI1095" t="str">
        <f>IFERROR(O1095&amp;"*"&amp;ROUND(S1095*(P1095/$AO1095)/VLOOKUP(O1095,职业!$A$3:$E$16,4,FALSE),0),"")</f>
        <v/>
      </c>
      <c r="AK1095" t="str">
        <f>IFERROR(T1095&amp;"*"&amp;ROUND(X1095*(U1095/$AP1095)/VLOOKUP(T1095,商品!$A$4:$D$67,4,FALSE),0),"")</f>
        <v/>
      </c>
      <c r="AL1095" t="str">
        <f>IFERROR(V1095&amp;"*"&amp;ROUND(X1095*(W1095/$AP1095)/VLOOKUP(V1095,商品!$A$4:$D$67,4,FALSE),0),"")</f>
        <v/>
      </c>
      <c r="AN1095">
        <f t="shared" si="141"/>
        <v>0</v>
      </c>
      <c r="AO1095">
        <f t="shared" si="142"/>
        <v>0</v>
      </c>
      <c r="AP1095">
        <f t="shared" si="143"/>
        <v>0</v>
      </c>
    </row>
    <row r="1096" customHeight="1" spans="1:42">
      <c r="A1096" s="5" t="s">
        <v>486</v>
      </c>
      <c r="C1096" s="5">
        <v>4</v>
      </c>
      <c r="D1096" s="1" t="s">
        <v>222</v>
      </c>
      <c r="E1096" s="1" t="s">
        <v>224</v>
      </c>
      <c r="L1096" s="1">
        <f>IFERROR(VLOOKUP($D1096&amp;$C1096,生产方式定位!$A$2:$E$38,2,FALSE)+VLOOKUP($E1096&amp;$C1096,生产方式定位!$F$3:$J$38,2,FALSE),0)</f>
        <v>4600</v>
      </c>
      <c r="S1096" s="1">
        <f>IFERROR(VLOOKUP($D1096&amp;$C1096,生产方式定位!$A$2:$E$38,3,FALSE)+VLOOKUP($E1096&amp;$C1096,生产方式定位!$F$3:$J$38,3,FALSE),0)</f>
        <v>1250</v>
      </c>
      <c r="X1096" s="1">
        <f>IFERROR(VLOOKUP($D1096&amp;$C1096,生产方式定位!$A$2:$E$38,5,FALSE)+VLOOKUP($E1096&amp;$C1096,生产方式定位!$F$3:$J$38,5,FALSE),"错误")</f>
        <v>3573</v>
      </c>
      <c r="Y1096" s="27" t="str">
        <f t="shared" si="136"/>
        <v/>
      </c>
      <c r="Z1096" s="37" t="str">
        <f t="shared" si="137"/>
        <v/>
      </c>
      <c r="AA1096" s="37" t="str">
        <f t="shared" si="138"/>
        <v/>
      </c>
      <c r="AB1096" s="28">
        <f t="shared" si="139"/>
        <v>1.29</v>
      </c>
      <c r="AC1096" s="37"/>
      <c r="AD1096" s="38">
        <f t="shared" si="140"/>
        <v>4</v>
      </c>
      <c r="AE1096" t="str">
        <f>IFERROR(F1096&amp;"*"&amp;ROUND(L1096*(G1096/$AN1096)/VLOOKUP(F1096,商品!$A$4:$D$67,4,FALSE),0),"")</f>
        <v/>
      </c>
      <c r="AF1096" t="str">
        <f>IFERROR(H1096&amp;"*"&amp;ROUND(L1096*(I1096/$AN1096)/VLOOKUP(H1096,商品!$A$4:$D$67,4,FALSE),0),"")</f>
        <v/>
      </c>
      <c r="AG1096" t="str">
        <f>IFERROR(J1096&amp;"*"&amp;ROUND(L1096*(K1096/$AN1096)/VLOOKUP(J1096,商品!$A$4:$D$67,4,FALSE),0),"")</f>
        <v/>
      </c>
      <c r="AH1096" t="str">
        <f>IFERROR(M1096&amp;"*"&amp;ROUND(S1096*(N1096/$AO1096)/VLOOKUP(M1096,职业!$A$3:$E$16,4,FALSE),0),"")</f>
        <v/>
      </c>
      <c r="AI1096" t="str">
        <f>IFERROR(O1096&amp;"*"&amp;ROUND(S1096*(P1096/$AO1096)/VLOOKUP(O1096,职业!$A$3:$E$16,4,FALSE),0),"")</f>
        <v/>
      </c>
      <c r="AK1096" t="str">
        <f>IFERROR(T1096&amp;"*"&amp;ROUND(X1096*(U1096/$AP1096)/VLOOKUP(T1096,商品!$A$4:$D$67,4,FALSE),0),"")</f>
        <v/>
      </c>
      <c r="AL1096" t="str">
        <f>IFERROR(V1096&amp;"*"&amp;ROUND(X1096*(W1096/$AP1096)/VLOOKUP(V1096,商品!$A$4:$D$67,4,FALSE),0),"")</f>
        <v/>
      </c>
      <c r="AN1096">
        <f t="shared" si="141"/>
        <v>0</v>
      </c>
      <c r="AO1096">
        <f t="shared" si="142"/>
        <v>0</v>
      </c>
      <c r="AP1096">
        <f t="shared" si="143"/>
        <v>0</v>
      </c>
    </row>
    <row r="1097" customHeight="1" spans="1:42">
      <c r="A1097" s="5" t="s">
        <v>486</v>
      </c>
      <c r="C1097" s="5">
        <v>5</v>
      </c>
      <c r="D1097" s="1" t="s">
        <v>222</v>
      </c>
      <c r="E1097" s="1" t="s">
        <v>224</v>
      </c>
      <c r="L1097" s="1">
        <f>IFERROR(VLOOKUP($D1097&amp;$C1097,生产方式定位!$A$2:$E$38,2,FALSE)+VLOOKUP($E1097&amp;$C1097,生产方式定位!$F$3:$J$38,2,FALSE),0)</f>
        <v>5800</v>
      </c>
      <c r="S1097" s="1">
        <f>IFERROR(VLOOKUP($D1097&amp;$C1097,生产方式定位!$A$2:$E$38,3,FALSE)+VLOOKUP($E1097&amp;$C1097,生产方式定位!$F$3:$J$38,3,FALSE),0)</f>
        <v>1500</v>
      </c>
      <c r="X1097" s="1">
        <f>IFERROR(VLOOKUP($D1097&amp;$C1097,生产方式定位!$A$2:$E$38,5,FALSE)+VLOOKUP($E1097&amp;$C1097,生产方式定位!$F$3:$J$38,5,FALSE),"错误")</f>
        <v>4850</v>
      </c>
      <c r="Y1097" s="27" t="str">
        <f t="shared" si="136"/>
        <v/>
      </c>
      <c r="Z1097" s="37" t="str">
        <f t="shared" si="137"/>
        <v/>
      </c>
      <c r="AA1097" s="37" t="str">
        <f t="shared" si="138"/>
        <v/>
      </c>
      <c r="AB1097" s="28">
        <f t="shared" si="139"/>
        <v>1.2</v>
      </c>
      <c r="AC1097" s="37"/>
      <c r="AD1097" s="38">
        <f t="shared" si="140"/>
        <v>5</v>
      </c>
      <c r="AE1097" t="str">
        <f>IFERROR(F1097&amp;"*"&amp;ROUND(L1097*(G1097/$AN1097)/VLOOKUP(F1097,商品!$A$4:$D$67,4,FALSE),0),"")</f>
        <v/>
      </c>
      <c r="AF1097" t="str">
        <f>IFERROR(H1097&amp;"*"&amp;ROUND(L1097*(I1097/$AN1097)/VLOOKUP(H1097,商品!$A$4:$D$67,4,FALSE),0),"")</f>
        <v/>
      </c>
      <c r="AG1097" t="str">
        <f>IFERROR(J1097&amp;"*"&amp;ROUND(L1097*(K1097/$AN1097)/VLOOKUP(J1097,商品!$A$4:$D$67,4,FALSE),0),"")</f>
        <v/>
      </c>
      <c r="AH1097" t="str">
        <f>IFERROR(M1097&amp;"*"&amp;ROUND(S1097*(N1097/$AO1097)/VLOOKUP(M1097,职业!$A$3:$E$16,4,FALSE),0),"")</f>
        <v/>
      </c>
      <c r="AI1097" t="str">
        <f>IFERROR(O1097&amp;"*"&amp;ROUND(S1097*(P1097/$AO1097)/VLOOKUP(O1097,职业!$A$3:$E$16,4,FALSE),0),"")</f>
        <v/>
      </c>
      <c r="AK1097" t="str">
        <f>IFERROR(T1097&amp;"*"&amp;ROUND(X1097*(U1097/$AP1097)/VLOOKUP(T1097,商品!$A$4:$D$67,4,FALSE),0),"")</f>
        <v/>
      </c>
      <c r="AL1097" t="str">
        <f>IFERROR(V1097&amp;"*"&amp;ROUND(X1097*(W1097/$AP1097)/VLOOKUP(V1097,商品!$A$4:$D$67,4,FALSE),0),"")</f>
        <v/>
      </c>
      <c r="AN1097">
        <f t="shared" si="141"/>
        <v>0</v>
      </c>
      <c r="AO1097">
        <f t="shared" si="142"/>
        <v>0</v>
      </c>
      <c r="AP1097">
        <f t="shared" si="143"/>
        <v>0</v>
      </c>
    </row>
    <row r="1098" customHeight="1" spans="1:42">
      <c r="A1098" s="18" t="s">
        <v>487</v>
      </c>
      <c r="C1098" s="18">
        <v>1</v>
      </c>
      <c r="D1098" s="1" t="s">
        <v>222</v>
      </c>
      <c r="E1098" s="1" t="s">
        <v>226</v>
      </c>
      <c r="L1098" s="1">
        <f>IFERROR(VLOOKUP($D1098&amp;$C1098,生产方式定位!$A$2:$E$38,2,FALSE)+VLOOKUP($E1098&amp;$C1098,生产方式定位!$F$3:$J$38,2,FALSE),0)</f>
        <v>0</v>
      </c>
      <c r="S1098" s="1">
        <f>IFERROR(VLOOKUP($D1098&amp;$C1098,生产方式定位!$A$2:$E$38,3,FALSE)+VLOOKUP($E1098&amp;$C1098,生产方式定位!$F$3:$J$38,3,FALSE),0)</f>
        <v>500</v>
      </c>
      <c r="X1098" s="1">
        <f>IFERROR(VLOOKUP($D1098&amp;$C1098,生产方式定位!$A$2:$E$38,5,FALSE)+VLOOKUP($E1098&amp;$C1098,生产方式定位!$F$3:$J$38,5,FALSE),"错误")</f>
        <v>250</v>
      </c>
      <c r="Y1098" s="27" t="str">
        <f t="shared" si="136"/>
        <v/>
      </c>
      <c r="Z1098" s="37" t="str">
        <f t="shared" si="137"/>
        <v/>
      </c>
      <c r="AA1098" s="37" t="str">
        <f t="shared" si="138"/>
        <v/>
      </c>
      <c r="AB1098" s="28">
        <f t="shared" si="139"/>
        <v>0</v>
      </c>
      <c r="AC1098" s="37"/>
      <c r="AD1098" s="38">
        <f t="shared" si="140"/>
        <v>1</v>
      </c>
      <c r="AE1098" t="str">
        <f>IFERROR(F1098&amp;"*"&amp;ROUND(L1098*(G1098/$AN1098)/VLOOKUP(F1098,商品!$A$4:$D$67,4,FALSE),0),"")</f>
        <v/>
      </c>
      <c r="AF1098" t="str">
        <f>IFERROR(H1098&amp;"*"&amp;ROUND(L1098*(I1098/$AN1098)/VLOOKUP(H1098,商品!$A$4:$D$67,4,FALSE),0),"")</f>
        <v/>
      </c>
      <c r="AG1098" t="str">
        <f>IFERROR(J1098&amp;"*"&amp;ROUND(L1098*(K1098/$AN1098)/VLOOKUP(J1098,商品!$A$4:$D$67,4,FALSE),0),"")</f>
        <v/>
      </c>
      <c r="AH1098" t="str">
        <f>IFERROR(M1098&amp;"*"&amp;ROUND(S1098*(N1098/$AO1098)/VLOOKUP(M1098,职业!$A$3:$E$16,4,FALSE),0),"")</f>
        <v/>
      </c>
      <c r="AI1098" t="str">
        <f>IFERROR(O1098&amp;"*"&amp;ROUND(S1098*(P1098/$AO1098)/VLOOKUP(O1098,职业!$A$3:$E$16,4,FALSE),0),"")</f>
        <v/>
      </c>
      <c r="AK1098" t="str">
        <f>IFERROR(T1098&amp;"*"&amp;ROUND(X1098*(U1098/$AP1098)/VLOOKUP(T1098,商品!$A$4:$D$67,4,FALSE),0),"")</f>
        <v/>
      </c>
      <c r="AL1098" t="str">
        <f>IFERROR(V1098&amp;"*"&amp;ROUND(X1098*(W1098/$AP1098)/VLOOKUP(V1098,商品!$A$4:$D$67,4,FALSE),0),"")</f>
        <v/>
      </c>
      <c r="AN1098">
        <f t="shared" si="141"/>
        <v>0</v>
      </c>
      <c r="AO1098">
        <f t="shared" si="142"/>
        <v>0</v>
      </c>
      <c r="AP1098">
        <f t="shared" si="143"/>
        <v>0</v>
      </c>
    </row>
    <row r="1099" customHeight="1" spans="1:42">
      <c r="A1099" s="18" t="s">
        <v>487</v>
      </c>
      <c r="C1099" s="18">
        <v>2</v>
      </c>
      <c r="D1099" s="1" t="s">
        <v>222</v>
      </c>
      <c r="E1099" s="1" t="s">
        <v>226</v>
      </c>
      <c r="L1099" s="1">
        <f>IFERROR(VLOOKUP($D1099&amp;$C1099,生产方式定位!$A$2:$E$38,2,FALSE)+VLOOKUP($E1099&amp;$C1099,生产方式定位!$F$3:$J$38,2,FALSE),0)</f>
        <v>3200</v>
      </c>
      <c r="S1099" s="1">
        <f>IFERROR(VLOOKUP($D1099&amp;$C1099,生产方式定位!$A$2:$E$38,3,FALSE)+VLOOKUP($E1099&amp;$C1099,生产方式定位!$F$3:$J$38,3,FALSE),0)</f>
        <v>350</v>
      </c>
      <c r="X1099" s="1">
        <f>IFERROR(VLOOKUP($D1099&amp;$C1099,生产方式定位!$A$2:$E$38,5,FALSE)+VLOOKUP($E1099&amp;$C1099,生产方式定位!$F$3:$J$38,5,FALSE),"错误")</f>
        <v>1865</v>
      </c>
      <c r="Y1099" s="27" t="str">
        <f t="shared" si="136"/>
        <v/>
      </c>
      <c r="Z1099" s="37" t="str">
        <f t="shared" si="137"/>
        <v/>
      </c>
      <c r="AA1099" s="37" t="str">
        <f t="shared" si="138"/>
        <v/>
      </c>
      <c r="AB1099" s="28">
        <f t="shared" si="139"/>
        <v>1.72</v>
      </c>
      <c r="AC1099" s="37"/>
      <c r="AD1099" s="38">
        <f t="shared" si="140"/>
        <v>2</v>
      </c>
      <c r="AE1099" t="str">
        <f>IFERROR(F1099&amp;"*"&amp;ROUND(L1099*(G1099/$AN1099)/VLOOKUP(F1099,商品!$A$4:$D$67,4,FALSE),0),"")</f>
        <v/>
      </c>
      <c r="AF1099" t="str">
        <f>IFERROR(H1099&amp;"*"&amp;ROUND(L1099*(I1099/$AN1099)/VLOOKUP(H1099,商品!$A$4:$D$67,4,FALSE),0),"")</f>
        <v/>
      </c>
      <c r="AG1099" t="str">
        <f>IFERROR(J1099&amp;"*"&amp;ROUND(L1099*(K1099/$AN1099)/VLOOKUP(J1099,商品!$A$4:$D$67,4,FALSE),0),"")</f>
        <v/>
      </c>
      <c r="AH1099" t="str">
        <f>IFERROR(M1099&amp;"*"&amp;ROUND(S1099*(N1099/$AO1099)/VLOOKUP(M1099,职业!$A$3:$E$16,4,FALSE),0),"")</f>
        <v/>
      </c>
      <c r="AI1099" t="str">
        <f>IFERROR(O1099&amp;"*"&amp;ROUND(S1099*(P1099/$AO1099)/VLOOKUP(O1099,职业!$A$3:$E$16,4,FALSE),0),"")</f>
        <v/>
      </c>
      <c r="AK1099" t="str">
        <f>IFERROR(T1099&amp;"*"&amp;ROUND(X1099*(U1099/$AP1099)/VLOOKUP(T1099,商品!$A$4:$D$67,4,FALSE),0),"")</f>
        <v/>
      </c>
      <c r="AL1099" t="str">
        <f>IFERROR(V1099&amp;"*"&amp;ROUND(X1099*(W1099/$AP1099)/VLOOKUP(V1099,商品!$A$4:$D$67,4,FALSE),0),"")</f>
        <v/>
      </c>
      <c r="AN1099">
        <f t="shared" si="141"/>
        <v>0</v>
      </c>
      <c r="AO1099">
        <f t="shared" si="142"/>
        <v>0</v>
      </c>
      <c r="AP1099">
        <f t="shared" si="143"/>
        <v>0</v>
      </c>
    </row>
    <row r="1100" customHeight="1" spans="1:42">
      <c r="A1100" s="18" t="s">
        <v>487</v>
      </c>
      <c r="C1100" s="18">
        <v>3</v>
      </c>
      <c r="D1100" s="1" t="s">
        <v>222</v>
      </c>
      <c r="E1100" s="1" t="s">
        <v>226</v>
      </c>
      <c r="L1100" s="1">
        <f>IFERROR(VLOOKUP($D1100&amp;$C1100,生产方式定位!$A$2:$E$38,2,FALSE)+VLOOKUP($E1100&amp;$C1100,生产方式定位!$F$3:$J$38,2,FALSE),0)</f>
        <v>4400</v>
      </c>
      <c r="S1100" s="1">
        <f>IFERROR(VLOOKUP($D1100&amp;$C1100,生产方式定位!$A$2:$E$38,3,FALSE)+VLOOKUP($E1100&amp;$C1100,生产方式定位!$F$3:$J$38,3,FALSE),0)</f>
        <v>200</v>
      </c>
      <c r="X1100" s="1">
        <f>IFERROR(VLOOKUP($D1100&amp;$C1100,生产方式定位!$A$2:$E$38,5,FALSE)+VLOOKUP($E1100&amp;$C1100,生产方式定位!$F$3:$J$38,5,FALSE),"错误")</f>
        <v>2560</v>
      </c>
      <c r="Y1100" s="27" t="str">
        <f t="shared" si="136"/>
        <v/>
      </c>
      <c r="Z1100" s="37" t="str">
        <f t="shared" si="137"/>
        <v/>
      </c>
      <c r="AA1100" s="37" t="str">
        <f t="shared" si="138"/>
        <v/>
      </c>
      <c r="AB1100" s="28">
        <f t="shared" si="139"/>
        <v>1.72</v>
      </c>
      <c r="AC1100" s="37"/>
      <c r="AD1100" s="38">
        <f t="shared" si="140"/>
        <v>3</v>
      </c>
      <c r="AE1100" t="str">
        <f>IFERROR(F1100&amp;"*"&amp;ROUND(L1100*(G1100/$AN1100)/VLOOKUP(F1100,商品!$A$4:$D$67,4,FALSE),0),"")</f>
        <v/>
      </c>
      <c r="AF1100" t="str">
        <f>IFERROR(H1100&amp;"*"&amp;ROUND(L1100*(I1100/$AN1100)/VLOOKUP(H1100,商品!$A$4:$D$67,4,FALSE),0),"")</f>
        <v/>
      </c>
      <c r="AG1100" t="str">
        <f>IFERROR(J1100&amp;"*"&amp;ROUND(L1100*(K1100/$AN1100)/VLOOKUP(J1100,商品!$A$4:$D$67,4,FALSE),0),"")</f>
        <v/>
      </c>
      <c r="AH1100" t="str">
        <f>IFERROR(M1100&amp;"*"&amp;ROUND(S1100*(N1100/$AO1100)/VLOOKUP(M1100,职业!$A$3:$E$16,4,FALSE),0),"")</f>
        <v/>
      </c>
      <c r="AI1100" t="str">
        <f>IFERROR(O1100&amp;"*"&amp;ROUND(S1100*(P1100/$AO1100)/VLOOKUP(O1100,职业!$A$3:$E$16,4,FALSE),0),"")</f>
        <v/>
      </c>
      <c r="AK1100" t="str">
        <f>IFERROR(T1100&amp;"*"&amp;ROUND(X1100*(U1100/$AP1100)/VLOOKUP(T1100,商品!$A$4:$D$67,4,FALSE),0),"")</f>
        <v/>
      </c>
      <c r="AL1100" t="str">
        <f>IFERROR(V1100&amp;"*"&amp;ROUND(X1100*(W1100/$AP1100)/VLOOKUP(V1100,商品!$A$4:$D$67,4,FALSE),0),"")</f>
        <v/>
      </c>
      <c r="AN1100">
        <f t="shared" si="141"/>
        <v>0</v>
      </c>
      <c r="AO1100">
        <f t="shared" si="142"/>
        <v>0</v>
      </c>
      <c r="AP1100">
        <f t="shared" si="143"/>
        <v>0</v>
      </c>
    </row>
    <row r="1101" customHeight="1" spans="1:42">
      <c r="A1101" s="18" t="s">
        <v>487</v>
      </c>
      <c r="C1101" s="18">
        <v>4</v>
      </c>
      <c r="D1101" s="1" t="s">
        <v>222</v>
      </c>
      <c r="E1101" s="1" t="s">
        <v>226</v>
      </c>
      <c r="L1101" s="1">
        <f>IFERROR(VLOOKUP($D1101&amp;$C1101,生产方式定位!$A$2:$E$38,2,FALSE)+VLOOKUP($E1101&amp;$C1101,生产方式定位!$F$3:$J$38,2,FALSE),0)</f>
        <v>5600</v>
      </c>
      <c r="S1101" s="1">
        <f>IFERROR(VLOOKUP($D1101&amp;$C1101,生产方式定位!$A$2:$E$38,3,FALSE)+VLOOKUP($E1101&amp;$C1101,生产方式定位!$F$3:$J$38,3,FALSE),0)</f>
        <v>50</v>
      </c>
      <c r="X1101" s="1">
        <f>IFERROR(VLOOKUP($D1101&amp;$C1101,生产方式定位!$A$2:$E$38,5,FALSE)+VLOOKUP($E1101&amp;$C1101,生产方式定位!$F$3:$J$38,5,FALSE),"错误")</f>
        <v>3335</v>
      </c>
      <c r="Y1101" s="27" t="str">
        <f t="shared" si="136"/>
        <v/>
      </c>
      <c r="Z1101" s="37" t="str">
        <f t="shared" si="137"/>
        <v/>
      </c>
      <c r="AA1101" s="37" t="str">
        <f t="shared" si="138"/>
        <v/>
      </c>
      <c r="AB1101" s="28">
        <f t="shared" si="139"/>
        <v>1.68</v>
      </c>
      <c r="AC1101" s="37"/>
      <c r="AD1101" s="38">
        <f t="shared" si="140"/>
        <v>4</v>
      </c>
      <c r="AE1101" t="str">
        <f>IFERROR(F1101&amp;"*"&amp;ROUND(L1101*(G1101/$AN1101)/VLOOKUP(F1101,商品!$A$4:$D$67,4,FALSE),0),"")</f>
        <v/>
      </c>
      <c r="AF1101" t="str">
        <f>IFERROR(H1101&amp;"*"&amp;ROUND(L1101*(I1101/$AN1101)/VLOOKUP(H1101,商品!$A$4:$D$67,4,FALSE),0),"")</f>
        <v/>
      </c>
      <c r="AG1101" t="str">
        <f>IFERROR(J1101&amp;"*"&amp;ROUND(L1101*(K1101/$AN1101)/VLOOKUP(J1101,商品!$A$4:$D$67,4,FALSE),0),"")</f>
        <v/>
      </c>
      <c r="AH1101" t="str">
        <f>IFERROR(M1101&amp;"*"&amp;ROUND(S1101*(N1101/$AO1101)/VLOOKUP(M1101,职业!$A$3:$E$16,4,FALSE),0),"")</f>
        <v/>
      </c>
      <c r="AI1101" t="str">
        <f>IFERROR(O1101&amp;"*"&amp;ROUND(S1101*(P1101/$AO1101)/VLOOKUP(O1101,职业!$A$3:$E$16,4,FALSE),0),"")</f>
        <v/>
      </c>
      <c r="AK1101" t="str">
        <f>IFERROR(T1101&amp;"*"&amp;ROUND(X1101*(U1101/$AP1101)/VLOOKUP(T1101,商品!$A$4:$D$67,4,FALSE),0),"")</f>
        <v/>
      </c>
      <c r="AL1101" t="str">
        <f>IFERROR(V1101&amp;"*"&amp;ROUND(X1101*(W1101/$AP1101)/VLOOKUP(V1101,商品!$A$4:$D$67,4,FALSE),0),"")</f>
        <v/>
      </c>
      <c r="AN1101">
        <f t="shared" si="141"/>
        <v>0</v>
      </c>
      <c r="AO1101">
        <f t="shared" si="142"/>
        <v>0</v>
      </c>
      <c r="AP1101">
        <f t="shared" si="143"/>
        <v>0</v>
      </c>
    </row>
    <row r="1102" customHeight="1" spans="1:42">
      <c r="A1102" s="18" t="s">
        <v>487</v>
      </c>
      <c r="C1102" s="18">
        <v>5</v>
      </c>
      <c r="D1102" s="1" t="s">
        <v>222</v>
      </c>
      <c r="E1102" s="1" t="s">
        <v>226</v>
      </c>
      <c r="L1102" s="1">
        <f>IFERROR(VLOOKUP($D1102&amp;$C1102,生产方式定位!$A$2:$E$38,2,FALSE)+VLOOKUP($E1102&amp;$C1102,生产方式定位!$F$3:$J$38,2,FALSE),0)</f>
        <v>6800</v>
      </c>
      <c r="S1102" s="1">
        <f>IFERROR(VLOOKUP($D1102&amp;$C1102,生产方式定位!$A$2:$E$38,3,FALSE)+VLOOKUP($E1102&amp;$C1102,生产方式定位!$F$3:$J$38,3,FALSE),0)</f>
        <v>-100</v>
      </c>
      <c r="X1102" s="1">
        <f>IFERROR(VLOOKUP($D1102&amp;$C1102,生产方式定位!$A$2:$E$38,5,FALSE)+VLOOKUP($E1102&amp;$C1102,生产方式定位!$F$3:$J$38,5,FALSE),"错误")</f>
        <v>4190</v>
      </c>
      <c r="Y1102" s="27" t="str">
        <f t="shared" si="136"/>
        <v/>
      </c>
      <c r="Z1102" s="37" t="str">
        <f t="shared" si="137"/>
        <v/>
      </c>
      <c r="AA1102" s="37" t="str">
        <f t="shared" si="138"/>
        <v/>
      </c>
      <c r="AB1102" s="28">
        <f t="shared" si="139"/>
        <v>1.62</v>
      </c>
      <c r="AC1102" s="37"/>
      <c r="AD1102" s="38">
        <f t="shared" si="140"/>
        <v>5</v>
      </c>
      <c r="AE1102" t="str">
        <f>IFERROR(F1102&amp;"*"&amp;ROUND(L1102*(G1102/$AN1102)/VLOOKUP(F1102,商品!$A$4:$D$67,4,FALSE),0),"")</f>
        <v/>
      </c>
      <c r="AF1102" t="str">
        <f>IFERROR(H1102&amp;"*"&amp;ROUND(L1102*(I1102/$AN1102)/VLOOKUP(H1102,商品!$A$4:$D$67,4,FALSE),0),"")</f>
        <v/>
      </c>
      <c r="AG1102" t="str">
        <f>IFERROR(J1102&amp;"*"&amp;ROUND(L1102*(K1102/$AN1102)/VLOOKUP(J1102,商品!$A$4:$D$67,4,FALSE),0),"")</f>
        <v/>
      </c>
      <c r="AH1102" t="str">
        <f>IFERROR(M1102&amp;"*"&amp;ROUND(S1102*(N1102/$AO1102)/VLOOKUP(M1102,职业!$A$3:$E$16,4,FALSE),0),"")</f>
        <v/>
      </c>
      <c r="AI1102" t="str">
        <f>IFERROR(O1102&amp;"*"&amp;ROUND(S1102*(P1102/$AO1102)/VLOOKUP(O1102,职业!$A$3:$E$16,4,FALSE),0),"")</f>
        <v/>
      </c>
      <c r="AK1102" t="str">
        <f>IFERROR(T1102&amp;"*"&amp;ROUND(X1102*(U1102/$AP1102)/VLOOKUP(T1102,商品!$A$4:$D$67,4,FALSE),0),"")</f>
        <v/>
      </c>
      <c r="AL1102" t="str">
        <f>IFERROR(V1102&amp;"*"&amp;ROUND(X1102*(W1102/$AP1102)/VLOOKUP(V1102,商品!$A$4:$D$67,4,FALSE),0),"")</f>
        <v/>
      </c>
      <c r="AN1102">
        <f t="shared" si="141"/>
        <v>0</v>
      </c>
      <c r="AO1102">
        <f t="shared" si="142"/>
        <v>0</v>
      </c>
      <c r="AP1102">
        <f t="shared" si="143"/>
        <v>0</v>
      </c>
    </row>
    <row r="1103" customHeight="1" spans="1:42">
      <c r="A1103" s="5" t="s">
        <v>487</v>
      </c>
      <c r="C1103" s="5">
        <v>1</v>
      </c>
      <c r="D1103" s="1" t="s">
        <v>222</v>
      </c>
      <c r="E1103" s="1" t="s">
        <v>226</v>
      </c>
      <c r="L1103" s="1">
        <f>IFERROR(VLOOKUP($D1103&amp;$C1103,生产方式定位!$A$2:$E$38,2,FALSE)+VLOOKUP($E1103&amp;$C1103,生产方式定位!$F$3:$J$38,2,FALSE),0)</f>
        <v>0</v>
      </c>
      <c r="S1103" s="1">
        <f>IFERROR(VLOOKUP($D1103&amp;$C1103,生产方式定位!$A$2:$E$38,3,FALSE)+VLOOKUP($E1103&amp;$C1103,生产方式定位!$F$3:$J$38,3,FALSE),0)</f>
        <v>500</v>
      </c>
      <c r="X1103" s="1">
        <f>IFERROR(VLOOKUP($D1103&amp;$C1103,生产方式定位!$A$2:$E$38,5,FALSE)+VLOOKUP($E1103&amp;$C1103,生产方式定位!$F$3:$J$38,5,FALSE),"错误")</f>
        <v>250</v>
      </c>
      <c r="Y1103" s="27" t="str">
        <f t="shared" si="136"/>
        <v/>
      </c>
      <c r="Z1103" s="37" t="str">
        <f t="shared" si="137"/>
        <v/>
      </c>
      <c r="AA1103" s="37" t="str">
        <f t="shared" si="138"/>
        <v/>
      </c>
      <c r="AB1103" s="28">
        <f t="shared" si="139"/>
        <v>0</v>
      </c>
      <c r="AC1103" s="37"/>
      <c r="AD1103" s="38">
        <f t="shared" si="140"/>
        <v>1</v>
      </c>
      <c r="AE1103" t="str">
        <f>IFERROR(F1103&amp;"*"&amp;ROUND(L1103*(G1103/$AN1103)/VLOOKUP(F1103,商品!$A$4:$D$67,4,FALSE),0),"")</f>
        <v/>
      </c>
      <c r="AF1103" t="str">
        <f>IFERROR(H1103&amp;"*"&amp;ROUND(L1103*(I1103/$AN1103)/VLOOKUP(H1103,商品!$A$4:$D$67,4,FALSE),0),"")</f>
        <v/>
      </c>
      <c r="AG1103" t="str">
        <f>IFERROR(J1103&amp;"*"&amp;ROUND(L1103*(K1103/$AN1103)/VLOOKUP(J1103,商品!$A$4:$D$67,4,FALSE),0),"")</f>
        <v/>
      </c>
      <c r="AH1103" t="str">
        <f>IFERROR(M1103&amp;"*"&amp;ROUND(S1103*(N1103/$AO1103)/VLOOKUP(M1103,职业!$A$3:$E$16,4,FALSE),0),"")</f>
        <v/>
      </c>
      <c r="AI1103" t="str">
        <f>IFERROR(O1103&amp;"*"&amp;ROUND(S1103*(P1103/$AO1103)/VLOOKUP(O1103,职业!$A$3:$E$16,4,FALSE),0),"")</f>
        <v/>
      </c>
      <c r="AK1103" t="str">
        <f>IFERROR(T1103&amp;"*"&amp;ROUND(X1103*(U1103/$AP1103)/VLOOKUP(T1103,商品!$A$4:$D$67,4,FALSE),0),"")</f>
        <v/>
      </c>
      <c r="AL1103" t="str">
        <f>IFERROR(V1103&amp;"*"&amp;ROUND(X1103*(W1103/$AP1103)/VLOOKUP(V1103,商品!$A$4:$D$67,4,FALSE),0),"")</f>
        <v/>
      </c>
      <c r="AN1103">
        <f t="shared" si="141"/>
        <v>0</v>
      </c>
      <c r="AO1103">
        <f t="shared" si="142"/>
        <v>0</v>
      </c>
      <c r="AP1103">
        <f t="shared" si="143"/>
        <v>0</v>
      </c>
    </row>
    <row r="1104" customHeight="1" spans="1:42">
      <c r="A1104" s="5" t="s">
        <v>487</v>
      </c>
      <c r="C1104" s="5">
        <v>2</v>
      </c>
      <c r="D1104" s="1" t="s">
        <v>222</v>
      </c>
      <c r="E1104" s="1" t="s">
        <v>226</v>
      </c>
      <c r="L1104" s="1">
        <f>IFERROR(VLOOKUP($D1104&amp;$C1104,生产方式定位!$A$2:$E$38,2,FALSE)+VLOOKUP($E1104&amp;$C1104,生产方式定位!$F$3:$J$38,2,FALSE),0)</f>
        <v>3200</v>
      </c>
      <c r="S1104" s="1">
        <f>IFERROR(VLOOKUP($D1104&amp;$C1104,生产方式定位!$A$2:$E$38,3,FALSE)+VLOOKUP($E1104&amp;$C1104,生产方式定位!$F$3:$J$38,3,FALSE),0)</f>
        <v>350</v>
      </c>
      <c r="X1104" s="1">
        <f>IFERROR(VLOOKUP($D1104&amp;$C1104,生产方式定位!$A$2:$E$38,5,FALSE)+VLOOKUP($E1104&amp;$C1104,生产方式定位!$F$3:$J$38,5,FALSE),"错误")</f>
        <v>1865</v>
      </c>
      <c r="Y1104" s="27" t="str">
        <f t="shared" si="136"/>
        <v/>
      </c>
      <c r="Z1104" s="37" t="str">
        <f t="shared" si="137"/>
        <v/>
      </c>
      <c r="AA1104" s="37" t="str">
        <f t="shared" si="138"/>
        <v/>
      </c>
      <c r="AB1104" s="28">
        <f t="shared" si="139"/>
        <v>1.72</v>
      </c>
      <c r="AC1104" s="37"/>
      <c r="AD1104" s="38">
        <f t="shared" si="140"/>
        <v>2</v>
      </c>
      <c r="AE1104" t="str">
        <f>IFERROR(F1104&amp;"*"&amp;ROUND(L1104*(G1104/$AN1104)/VLOOKUP(F1104,商品!$A$4:$D$67,4,FALSE),0),"")</f>
        <v/>
      </c>
      <c r="AF1104" t="str">
        <f>IFERROR(H1104&amp;"*"&amp;ROUND(L1104*(I1104/$AN1104)/VLOOKUP(H1104,商品!$A$4:$D$67,4,FALSE),0),"")</f>
        <v/>
      </c>
      <c r="AG1104" t="str">
        <f>IFERROR(J1104&amp;"*"&amp;ROUND(L1104*(K1104/$AN1104)/VLOOKUP(J1104,商品!$A$4:$D$67,4,FALSE),0),"")</f>
        <v/>
      </c>
      <c r="AH1104" t="str">
        <f>IFERROR(M1104&amp;"*"&amp;ROUND(S1104*(N1104/$AO1104)/VLOOKUP(M1104,职业!$A$3:$E$16,4,FALSE),0),"")</f>
        <v/>
      </c>
      <c r="AI1104" t="str">
        <f>IFERROR(O1104&amp;"*"&amp;ROUND(S1104*(P1104/$AO1104)/VLOOKUP(O1104,职业!$A$3:$E$16,4,FALSE),0),"")</f>
        <v/>
      </c>
      <c r="AK1104" t="str">
        <f>IFERROR(T1104&amp;"*"&amp;ROUND(X1104*(U1104/$AP1104)/VLOOKUP(T1104,商品!$A$4:$D$67,4,FALSE),0),"")</f>
        <v/>
      </c>
      <c r="AL1104" t="str">
        <f>IFERROR(V1104&amp;"*"&amp;ROUND(X1104*(W1104/$AP1104)/VLOOKUP(V1104,商品!$A$4:$D$67,4,FALSE),0),"")</f>
        <v/>
      </c>
      <c r="AN1104">
        <f t="shared" si="141"/>
        <v>0</v>
      </c>
      <c r="AO1104">
        <f t="shared" si="142"/>
        <v>0</v>
      </c>
      <c r="AP1104">
        <f t="shared" si="143"/>
        <v>0</v>
      </c>
    </row>
    <row r="1105" customHeight="1" spans="1:42">
      <c r="A1105" s="5" t="s">
        <v>487</v>
      </c>
      <c r="C1105" s="5">
        <v>3</v>
      </c>
      <c r="D1105" s="1" t="s">
        <v>222</v>
      </c>
      <c r="E1105" s="1" t="s">
        <v>226</v>
      </c>
      <c r="L1105" s="1">
        <f>IFERROR(VLOOKUP($D1105&amp;$C1105,生产方式定位!$A$2:$E$38,2,FALSE)+VLOOKUP($E1105&amp;$C1105,生产方式定位!$F$3:$J$38,2,FALSE),0)</f>
        <v>4400</v>
      </c>
      <c r="S1105" s="1">
        <f>IFERROR(VLOOKUP($D1105&amp;$C1105,生产方式定位!$A$2:$E$38,3,FALSE)+VLOOKUP($E1105&amp;$C1105,生产方式定位!$F$3:$J$38,3,FALSE),0)</f>
        <v>200</v>
      </c>
      <c r="X1105" s="1">
        <f>IFERROR(VLOOKUP($D1105&amp;$C1105,生产方式定位!$A$2:$E$38,5,FALSE)+VLOOKUP($E1105&amp;$C1105,生产方式定位!$F$3:$J$38,5,FALSE),"错误")</f>
        <v>2560</v>
      </c>
      <c r="Y1105" s="27" t="str">
        <f t="shared" si="136"/>
        <v/>
      </c>
      <c r="Z1105" s="37" t="str">
        <f t="shared" si="137"/>
        <v/>
      </c>
      <c r="AA1105" s="37" t="str">
        <f t="shared" si="138"/>
        <v/>
      </c>
      <c r="AB1105" s="28">
        <f t="shared" si="139"/>
        <v>1.72</v>
      </c>
      <c r="AC1105" s="37"/>
      <c r="AD1105" s="38">
        <f t="shared" si="140"/>
        <v>3</v>
      </c>
      <c r="AE1105" t="str">
        <f>IFERROR(F1105&amp;"*"&amp;ROUND(L1105*(G1105/$AN1105)/VLOOKUP(F1105,商品!$A$4:$D$67,4,FALSE),0),"")</f>
        <v/>
      </c>
      <c r="AF1105" t="str">
        <f>IFERROR(H1105&amp;"*"&amp;ROUND(L1105*(I1105/$AN1105)/VLOOKUP(H1105,商品!$A$4:$D$67,4,FALSE),0),"")</f>
        <v/>
      </c>
      <c r="AG1105" t="str">
        <f>IFERROR(J1105&amp;"*"&amp;ROUND(L1105*(K1105/$AN1105)/VLOOKUP(J1105,商品!$A$4:$D$67,4,FALSE),0),"")</f>
        <v/>
      </c>
      <c r="AH1105" t="str">
        <f>IFERROR(M1105&amp;"*"&amp;ROUND(S1105*(N1105/$AO1105)/VLOOKUP(M1105,职业!$A$3:$E$16,4,FALSE),0),"")</f>
        <v/>
      </c>
      <c r="AI1105" t="str">
        <f>IFERROR(O1105&amp;"*"&amp;ROUND(S1105*(P1105/$AO1105)/VLOOKUP(O1105,职业!$A$3:$E$16,4,FALSE),0),"")</f>
        <v/>
      </c>
      <c r="AK1105" t="str">
        <f>IFERROR(T1105&amp;"*"&amp;ROUND(X1105*(U1105/$AP1105)/VLOOKUP(T1105,商品!$A$4:$D$67,4,FALSE),0),"")</f>
        <v/>
      </c>
      <c r="AL1105" t="str">
        <f>IFERROR(V1105&amp;"*"&amp;ROUND(X1105*(W1105/$AP1105)/VLOOKUP(V1105,商品!$A$4:$D$67,4,FALSE),0),"")</f>
        <v/>
      </c>
      <c r="AN1105">
        <f t="shared" si="141"/>
        <v>0</v>
      </c>
      <c r="AO1105">
        <f t="shared" si="142"/>
        <v>0</v>
      </c>
      <c r="AP1105">
        <f t="shared" si="143"/>
        <v>0</v>
      </c>
    </row>
    <row r="1106" customHeight="1" spans="1:42">
      <c r="A1106" s="5" t="s">
        <v>487</v>
      </c>
      <c r="C1106" s="5">
        <v>4</v>
      </c>
      <c r="D1106" s="1" t="s">
        <v>222</v>
      </c>
      <c r="E1106" s="1" t="s">
        <v>226</v>
      </c>
      <c r="L1106" s="1">
        <f>IFERROR(VLOOKUP($D1106&amp;$C1106,生产方式定位!$A$2:$E$38,2,FALSE)+VLOOKUP($E1106&amp;$C1106,生产方式定位!$F$3:$J$38,2,FALSE),0)</f>
        <v>5600</v>
      </c>
      <c r="S1106" s="1">
        <f>IFERROR(VLOOKUP($D1106&amp;$C1106,生产方式定位!$A$2:$E$38,3,FALSE)+VLOOKUP($E1106&amp;$C1106,生产方式定位!$F$3:$J$38,3,FALSE),0)</f>
        <v>50</v>
      </c>
      <c r="X1106" s="1">
        <f>IFERROR(VLOOKUP($D1106&amp;$C1106,生产方式定位!$A$2:$E$38,5,FALSE)+VLOOKUP($E1106&amp;$C1106,生产方式定位!$F$3:$J$38,5,FALSE),"错误")</f>
        <v>3335</v>
      </c>
      <c r="Y1106" s="27" t="str">
        <f t="shared" si="136"/>
        <v/>
      </c>
      <c r="Z1106" s="37" t="str">
        <f t="shared" si="137"/>
        <v/>
      </c>
      <c r="AA1106" s="37" t="str">
        <f t="shared" si="138"/>
        <v/>
      </c>
      <c r="AB1106" s="28">
        <f t="shared" si="139"/>
        <v>1.68</v>
      </c>
      <c r="AC1106" s="37"/>
      <c r="AD1106" s="38">
        <f t="shared" si="140"/>
        <v>4</v>
      </c>
      <c r="AE1106" t="str">
        <f>IFERROR(F1106&amp;"*"&amp;ROUND(L1106*(G1106/$AN1106)/VLOOKUP(F1106,商品!$A$4:$D$67,4,FALSE),0),"")</f>
        <v/>
      </c>
      <c r="AF1106" t="str">
        <f>IFERROR(H1106&amp;"*"&amp;ROUND(L1106*(I1106/$AN1106)/VLOOKUP(H1106,商品!$A$4:$D$67,4,FALSE),0),"")</f>
        <v/>
      </c>
      <c r="AG1106" t="str">
        <f>IFERROR(J1106&amp;"*"&amp;ROUND(L1106*(K1106/$AN1106)/VLOOKUP(J1106,商品!$A$4:$D$67,4,FALSE),0),"")</f>
        <v/>
      </c>
      <c r="AH1106" t="str">
        <f>IFERROR(M1106&amp;"*"&amp;ROUND(S1106*(N1106/$AO1106)/VLOOKUP(M1106,职业!$A$3:$E$16,4,FALSE),0),"")</f>
        <v/>
      </c>
      <c r="AI1106" t="str">
        <f>IFERROR(O1106&amp;"*"&amp;ROUND(S1106*(P1106/$AO1106)/VLOOKUP(O1106,职业!$A$3:$E$16,4,FALSE),0),"")</f>
        <v/>
      </c>
      <c r="AK1106" t="str">
        <f>IFERROR(T1106&amp;"*"&amp;ROUND(X1106*(U1106/$AP1106)/VLOOKUP(T1106,商品!$A$4:$D$67,4,FALSE),0),"")</f>
        <v/>
      </c>
      <c r="AL1106" t="str">
        <f>IFERROR(V1106&amp;"*"&amp;ROUND(X1106*(W1106/$AP1106)/VLOOKUP(V1106,商品!$A$4:$D$67,4,FALSE),0),"")</f>
        <v/>
      </c>
      <c r="AN1106">
        <f t="shared" si="141"/>
        <v>0</v>
      </c>
      <c r="AO1106">
        <f t="shared" si="142"/>
        <v>0</v>
      </c>
      <c r="AP1106">
        <f t="shared" si="143"/>
        <v>0</v>
      </c>
    </row>
    <row r="1107" customHeight="1" spans="1:42">
      <c r="A1107" s="5" t="s">
        <v>487</v>
      </c>
      <c r="C1107" s="5">
        <v>5</v>
      </c>
      <c r="D1107" s="1" t="s">
        <v>222</v>
      </c>
      <c r="E1107" s="1" t="s">
        <v>226</v>
      </c>
      <c r="L1107" s="1">
        <f>IFERROR(VLOOKUP($D1107&amp;$C1107,生产方式定位!$A$2:$E$38,2,FALSE)+VLOOKUP($E1107&amp;$C1107,生产方式定位!$F$3:$J$38,2,FALSE),0)</f>
        <v>6800</v>
      </c>
      <c r="S1107" s="1">
        <f>IFERROR(VLOOKUP($D1107&amp;$C1107,生产方式定位!$A$2:$E$38,3,FALSE)+VLOOKUP($E1107&amp;$C1107,生产方式定位!$F$3:$J$38,3,FALSE),0)</f>
        <v>-100</v>
      </c>
      <c r="X1107" s="1">
        <f>IFERROR(VLOOKUP($D1107&amp;$C1107,生产方式定位!$A$2:$E$38,5,FALSE)+VLOOKUP($E1107&amp;$C1107,生产方式定位!$F$3:$J$38,5,FALSE),"错误")</f>
        <v>4190</v>
      </c>
      <c r="Y1107" s="27" t="str">
        <f t="shared" si="136"/>
        <v/>
      </c>
      <c r="Z1107" s="37" t="str">
        <f t="shared" si="137"/>
        <v/>
      </c>
      <c r="AA1107" s="37" t="str">
        <f t="shared" si="138"/>
        <v/>
      </c>
      <c r="AB1107" s="28">
        <f t="shared" si="139"/>
        <v>1.62</v>
      </c>
      <c r="AC1107" s="37"/>
      <c r="AD1107" s="38">
        <f t="shared" si="140"/>
        <v>5</v>
      </c>
      <c r="AE1107" t="str">
        <f>IFERROR(F1107&amp;"*"&amp;ROUND(L1107*(G1107/$AN1107)/VLOOKUP(F1107,商品!$A$4:$D$67,4,FALSE),0),"")</f>
        <v/>
      </c>
      <c r="AF1107" t="str">
        <f>IFERROR(H1107&amp;"*"&amp;ROUND(L1107*(I1107/$AN1107)/VLOOKUP(H1107,商品!$A$4:$D$67,4,FALSE),0),"")</f>
        <v/>
      </c>
      <c r="AG1107" t="str">
        <f>IFERROR(J1107&amp;"*"&amp;ROUND(L1107*(K1107/$AN1107)/VLOOKUP(J1107,商品!$A$4:$D$67,4,FALSE),0),"")</f>
        <v/>
      </c>
      <c r="AH1107" t="str">
        <f>IFERROR(M1107&amp;"*"&amp;ROUND(S1107*(N1107/$AO1107)/VLOOKUP(M1107,职业!$A$3:$E$16,4,FALSE),0),"")</f>
        <v/>
      </c>
      <c r="AI1107" t="str">
        <f>IFERROR(O1107&amp;"*"&amp;ROUND(S1107*(P1107/$AO1107)/VLOOKUP(O1107,职业!$A$3:$E$16,4,FALSE),0),"")</f>
        <v/>
      </c>
      <c r="AK1107" t="str">
        <f>IFERROR(T1107&amp;"*"&amp;ROUND(X1107*(U1107/$AP1107)/VLOOKUP(T1107,商品!$A$4:$D$67,4,FALSE),0),"")</f>
        <v/>
      </c>
      <c r="AL1107" t="str">
        <f>IFERROR(V1107&amp;"*"&amp;ROUND(X1107*(W1107/$AP1107)/VLOOKUP(V1107,商品!$A$4:$D$67,4,FALSE),0),"")</f>
        <v/>
      </c>
      <c r="AN1107">
        <f t="shared" si="141"/>
        <v>0</v>
      </c>
      <c r="AO1107">
        <f t="shared" si="142"/>
        <v>0</v>
      </c>
      <c r="AP1107">
        <f t="shared" si="143"/>
        <v>0</v>
      </c>
    </row>
    <row r="1108" customHeight="1" spans="1:42">
      <c r="A1108" s="18" t="s">
        <v>488</v>
      </c>
      <c r="C1108" s="18">
        <v>1</v>
      </c>
      <c r="D1108" s="1" t="s">
        <v>293</v>
      </c>
      <c r="E1108" s="1" t="s">
        <v>227</v>
      </c>
      <c r="L1108" s="1">
        <f>IFERROR(VLOOKUP($D1108&amp;$C1108,生产方式定位!$A$2:$E$38,2,FALSE)+VLOOKUP($E1108&amp;$C1108,生产方式定位!$F$3:$J$38,2,FALSE),0)</f>
        <v>0</v>
      </c>
      <c r="S1108" s="1">
        <f>IFERROR(VLOOKUP($D1108&amp;$C1108,生产方式定位!$A$2:$E$38,3,FALSE)+VLOOKUP($E1108&amp;$C1108,生产方式定位!$F$3:$J$38,3,FALSE),0)</f>
        <v>0</v>
      </c>
      <c r="X1108" s="1">
        <f>IFERROR(VLOOKUP($D1108&amp;$C1108,生产方式定位!$A$2:$E$38,5,FALSE)+VLOOKUP($E1108&amp;$C1108,生产方式定位!$F$3:$J$38,5,FALSE),"错误")</f>
        <v>0</v>
      </c>
      <c r="Y1108" s="27" t="str">
        <f t="shared" si="136"/>
        <v/>
      </c>
      <c r="Z1108" s="37" t="str">
        <f t="shared" si="137"/>
        <v/>
      </c>
      <c r="AA1108" s="37" t="str">
        <f t="shared" si="138"/>
        <v/>
      </c>
      <c r="AB1108" s="28" t="str">
        <f t="shared" si="139"/>
        <v/>
      </c>
      <c r="AC1108" s="37"/>
      <c r="AD1108" s="38">
        <f t="shared" si="140"/>
        <v>1</v>
      </c>
      <c r="AE1108" t="str">
        <f>IFERROR(F1108&amp;"*"&amp;ROUND(L1108*(G1108/$AN1108)/VLOOKUP(F1108,商品!$A$4:$D$67,4,FALSE),0),"")</f>
        <v/>
      </c>
      <c r="AF1108" t="str">
        <f>IFERROR(H1108&amp;"*"&amp;ROUND(L1108*(I1108/$AN1108)/VLOOKUP(H1108,商品!$A$4:$D$67,4,FALSE),0),"")</f>
        <v/>
      </c>
      <c r="AG1108" t="str">
        <f>IFERROR(J1108&amp;"*"&amp;ROUND(L1108*(K1108/$AN1108)/VLOOKUP(J1108,商品!$A$4:$D$67,4,FALSE),0),"")</f>
        <v/>
      </c>
      <c r="AH1108" t="str">
        <f>IFERROR(M1108&amp;"*"&amp;ROUND(S1108*(N1108/$AO1108)/VLOOKUP(M1108,职业!$A$3:$E$16,4,FALSE),0),"")</f>
        <v/>
      </c>
      <c r="AI1108" t="str">
        <f>IFERROR(O1108&amp;"*"&amp;ROUND(S1108*(P1108/$AO1108)/VLOOKUP(O1108,职业!$A$3:$E$16,4,FALSE),0),"")</f>
        <v/>
      </c>
      <c r="AK1108" t="str">
        <f>IFERROR(T1108&amp;"*"&amp;ROUND(X1108*(U1108/$AP1108)/VLOOKUP(T1108,商品!$A$4:$D$67,4,FALSE),0),"")</f>
        <v/>
      </c>
      <c r="AL1108" t="str">
        <f>IFERROR(V1108&amp;"*"&amp;ROUND(X1108*(W1108/$AP1108)/VLOOKUP(V1108,商品!$A$4:$D$67,4,FALSE),0),"")</f>
        <v/>
      </c>
      <c r="AN1108">
        <f t="shared" si="141"/>
        <v>0</v>
      </c>
      <c r="AO1108">
        <f t="shared" si="142"/>
        <v>0</v>
      </c>
      <c r="AP1108">
        <f t="shared" si="143"/>
        <v>0</v>
      </c>
    </row>
    <row r="1109" customHeight="1" spans="1:42">
      <c r="A1109" s="18" t="s">
        <v>488</v>
      </c>
      <c r="C1109" s="18">
        <v>2</v>
      </c>
      <c r="D1109" s="1" t="s">
        <v>293</v>
      </c>
      <c r="E1109" s="1" t="s">
        <v>227</v>
      </c>
      <c r="L1109" s="1">
        <f>IFERROR(VLOOKUP($D1109&amp;$C1109,生产方式定位!$A$2:$E$38,2,FALSE)+VLOOKUP($E1109&amp;$C1109,生产方式定位!$F$3:$J$38,2,FALSE),0)</f>
        <v>0</v>
      </c>
      <c r="S1109" s="1">
        <f>IFERROR(VLOOKUP($D1109&amp;$C1109,生产方式定位!$A$2:$E$38,3,FALSE)+VLOOKUP($E1109&amp;$C1109,生产方式定位!$F$3:$J$38,3,FALSE),0)</f>
        <v>0</v>
      </c>
      <c r="X1109" s="1">
        <f>IFERROR(VLOOKUP($D1109&amp;$C1109,生产方式定位!$A$2:$E$38,5,FALSE)+VLOOKUP($E1109&amp;$C1109,生产方式定位!$F$3:$J$38,5,FALSE),"错误")</f>
        <v>0</v>
      </c>
      <c r="Y1109" s="27" t="str">
        <f t="shared" si="136"/>
        <v/>
      </c>
      <c r="Z1109" s="37" t="str">
        <f t="shared" si="137"/>
        <v/>
      </c>
      <c r="AA1109" s="37" t="str">
        <f t="shared" si="138"/>
        <v/>
      </c>
      <c r="AB1109" s="28" t="str">
        <f t="shared" si="139"/>
        <v/>
      </c>
      <c r="AC1109" s="37"/>
      <c r="AD1109" s="38">
        <f t="shared" si="140"/>
        <v>2</v>
      </c>
      <c r="AE1109" t="str">
        <f>IFERROR(F1109&amp;"*"&amp;ROUND(L1109*(G1109/$AN1109)/VLOOKUP(F1109,商品!$A$4:$D$67,4,FALSE),0),"")</f>
        <v/>
      </c>
      <c r="AF1109" t="str">
        <f>IFERROR(H1109&amp;"*"&amp;ROUND(L1109*(I1109/$AN1109)/VLOOKUP(H1109,商品!$A$4:$D$67,4,FALSE),0),"")</f>
        <v/>
      </c>
      <c r="AG1109" t="str">
        <f>IFERROR(J1109&amp;"*"&amp;ROUND(L1109*(K1109/$AN1109)/VLOOKUP(J1109,商品!$A$4:$D$67,4,FALSE),0),"")</f>
        <v/>
      </c>
      <c r="AH1109" t="str">
        <f>IFERROR(M1109&amp;"*"&amp;ROUND(S1109*(N1109/$AO1109)/VLOOKUP(M1109,职业!$A$3:$E$16,4,FALSE),0),"")</f>
        <v/>
      </c>
      <c r="AI1109" t="str">
        <f>IFERROR(O1109&amp;"*"&amp;ROUND(S1109*(P1109/$AO1109)/VLOOKUP(O1109,职业!$A$3:$E$16,4,FALSE),0),"")</f>
        <v/>
      </c>
      <c r="AK1109" t="str">
        <f>IFERROR(T1109&amp;"*"&amp;ROUND(X1109*(U1109/$AP1109)/VLOOKUP(T1109,商品!$A$4:$D$67,4,FALSE),0),"")</f>
        <v/>
      </c>
      <c r="AL1109" t="str">
        <f>IFERROR(V1109&amp;"*"&amp;ROUND(X1109*(W1109/$AP1109)/VLOOKUP(V1109,商品!$A$4:$D$67,4,FALSE),0),"")</f>
        <v/>
      </c>
      <c r="AN1109">
        <f t="shared" si="141"/>
        <v>0</v>
      </c>
      <c r="AO1109">
        <f t="shared" si="142"/>
        <v>0</v>
      </c>
      <c r="AP1109">
        <f t="shared" si="143"/>
        <v>0</v>
      </c>
    </row>
    <row r="1110" customHeight="1" spans="1:42">
      <c r="A1110" s="18" t="s">
        <v>488</v>
      </c>
      <c r="C1110" s="18">
        <v>3</v>
      </c>
      <c r="D1110" s="1" t="s">
        <v>293</v>
      </c>
      <c r="E1110" s="1" t="s">
        <v>227</v>
      </c>
      <c r="L1110" s="1">
        <f>IFERROR(VLOOKUP($D1110&amp;$C1110,生产方式定位!$A$2:$E$38,2,FALSE)+VLOOKUP($E1110&amp;$C1110,生产方式定位!$F$3:$J$38,2,FALSE),0)</f>
        <v>0</v>
      </c>
      <c r="S1110" s="1">
        <f>IFERROR(VLOOKUP($D1110&amp;$C1110,生产方式定位!$A$2:$E$38,3,FALSE)+VLOOKUP($E1110&amp;$C1110,生产方式定位!$F$3:$J$38,3,FALSE),0)</f>
        <v>0</v>
      </c>
      <c r="X1110" s="1">
        <f>IFERROR(VLOOKUP($D1110&amp;$C1110,生产方式定位!$A$2:$E$38,5,FALSE)+VLOOKUP($E1110&amp;$C1110,生产方式定位!$F$3:$J$38,5,FALSE),"错误")</f>
        <v>0</v>
      </c>
      <c r="Y1110" s="27" t="str">
        <f t="shared" si="136"/>
        <v/>
      </c>
      <c r="Z1110" s="37" t="str">
        <f t="shared" si="137"/>
        <v/>
      </c>
      <c r="AA1110" s="37" t="str">
        <f t="shared" si="138"/>
        <v/>
      </c>
      <c r="AB1110" s="28" t="str">
        <f t="shared" si="139"/>
        <v/>
      </c>
      <c r="AC1110" s="37"/>
      <c r="AD1110" s="38">
        <f t="shared" si="140"/>
        <v>3</v>
      </c>
      <c r="AE1110" t="str">
        <f>IFERROR(F1110&amp;"*"&amp;ROUND(L1110*(G1110/$AN1110)/VLOOKUP(F1110,商品!$A$4:$D$67,4,FALSE),0),"")</f>
        <v/>
      </c>
      <c r="AF1110" t="str">
        <f>IFERROR(H1110&amp;"*"&amp;ROUND(L1110*(I1110/$AN1110)/VLOOKUP(H1110,商品!$A$4:$D$67,4,FALSE),0),"")</f>
        <v/>
      </c>
      <c r="AG1110" t="str">
        <f>IFERROR(J1110&amp;"*"&amp;ROUND(L1110*(K1110/$AN1110)/VLOOKUP(J1110,商品!$A$4:$D$67,4,FALSE),0),"")</f>
        <v/>
      </c>
      <c r="AH1110" t="str">
        <f>IFERROR(M1110&amp;"*"&amp;ROUND(S1110*(N1110/$AO1110)/VLOOKUP(M1110,职业!$A$3:$E$16,4,FALSE),0),"")</f>
        <v/>
      </c>
      <c r="AI1110" t="str">
        <f>IFERROR(O1110&amp;"*"&amp;ROUND(S1110*(P1110/$AO1110)/VLOOKUP(O1110,职业!$A$3:$E$16,4,FALSE),0),"")</f>
        <v/>
      </c>
      <c r="AK1110" t="str">
        <f>IFERROR(T1110&amp;"*"&amp;ROUND(X1110*(U1110/$AP1110)/VLOOKUP(T1110,商品!$A$4:$D$67,4,FALSE),0),"")</f>
        <v/>
      </c>
      <c r="AL1110" t="str">
        <f>IFERROR(V1110&amp;"*"&amp;ROUND(X1110*(W1110/$AP1110)/VLOOKUP(V1110,商品!$A$4:$D$67,4,FALSE),0),"")</f>
        <v/>
      </c>
      <c r="AN1110">
        <f t="shared" si="141"/>
        <v>0</v>
      </c>
      <c r="AO1110">
        <f t="shared" si="142"/>
        <v>0</v>
      </c>
      <c r="AP1110">
        <f t="shared" si="143"/>
        <v>0</v>
      </c>
    </row>
    <row r="1111" customHeight="1" spans="1:42">
      <c r="A1111" s="18" t="s">
        <v>488</v>
      </c>
      <c r="C1111" s="18">
        <v>4</v>
      </c>
      <c r="D1111" s="1" t="s">
        <v>293</v>
      </c>
      <c r="E1111" s="1" t="s">
        <v>227</v>
      </c>
      <c r="L1111" s="1">
        <f>IFERROR(VLOOKUP($D1111&amp;$C1111,生产方式定位!$A$2:$E$38,2,FALSE)+VLOOKUP($E1111&amp;$C1111,生产方式定位!$F$3:$J$38,2,FALSE),0)</f>
        <v>0</v>
      </c>
      <c r="S1111" s="1">
        <f>IFERROR(VLOOKUP($D1111&amp;$C1111,生产方式定位!$A$2:$E$38,3,FALSE)+VLOOKUP($E1111&amp;$C1111,生产方式定位!$F$3:$J$38,3,FALSE),0)</f>
        <v>0</v>
      </c>
      <c r="X1111" s="1">
        <f>IFERROR(VLOOKUP($D1111&amp;$C1111,生产方式定位!$A$2:$E$38,5,FALSE)+VLOOKUP($E1111&amp;$C1111,生产方式定位!$F$3:$J$38,5,FALSE),"错误")</f>
        <v>0</v>
      </c>
      <c r="Y1111" s="27" t="str">
        <f t="shared" si="136"/>
        <v/>
      </c>
      <c r="Z1111" s="37" t="str">
        <f t="shared" si="137"/>
        <v/>
      </c>
      <c r="AA1111" s="37" t="str">
        <f t="shared" si="138"/>
        <v/>
      </c>
      <c r="AB1111" s="28" t="str">
        <f t="shared" si="139"/>
        <v/>
      </c>
      <c r="AC1111" s="37"/>
      <c r="AD1111" s="38">
        <f t="shared" si="140"/>
        <v>4</v>
      </c>
      <c r="AE1111" t="str">
        <f>IFERROR(F1111&amp;"*"&amp;ROUND(L1111*(G1111/$AN1111)/VLOOKUP(F1111,商品!$A$4:$D$67,4,FALSE),0),"")</f>
        <v/>
      </c>
      <c r="AF1111" t="str">
        <f>IFERROR(H1111&amp;"*"&amp;ROUND(L1111*(I1111/$AN1111)/VLOOKUP(H1111,商品!$A$4:$D$67,4,FALSE),0),"")</f>
        <v/>
      </c>
      <c r="AG1111" t="str">
        <f>IFERROR(J1111&amp;"*"&amp;ROUND(L1111*(K1111/$AN1111)/VLOOKUP(J1111,商品!$A$4:$D$67,4,FALSE),0),"")</f>
        <v/>
      </c>
      <c r="AH1111" t="str">
        <f>IFERROR(M1111&amp;"*"&amp;ROUND(S1111*(N1111/$AO1111)/VLOOKUP(M1111,职业!$A$3:$E$16,4,FALSE),0),"")</f>
        <v/>
      </c>
      <c r="AI1111" t="str">
        <f>IFERROR(O1111&amp;"*"&amp;ROUND(S1111*(P1111/$AO1111)/VLOOKUP(O1111,职业!$A$3:$E$16,4,FALSE),0),"")</f>
        <v/>
      </c>
      <c r="AK1111" t="str">
        <f>IFERROR(T1111&amp;"*"&amp;ROUND(X1111*(U1111/$AP1111)/VLOOKUP(T1111,商品!$A$4:$D$67,4,FALSE),0),"")</f>
        <v/>
      </c>
      <c r="AL1111" t="str">
        <f>IFERROR(V1111&amp;"*"&amp;ROUND(X1111*(W1111/$AP1111)/VLOOKUP(V1111,商品!$A$4:$D$67,4,FALSE),0),"")</f>
        <v/>
      </c>
      <c r="AN1111">
        <f t="shared" si="141"/>
        <v>0</v>
      </c>
      <c r="AO1111">
        <f t="shared" si="142"/>
        <v>0</v>
      </c>
      <c r="AP1111">
        <f t="shared" si="143"/>
        <v>0</v>
      </c>
    </row>
    <row r="1112" customHeight="1" spans="1:42">
      <c r="A1112" s="18" t="s">
        <v>488</v>
      </c>
      <c r="C1112" s="18">
        <v>5</v>
      </c>
      <c r="D1112" s="1" t="s">
        <v>293</v>
      </c>
      <c r="E1112" s="1" t="s">
        <v>227</v>
      </c>
      <c r="L1112" s="1">
        <f>IFERROR(VLOOKUP($D1112&amp;$C1112,生产方式定位!$A$2:$E$38,2,FALSE)+VLOOKUP($E1112&amp;$C1112,生产方式定位!$F$3:$J$38,2,FALSE),0)</f>
        <v>0</v>
      </c>
      <c r="S1112" s="1">
        <f>IFERROR(VLOOKUP($D1112&amp;$C1112,生产方式定位!$A$2:$E$38,3,FALSE)+VLOOKUP($E1112&amp;$C1112,生产方式定位!$F$3:$J$38,3,FALSE),0)</f>
        <v>0</v>
      </c>
      <c r="X1112" s="1">
        <f>IFERROR(VLOOKUP($D1112&amp;$C1112,生产方式定位!$A$2:$E$38,5,FALSE)+VLOOKUP($E1112&amp;$C1112,生产方式定位!$F$3:$J$38,5,FALSE),"错误")</f>
        <v>0</v>
      </c>
      <c r="Y1112" s="27" t="str">
        <f t="shared" si="136"/>
        <v/>
      </c>
      <c r="Z1112" s="37" t="str">
        <f t="shared" si="137"/>
        <v/>
      </c>
      <c r="AA1112" s="37" t="str">
        <f t="shared" si="138"/>
        <v/>
      </c>
      <c r="AB1112" s="28" t="str">
        <f t="shared" si="139"/>
        <v/>
      </c>
      <c r="AC1112" s="37"/>
      <c r="AD1112" s="38">
        <f t="shared" si="140"/>
        <v>5</v>
      </c>
      <c r="AE1112" t="str">
        <f>IFERROR(F1112&amp;"*"&amp;ROUND(L1112*(G1112/$AN1112)/VLOOKUP(F1112,商品!$A$4:$D$67,4,FALSE),0),"")</f>
        <v/>
      </c>
      <c r="AF1112" t="str">
        <f>IFERROR(H1112&amp;"*"&amp;ROUND(L1112*(I1112/$AN1112)/VLOOKUP(H1112,商品!$A$4:$D$67,4,FALSE),0),"")</f>
        <v/>
      </c>
      <c r="AG1112" t="str">
        <f>IFERROR(J1112&amp;"*"&amp;ROUND(L1112*(K1112/$AN1112)/VLOOKUP(J1112,商品!$A$4:$D$67,4,FALSE),0),"")</f>
        <v/>
      </c>
      <c r="AH1112" t="str">
        <f>IFERROR(M1112&amp;"*"&amp;ROUND(S1112*(N1112/$AO1112)/VLOOKUP(M1112,职业!$A$3:$E$16,4,FALSE),0),"")</f>
        <v/>
      </c>
      <c r="AI1112" t="str">
        <f>IFERROR(O1112&amp;"*"&amp;ROUND(S1112*(P1112/$AO1112)/VLOOKUP(O1112,职业!$A$3:$E$16,4,FALSE),0),"")</f>
        <v/>
      </c>
      <c r="AK1112" t="str">
        <f>IFERROR(T1112&amp;"*"&amp;ROUND(X1112*(U1112/$AP1112)/VLOOKUP(T1112,商品!$A$4:$D$67,4,FALSE),0),"")</f>
        <v/>
      </c>
      <c r="AL1112" t="str">
        <f>IFERROR(V1112&amp;"*"&amp;ROUND(X1112*(W1112/$AP1112)/VLOOKUP(V1112,商品!$A$4:$D$67,4,FALSE),0),"")</f>
        <v/>
      </c>
      <c r="AN1112">
        <f t="shared" si="141"/>
        <v>0</v>
      </c>
      <c r="AO1112">
        <f t="shared" si="142"/>
        <v>0</v>
      </c>
      <c r="AP1112">
        <f t="shared" si="143"/>
        <v>0</v>
      </c>
    </row>
    <row r="1113" customHeight="1" spans="1:42">
      <c r="A1113" s="18" t="s">
        <v>488</v>
      </c>
      <c r="C1113" s="18">
        <v>6</v>
      </c>
      <c r="D1113" s="1" t="s">
        <v>293</v>
      </c>
      <c r="E1113" s="1" t="s">
        <v>227</v>
      </c>
      <c r="L1113" s="1">
        <f>IFERROR(VLOOKUP($D1113&amp;$C1113,生产方式定位!$A$2:$E$38,2,FALSE)+VLOOKUP($E1113&amp;$C1113,生产方式定位!$F$3:$J$38,2,FALSE),0)</f>
        <v>0</v>
      </c>
      <c r="S1113" s="1">
        <f>IFERROR(VLOOKUP($D1113&amp;$C1113,生产方式定位!$A$2:$E$38,3,FALSE)+VLOOKUP($E1113&amp;$C1113,生产方式定位!$F$3:$J$38,3,FALSE),0)</f>
        <v>0</v>
      </c>
      <c r="X1113" s="1">
        <f>IFERROR(VLOOKUP($D1113&amp;$C1113,生产方式定位!$A$2:$E$38,5,FALSE)+VLOOKUP($E1113&amp;$C1113,生产方式定位!$F$3:$J$38,5,FALSE),"错误")</f>
        <v>0</v>
      </c>
      <c r="Y1113" s="27" t="str">
        <f t="shared" si="136"/>
        <v/>
      </c>
      <c r="Z1113" s="37" t="str">
        <f t="shared" si="137"/>
        <v/>
      </c>
      <c r="AA1113" s="37" t="str">
        <f t="shared" si="138"/>
        <v/>
      </c>
      <c r="AB1113" s="28" t="str">
        <f t="shared" si="139"/>
        <v/>
      </c>
      <c r="AC1113" s="37"/>
      <c r="AD1113" s="38">
        <f t="shared" si="140"/>
        <v>6</v>
      </c>
      <c r="AE1113" t="str">
        <f>IFERROR(F1113&amp;"*"&amp;ROUND(L1113*(G1113/$AN1113)/VLOOKUP(F1113,商品!$A$4:$D$67,4,FALSE),0),"")</f>
        <v/>
      </c>
      <c r="AF1113" t="str">
        <f>IFERROR(H1113&amp;"*"&amp;ROUND(L1113*(I1113/$AN1113)/VLOOKUP(H1113,商品!$A$4:$D$67,4,FALSE),0),"")</f>
        <v/>
      </c>
      <c r="AG1113" t="str">
        <f>IFERROR(J1113&amp;"*"&amp;ROUND(L1113*(K1113/$AN1113)/VLOOKUP(J1113,商品!$A$4:$D$67,4,FALSE),0),"")</f>
        <v/>
      </c>
      <c r="AH1113" t="str">
        <f>IFERROR(M1113&amp;"*"&amp;ROUND(S1113*(N1113/$AO1113)/VLOOKUP(M1113,职业!$A$3:$E$16,4,FALSE),0),"")</f>
        <v/>
      </c>
      <c r="AI1113" t="str">
        <f>IFERROR(O1113&amp;"*"&amp;ROUND(S1113*(P1113/$AO1113)/VLOOKUP(O1113,职业!$A$3:$E$16,4,FALSE),0),"")</f>
        <v/>
      </c>
      <c r="AK1113" t="str">
        <f>IFERROR(T1113&amp;"*"&amp;ROUND(X1113*(U1113/$AP1113)/VLOOKUP(T1113,商品!$A$4:$D$67,4,FALSE),0),"")</f>
        <v/>
      </c>
      <c r="AL1113" t="str">
        <f>IFERROR(V1113&amp;"*"&amp;ROUND(X1113*(W1113/$AP1113)/VLOOKUP(V1113,商品!$A$4:$D$67,4,FALSE),0),"")</f>
        <v/>
      </c>
      <c r="AN1113">
        <f t="shared" si="141"/>
        <v>0</v>
      </c>
      <c r="AO1113">
        <f t="shared" si="142"/>
        <v>0</v>
      </c>
      <c r="AP1113">
        <f t="shared" si="143"/>
        <v>0</v>
      </c>
    </row>
    <row r="1114" customHeight="1" spans="1:42">
      <c r="A1114" s="18" t="s">
        <v>488</v>
      </c>
      <c r="C1114" s="18">
        <v>7</v>
      </c>
      <c r="D1114" s="1" t="s">
        <v>293</v>
      </c>
      <c r="E1114" s="1" t="s">
        <v>227</v>
      </c>
      <c r="L1114" s="1">
        <f>IFERROR(VLOOKUP($D1114&amp;$C1114,生产方式定位!$A$2:$E$38,2,FALSE)+VLOOKUP($E1114&amp;$C1114,生产方式定位!$F$3:$J$38,2,FALSE),0)</f>
        <v>0</v>
      </c>
      <c r="S1114" s="1">
        <f>IFERROR(VLOOKUP($D1114&amp;$C1114,生产方式定位!$A$2:$E$38,3,FALSE)+VLOOKUP($E1114&amp;$C1114,生产方式定位!$F$3:$J$38,3,FALSE),0)</f>
        <v>0</v>
      </c>
      <c r="X1114" s="1">
        <f>IFERROR(VLOOKUP($D1114&amp;$C1114,生产方式定位!$A$2:$E$38,5,FALSE)+VLOOKUP($E1114&amp;$C1114,生产方式定位!$F$3:$J$38,5,FALSE),"错误")</f>
        <v>0</v>
      </c>
      <c r="Y1114" s="27" t="str">
        <f t="shared" si="136"/>
        <v/>
      </c>
      <c r="Z1114" s="37" t="str">
        <f t="shared" si="137"/>
        <v/>
      </c>
      <c r="AA1114" s="37" t="str">
        <f t="shared" si="138"/>
        <v/>
      </c>
      <c r="AB1114" s="28" t="str">
        <f t="shared" si="139"/>
        <v/>
      </c>
      <c r="AC1114" s="37"/>
      <c r="AD1114" s="38">
        <f t="shared" si="140"/>
        <v>7</v>
      </c>
      <c r="AE1114" t="str">
        <f>IFERROR(F1114&amp;"*"&amp;ROUND(L1114*(G1114/$AN1114)/VLOOKUP(F1114,商品!$A$4:$D$67,4,FALSE),0),"")</f>
        <v/>
      </c>
      <c r="AF1114" t="str">
        <f>IFERROR(H1114&amp;"*"&amp;ROUND(L1114*(I1114/$AN1114)/VLOOKUP(H1114,商品!$A$4:$D$67,4,FALSE),0),"")</f>
        <v/>
      </c>
      <c r="AG1114" t="str">
        <f>IFERROR(J1114&amp;"*"&amp;ROUND(L1114*(K1114/$AN1114)/VLOOKUP(J1114,商品!$A$4:$D$67,4,FALSE),0),"")</f>
        <v/>
      </c>
      <c r="AH1114" t="str">
        <f>IFERROR(M1114&amp;"*"&amp;ROUND(S1114*(N1114/$AO1114)/VLOOKUP(M1114,职业!$A$3:$E$16,4,FALSE),0),"")</f>
        <v/>
      </c>
      <c r="AI1114" t="str">
        <f>IFERROR(O1114&amp;"*"&amp;ROUND(S1114*(P1114/$AO1114)/VLOOKUP(O1114,职业!$A$3:$E$16,4,FALSE),0),"")</f>
        <v/>
      </c>
      <c r="AK1114" t="str">
        <f>IFERROR(T1114&amp;"*"&amp;ROUND(X1114*(U1114/$AP1114)/VLOOKUP(T1114,商品!$A$4:$D$67,4,FALSE),0),"")</f>
        <v/>
      </c>
      <c r="AL1114" t="str">
        <f>IFERROR(V1114&amp;"*"&amp;ROUND(X1114*(W1114/$AP1114)/VLOOKUP(V1114,商品!$A$4:$D$67,4,FALSE),0),"")</f>
        <v/>
      </c>
      <c r="AN1114">
        <f t="shared" si="141"/>
        <v>0</v>
      </c>
      <c r="AO1114">
        <f t="shared" si="142"/>
        <v>0</v>
      </c>
      <c r="AP1114">
        <f t="shared" si="143"/>
        <v>0</v>
      </c>
    </row>
    <row r="1115" customHeight="1" spans="1:42">
      <c r="A1115" s="18" t="s">
        <v>488</v>
      </c>
      <c r="C1115" s="18">
        <v>8</v>
      </c>
      <c r="D1115" s="1" t="s">
        <v>293</v>
      </c>
      <c r="E1115" s="1" t="s">
        <v>227</v>
      </c>
      <c r="L1115" s="1">
        <f>IFERROR(VLOOKUP($D1115&amp;$C1115,生产方式定位!$A$2:$E$38,2,FALSE)+VLOOKUP($E1115&amp;$C1115,生产方式定位!$F$3:$J$38,2,FALSE),0)</f>
        <v>0</v>
      </c>
      <c r="S1115" s="1">
        <f>IFERROR(VLOOKUP($D1115&amp;$C1115,生产方式定位!$A$2:$E$38,3,FALSE)+VLOOKUP($E1115&amp;$C1115,生产方式定位!$F$3:$J$38,3,FALSE),0)</f>
        <v>0</v>
      </c>
      <c r="X1115" s="1">
        <f>IFERROR(VLOOKUP($D1115&amp;$C1115,生产方式定位!$A$2:$E$38,5,FALSE)+VLOOKUP($E1115&amp;$C1115,生产方式定位!$F$3:$J$38,5,FALSE),"错误")</f>
        <v>0</v>
      </c>
      <c r="Y1115" s="27" t="str">
        <f t="shared" si="136"/>
        <v/>
      </c>
      <c r="Z1115" s="37" t="str">
        <f t="shared" si="137"/>
        <v/>
      </c>
      <c r="AA1115" s="37" t="str">
        <f t="shared" si="138"/>
        <v/>
      </c>
      <c r="AB1115" s="28" t="str">
        <f t="shared" si="139"/>
        <v/>
      </c>
      <c r="AC1115" s="37"/>
      <c r="AD1115" s="38">
        <f t="shared" si="140"/>
        <v>8</v>
      </c>
      <c r="AE1115" t="str">
        <f>IFERROR(F1115&amp;"*"&amp;ROUND(L1115*(G1115/$AN1115)/VLOOKUP(F1115,商品!$A$4:$D$67,4,FALSE),0),"")</f>
        <v/>
      </c>
      <c r="AF1115" t="str">
        <f>IFERROR(H1115&amp;"*"&amp;ROUND(L1115*(I1115/$AN1115)/VLOOKUP(H1115,商品!$A$4:$D$67,4,FALSE),0),"")</f>
        <v/>
      </c>
      <c r="AG1115" t="str">
        <f>IFERROR(J1115&amp;"*"&amp;ROUND(L1115*(K1115/$AN1115)/VLOOKUP(J1115,商品!$A$4:$D$67,4,FALSE),0),"")</f>
        <v/>
      </c>
      <c r="AH1115" t="str">
        <f>IFERROR(M1115&amp;"*"&amp;ROUND(S1115*(N1115/$AO1115)/VLOOKUP(M1115,职业!$A$3:$E$16,4,FALSE),0),"")</f>
        <v/>
      </c>
      <c r="AI1115" t="str">
        <f>IFERROR(O1115&amp;"*"&amp;ROUND(S1115*(P1115/$AO1115)/VLOOKUP(O1115,职业!$A$3:$E$16,4,FALSE),0),"")</f>
        <v/>
      </c>
      <c r="AK1115" t="str">
        <f>IFERROR(T1115&amp;"*"&amp;ROUND(X1115*(U1115/$AP1115)/VLOOKUP(T1115,商品!$A$4:$D$67,4,FALSE),0),"")</f>
        <v/>
      </c>
      <c r="AL1115" t="str">
        <f>IFERROR(V1115&amp;"*"&amp;ROUND(X1115*(W1115/$AP1115)/VLOOKUP(V1115,商品!$A$4:$D$67,4,FALSE),0),"")</f>
        <v/>
      </c>
      <c r="AN1115">
        <f t="shared" si="141"/>
        <v>0</v>
      </c>
      <c r="AO1115">
        <f t="shared" si="142"/>
        <v>0</v>
      </c>
      <c r="AP1115">
        <f t="shared" si="143"/>
        <v>0</v>
      </c>
    </row>
    <row r="1116" customHeight="1" spans="1:42">
      <c r="A1116" s="5" t="s">
        <v>490</v>
      </c>
      <c r="C1116" s="5">
        <v>1</v>
      </c>
      <c r="D1116" s="1" t="s">
        <v>222</v>
      </c>
      <c r="E1116" s="1" t="s">
        <v>224</v>
      </c>
      <c r="L1116" s="1">
        <f>IFERROR(VLOOKUP($D1116&amp;$C1116,生产方式定位!$A$2:$E$38,2,FALSE)+VLOOKUP($E1116&amp;$C1116,生产方式定位!$F$3:$J$38,2,FALSE),0)</f>
        <v>0</v>
      </c>
      <c r="S1116" s="1">
        <f>IFERROR(VLOOKUP($D1116&amp;$C1116,生产方式定位!$A$2:$E$38,3,FALSE)+VLOOKUP($E1116&amp;$C1116,生产方式定位!$F$3:$J$38,3,FALSE),0)</f>
        <v>500</v>
      </c>
      <c r="X1116" s="1">
        <f>IFERROR(VLOOKUP($D1116&amp;$C1116,生产方式定位!$A$2:$E$38,5,FALSE)+VLOOKUP($E1116&amp;$C1116,生产方式定位!$F$3:$J$38,5,FALSE),"错误")</f>
        <v>250</v>
      </c>
      <c r="Y1116" s="27" t="str">
        <f t="shared" si="136"/>
        <v/>
      </c>
      <c r="Z1116" s="37" t="str">
        <f t="shared" si="137"/>
        <v/>
      </c>
      <c r="AA1116" s="37" t="str">
        <f t="shared" si="138"/>
        <v/>
      </c>
      <c r="AB1116" s="28">
        <f t="shared" si="139"/>
        <v>0</v>
      </c>
      <c r="AC1116" s="37"/>
      <c r="AD1116" s="38">
        <f t="shared" si="140"/>
        <v>1</v>
      </c>
      <c r="AE1116" t="str">
        <f>IFERROR(F1116&amp;"*"&amp;ROUND(L1116*(G1116/$AN1116)/VLOOKUP(F1116,商品!$A$4:$D$67,4,FALSE),0),"")</f>
        <v/>
      </c>
      <c r="AF1116" t="str">
        <f>IFERROR(H1116&amp;"*"&amp;ROUND(L1116*(I1116/$AN1116)/VLOOKUP(H1116,商品!$A$4:$D$67,4,FALSE),0),"")</f>
        <v/>
      </c>
      <c r="AG1116" t="str">
        <f>IFERROR(J1116&amp;"*"&amp;ROUND(L1116*(K1116/$AN1116)/VLOOKUP(J1116,商品!$A$4:$D$67,4,FALSE),0),"")</f>
        <v/>
      </c>
      <c r="AH1116" t="str">
        <f>IFERROR(M1116&amp;"*"&amp;ROUND(S1116*(N1116/$AO1116)/VLOOKUP(M1116,职业!$A$3:$E$16,4,FALSE),0),"")</f>
        <v/>
      </c>
      <c r="AI1116" t="str">
        <f>IFERROR(O1116&amp;"*"&amp;ROUND(S1116*(P1116/$AO1116)/VLOOKUP(O1116,职业!$A$3:$E$16,4,FALSE),0),"")</f>
        <v/>
      </c>
      <c r="AK1116" t="str">
        <f>IFERROR(T1116&amp;"*"&amp;ROUND(X1116*(U1116/$AP1116)/VLOOKUP(T1116,商品!$A$4:$D$67,4,FALSE),0),"")</f>
        <v/>
      </c>
      <c r="AL1116" t="str">
        <f>IFERROR(V1116&amp;"*"&amp;ROUND(X1116*(W1116/$AP1116)/VLOOKUP(V1116,商品!$A$4:$D$67,4,FALSE),0),"")</f>
        <v/>
      </c>
      <c r="AN1116">
        <f t="shared" si="141"/>
        <v>0</v>
      </c>
      <c r="AO1116">
        <f t="shared" si="142"/>
        <v>0</v>
      </c>
      <c r="AP1116">
        <f t="shared" si="143"/>
        <v>0</v>
      </c>
    </row>
    <row r="1117" customHeight="1" spans="1:42">
      <c r="A1117" s="5" t="s">
        <v>490</v>
      </c>
      <c r="C1117" s="5">
        <v>2</v>
      </c>
      <c r="D1117" s="1" t="s">
        <v>222</v>
      </c>
      <c r="E1117" s="1" t="s">
        <v>224</v>
      </c>
      <c r="L1117" s="1">
        <f>IFERROR(VLOOKUP($D1117&amp;$C1117,生产方式定位!$A$2:$E$38,2,FALSE)+VLOOKUP($E1117&amp;$C1117,生产方式定位!$F$3:$J$38,2,FALSE),0)</f>
        <v>2200</v>
      </c>
      <c r="S1117" s="1">
        <f>IFERROR(VLOOKUP($D1117&amp;$C1117,生产方式定位!$A$2:$E$38,3,FALSE)+VLOOKUP($E1117&amp;$C1117,生产方式定位!$F$3:$J$38,3,FALSE),0)</f>
        <v>750</v>
      </c>
      <c r="X1117" s="1">
        <f>IFERROR(VLOOKUP($D1117&amp;$C1117,生产方式定位!$A$2:$E$38,5,FALSE)+VLOOKUP($E1117&amp;$C1117,生产方式定位!$F$3:$J$38,5,FALSE),"错误")</f>
        <v>1547</v>
      </c>
      <c r="Y1117" s="27" t="str">
        <f t="shared" si="136"/>
        <v/>
      </c>
      <c r="Z1117" s="37" t="str">
        <f t="shared" si="137"/>
        <v/>
      </c>
      <c r="AA1117" s="37" t="str">
        <f t="shared" si="138"/>
        <v/>
      </c>
      <c r="AB1117" s="28">
        <f t="shared" si="139"/>
        <v>1.42</v>
      </c>
      <c r="AC1117" s="37"/>
      <c r="AD1117" s="38">
        <f t="shared" si="140"/>
        <v>2</v>
      </c>
      <c r="AE1117" t="str">
        <f>IFERROR(F1117&amp;"*"&amp;ROUND(L1117*(G1117/$AN1117)/VLOOKUP(F1117,商品!$A$4:$D$67,4,FALSE),0),"")</f>
        <v/>
      </c>
      <c r="AF1117" t="str">
        <f>IFERROR(H1117&amp;"*"&amp;ROUND(L1117*(I1117/$AN1117)/VLOOKUP(H1117,商品!$A$4:$D$67,4,FALSE),0),"")</f>
        <v/>
      </c>
      <c r="AG1117" t="str">
        <f>IFERROR(J1117&amp;"*"&amp;ROUND(L1117*(K1117/$AN1117)/VLOOKUP(J1117,商品!$A$4:$D$67,4,FALSE),0),"")</f>
        <v/>
      </c>
      <c r="AH1117" t="str">
        <f>IFERROR(M1117&amp;"*"&amp;ROUND(S1117*(N1117/$AO1117)/VLOOKUP(M1117,职业!$A$3:$E$16,4,FALSE),0),"")</f>
        <v/>
      </c>
      <c r="AI1117" t="str">
        <f>IFERROR(O1117&amp;"*"&amp;ROUND(S1117*(P1117/$AO1117)/VLOOKUP(O1117,职业!$A$3:$E$16,4,FALSE),0),"")</f>
        <v/>
      </c>
      <c r="AK1117" t="str">
        <f>IFERROR(T1117&amp;"*"&amp;ROUND(X1117*(U1117/$AP1117)/VLOOKUP(T1117,商品!$A$4:$D$67,4,FALSE),0),"")</f>
        <v/>
      </c>
      <c r="AL1117" t="str">
        <f>IFERROR(V1117&amp;"*"&amp;ROUND(X1117*(W1117/$AP1117)/VLOOKUP(V1117,商品!$A$4:$D$67,4,FALSE),0),"")</f>
        <v/>
      </c>
      <c r="AN1117">
        <f t="shared" si="141"/>
        <v>0</v>
      </c>
      <c r="AO1117">
        <f t="shared" si="142"/>
        <v>0</v>
      </c>
      <c r="AP1117">
        <f t="shared" si="143"/>
        <v>0</v>
      </c>
    </row>
    <row r="1118" customHeight="1" spans="1:42">
      <c r="A1118" s="5" t="s">
        <v>490</v>
      </c>
      <c r="C1118" s="5">
        <v>3</v>
      </c>
      <c r="D1118" s="1" t="s">
        <v>222</v>
      </c>
      <c r="E1118" s="1" t="s">
        <v>224</v>
      </c>
      <c r="L1118" s="1">
        <f>IFERROR(VLOOKUP($D1118&amp;$C1118,生产方式定位!$A$2:$E$38,2,FALSE)+VLOOKUP($E1118&amp;$C1118,生产方式定位!$F$3:$J$38,2,FALSE),0)</f>
        <v>3400</v>
      </c>
      <c r="S1118" s="1">
        <f>IFERROR(VLOOKUP($D1118&amp;$C1118,生产方式定位!$A$2:$E$38,3,FALSE)+VLOOKUP($E1118&amp;$C1118,生产方式定位!$F$3:$J$38,3,FALSE),0)</f>
        <v>1000</v>
      </c>
      <c r="X1118" s="1">
        <f>IFERROR(VLOOKUP($D1118&amp;$C1118,生产方式定位!$A$2:$E$38,5,FALSE)+VLOOKUP($E1118&amp;$C1118,生产方式定位!$F$3:$J$38,5,FALSE),"错误")</f>
        <v>2488</v>
      </c>
      <c r="Y1118" s="27" t="str">
        <f t="shared" si="136"/>
        <v/>
      </c>
      <c r="Z1118" s="37" t="str">
        <f t="shared" si="137"/>
        <v/>
      </c>
      <c r="AA1118" s="37" t="str">
        <f t="shared" si="138"/>
        <v/>
      </c>
      <c r="AB1118" s="28">
        <f t="shared" si="139"/>
        <v>1.37</v>
      </c>
      <c r="AC1118" s="37"/>
      <c r="AD1118" s="38">
        <f t="shared" si="140"/>
        <v>3</v>
      </c>
      <c r="AE1118" t="str">
        <f>IFERROR(F1118&amp;"*"&amp;ROUND(L1118*(G1118/$AN1118)/VLOOKUP(F1118,商品!$A$4:$D$67,4,FALSE),0),"")</f>
        <v/>
      </c>
      <c r="AF1118" t="str">
        <f>IFERROR(H1118&amp;"*"&amp;ROUND(L1118*(I1118/$AN1118)/VLOOKUP(H1118,商品!$A$4:$D$67,4,FALSE),0),"")</f>
        <v/>
      </c>
      <c r="AG1118" t="str">
        <f>IFERROR(J1118&amp;"*"&amp;ROUND(L1118*(K1118/$AN1118)/VLOOKUP(J1118,商品!$A$4:$D$67,4,FALSE),0),"")</f>
        <v/>
      </c>
      <c r="AH1118" t="str">
        <f>IFERROR(M1118&amp;"*"&amp;ROUND(S1118*(N1118/$AO1118)/VLOOKUP(M1118,职业!$A$3:$E$16,4,FALSE),0),"")</f>
        <v/>
      </c>
      <c r="AI1118" t="str">
        <f>IFERROR(O1118&amp;"*"&amp;ROUND(S1118*(P1118/$AO1118)/VLOOKUP(O1118,职业!$A$3:$E$16,4,FALSE),0),"")</f>
        <v/>
      </c>
      <c r="AK1118" t="str">
        <f>IFERROR(T1118&amp;"*"&amp;ROUND(X1118*(U1118/$AP1118)/VLOOKUP(T1118,商品!$A$4:$D$67,4,FALSE),0),"")</f>
        <v/>
      </c>
      <c r="AL1118" t="str">
        <f>IFERROR(V1118&amp;"*"&amp;ROUND(X1118*(W1118/$AP1118)/VLOOKUP(V1118,商品!$A$4:$D$67,4,FALSE),0),"")</f>
        <v/>
      </c>
      <c r="AN1118">
        <f t="shared" si="141"/>
        <v>0</v>
      </c>
      <c r="AO1118">
        <f t="shared" si="142"/>
        <v>0</v>
      </c>
      <c r="AP1118">
        <f t="shared" si="143"/>
        <v>0</v>
      </c>
    </row>
    <row r="1119" customHeight="1" spans="1:42">
      <c r="A1119" s="5" t="s">
        <v>490</v>
      </c>
      <c r="C1119" s="5">
        <v>4</v>
      </c>
      <c r="D1119" s="1" t="s">
        <v>222</v>
      </c>
      <c r="E1119" s="1" t="s">
        <v>224</v>
      </c>
      <c r="L1119" s="1">
        <f>IFERROR(VLOOKUP($D1119&amp;$C1119,生产方式定位!$A$2:$E$38,2,FALSE)+VLOOKUP($E1119&amp;$C1119,生产方式定位!$F$3:$J$38,2,FALSE),0)</f>
        <v>4600</v>
      </c>
      <c r="S1119" s="1">
        <f>IFERROR(VLOOKUP($D1119&amp;$C1119,生产方式定位!$A$2:$E$38,3,FALSE)+VLOOKUP($E1119&amp;$C1119,生产方式定位!$F$3:$J$38,3,FALSE),0)</f>
        <v>1250</v>
      </c>
      <c r="X1119" s="1">
        <f>IFERROR(VLOOKUP($D1119&amp;$C1119,生产方式定位!$A$2:$E$38,5,FALSE)+VLOOKUP($E1119&amp;$C1119,生产方式定位!$F$3:$J$38,5,FALSE),"错误")</f>
        <v>3573</v>
      </c>
      <c r="Y1119" s="27" t="str">
        <f t="shared" si="136"/>
        <v/>
      </c>
      <c r="Z1119" s="37" t="str">
        <f t="shared" si="137"/>
        <v/>
      </c>
      <c r="AA1119" s="37" t="str">
        <f t="shared" si="138"/>
        <v/>
      </c>
      <c r="AB1119" s="28">
        <f t="shared" si="139"/>
        <v>1.29</v>
      </c>
      <c r="AC1119" s="37"/>
      <c r="AD1119" s="38">
        <f t="shared" si="140"/>
        <v>4</v>
      </c>
      <c r="AE1119" t="str">
        <f>IFERROR(F1119&amp;"*"&amp;ROUND(L1119*(G1119/$AN1119)/VLOOKUP(F1119,商品!$A$4:$D$67,4,FALSE),0),"")</f>
        <v/>
      </c>
      <c r="AF1119" t="str">
        <f>IFERROR(H1119&amp;"*"&amp;ROUND(L1119*(I1119/$AN1119)/VLOOKUP(H1119,商品!$A$4:$D$67,4,FALSE),0),"")</f>
        <v/>
      </c>
      <c r="AG1119" t="str">
        <f>IFERROR(J1119&amp;"*"&amp;ROUND(L1119*(K1119/$AN1119)/VLOOKUP(J1119,商品!$A$4:$D$67,4,FALSE),0),"")</f>
        <v/>
      </c>
      <c r="AH1119" t="str">
        <f>IFERROR(M1119&amp;"*"&amp;ROUND(S1119*(N1119/$AO1119)/VLOOKUP(M1119,职业!$A$3:$E$16,4,FALSE),0),"")</f>
        <v/>
      </c>
      <c r="AI1119" t="str">
        <f>IFERROR(O1119&amp;"*"&amp;ROUND(S1119*(P1119/$AO1119)/VLOOKUP(O1119,职业!$A$3:$E$16,4,FALSE),0),"")</f>
        <v/>
      </c>
      <c r="AK1119" t="str">
        <f>IFERROR(T1119&amp;"*"&amp;ROUND(X1119*(U1119/$AP1119)/VLOOKUP(T1119,商品!$A$4:$D$67,4,FALSE),0),"")</f>
        <v/>
      </c>
      <c r="AL1119" t="str">
        <f>IFERROR(V1119&amp;"*"&amp;ROUND(X1119*(W1119/$AP1119)/VLOOKUP(V1119,商品!$A$4:$D$67,4,FALSE),0),"")</f>
        <v/>
      </c>
      <c r="AN1119">
        <f t="shared" si="141"/>
        <v>0</v>
      </c>
      <c r="AO1119">
        <f t="shared" si="142"/>
        <v>0</v>
      </c>
      <c r="AP1119">
        <f t="shared" si="143"/>
        <v>0</v>
      </c>
    </row>
    <row r="1120" customHeight="1" spans="1:42">
      <c r="A1120" s="5" t="s">
        <v>490</v>
      </c>
      <c r="C1120" s="5">
        <v>5</v>
      </c>
      <c r="D1120" s="1" t="s">
        <v>222</v>
      </c>
      <c r="E1120" s="1" t="s">
        <v>224</v>
      </c>
      <c r="L1120" s="1">
        <f>IFERROR(VLOOKUP($D1120&amp;$C1120,生产方式定位!$A$2:$E$38,2,FALSE)+VLOOKUP($E1120&amp;$C1120,生产方式定位!$F$3:$J$38,2,FALSE),0)</f>
        <v>5800</v>
      </c>
      <c r="S1120" s="1">
        <f>IFERROR(VLOOKUP($D1120&amp;$C1120,生产方式定位!$A$2:$E$38,3,FALSE)+VLOOKUP($E1120&amp;$C1120,生产方式定位!$F$3:$J$38,3,FALSE),0)</f>
        <v>1500</v>
      </c>
      <c r="X1120" s="1">
        <f>IFERROR(VLOOKUP($D1120&amp;$C1120,生产方式定位!$A$2:$E$38,5,FALSE)+VLOOKUP($E1120&amp;$C1120,生产方式定位!$F$3:$J$38,5,FALSE),"错误")</f>
        <v>4850</v>
      </c>
      <c r="Y1120" s="27" t="str">
        <f t="shared" si="136"/>
        <v/>
      </c>
      <c r="Z1120" s="37" t="str">
        <f t="shared" si="137"/>
        <v/>
      </c>
      <c r="AA1120" s="37" t="str">
        <f t="shared" si="138"/>
        <v/>
      </c>
      <c r="AB1120" s="28">
        <f t="shared" si="139"/>
        <v>1.2</v>
      </c>
      <c r="AC1120" s="37"/>
      <c r="AD1120" s="38">
        <f t="shared" si="140"/>
        <v>5</v>
      </c>
      <c r="AE1120" t="str">
        <f>IFERROR(F1120&amp;"*"&amp;ROUND(L1120*(G1120/$AN1120)/VLOOKUP(F1120,商品!$A$4:$D$67,4,FALSE),0),"")</f>
        <v/>
      </c>
      <c r="AF1120" t="str">
        <f>IFERROR(H1120&amp;"*"&amp;ROUND(L1120*(I1120/$AN1120)/VLOOKUP(H1120,商品!$A$4:$D$67,4,FALSE),0),"")</f>
        <v/>
      </c>
      <c r="AG1120" t="str">
        <f>IFERROR(J1120&amp;"*"&amp;ROUND(L1120*(K1120/$AN1120)/VLOOKUP(J1120,商品!$A$4:$D$67,4,FALSE),0),"")</f>
        <v/>
      </c>
      <c r="AH1120" t="str">
        <f>IFERROR(M1120&amp;"*"&amp;ROUND(S1120*(N1120/$AO1120)/VLOOKUP(M1120,职业!$A$3:$E$16,4,FALSE),0),"")</f>
        <v/>
      </c>
      <c r="AI1120" t="str">
        <f>IFERROR(O1120&amp;"*"&amp;ROUND(S1120*(P1120/$AO1120)/VLOOKUP(O1120,职业!$A$3:$E$16,4,FALSE),0),"")</f>
        <v/>
      </c>
      <c r="AK1120" t="str">
        <f>IFERROR(T1120&amp;"*"&amp;ROUND(X1120*(U1120/$AP1120)/VLOOKUP(T1120,商品!$A$4:$D$67,4,FALSE),0),"")</f>
        <v/>
      </c>
      <c r="AL1120" t="str">
        <f>IFERROR(V1120&amp;"*"&amp;ROUND(X1120*(W1120/$AP1120)/VLOOKUP(V1120,商品!$A$4:$D$67,4,FALSE),0),"")</f>
        <v/>
      </c>
      <c r="AN1120">
        <f t="shared" si="141"/>
        <v>0</v>
      </c>
      <c r="AO1120">
        <f t="shared" si="142"/>
        <v>0</v>
      </c>
      <c r="AP1120">
        <f t="shared" si="143"/>
        <v>0</v>
      </c>
    </row>
    <row r="1121" customHeight="1" spans="1:42">
      <c r="A1121" s="18" t="s">
        <v>491</v>
      </c>
      <c r="C1121" s="18">
        <v>1</v>
      </c>
      <c r="D1121" s="1" t="s">
        <v>222</v>
      </c>
      <c r="E1121" s="1" t="s">
        <v>226</v>
      </c>
      <c r="L1121" s="1">
        <f>IFERROR(VLOOKUP($D1121&amp;$C1121,生产方式定位!$A$2:$E$38,2,FALSE)+VLOOKUP($E1121&amp;$C1121,生产方式定位!$F$3:$J$38,2,FALSE),0)</f>
        <v>0</v>
      </c>
      <c r="S1121" s="1">
        <f>IFERROR(VLOOKUP($D1121&amp;$C1121,生产方式定位!$A$2:$E$38,3,FALSE)+VLOOKUP($E1121&amp;$C1121,生产方式定位!$F$3:$J$38,3,FALSE),0)</f>
        <v>500</v>
      </c>
      <c r="X1121" s="1">
        <f>IFERROR(VLOOKUP($D1121&amp;$C1121,生产方式定位!$A$2:$E$38,5,FALSE)+VLOOKUP($E1121&amp;$C1121,生产方式定位!$F$3:$J$38,5,FALSE),"错误")</f>
        <v>250</v>
      </c>
      <c r="Y1121" s="27" t="str">
        <f t="shared" si="136"/>
        <v/>
      </c>
      <c r="Z1121" s="37" t="str">
        <f t="shared" si="137"/>
        <v/>
      </c>
      <c r="AA1121" s="37" t="str">
        <f t="shared" si="138"/>
        <v/>
      </c>
      <c r="AB1121" s="28">
        <f t="shared" si="139"/>
        <v>0</v>
      </c>
      <c r="AC1121" s="37"/>
      <c r="AD1121" s="38">
        <f t="shared" si="140"/>
        <v>1</v>
      </c>
      <c r="AE1121" t="str">
        <f>IFERROR(F1121&amp;"*"&amp;ROUND(L1121*(G1121/$AN1121)/VLOOKUP(F1121,商品!$A$4:$D$67,4,FALSE),0),"")</f>
        <v/>
      </c>
      <c r="AF1121" t="str">
        <f>IFERROR(H1121&amp;"*"&amp;ROUND(L1121*(I1121/$AN1121)/VLOOKUP(H1121,商品!$A$4:$D$67,4,FALSE),0),"")</f>
        <v/>
      </c>
      <c r="AG1121" t="str">
        <f>IFERROR(J1121&amp;"*"&amp;ROUND(L1121*(K1121/$AN1121)/VLOOKUP(J1121,商品!$A$4:$D$67,4,FALSE),0),"")</f>
        <v/>
      </c>
      <c r="AH1121" t="str">
        <f>IFERROR(M1121&amp;"*"&amp;ROUND(S1121*(N1121/$AO1121)/VLOOKUP(M1121,职业!$A$3:$E$16,4,FALSE),0),"")</f>
        <v/>
      </c>
      <c r="AI1121" t="str">
        <f>IFERROR(O1121&amp;"*"&amp;ROUND(S1121*(P1121/$AO1121)/VLOOKUP(O1121,职业!$A$3:$E$16,4,FALSE),0),"")</f>
        <v/>
      </c>
      <c r="AK1121" t="str">
        <f>IFERROR(T1121&amp;"*"&amp;ROUND(X1121*(U1121/$AP1121)/VLOOKUP(T1121,商品!$A$4:$D$67,4,FALSE),0),"")</f>
        <v/>
      </c>
      <c r="AL1121" t="str">
        <f>IFERROR(V1121&amp;"*"&amp;ROUND(X1121*(W1121/$AP1121)/VLOOKUP(V1121,商品!$A$4:$D$67,4,FALSE),0),"")</f>
        <v/>
      </c>
      <c r="AN1121">
        <f t="shared" si="141"/>
        <v>0</v>
      </c>
      <c r="AO1121">
        <f t="shared" si="142"/>
        <v>0</v>
      </c>
      <c r="AP1121">
        <f t="shared" si="143"/>
        <v>0</v>
      </c>
    </row>
    <row r="1122" customHeight="1" spans="1:42">
      <c r="A1122" s="18" t="s">
        <v>491</v>
      </c>
      <c r="C1122" s="18">
        <v>2</v>
      </c>
      <c r="D1122" s="1" t="s">
        <v>222</v>
      </c>
      <c r="E1122" s="1" t="s">
        <v>226</v>
      </c>
      <c r="L1122" s="1">
        <f>IFERROR(VLOOKUP($D1122&amp;$C1122,生产方式定位!$A$2:$E$38,2,FALSE)+VLOOKUP($E1122&amp;$C1122,生产方式定位!$F$3:$J$38,2,FALSE),0)</f>
        <v>3200</v>
      </c>
      <c r="S1122" s="1">
        <f>IFERROR(VLOOKUP($D1122&amp;$C1122,生产方式定位!$A$2:$E$38,3,FALSE)+VLOOKUP($E1122&amp;$C1122,生产方式定位!$F$3:$J$38,3,FALSE),0)</f>
        <v>350</v>
      </c>
      <c r="X1122" s="1">
        <f>IFERROR(VLOOKUP($D1122&amp;$C1122,生产方式定位!$A$2:$E$38,5,FALSE)+VLOOKUP($E1122&amp;$C1122,生产方式定位!$F$3:$J$38,5,FALSE),"错误")</f>
        <v>1865</v>
      </c>
      <c r="Y1122" s="27" t="str">
        <f t="shared" si="136"/>
        <v/>
      </c>
      <c r="Z1122" s="37" t="str">
        <f t="shared" si="137"/>
        <v/>
      </c>
      <c r="AA1122" s="37" t="str">
        <f t="shared" si="138"/>
        <v/>
      </c>
      <c r="AB1122" s="28">
        <f t="shared" si="139"/>
        <v>1.72</v>
      </c>
      <c r="AC1122" s="37"/>
      <c r="AD1122" s="38">
        <f t="shared" si="140"/>
        <v>2</v>
      </c>
      <c r="AE1122" t="str">
        <f>IFERROR(F1122&amp;"*"&amp;ROUND(L1122*(G1122/$AN1122)/VLOOKUP(F1122,商品!$A$4:$D$67,4,FALSE),0),"")</f>
        <v/>
      </c>
      <c r="AF1122" t="str">
        <f>IFERROR(H1122&amp;"*"&amp;ROUND(L1122*(I1122/$AN1122)/VLOOKUP(H1122,商品!$A$4:$D$67,4,FALSE),0),"")</f>
        <v/>
      </c>
      <c r="AG1122" t="str">
        <f>IFERROR(J1122&amp;"*"&amp;ROUND(L1122*(K1122/$AN1122)/VLOOKUP(J1122,商品!$A$4:$D$67,4,FALSE),0),"")</f>
        <v/>
      </c>
      <c r="AH1122" t="str">
        <f>IFERROR(M1122&amp;"*"&amp;ROUND(S1122*(N1122/$AO1122)/VLOOKUP(M1122,职业!$A$3:$E$16,4,FALSE),0),"")</f>
        <v/>
      </c>
      <c r="AI1122" t="str">
        <f>IFERROR(O1122&amp;"*"&amp;ROUND(S1122*(P1122/$AO1122)/VLOOKUP(O1122,职业!$A$3:$E$16,4,FALSE),0),"")</f>
        <v/>
      </c>
      <c r="AK1122" t="str">
        <f>IFERROR(T1122&amp;"*"&amp;ROUND(X1122*(U1122/$AP1122)/VLOOKUP(T1122,商品!$A$4:$D$67,4,FALSE),0),"")</f>
        <v/>
      </c>
      <c r="AL1122" t="str">
        <f>IFERROR(V1122&amp;"*"&amp;ROUND(X1122*(W1122/$AP1122)/VLOOKUP(V1122,商品!$A$4:$D$67,4,FALSE),0),"")</f>
        <v/>
      </c>
      <c r="AN1122">
        <f t="shared" si="141"/>
        <v>0</v>
      </c>
      <c r="AO1122">
        <f t="shared" si="142"/>
        <v>0</v>
      </c>
      <c r="AP1122">
        <f t="shared" si="143"/>
        <v>0</v>
      </c>
    </row>
    <row r="1123" customHeight="1" spans="1:42">
      <c r="A1123" s="18" t="s">
        <v>491</v>
      </c>
      <c r="C1123" s="18">
        <v>3</v>
      </c>
      <c r="D1123" s="1" t="s">
        <v>222</v>
      </c>
      <c r="E1123" s="1" t="s">
        <v>226</v>
      </c>
      <c r="L1123" s="1">
        <f>IFERROR(VLOOKUP($D1123&amp;$C1123,生产方式定位!$A$2:$E$38,2,FALSE)+VLOOKUP($E1123&amp;$C1123,生产方式定位!$F$3:$J$38,2,FALSE),0)</f>
        <v>4400</v>
      </c>
      <c r="S1123" s="1">
        <f>IFERROR(VLOOKUP($D1123&amp;$C1123,生产方式定位!$A$2:$E$38,3,FALSE)+VLOOKUP($E1123&amp;$C1123,生产方式定位!$F$3:$J$38,3,FALSE),0)</f>
        <v>200</v>
      </c>
      <c r="X1123" s="1">
        <f>IFERROR(VLOOKUP($D1123&amp;$C1123,生产方式定位!$A$2:$E$38,5,FALSE)+VLOOKUP($E1123&amp;$C1123,生产方式定位!$F$3:$J$38,5,FALSE),"错误")</f>
        <v>2560</v>
      </c>
      <c r="Y1123" s="27" t="str">
        <f t="shared" si="136"/>
        <v/>
      </c>
      <c r="Z1123" s="37" t="str">
        <f t="shared" si="137"/>
        <v/>
      </c>
      <c r="AA1123" s="37" t="str">
        <f t="shared" si="138"/>
        <v/>
      </c>
      <c r="AB1123" s="28">
        <f t="shared" si="139"/>
        <v>1.72</v>
      </c>
      <c r="AC1123" s="37"/>
      <c r="AD1123" s="38">
        <f t="shared" si="140"/>
        <v>3</v>
      </c>
      <c r="AE1123" t="str">
        <f>IFERROR(F1123&amp;"*"&amp;ROUND(L1123*(G1123/$AN1123)/VLOOKUP(F1123,商品!$A$4:$D$67,4,FALSE),0),"")</f>
        <v/>
      </c>
      <c r="AF1123" t="str">
        <f>IFERROR(H1123&amp;"*"&amp;ROUND(L1123*(I1123/$AN1123)/VLOOKUP(H1123,商品!$A$4:$D$67,4,FALSE),0),"")</f>
        <v/>
      </c>
      <c r="AG1123" t="str">
        <f>IFERROR(J1123&amp;"*"&amp;ROUND(L1123*(K1123/$AN1123)/VLOOKUP(J1123,商品!$A$4:$D$67,4,FALSE),0),"")</f>
        <v/>
      </c>
      <c r="AH1123" t="str">
        <f>IFERROR(M1123&amp;"*"&amp;ROUND(S1123*(N1123/$AO1123)/VLOOKUP(M1123,职业!$A$3:$E$16,4,FALSE),0),"")</f>
        <v/>
      </c>
      <c r="AI1123" t="str">
        <f>IFERROR(O1123&amp;"*"&amp;ROUND(S1123*(P1123/$AO1123)/VLOOKUP(O1123,职业!$A$3:$E$16,4,FALSE),0),"")</f>
        <v/>
      </c>
      <c r="AK1123" t="str">
        <f>IFERROR(T1123&amp;"*"&amp;ROUND(X1123*(U1123/$AP1123)/VLOOKUP(T1123,商品!$A$4:$D$67,4,FALSE),0),"")</f>
        <v/>
      </c>
      <c r="AL1123" t="str">
        <f>IFERROR(V1123&amp;"*"&amp;ROUND(X1123*(W1123/$AP1123)/VLOOKUP(V1123,商品!$A$4:$D$67,4,FALSE),0),"")</f>
        <v/>
      </c>
      <c r="AN1123">
        <f t="shared" si="141"/>
        <v>0</v>
      </c>
      <c r="AO1123">
        <f t="shared" si="142"/>
        <v>0</v>
      </c>
      <c r="AP1123">
        <f t="shared" si="143"/>
        <v>0</v>
      </c>
    </row>
    <row r="1124" customHeight="1" spans="1:42">
      <c r="A1124" s="18" t="s">
        <v>491</v>
      </c>
      <c r="C1124" s="18">
        <v>4</v>
      </c>
      <c r="D1124" s="1" t="s">
        <v>222</v>
      </c>
      <c r="E1124" s="1" t="s">
        <v>226</v>
      </c>
      <c r="L1124" s="1">
        <f>IFERROR(VLOOKUP($D1124&amp;$C1124,生产方式定位!$A$2:$E$38,2,FALSE)+VLOOKUP($E1124&amp;$C1124,生产方式定位!$F$3:$J$38,2,FALSE),0)</f>
        <v>5600</v>
      </c>
      <c r="S1124" s="1">
        <f>IFERROR(VLOOKUP($D1124&amp;$C1124,生产方式定位!$A$2:$E$38,3,FALSE)+VLOOKUP($E1124&amp;$C1124,生产方式定位!$F$3:$J$38,3,FALSE),0)</f>
        <v>50</v>
      </c>
      <c r="X1124" s="1">
        <f>IFERROR(VLOOKUP($D1124&amp;$C1124,生产方式定位!$A$2:$E$38,5,FALSE)+VLOOKUP($E1124&amp;$C1124,生产方式定位!$F$3:$J$38,5,FALSE),"错误")</f>
        <v>3335</v>
      </c>
      <c r="Y1124" s="27" t="str">
        <f t="shared" si="136"/>
        <v/>
      </c>
      <c r="Z1124" s="37" t="str">
        <f t="shared" si="137"/>
        <v/>
      </c>
      <c r="AA1124" s="37" t="str">
        <f t="shared" si="138"/>
        <v/>
      </c>
      <c r="AB1124" s="28">
        <f t="shared" si="139"/>
        <v>1.68</v>
      </c>
      <c r="AC1124" s="37"/>
      <c r="AD1124" s="38">
        <f t="shared" si="140"/>
        <v>4</v>
      </c>
      <c r="AE1124" t="str">
        <f>IFERROR(F1124&amp;"*"&amp;ROUND(L1124*(G1124/$AN1124)/VLOOKUP(F1124,商品!$A$4:$D$67,4,FALSE),0),"")</f>
        <v/>
      </c>
      <c r="AF1124" t="str">
        <f>IFERROR(H1124&amp;"*"&amp;ROUND(L1124*(I1124/$AN1124)/VLOOKUP(H1124,商品!$A$4:$D$67,4,FALSE),0),"")</f>
        <v/>
      </c>
      <c r="AG1124" t="str">
        <f>IFERROR(J1124&amp;"*"&amp;ROUND(L1124*(K1124/$AN1124)/VLOOKUP(J1124,商品!$A$4:$D$67,4,FALSE),0),"")</f>
        <v/>
      </c>
      <c r="AH1124" t="str">
        <f>IFERROR(M1124&amp;"*"&amp;ROUND(S1124*(N1124/$AO1124)/VLOOKUP(M1124,职业!$A$3:$E$16,4,FALSE),0),"")</f>
        <v/>
      </c>
      <c r="AI1124" t="str">
        <f>IFERROR(O1124&amp;"*"&amp;ROUND(S1124*(P1124/$AO1124)/VLOOKUP(O1124,职业!$A$3:$E$16,4,FALSE),0),"")</f>
        <v/>
      </c>
      <c r="AK1124" t="str">
        <f>IFERROR(T1124&amp;"*"&amp;ROUND(X1124*(U1124/$AP1124)/VLOOKUP(T1124,商品!$A$4:$D$67,4,FALSE),0),"")</f>
        <v/>
      </c>
      <c r="AL1124" t="str">
        <f>IFERROR(V1124&amp;"*"&amp;ROUND(X1124*(W1124/$AP1124)/VLOOKUP(V1124,商品!$A$4:$D$67,4,FALSE),0),"")</f>
        <v/>
      </c>
      <c r="AN1124">
        <f t="shared" si="141"/>
        <v>0</v>
      </c>
      <c r="AO1124">
        <f t="shared" si="142"/>
        <v>0</v>
      </c>
      <c r="AP1124">
        <f t="shared" si="143"/>
        <v>0</v>
      </c>
    </row>
    <row r="1125" customHeight="1" spans="1:42">
      <c r="A1125" s="18" t="s">
        <v>491</v>
      </c>
      <c r="C1125" s="18">
        <v>5</v>
      </c>
      <c r="D1125" s="1" t="s">
        <v>222</v>
      </c>
      <c r="E1125" s="1" t="s">
        <v>226</v>
      </c>
      <c r="L1125" s="1">
        <f>IFERROR(VLOOKUP($D1125&amp;$C1125,生产方式定位!$A$2:$E$38,2,FALSE)+VLOOKUP($E1125&amp;$C1125,生产方式定位!$F$3:$J$38,2,FALSE),0)</f>
        <v>6800</v>
      </c>
      <c r="S1125" s="1">
        <f>IFERROR(VLOOKUP($D1125&amp;$C1125,生产方式定位!$A$2:$E$38,3,FALSE)+VLOOKUP($E1125&amp;$C1125,生产方式定位!$F$3:$J$38,3,FALSE),0)</f>
        <v>-100</v>
      </c>
      <c r="X1125" s="1">
        <f>IFERROR(VLOOKUP($D1125&amp;$C1125,生产方式定位!$A$2:$E$38,5,FALSE)+VLOOKUP($E1125&amp;$C1125,生产方式定位!$F$3:$J$38,5,FALSE),"错误")</f>
        <v>4190</v>
      </c>
      <c r="Y1125" s="27" t="str">
        <f t="shared" si="136"/>
        <v/>
      </c>
      <c r="Z1125" s="37" t="str">
        <f t="shared" si="137"/>
        <v/>
      </c>
      <c r="AA1125" s="37" t="str">
        <f t="shared" si="138"/>
        <v/>
      </c>
      <c r="AB1125" s="28">
        <f t="shared" si="139"/>
        <v>1.62</v>
      </c>
      <c r="AC1125" s="37"/>
      <c r="AD1125" s="38">
        <f t="shared" si="140"/>
        <v>5</v>
      </c>
      <c r="AE1125" t="str">
        <f>IFERROR(F1125&amp;"*"&amp;ROUND(L1125*(G1125/$AN1125)/VLOOKUP(F1125,商品!$A$4:$D$67,4,FALSE),0),"")</f>
        <v/>
      </c>
      <c r="AF1125" t="str">
        <f>IFERROR(H1125&amp;"*"&amp;ROUND(L1125*(I1125/$AN1125)/VLOOKUP(H1125,商品!$A$4:$D$67,4,FALSE),0),"")</f>
        <v/>
      </c>
      <c r="AG1125" t="str">
        <f>IFERROR(J1125&amp;"*"&amp;ROUND(L1125*(K1125/$AN1125)/VLOOKUP(J1125,商品!$A$4:$D$67,4,FALSE),0),"")</f>
        <v/>
      </c>
      <c r="AH1125" t="str">
        <f>IFERROR(M1125&amp;"*"&amp;ROUND(S1125*(N1125/$AO1125)/VLOOKUP(M1125,职业!$A$3:$E$16,4,FALSE),0),"")</f>
        <v/>
      </c>
      <c r="AI1125" t="str">
        <f>IFERROR(O1125&amp;"*"&amp;ROUND(S1125*(P1125/$AO1125)/VLOOKUP(O1125,职业!$A$3:$E$16,4,FALSE),0),"")</f>
        <v/>
      </c>
      <c r="AK1125" t="str">
        <f>IFERROR(T1125&amp;"*"&amp;ROUND(X1125*(U1125/$AP1125)/VLOOKUP(T1125,商品!$A$4:$D$67,4,FALSE),0),"")</f>
        <v/>
      </c>
      <c r="AL1125" t="str">
        <f>IFERROR(V1125&amp;"*"&amp;ROUND(X1125*(W1125/$AP1125)/VLOOKUP(V1125,商品!$A$4:$D$67,4,FALSE),0),"")</f>
        <v/>
      </c>
      <c r="AN1125">
        <f t="shared" si="141"/>
        <v>0</v>
      </c>
      <c r="AO1125">
        <f t="shared" si="142"/>
        <v>0</v>
      </c>
      <c r="AP1125">
        <f t="shared" si="143"/>
        <v>0</v>
      </c>
    </row>
    <row r="1126" customHeight="1" spans="1:42">
      <c r="A1126" s="5" t="s">
        <v>491</v>
      </c>
      <c r="C1126" s="5">
        <v>1</v>
      </c>
      <c r="D1126" s="1" t="s">
        <v>222</v>
      </c>
      <c r="E1126" s="1" t="s">
        <v>226</v>
      </c>
      <c r="L1126" s="1">
        <f>IFERROR(VLOOKUP($D1126&amp;$C1126,生产方式定位!$A$2:$E$38,2,FALSE)+VLOOKUP($E1126&amp;$C1126,生产方式定位!$F$3:$J$38,2,FALSE),0)</f>
        <v>0</v>
      </c>
      <c r="S1126" s="1">
        <f>IFERROR(VLOOKUP($D1126&amp;$C1126,生产方式定位!$A$2:$E$38,3,FALSE)+VLOOKUP($E1126&amp;$C1126,生产方式定位!$F$3:$J$38,3,FALSE),0)</f>
        <v>500</v>
      </c>
      <c r="X1126" s="1">
        <f>IFERROR(VLOOKUP($D1126&amp;$C1126,生产方式定位!$A$2:$E$38,5,FALSE)+VLOOKUP($E1126&amp;$C1126,生产方式定位!$F$3:$J$38,5,FALSE),"错误")</f>
        <v>250</v>
      </c>
      <c r="Y1126" s="27" t="str">
        <f t="shared" si="136"/>
        <v/>
      </c>
      <c r="Z1126" s="37" t="str">
        <f t="shared" si="137"/>
        <v/>
      </c>
      <c r="AA1126" s="37" t="str">
        <f t="shared" si="138"/>
        <v/>
      </c>
      <c r="AB1126" s="28">
        <f t="shared" si="139"/>
        <v>0</v>
      </c>
      <c r="AC1126" s="37"/>
      <c r="AD1126" s="38">
        <f t="shared" si="140"/>
        <v>1</v>
      </c>
      <c r="AE1126" t="str">
        <f>IFERROR(F1126&amp;"*"&amp;ROUND(L1126*(G1126/$AN1126)/VLOOKUP(F1126,商品!$A$4:$D$67,4,FALSE),0),"")</f>
        <v/>
      </c>
      <c r="AF1126" t="str">
        <f>IFERROR(H1126&amp;"*"&amp;ROUND(L1126*(I1126/$AN1126)/VLOOKUP(H1126,商品!$A$4:$D$67,4,FALSE),0),"")</f>
        <v/>
      </c>
      <c r="AG1126" t="str">
        <f>IFERROR(J1126&amp;"*"&amp;ROUND(L1126*(K1126/$AN1126)/VLOOKUP(J1126,商品!$A$4:$D$67,4,FALSE),0),"")</f>
        <v/>
      </c>
      <c r="AH1126" t="str">
        <f>IFERROR(M1126&amp;"*"&amp;ROUND(S1126*(N1126/$AO1126)/VLOOKUP(M1126,职业!$A$3:$E$16,4,FALSE),0),"")</f>
        <v/>
      </c>
      <c r="AI1126" t="str">
        <f>IFERROR(O1126&amp;"*"&amp;ROUND(S1126*(P1126/$AO1126)/VLOOKUP(O1126,职业!$A$3:$E$16,4,FALSE),0),"")</f>
        <v/>
      </c>
      <c r="AK1126" t="str">
        <f>IFERROR(T1126&amp;"*"&amp;ROUND(X1126*(U1126/$AP1126)/VLOOKUP(T1126,商品!$A$4:$D$67,4,FALSE),0),"")</f>
        <v/>
      </c>
      <c r="AL1126" t="str">
        <f>IFERROR(V1126&amp;"*"&amp;ROUND(X1126*(W1126/$AP1126)/VLOOKUP(V1126,商品!$A$4:$D$67,4,FALSE),0),"")</f>
        <v/>
      </c>
      <c r="AN1126">
        <f t="shared" si="141"/>
        <v>0</v>
      </c>
      <c r="AO1126">
        <f t="shared" si="142"/>
        <v>0</v>
      </c>
      <c r="AP1126">
        <f t="shared" si="143"/>
        <v>0</v>
      </c>
    </row>
    <row r="1127" customHeight="1" spans="1:42">
      <c r="A1127" s="5" t="s">
        <v>491</v>
      </c>
      <c r="C1127" s="5">
        <v>2</v>
      </c>
      <c r="D1127" s="1" t="s">
        <v>222</v>
      </c>
      <c r="E1127" s="1" t="s">
        <v>226</v>
      </c>
      <c r="L1127" s="1">
        <f>IFERROR(VLOOKUP($D1127&amp;$C1127,生产方式定位!$A$2:$E$38,2,FALSE)+VLOOKUP($E1127&amp;$C1127,生产方式定位!$F$3:$J$38,2,FALSE),0)</f>
        <v>3200</v>
      </c>
      <c r="S1127" s="1">
        <f>IFERROR(VLOOKUP($D1127&amp;$C1127,生产方式定位!$A$2:$E$38,3,FALSE)+VLOOKUP($E1127&amp;$C1127,生产方式定位!$F$3:$J$38,3,FALSE),0)</f>
        <v>350</v>
      </c>
      <c r="X1127" s="1">
        <f>IFERROR(VLOOKUP($D1127&amp;$C1127,生产方式定位!$A$2:$E$38,5,FALSE)+VLOOKUP($E1127&amp;$C1127,生产方式定位!$F$3:$J$38,5,FALSE),"错误")</f>
        <v>1865</v>
      </c>
      <c r="Y1127" s="27" t="str">
        <f t="shared" si="136"/>
        <v/>
      </c>
      <c r="Z1127" s="37" t="str">
        <f t="shared" si="137"/>
        <v/>
      </c>
      <c r="AA1127" s="37" t="str">
        <f t="shared" si="138"/>
        <v/>
      </c>
      <c r="AB1127" s="28">
        <f t="shared" si="139"/>
        <v>1.72</v>
      </c>
      <c r="AC1127" s="37"/>
      <c r="AD1127" s="38">
        <f t="shared" si="140"/>
        <v>2</v>
      </c>
      <c r="AE1127" t="str">
        <f>IFERROR(F1127&amp;"*"&amp;ROUND(L1127*(G1127/$AN1127)/VLOOKUP(F1127,商品!$A$4:$D$67,4,FALSE),0),"")</f>
        <v/>
      </c>
      <c r="AF1127" t="str">
        <f>IFERROR(H1127&amp;"*"&amp;ROUND(L1127*(I1127/$AN1127)/VLOOKUP(H1127,商品!$A$4:$D$67,4,FALSE),0),"")</f>
        <v/>
      </c>
      <c r="AG1127" t="str">
        <f>IFERROR(J1127&amp;"*"&amp;ROUND(L1127*(K1127/$AN1127)/VLOOKUP(J1127,商品!$A$4:$D$67,4,FALSE),0),"")</f>
        <v/>
      </c>
      <c r="AH1127" t="str">
        <f>IFERROR(M1127&amp;"*"&amp;ROUND(S1127*(N1127/$AO1127)/VLOOKUP(M1127,职业!$A$3:$E$16,4,FALSE),0),"")</f>
        <v/>
      </c>
      <c r="AI1127" t="str">
        <f>IFERROR(O1127&amp;"*"&amp;ROUND(S1127*(P1127/$AO1127)/VLOOKUP(O1127,职业!$A$3:$E$16,4,FALSE),0),"")</f>
        <v/>
      </c>
      <c r="AK1127" t="str">
        <f>IFERROR(T1127&amp;"*"&amp;ROUND(X1127*(U1127/$AP1127)/VLOOKUP(T1127,商品!$A$4:$D$67,4,FALSE),0),"")</f>
        <v/>
      </c>
      <c r="AL1127" t="str">
        <f>IFERROR(V1127&amp;"*"&amp;ROUND(X1127*(W1127/$AP1127)/VLOOKUP(V1127,商品!$A$4:$D$67,4,FALSE),0),"")</f>
        <v/>
      </c>
      <c r="AN1127">
        <f t="shared" si="141"/>
        <v>0</v>
      </c>
      <c r="AO1127">
        <f t="shared" si="142"/>
        <v>0</v>
      </c>
      <c r="AP1127">
        <f t="shared" si="143"/>
        <v>0</v>
      </c>
    </row>
    <row r="1128" customHeight="1" spans="1:42">
      <c r="A1128" s="5" t="s">
        <v>491</v>
      </c>
      <c r="C1128" s="5">
        <v>3</v>
      </c>
      <c r="D1128" s="1" t="s">
        <v>222</v>
      </c>
      <c r="E1128" s="1" t="s">
        <v>226</v>
      </c>
      <c r="L1128" s="1">
        <f>IFERROR(VLOOKUP($D1128&amp;$C1128,生产方式定位!$A$2:$E$38,2,FALSE)+VLOOKUP($E1128&amp;$C1128,生产方式定位!$F$3:$J$38,2,FALSE),0)</f>
        <v>4400</v>
      </c>
      <c r="S1128" s="1">
        <f>IFERROR(VLOOKUP($D1128&amp;$C1128,生产方式定位!$A$2:$E$38,3,FALSE)+VLOOKUP($E1128&amp;$C1128,生产方式定位!$F$3:$J$38,3,FALSE),0)</f>
        <v>200</v>
      </c>
      <c r="X1128" s="1">
        <f>IFERROR(VLOOKUP($D1128&amp;$C1128,生产方式定位!$A$2:$E$38,5,FALSE)+VLOOKUP($E1128&amp;$C1128,生产方式定位!$F$3:$J$38,5,FALSE),"错误")</f>
        <v>2560</v>
      </c>
      <c r="Y1128" s="27" t="str">
        <f t="shared" si="136"/>
        <v/>
      </c>
      <c r="Z1128" s="37" t="str">
        <f t="shared" si="137"/>
        <v/>
      </c>
      <c r="AA1128" s="37" t="str">
        <f t="shared" si="138"/>
        <v/>
      </c>
      <c r="AB1128" s="28">
        <f t="shared" si="139"/>
        <v>1.72</v>
      </c>
      <c r="AC1128" s="37"/>
      <c r="AD1128" s="38">
        <f t="shared" si="140"/>
        <v>3</v>
      </c>
      <c r="AE1128" t="str">
        <f>IFERROR(F1128&amp;"*"&amp;ROUND(L1128*(G1128/$AN1128)/VLOOKUP(F1128,商品!$A$4:$D$67,4,FALSE),0),"")</f>
        <v/>
      </c>
      <c r="AF1128" t="str">
        <f>IFERROR(H1128&amp;"*"&amp;ROUND(L1128*(I1128/$AN1128)/VLOOKUP(H1128,商品!$A$4:$D$67,4,FALSE),0),"")</f>
        <v/>
      </c>
      <c r="AG1128" t="str">
        <f>IFERROR(J1128&amp;"*"&amp;ROUND(L1128*(K1128/$AN1128)/VLOOKUP(J1128,商品!$A$4:$D$67,4,FALSE),0),"")</f>
        <v/>
      </c>
      <c r="AH1128" t="str">
        <f>IFERROR(M1128&amp;"*"&amp;ROUND(S1128*(N1128/$AO1128)/VLOOKUP(M1128,职业!$A$3:$E$16,4,FALSE),0),"")</f>
        <v/>
      </c>
      <c r="AI1128" t="str">
        <f>IFERROR(O1128&amp;"*"&amp;ROUND(S1128*(P1128/$AO1128)/VLOOKUP(O1128,职业!$A$3:$E$16,4,FALSE),0),"")</f>
        <v/>
      </c>
      <c r="AK1128" t="str">
        <f>IFERROR(T1128&amp;"*"&amp;ROUND(X1128*(U1128/$AP1128)/VLOOKUP(T1128,商品!$A$4:$D$67,4,FALSE),0),"")</f>
        <v/>
      </c>
      <c r="AL1128" t="str">
        <f>IFERROR(V1128&amp;"*"&amp;ROUND(X1128*(W1128/$AP1128)/VLOOKUP(V1128,商品!$A$4:$D$67,4,FALSE),0),"")</f>
        <v/>
      </c>
      <c r="AN1128">
        <f t="shared" si="141"/>
        <v>0</v>
      </c>
      <c r="AO1128">
        <f t="shared" si="142"/>
        <v>0</v>
      </c>
      <c r="AP1128">
        <f t="shared" si="143"/>
        <v>0</v>
      </c>
    </row>
    <row r="1129" customHeight="1" spans="1:42">
      <c r="A1129" s="5" t="s">
        <v>491</v>
      </c>
      <c r="C1129" s="5">
        <v>4</v>
      </c>
      <c r="D1129" s="1" t="s">
        <v>222</v>
      </c>
      <c r="E1129" s="1" t="s">
        <v>226</v>
      </c>
      <c r="L1129" s="1">
        <f>IFERROR(VLOOKUP($D1129&amp;$C1129,生产方式定位!$A$2:$E$38,2,FALSE)+VLOOKUP($E1129&amp;$C1129,生产方式定位!$F$3:$J$38,2,FALSE),0)</f>
        <v>5600</v>
      </c>
      <c r="S1129" s="1">
        <f>IFERROR(VLOOKUP($D1129&amp;$C1129,生产方式定位!$A$2:$E$38,3,FALSE)+VLOOKUP($E1129&amp;$C1129,生产方式定位!$F$3:$J$38,3,FALSE),0)</f>
        <v>50</v>
      </c>
      <c r="X1129" s="1">
        <f>IFERROR(VLOOKUP($D1129&amp;$C1129,生产方式定位!$A$2:$E$38,5,FALSE)+VLOOKUP($E1129&amp;$C1129,生产方式定位!$F$3:$J$38,5,FALSE),"错误")</f>
        <v>3335</v>
      </c>
      <c r="Y1129" s="27" t="str">
        <f t="shared" si="136"/>
        <v/>
      </c>
      <c r="Z1129" s="37" t="str">
        <f t="shared" si="137"/>
        <v/>
      </c>
      <c r="AA1129" s="37" t="str">
        <f t="shared" si="138"/>
        <v/>
      </c>
      <c r="AB1129" s="28">
        <f t="shared" si="139"/>
        <v>1.68</v>
      </c>
      <c r="AC1129" s="37"/>
      <c r="AD1129" s="38">
        <f t="shared" si="140"/>
        <v>4</v>
      </c>
      <c r="AE1129" t="str">
        <f>IFERROR(F1129&amp;"*"&amp;ROUND(L1129*(G1129/$AN1129)/VLOOKUP(F1129,商品!$A$4:$D$67,4,FALSE),0),"")</f>
        <v/>
      </c>
      <c r="AF1129" t="str">
        <f>IFERROR(H1129&amp;"*"&amp;ROUND(L1129*(I1129/$AN1129)/VLOOKUP(H1129,商品!$A$4:$D$67,4,FALSE),0),"")</f>
        <v/>
      </c>
      <c r="AG1129" t="str">
        <f>IFERROR(J1129&amp;"*"&amp;ROUND(L1129*(K1129/$AN1129)/VLOOKUP(J1129,商品!$A$4:$D$67,4,FALSE),0),"")</f>
        <v/>
      </c>
      <c r="AH1129" t="str">
        <f>IFERROR(M1129&amp;"*"&amp;ROUND(S1129*(N1129/$AO1129)/VLOOKUP(M1129,职业!$A$3:$E$16,4,FALSE),0),"")</f>
        <v/>
      </c>
      <c r="AI1129" t="str">
        <f>IFERROR(O1129&amp;"*"&amp;ROUND(S1129*(P1129/$AO1129)/VLOOKUP(O1129,职业!$A$3:$E$16,4,FALSE),0),"")</f>
        <v/>
      </c>
      <c r="AK1129" t="str">
        <f>IFERROR(T1129&amp;"*"&amp;ROUND(X1129*(U1129/$AP1129)/VLOOKUP(T1129,商品!$A$4:$D$67,4,FALSE),0),"")</f>
        <v/>
      </c>
      <c r="AL1129" t="str">
        <f>IFERROR(V1129&amp;"*"&amp;ROUND(X1129*(W1129/$AP1129)/VLOOKUP(V1129,商品!$A$4:$D$67,4,FALSE),0),"")</f>
        <v/>
      </c>
      <c r="AN1129">
        <f t="shared" si="141"/>
        <v>0</v>
      </c>
      <c r="AO1129">
        <f t="shared" si="142"/>
        <v>0</v>
      </c>
      <c r="AP1129">
        <f t="shared" si="143"/>
        <v>0</v>
      </c>
    </row>
    <row r="1130" customHeight="1" spans="1:42">
      <c r="A1130" s="5" t="s">
        <v>491</v>
      </c>
      <c r="C1130" s="5">
        <v>5</v>
      </c>
      <c r="D1130" s="1" t="s">
        <v>222</v>
      </c>
      <c r="E1130" s="1" t="s">
        <v>226</v>
      </c>
      <c r="L1130" s="1">
        <f>IFERROR(VLOOKUP($D1130&amp;$C1130,生产方式定位!$A$2:$E$38,2,FALSE)+VLOOKUP($E1130&amp;$C1130,生产方式定位!$F$3:$J$38,2,FALSE),0)</f>
        <v>6800</v>
      </c>
      <c r="S1130" s="1">
        <f>IFERROR(VLOOKUP($D1130&amp;$C1130,生产方式定位!$A$2:$E$38,3,FALSE)+VLOOKUP($E1130&amp;$C1130,生产方式定位!$F$3:$J$38,3,FALSE),0)</f>
        <v>-100</v>
      </c>
      <c r="X1130" s="1">
        <f>IFERROR(VLOOKUP($D1130&amp;$C1130,生产方式定位!$A$2:$E$38,5,FALSE)+VLOOKUP($E1130&amp;$C1130,生产方式定位!$F$3:$J$38,5,FALSE),"错误")</f>
        <v>4190</v>
      </c>
      <c r="Y1130" s="27" t="str">
        <f t="shared" si="136"/>
        <v/>
      </c>
      <c r="Z1130" s="37" t="str">
        <f t="shared" si="137"/>
        <v/>
      </c>
      <c r="AA1130" s="37" t="str">
        <f t="shared" si="138"/>
        <v/>
      </c>
      <c r="AB1130" s="28">
        <f t="shared" si="139"/>
        <v>1.62</v>
      </c>
      <c r="AC1130" s="37"/>
      <c r="AD1130" s="38">
        <f t="shared" si="140"/>
        <v>5</v>
      </c>
      <c r="AE1130" t="str">
        <f>IFERROR(F1130&amp;"*"&amp;ROUND(L1130*(G1130/$AN1130)/VLOOKUP(F1130,商品!$A$4:$D$67,4,FALSE),0),"")</f>
        <v/>
      </c>
      <c r="AF1130" t="str">
        <f>IFERROR(H1130&amp;"*"&amp;ROUND(L1130*(I1130/$AN1130)/VLOOKUP(H1130,商品!$A$4:$D$67,4,FALSE),0),"")</f>
        <v/>
      </c>
      <c r="AG1130" t="str">
        <f>IFERROR(J1130&amp;"*"&amp;ROUND(L1130*(K1130/$AN1130)/VLOOKUP(J1130,商品!$A$4:$D$67,4,FALSE),0),"")</f>
        <v/>
      </c>
      <c r="AH1130" t="str">
        <f>IFERROR(M1130&amp;"*"&amp;ROUND(S1130*(N1130/$AO1130)/VLOOKUP(M1130,职业!$A$3:$E$16,4,FALSE),0),"")</f>
        <v/>
      </c>
      <c r="AI1130" t="str">
        <f>IFERROR(O1130&amp;"*"&amp;ROUND(S1130*(P1130/$AO1130)/VLOOKUP(O1130,职业!$A$3:$E$16,4,FALSE),0),"")</f>
        <v/>
      </c>
      <c r="AK1130" t="str">
        <f>IFERROR(T1130&amp;"*"&amp;ROUND(X1130*(U1130/$AP1130)/VLOOKUP(T1130,商品!$A$4:$D$67,4,FALSE),0),"")</f>
        <v/>
      </c>
      <c r="AL1130" t="str">
        <f>IFERROR(V1130&amp;"*"&amp;ROUND(X1130*(W1130/$AP1130)/VLOOKUP(V1130,商品!$A$4:$D$67,4,FALSE),0),"")</f>
        <v/>
      </c>
      <c r="AN1130">
        <f t="shared" si="141"/>
        <v>0</v>
      </c>
      <c r="AO1130">
        <f t="shared" si="142"/>
        <v>0</v>
      </c>
      <c r="AP1130">
        <f t="shared" si="143"/>
        <v>0</v>
      </c>
    </row>
    <row r="1131" customHeight="1" spans="1:42">
      <c r="A1131" s="18" t="s">
        <v>492</v>
      </c>
      <c r="C1131" s="18">
        <v>1</v>
      </c>
      <c r="D1131" s="1" t="s">
        <v>293</v>
      </c>
      <c r="E1131" s="1" t="s">
        <v>227</v>
      </c>
      <c r="L1131" s="1">
        <f>IFERROR(VLOOKUP($D1131&amp;$C1131,生产方式定位!$A$2:$E$38,2,FALSE)+VLOOKUP($E1131&amp;$C1131,生产方式定位!$F$3:$J$38,2,FALSE),0)</f>
        <v>0</v>
      </c>
      <c r="S1131" s="1">
        <f>IFERROR(VLOOKUP($D1131&amp;$C1131,生产方式定位!$A$2:$E$38,3,FALSE)+VLOOKUP($E1131&amp;$C1131,生产方式定位!$F$3:$J$38,3,FALSE),0)</f>
        <v>0</v>
      </c>
      <c r="X1131" s="1">
        <f>IFERROR(VLOOKUP($D1131&amp;$C1131,生产方式定位!$A$2:$E$38,5,FALSE)+VLOOKUP($E1131&amp;$C1131,生产方式定位!$F$3:$J$38,5,FALSE),"错误")</f>
        <v>0</v>
      </c>
      <c r="Y1131" s="27" t="str">
        <f t="shared" si="136"/>
        <v/>
      </c>
      <c r="Z1131" s="37" t="str">
        <f t="shared" si="137"/>
        <v/>
      </c>
      <c r="AA1131" s="37" t="str">
        <f t="shared" si="138"/>
        <v/>
      </c>
      <c r="AB1131" s="28" t="str">
        <f t="shared" si="139"/>
        <v/>
      </c>
      <c r="AC1131" s="37"/>
      <c r="AD1131" s="38">
        <f t="shared" si="140"/>
        <v>1</v>
      </c>
      <c r="AE1131" t="str">
        <f>IFERROR(F1131&amp;"*"&amp;ROUND(L1131*(G1131/$AN1131)/VLOOKUP(F1131,商品!$A$4:$D$67,4,FALSE),0),"")</f>
        <v/>
      </c>
      <c r="AF1131" t="str">
        <f>IFERROR(H1131&amp;"*"&amp;ROUND(L1131*(I1131/$AN1131)/VLOOKUP(H1131,商品!$A$4:$D$67,4,FALSE),0),"")</f>
        <v/>
      </c>
      <c r="AG1131" t="str">
        <f>IFERROR(J1131&amp;"*"&amp;ROUND(L1131*(K1131/$AN1131)/VLOOKUP(J1131,商品!$A$4:$D$67,4,FALSE),0),"")</f>
        <v/>
      </c>
      <c r="AH1131" t="str">
        <f>IFERROR(M1131&amp;"*"&amp;ROUND(S1131*(N1131/$AO1131)/VLOOKUP(M1131,职业!$A$3:$E$16,4,FALSE),0),"")</f>
        <v/>
      </c>
      <c r="AI1131" t="str">
        <f>IFERROR(O1131&amp;"*"&amp;ROUND(S1131*(P1131/$AO1131)/VLOOKUP(O1131,职业!$A$3:$E$16,4,FALSE),0),"")</f>
        <v/>
      </c>
      <c r="AK1131" t="str">
        <f>IFERROR(T1131&amp;"*"&amp;ROUND(X1131*(U1131/$AP1131)/VLOOKUP(T1131,商品!$A$4:$D$67,4,FALSE),0),"")</f>
        <v/>
      </c>
      <c r="AL1131" t="str">
        <f>IFERROR(V1131&amp;"*"&amp;ROUND(X1131*(W1131/$AP1131)/VLOOKUP(V1131,商品!$A$4:$D$67,4,FALSE),0),"")</f>
        <v/>
      </c>
      <c r="AN1131">
        <f t="shared" si="141"/>
        <v>0</v>
      </c>
      <c r="AO1131">
        <f t="shared" si="142"/>
        <v>0</v>
      </c>
      <c r="AP1131">
        <f t="shared" si="143"/>
        <v>0</v>
      </c>
    </row>
    <row r="1132" customHeight="1" spans="1:42">
      <c r="A1132" s="18" t="s">
        <v>492</v>
      </c>
      <c r="C1132" s="18">
        <v>2</v>
      </c>
      <c r="D1132" s="1" t="s">
        <v>293</v>
      </c>
      <c r="E1132" s="1" t="s">
        <v>227</v>
      </c>
      <c r="L1132" s="1">
        <f>IFERROR(VLOOKUP($D1132&amp;$C1132,生产方式定位!$A$2:$E$38,2,FALSE)+VLOOKUP($E1132&amp;$C1132,生产方式定位!$F$3:$J$38,2,FALSE),0)</f>
        <v>0</v>
      </c>
      <c r="S1132" s="1">
        <f>IFERROR(VLOOKUP($D1132&amp;$C1132,生产方式定位!$A$2:$E$38,3,FALSE)+VLOOKUP($E1132&amp;$C1132,生产方式定位!$F$3:$J$38,3,FALSE),0)</f>
        <v>0</v>
      </c>
      <c r="X1132" s="1">
        <f>IFERROR(VLOOKUP($D1132&amp;$C1132,生产方式定位!$A$2:$E$38,5,FALSE)+VLOOKUP($E1132&amp;$C1132,生产方式定位!$F$3:$J$38,5,FALSE),"错误")</f>
        <v>0</v>
      </c>
      <c r="Y1132" s="27" t="str">
        <f t="shared" si="136"/>
        <v/>
      </c>
      <c r="Z1132" s="37" t="str">
        <f t="shared" si="137"/>
        <v/>
      </c>
      <c r="AA1132" s="37" t="str">
        <f t="shared" si="138"/>
        <v/>
      </c>
      <c r="AB1132" s="28" t="str">
        <f t="shared" si="139"/>
        <v/>
      </c>
      <c r="AC1132" s="37"/>
      <c r="AD1132" s="38">
        <f t="shared" si="140"/>
        <v>2</v>
      </c>
      <c r="AE1132" t="str">
        <f>IFERROR(F1132&amp;"*"&amp;ROUND(L1132*(G1132/$AN1132)/VLOOKUP(F1132,商品!$A$4:$D$67,4,FALSE),0),"")</f>
        <v/>
      </c>
      <c r="AF1132" t="str">
        <f>IFERROR(H1132&amp;"*"&amp;ROUND(L1132*(I1132/$AN1132)/VLOOKUP(H1132,商品!$A$4:$D$67,4,FALSE),0),"")</f>
        <v/>
      </c>
      <c r="AG1132" t="str">
        <f>IFERROR(J1132&amp;"*"&amp;ROUND(L1132*(K1132/$AN1132)/VLOOKUP(J1132,商品!$A$4:$D$67,4,FALSE),0),"")</f>
        <v/>
      </c>
      <c r="AH1132" t="str">
        <f>IFERROR(M1132&amp;"*"&amp;ROUND(S1132*(N1132/$AO1132)/VLOOKUP(M1132,职业!$A$3:$E$16,4,FALSE),0),"")</f>
        <v/>
      </c>
      <c r="AI1132" t="str">
        <f>IFERROR(O1132&amp;"*"&amp;ROUND(S1132*(P1132/$AO1132)/VLOOKUP(O1132,职业!$A$3:$E$16,4,FALSE),0),"")</f>
        <v/>
      </c>
      <c r="AK1132" t="str">
        <f>IFERROR(T1132&amp;"*"&amp;ROUND(X1132*(U1132/$AP1132)/VLOOKUP(T1132,商品!$A$4:$D$67,4,FALSE),0),"")</f>
        <v/>
      </c>
      <c r="AL1132" t="str">
        <f>IFERROR(V1132&amp;"*"&amp;ROUND(X1132*(W1132/$AP1132)/VLOOKUP(V1132,商品!$A$4:$D$67,4,FALSE),0),"")</f>
        <v/>
      </c>
      <c r="AN1132">
        <f t="shared" si="141"/>
        <v>0</v>
      </c>
      <c r="AO1132">
        <f t="shared" si="142"/>
        <v>0</v>
      </c>
      <c r="AP1132">
        <f t="shared" si="143"/>
        <v>0</v>
      </c>
    </row>
    <row r="1133" customHeight="1" spans="1:42">
      <c r="A1133" s="18" t="s">
        <v>492</v>
      </c>
      <c r="C1133" s="18">
        <v>3</v>
      </c>
      <c r="D1133" s="1" t="s">
        <v>293</v>
      </c>
      <c r="E1133" s="1" t="s">
        <v>227</v>
      </c>
      <c r="L1133" s="1">
        <f>IFERROR(VLOOKUP($D1133&amp;$C1133,生产方式定位!$A$2:$E$38,2,FALSE)+VLOOKUP($E1133&amp;$C1133,生产方式定位!$F$3:$J$38,2,FALSE),0)</f>
        <v>0</v>
      </c>
      <c r="S1133" s="1">
        <f>IFERROR(VLOOKUP($D1133&amp;$C1133,生产方式定位!$A$2:$E$38,3,FALSE)+VLOOKUP($E1133&amp;$C1133,生产方式定位!$F$3:$J$38,3,FALSE),0)</f>
        <v>0</v>
      </c>
      <c r="X1133" s="1">
        <f>IFERROR(VLOOKUP($D1133&amp;$C1133,生产方式定位!$A$2:$E$38,5,FALSE)+VLOOKUP($E1133&amp;$C1133,生产方式定位!$F$3:$J$38,5,FALSE),"错误")</f>
        <v>0</v>
      </c>
      <c r="Y1133" s="27" t="str">
        <f t="shared" si="136"/>
        <v/>
      </c>
      <c r="Z1133" s="37" t="str">
        <f t="shared" si="137"/>
        <v/>
      </c>
      <c r="AA1133" s="37" t="str">
        <f t="shared" si="138"/>
        <v/>
      </c>
      <c r="AB1133" s="28" t="str">
        <f t="shared" si="139"/>
        <v/>
      </c>
      <c r="AC1133" s="37"/>
      <c r="AD1133" s="38">
        <f t="shared" si="140"/>
        <v>3</v>
      </c>
      <c r="AE1133" t="str">
        <f>IFERROR(F1133&amp;"*"&amp;ROUND(L1133*(G1133/$AN1133)/VLOOKUP(F1133,商品!$A$4:$D$67,4,FALSE),0),"")</f>
        <v/>
      </c>
      <c r="AF1133" t="str">
        <f>IFERROR(H1133&amp;"*"&amp;ROUND(L1133*(I1133/$AN1133)/VLOOKUP(H1133,商品!$A$4:$D$67,4,FALSE),0),"")</f>
        <v/>
      </c>
      <c r="AG1133" t="str">
        <f>IFERROR(J1133&amp;"*"&amp;ROUND(L1133*(K1133/$AN1133)/VLOOKUP(J1133,商品!$A$4:$D$67,4,FALSE),0),"")</f>
        <v/>
      </c>
      <c r="AH1133" t="str">
        <f>IFERROR(M1133&amp;"*"&amp;ROUND(S1133*(N1133/$AO1133)/VLOOKUP(M1133,职业!$A$3:$E$16,4,FALSE),0),"")</f>
        <v/>
      </c>
      <c r="AI1133" t="str">
        <f>IFERROR(O1133&amp;"*"&amp;ROUND(S1133*(P1133/$AO1133)/VLOOKUP(O1133,职业!$A$3:$E$16,4,FALSE),0),"")</f>
        <v/>
      </c>
      <c r="AK1133" t="str">
        <f>IFERROR(T1133&amp;"*"&amp;ROUND(X1133*(U1133/$AP1133)/VLOOKUP(T1133,商品!$A$4:$D$67,4,FALSE),0),"")</f>
        <v/>
      </c>
      <c r="AL1133" t="str">
        <f>IFERROR(V1133&amp;"*"&amp;ROUND(X1133*(W1133/$AP1133)/VLOOKUP(V1133,商品!$A$4:$D$67,4,FALSE),0),"")</f>
        <v/>
      </c>
      <c r="AN1133">
        <f t="shared" si="141"/>
        <v>0</v>
      </c>
      <c r="AO1133">
        <f t="shared" si="142"/>
        <v>0</v>
      </c>
      <c r="AP1133">
        <f t="shared" si="143"/>
        <v>0</v>
      </c>
    </row>
    <row r="1134" customHeight="1" spans="1:42">
      <c r="A1134" s="18" t="s">
        <v>492</v>
      </c>
      <c r="C1134" s="18">
        <v>4</v>
      </c>
      <c r="D1134" s="1" t="s">
        <v>293</v>
      </c>
      <c r="E1134" s="1" t="s">
        <v>227</v>
      </c>
      <c r="L1134" s="1">
        <f>IFERROR(VLOOKUP($D1134&amp;$C1134,生产方式定位!$A$2:$E$38,2,FALSE)+VLOOKUP($E1134&amp;$C1134,生产方式定位!$F$3:$J$38,2,FALSE),0)</f>
        <v>0</v>
      </c>
      <c r="S1134" s="1">
        <f>IFERROR(VLOOKUP($D1134&amp;$C1134,生产方式定位!$A$2:$E$38,3,FALSE)+VLOOKUP($E1134&amp;$C1134,生产方式定位!$F$3:$J$38,3,FALSE),0)</f>
        <v>0</v>
      </c>
      <c r="X1134" s="1">
        <f>IFERROR(VLOOKUP($D1134&amp;$C1134,生产方式定位!$A$2:$E$38,5,FALSE)+VLOOKUP($E1134&amp;$C1134,生产方式定位!$F$3:$J$38,5,FALSE),"错误")</f>
        <v>0</v>
      </c>
      <c r="Y1134" s="27" t="str">
        <f t="shared" si="136"/>
        <v/>
      </c>
      <c r="Z1134" s="37" t="str">
        <f t="shared" si="137"/>
        <v/>
      </c>
      <c r="AA1134" s="37" t="str">
        <f t="shared" si="138"/>
        <v/>
      </c>
      <c r="AB1134" s="28" t="str">
        <f t="shared" si="139"/>
        <v/>
      </c>
      <c r="AC1134" s="37"/>
      <c r="AD1134" s="38">
        <f t="shared" si="140"/>
        <v>4</v>
      </c>
      <c r="AE1134" t="str">
        <f>IFERROR(F1134&amp;"*"&amp;ROUND(L1134*(G1134/$AN1134)/VLOOKUP(F1134,商品!$A$4:$D$67,4,FALSE),0),"")</f>
        <v/>
      </c>
      <c r="AF1134" t="str">
        <f>IFERROR(H1134&amp;"*"&amp;ROUND(L1134*(I1134/$AN1134)/VLOOKUP(H1134,商品!$A$4:$D$67,4,FALSE),0),"")</f>
        <v/>
      </c>
      <c r="AG1134" t="str">
        <f>IFERROR(J1134&amp;"*"&amp;ROUND(L1134*(K1134/$AN1134)/VLOOKUP(J1134,商品!$A$4:$D$67,4,FALSE),0),"")</f>
        <v/>
      </c>
      <c r="AH1134" t="str">
        <f>IFERROR(M1134&amp;"*"&amp;ROUND(S1134*(N1134/$AO1134)/VLOOKUP(M1134,职业!$A$3:$E$16,4,FALSE),0),"")</f>
        <v/>
      </c>
      <c r="AI1134" t="str">
        <f>IFERROR(O1134&amp;"*"&amp;ROUND(S1134*(P1134/$AO1134)/VLOOKUP(O1134,职业!$A$3:$E$16,4,FALSE),0),"")</f>
        <v/>
      </c>
      <c r="AK1134" t="str">
        <f>IFERROR(T1134&amp;"*"&amp;ROUND(X1134*(U1134/$AP1134)/VLOOKUP(T1134,商品!$A$4:$D$67,4,FALSE),0),"")</f>
        <v/>
      </c>
      <c r="AL1134" t="str">
        <f>IFERROR(V1134&amp;"*"&amp;ROUND(X1134*(W1134/$AP1134)/VLOOKUP(V1134,商品!$A$4:$D$67,4,FALSE),0),"")</f>
        <v/>
      </c>
      <c r="AN1134">
        <f t="shared" si="141"/>
        <v>0</v>
      </c>
      <c r="AO1134">
        <f t="shared" si="142"/>
        <v>0</v>
      </c>
      <c r="AP1134">
        <f t="shared" si="143"/>
        <v>0</v>
      </c>
    </row>
    <row r="1135" customHeight="1" spans="1:42">
      <c r="A1135" s="18" t="s">
        <v>492</v>
      </c>
      <c r="C1135" s="18">
        <v>5</v>
      </c>
      <c r="D1135" s="1" t="s">
        <v>293</v>
      </c>
      <c r="E1135" s="1" t="s">
        <v>227</v>
      </c>
      <c r="L1135" s="1">
        <f>IFERROR(VLOOKUP($D1135&amp;$C1135,生产方式定位!$A$2:$E$38,2,FALSE)+VLOOKUP($E1135&amp;$C1135,生产方式定位!$F$3:$J$38,2,FALSE),0)</f>
        <v>0</v>
      </c>
      <c r="S1135" s="1">
        <f>IFERROR(VLOOKUP($D1135&amp;$C1135,生产方式定位!$A$2:$E$38,3,FALSE)+VLOOKUP($E1135&amp;$C1135,生产方式定位!$F$3:$J$38,3,FALSE),0)</f>
        <v>0</v>
      </c>
      <c r="X1135" s="1">
        <f>IFERROR(VLOOKUP($D1135&amp;$C1135,生产方式定位!$A$2:$E$38,5,FALSE)+VLOOKUP($E1135&amp;$C1135,生产方式定位!$F$3:$J$38,5,FALSE),"错误")</f>
        <v>0</v>
      </c>
      <c r="Y1135" s="27" t="str">
        <f t="shared" si="136"/>
        <v/>
      </c>
      <c r="Z1135" s="37" t="str">
        <f t="shared" si="137"/>
        <v/>
      </c>
      <c r="AA1135" s="37" t="str">
        <f t="shared" si="138"/>
        <v/>
      </c>
      <c r="AB1135" s="28" t="str">
        <f t="shared" si="139"/>
        <v/>
      </c>
      <c r="AC1135" s="37"/>
      <c r="AD1135" s="38">
        <f t="shared" si="140"/>
        <v>5</v>
      </c>
      <c r="AE1135" t="str">
        <f>IFERROR(F1135&amp;"*"&amp;ROUND(L1135*(G1135/$AN1135)/VLOOKUP(F1135,商品!$A$4:$D$67,4,FALSE),0),"")</f>
        <v/>
      </c>
      <c r="AF1135" t="str">
        <f>IFERROR(H1135&amp;"*"&amp;ROUND(L1135*(I1135/$AN1135)/VLOOKUP(H1135,商品!$A$4:$D$67,4,FALSE),0),"")</f>
        <v/>
      </c>
      <c r="AG1135" t="str">
        <f>IFERROR(J1135&amp;"*"&amp;ROUND(L1135*(K1135/$AN1135)/VLOOKUP(J1135,商品!$A$4:$D$67,4,FALSE),0),"")</f>
        <v/>
      </c>
      <c r="AH1135" t="str">
        <f>IFERROR(M1135&amp;"*"&amp;ROUND(S1135*(N1135/$AO1135)/VLOOKUP(M1135,职业!$A$3:$E$16,4,FALSE),0),"")</f>
        <v/>
      </c>
      <c r="AI1135" t="str">
        <f>IFERROR(O1135&amp;"*"&amp;ROUND(S1135*(P1135/$AO1135)/VLOOKUP(O1135,职业!$A$3:$E$16,4,FALSE),0),"")</f>
        <v/>
      </c>
      <c r="AK1135" t="str">
        <f>IFERROR(T1135&amp;"*"&amp;ROUND(X1135*(U1135/$AP1135)/VLOOKUP(T1135,商品!$A$4:$D$67,4,FALSE),0),"")</f>
        <v/>
      </c>
      <c r="AL1135" t="str">
        <f>IFERROR(V1135&amp;"*"&amp;ROUND(X1135*(W1135/$AP1135)/VLOOKUP(V1135,商品!$A$4:$D$67,4,FALSE),0),"")</f>
        <v/>
      </c>
      <c r="AN1135">
        <f t="shared" si="141"/>
        <v>0</v>
      </c>
      <c r="AO1135">
        <f t="shared" si="142"/>
        <v>0</v>
      </c>
      <c r="AP1135">
        <f t="shared" si="143"/>
        <v>0</v>
      </c>
    </row>
    <row r="1136" customHeight="1" spans="1:42">
      <c r="A1136" s="18" t="s">
        <v>492</v>
      </c>
      <c r="C1136" s="18">
        <v>6</v>
      </c>
      <c r="D1136" s="1" t="s">
        <v>293</v>
      </c>
      <c r="E1136" s="1" t="s">
        <v>227</v>
      </c>
      <c r="L1136" s="1">
        <f>IFERROR(VLOOKUP($D1136&amp;$C1136,生产方式定位!$A$2:$E$38,2,FALSE)+VLOOKUP($E1136&amp;$C1136,生产方式定位!$F$3:$J$38,2,FALSE),0)</f>
        <v>0</v>
      </c>
      <c r="S1136" s="1">
        <f>IFERROR(VLOOKUP($D1136&amp;$C1136,生产方式定位!$A$2:$E$38,3,FALSE)+VLOOKUP($E1136&amp;$C1136,生产方式定位!$F$3:$J$38,3,FALSE),0)</f>
        <v>0</v>
      </c>
      <c r="X1136" s="1">
        <f>IFERROR(VLOOKUP($D1136&amp;$C1136,生产方式定位!$A$2:$E$38,5,FALSE)+VLOOKUP($E1136&amp;$C1136,生产方式定位!$F$3:$J$38,5,FALSE),"错误")</f>
        <v>0</v>
      </c>
      <c r="Y1136" s="27" t="str">
        <f t="shared" si="136"/>
        <v/>
      </c>
      <c r="Z1136" s="37" t="str">
        <f t="shared" si="137"/>
        <v/>
      </c>
      <c r="AA1136" s="37" t="str">
        <f t="shared" si="138"/>
        <v/>
      </c>
      <c r="AB1136" s="28" t="str">
        <f t="shared" si="139"/>
        <v/>
      </c>
      <c r="AC1136" s="37"/>
      <c r="AD1136" s="38">
        <f t="shared" si="140"/>
        <v>6</v>
      </c>
      <c r="AE1136" t="str">
        <f>IFERROR(F1136&amp;"*"&amp;ROUND(L1136*(G1136/$AN1136)/VLOOKUP(F1136,商品!$A$4:$D$67,4,FALSE),0),"")</f>
        <v/>
      </c>
      <c r="AF1136" t="str">
        <f>IFERROR(H1136&amp;"*"&amp;ROUND(L1136*(I1136/$AN1136)/VLOOKUP(H1136,商品!$A$4:$D$67,4,FALSE),0),"")</f>
        <v/>
      </c>
      <c r="AG1136" t="str">
        <f>IFERROR(J1136&amp;"*"&amp;ROUND(L1136*(K1136/$AN1136)/VLOOKUP(J1136,商品!$A$4:$D$67,4,FALSE),0),"")</f>
        <v/>
      </c>
      <c r="AH1136" t="str">
        <f>IFERROR(M1136&amp;"*"&amp;ROUND(S1136*(N1136/$AO1136)/VLOOKUP(M1136,职业!$A$3:$E$16,4,FALSE),0),"")</f>
        <v/>
      </c>
      <c r="AI1136" t="str">
        <f>IFERROR(O1136&amp;"*"&amp;ROUND(S1136*(P1136/$AO1136)/VLOOKUP(O1136,职业!$A$3:$E$16,4,FALSE),0),"")</f>
        <v/>
      </c>
      <c r="AK1136" t="str">
        <f>IFERROR(T1136&amp;"*"&amp;ROUND(X1136*(U1136/$AP1136)/VLOOKUP(T1136,商品!$A$4:$D$67,4,FALSE),0),"")</f>
        <v/>
      </c>
      <c r="AL1136" t="str">
        <f>IFERROR(V1136&amp;"*"&amp;ROUND(X1136*(W1136/$AP1136)/VLOOKUP(V1136,商品!$A$4:$D$67,4,FALSE),0),"")</f>
        <v/>
      </c>
      <c r="AN1136">
        <f t="shared" si="141"/>
        <v>0</v>
      </c>
      <c r="AO1136">
        <f t="shared" si="142"/>
        <v>0</v>
      </c>
      <c r="AP1136">
        <f t="shared" si="143"/>
        <v>0</v>
      </c>
    </row>
    <row r="1137" customHeight="1" spans="1:42">
      <c r="A1137" s="18" t="s">
        <v>492</v>
      </c>
      <c r="C1137" s="18">
        <v>7</v>
      </c>
      <c r="D1137" s="1" t="s">
        <v>293</v>
      </c>
      <c r="E1137" s="1" t="s">
        <v>227</v>
      </c>
      <c r="L1137" s="1">
        <f>IFERROR(VLOOKUP($D1137&amp;$C1137,生产方式定位!$A$2:$E$38,2,FALSE)+VLOOKUP($E1137&amp;$C1137,生产方式定位!$F$3:$J$38,2,FALSE),0)</f>
        <v>0</v>
      </c>
      <c r="S1137" s="1">
        <f>IFERROR(VLOOKUP($D1137&amp;$C1137,生产方式定位!$A$2:$E$38,3,FALSE)+VLOOKUP($E1137&amp;$C1137,生产方式定位!$F$3:$J$38,3,FALSE),0)</f>
        <v>0</v>
      </c>
      <c r="X1137" s="1">
        <f>IFERROR(VLOOKUP($D1137&amp;$C1137,生产方式定位!$A$2:$E$38,5,FALSE)+VLOOKUP($E1137&amp;$C1137,生产方式定位!$F$3:$J$38,5,FALSE),"错误")</f>
        <v>0</v>
      </c>
      <c r="Y1137" s="27" t="str">
        <f t="shared" si="136"/>
        <v/>
      </c>
      <c r="Z1137" s="37" t="str">
        <f t="shared" si="137"/>
        <v/>
      </c>
      <c r="AA1137" s="37" t="str">
        <f t="shared" si="138"/>
        <v/>
      </c>
      <c r="AB1137" s="28" t="str">
        <f t="shared" si="139"/>
        <v/>
      </c>
      <c r="AC1137" s="37"/>
      <c r="AD1137" s="38">
        <f t="shared" si="140"/>
        <v>7</v>
      </c>
      <c r="AE1137" t="str">
        <f>IFERROR(F1137&amp;"*"&amp;ROUND(L1137*(G1137/$AN1137)/VLOOKUP(F1137,商品!$A$4:$D$67,4,FALSE),0),"")</f>
        <v/>
      </c>
      <c r="AF1137" t="str">
        <f>IFERROR(H1137&amp;"*"&amp;ROUND(L1137*(I1137/$AN1137)/VLOOKUP(H1137,商品!$A$4:$D$67,4,FALSE),0),"")</f>
        <v/>
      </c>
      <c r="AG1137" t="str">
        <f>IFERROR(J1137&amp;"*"&amp;ROUND(L1137*(K1137/$AN1137)/VLOOKUP(J1137,商品!$A$4:$D$67,4,FALSE),0),"")</f>
        <v/>
      </c>
      <c r="AH1137" t="str">
        <f>IFERROR(M1137&amp;"*"&amp;ROUND(S1137*(N1137/$AO1137)/VLOOKUP(M1137,职业!$A$3:$E$16,4,FALSE),0),"")</f>
        <v/>
      </c>
      <c r="AI1137" t="str">
        <f>IFERROR(O1137&amp;"*"&amp;ROUND(S1137*(P1137/$AO1137)/VLOOKUP(O1137,职业!$A$3:$E$16,4,FALSE),0),"")</f>
        <v/>
      </c>
      <c r="AK1137" t="str">
        <f>IFERROR(T1137&amp;"*"&amp;ROUND(X1137*(U1137/$AP1137)/VLOOKUP(T1137,商品!$A$4:$D$67,4,FALSE),0),"")</f>
        <v/>
      </c>
      <c r="AL1137" t="str">
        <f>IFERROR(V1137&amp;"*"&amp;ROUND(X1137*(W1137/$AP1137)/VLOOKUP(V1137,商品!$A$4:$D$67,4,FALSE),0),"")</f>
        <v/>
      </c>
      <c r="AN1137">
        <f t="shared" si="141"/>
        <v>0</v>
      </c>
      <c r="AO1137">
        <f t="shared" si="142"/>
        <v>0</v>
      </c>
      <c r="AP1137">
        <f t="shared" si="143"/>
        <v>0</v>
      </c>
    </row>
    <row r="1138" customHeight="1" spans="1:42">
      <c r="A1138" s="18" t="s">
        <v>492</v>
      </c>
      <c r="C1138" s="18">
        <v>8</v>
      </c>
      <c r="D1138" s="1" t="s">
        <v>293</v>
      </c>
      <c r="E1138" s="1" t="s">
        <v>227</v>
      </c>
      <c r="L1138" s="1">
        <f>IFERROR(VLOOKUP($D1138&amp;$C1138,生产方式定位!$A$2:$E$38,2,FALSE)+VLOOKUP($E1138&amp;$C1138,生产方式定位!$F$3:$J$38,2,FALSE),0)</f>
        <v>0</v>
      </c>
      <c r="S1138" s="1">
        <f>IFERROR(VLOOKUP($D1138&amp;$C1138,生产方式定位!$A$2:$E$38,3,FALSE)+VLOOKUP($E1138&amp;$C1138,生产方式定位!$F$3:$J$38,3,FALSE),0)</f>
        <v>0</v>
      </c>
      <c r="X1138" s="1">
        <f>IFERROR(VLOOKUP($D1138&amp;$C1138,生产方式定位!$A$2:$E$38,5,FALSE)+VLOOKUP($E1138&amp;$C1138,生产方式定位!$F$3:$J$38,5,FALSE),"错误")</f>
        <v>0</v>
      </c>
      <c r="Y1138" s="27" t="str">
        <f t="shared" si="136"/>
        <v/>
      </c>
      <c r="Z1138" s="37" t="str">
        <f t="shared" si="137"/>
        <v/>
      </c>
      <c r="AA1138" s="37" t="str">
        <f t="shared" si="138"/>
        <v/>
      </c>
      <c r="AB1138" s="28" t="str">
        <f t="shared" si="139"/>
        <v/>
      </c>
      <c r="AC1138" s="37"/>
      <c r="AD1138" s="38">
        <f t="shared" si="140"/>
        <v>8</v>
      </c>
      <c r="AE1138" t="str">
        <f>IFERROR(F1138&amp;"*"&amp;ROUND(L1138*(G1138/$AN1138)/VLOOKUP(F1138,商品!$A$4:$D$67,4,FALSE),0),"")</f>
        <v/>
      </c>
      <c r="AF1138" t="str">
        <f>IFERROR(H1138&amp;"*"&amp;ROUND(L1138*(I1138/$AN1138)/VLOOKUP(H1138,商品!$A$4:$D$67,4,FALSE),0),"")</f>
        <v/>
      </c>
      <c r="AG1138" t="str">
        <f>IFERROR(J1138&amp;"*"&amp;ROUND(L1138*(K1138/$AN1138)/VLOOKUP(J1138,商品!$A$4:$D$67,4,FALSE),0),"")</f>
        <v/>
      </c>
      <c r="AH1138" t="str">
        <f>IFERROR(M1138&amp;"*"&amp;ROUND(S1138*(N1138/$AO1138)/VLOOKUP(M1138,职业!$A$3:$E$16,4,FALSE),0),"")</f>
        <v/>
      </c>
      <c r="AI1138" t="str">
        <f>IFERROR(O1138&amp;"*"&amp;ROUND(S1138*(P1138/$AO1138)/VLOOKUP(O1138,职业!$A$3:$E$16,4,FALSE),0),"")</f>
        <v/>
      </c>
      <c r="AK1138" t="str">
        <f>IFERROR(T1138&amp;"*"&amp;ROUND(X1138*(U1138/$AP1138)/VLOOKUP(T1138,商品!$A$4:$D$67,4,FALSE),0),"")</f>
        <v/>
      </c>
      <c r="AL1138" t="str">
        <f>IFERROR(V1138&amp;"*"&amp;ROUND(X1138*(W1138/$AP1138)/VLOOKUP(V1138,商品!$A$4:$D$67,4,FALSE),0),"")</f>
        <v/>
      </c>
      <c r="AN1138">
        <f t="shared" si="141"/>
        <v>0</v>
      </c>
      <c r="AO1138">
        <f t="shared" si="142"/>
        <v>0</v>
      </c>
      <c r="AP1138">
        <f t="shared" si="143"/>
        <v>0</v>
      </c>
    </row>
    <row r="1139" customHeight="1" spans="1:42">
      <c r="A1139" s="5" t="s">
        <v>494</v>
      </c>
      <c r="C1139" s="5">
        <v>1</v>
      </c>
      <c r="D1139" s="1" t="s">
        <v>222</v>
      </c>
      <c r="E1139" s="1" t="s">
        <v>224</v>
      </c>
      <c r="L1139" s="1">
        <f>IFERROR(VLOOKUP($D1139&amp;$C1139,生产方式定位!$A$2:$E$38,2,FALSE)+VLOOKUP($E1139&amp;$C1139,生产方式定位!$F$3:$J$38,2,FALSE),0)</f>
        <v>0</v>
      </c>
      <c r="S1139" s="1">
        <f>IFERROR(VLOOKUP($D1139&amp;$C1139,生产方式定位!$A$2:$E$38,3,FALSE)+VLOOKUP($E1139&amp;$C1139,生产方式定位!$F$3:$J$38,3,FALSE),0)</f>
        <v>500</v>
      </c>
      <c r="X1139" s="1">
        <f>IFERROR(VLOOKUP($D1139&amp;$C1139,生产方式定位!$A$2:$E$38,5,FALSE)+VLOOKUP($E1139&amp;$C1139,生产方式定位!$F$3:$J$38,5,FALSE),"错误")</f>
        <v>250</v>
      </c>
      <c r="Y1139" s="27" t="str">
        <f t="shared" si="136"/>
        <v/>
      </c>
      <c r="Z1139" s="37" t="str">
        <f t="shared" si="137"/>
        <v/>
      </c>
      <c r="AA1139" s="37" t="str">
        <f t="shared" si="138"/>
        <v/>
      </c>
      <c r="AB1139" s="28">
        <f t="shared" si="139"/>
        <v>0</v>
      </c>
      <c r="AC1139" s="37"/>
      <c r="AD1139" s="38">
        <f t="shared" si="140"/>
        <v>1</v>
      </c>
      <c r="AE1139" t="str">
        <f>IFERROR(F1139&amp;"*"&amp;ROUND(L1139*(G1139/$AN1139)/VLOOKUP(F1139,商品!$A$4:$D$67,4,FALSE),0),"")</f>
        <v/>
      </c>
      <c r="AF1139" t="str">
        <f>IFERROR(H1139&amp;"*"&amp;ROUND(L1139*(I1139/$AN1139)/VLOOKUP(H1139,商品!$A$4:$D$67,4,FALSE),0),"")</f>
        <v/>
      </c>
      <c r="AG1139" t="str">
        <f>IFERROR(J1139&amp;"*"&amp;ROUND(L1139*(K1139/$AN1139)/VLOOKUP(J1139,商品!$A$4:$D$67,4,FALSE),0),"")</f>
        <v/>
      </c>
      <c r="AH1139" t="str">
        <f>IFERROR(M1139&amp;"*"&amp;ROUND(S1139*(N1139/$AO1139)/VLOOKUP(M1139,职业!$A$3:$E$16,4,FALSE),0),"")</f>
        <v/>
      </c>
      <c r="AI1139" t="str">
        <f>IFERROR(O1139&amp;"*"&amp;ROUND(S1139*(P1139/$AO1139)/VLOOKUP(O1139,职业!$A$3:$E$16,4,FALSE),0),"")</f>
        <v/>
      </c>
      <c r="AK1139" t="str">
        <f>IFERROR(T1139&amp;"*"&amp;ROUND(X1139*(U1139/$AP1139)/VLOOKUP(T1139,商品!$A$4:$D$67,4,FALSE),0),"")</f>
        <v/>
      </c>
      <c r="AL1139" t="str">
        <f>IFERROR(V1139&amp;"*"&amp;ROUND(X1139*(W1139/$AP1139)/VLOOKUP(V1139,商品!$A$4:$D$67,4,FALSE),0),"")</f>
        <v/>
      </c>
      <c r="AN1139">
        <f t="shared" si="141"/>
        <v>0</v>
      </c>
      <c r="AO1139">
        <f t="shared" si="142"/>
        <v>0</v>
      </c>
      <c r="AP1139">
        <f t="shared" si="143"/>
        <v>0</v>
      </c>
    </row>
    <row r="1140" customHeight="1" spans="1:42">
      <c r="A1140" s="5" t="s">
        <v>494</v>
      </c>
      <c r="C1140" s="5">
        <v>2</v>
      </c>
      <c r="D1140" s="1" t="s">
        <v>222</v>
      </c>
      <c r="E1140" s="1" t="s">
        <v>224</v>
      </c>
      <c r="L1140" s="1">
        <f>IFERROR(VLOOKUP($D1140&amp;$C1140,生产方式定位!$A$2:$E$38,2,FALSE)+VLOOKUP($E1140&amp;$C1140,生产方式定位!$F$3:$J$38,2,FALSE),0)</f>
        <v>2200</v>
      </c>
      <c r="S1140" s="1">
        <f>IFERROR(VLOOKUP($D1140&amp;$C1140,生产方式定位!$A$2:$E$38,3,FALSE)+VLOOKUP($E1140&amp;$C1140,生产方式定位!$F$3:$J$38,3,FALSE),0)</f>
        <v>750</v>
      </c>
      <c r="X1140" s="1">
        <f>IFERROR(VLOOKUP($D1140&amp;$C1140,生产方式定位!$A$2:$E$38,5,FALSE)+VLOOKUP($E1140&amp;$C1140,生产方式定位!$F$3:$J$38,5,FALSE),"错误")</f>
        <v>1547</v>
      </c>
      <c r="Y1140" s="27" t="str">
        <f t="shared" si="136"/>
        <v/>
      </c>
      <c r="Z1140" s="37" t="str">
        <f t="shared" si="137"/>
        <v/>
      </c>
      <c r="AA1140" s="37" t="str">
        <f t="shared" si="138"/>
        <v/>
      </c>
      <c r="AB1140" s="28">
        <f t="shared" si="139"/>
        <v>1.42</v>
      </c>
      <c r="AC1140" s="37"/>
      <c r="AD1140" s="38">
        <f t="shared" si="140"/>
        <v>2</v>
      </c>
      <c r="AE1140" t="str">
        <f>IFERROR(F1140&amp;"*"&amp;ROUND(L1140*(G1140/$AN1140)/VLOOKUP(F1140,商品!$A$4:$D$67,4,FALSE),0),"")</f>
        <v/>
      </c>
      <c r="AF1140" t="str">
        <f>IFERROR(H1140&amp;"*"&amp;ROUND(L1140*(I1140/$AN1140)/VLOOKUP(H1140,商品!$A$4:$D$67,4,FALSE),0),"")</f>
        <v/>
      </c>
      <c r="AG1140" t="str">
        <f>IFERROR(J1140&amp;"*"&amp;ROUND(L1140*(K1140/$AN1140)/VLOOKUP(J1140,商品!$A$4:$D$67,4,FALSE),0),"")</f>
        <v/>
      </c>
      <c r="AH1140" t="str">
        <f>IFERROR(M1140&amp;"*"&amp;ROUND(S1140*(N1140/$AO1140)/VLOOKUP(M1140,职业!$A$3:$E$16,4,FALSE),0),"")</f>
        <v/>
      </c>
      <c r="AI1140" t="str">
        <f>IFERROR(O1140&amp;"*"&amp;ROUND(S1140*(P1140/$AO1140)/VLOOKUP(O1140,职业!$A$3:$E$16,4,FALSE),0),"")</f>
        <v/>
      </c>
      <c r="AK1140" t="str">
        <f>IFERROR(T1140&amp;"*"&amp;ROUND(X1140*(U1140/$AP1140)/VLOOKUP(T1140,商品!$A$4:$D$67,4,FALSE),0),"")</f>
        <v/>
      </c>
      <c r="AL1140" t="str">
        <f>IFERROR(V1140&amp;"*"&amp;ROUND(X1140*(W1140/$AP1140)/VLOOKUP(V1140,商品!$A$4:$D$67,4,FALSE),0),"")</f>
        <v/>
      </c>
      <c r="AN1140">
        <f t="shared" si="141"/>
        <v>0</v>
      </c>
      <c r="AO1140">
        <f t="shared" si="142"/>
        <v>0</v>
      </c>
      <c r="AP1140">
        <f t="shared" si="143"/>
        <v>0</v>
      </c>
    </row>
    <row r="1141" customHeight="1" spans="1:42">
      <c r="A1141" s="5" t="s">
        <v>494</v>
      </c>
      <c r="C1141" s="5">
        <v>3</v>
      </c>
      <c r="D1141" s="1" t="s">
        <v>222</v>
      </c>
      <c r="E1141" s="1" t="s">
        <v>224</v>
      </c>
      <c r="L1141" s="1">
        <f>IFERROR(VLOOKUP($D1141&amp;$C1141,生产方式定位!$A$2:$E$38,2,FALSE)+VLOOKUP($E1141&amp;$C1141,生产方式定位!$F$3:$J$38,2,FALSE),0)</f>
        <v>3400</v>
      </c>
      <c r="S1141" s="1">
        <f>IFERROR(VLOOKUP($D1141&amp;$C1141,生产方式定位!$A$2:$E$38,3,FALSE)+VLOOKUP($E1141&amp;$C1141,生产方式定位!$F$3:$J$38,3,FALSE),0)</f>
        <v>1000</v>
      </c>
      <c r="X1141" s="1">
        <f>IFERROR(VLOOKUP($D1141&amp;$C1141,生产方式定位!$A$2:$E$38,5,FALSE)+VLOOKUP($E1141&amp;$C1141,生产方式定位!$F$3:$J$38,5,FALSE),"错误")</f>
        <v>2488</v>
      </c>
      <c r="Y1141" s="27" t="str">
        <f t="shared" si="136"/>
        <v/>
      </c>
      <c r="Z1141" s="37" t="str">
        <f t="shared" si="137"/>
        <v/>
      </c>
      <c r="AA1141" s="37" t="str">
        <f t="shared" si="138"/>
        <v/>
      </c>
      <c r="AB1141" s="28">
        <f t="shared" si="139"/>
        <v>1.37</v>
      </c>
      <c r="AC1141" s="37"/>
      <c r="AD1141" s="38">
        <f t="shared" si="140"/>
        <v>3</v>
      </c>
      <c r="AE1141" t="str">
        <f>IFERROR(F1141&amp;"*"&amp;ROUND(L1141*(G1141/$AN1141)/VLOOKUP(F1141,商品!$A$4:$D$67,4,FALSE),0),"")</f>
        <v/>
      </c>
      <c r="AF1141" t="str">
        <f>IFERROR(H1141&amp;"*"&amp;ROUND(L1141*(I1141/$AN1141)/VLOOKUP(H1141,商品!$A$4:$D$67,4,FALSE),0),"")</f>
        <v/>
      </c>
      <c r="AG1141" t="str">
        <f>IFERROR(J1141&amp;"*"&amp;ROUND(L1141*(K1141/$AN1141)/VLOOKUP(J1141,商品!$A$4:$D$67,4,FALSE),0),"")</f>
        <v/>
      </c>
      <c r="AH1141" t="str">
        <f>IFERROR(M1141&amp;"*"&amp;ROUND(S1141*(N1141/$AO1141)/VLOOKUP(M1141,职业!$A$3:$E$16,4,FALSE),0),"")</f>
        <v/>
      </c>
      <c r="AI1141" t="str">
        <f>IFERROR(O1141&amp;"*"&amp;ROUND(S1141*(P1141/$AO1141)/VLOOKUP(O1141,职业!$A$3:$E$16,4,FALSE),0),"")</f>
        <v/>
      </c>
      <c r="AK1141" t="str">
        <f>IFERROR(T1141&amp;"*"&amp;ROUND(X1141*(U1141/$AP1141)/VLOOKUP(T1141,商品!$A$4:$D$67,4,FALSE),0),"")</f>
        <v/>
      </c>
      <c r="AL1141" t="str">
        <f>IFERROR(V1141&amp;"*"&amp;ROUND(X1141*(W1141/$AP1141)/VLOOKUP(V1141,商品!$A$4:$D$67,4,FALSE),0),"")</f>
        <v/>
      </c>
      <c r="AN1141">
        <f t="shared" si="141"/>
        <v>0</v>
      </c>
      <c r="AO1141">
        <f t="shared" si="142"/>
        <v>0</v>
      </c>
      <c r="AP1141">
        <f t="shared" si="143"/>
        <v>0</v>
      </c>
    </row>
    <row r="1142" customHeight="1" spans="1:42">
      <c r="A1142" s="5" t="s">
        <v>494</v>
      </c>
      <c r="C1142" s="5">
        <v>4</v>
      </c>
      <c r="D1142" s="1" t="s">
        <v>222</v>
      </c>
      <c r="E1142" s="1" t="s">
        <v>224</v>
      </c>
      <c r="L1142" s="1">
        <f>IFERROR(VLOOKUP($D1142&amp;$C1142,生产方式定位!$A$2:$E$38,2,FALSE)+VLOOKUP($E1142&amp;$C1142,生产方式定位!$F$3:$J$38,2,FALSE),0)</f>
        <v>4600</v>
      </c>
      <c r="S1142" s="1">
        <f>IFERROR(VLOOKUP($D1142&amp;$C1142,生产方式定位!$A$2:$E$38,3,FALSE)+VLOOKUP($E1142&amp;$C1142,生产方式定位!$F$3:$J$38,3,FALSE),0)</f>
        <v>1250</v>
      </c>
      <c r="X1142" s="1">
        <f>IFERROR(VLOOKUP($D1142&amp;$C1142,生产方式定位!$A$2:$E$38,5,FALSE)+VLOOKUP($E1142&amp;$C1142,生产方式定位!$F$3:$J$38,5,FALSE),"错误")</f>
        <v>3573</v>
      </c>
      <c r="Y1142" s="27" t="str">
        <f t="shared" si="136"/>
        <v/>
      </c>
      <c r="Z1142" s="37" t="str">
        <f t="shared" si="137"/>
        <v/>
      </c>
      <c r="AA1142" s="37" t="str">
        <f t="shared" si="138"/>
        <v/>
      </c>
      <c r="AB1142" s="28">
        <f t="shared" si="139"/>
        <v>1.29</v>
      </c>
      <c r="AC1142" s="37"/>
      <c r="AD1142" s="38">
        <f t="shared" si="140"/>
        <v>4</v>
      </c>
      <c r="AE1142" t="str">
        <f>IFERROR(F1142&amp;"*"&amp;ROUND(L1142*(G1142/$AN1142)/VLOOKUP(F1142,商品!$A$4:$D$67,4,FALSE),0),"")</f>
        <v/>
      </c>
      <c r="AF1142" t="str">
        <f>IFERROR(H1142&amp;"*"&amp;ROUND(L1142*(I1142/$AN1142)/VLOOKUP(H1142,商品!$A$4:$D$67,4,FALSE),0),"")</f>
        <v/>
      </c>
      <c r="AG1142" t="str">
        <f>IFERROR(J1142&amp;"*"&amp;ROUND(L1142*(K1142/$AN1142)/VLOOKUP(J1142,商品!$A$4:$D$67,4,FALSE),0),"")</f>
        <v/>
      </c>
      <c r="AH1142" t="str">
        <f>IFERROR(M1142&amp;"*"&amp;ROUND(S1142*(N1142/$AO1142)/VLOOKUP(M1142,职业!$A$3:$E$16,4,FALSE),0),"")</f>
        <v/>
      </c>
      <c r="AI1142" t="str">
        <f>IFERROR(O1142&amp;"*"&amp;ROUND(S1142*(P1142/$AO1142)/VLOOKUP(O1142,职业!$A$3:$E$16,4,FALSE),0),"")</f>
        <v/>
      </c>
      <c r="AK1142" t="str">
        <f>IFERROR(T1142&amp;"*"&amp;ROUND(X1142*(U1142/$AP1142)/VLOOKUP(T1142,商品!$A$4:$D$67,4,FALSE),0),"")</f>
        <v/>
      </c>
      <c r="AL1142" t="str">
        <f>IFERROR(V1142&amp;"*"&amp;ROUND(X1142*(W1142/$AP1142)/VLOOKUP(V1142,商品!$A$4:$D$67,4,FALSE),0),"")</f>
        <v/>
      </c>
      <c r="AN1142">
        <f t="shared" si="141"/>
        <v>0</v>
      </c>
      <c r="AO1142">
        <f t="shared" si="142"/>
        <v>0</v>
      </c>
      <c r="AP1142">
        <f t="shared" si="143"/>
        <v>0</v>
      </c>
    </row>
    <row r="1143" customHeight="1" spans="1:42">
      <c r="A1143" s="5" t="s">
        <v>494</v>
      </c>
      <c r="C1143" s="5">
        <v>5</v>
      </c>
      <c r="D1143" s="1" t="s">
        <v>222</v>
      </c>
      <c r="E1143" s="1" t="s">
        <v>224</v>
      </c>
      <c r="L1143" s="1">
        <f>IFERROR(VLOOKUP($D1143&amp;$C1143,生产方式定位!$A$2:$E$38,2,FALSE)+VLOOKUP($E1143&amp;$C1143,生产方式定位!$F$3:$J$38,2,FALSE),0)</f>
        <v>5800</v>
      </c>
      <c r="S1143" s="1">
        <f>IFERROR(VLOOKUP($D1143&amp;$C1143,生产方式定位!$A$2:$E$38,3,FALSE)+VLOOKUP($E1143&amp;$C1143,生产方式定位!$F$3:$J$38,3,FALSE),0)</f>
        <v>1500</v>
      </c>
      <c r="X1143" s="1">
        <f>IFERROR(VLOOKUP($D1143&amp;$C1143,生产方式定位!$A$2:$E$38,5,FALSE)+VLOOKUP($E1143&amp;$C1143,生产方式定位!$F$3:$J$38,5,FALSE),"错误")</f>
        <v>4850</v>
      </c>
      <c r="Y1143" s="27" t="str">
        <f t="shared" si="136"/>
        <v/>
      </c>
      <c r="Z1143" s="37" t="str">
        <f t="shared" si="137"/>
        <v/>
      </c>
      <c r="AA1143" s="37" t="str">
        <f t="shared" si="138"/>
        <v/>
      </c>
      <c r="AB1143" s="28">
        <f t="shared" si="139"/>
        <v>1.2</v>
      </c>
      <c r="AC1143" s="37"/>
      <c r="AD1143" s="38">
        <f t="shared" si="140"/>
        <v>5</v>
      </c>
      <c r="AE1143" t="str">
        <f>IFERROR(F1143&amp;"*"&amp;ROUND(L1143*(G1143/$AN1143)/VLOOKUP(F1143,商品!$A$4:$D$67,4,FALSE),0),"")</f>
        <v/>
      </c>
      <c r="AF1143" t="str">
        <f>IFERROR(H1143&amp;"*"&amp;ROUND(L1143*(I1143/$AN1143)/VLOOKUP(H1143,商品!$A$4:$D$67,4,FALSE),0),"")</f>
        <v/>
      </c>
      <c r="AG1143" t="str">
        <f>IFERROR(J1143&amp;"*"&amp;ROUND(L1143*(K1143/$AN1143)/VLOOKUP(J1143,商品!$A$4:$D$67,4,FALSE),0),"")</f>
        <v/>
      </c>
      <c r="AH1143" t="str">
        <f>IFERROR(M1143&amp;"*"&amp;ROUND(S1143*(N1143/$AO1143)/VLOOKUP(M1143,职业!$A$3:$E$16,4,FALSE),0),"")</f>
        <v/>
      </c>
      <c r="AI1143" t="str">
        <f>IFERROR(O1143&amp;"*"&amp;ROUND(S1143*(P1143/$AO1143)/VLOOKUP(O1143,职业!$A$3:$E$16,4,FALSE),0),"")</f>
        <v/>
      </c>
      <c r="AK1143" t="str">
        <f>IFERROR(T1143&amp;"*"&amp;ROUND(X1143*(U1143/$AP1143)/VLOOKUP(T1143,商品!$A$4:$D$67,4,FALSE),0),"")</f>
        <v/>
      </c>
      <c r="AL1143" t="str">
        <f>IFERROR(V1143&amp;"*"&amp;ROUND(X1143*(W1143/$AP1143)/VLOOKUP(V1143,商品!$A$4:$D$67,4,FALSE),0),"")</f>
        <v/>
      </c>
      <c r="AN1143">
        <f t="shared" si="141"/>
        <v>0</v>
      </c>
      <c r="AO1143">
        <f t="shared" si="142"/>
        <v>0</v>
      </c>
      <c r="AP1143">
        <f t="shared" si="143"/>
        <v>0</v>
      </c>
    </row>
    <row r="1144" customHeight="1" spans="1:42">
      <c r="A1144" s="18" t="s">
        <v>495</v>
      </c>
      <c r="C1144" s="18">
        <v>1</v>
      </c>
      <c r="D1144" s="1" t="s">
        <v>222</v>
      </c>
      <c r="E1144" s="1" t="s">
        <v>226</v>
      </c>
      <c r="L1144" s="1">
        <f>IFERROR(VLOOKUP($D1144&amp;$C1144,生产方式定位!$A$2:$E$38,2,FALSE)+VLOOKUP($E1144&amp;$C1144,生产方式定位!$F$3:$J$38,2,FALSE),0)</f>
        <v>0</v>
      </c>
      <c r="S1144" s="1">
        <f>IFERROR(VLOOKUP($D1144&amp;$C1144,生产方式定位!$A$2:$E$38,3,FALSE)+VLOOKUP($E1144&amp;$C1144,生产方式定位!$F$3:$J$38,3,FALSE),0)</f>
        <v>500</v>
      </c>
      <c r="X1144" s="1">
        <f>IFERROR(VLOOKUP($D1144&amp;$C1144,生产方式定位!$A$2:$E$38,5,FALSE)+VLOOKUP($E1144&amp;$C1144,生产方式定位!$F$3:$J$38,5,FALSE),"错误")</f>
        <v>250</v>
      </c>
      <c r="Y1144" s="27" t="str">
        <f t="shared" si="136"/>
        <v/>
      </c>
      <c r="Z1144" s="37" t="str">
        <f t="shared" si="137"/>
        <v/>
      </c>
      <c r="AA1144" s="37" t="str">
        <f t="shared" si="138"/>
        <v/>
      </c>
      <c r="AB1144" s="28">
        <f t="shared" si="139"/>
        <v>0</v>
      </c>
      <c r="AC1144" s="37"/>
      <c r="AD1144" s="38">
        <f t="shared" si="140"/>
        <v>1</v>
      </c>
      <c r="AE1144" t="str">
        <f>IFERROR(F1144&amp;"*"&amp;ROUND(L1144*(G1144/$AN1144)/VLOOKUP(F1144,商品!$A$4:$D$67,4,FALSE),0),"")</f>
        <v/>
      </c>
      <c r="AF1144" t="str">
        <f>IFERROR(H1144&amp;"*"&amp;ROUND(L1144*(I1144/$AN1144)/VLOOKUP(H1144,商品!$A$4:$D$67,4,FALSE),0),"")</f>
        <v/>
      </c>
      <c r="AG1144" t="str">
        <f>IFERROR(J1144&amp;"*"&amp;ROUND(L1144*(K1144/$AN1144)/VLOOKUP(J1144,商品!$A$4:$D$67,4,FALSE),0),"")</f>
        <v/>
      </c>
      <c r="AH1144" t="str">
        <f>IFERROR(M1144&amp;"*"&amp;ROUND(S1144*(N1144/$AO1144)/VLOOKUP(M1144,职业!$A$3:$E$16,4,FALSE),0),"")</f>
        <v/>
      </c>
      <c r="AI1144" t="str">
        <f>IFERROR(O1144&amp;"*"&amp;ROUND(S1144*(P1144/$AO1144)/VLOOKUP(O1144,职业!$A$3:$E$16,4,FALSE),0),"")</f>
        <v/>
      </c>
      <c r="AK1144" t="str">
        <f>IFERROR(T1144&amp;"*"&amp;ROUND(X1144*(U1144/$AP1144)/VLOOKUP(T1144,商品!$A$4:$D$67,4,FALSE),0),"")</f>
        <v/>
      </c>
      <c r="AL1144" t="str">
        <f>IFERROR(V1144&amp;"*"&amp;ROUND(X1144*(W1144/$AP1144)/VLOOKUP(V1144,商品!$A$4:$D$67,4,FALSE),0),"")</f>
        <v/>
      </c>
      <c r="AN1144">
        <f t="shared" si="141"/>
        <v>0</v>
      </c>
      <c r="AO1144">
        <f t="shared" si="142"/>
        <v>0</v>
      </c>
      <c r="AP1144">
        <f t="shared" si="143"/>
        <v>0</v>
      </c>
    </row>
    <row r="1145" customHeight="1" spans="1:42">
      <c r="A1145" s="18" t="s">
        <v>495</v>
      </c>
      <c r="C1145" s="18">
        <v>2</v>
      </c>
      <c r="D1145" s="1" t="s">
        <v>222</v>
      </c>
      <c r="E1145" s="1" t="s">
        <v>226</v>
      </c>
      <c r="L1145" s="1">
        <f>IFERROR(VLOOKUP($D1145&amp;$C1145,生产方式定位!$A$2:$E$38,2,FALSE)+VLOOKUP($E1145&amp;$C1145,生产方式定位!$F$3:$J$38,2,FALSE),0)</f>
        <v>3200</v>
      </c>
      <c r="S1145" s="1">
        <f>IFERROR(VLOOKUP($D1145&amp;$C1145,生产方式定位!$A$2:$E$38,3,FALSE)+VLOOKUP($E1145&amp;$C1145,生产方式定位!$F$3:$J$38,3,FALSE),0)</f>
        <v>350</v>
      </c>
      <c r="X1145" s="1">
        <f>IFERROR(VLOOKUP($D1145&amp;$C1145,生产方式定位!$A$2:$E$38,5,FALSE)+VLOOKUP($E1145&amp;$C1145,生产方式定位!$F$3:$J$38,5,FALSE),"错误")</f>
        <v>1865</v>
      </c>
      <c r="Y1145" s="27" t="str">
        <f t="shared" si="136"/>
        <v/>
      </c>
      <c r="Z1145" s="37" t="str">
        <f t="shared" si="137"/>
        <v/>
      </c>
      <c r="AA1145" s="37" t="str">
        <f t="shared" si="138"/>
        <v/>
      </c>
      <c r="AB1145" s="28">
        <f t="shared" si="139"/>
        <v>1.72</v>
      </c>
      <c r="AC1145" s="37"/>
      <c r="AD1145" s="38">
        <f t="shared" si="140"/>
        <v>2</v>
      </c>
      <c r="AE1145" t="str">
        <f>IFERROR(F1145&amp;"*"&amp;ROUND(L1145*(G1145/$AN1145)/VLOOKUP(F1145,商品!$A$4:$D$67,4,FALSE),0),"")</f>
        <v/>
      </c>
      <c r="AF1145" t="str">
        <f>IFERROR(H1145&amp;"*"&amp;ROUND(L1145*(I1145/$AN1145)/VLOOKUP(H1145,商品!$A$4:$D$67,4,FALSE),0),"")</f>
        <v/>
      </c>
      <c r="AG1145" t="str">
        <f>IFERROR(J1145&amp;"*"&amp;ROUND(L1145*(K1145/$AN1145)/VLOOKUP(J1145,商品!$A$4:$D$67,4,FALSE),0),"")</f>
        <v/>
      </c>
      <c r="AH1145" t="str">
        <f>IFERROR(M1145&amp;"*"&amp;ROUND(S1145*(N1145/$AO1145)/VLOOKUP(M1145,职业!$A$3:$E$16,4,FALSE),0),"")</f>
        <v/>
      </c>
      <c r="AI1145" t="str">
        <f>IFERROR(O1145&amp;"*"&amp;ROUND(S1145*(P1145/$AO1145)/VLOOKUP(O1145,职业!$A$3:$E$16,4,FALSE),0),"")</f>
        <v/>
      </c>
      <c r="AK1145" t="str">
        <f>IFERROR(T1145&amp;"*"&amp;ROUND(X1145*(U1145/$AP1145)/VLOOKUP(T1145,商品!$A$4:$D$67,4,FALSE),0),"")</f>
        <v/>
      </c>
      <c r="AL1145" t="str">
        <f>IFERROR(V1145&amp;"*"&amp;ROUND(X1145*(W1145/$AP1145)/VLOOKUP(V1145,商品!$A$4:$D$67,4,FALSE),0),"")</f>
        <v/>
      </c>
      <c r="AN1145">
        <f t="shared" si="141"/>
        <v>0</v>
      </c>
      <c r="AO1145">
        <f t="shared" si="142"/>
        <v>0</v>
      </c>
      <c r="AP1145">
        <f t="shared" si="143"/>
        <v>0</v>
      </c>
    </row>
    <row r="1146" customHeight="1" spans="1:42">
      <c r="A1146" s="18" t="s">
        <v>495</v>
      </c>
      <c r="C1146" s="18">
        <v>3</v>
      </c>
      <c r="D1146" s="1" t="s">
        <v>222</v>
      </c>
      <c r="E1146" s="1" t="s">
        <v>226</v>
      </c>
      <c r="L1146" s="1">
        <f>IFERROR(VLOOKUP($D1146&amp;$C1146,生产方式定位!$A$2:$E$38,2,FALSE)+VLOOKUP($E1146&amp;$C1146,生产方式定位!$F$3:$J$38,2,FALSE),0)</f>
        <v>4400</v>
      </c>
      <c r="S1146" s="1">
        <f>IFERROR(VLOOKUP($D1146&amp;$C1146,生产方式定位!$A$2:$E$38,3,FALSE)+VLOOKUP($E1146&amp;$C1146,生产方式定位!$F$3:$J$38,3,FALSE),0)</f>
        <v>200</v>
      </c>
      <c r="X1146" s="1">
        <f>IFERROR(VLOOKUP($D1146&amp;$C1146,生产方式定位!$A$2:$E$38,5,FALSE)+VLOOKUP($E1146&amp;$C1146,生产方式定位!$F$3:$J$38,5,FALSE),"错误")</f>
        <v>2560</v>
      </c>
      <c r="Y1146" s="27" t="str">
        <f t="shared" si="136"/>
        <v/>
      </c>
      <c r="Z1146" s="37" t="str">
        <f t="shared" si="137"/>
        <v/>
      </c>
      <c r="AA1146" s="37" t="str">
        <f t="shared" si="138"/>
        <v/>
      </c>
      <c r="AB1146" s="28">
        <f t="shared" si="139"/>
        <v>1.72</v>
      </c>
      <c r="AC1146" s="37"/>
      <c r="AD1146" s="38">
        <f t="shared" si="140"/>
        <v>3</v>
      </c>
      <c r="AE1146" t="str">
        <f>IFERROR(F1146&amp;"*"&amp;ROUND(L1146*(G1146/$AN1146)/VLOOKUP(F1146,商品!$A$4:$D$67,4,FALSE),0),"")</f>
        <v/>
      </c>
      <c r="AF1146" t="str">
        <f>IFERROR(H1146&amp;"*"&amp;ROUND(L1146*(I1146/$AN1146)/VLOOKUP(H1146,商品!$A$4:$D$67,4,FALSE),0),"")</f>
        <v/>
      </c>
      <c r="AG1146" t="str">
        <f>IFERROR(J1146&amp;"*"&amp;ROUND(L1146*(K1146/$AN1146)/VLOOKUP(J1146,商品!$A$4:$D$67,4,FALSE),0),"")</f>
        <v/>
      </c>
      <c r="AH1146" t="str">
        <f>IFERROR(M1146&amp;"*"&amp;ROUND(S1146*(N1146/$AO1146)/VLOOKUP(M1146,职业!$A$3:$E$16,4,FALSE),0),"")</f>
        <v/>
      </c>
      <c r="AI1146" t="str">
        <f>IFERROR(O1146&amp;"*"&amp;ROUND(S1146*(P1146/$AO1146)/VLOOKUP(O1146,职业!$A$3:$E$16,4,FALSE),0),"")</f>
        <v/>
      </c>
      <c r="AK1146" t="str">
        <f>IFERROR(T1146&amp;"*"&amp;ROUND(X1146*(U1146/$AP1146)/VLOOKUP(T1146,商品!$A$4:$D$67,4,FALSE),0),"")</f>
        <v/>
      </c>
      <c r="AL1146" t="str">
        <f>IFERROR(V1146&amp;"*"&amp;ROUND(X1146*(W1146/$AP1146)/VLOOKUP(V1146,商品!$A$4:$D$67,4,FALSE),0),"")</f>
        <v/>
      </c>
      <c r="AN1146">
        <f t="shared" si="141"/>
        <v>0</v>
      </c>
      <c r="AO1146">
        <f t="shared" si="142"/>
        <v>0</v>
      </c>
      <c r="AP1146">
        <f t="shared" si="143"/>
        <v>0</v>
      </c>
    </row>
    <row r="1147" customHeight="1" spans="1:42">
      <c r="A1147" s="18" t="s">
        <v>495</v>
      </c>
      <c r="C1147" s="18">
        <v>4</v>
      </c>
      <c r="D1147" s="1" t="s">
        <v>222</v>
      </c>
      <c r="E1147" s="1" t="s">
        <v>226</v>
      </c>
      <c r="L1147" s="1">
        <f>IFERROR(VLOOKUP($D1147&amp;$C1147,生产方式定位!$A$2:$E$38,2,FALSE)+VLOOKUP($E1147&amp;$C1147,生产方式定位!$F$3:$J$38,2,FALSE),0)</f>
        <v>5600</v>
      </c>
      <c r="S1147" s="1">
        <f>IFERROR(VLOOKUP($D1147&amp;$C1147,生产方式定位!$A$2:$E$38,3,FALSE)+VLOOKUP($E1147&amp;$C1147,生产方式定位!$F$3:$J$38,3,FALSE),0)</f>
        <v>50</v>
      </c>
      <c r="X1147" s="1">
        <f>IFERROR(VLOOKUP($D1147&amp;$C1147,生产方式定位!$A$2:$E$38,5,FALSE)+VLOOKUP($E1147&amp;$C1147,生产方式定位!$F$3:$J$38,5,FALSE),"错误")</f>
        <v>3335</v>
      </c>
      <c r="Y1147" s="27" t="str">
        <f t="shared" si="136"/>
        <v/>
      </c>
      <c r="Z1147" s="37" t="str">
        <f t="shared" si="137"/>
        <v/>
      </c>
      <c r="AA1147" s="37" t="str">
        <f t="shared" si="138"/>
        <v/>
      </c>
      <c r="AB1147" s="28">
        <f t="shared" si="139"/>
        <v>1.68</v>
      </c>
      <c r="AC1147" s="37"/>
      <c r="AD1147" s="38">
        <f t="shared" si="140"/>
        <v>4</v>
      </c>
      <c r="AE1147" t="str">
        <f>IFERROR(F1147&amp;"*"&amp;ROUND(L1147*(G1147/$AN1147)/VLOOKUP(F1147,商品!$A$4:$D$67,4,FALSE),0),"")</f>
        <v/>
      </c>
      <c r="AF1147" t="str">
        <f>IFERROR(H1147&amp;"*"&amp;ROUND(L1147*(I1147/$AN1147)/VLOOKUP(H1147,商品!$A$4:$D$67,4,FALSE),0),"")</f>
        <v/>
      </c>
      <c r="AG1147" t="str">
        <f>IFERROR(J1147&amp;"*"&amp;ROUND(L1147*(K1147/$AN1147)/VLOOKUP(J1147,商品!$A$4:$D$67,4,FALSE),0),"")</f>
        <v/>
      </c>
      <c r="AH1147" t="str">
        <f>IFERROR(M1147&amp;"*"&amp;ROUND(S1147*(N1147/$AO1147)/VLOOKUP(M1147,职业!$A$3:$E$16,4,FALSE),0),"")</f>
        <v/>
      </c>
      <c r="AI1147" t="str">
        <f>IFERROR(O1147&amp;"*"&amp;ROUND(S1147*(P1147/$AO1147)/VLOOKUP(O1147,职业!$A$3:$E$16,4,FALSE),0),"")</f>
        <v/>
      </c>
      <c r="AK1147" t="str">
        <f>IFERROR(T1147&amp;"*"&amp;ROUND(X1147*(U1147/$AP1147)/VLOOKUP(T1147,商品!$A$4:$D$67,4,FALSE),0),"")</f>
        <v/>
      </c>
      <c r="AL1147" t="str">
        <f>IFERROR(V1147&amp;"*"&amp;ROUND(X1147*(W1147/$AP1147)/VLOOKUP(V1147,商品!$A$4:$D$67,4,FALSE),0),"")</f>
        <v/>
      </c>
      <c r="AN1147">
        <f t="shared" si="141"/>
        <v>0</v>
      </c>
      <c r="AO1147">
        <f t="shared" si="142"/>
        <v>0</v>
      </c>
      <c r="AP1147">
        <f t="shared" si="143"/>
        <v>0</v>
      </c>
    </row>
    <row r="1148" customHeight="1" spans="1:42">
      <c r="A1148" s="18" t="s">
        <v>495</v>
      </c>
      <c r="C1148" s="18">
        <v>5</v>
      </c>
      <c r="D1148" s="1" t="s">
        <v>222</v>
      </c>
      <c r="E1148" s="1" t="s">
        <v>226</v>
      </c>
      <c r="L1148" s="1">
        <f>IFERROR(VLOOKUP($D1148&amp;$C1148,生产方式定位!$A$2:$E$38,2,FALSE)+VLOOKUP($E1148&amp;$C1148,生产方式定位!$F$3:$J$38,2,FALSE),0)</f>
        <v>6800</v>
      </c>
      <c r="S1148" s="1">
        <f>IFERROR(VLOOKUP($D1148&amp;$C1148,生产方式定位!$A$2:$E$38,3,FALSE)+VLOOKUP($E1148&amp;$C1148,生产方式定位!$F$3:$J$38,3,FALSE),0)</f>
        <v>-100</v>
      </c>
      <c r="X1148" s="1">
        <f>IFERROR(VLOOKUP($D1148&amp;$C1148,生产方式定位!$A$2:$E$38,5,FALSE)+VLOOKUP($E1148&amp;$C1148,生产方式定位!$F$3:$J$38,5,FALSE),"错误")</f>
        <v>4190</v>
      </c>
      <c r="Y1148" s="27" t="str">
        <f t="shared" si="136"/>
        <v/>
      </c>
      <c r="Z1148" s="37" t="str">
        <f t="shared" si="137"/>
        <v/>
      </c>
      <c r="AA1148" s="37" t="str">
        <f t="shared" si="138"/>
        <v/>
      </c>
      <c r="AB1148" s="28">
        <f t="shared" si="139"/>
        <v>1.62</v>
      </c>
      <c r="AC1148" s="37"/>
      <c r="AD1148" s="38">
        <f t="shared" si="140"/>
        <v>5</v>
      </c>
      <c r="AE1148" t="str">
        <f>IFERROR(F1148&amp;"*"&amp;ROUND(L1148*(G1148/$AN1148)/VLOOKUP(F1148,商品!$A$4:$D$67,4,FALSE),0),"")</f>
        <v/>
      </c>
      <c r="AF1148" t="str">
        <f>IFERROR(H1148&amp;"*"&amp;ROUND(L1148*(I1148/$AN1148)/VLOOKUP(H1148,商品!$A$4:$D$67,4,FALSE),0),"")</f>
        <v/>
      </c>
      <c r="AG1148" t="str">
        <f>IFERROR(J1148&amp;"*"&amp;ROUND(L1148*(K1148/$AN1148)/VLOOKUP(J1148,商品!$A$4:$D$67,4,FALSE),0),"")</f>
        <v/>
      </c>
      <c r="AH1148" t="str">
        <f>IFERROR(M1148&amp;"*"&amp;ROUND(S1148*(N1148/$AO1148)/VLOOKUP(M1148,职业!$A$3:$E$16,4,FALSE),0),"")</f>
        <v/>
      </c>
      <c r="AI1148" t="str">
        <f>IFERROR(O1148&amp;"*"&amp;ROUND(S1148*(P1148/$AO1148)/VLOOKUP(O1148,职业!$A$3:$E$16,4,FALSE),0),"")</f>
        <v/>
      </c>
      <c r="AK1148" t="str">
        <f>IFERROR(T1148&amp;"*"&amp;ROUND(X1148*(U1148/$AP1148)/VLOOKUP(T1148,商品!$A$4:$D$67,4,FALSE),0),"")</f>
        <v/>
      </c>
      <c r="AL1148" t="str">
        <f>IFERROR(V1148&amp;"*"&amp;ROUND(X1148*(W1148/$AP1148)/VLOOKUP(V1148,商品!$A$4:$D$67,4,FALSE),0),"")</f>
        <v/>
      </c>
      <c r="AN1148">
        <f t="shared" si="141"/>
        <v>0</v>
      </c>
      <c r="AO1148">
        <f t="shared" si="142"/>
        <v>0</v>
      </c>
      <c r="AP1148">
        <f t="shared" si="143"/>
        <v>0</v>
      </c>
    </row>
    <row r="1149" customHeight="1" spans="1:42">
      <c r="A1149" s="5" t="s">
        <v>495</v>
      </c>
      <c r="C1149" s="5">
        <v>1</v>
      </c>
      <c r="D1149" s="1" t="s">
        <v>222</v>
      </c>
      <c r="E1149" s="1" t="s">
        <v>226</v>
      </c>
      <c r="L1149" s="1">
        <f>IFERROR(VLOOKUP($D1149&amp;$C1149,生产方式定位!$A$2:$E$38,2,FALSE)+VLOOKUP($E1149&amp;$C1149,生产方式定位!$F$3:$J$38,2,FALSE),0)</f>
        <v>0</v>
      </c>
      <c r="S1149" s="1">
        <f>IFERROR(VLOOKUP($D1149&amp;$C1149,生产方式定位!$A$2:$E$38,3,FALSE)+VLOOKUP($E1149&amp;$C1149,生产方式定位!$F$3:$J$38,3,FALSE),0)</f>
        <v>500</v>
      </c>
      <c r="X1149" s="1">
        <f>IFERROR(VLOOKUP($D1149&amp;$C1149,生产方式定位!$A$2:$E$38,5,FALSE)+VLOOKUP($E1149&amp;$C1149,生产方式定位!$F$3:$J$38,5,FALSE),"错误")</f>
        <v>250</v>
      </c>
      <c r="Y1149" s="27" t="str">
        <f t="shared" si="136"/>
        <v/>
      </c>
      <c r="Z1149" s="37" t="str">
        <f t="shared" si="137"/>
        <v/>
      </c>
      <c r="AA1149" s="37" t="str">
        <f t="shared" si="138"/>
        <v/>
      </c>
      <c r="AB1149" s="28">
        <f t="shared" si="139"/>
        <v>0</v>
      </c>
      <c r="AC1149" s="37"/>
      <c r="AD1149" s="38">
        <f t="shared" si="140"/>
        <v>1</v>
      </c>
      <c r="AE1149" t="str">
        <f>IFERROR(F1149&amp;"*"&amp;ROUND(L1149*(G1149/$AN1149)/VLOOKUP(F1149,商品!$A$4:$D$67,4,FALSE),0),"")</f>
        <v/>
      </c>
      <c r="AF1149" t="str">
        <f>IFERROR(H1149&amp;"*"&amp;ROUND(L1149*(I1149/$AN1149)/VLOOKUP(H1149,商品!$A$4:$D$67,4,FALSE),0),"")</f>
        <v/>
      </c>
      <c r="AG1149" t="str">
        <f>IFERROR(J1149&amp;"*"&amp;ROUND(L1149*(K1149/$AN1149)/VLOOKUP(J1149,商品!$A$4:$D$67,4,FALSE),0),"")</f>
        <v/>
      </c>
      <c r="AH1149" t="str">
        <f>IFERROR(M1149&amp;"*"&amp;ROUND(S1149*(N1149/$AO1149)/VLOOKUP(M1149,职业!$A$3:$E$16,4,FALSE),0),"")</f>
        <v/>
      </c>
      <c r="AI1149" t="str">
        <f>IFERROR(O1149&amp;"*"&amp;ROUND(S1149*(P1149/$AO1149)/VLOOKUP(O1149,职业!$A$3:$E$16,4,FALSE),0),"")</f>
        <v/>
      </c>
      <c r="AK1149" t="str">
        <f>IFERROR(T1149&amp;"*"&amp;ROUND(X1149*(U1149/$AP1149)/VLOOKUP(T1149,商品!$A$4:$D$67,4,FALSE),0),"")</f>
        <v/>
      </c>
      <c r="AL1149" t="str">
        <f>IFERROR(V1149&amp;"*"&amp;ROUND(X1149*(W1149/$AP1149)/VLOOKUP(V1149,商品!$A$4:$D$67,4,FALSE),0),"")</f>
        <v/>
      </c>
      <c r="AN1149">
        <f t="shared" si="141"/>
        <v>0</v>
      </c>
      <c r="AO1149">
        <f t="shared" si="142"/>
        <v>0</v>
      </c>
      <c r="AP1149">
        <f t="shared" si="143"/>
        <v>0</v>
      </c>
    </row>
    <row r="1150" customHeight="1" spans="1:42">
      <c r="A1150" s="5" t="s">
        <v>495</v>
      </c>
      <c r="C1150" s="5">
        <v>2</v>
      </c>
      <c r="D1150" s="1" t="s">
        <v>222</v>
      </c>
      <c r="E1150" s="1" t="s">
        <v>226</v>
      </c>
      <c r="L1150" s="1">
        <f>IFERROR(VLOOKUP($D1150&amp;$C1150,生产方式定位!$A$2:$E$38,2,FALSE)+VLOOKUP($E1150&amp;$C1150,生产方式定位!$F$3:$J$38,2,FALSE),0)</f>
        <v>3200</v>
      </c>
      <c r="S1150" s="1">
        <f>IFERROR(VLOOKUP($D1150&amp;$C1150,生产方式定位!$A$2:$E$38,3,FALSE)+VLOOKUP($E1150&amp;$C1150,生产方式定位!$F$3:$J$38,3,FALSE),0)</f>
        <v>350</v>
      </c>
      <c r="X1150" s="1">
        <f>IFERROR(VLOOKUP($D1150&amp;$C1150,生产方式定位!$A$2:$E$38,5,FALSE)+VLOOKUP($E1150&amp;$C1150,生产方式定位!$F$3:$J$38,5,FALSE),"错误")</f>
        <v>1865</v>
      </c>
      <c r="Y1150" s="27" t="str">
        <f t="shared" si="136"/>
        <v/>
      </c>
      <c r="Z1150" s="37" t="str">
        <f t="shared" si="137"/>
        <v/>
      </c>
      <c r="AA1150" s="37" t="str">
        <f t="shared" si="138"/>
        <v/>
      </c>
      <c r="AB1150" s="28">
        <f t="shared" si="139"/>
        <v>1.72</v>
      </c>
      <c r="AC1150" s="37"/>
      <c r="AD1150" s="38">
        <f t="shared" si="140"/>
        <v>2</v>
      </c>
      <c r="AE1150" t="str">
        <f>IFERROR(F1150&amp;"*"&amp;ROUND(L1150*(G1150/$AN1150)/VLOOKUP(F1150,商品!$A$4:$D$67,4,FALSE),0),"")</f>
        <v/>
      </c>
      <c r="AF1150" t="str">
        <f>IFERROR(H1150&amp;"*"&amp;ROUND(L1150*(I1150/$AN1150)/VLOOKUP(H1150,商品!$A$4:$D$67,4,FALSE),0),"")</f>
        <v/>
      </c>
      <c r="AG1150" t="str">
        <f>IFERROR(J1150&amp;"*"&amp;ROUND(L1150*(K1150/$AN1150)/VLOOKUP(J1150,商品!$A$4:$D$67,4,FALSE),0),"")</f>
        <v/>
      </c>
      <c r="AH1150" t="str">
        <f>IFERROR(M1150&amp;"*"&amp;ROUND(S1150*(N1150/$AO1150)/VLOOKUP(M1150,职业!$A$3:$E$16,4,FALSE),0),"")</f>
        <v/>
      </c>
      <c r="AI1150" t="str">
        <f>IFERROR(O1150&amp;"*"&amp;ROUND(S1150*(P1150/$AO1150)/VLOOKUP(O1150,职业!$A$3:$E$16,4,FALSE),0),"")</f>
        <v/>
      </c>
      <c r="AK1150" t="str">
        <f>IFERROR(T1150&amp;"*"&amp;ROUND(X1150*(U1150/$AP1150)/VLOOKUP(T1150,商品!$A$4:$D$67,4,FALSE),0),"")</f>
        <v/>
      </c>
      <c r="AL1150" t="str">
        <f>IFERROR(V1150&amp;"*"&amp;ROUND(X1150*(W1150/$AP1150)/VLOOKUP(V1150,商品!$A$4:$D$67,4,FALSE),0),"")</f>
        <v/>
      </c>
      <c r="AN1150">
        <f t="shared" si="141"/>
        <v>0</v>
      </c>
      <c r="AO1150">
        <f t="shared" si="142"/>
        <v>0</v>
      </c>
      <c r="AP1150">
        <f t="shared" si="143"/>
        <v>0</v>
      </c>
    </row>
    <row r="1151" customHeight="1" spans="1:42">
      <c r="A1151" s="5" t="s">
        <v>495</v>
      </c>
      <c r="C1151" s="5">
        <v>3</v>
      </c>
      <c r="D1151" s="1" t="s">
        <v>222</v>
      </c>
      <c r="E1151" s="1" t="s">
        <v>226</v>
      </c>
      <c r="L1151" s="1">
        <f>IFERROR(VLOOKUP($D1151&amp;$C1151,生产方式定位!$A$2:$E$38,2,FALSE)+VLOOKUP($E1151&amp;$C1151,生产方式定位!$F$3:$J$38,2,FALSE),0)</f>
        <v>4400</v>
      </c>
      <c r="S1151" s="1">
        <f>IFERROR(VLOOKUP($D1151&amp;$C1151,生产方式定位!$A$2:$E$38,3,FALSE)+VLOOKUP($E1151&amp;$C1151,生产方式定位!$F$3:$J$38,3,FALSE),0)</f>
        <v>200</v>
      </c>
      <c r="X1151" s="1">
        <f>IFERROR(VLOOKUP($D1151&amp;$C1151,生产方式定位!$A$2:$E$38,5,FALSE)+VLOOKUP($E1151&amp;$C1151,生产方式定位!$F$3:$J$38,5,FALSE),"错误")</f>
        <v>2560</v>
      </c>
      <c r="Y1151" s="27" t="str">
        <f t="shared" si="136"/>
        <v/>
      </c>
      <c r="Z1151" s="37" t="str">
        <f t="shared" si="137"/>
        <v/>
      </c>
      <c r="AA1151" s="37" t="str">
        <f t="shared" si="138"/>
        <v/>
      </c>
      <c r="AB1151" s="28">
        <f t="shared" si="139"/>
        <v>1.72</v>
      </c>
      <c r="AC1151" s="37"/>
      <c r="AD1151" s="38">
        <f t="shared" si="140"/>
        <v>3</v>
      </c>
      <c r="AE1151" t="str">
        <f>IFERROR(F1151&amp;"*"&amp;ROUND(L1151*(G1151/$AN1151)/VLOOKUP(F1151,商品!$A$4:$D$67,4,FALSE),0),"")</f>
        <v/>
      </c>
      <c r="AF1151" t="str">
        <f>IFERROR(H1151&amp;"*"&amp;ROUND(L1151*(I1151/$AN1151)/VLOOKUP(H1151,商品!$A$4:$D$67,4,FALSE),0),"")</f>
        <v/>
      </c>
      <c r="AG1151" t="str">
        <f>IFERROR(J1151&amp;"*"&amp;ROUND(L1151*(K1151/$AN1151)/VLOOKUP(J1151,商品!$A$4:$D$67,4,FALSE),0),"")</f>
        <v/>
      </c>
      <c r="AH1151" t="str">
        <f>IFERROR(M1151&amp;"*"&amp;ROUND(S1151*(N1151/$AO1151)/VLOOKUP(M1151,职业!$A$3:$E$16,4,FALSE),0),"")</f>
        <v/>
      </c>
      <c r="AI1151" t="str">
        <f>IFERROR(O1151&amp;"*"&amp;ROUND(S1151*(P1151/$AO1151)/VLOOKUP(O1151,职业!$A$3:$E$16,4,FALSE),0),"")</f>
        <v/>
      </c>
      <c r="AK1151" t="str">
        <f>IFERROR(T1151&amp;"*"&amp;ROUND(X1151*(U1151/$AP1151)/VLOOKUP(T1151,商品!$A$4:$D$67,4,FALSE),0),"")</f>
        <v/>
      </c>
      <c r="AL1151" t="str">
        <f>IFERROR(V1151&amp;"*"&amp;ROUND(X1151*(W1151/$AP1151)/VLOOKUP(V1151,商品!$A$4:$D$67,4,FALSE),0),"")</f>
        <v/>
      </c>
      <c r="AN1151">
        <f t="shared" si="141"/>
        <v>0</v>
      </c>
      <c r="AO1151">
        <f t="shared" si="142"/>
        <v>0</v>
      </c>
      <c r="AP1151">
        <f t="shared" si="143"/>
        <v>0</v>
      </c>
    </row>
    <row r="1152" customHeight="1" spans="1:42">
      <c r="A1152" s="5" t="s">
        <v>495</v>
      </c>
      <c r="C1152" s="5">
        <v>4</v>
      </c>
      <c r="D1152" s="1" t="s">
        <v>222</v>
      </c>
      <c r="E1152" s="1" t="s">
        <v>226</v>
      </c>
      <c r="L1152" s="1">
        <f>IFERROR(VLOOKUP($D1152&amp;$C1152,生产方式定位!$A$2:$E$38,2,FALSE)+VLOOKUP($E1152&amp;$C1152,生产方式定位!$F$3:$J$38,2,FALSE),0)</f>
        <v>5600</v>
      </c>
      <c r="S1152" s="1">
        <f>IFERROR(VLOOKUP($D1152&amp;$C1152,生产方式定位!$A$2:$E$38,3,FALSE)+VLOOKUP($E1152&amp;$C1152,生产方式定位!$F$3:$J$38,3,FALSE),0)</f>
        <v>50</v>
      </c>
      <c r="X1152" s="1">
        <f>IFERROR(VLOOKUP($D1152&amp;$C1152,生产方式定位!$A$2:$E$38,5,FALSE)+VLOOKUP($E1152&amp;$C1152,生产方式定位!$F$3:$J$38,5,FALSE),"错误")</f>
        <v>3335</v>
      </c>
      <c r="Y1152" s="27" t="str">
        <f t="shared" si="136"/>
        <v/>
      </c>
      <c r="Z1152" s="37" t="str">
        <f t="shared" si="137"/>
        <v/>
      </c>
      <c r="AA1152" s="37" t="str">
        <f t="shared" si="138"/>
        <v/>
      </c>
      <c r="AB1152" s="28">
        <f t="shared" si="139"/>
        <v>1.68</v>
      </c>
      <c r="AC1152" s="37"/>
      <c r="AD1152" s="38">
        <f t="shared" si="140"/>
        <v>4</v>
      </c>
      <c r="AE1152" t="str">
        <f>IFERROR(F1152&amp;"*"&amp;ROUND(L1152*(G1152/$AN1152)/VLOOKUP(F1152,商品!$A$4:$D$67,4,FALSE),0),"")</f>
        <v/>
      </c>
      <c r="AF1152" t="str">
        <f>IFERROR(H1152&amp;"*"&amp;ROUND(L1152*(I1152/$AN1152)/VLOOKUP(H1152,商品!$A$4:$D$67,4,FALSE),0),"")</f>
        <v/>
      </c>
      <c r="AG1152" t="str">
        <f>IFERROR(J1152&amp;"*"&amp;ROUND(L1152*(K1152/$AN1152)/VLOOKUP(J1152,商品!$A$4:$D$67,4,FALSE),0),"")</f>
        <v/>
      </c>
      <c r="AH1152" t="str">
        <f>IFERROR(M1152&amp;"*"&amp;ROUND(S1152*(N1152/$AO1152)/VLOOKUP(M1152,职业!$A$3:$E$16,4,FALSE),0),"")</f>
        <v/>
      </c>
      <c r="AI1152" t="str">
        <f>IFERROR(O1152&amp;"*"&amp;ROUND(S1152*(P1152/$AO1152)/VLOOKUP(O1152,职业!$A$3:$E$16,4,FALSE),0),"")</f>
        <v/>
      </c>
      <c r="AK1152" t="str">
        <f>IFERROR(T1152&amp;"*"&amp;ROUND(X1152*(U1152/$AP1152)/VLOOKUP(T1152,商品!$A$4:$D$67,4,FALSE),0),"")</f>
        <v/>
      </c>
      <c r="AL1152" t="str">
        <f>IFERROR(V1152&amp;"*"&amp;ROUND(X1152*(W1152/$AP1152)/VLOOKUP(V1152,商品!$A$4:$D$67,4,FALSE),0),"")</f>
        <v/>
      </c>
      <c r="AN1152">
        <f t="shared" si="141"/>
        <v>0</v>
      </c>
      <c r="AO1152">
        <f t="shared" si="142"/>
        <v>0</v>
      </c>
      <c r="AP1152">
        <f t="shared" si="143"/>
        <v>0</v>
      </c>
    </row>
    <row r="1153" customHeight="1" spans="1:42">
      <c r="A1153" s="5" t="s">
        <v>495</v>
      </c>
      <c r="C1153" s="5">
        <v>5</v>
      </c>
      <c r="D1153" s="1" t="s">
        <v>222</v>
      </c>
      <c r="E1153" s="1" t="s">
        <v>226</v>
      </c>
      <c r="L1153" s="1">
        <f>IFERROR(VLOOKUP($D1153&amp;$C1153,生产方式定位!$A$2:$E$38,2,FALSE)+VLOOKUP($E1153&amp;$C1153,生产方式定位!$F$3:$J$38,2,FALSE),0)</f>
        <v>6800</v>
      </c>
      <c r="S1153" s="1">
        <f>IFERROR(VLOOKUP($D1153&amp;$C1153,生产方式定位!$A$2:$E$38,3,FALSE)+VLOOKUP($E1153&amp;$C1153,生产方式定位!$F$3:$J$38,3,FALSE),0)</f>
        <v>-100</v>
      </c>
      <c r="X1153" s="1">
        <f>IFERROR(VLOOKUP($D1153&amp;$C1153,生产方式定位!$A$2:$E$38,5,FALSE)+VLOOKUP($E1153&amp;$C1153,生产方式定位!$F$3:$J$38,5,FALSE),"错误")</f>
        <v>4190</v>
      </c>
      <c r="Y1153" s="27" t="str">
        <f t="shared" si="136"/>
        <v/>
      </c>
      <c r="Z1153" s="37" t="str">
        <f t="shared" si="137"/>
        <v/>
      </c>
      <c r="AA1153" s="37" t="str">
        <f t="shared" si="138"/>
        <v/>
      </c>
      <c r="AB1153" s="28">
        <f t="shared" si="139"/>
        <v>1.62</v>
      </c>
      <c r="AC1153" s="37"/>
      <c r="AD1153" s="38">
        <f t="shared" si="140"/>
        <v>5</v>
      </c>
      <c r="AE1153" t="str">
        <f>IFERROR(F1153&amp;"*"&amp;ROUND(L1153*(G1153/$AN1153)/VLOOKUP(F1153,商品!$A$4:$D$67,4,FALSE),0),"")</f>
        <v/>
      </c>
      <c r="AF1153" t="str">
        <f>IFERROR(H1153&amp;"*"&amp;ROUND(L1153*(I1153/$AN1153)/VLOOKUP(H1153,商品!$A$4:$D$67,4,FALSE),0),"")</f>
        <v/>
      </c>
      <c r="AG1153" t="str">
        <f>IFERROR(J1153&amp;"*"&amp;ROUND(L1153*(K1153/$AN1153)/VLOOKUP(J1153,商品!$A$4:$D$67,4,FALSE),0),"")</f>
        <v/>
      </c>
      <c r="AH1153" t="str">
        <f>IFERROR(M1153&amp;"*"&amp;ROUND(S1153*(N1153/$AO1153)/VLOOKUP(M1153,职业!$A$3:$E$16,4,FALSE),0),"")</f>
        <v/>
      </c>
      <c r="AI1153" t="str">
        <f>IFERROR(O1153&amp;"*"&amp;ROUND(S1153*(P1153/$AO1153)/VLOOKUP(O1153,职业!$A$3:$E$16,4,FALSE),0),"")</f>
        <v/>
      </c>
      <c r="AK1153" t="str">
        <f>IFERROR(T1153&amp;"*"&amp;ROUND(X1153*(U1153/$AP1153)/VLOOKUP(T1153,商品!$A$4:$D$67,4,FALSE),0),"")</f>
        <v/>
      </c>
      <c r="AL1153" t="str">
        <f>IFERROR(V1153&amp;"*"&amp;ROUND(X1153*(W1153/$AP1153)/VLOOKUP(V1153,商品!$A$4:$D$67,4,FALSE),0),"")</f>
        <v/>
      </c>
      <c r="AN1153">
        <f t="shared" si="141"/>
        <v>0</v>
      </c>
      <c r="AO1153">
        <f t="shared" si="142"/>
        <v>0</v>
      </c>
      <c r="AP1153">
        <f t="shared" si="143"/>
        <v>0</v>
      </c>
    </row>
    <row r="1154" customHeight="1" spans="1:42">
      <c r="A1154" s="18" t="s">
        <v>496</v>
      </c>
      <c r="C1154" s="18">
        <v>1</v>
      </c>
      <c r="D1154" s="1" t="s">
        <v>293</v>
      </c>
      <c r="E1154" s="1" t="s">
        <v>227</v>
      </c>
      <c r="L1154" s="1">
        <f>IFERROR(VLOOKUP($D1154&amp;$C1154,生产方式定位!$A$2:$E$38,2,FALSE)+VLOOKUP($E1154&amp;$C1154,生产方式定位!$F$3:$J$38,2,FALSE),0)</f>
        <v>0</v>
      </c>
      <c r="S1154" s="1">
        <f>IFERROR(VLOOKUP($D1154&amp;$C1154,生产方式定位!$A$2:$E$38,3,FALSE)+VLOOKUP($E1154&amp;$C1154,生产方式定位!$F$3:$J$38,3,FALSE),0)</f>
        <v>0</v>
      </c>
      <c r="X1154" s="1">
        <f>IFERROR(VLOOKUP($D1154&amp;$C1154,生产方式定位!$A$2:$E$38,5,FALSE)+VLOOKUP($E1154&amp;$C1154,生产方式定位!$F$3:$J$38,5,FALSE),"错误")</f>
        <v>0</v>
      </c>
      <c r="Y1154" s="27" t="str">
        <f t="shared" si="136"/>
        <v/>
      </c>
      <c r="Z1154" s="37" t="str">
        <f t="shared" si="137"/>
        <v/>
      </c>
      <c r="AA1154" s="37" t="str">
        <f t="shared" si="138"/>
        <v/>
      </c>
      <c r="AB1154" s="28" t="str">
        <f t="shared" si="139"/>
        <v/>
      </c>
      <c r="AC1154" s="37"/>
      <c r="AD1154" s="38">
        <f t="shared" si="140"/>
        <v>1</v>
      </c>
      <c r="AE1154" t="str">
        <f>IFERROR(F1154&amp;"*"&amp;ROUND(L1154*(G1154/$AN1154)/VLOOKUP(F1154,商品!$A$4:$D$67,4,FALSE),0),"")</f>
        <v/>
      </c>
      <c r="AF1154" t="str">
        <f>IFERROR(H1154&amp;"*"&amp;ROUND(L1154*(I1154/$AN1154)/VLOOKUP(H1154,商品!$A$4:$D$67,4,FALSE),0),"")</f>
        <v/>
      </c>
      <c r="AG1154" t="str">
        <f>IFERROR(J1154&amp;"*"&amp;ROUND(L1154*(K1154/$AN1154)/VLOOKUP(J1154,商品!$A$4:$D$67,4,FALSE),0),"")</f>
        <v/>
      </c>
      <c r="AH1154" t="str">
        <f>IFERROR(M1154&amp;"*"&amp;ROUND(S1154*(N1154/$AO1154)/VLOOKUP(M1154,职业!$A$3:$E$16,4,FALSE),0),"")</f>
        <v/>
      </c>
      <c r="AI1154" t="str">
        <f>IFERROR(O1154&amp;"*"&amp;ROUND(S1154*(P1154/$AO1154)/VLOOKUP(O1154,职业!$A$3:$E$16,4,FALSE),0),"")</f>
        <v/>
      </c>
      <c r="AK1154" t="str">
        <f>IFERROR(T1154&amp;"*"&amp;ROUND(X1154*(U1154/$AP1154)/VLOOKUP(T1154,商品!$A$4:$D$67,4,FALSE),0),"")</f>
        <v/>
      </c>
      <c r="AL1154" t="str">
        <f>IFERROR(V1154&amp;"*"&amp;ROUND(X1154*(W1154/$AP1154)/VLOOKUP(V1154,商品!$A$4:$D$67,4,FALSE),0),"")</f>
        <v/>
      </c>
      <c r="AN1154">
        <f t="shared" si="141"/>
        <v>0</v>
      </c>
      <c r="AO1154">
        <f t="shared" si="142"/>
        <v>0</v>
      </c>
      <c r="AP1154">
        <f t="shared" si="143"/>
        <v>0</v>
      </c>
    </row>
    <row r="1155" customHeight="1" spans="1:42">
      <c r="A1155" s="18" t="s">
        <v>496</v>
      </c>
      <c r="C1155" s="18">
        <v>2</v>
      </c>
      <c r="D1155" s="1" t="s">
        <v>293</v>
      </c>
      <c r="E1155" s="1" t="s">
        <v>227</v>
      </c>
      <c r="L1155" s="1">
        <f>IFERROR(VLOOKUP($D1155&amp;$C1155,生产方式定位!$A$2:$E$38,2,FALSE)+VLOOKUP($E1155&amp;$C1155,生产方式定位!$F$3:$J$38,2,FALSE),0)</f>
        <v>0</v>
      </c>
      <c r="S1155" s="1">
        <f>IFERROR(VLOOKUP($D1155&amp;$C1155,生产方式定位!$A$2:$E$38,3,FALSE)+VLOOKUP($E1155&amp;$C1155,生产方式定位!$F$3:$J$38,3,FALSE),0)</f>
        <v>0</v>
      </c>
      <c r="X1155" s="1">
        <f>IFERROR(VLOOKUP($D1155&amp;$C1155,生产方式定位!$A$2:$E$38,5,FALSE)+VLOOKUP($E1155&amp;$C1155,生产方式定位!$F$3:$J$38,5,FALSE),"错误")</f>
        <v>0</v>
      </c>
      <c r="Y1155" s="27" t="str">
        <f t="shared" si="136"/>
        <v/>
      </c>
      <c r="Z1155" s="37" t="str">
        <f t="shared" si="137"/>
        <v/>
      </c>
      <c r="AA1155" s="37" t="str">
        <f t="shared" si="138"/>
        <v/>
      </c>
      <c r="AB1155" s="28" t="str">
        <f t="shared" si="139"/>
        <v/>
      </c>
      <c r="AC1155" s="37"/>
      <c r="AD1155" s="38">
        <f t="shared" si="140"/>
        <v>2</v>
      </c>
      <c r="AE1155" t="str">
        <f>IFERROR(F1155&amp;"*"&amp;ROUND(L1155*(G1155/$AN1155)/VLOOKUP(F1155,商品!$A$4:$D$67,4,FALSE),0),"")</f>
        <v/>
      </c>
      <c r="AF1155" t="str">
        <f>IFERROR(H1155&amp;"*"&amp;ROUND(L1155*(I1155/$AN1155)/VLOOKUP(H1155,商品!$A$4:$D$67,4,FALSE),0),"")</f>
        <v/>
      </c>
      <c r="AG1155" t="str">
        <f>IFERROR(J1155&amp;"*"&amp;ROUND(L1155*(K1155/$AN1155)/VLOOKUP(J1155,商品!$A$4:$D$67,4,FALSE),0),"")</f>
        <v/>
      </c>
      <c r="AH1155" t="str">
        <f>IFERROR(M1155&amp;"*"&amp;ROUND(S1155*(N1155/$AO1155)/VLOOKUP(M1155,职业!$A$3:$E$16,4,FALSE),0),"")</f>
        <v/>
      </c>
      <c r="AI1155" t="str">
        <f>IFERROR(O1155&amp;"*"&amp;ROUND(S1155*(P1155/$AO1155)/VLOOKUP(O1155,职业!$A$3:$E$16,4,FALSE),0),"")</f>
        <v/>
      </c>
      <c r="AK1155" t="str">
        <f>IFERROR(T1155&amp;"*"&amp;ROUND(X1155*(U1155/$AP1155)/VLOOKUP(T1155,商品!$A$4:$D$67,4,FALSE),0),"")</f>
        <v/>
      </c>
      <c r="AL1155" t="str">
        <f>IFERROR(V1155&amp;"*"&amp;ROUND(X1155*(W1155/$AP1155)/VLOOKUP(V1155,商品!$A$4:$D$67,4,FALSE),0),"")</f>
        <v/>
      </c>
      <c r="AN1155">
        <f t="shared" si="141"/>
        <v>0</v>
      </c>
      <c r="AO1155">
        <f t="shared" si="142"/>
        <v>0</v>
      </c>
      <c r="AP1155">
        <f t="shared" si="143"/>
        <v>0</v>
      </c>
    </row>
    <row r="1156" customHeight="1" spans="1:42">
      <c r="A1156" s="18" t="s">
        <v>496</v>
      </c>
      <c r="C1156" s="18">
        <v>3</v>
      </c>
      <c r="D1156" s="1" t="s">
        <v>293</v>
      </c>
      <c r="E1156" s="1" t="s">
        <v>227</v>
      </c>
      <c r="L1156" s="1">
        <f>IFERROR(VLOOKUP($D1156&amp;$C1156,生产方式定位!$A$2:$E$38,2,FALSE)+VLOOKUP($E1156&amp;$C1156,生产方式定位!$F$3:$J$38,2,FALSE),0)</f>
        <v>0</v>
      </c>
      <c r="S1156" s="1">
        <f>IFERROR(VLOOKUP($D1156&amp;$C1156,生产方式定位!$A$2:$E$38,3,FALSE)+VLOOKUP($E1156&amp;$C1156,生产方式定位!$F$3:$J$38,3,FALSE),0)</f>
        <v>0</v>
      </c>
      <c r="X1156" s="1">
        <f>IFERROR(VLOOKUP($D1156&amp;$C1156,生产方式定位!$A$2:$E$38,5,FALSE)+VLOOKUP($E1156&amp;$C1156,生产方式定位!$F$3:$J$38,5,FALSE),"错误")</f>
        <v>0</v>
      </c>
      <c r="Y1156" s="27" t="str">
        <f t="shared" si="136"/>
        <v/>
      </c>
      <c r="Z1156" s="37" t="str">
        <f t="shared" si="137"/>
        <v/>
      </c>
      <c r="AA1156" s="37" t="str">
        <f t="shared" si="138"/>
        <v/>
      </c>
      <c r="AB1156" s="28" t="str">
        <f t="shared" si="139"/>
        <v/>
      </c>
      <c r="AC1156" s="37"/>
      <c r="AD1156" s="38">
        <f t="shared" si="140"/>
        <v>3</v>
      </c>
      <c r="AE1156" t="str">
        <f>IFERROR(F1156&amp;"*"&amp;ROUND(L1156*(G1156/$AN1156)/VLOOKUP(F1156,商品!$A$4:$D$67,4,FALSE),0),"")</f>
        <v/>
      </c>
      <c r="AF1156" t="str">
        <f>IFERROR(H1156&amp;"*"&amp;ROUND(L1156*(I1156/$AN1156)/VLOOKUP(H1156,商品!$A$4:$D$67,4,FALSE),0),"")</f>
        <v/>
      </c>
      <c r="AG1156" t="str">
        <f>IFERROR(J1156&amp;"*"&amp;ROUND(L1156*(K1156/$AN1156)/VLOOKUP(J1156,商品!$A$4:$D$67,4,FALSE),0),"")</f>
        <v/>
      </c>
      <c r="AH1156" t="str">
        <f>IFERROR(M1156&amp;"*"&amp;ROUND(S1156*(N1156/$AO1156)/VLOOKUP(M1156,职业!$A$3:$E$16,4,FALSE),0),"")</f>
        <v/>
      </c>
      <c r="AI1156" t="str">
        <f>IFERROR(O1156&amp;"*"&amp;ROUND(S1156*(P1156/$AO1156)/VLOOKUP(O1156,职业!$A$3:$E$16,4,FALSE),0),"")</f>
        <v/>
      </c>
      <c r="AK1156" t="str">
        <f>IFERROR(T1156&amp;"*"&amp;ROUND(X1156*(U1156/$AP1156)/VLOOKUP(T1156,商品!$A$4:$D$67,4,FALSE),0),"")</f>
        <v/>
      </c>
      <c r="AL1156" t="str">
        <f>IFERROR(V1156&amp;"*"&amp;ROUND(X1156*(W1156/$AP1156)/VLOOKUP(V1156,商品!$A$4:$D$67,4,FALSE),0),"")</f>
        <v/>
      </c>
      <c r="AN1156">
        <f t="shared" si="141"/>
        <v>0</v>
      </c>
      <c r="AO1156">
        <f t="shared" si="142"/>
        <v>0</v>
      </c>
      <c r="AP1156">
        <f t="shared" si="143"/>
        <v>0</v>
      </c>
    </row>
    <row r="1157" customHeight="1" spans="1:42">
      <c r="A1157" s="18" t="s">
        <v>496</v>
      </c>
      <c r="C1157" s="18">
        <v>4</v>
      </c>
      <c r="D1157" s="1" t="s">
        <v>293</v>
      </c>
      <c r="E1157" s="1" t="s">
        <v>227</v>
      </c>
      <c r="L1157" s="1">
        <f>IFERROR(VLOOKUP($D1157&amp;$C1157,生产方式定位!$A$2:$E$38,2,FALSE)+VLOOKUP($E1157&amp;$C1157,生产方式定位!$F$3:$J$38,2,FALSE),0)</f>
        <v>0</v>
      </c>
      <c r="S1157" s="1">
        <f>IFERROR(VLOOKUP($D1157&amp;$C1157,生产方式定位!$A$2:$E$38,3,FALSE)+VLOOKUP($E1157&amp;$C1157,生产方式定位!$F$3:$J$38,3,FALSE),0)</f>
        <v>0</v>
      </c>
      <c r="X1157" s="1">
        <f>IFERROR(VLOOKUP($D1157&amp;$C1157,生产方式定位!$A$2:$E$38,5,FALSE)+VLOOKUP($E1157&amp;$C1157,生产方式定位!$F$3:$J$38,5,FALSE),"错误")</f>
        <v>0</v>
      </c>
      <c r="Y1157" s="27" t="str">
        <f t="shared" ref="Y1157:Y1207" si="144">IF(AE1157="","",AE1157)&amp;IF(AF1157="","",","&amp;AF1157)&amp;IF(AG1157="","",","&amp;AG1157)</f>
        <v/>
      </c>
      <c r="Z1157" s="37" t="str">
        <f t="shared" ref="Z1157:Z1207" si="145">IF(AH1157="","",AH1157)&amp;IF(AI1157="","",","&amp;AI1157)</f>
        <v/>
      </c>
      <c r="AA1157" s="37" t="str">
        <f t="shared" ref="AA1157:AA1207" si="146">IF(AK1157="","",AK1157)&amp;IF(AL1157="","",","&amp;AL1157)</f>
        <v/>
      </c>
      <c r="AB1157" s="28" t="str">
        <f t="shared" ref="AB1157:AB1207" si="147">IFERROR(ROUND(L1157/X1157,2),"")</f>
        <v/>
      </c>
      <c r="AC1157" s="37"/>
      <c r="AD1157" s="38">
        <f t="shared" ref="AD1157:AD1207" si="148">C1157</f>
        <v>4</v>
      </c>
      <c r="AE1157" t="str">
        <f>IFERROR(F1157&amp;"*"&amp;ROUND(L1157*(G1157/$AN1157)/VLOOKUP(F1157,商品!$A$4:$D$67,4,FALSE),0),"")</f>
        <v/>
      </c>
      <c r="AF1157" t="str">
        <f>IFERROR(H1157&amp;"*"&amp;ROUND(L1157*(I1157/$AN1157)/VLOOKUP(H1157,商品!$A$4:$D$67,4,FALSE),0),"")</f>
        <v/>
      </c>
      <c r="AG1157" t="str">
        <f>IFERROR(J1157&amp;"*"&amp;ROUND(L1157*(K1157/$AN1157)/VLOOKUP(J1157,商品!$A$4:$D$67,4,FALSE),0),"")</f>
        <v/>
      </c>
      <c r="AH1157" t="str">
        <f>IFERROR(M1157&amp;"*"&amp;ROUND(S1157*(N1157/$AO1157)/VLOOKUP(M1157,职业!$A$3:$E$16,4,FALSE),0),"")</f>
        <v/>
      </c>
      <c r="AI1157" t="str">
        <f>IFERROR(O1157&amp;"*"&amp;ROUND(S1157*(P1157/$AO1157)/VLOOKUP(O1157,职业!$A$3:$E$16,4,FALSE),0),"")</f>
        <v/>
      </c>
      <c r="AK1157" t="str">
        <f>IFERROR(T1157&amp;"*"&amp;ROUND(X1157*(U1157/$AP1157)/VLOOKUP(T1157,商品!$A$4:$D$67,4,FALSE),0),"")</f>
        <v/>
      </c>
      <c r="AL1157" t="str">
        <f>IFERROR(V1157&amp;"*"&amp;ROUND(X1157*(W1157/$AP1157)/VLOOKUP(V1157,商品!$A$4:$D$67,4,FALSE),0),"")</f>
        <v/>
      </c>
      <c r="AN1157">
        <f t="shared" si="141"/>
        <v>0</v>
      </c>
      <c r="AO1157">
        <f t="shared" si="142"/>
        <v>0</v>
      </c>
      <c r="AP1157">
        <f t="shared" si="143"/>
        <v>0</v>
      </c>
    </row>
    <row r="1158" customHeight="1" spans="1:42">
      <c r="A1158" s="18" t="s">
        <v>496</v>
      </c>
      <c r="C1158" s="18">
        <v>5</v>
      </c>
      <c r="D1158" s="1" t="s">
        <v>293</v>
      </c>
      <c r="E1158" s="1" t="s">
        <v>227</v>
      </c>
      <c r="L1158" s="1">
        <f>IFERROR(VLOOKUP($D1158&amp;$C1158,生产方式定位!$A$2:$E$38,2,FALSE)+VLOOKUP($E1158&amp;$C1158,生产方式定位!$F$3:$J$38,2,FALSE),0)</f>
        <v>0</v>
      </c>
      <c r="S1158" s="1">
        <f>IFERROR(VLOOKUP($D1158&amp;$C1158,生产方式定位!$A$2:$E$38,3,FALSE)+VLOOKUP($E1158&amp;$C1158,生产方式定位!$F$3:$J$38,3,FALSE),0)</f>
        <v>0</v>
      </c>
      <c r="X1158" s="1">
        <f>IFERROR(VLOOKUP($D1158&amp;$C1158,生产方式定位!$A$2:$E$38,5,FALSE)+VLOOKUP($E1158&amp;$C1158,生产方式定位!$F$3:$J$38,5,FALSE),"错误")</f>
        <v>0</v>
      </c>
      <c r="Y1158" s="27" t="str">
        <f t="shared" si="144"/>
        <v/>
      </c>
      <c r="Z1158" s="37" t="str">
        <f t="shared" si="145"/>
        <v/>
      </c>
      <c r="AA1158" s="37" t="str">
        <f t="shared" si="146"/>
        <v/>
      </c>
      <c r="AB1158" s="28" t="str">
        <f t="shared" si="147"/>
        <v/>
      </c>
      <c r="AC1158" s="37"/>
      <c r="AD1158" s="38">
        <f t="shared" si="148"/>
        <v>5</v>
      </c>
      <c r="AE1158" t="str">
        <f>IFERROR(F1158&amp;"*"&amp;ROUND(L1158*(G1158/$AN1158)/VLOOKUP(F1158,商品!$A$4:$D$67,4,FALSE),0),"")</f>
        <v/>
      </c>
      <c r="AF1158" t="str">
        <f>IFERROR(H1158&amp;"*"&amp;ROUND(L1158*(I1158/$AN1158)/VLOOKUP(H1158,商品!$A$4:$D$67,4,FALSE),0),"")</f>
        <v/>
      </c>
      <c r="AG1158" t="str">
        <f>IFERROR(J1158&amp;"*"&amp;ROUND(L1158*(K1158/$AN1158)/VLOOKUP(J1158,商品!$A$4:$D$67,4,FALSE),0),"")</f>
        <v/>
      </c>
      <c r="AH1158" t="str">
        <f>IFERROR(M1158&amp;"*"&amp;ROUND(S1158*(N1158/$AO1158)/VLOOKUP(M1158,职业!$A$3:$E$16,4,FALSE),0),"")</f>
        <v/>
      </c>
      <c r="AI1158" t="str">
        <f>IFERROR(O1158&amp;"*"&amp;ROUND(S1158*(P1158/$AO1158)/VLOOKUP(O1158,职业!$A$3:$E$16,4,FALSE),0),"")</f>
        <v/>
      </c>
      <c r="AK1158" t="str">
        <f>IFERROR(T1158&amp;"*"&amp;ROUND(X1158*(U1158/$AP1158)/VLOOKUP(T1158,商品!$A$4:$D$67,4,FALSE),0),"")</f>
        <v/>
      </c>
      <c r="AL1158" t="str">
        <f>IFERROR(V1158&amp;"*"&amp;ROUND(X1158*(W1158/$AP1158)/VLOOKUP(V1158,商品!$A$4:$D$67,4,FALSE),0),"")</f>
        <v/>
      </c>
      <c r="AN1158">
        <f t="shared" ref="AN1158:AN1207" si="149">G1158+I1158+K1158</f>
        <v>0</v>
      </c>
      <c r="AO1158">
        <f t="shared" ref="AO1158:AO1207" si="150">N1158+P1158+R1158</f>
        <v>0</v>
      </c>
      <c r="AP1158">
        <f t="shared" ref="AP1158:AP1207" si="151">U1158+W1158</f>
        <v>0</v>
      </c>
    </row>
    <row r="1159" customHeight="1" spans="1:42">
      <c r="A1159" s="18" t="s">
        <v>496</v>
      </c>
      <c r="C1159" s="18">
        <v>6</v>
      </c>
      <c r="D1159" s="1" t="s">
        <v>293</v>
      </c>
      <c r="E1159" s="1" t="s">
        <v>227</v>
      </c>
      <c r="L1159" s="1">
        <f>IFERROR(VLOOKUP($D1159&amp;$C1159,生产方式定位!$A$2:$E$38,2,FALSE)+VLOOKUP($E1159&amp;$C1159,生产方式定位!$F$3:$J$38,2,FALSE),0)</f>
        <v>0</v>
      </c>
      <c r="S1159" s="1">
        <f>IFERROR(VLOOKUP($D1159&amp;$C1159,生产方式定位!$A$2:$E$38,3,FALSE)+VLOOKUP($E1159&amp;$C1159,生产方式定位!$F$3:$J$38,3,FALSE),0)</f>
        <v>0</v>
      </c>
      <c r="X1159" s="1">
        <f>IFERROR(VLOOKUP($D1159&amp;$C1159,生产方式定位!$A$2:$E$38,5,FALSE)+VLOOKUP($E1159&amp;$C1159,生产方式定位!$F$3:$J$38,5,FALSE),"错误")</f>
        <v>0</v>
      </c>
      <c r="Y1159" s="27" t="str">
        <f t="shared" si="144"/>
        <v/>
      </c>
      <c r="Z1159" s="37" t="str">
        <f t="shared" si="145"/>
        <v/>
      </c>
      <c r="AA1159" s="37" t="str">
        <f t="shared" si="146"/>
        <v/>
      </c>
      <c r="AB1159" s="28" t="str">
        <f t="shared" si="147"/>
        <v/>
      </c>
      <c r="AC1159" s="37"/>
      <c r="AD1159" s="38">
        <f t="shared" si="148"/>
        <v>6</v>
      </c>
      <c r="AE1159" t="str">
        <f>IFERROR(F1159&amp;"*"&amp;ROUND(L1159*(G1159/$AN1159)/VLOOKUP(F1159,商品!$A$4:$D$67,4,FALSE),0),"")</f>
        <v/>
      </c>
      <c r="AF1159" t="str">
        <f>IFERROR(H1159&amp;"*"&amp;ROUND(L1159*(I1159/$AN1159)/VLOOKUP(H1159,商品!$A$4:$D$67,4,FALSE),0),"")</f>
        <v/>
      </c>
      <c r="AG1159" t="str">
        <f>IFERROR(J1159&amp;"*"&amp;ROUND(L1159*(K1159/$AN1159)/VLOOKUP(J1159,商品!$A$4:$D$67,4,FALSE),0),"")</f>
        <v/>
      </c>
      <c r="AH1159" t="str">
        <f>IFERROR(M1159&amp;"*"&amp;ROUND(S1159*(N1159/$AO1159)/VLOOKUP(M1159,职业!$A$3:$E$16,4,FALSE),0),"")</f>
        <v/>
      </c>
      <c r="AI1159" t="str">
        <f>IFERROR(O1159&amp;"*"&amp;ROUND(S1159*(P1159/$AO1159)/VLOOKUP(O1159,职业!$A$3:$E$16,4,FALSE),0),"")</f>
        <v/>
      </c>
      <c r="AK1159" t="str">
        <f>IFERROR(T1159&amp;"*"&amp;ROUND(X1159*(U1159/$AP1159)/VLOOKUP(T1159,商品!$A$4:$D$67,4,FALSE),0),"")</f>
        <v/>
      </c>
      <c r="AL1159" t="str">
        <f>IFERROR(V1159&amp;"*"&amp;ROUND(X1159*(W1159/$AP1159)/VLOOKUP(V1159,商品!$A$4:$D$67,4,FALSE),0),"")</f>
        <v/>
      </c>
      <c r="AN1159">
        <f t="shared" si="149"/>
        <v>0</v>
      </c>
      <c r="AO1159">
        <f t="shared" si="150"/>
        <v>0</v>
      </c>
      <c r="AP1159">
        <f t="shared" si="151"/>
        <v>0</v>
      </c>
    </row>
    <row r="1160" customHeight="1" spans="1:42">
      <c r="A1160" s="18" t="s">
        <v>496</v>
      </c>
      <c r="C1160" s="18">
        <v>7</v>
      </c>
      <c r="D1160" s="1" t="s">
        <v>293</v>
      </c>
      <c r="E1160" s="1" t="s">
        <v>227</v>
      </c>
      <c r="L1160" s="1">
        <f>IFERROR(VLOOKUP($D1160&amp;$C1160,生产方式定位!$A$2:$E$38,2,FALSE)+VLOOKUP($E1160&amp;$C1160,生产方式定位!$F$3:$J$38,2,FALSE),0)</f>
        <v>0</v>
      </c>
      <c r="S1160" s="1">
        <f>IFERROR(VLOOKUP($D1160&amp;$C1160,生产方式定位!$A$2:$E$38,3,FALSE)+VLOOKUP($E1160&amp;$C1160,生产方式定位!$F$3:$J$38,3,FALSE),0)</f>
        <v>0</v>
      </c>
      <c r="X1160" s="1">
        <f>IFERROR(VLOOKUP($D1160&amp;$C1160,生产方式定位!$A$2:$E$38,5,FALSE)+VLOOKUP($E1160&amp;$C1160,生产方式定位!$F$3:$J$38,5,FALSE),"错误")</f>
        <v>0</v>
      </c>
      <c r="Y1160" s="27" t="str">
        <f t="shared" si="144"/>
        <v/>
      </c>
      <c r="Z1160" s="37" t="str">
        <f t="shared" si="145"/>
        <v/>
      </c>
      <c r="AA1160" s="37" t="str">
        <f t="shared" si="146"/>
        <v/>
      </c>
      <c r="AB1160" s="28" t="str">
        <f t="shared" si="147"/>
        <v/>
      </c>
      <c r="AC1160" s="37"/>
      <c r="AD1160" s="38">
        <f t="shared" si="148"/>
        <v>7</v>
      </c>
      <c r="AE1160" t="str">
        <f>IFERROR(F1160&amp;"*"&amp;ROUND(L1160*(G1160/$AN1160)/VLOOKUP(F1160,商品!$A$4:$D$67,4,FALSE),0),"")</f>
        <v/>
      </c>
      <c r="AF1160" t="str">
        <f>IFERROR(H1160&amp;"*"&amp;ROUND(L1160*(I1160/$AN1160)/VLOOKUP(H1160,商品!$A$4:$D$67,4,FALSE),0),"")</f>
        <v/>
      </c>
      <c r="AG1160" t="str">
        <f>IFERROR(J1160&amp;"*"&amp;ROUND(L1160*(K1160/$AN1160)/VLOOKUP(J1160,商品!$A$4:$D$67,4,FALSE),0),"")</f>
        <v/>
      </c>
      <c r="AH1160" t="str">
        <f>IFERROR(M1160&amp;"*"&amp;ROUND(S1160*(N1160/$AO1160)/VLOOKUP(M1160,职业!$A$3:$E$16,4,FALSE),0),"")</f>
        <v/>
      </c>
      <c r="AI1160" t="str">
        <f>IFERROR(O1160&amp;"*"&amp;ROUND(S1160*(P1160/$AO1160)/VLOOKUP(O1160,职业!$A$3:$E$16,4,FALSE),0),"")</f>
        <v/>
      </c>
      <c r="AK1160" t="str">
        <f>IFERROR(T1160&amp;"*"&amp;ROUND(X1160*(U1160/$AP1160)/VLOOKUP(T1160,商品!$A$4:$D$67,4,FALSE),0),"")</f>
        <v/>
      </c>
      <c r="AL1160" t="str">
        <f>IFERROR(V1160&amp;"*"&amp;ROUND(X1160*(W1160/$AP1160)/VLOOKUP(V1160,商品!$A$4:$D$67,4,FALSE),0),"")</f>
        <v/>
      </c>
      <c r="AN1160">
        <f t="shared" si="149"/>
        <v>0</v>
      </c>
      <c r="AO1160">
        <f t="shared" si="150"/>
        <v>0</v>
      </c>
      <c r="AP1160">
        <f t="shared" si="151"/>
        <v>0</v>
      </c>
    </row>
    <row r="1161" customHeight="1" spans="1:42">
      <c r="A1161" s="18" t="s">
        <v>496</v>
      </c>
      <c r="C1161" s="18">
        <v>8</v>
      </c>
      <c r="D1161" s="1" t="s">
        <v>293</v>
      </c>
      <c r="E1161" s="1" t="s">
        <v>227</v>
      </c>
      <c r="L1161" s="1">
        <f>IFERROR(VLOOKUP($D1161&amp;$C1161,生产方式定位!$A$2:$E$38,2,FALSE)+VLOOKUP($E1161&amp;$C1161,生产方式定位!$F$3:$J$38,2,FALSE),0)</f>
        <v>0</v>
      </c>
      <c r="S1161" s="1">
        <f>IFERROR(VLOOKUP($D1161&amp;$C1161,生产方式定位!$A$2:$E$38,3,FALSE)+VLOOKUP($E1161&amp;$C1161,生产方式定位!$F$3:$J$38,3,FALSE),0)</f>
        <v>0</v>
      </c>
      <c r="X1161" s="1">
        <f>IFERROR(VLOOKUP($D1161&amp;$C1161,生产方式定位!$A$2:$E$38,5,FALSE)+VLOOKUP($E1161&amp;$C1161,生产方式定位!$F$3:$J$38,5,FALSE),"错误")</f>
        <v>0</v>
      </c>
      <c r="Y1161" s="27" t="str">
        <f t="shared" si="144"/>
        <v/>
      </c>
      <c r="Z1161" s="37" t="str">
        <f t="shared" si="145"/>
        <v/>
      </c>
      <c r="AA1161" s="37" t="str">
        <f t="shared" si="146"/>
        <v/>
      </c>
      <c r="AB1161" s="28" t="str">
        <f t="shared" si="147"/>
        <v/>
      </c>
      <c r="AC1161" s="37"/>
      <c r="AD1161" s="38">
        <f t="shared" si="148"/>
        <v>8</v>
      </c>
      <c r="AE1161" t="str">
        <f>IFERROR(F1161&amp;"*"&amp;ROUND(L1161*(G1161/$AN1161)/VLOOKUP(F1161,商品!$A$4:$D$67,4,FALSE),0),"")</f>
        <v/>
      </c>
      <c r="AF1161" t="str">
        <f>IFERROR(H1161&amp;"*"&amp;ROUND(L1161*(I1161/$AN1161)/VLOOKUP(H1161,商品!$A$4:$D$67,4,FALSE),0),"")</f>
        <v/>
      </c>
      <c r="AG1161" t="str">
        <f>IFERROR(J1161&amp;"*"&amp;ROUND(L1161*(K1161/$AN1161)/VLOOKUP(J1161,商品!$A$4:$D$67,4,FALSE),0),"")</f>
        <v/>
      </c>
      <c r="AH1161" t="str">
        <f>IFERROR(M1161&amp;"*"&amp;ROUND(S1161*(N1161/$AO1161)/VLOOKUP(M1161,职业!$A$3:$E$16,4,FALSE),0),"")</f>
        <v/>
      </c>
      <c r="AI1161" t="str">
        <f>IFERROR(O1161&amp;"*"&amp;ROUND(S1161*(P1161/$AO1161)/VLOOKUP(O1161,职业!$A$3:$E$16,4,FALSE),0),"")</f>
        <v/>
      </c>
      <c r="AK1161" t="str">
        <f>IFERROR(T1161&amp;"*"&amp;ROUND(X1161*(U1161/$AP1161)/VLOOKUP(T1161,商品!$A$4:$D$67,4,FALSE),0),"")</f>
        <v/>
      </c>
      <c r="AL1161" t="str">
        <f>IFERROR(V1161&amp;"*"&amp;ROUND(X1161*(W1161/$AP1161)/VLOOKUP(V1161,商品!$A$4:$D$67,4,FALSE),0),"")</f>
        <v/>
      </c>
      <c r="AN1161">
        <f t="shared" si="149"/>
        <v>0</v>
      </c>
      <c r="AO1161">
        <f t="shared" si="150"/>
        <v>0</v>
      </c>
      <c r="AP1161">
        <f t="shared" si="151"/>
        <v>0</v>
      </c>
    </row>
    <row r="1162" customHeight="1" spans="1:42">
      <c r="A1162" s="5" t="s">
        <v>498</v>
      </c>
      <c r="C1162" s="5">
        <v>1</v>
      </c>
      <c r="D1162" s="1" t="s">
        <v>222</v>
      </c>
      <c r="E1162" s="1" t="s">
        <v>224</v>
      </c>
      <c r="L1162" s="1">
        <f>IFERROR(VLOOKUP($D1162&amp;$C1162,生产方式定位!$A$2:$E$38,2,FALSE)+VLOOKUP($E1162&amp;$C1162,生产方式定位!$F$3:$J$38,2,FALSE),0)</f>
        <v>0</v>
      </c>
      <c r="S1162" s="1">
        <f>IFERROR(VLOOKUP($D1162&amp;$C1162,生产方式定位!$A$2:$E$38,3,FALSE)+VLOOKUP($E1162&amp;$C1162,生产方式定位!$F$3:$J$38,3,FALSE),0)</f>
        <v>500</v>
      </c>
      <c r="X1162" s="1">
        <f>IFERROR(VLOOKUP($D1162&amp;$C1162,生产方式定位!$A$2:$E$38,5,FALSE)+VLOOKUP($E1162&amp;$C1162,生产方式定位!$F$3:$J$38,5,FALSE),"错误")</f>
        <v>250</v>
      </c>
      <c r="Y1162" s="27" t="str">
        <f t="shared" si="144"/>
        <v/>
      </c>
      <c r="Z1162" s="37" t="str">
        <f t="shared" si="145"/>
        <v/>
      </c>
      <c r="AA1162" s="37" t="str">
        <f t="shared" si="146"/>
        <v/>
      </c>
      <c r="AB1162" s="28">
        <f t="shared" si="147"/>
        <v>0</v>
      </c>
      <c r="AC1162" s="37"/>
      <c r="AD1162" s="38">
        <f t="shared" si="148"/>
        <v>1</v>
      </c>
      <c r="AE1162" t="str">
        <f>IFERROR(F1162&amp;"*"&amp;ROUND(L1162*(G1162/$AN1162)/VLOOKUP(F1162,商品!$A$4:$D$67,4,FALSE),0),"")</f>
        <v/>
      </c>
      <c r="AF1162" t="str">
        <f>IFERROR(H1162&amp;"*"&amp;ROUND(L1162*(I1162/$AN1162)/VLOOKUP(H1162,商品!$A$4:$D$67,4,FALSE),0),"")</f>
        <v/>
      </c>
      <c r="AG1162" t="str">
        <f>IFERROR(J1162&amp;"*"&amp;ROUND(L1162*(K1162/$AN1162)/VLOOKUP(J1162,商品!$A$4:$D$67,4,FALSE),0),"")</f>
        <v/>
      </c>
      <c r="AH1162" t="str">
        <f>IFERROR(M1162&amp;"*"&amp;ROUND(S1162*(N1162/$AO1162)/VLOOKUP(M1162,职业!$A$3:$E$16,4,FALSE),0),"")</f>
        <v/>
      </c>
      <c r="AI1162" t="str">
        <f>IFERROR(O1162&amp;"*"&amp;ROUND(S1162*(P1162/$AO1162)/VLOOKUP(O1162,职业!$A$3:$E$16,4,FALSE),0),"")</f>
        <v/>
      </c>
      <c r="AK1162" t="str">
        <f>IFERROR(T1162&amp;"*"&amp;ROUND(X1162*(U1162/$AP1162)/VLOOKUP(T1162,商品!$A$4:$D$67,4,FALSE),0),"")</f>
        <v/>
      </c>
      <c r="AL1162" t="str">
        <f>IFERROR(V1162&amp;"*"&amp;ROUND(X1162*(W1162/$AP1162)/VLOOKUP(V1162,商品!$A$4:$D$67,4,FALSE),0),"")</f>
        <v/>
      </c>
      <c r="AN1162">
        <f t="shared" si="149"/>
        <v>0</v>
      </c>
      <c r="AO1162">
        <f t="shared" si="150"/>
        <v>0</v>
      </c>
      <c r="AP1162">
        <f t="shared" si="151"/>
        <v>0</v>
      </c>
    </row>
    <row r="1163" customHeight="1" spans="1:42">
      <c r="A1163" s="5" t="s">
        <v>498</v>
      </c>
      <c r="C1163" s="5">
        <v>2</v>
      </c>
      <c r="D1163" s="1" t="s">
        <v>222</v>
      </c>
      <c r="E1163" s="1" t="s">
        <v>224</v>
      </c>
      <c r="L1163" s="1">
        <f>IFERROR(VLOOKUP($D1163&amp;$C1163,生产方式定位!$A$2:$E$38,2,FALSE)+VLOOKUP($E1163&amp;$C1163,生产方式定位!$F$3:$J$38,2,FALSE),0)</f>
        <v>2200</v>
      </c>
      <c r="S1163" s="1">
        <f>IFERROR(VLOOKUP($D1163&amp;$C1163,生产方式定位!$A$2:$E$38,3,FALSE)+VLOOKUP($E1163&amp;$C1163,生产方式定位!$F$3:$J$38,3,FALSE),0)</f>
        <v>750</v>
      </c>
      <c r="X1163" s="1">
        <f>IFERROR(VLOOKUP($D1163&amp;$C1163,生产方式定位!$A$2:$E$38,5,FALSE)+VLOOKUP($E1163&amp;$C1163,生产方式定位!$F$3:$J$38,5,FALSE),"错误")</f>
        <v>1547</v>
      </c>
      <c r="Y1163" s="27" t="str">
        <f t="shared" si="144"/>
        <v/>
      </c>
      <c r="Z1163" s="37" t="str">
        <f t="shared" si="145"/>
        <v/>
      </c>
      <c r="AA1163" s="37" t="str">
        <f t="shared" si="146"/>
        <v/>
      </c>
      <c r="AB1163" s="28">
        <f t="shared" si="147"/>
        <v>1.42</v>
      </c>
      <c r="AC1163" s="37"/>
      <c r="AD1163" s="38">
        <f t="shared" si="148"/>
        <v>2</v>
      </c>
      <c r="AE1163" t="str">
        <f>IFERROR(F1163&amp;"*"&amp;ROUND(L1163*(G1163/$AN1163)/VLOOKUP(F1163,商品!$A$4:$D$67,4,FALSE),0),"")</f>
        <v/>
      </c>
      <c r="AF1163" t="str">
        <f>IFERROR(H1163&amp;"*"&amp;ROUND(L1163*(I1163/$AN1163)/VLOOKUP(H1163,商品!$A$4:$D$67,4,FALSE),0),"")</f>
        <v/>
      </c>
      <c r="AG1163" t="str">
        <f>IFERROR(J1163&amp;"*"&amp;ROUND(L1163*(K1163/$AN1163)/VLOOKUP(J1163,商品!$A$4:$D$67,4,FALSE),0),"")</f>
        <v/>
      </c>
      <c r="AH1163" t="str">
        <f>IFERROR(M1163&amp;"*"&amp;ROUND(S1163*(N1163/$AO1163)/VLOOKUP(M1163,职业!$A$3:$E$16,4,FALSE),0),"")</f>
        <v/>
      </c>
      <c r="AI1163" t="str">
        <f>IFERROR(O1163&amp;"*"&amp;ROUND(S1163*(P1163/$AO1163)/VLOOKUP(O1163,职业!$A$3:$E$16,4,FALSE),0),"")</f>
        <v/>
      </c>
      <c r="AK1163" t="str">
        <f>IFERROR(T1163&amp;"*"&amp;ROUND(X1163*(U1163/$AP1163)/VLOOKUP(T1163,商品!$A$4:$D$67,4,FALSE),0),"")</f>
        <v/>
      </c>
      <c r="AL1163" t="str">
        <f>IFERROR(V1163&amp;"*"&amp;ROUND(X1163*(W1163/$AP1163)/VLOOKUP(V1163,商品!$A$4:$D$67,4,FALSE),0),"")</f>
        <v/>
      </c>
      <c r="AN1163">
        <f t="shared" si="149"/>
        <v>0</v>
      </c>
      <c r="AO1163">
        <f t="shared" si="150"/>
        <v>0</v>
      </c>
      <c r="AP1163">
        <f t="shared" si="151"/>
        <v>0</v>
      </c>
    </row>
    <row r="1164" customHeight="1" spans="1:42">
      <c r="A1164" s="5" t="s">
        <v>498</v>
      </c>
      <c r="C1164" s="5">
        <v>3</v>
      </c>
      <c r="D1164" s="1" t="s">
        <v>222</v>
      </c>
      <c r="E1164" s="1" t="s">
        <v>224</v>
      </c>
      <c r="L1164" s="1">
        <f>IFERROR(VLOOKUP($D1164&amp;$C1164,生产方式定位!$A$2:$E$38,2,FALSE)+VLOOKUP($E1164&amp;$C1164,生产方式定位!$F$3:$J$38,2,FALSE),0)</f>
        <v>3400</v>
      </c>
      <c r="S1164" s="1">
        <f>IFERROR(VLOOKUP($D1164&amp;$C1164,生产方式定位!$A$2:$E$38,3,FALSE)+VLOOKUP($E1164&amp;$C1164,生产方式定位!$F$3:$J$38,3,FALSE),0)</f>
        <v>1000</v>
      </c>
      <c r="X1164" s="1">
        <f>IFERROR(VLOOKUP($D1164&amp;$C1164,生产方式定位!$A$2:$E$38,5,FALSE)+VLOOKUP($E1164&amp;$C1164,生产方式定位!$F$3:$J$38,5,FALSE),"错误")</f>
        <v>2488</v>
      </c>
      <c r="Y1164" s="27" t="str">
        <f t="shared" si="144"/>
        <v/>
      </c>
      <c r="Z1164" s="37" t="str">
        <f t="shared" si="145"/>
        <v/>
      </c>
      <c r="AA1164" s="37" t="str">
        <f t="shared" si="146"/>
        <v/>
      </c>
      <c r="AB1164" s="28">
        <f t="shared" si="147"/>
        <v>1.37</v>
      </c>
      <c r="AC1164" s="37"/>
      <c r="AD1164" s="38">
        <f t="shared" si="148"/>
        <v>3</v>
      </c>
      <c r="AE1164" t="str">
        <f>IFERROR(F1164&amp;"*"&amp;ROUND(L1164*(G1164/$AN1164)/VLOOKUP(F1164,商品!$A$4:$D$67,4,FALSE),0),"")</f>
        <v/>
      </c>
      <c r="AF1164" t="str">
        <f>IFERROR(H1164&amp;"*"&amp;ROUND(L1164*(I1164/$AN1164)/VLOOKUP(H1164,商品!$A$4:$D$67,4,FALSE),0),"")</f>
        <v/>
      </c>
      <c r="AG1164" t="str">
        <f>IFERROR(J1164&amp;"*"&amp;ROUND(L1164*(K1164/$AN1164)/VLOOKUP(J1164,商品!$A$4:$D$67,4,FALSE),0),"")</f>
        <v/>
      </c>
      <c r="AH1164" t="str">
        <f>IFERROR(M1164&amp;"*"&amp;ROUND(S1164*(N1164/$AO1164)/VLOOKUP(M1164,职业!$A$3:$E$16,4,FALSE),0),"")</f>
        <v/>
      </c>
      <c r="AI1164" t="str">
        <f>IFERROR(O1164&amp;"*"&amp;ROUND(S1164*(P1164/$AO1164)/VLOOKUP(O1164,职业!$A$3:$E$16,4,FALSE),0),"")</f>
        <v/>
      </c>
      <c r="AK1164" t="str">
        <f>IFERROR(T1164&amp;"*"&amp;ROUND(X1164*(U1164/$AP1164)/VLOOKUP(T1164,商品!$A$4:$D$67,4,FALSE),0),"")</f>
        <v/>
      </c>
      <c r="AL1164" t="str">
        <f>IFERROR(V1164&amp;"*"&amp;ROUND(X1164*(W1164/$AP1164)/VLOOKUP(V1164,商品!$A$4:$D$67,4,FALSE),0),"")</f>
        <v/>
      </c>
      <c r="AN1164">
        <f t="shared" si="149"/>
        <v>0</v>
      </c>
      <c r="AO1164">
        <f t="shared" si="150"/>
        <v>0</v>
      </c>
      <c r="AP1164">
        <f t="shared" si="151"/>
        <v>0</v>
      </c>
    </row>
    <row r="1165" customHeight="1" spans="1:42">
      <c r="A1165" s="5" t="s">
        <v>498</v>
      </c>
      <c r="C1165" s="5">
        <v>4</v>
      </c>
      <c r="D1165" s="1" t="s">
        <v>222</v>
      </c>
      <c r="E1165" s="1" t="s">
        <v>224</v>
      </c>
      <c r="L1165" s="1">
        <f>IFERROR(VLOOKUP($D1165&amp;$C1165,生产方式定位!$A$2:$E$38,2,FALSE)+VLOOKUP($E1165&amp;$C1165,生产方式定位!$F$3:$J$38,2,FALSE),0)</f>
        <v>4600</v>
      </c>
      <c r="S1165" s="1">
        <f>IFERROR(VLOOKUP($D1165&amp;$C1165,生产方式定位!$A$2:$E$38,3,FALSE)+VLOOKUP($E1165&amp;$C1165,生产方式定位!$F$3:$J$38,3,FALSE),0)</f>
        <v>1250</v>
      </c>
      <c r="X1165" s="1">
        <f>IFERROR(VLOOKUP($D1165&amp;$C1165,生产方式定位!$A$2:$E$38,5,FALSE)+VLOOKUP($E1165&amp;$C1165,生产方式定位!$F$3:$J$38,5,FALSE),"错误")</f>
        <v>3573</v>
      </c>
      <c r="Y1165" s="27" t="str">
        <f t="shared" si="144"/>
        <v/>
      </c>
      <c r="Z1165" s="37" t="str">
        <f t="shared" si="145"/>
        <v/>
      </c>
      <c r="AA1165" s="37" t="str">
        <f t="shared" si="146"/>
        <v/>
      </c>
      <c r="AB1165" s="28">
        <f t="shared" si="147"/>
        <v>1.29</v>
      </c>
      <c r="AC1165" s="37"/>
      <c r="AD1165" s="38">
        <f t="shared" si="148"/>
        <v>4</v>
      </c>
      <c r="AE1165" t="str">
        <f>IFERROR(F1165&amp;"*"&amp;ROUND(L1165*(G1165/$AN1165)/VLOOKUP(F1165,商品!$A$4:$D$67,4,FALSE),0),"")</f>
        <v/>
      </c>
      <c r="AF1165" t="str">
        <f>IFERROR(H1165&amp;"*"&amp;ROUND(L1165*(I1165/$AN1165)/VLOOKUP(H1165,商品!$A$4:$D$67,4,FALSE),0),"")</f>
        <v/>
      </c>
      <c r="AG1165" t="str">
        <f>IFERROR(J1165&amp;"*"&amp;ROUND(L1165*(K1165/$AN1165)/VLOOKUP(J1165,商品!$A$4:$D$67,4,FALSE),0),"")</f>
        <v/>
      </c>
      <c r="AH1165" t="str">
        <f>IFERROR(M1165&amp;"*"&amp;ROUND(S1165*(N1165/$AO1165)/VLOOKUP(M1165,职业!$A$3:$E$16,4,FALSE),0),"")</f>
        <v/>
      </c>
      <c r="AI1165" t="str">
        <f>IFERROR(O1165&amp;"*"&amp;ROUND(S1165*(P1165/$AO1165)/VLOOKUP(O1165,职业!$A$3:$E$16,4,FALSE),0),"")</f>
        <v/>
      </c>
      <c r="AK1165" t="str">
        <f>IFERROR(T1165&amp;"*"&amp;ROUND(X1165*(U1165/$AP1165)/VLOOKUP(T1165,商品!$A$4:$D$67,4,FALSE),0),"")</f>
        <v/>
      </c>
      <c r="AL1165" t="str">
        <f>IFERROR(V1165&amp;"*"&amp;ROUND(X1165*(W1165/$AP1165)/VLOOKUP(V1165,商品!$A$4:$D$67,4,FALSE),0),"")</f>
        <v/>
      </c>
      <c r="AN1165">
        <f t="shared" si="149"/>
        <v>0</v>
      </c>
      <c r="AO1165">
        <f t="shared" si="150"/>
        <v>0</v>
      </c>
      <c r="AP1165">
        <f t="shared" si="151"/>
        <v>0</v>
      </c>
    </row>
    <row r="1166" customHeight="1" spans="1:42">
      <c r="A1166" s="5" t="s">
        <v>498</v>
      </c>
      <c r="C1166" s="5">
        <v>5</v>
      </c>
      <c r="D1166" s="1" t="s">
        <v>222</v>
      </c>
      <c r="E1166" s="1" t="s">
        <v>224</v>
      </c>
      <c r="L1166" s="1">
        <f>IFERROR(VLOOKUP($D1166&amp;$C1166,生产方式定位!$A$2:$E$38,2,FALSE)+VLOOKUP($E1166&amp;$C1166,生产方式定位!$F$3:$J$38,2,FALSE),0)</f>
        <v>5800</v>
      </c>
      <c r="S1166" s="1">
        <f>IFERROR(VLOOKUP($D1166&amp;$C1166,生产方式定位!$A$2:$E$38,3,FALSE)+VLOOKUP($E1166&amp;$C1166,生产方式定位!$F$3:$J$38,3,FALSE),0)</f>
        <v>1500</v>
      </c>
      <c r="X1166" s="1">
        <f>IFERROR(VLOOKUP($D1166&amp;$C1166,生产方式定位!$A$2:$E$38,5,FALSE)+VLOOKUP($E1166&amp;$C1166,生产方式定位!$F$3:$J$38,5,FALSE),"错误")</f>
        <v>4850</v>
      </c>
      <c r="Y1166" s="27" t="str">
        <f t="shared" si="144"/>
        <v/>
      </c>
      <c r="Z1166" s="37" t="str">
        <f t="shared" si="145"/>
        <v/>
      </c>
      <c r="AA1166" s="37" t="str">
        <f t="shared" si="146"/>
        <v/>
      </c>
      <c r="AB1166" s="28">
        <f t="shared" si="147"/>
        <v>1.2</v>
      </c>
      <c r="AC1166" s="37"/>
      <c r="AD1166" s="38">
        <f t="shared" si="148"/>
        <v>5</v>
      </c>
      <c r="AE1166" t="str">
        <f>IFERROR(F1166&amp;"*"&amp;ROUND(L1166*(G1166/$AN1166)/VLOOKUP(F1166,商品!$A$4:$D$67,4,FALSE),0),"")</f>
        <v/>
      </c>
      <c r="AF1166" t="str">
        <f>IFERROR(H1166&amp;"*"&amp;ROUND(L1166*(I1166/$AN1166)/VLOOKUP(H1166,商品!$A$4:$D$67,4,FALSE),0),"")</f>
        <v/>
      </c>
      <c r="AG1166" t="str">
        <f>IFERROR(J1166&amp;"*"&amp;ROUND(L1166*(K1166/$AN1166)/VLOOKUP(J1166,商品!$A$4:$D$67,4,FALSE),0),"")</f>
        <v/>
      </c>
      <c r="AH1166" t="str">
        <f>IFERROR(M1166&amp;"*"&amp;ROUND(S1166*(N1166/$AO1166)/VLOOKUP(M1166,职业!$A$3:$E$16,4,FALSE),0),"")</f>
        <v/>
      </c>
      <c r="AI1166" t="str">
        <f>IFERROR(O1166&amp;"*"&amp;ROUND(S1166*(P1166/$AO1166)/VLOOKUP(O1166,职业!$A$3:$E$16,4,FALSE),0),"")</f>
        <v/>
      </c>
      <c r="AK1166" t="str">
        <f>IFERROR(T1166&amp;"*"&amp;ROUND(X1166*(U1166/$AP1166)/VLOOKUP(T1166,商品!$A$4:$D$67,4,FALSE),0),"")</f>
        <v/>
      </c>
      <c r="AL1166" t="str">
        <f>IFERROR(V1166&amp;"*"&amp;ROUND(X1166*(W1166/$AP1166)/VLOOKUP(V1166,商品!$A$4:$D$67,4,FALSE),0),"")</f>
        <v/>
      </c>
      <c r="AN1166">
        <f t="shared" si="149"/>
        <v>0</v>
      </c>
      <c r="AO1166">
        <f t="shared" si="150"/>
        <v>0</v>
      </c>
      <c r="AP1166">
        <f t="shared" si="151"/>
        <v>0</v>
      </c>
    </row>
    <row r="1167" customHeight="1" spans="1:42">
      <c r="A1167" s="18" t="s">
        <v>499</v>
      </c>
      <c r="C1167" s="18">
        <v>1</v>
      </c>
      <c r="D1167" s="1" t="s">
        <v>222</v>
      </c>
      <c r="E1167" s="1" t="s">
        <v>226</v>
      </c>
      <c r="L1167" s="1">
        <f>IFERROR(VLOOKUP($D1167&amp;$C1167,生产方式定位!$A$2:$E$38,2,FALSE)+VLOOKUP($E1167&amp;$C1167,生产方式定位!$F$3:$J$38,2,FALSE),0)</f>
        <v>0</v>
      </c>
      <c r="S1167" s="1">
        <f>IFERROR(VLOOKUP($D1167&amp;$C1167,生产方式定位!$A$2:$E$38,3,FALSE)+VLOOKUP($E1167&amp;$C1167,生产方式定位!$F$3:$J$38,3,FALSE),0)</f>
        <v>500</v>
      </c>
      <c r="X1167" s="1">
        <f>IFERROR(VLOOKUP($D1167&amp;$C1167,生产方式定位!$A$2:$E$38,5,FALSE)+VLOOKUP($E1167&amp;$C1167,生产方式定位!$F$3:$J$38,5,FALSE),"错误")</f>
        <v>250</v>
      </c>
      <c r="Y1167" s="27" t="str">
        <f t="shared" si="144"/>
        <v/>
      </c>
      <c r="Z1167" s="37" t="str">
        <f t="shared" si="145"/>
        <v/>
      </c>
      <c r="AA1167" s="37" t="str">
        <f t="shared" si="146"/>
        <v/>
      </c>
      <c r="AB1167" s="28">
        <f t="shared" si="147"/>
        <v>0</v>
      </c>
      <c r="AC1167" s="37"/>
      <c r="AD1167" s="38">
        <f t="shared" si="148"/>
        <v>1</v>
      </c>
      <c r="AE1167" t="str">
        <f>IFERROR(F1167&amp;"*"&amp;ROUND(L1167*(G1167/$AN1167)/VLOOKUP(F1167,商品!$A$4:$D$67,4,FALSE),0),"")</f>
        <v/>
      </c>
      <c r="AF1167" t="str">
        <f>IFERROR(H1167&amp;"*"&amp;ROUND(L1167*(I1167/$AN1167)/VLOOKUP(H1167,商品!$A$4:$D$67,4,FALSE),0),"")</f>
        <v/>
      </c>
      <c r="AG1167" t="str">
        <f>IFERROR(J1167&amp;"*"&amp;ROUND(L1167*(K1167/$AN1167)/VLOOKUP(J1167,商品!$A$4:$D$67,4,FALSE),0),"")</f>
        <v/>
      </c>
      <c r="AH1167" t="str">
        <f>IFERROR(M1167&amp;"*"&amp;ROUND(S1167*(N1167/$AO1167)/VLOOKUP(M1167,职业!$A$3:$E$16,4,FALSE),0),"")</f>
        <v/>
      </c>
      <c r="AI1167" t="str">
        <f>IFERROR(O1167&amp;"*"&amp;ROUND(S1167*(P1167/$AO1167)/VLOOKUP(O1167,职业!$A$3:$E$16,4,FALSE),0),"")</f>
        <v/>
      </c>
      <c r="AK1167" t="str">
        <f>IFERROR(T1167&amp;"*"&amp;ROUND(X1167*(U1167/$AP1167)/VLOOKUP(T1167,商品!$A$4:$D$67,4,FALSE),0),"")</f>
        <v/>
      </c>
      <c r="AL1167" t="str">
        <f>IFERROR(V1167&amp;"*"&amp;ROUND(X1167*(W1167/$AP1167)/VLOOKUP(V1167,商品!$A$4:$D$67,4,FALSE),0),"")</f>
        <v/>
      </c>
      <c r="AN1167">
        <f t="shared" si="149"/>
        <v>0</v>
      </c>
      <c r="AO1167">
        <f t="shared" si="150"/>
        <v>0</v>
      </c>
      <c r="AP1167">
        <f t="shared" si="151"/>
        <v>0</v>
      </c>
    </row>
    <row r="1168" customHeight="1" spans="1:42">
      <c r="A1168" s="18" t="s">
        <v>499</v>
      </c>
      <c r="C1168" s="18">
        <v>2</v>
      </c>
      <c r="D1168" s="1" t="s">
        <v>222</v>
      </c>
      <c r="E1168" s="1" t="s">
        <v>226</v>
      </c>
      <c r="L1168" s="1">
        <f>IFERROR(VLOOKUP($D1168&amp;$C1168,生产方式定位!$A$2:$E$38,2,FALSE)+VLOOKUP($E1168&amp;$C1168,生产方式定位!$F$3:$J$38,2,FALSE),0)</f>
        <v>3200</v>
      </c>
      <c r="S1168" s="1">
        <f>IFERROR(VLOOKUP($D1168&amp;$C1168,生产方式定位!$A$2:$E$38,3,FALSE)+VLOOKUP($E1168&amp;$C1168,生产方式定位!$F$3:$J$38,3,FALSE),0)</f>
        <v>350</v>
      </c>
      <c r="X1168" s="1">
        <f>IFERROR(VLOOKUP($D1168&amp;$C1168,生产方式定位!$A$2:$E$38,5,FALSE)+VLOOKUP($E1168&amp;$C1168,生产方式定位!$F$3:$J$38,5,FALSE),"错误")</f>
        <v>1865</v>
      </c>
      <c r="Y1168" s="27" t="str">
        <f t="shared" si="144"/>
        <v/>
      </c>
      <c r="Z1168" s="37" t="str">
        <f t="shared" si="145"/>
        <v/>
      </c>
      <c r="AA1168" s="37" t="str">
        <f t="shared" si="146"/>
        <v/>
      </c>
      <c r="AB1168" s="28">
        <f t="shared" si="147"/>
        <v>1.72</v>
      </c>
      <c r="AC1168" s="37"/>
      <c r="AD1168" s="38">
        <f t="shared" si="148"/>
        <v>2</v>
      </c>
      <c r="AE1168" t="str">
        <f>IFERROR(F1168&amp;"*"&amp;ROUND(L1168*(G1168/$AN1168)/VLOOKUP(F1168,商品!$A$4:$D$67,4,FALSE),0),"")</f>
        <v/>
      </c>
      <c r="AF1168" t="str">
        <f>IFERROR(H1168&amp;"*"&amp;ROUND(L1168*(I1168/$AN1168)/VLOOKUP(H1168,商品!$A$4:$D$67,4,FALSE),0),"")</f>
        <v/>
      </c>
      <c r="AG1168" t="str">
        <f>IFERROR(J1168&amp;"*"&amp;ROUND(L1168*(K1168/$AN1168)/VLOOKUP(J1168,商品!$A$4:$D$67,4,FALSE),0),"")</f>
        <v/>
      </c>
      <c r="AH1168" t="str">
        <f>IFERROR(M1168&amp;"*"&amp;ROUND(S1168*(N1168/$AO1168)/VLOOKUP(M1168,职业!$A$3:$E$16,4,FALSE),0),"")</f>
        <v/>
      </c>
      <c r="AI1168" t="str">
        <f>IFERROR(O1168&amp;"*"&amp;ROUND(S1168*(P1168/$AO1168)/VLOOKUP(O1168,职业!$A$3:$E$16,4,FALSE),0),"")</f>
        <v/>
      </c>
      <c r="AK1168" t="str">
        <f>IFERROR(T1168&amp;"*"&amp;ROUND(X1168*(U1168/$AP1168)/VLOOKUP(T1168,商品!$A$4:$D$67,4,FALSE),0),"")</f>
        <v/>
      </c>
      <c r="AL1168" t="str">
        <f>IFERROR(V1168&amp;"*"&amp;ROUND(X1168*(W1168/$AP1168)/VLOOKUP(V1168,商品!$A$4:$D$67,4,FALSE),0),"")</f>
        <v/>
      </c>
      <c r="AN1168">
        <f t="shared" si="149"/>
        <v>0</v>
      </c>
      <c r="AO1168">
        <f t="shared" si="150"/>
        <v>0</v>
      </c>
      <c r="AP1168">
        <f t="shared" si="151"/>
        <v>0</v>
      </c>
    </row>
    <row r="1169" customHeight="1" spans="1:42">
      <c r="A1169" s="18" t="s">
        <v>499</v>
      </c>
      <c r="C1169" s="18">
        <v>3</v>
      </c>
      <c r="D1169" s="1" t="s">
        <v>222</v>
      </c>
      <c r="E1169" s="1" t="s">
        <v>226</v>
      </c>
      <c r="L1169" s="1">
        <f>IFERROR(VLOOKUP($D1169&amp;$C1169,生产方式定位!$A$2:$E$38,2,FALSE)+VLOOKUP($E1169&amp;$C1169,生产方式定位!$F$3:$J$38,2,FALSE),0)</f>
        <v>4400</v>
      </c>
      <c r="S1169" s="1">
        <f>IFERROR(VLOOKUP($D1169&amp;$C1169,生产方式定位!$A$2:$E$38,3,FALSE)+VLOOKUP($E1169&amp;$C1169,生产方式定位!$F$3:$J$38,3,FALSE),0)</f>
        <v>200</v>
      </c>
      <c r="X1169" s="1">
        <f>IFERROR(VLOOKUP($D1169&amp;$C1169,生产方式定位!$A$2:$E$38,5,FALSE)+VLOOKUP($E1169&amp;$C1169,生产方式定位!$F$3:$J$38,5,FALSE),"错误")</f>
        <v>2560</v>
      </c>
      <c r="Y1169" s="27" t="str">
        <f t="shared" si="144"/>
        <v/>
      </c>
      <c r="Z1169" s="37" t="str">
        <f t="shared" si="145"/>
        <v/>
      </c>
      <c r="AA1169" s="37" t="str">
        <f t="shared" si="146"/>
        <v/>
      </c>
      <c r="AB1169" s="28">
        <f t="shared" si="147"/>
        <v>1.72</v>
      </c>
      <c r="AC1169" s="37"/>
      <c r="AD1169" s="38">
        <f t="shared" si="148"/>
        <v>3</v>
      </c>
      <c r="AE1169" t="str">
        <f>IFERROR(F1169&amp;"*"&amp;ROUND(L1169*(G1169/$AN1169)/VLOOKUP(F1169,商品!$A$4:$D$67,4,FALSE),0),"")</f>
        <v/>
      </c>
      <c r="AF1169" t="str">
        <f>IFERROR(H1169&amp;"*"&amp;ROUND(L1169*(I1169/$AN1169)/VLOOKUP(H1169,商品!$A$4:$D$67,4,FALSE),0),"")</f>
        <v/>
      </c>
      <c r="AG1169" t="str">
        <f>IFERROR(J1169&amp;"*"&amp;ROUND(L1169*(K1169/$AN1169)/VLOOKUP(J1169,商品!$A$4:$D$67,4,FALSE),0),"")</f>
        <v/>
      </c>
      <c r="AH1169" t="str">
        <f>IFERROR(M1169&amp;"*"&amp;ROUND(S1169*(N1169/$AO1169)/VLOOKUP(M1169,职业!$A$3:$E$16,4,FALSE),0),"")</f>
        <v/>
      </c>
      <c r="AI1169" t="str">
        <f>IFERROR(O1169&amp;"*"&amp;ROUND(S1169*(P1169/$AO1169)/VLOOKUP(O1169,职业!$A$3:$E$16,4,FALSE),0),"")</f>
        <v/>
      </c>
      <c r="AK1169" t="str">
        <f>IFERROR(T1169&amp;"*"&amp;ROUND(X1169*(U1169/$AP1169)/VLOOKUP(T1169,商品!$A$4:$D$67,4,FALSE),0),"")</f>
        <v/>
      </c>
      <c r="AL1169" t="str">
        <f>IFERROR(V1169&amp;"*"&amp;ROUND(X1169*(W1169/$AP1169)/VLOOKUP(V1169,商品!$A$4:$D$67,4,FALSE),0),"")</f>
        <v/>
      </c>
      <c r="AN1169">
        <f t="shared" si="149"/>
        <v>0</v>
      </c>
      <c r="AO1169">
        <f t="shared" si="150"/>
        <v>0</v>
      </c>
      <c r="AP1169">
        <f t="shared" si="151"/>
        <v>0</v>
      </c>
    </row>
    <row r="1170" customHeight="1" spans="1:42">
      <c r="A1170" s="18" t="s">
        <v>499</v>
      </c>
      <c r="C1170" s="18">
        <v>4</v>
      </c>
      <c r="D1170" s="1" t="s">
        <v>222</v>
      </c>
      <c r="E1170" s="1" t="s">
        <v>226</v>
      </c>
      <c r="L1170" s="1">
        <f>IFERROR(VLOOKUP($D1170&amp;$C1170,生产方式定位!$A$2:$E$38,2,FALSE)+VLOOKUP($E1170&amp;$C1170,生产方式定位!$F$3:$J$38,2,FALSE),0)</f>
        <v>5600</v>
      </c>
      <c r="S1170" s="1">
        <f>IFERROR(VLOOKUP($D1170&amp;$C1170,生产方式定位!$A$2:$E$38,3,FALSE)+VLOOKUP($E1170&amp;$C1170,生产方式定位!$F$3:$J$38,3,FALSE),0)</f>
        <v>50</v>
      </c>
      <c r="X1170" s="1">
        <f>IFERROR(VLOOKUP($D1170&amp;$C1170,生产方式定位!$A$2:$E$38,5,FALSE)+VLOOKUP($E1170&amp;$C1170,生产方式定位!$F$3:$J$38,5,FALSE),"错误")</f>
        <v>3335</v>
      </c>
      <c r="Y1170" s="27" t="str">
        <f t="shared" si="144"/>
        <v/>
      </c>
      <c r="Z1170" s="37" t="str">
        <f t="shared" si="145"/>
        <v/>
      </c>
      <c r="AA1170" s="37" t="str">
        <f t="shared" si="146"/>
        <v/>
      </c>
      <c r="AB1170" s="28">
        <f t="shared" si="147"/>
        <v>1.68</v>
      </c>
      <c r="AC1170" s="37"/>
      <c r="AD1170" s="38">
        <f t="shared" si="148"/>
        <v>4</v>
      </c>
      <c r="AE1170" t="str">
        <f>IFERROR(F1170&amp;"*"&amp;ROUND(L1170*(G1170/$AN1170)/VLOOKUP(F1170,商品!$A$4:$D$67,4,FALSE),0),"")</f>
        <v/>
      </c>
      <c r="AF1170" t="str">
        <f>IFERROR(H1170&amp;"*"&amp;ROUND(L1170*(I1170/$AN1170)/VLOOKUP(H1170,商品!$A$4:$D$67,4,FALSE),0),"")</f>
        <v/>
      </c>
      <c r="AG1170" t="str">
        <f>IFERROR(J1170&amp;"*"&amp;ROUND(L1170*(K1170/$AN1170)/VLOOKUP(J1170,商品!$A$4:$D$67,4,FALSE),0),"")</f>
        <v/>
      </c>
      <c r="AH1170" t="str">
        <f>IFERROR(M1170&amp;"*"&amp;ROUND(S1170*(N1170/$AO1170)/VLOOKUP(M1170,职业!$A$3:$E$16,4,FALSE),0),"")</f>
        <v/>
      </c>
      <c r="AI1170" t="str">
        <f>IFERROR(O1170&amp;"*"&amp;ROUND(S1170*(P1170/$AO1170)/VLOOKUP(O1170,职业!$A$3:$E$16,4,FALSE),0),"")</f>
        <v/>
      </c>
      <c r="AK1170" t="str">
        <f>IFERROR(T1170&amp;"*"&amp;ROUND(X1170*(U1170/$AP1170)/VLOOKUP(T1170,商品!$A$4:$D$67,4,FALSE),0),"")</f>
        <v/>
      </c>
      <c r="AL1170" t="str">
        <f>IFERROR(V1170&amp;"*"&amp;ROUND(X1170*(W1170/$AP1170)/VLOOKUP(V1170,商品!$A$4:$D$67,4,FALSE),0),"")</f>
        <v/>
      </c>
      <c r="AN1170">
        <f t="shared" si="149"/>
        <v>0</v>
      </c>
      <c r="AO1170">
        <f t="shared" si="150"/>
        <v>0</v>
      </c>
      <c r="AP1170">
        <f t="shared" si="151"/>
        <v>0</v>
      </c>
    </row>
    <row r="1171" customHeight="1" spans="1:42">
      <c r="A1171" s="18" t="s">
        <v>499</v>
      </c>
      <c r="C1171" s="18">
        <v>5</v>
      </c>
      <c r="D1171" s="1" t="s">
        <v>222</v>
      </c>
      <c r="E1171" s="1" t="s">
        <v>226</v>
      </c>
      <c r="L1171" s="1">
        <f>IFERROR(VLOOKUP($D1171&amp;$C1171,生产方式定位!$A$2:$E$38,2,FALSE)+VLOOKUP($E1171&amp;$C1171,生产方式定位!$F$3:$J$38,2,FALSE),0)</f>
        <v>6800</v>
      </c>
      <c r="S1171" s="1">
        <f>IFERROR(VLOOKUP($D1171&amp;$C1171,生产方式定位!$A$2:$E$38,3,FALSE)+VLOOKUP($E1171&amp;$C1171,生产方式定位!$F$3:$J$38,3,FALSE),0)</f>
        <v>-100</v>
      </c>
      <c r="X1171" s="1">
        <f>IFERROR(VLOOKUP($D1171&amp;$C1171,生产方式定位!$A$2:$E$38,5,FALSE)+VLOOKUP($E1171&amp;$C1171,生产方式定位!$F$3:$J$38,5,FALSE),"错误")</f>
        <v>4190</v>
      </c>
      <c r="Y1171" s="27" t="str">
        <f t="shared" si="144"/>
        <v/>
      </c>
      <c r="Z1171" s="37" t="str">
        <f t="shared" si="145"/>
        <v/>
      </c>
      <c r="AA1171" s="37" t="str">
        <f t="shared" si="146"/>
        <v/>
      </c>
      <c r="AB1171" s="28">
        <f t="shared" si="147"/>
        <v>1.62</v>
      </c>
      <c r="AC1171" s="37"/>
      <c r="AD1171" s="38">
        <f t="shared" si="148"/>
        <v>5</v>
      </c>
      <c r="AE1171" t="str">
        <f>IFERROR(F1171&amp;"*"&amp;ROUND(L1171*(G1171/$AN1171)/VLOOKUP(F1171,商品!$A$4:$D$67,4,FALSE),0),"")</f>
        <v/>
      </c>
      <c r="AF1171" t="str">
        <f>IFERROR(H1171&amp;"*"&amp;ROUND(L1171*(I1171/$AN1171)/VLOOKUP(H1171,商品!$A$4:$D$67,4,FALSE),0),"")</f>
        <v/>
      </c>
      <c r="AG1171" t="str">
        <f>IFERROR(J1171&amp;"*"&amp;ROUND(L1171*(K1171/$AN1171)/VLOOKUP(J1171,商品!$A$4:$D$67,4,FALSE),0),"")</f>
        <v/>
      </c>
      <c r="AH1171" t="str">
        <f>IFERROR(M1171&amp;"*"&amp;ROUND(S1171*(N1171/$AO1171)/VLOOKUP(M1171,职业!$A$3:$E$16,4,FALSE),0),"")</f>
        <v/>
      </c>
      <c r="AI1171" t="str">
        <f>IFERROR(O1171&amp;"*"&amp;ROUND(S1171*(P1171/$AO1171)/VLOOKUP(O1171,职业!$A$3:$E$16,4,FALSE),0),"")</f>
        <v/>
      </c>
      <c r="AK1171" t="str">
        <f>IFERROR(T1171&amp;"*"&amp;ROUND(X1171*(U1171/$AP1171)/VLOOKUP(T1171,商品!$A$4:$D$67,4,FALSE),0),"")</f>
        <v/>
      </c>
      <c r="AL1171" t="str">
        <f>IFERROR(V1171&amp;"*"&amp;ROUND(X1171*(W1171/$AP1171)/VLOOKUP(V1171,商品!$A$4:$D$67,4,FALSE),0),"")</f>
        <v/>
      </c>
      <c r="AN1171">
        <f t="shared" si="149"/>
        <v>0</v>
      </c>
      <c r="AO1171">
        <f t="shared" si="150"/>
        <v>0</v>
      </c>
      <c r="AP1171">
        <f t="shared" si="151"/>
        <v>0</v>
      </c>
    </row>
    <row r="1172" customHeight="1" spans="1:42">
      <c r="A1172" s="5" t="s">
        <v>499</v>
      </c>
      <c r="C1172" s="5">
        <v>1</v>
      </c>
      <c r="D1172" s="1" t="s">
        <v>222</v>
      </c>
      <c r="E1172" s="1" t="s">
        <v>226</v>
      </c>
      <c r="L1172" s="1">
        <f>IFERROR(VLOOKUP($D1172&amp;$C1172,生产方式定位!$A$2:$E$38,2,FALSE)+VLOOKUP($E1172&amp;$C1172,生产方式定位!$F$3:$J$38,2,FALSE),0)</f>
        <v>0</v>
      </c>
      <c r="S1172" s="1">
        <f>IFERROR(VLOOKUP($D1172&amp;$C1172,生产方式定位!$A$2:$E$38,3,FALSE)+VLOOKUP($E1172&amp;$C1172,生产方式定位!$F$3:$J$38,3,FALSE),0)</f>
        <v>500</v>
      </c>
      <c r="X1172" s="1">
        <f>IFERROR(VLOOKUP($D1172&amp;$C1172,生产方式定位!$A$2:$E$38,5,FALSE)+VLOOKUP($E1172&amp;$C1172,生产方式定位!$F$3:$J$38,5,FALSE),"错误")</f>
        <v>250</v>
      </c>
      <c r="Y1172" s="27" t="str">
        <f t="shared" si="144"/>
        <v/>
      </c>
      <c r="Z1172" s="37" t="str">
        <f t="shared" si="145"/>
        <v/>
      </c>
      <c r="AA1172" s="37" t="str">
        <f t="shared" si="146"/>
        <v/>
      </c>
      <c r="AB1172" s="28">
        <f t="shared" si="147"/>
        <v>0</v>
      </c>
      <c r="AC1172" s="37"/>
      <c r="AD1172" s="38">
        <f t="shared" si="148"/>
        <v>1</v>
      </c>
      <c r="AE1172" t="str">
        <f>IFERROR(F1172&amp;"*"&amp;ROUND(L1172*(G1172/$AN1172)/VLOOKUP(F1172,商品!$A$4:$D$67,4,FALSE),0),"")</f>
        <v/>
      </c>
      <c r="AF1172" t="str">
        <f>IFERROR(H1172&amp;"*"&amp;ROUND(L1172*(I1172/$AN1172)/VLOOKUP(H1172,商品!$A$4:$D$67,4,FALSE),0),"")</f>
        <v/>
      </c>
      <c r="AG1172" t="str">
        <f>IFERROR(J1172&amp;"*"&amp;ROUND(L1172*(K1172/$AN1172)/VLOOKUP(J1172,商品!$A$4:$D$67,4,FALSE),0),"")</f>
        <v/>
      </c>
      <c r="AH1172" t="str">
        <f>IFERROR(M1172&amp;"*"&amp;ROUND(S1172*(N1172/$AO1172)/VLOOKUP(M1172,职业!$A$3:$E$16,4,FALSE),0),"")</f>
        <v/>
      </c>
      <c r="AI1172" t="str">
        <f>IFERROR(O1172&amp;"*"&amp;ROUND(S1172*(P1172/$AO1172)/VLOOKUP(O1172,职业!$A$3:$E$16,4,FALSE),0),"")</f>
        <v/>
      </c>
      <c r="AK1172" t="str">
        <f>IFERROR(T1172&amp;"*"&amp;ROUND(X1172*(U1172/$AP1172)/VLOOKUP(T1172,商品!$A$4:$D$67,4,FALSE),0),"")</f>
        <v/>
      </c>
      <c r="AL1172" t="str">
        <f>IFERROR(V1172&amp;"*"&amp;ROUND(X1172*(W1172/$AP1172)/VLOOKUP(V1172,商品!$A$4:$D$67,4,FALSE),0),"")</f>
        <v/>
      </c>
      <c r="AN1172">
        <f t="shared" si="149"/>
        <v>0</v>
      </c>
      <c r="AO1172">
        <f t="shared" si="150"/>
        <v>0</v>
      </c>
      <c r="AP1172">
        <f t="shared" si="151"/>
        <v>0</v>
      </c>
    </row>
    <row r="1173" customHeight="1" spans="1:42">
      <c r="A1173" s="5" t="s">
        <v>499</v>
      </c>
      <c r="C1173" s="5">
        <v>2</v>
      </c>
      <c r="D1173" s="1" t="s">
        <v>222</v>
      </c>
      <c r="E1173" s="1" t="s">
        <v>226</v>
      </c>
      <c r="L1173" s="1">
        <f>IFERROR(VLOOKUP($D1173&amp;$C1173,生产方式定位!$A$2:$E$38,2,FALSE)+VLOOKUP($E1173&amp;$C1173,生产方式定位!$F$3:$J$38,2,FALSE),0)</f>
        <v>3200</v>
      </c>
      <c r="S1173" s="1">
        <f>IFERROR(VLOOKUP($D1173&amp;$C1173,生产方式定位!$A$2:$E$38,3,FALSE)+VLOOKUP($E1173&amp;$C1173,生产方式定位!$F$3:$J$38,3,FALSE),0)</f>
        <v>350</v>
      </c>
      <c r="X1173" s="1">
        <f>IFERROR(VLOOKUP($D1173&amp;$C1173,生产方式定位!$A$2:$E$38,5,FALSE)+VLOOKUP($E1173&amp;$C1173,生产方式定位!$F$3:$J$38,5,FALSE),"错误")</f>
        <v>1865</v>
      </c>
      <c r="Y1173" s="27" t="str">
        <f t="shared" si="144"/>
        <v/>
      </c>
      <c r="Z1173" s="37" t="str">
        <f t="shared" si="145"/>
        <v/>
      </c>
      <c r="AA1173" s="37" t="str">
        <f t="shared" si="146"/>
        <v/>
      </c>
      <c r="AB1173" s="28">
        <f t="shared" si="147"/>
        <v>1.72</v>
      </c>
      <c r="AC1173" s="37"/>
      <c r="AD1173" s="38">
        <f t="shared" si="148"/>
        <v>2</v>
      </c>
      <c r="AE1173" t="str">
        <f>IFERROR(F1173&amp;"*"&amp;ROUND(L1173*(G1173/$AN1173)/VLOOKUP(F1173,商品!$A$4:$D$67,4,FALSE),0),"")</f>
        <v/>
      </c>
      <c r="AF1173" t="str">
        <f>IFERROR(H1173&amp;"*"&amp;ROUND(L1173*(I1173/$AN1173)/VLOOKUP(H1173,商品!$A$4:$D$67,4,FALSE),0),"")</f>
        <v/>
      </c>
      <c r="AG1173" t="str">
        <f>IFERROR(J1173&amp;"*"&amp;ROUND(L1173*(K1173/$AN1173)/VLOOKUP(J1173,商品!$A$4:$D$67,4,FALSE),0),"")</f>
        <v/>
      </c>
      <c r="AH1173" t="str">
        <f>IFERROR(M1173&amp;"*"&amp;ROUND(S1173*(N1173/$AO1173)/VLOOKUP(M1173,职业!$A$3:$E$16,4,FALSE),0),"")</f>
        <v/>
      </c>
      <c r="AI1173" t="str">
        <f>IFERROR(O1173&amp;"*"&amp;ROUND(S1173*(P1173/$AO1173)/VLOOKUP(O1173,职业!$A$3:$E$16,4,FALSE),0),"")</f>
        <v/>
      </c>
      <c r="AK1173" t="str">
        <f>IFERROR(T1173&amp;"*"&amp;ROUND(X1173*(U1173/$AP1173)/VLOOKUP(T1173,商品!$A$4:$D$67,4,FALSE),0),"")</f>
        <v/>
      </c>
      <c r="AL1173" t="str">
        <f>IFERROR(V1173&amp;"*"&amp;ROUND(X1173*(W1173/$AP1173)/VLOOKUP(V1173,商品!$A$4:$D$67,4,FALSE),0),"")</f>
        <v/>
      </c>
      <c r="AN1173">
        <f t="shared" si="149"/>
        <v>0</v>
      </c>
      <c r="AO1173">
        <f t="shared" si="150"/>
        <v>0</v>
      </c>
      <c r="AP1173">
        <f t="shared" si="151"/>
        <v>0</v>
      </c>
    </row>
    <row r="1174" customHeight="1" spans="1:42">
      <c r="A1174" s="5" t="s">
        <v>499</v>
      </c>
      <c r="C1174" s="5">
        <v>3</v>
      </c>
      <c r="D1174" s="1" t="s">
        <v>222</v>
      </c>
      <c r="E1174" s="1" t="s">
        <v>226</v>
      </c>
      <c r="L1174" s="1">
        <f>IFERROR(VLOOKUP($D1174&amp;$C1174,生产方式定位!$A$2:$E$38,2,FALSE)+VLOOKUP($E1174&amp;$C1174,生产方式定位!$F$3:$J$38,2,FALSE),0)</f>
        <v>4400</v>
      </c>
      <c r="S1174" s="1">
        <f>IFERROR(VLOOKUP($D1174&amp;$C1174,生产方式定位!$A$2:$E$38,3,FALSE)+VLOOKUP($E1174&amp;$C1174,生产方式定位!$F$3:$J$38,3,FALSE),0)</f>
        <v>200</v>
      </c>
      <c r="X1174" s="1">
        <f>IFERROR(VLOOKUP($D1174&amp;$C1174,生产方式定位!$A$2:$E$38,5,FALSE)+VLOOKUP($E1174&amp;$C1174,生产方式定位!$F$3:$J$38,5,FALSE),"错误")</f>
        <v>2560</v>
      </c>
      <c r="Y1174" s="27" t="str">
        <f t="shared" si="144"/>
        <v/>
      </c>
      <c r="Z1174" s="37" t="str">
        <f t="shared" si="145"/>
        <v/>
      </c>
      <c r="AA1174" s="37" t="str">
        <f t="shared" si="146"/>
        <v/>
      </c>
      <c r="AB1174" s="28">
        <f t="shared" si="147"/>
        <v>1.72</v>
      </c>
      <c r="AC1174" s="37"/>
      <c r="AD1174" s="38">
        <f t="shared" si="148"/>
        <v>3</v>
      </c>
      <c r="AE1174" t="str">
        <f>IFERROR(F1174&amp;"*"&amp;ROUND(L1174*(G1174/$AN1174)/VLOOKUP(F1174,商品!$A$4:$D$67,4,FALSE),0),"")</f>
        <v/>
      </c>
      <c r="AF1174" t="str">
        <f>IFERROR(H1174&amp;"*"&amp;ROUND(L1174*(I1174/$AN1174)/VLOOKUP(H1174,商品!$A$4:$D$67,4,FALSE),0),"")</f>
        <v/>
      </c>
      <c r="AG1174" t="str">
        <f>IFERROR(J1174&amp;"*"&amp;ROUND(L1174*(K1174/$AN1174)/VLOOKUP(J1174,商品!$A$4:$D$67,4,FALSE),0),"")</f>
        <v/>
      </c>
      <c r="AH1174" t="str">
        <f>IFERROR(M1174&amp;"*"&amp;ROUND(S1174*(N1174/$AO1174)/VLOOKUP(M1174,职业!$A$3:$E$16,4,FALSE),0),"")</f>
        <v/>
      </c>
      <c r="AI1174" t="str">
        <f>IFERROR(O1174&amp;"*"&amp;ROUND(S1174*(P1174/$AO1174)/VLOOKUP(O1174,职业!$A$3:$E$16,4,FALSE),0),"")</f>
        <v/>
      </c>
      <c r="AK1174" t="str">
        <f>IFERROR(T1174&amp;"*"&amp;ROUND(X1174*(U1174/$AP1174)/VLOOKUP(T1174,商品!$A$4:$D$67,4,FALSE),0),"")</f>
        <v/>
      </c>
      <c r="AL1174" t="str">
        <f>IFERROR(V1174&amp;"*"&amp;ROUND(X1174*(W1174/$AP1174)/VLOOKUP(V1174,商品!$A$4:$D$67,4,FALSE),0),"")</f>
        <v/>
      </c>
      <c r="AN1174">
        <f t="shared" si="149"/>
        <v>0</v>
      </c>
      <c r="AO1174">
        <f t="shared" si="150"/>
        <v>0</v>
      </c>
      <c r="AP1174">
        <f t="shared" si="151"/>
        <v>0</v>
      </c>
    </row>
    <row r="1175" customHeight="1" spans="1:42">
      <c r="A1175" s="5" t="s">
        <v>499</v>
      </c>
      <c r="C1175" s="5">
        <v>4</v>
      </c>
      <c r="D1175" s="1" t="s">
        <v>222</v>
      </c>
      <c r="E1175" s="1" t="s">
        <v>226</v>
      </c>
      <c r="L1175" s="1">
        <f>IFERROR(VLOOKUP($D1175&amp;$C1175,生产方式定位!$A$2:$E$38,2,FALSE)+VLOOKUP($E1175&amp;$C1175,生产方式定位!$F$3:$J$38,2,FALSE),0)</f>
        <v>5600</v>
      </c>
      <c r="S1175" s="1">
        <f>IFERROR(VLOOKUP($D1175&amp;$C1175,生产方式定位!$A$2:$E$38,3,FALSE)+VLOOKUP($E1175&amp;$C1175,生产方式定位!$F$3:$J$38,3,FALSE),0)</f>
        <v>50</v>
      </c>
      <c r="X1175" s="1">
        <f>IFERROR(VLOOKUP($D1175&amp;$C1175,生产方式定位!$A$2:$E$38,5,FALSE)+VLOOKUP($E1175&amp;$C1175,生产方式定位!$F$3:$J$38,5,FALSE),"错误")</f>
        <v>3335</v>
      </c>
      <c r="Y1175" s="27" t="str">
        <f t="shared" si="144"/>
        <v/>
      </c>
      <c r="Z1175" s="37" t="str">
        <f t="shared" si="145"/>
        <v/>
      </c>
      <c r="AA1175" s="37" t="str">
        <f t="shared" si="146"/>
        <v/>
      </c>
      <c r="AB1175" s="28">
        <f t="shared" si="147"/>
        <v>1.68</v>
      </c>
      <c r="AC1175" s="37"/>
      <c r="AD1175" s="38">
        <f t="shared" si="148"/>
        <v>4</v>
      </c>
      <c r="AE1175" t="str">
        <f>IFERROR(F1175&amp;"*"&amp;ROUND(L1175*(G1175/$AN1175)/VLOOKUP(F1175,商品!$A$4:$D$67,4,FALSE),0),"")</f>
        <v/>
      </c>
      <c r="AF1175" t="str">
        <f>IFERROR(H1175&amp;"*"&amp;ROUND(L1175*(I1175/$AN1175)/VLOOKUP(H1175,商品!$A$4:$D$67,4,FALSE),0),"")</f>
        <v/>
      </c>
      <c r="AG1175" t="str">
        <f>IFERROR(J1175&amp;"*"&amp;ROUND(L1175*(K1175/$AN1175)/VLOOKUP(J1175,商品!$A$4:$D$67,4,FALSE),0),"")</f>
        <v/>
      </c>
      <c r="AH1175" t="str">
        <f>IFERROR(M1175&amp;"*"&amp;ROUND(S1175*(N1175/$AO1175)/VLOOKUP(M1175,职业!$A$3:$E$16,4,FALSE),0),"")</f>
        <v/>
      </c>
      <c r="AI1175" t="str">
        <f>IFERROR(O1175&amp;"*"&amp;ROUND(S1175*(P1175/$AO1175)/VLOOKUP(O1175,职业!$A$3:$E$16,4,FALSE),0),"")</f>
        <v/>
      </c>
      <c r="AK1175" t="str">
        <f>IFERROR(T1175&amp;"*"&amp;ROUND(X1175*(U1175/$AP1175)/VLOOKUP(T1175,商品!$A$4:$D$67,4,FALSE),0),"")</f>
        <v/>
      </c>
      <c r="AL1175" t="str">
        <f>IFERROR(V1175&amp;"*"&amp;ROUND(X1175*(W1175/$AP1175)/VLOOKUP(V1175,商品!$A$4:$D$67,4,FALSE),0),"")</f>
        <v/>
      </c>
      <c r="AN1175">
        <f t="shared" si="149"/>
        <v>0</v>
      </c>
      <c r="AO1175">
        <f t="shared" si="150"/>
        <v>0</v>
      </c>
      <c r="AP1175">
        <f t="shared" si="151"/>
        <v>0</v>
      </c>
    </row>
    <row r="1176" customHeight="1" spans="1:42">
      <c r="A1176" s="5" t="s">
        <v>499</v>
      </c>
      <c r="C1176" s="5">
        <v>5</v>
      </c>
      <c r="D1176" s="1" t="s">
        <v>222</v>
      </c>
      <c r="E1176" s="1" t="s">
        <v>226</v>
      </c>
      <c r="L1176" s="1">
        <f>IFERROR(VLOOKUP($D1176&amp;$C1176,生产方式定位!$A$2:$E$38,2,FALSE)+VLOOKUP($E1176&amp;$C1176,生产方式定位!$F$3:$J$38,2,FALSE),0)</f>
        <v>6800</v>
      </c>
      <c r="S1176" s="1">
        <f>IFERROR(VLOOKUP($D1176&amp;$C1176,生产方式定位!$A$2:$E$38,3,FALSE)+VLOOKUP($E1176&amp;$C1176,生产方式定位!$F$3:$J$38,3,FALSE),0)</f>
        <v>-100</v>
      </c>
      <c r="X1176" s="1">
        <f>IFERROR(VLOOKUP($D1176&amp;$C1176,生产方式定位!$A$2:$E$38,5,FALSE)+VLOOKUP($E1176&amp;$C1176,生产方式定位!$F$3:$J$38,5,FALSE),"错误")</f>
        <v>4190</v>
      </c>
      <c r="Y1176" s="27" t="str">
        <f t="shared" si="144"/>
        <v/>
      </c>
      <c r="Z1176" s="37" t="str">
        <f t="shared" si="145"/>
        <v/>
      </c>
      <c r="AA1176" s="37" t="str">
        <f t="shared" si="146"/>
        <v/>
      </c>
      <c r="AB1176" s="28">
        <f t="shared" si="147"/>
        <v>1.62</v>
      </c>
      <c r="AC1176" s="37"/>
      <c r="AD1176" s="38">
        <f t="shared" si="148"/>
        <v>5</v>
      </c>
      <c r="AE1176" t="str">
        <f>IFERROR(F1176&amp;"*"&amp;ROUND(L1176*(G1176/$AN1176)/VLOOKUP(F1176,商品!$A$4:$D$67,4,FALSE),0),"")</f>
        <v/>
      </c>
      <c r="AF1176" t="str">
        <f>IFERROR(H1176&amp;"*"&amp;ROUND(L1176*(I1176/$AN1176)/VLOOKUP(H1176,商品!$A$4:$D$67,4,FALSE),0),"")</f>
        <v/>
      </c>
      <c r="AG1176" t="str">
        <f>IFERROR(J1176&amp;"*"&amp;ROUND(L1176*(K1176/$AN1176)/VLOOKUP(J1176,商品!$A$4:$D$67,4,FALSE),0),"")</f>
        <v/>
      </c>
      <c r="AH1176" t="str">
        <f>IFERROR(M1176&amp;"*"&amp;ROUND(S1176*(N1176/$AO1176)/VLOOKUP(M1176,职业!$A$3:$E$16,4,FALSE),0),"")</f>
        <v/>
      </c>
      <c r="AI1176" t="str">
        <f>IFERROR(O1176&amp;"*"&amp;ROUND(S1176*(P1176/$AO1176)/VLOOKUP(O1176,职业!$A$3:$E$16,4,FALSE),0),"")</f>
        <v/>
      </c>
      <c r="AK1176" t="str">
        <f>IFERROR(T1176&amp;"*"&amp;ROUND(X1176*(U1176/$AP1176)/VLOOKUP(T1176,商品!$A$4:$D$67,4,FALSE),0),"")</f>
        <v/>
      </c>
      <c r="AL1176" t="str">
        <f>IFERROR(V1176&amp;"*"&amp;ROUND(X1176*(W1176/$AP1176)/VLOOKUP(V1176,商品!$A$4:$D$67,4,FALSE),0),"")</f>
        <v/>
      </c>
      <c r="AN1176">
        <f t="shared" si="149"/>
        <v>0</v>
      </c>
      <c r="AO1176">
        <f t="shared" si="150"/>
        <v>0</v>
      </c>
      <c r="AP1176">
        <f t="shared" si="151"/>
        <v>0</v>
      </c>
    </row>
    <row r="1177" customHeight="1" spans="1:42">
      <c r="A1177" s="18" t="s">
        <v>500</v>
      </c>
      <c r="C1177" s="18">
        <v>1</v>
      </c>
      <c r="D1177" s="1" t="s">
        <v>293</v>
      </c>
      <c r="E1177" s="1" t="s">
        <v>227</v>
      </c>
      <c r="L1177" s="1">
        <f>IFERROR(VLOOKUP($D1177&amp;$C1177,生产方式定位!$A$2:$E$38,2,FALSE)+VLOOKUP($E1177&amp;$C1177,生产方式定位!$F$3:$J$38,2,FALSE),0)</f>
        <v>0</v>
      </c>
      <c r="S1177" s="1">
        <f>IFERROR(VLOOKUP($D1177&amp;$C1177,生产方式定位!$A$2:$E$38,3,FALSE)+VLOOKUP($E1177&amp;$C1177,生产方式定位!$F$3:$J$38,3,FALSE),0)</f>
        <v>0</v>
      </c>
      <c r="X1177" s="1">
        <f>IFERROR(VLOOKUP($D1177&amp;$C1177,生产方式定位!$A$2:$E$38,5,FALSE)+VLOOKUP($E1177&amp;$C1177,生产方式定位!$F$3:$J$38,5,FALSE),"错误")</f>
        <v>0</v>
      </c>
      <c r="Y1177" s="27" t="str">
        <f t="shared" si="144"/>
        <v/>
      </c>
      <c r="Z1177" s="37" t="str">
        <f t="shared" si="145"/>
        <v/>
      </c>
      <c r="AA1177" s="37" t="str">
        <f t="shared" si="146"/>
        <v/>
      </c>
      <c r="AB1177" s="28" t="str">
        <f t="shared" si="147"/>
        <v/>
      </c>
      <c r="AC1177" s="37"/>
      <c r="AD1177" s="38">
        <f t="shared" si="148"/>
        <v>1</v>
      </c>
      <c r="AE1177" t="str">
        <f>IFERROR(F1177&amp;"*"&amp;ROUND(L1177*(G1177/$AN1177)/VLOOKUP(F1177,商品!$A$4:$D$67,4,FALSE),0),"")</f>
        <v/>
      </c>
      <c r="AF1177" t="str">
        <f>IFERROR(H1177&amp;"*"&amp;ROUND(L1177*(I1177/$AN1177)/VLOOKUP(H1177,商品!$A$4:$D$67,4,FALSE),0),"")</f>
        <v/>
      </c>
      <c r="AG1177" t="str">
        <f>IFERROR(J1177&amp;"*"&amp;ROUND(L1177*(K1177/$AN1177)/VLOOKUP(J1177,商品!$A$4:$D$67,4,FALSE),0),"")</f>
        <v/>
      </c>
      <c r="AH1177" t="str">
        <f>IFERROR(M1177&amp;"*"&amp;ROUND(S1177*(N1177/$AO1177)/VLOOKUP(M1177,职业!$A$3:$E$16,4,FALSE),0),"")</f>
        <v/>
      </c>
      <c r="AI1177" t="str">
        <f>IFERROR(O1177&amp;"*"&amp;ROUND(S1177*(P1177/$AO1177)/VLOOKUP(O1177,职业!$A$3:$E$16,4,FALSE),0),"")</f>
        <v/>
      </c>
      <c r="AK1177" t="str">
        <f>IFERROR(T1177&amp;"*"&amp;ROUND(X1177*(U1177/$AP1177)/VLOOKUP(T1177,商品!$A$4:$D$67,4,FALSE),0),"")</f>
        <v/>
      </c>
      <c r="AL1177" t="str">
        <f>IFERROR(V1177&amp;"*"&amp;ROUND(X1177*(W1177/$AP1177)/VLOOKUP(V1177,商品!$A$4:$D$67,4,FALSE),0),"")</f>
        <v/>
      </c>
      <c r="AN1177">
        <f t="shared" si="149"/>
        <v>0</v>
      </c>
      <c r="AO1177">
        <f t="shared" si="150"/>
        <v>0</v>
      </c>
      <c r="AP1177">
        <f t="shared" si="151"/>
        <v>0</v>
      </c>
    </row>
    <row r="1178" customHeight="1" spans="1:42">
      <c r="A1178" s="18" t="s">
        <v>500</v>
      </c>
      <c r="C1178" s="18">
        <v>2</v>
      </c>
      <c r="D1178" s="1" t="s">
        <v>293</v>
      </c>
      <c r="E1178" s="1" t="s">
        <v>227</v>
      </c>
      <c r="L1178" s="1">
        <f>IFERROR(VLOOKUP($D1178&amp;$C1178,生产方式定位!$A$2:$E$38,2,FALSE)+VLOOKUP($E1178&amp;$C1178,生产方式定位!$F$3:$J$38,2,FALSE),0)</f>
        <v>0</v>
      </c>
      <c r="S1178" s="1">
        <f>IFERROR(VLOOKUP($D1178&amp;$C1178,生产方式定位!$A$2:$E$38,3,FALSE)+VLOOKUP($E1178&amp;$C1178,生产方式定位!$F$3:$J$38,3,FALSE),0)</f>
        <v>0</v>
      </c>
      <c r="X1178" s="1">
        <f>IFERROR(VLOOKUP($D1178&amp;$C1178,生产方式定位!$A$2:$E$38,5,FALSE)+VLOOKUP($E1178&amp;$C1178,生产方式定位!$F$3:$J$38,5,FALSE),"错误")</f>
        <v>0</v>
      </c>
      <c r="Y1178" s="27" t="str">
        <f t="shared" si="144"/>
        <v/>
      </c>
      <c r="Z1178" s="37" t="str">
        <f t="shared" si="145"/>
        <v/>
      </c>
      <c r="AA1178" s="37" t="str">
        <f t="shared" si="146"/>
        <v/>
      </c>
      <c r="AB1178" s="28" t="str">
        <f t="shared" si="147"/>
        <v/>
      </c>
      <c r="AC1178" s="37"/>
      <c r="AD1178" s="38">
        <f t="shared" si="148"/>
        <v>2</v>
      </c>
      <c r="AE1178" t="str">
        <f>IFERROR(F1178&amp;"*"&amp;ROUND(L1178*(G1178/$AN1178)/VLOOKUP(F1178,商品!$A$4:$D$67,4,FALSE),0),"")</f>
        <v/>
      </c>
      <c r="AF1178" t="str">
        <f>IFERROR(H1178&amp;"*"&amp;ROUND(L1178*(I1178/$AN1178)/VLOOKUP(H1178,商品!$A$4:$D$67,4,FALSE),0),"")</f>
        <v/>
      </c>
      <c r="AG1178" t="str">
        <f>IFERROR(J1178&amp;"*"&amp;ROUND(L1178*(K1178/$AN1178)/VLOOKUP(J1178,商品!$A$4:$D$67,4,FALSE),0),"")</f>
        <v/>
      </c>
      <c r="AH1178" t="str">
        <f>IFERROR(M1178&amp;"*"&amp;ROUND(S1178*(N1178/$AO1178)/VLOOKUP(M1178,职业!$A$3:$E$16,4,FALSE),0),"")</f>
        <v/>
      </c>
      <c r="AI1178" t="str">
        <f>IFERROR(O1178&amp;"*"&amp;ROUND(S1178*(P1178/$AO1178)/VLOOKUP(O1178,职业!$A$3:$E$16,4,FALSE),0),"")</f>
        <v/>
      </c>
      <c r="AK1178" t="str">
        <f>IFERROR(T1178&amp;"*"&amp;ROUND(X1178*(U1178/$AP1178)/VLOOKUP(T1178,商品!$A$4:$D$67,4,FALSE),0),"")</f>
        <v/>
      </c>
      <c r="AL1178" t="str">
        <f>IFERROR(V1178&amp;"*"&amp;ROUND(X1178*(W1178/$AP1178)/VLOOKUP(V1178,商品!$A$4:$D$67,4,FALSE),0),"")</f>
        <v/>
      </c>
      <c r="AN1178">
        <f t="shared" si="149"/>
        <v>0</v>
      </c>
      <c r="AO1178">
        <f t="shared" si="150"/>
        <v>0</v>
      </c>
      <c r="AP1178">
        <f t="shared" si="151"/>
        <v>0</v>
      </c>
    </row>
    <row r="1179" customHeight="1" spans="1:42">
      <c r="A1179" s="18" t="s">
        <v>500</v>
      </c>
      <c r="C1179" s="18">
        <v>3</v>
      </c>
      <c r="D1179" s="1" t="s">
        <v>293</v>
      </c>
      <c r="E1179" s="1" t="s">
        <v>227</v>
      </c>
      <c r="L1179" s="1">
        <f>IFERROR(VLOOKUP($D1179&amp;$C1179,生产方式定位!$A$2:$E$38,2,FALSE)+VLOOKUP($E1179&amp;$C1179,生产方式定位!$F$3:$J$38,2,FALSE),0)</f>
        <v>0</v>
      </c>
      <c r="S1179" s="1">
        <f>IFERROR(VLOOKUP($D1179&amp;$C1179,生产方式定位!$A$2:$E$38,3,FALSE)+VLOOKUP($E1179&amp;$C1179,生产方式定位!$F$3:$J$38,3,FALSE),0)</f>
        <v>0</v>
      </c>
      <c r="X1179" s="1">
        <f>IFERROR(VLOOKUP($D1179&amp;$C1179,生产方式定位!$A$2:$E$38,5,FALSE)+VLOOKUP($E1179&amp;$C1179,生产方式定位!$F$3:$J$38,5,FALSE),"错误")</f>
        <v>0</v>
      </c>
      <c r="Y1179" s="27" t="str">
        <f t="shared" si="144"/>
        <v/>
      </c>
      <c r="Z1179" s="37" t="str">
        <f t="shared" si="145"/>
        <v/>
      </c>
      <c r="AA1179" s="37" t="str">
        <f t="shared" si="146"/>
        <v/>
      </c>
      <c r="AB1179" s="28" t="str">
        <f t="shared" si="147"/>
        <v/>
      </c>
      <c r="AC1179" s="37"/>
      <c r="AD1179" s="38">
        <f t="shared" si="148"/>
        <v>3</v>
      </c>
      <c r="AE1179" t="str">
        <f>IFERROR(F1179&amp;"*"&amp;ROUND(L1179*(G1179/$AN1179)/VLOOKUP(F1179,商品!$A$4:$D$67,4,FALSE),0),"")</f>
        <v/>
      </c>
      <c r="AF1179" t="str">
        <f>IFERROR(H1179&amp;"*"&amp;ROUND(L1179*(I1179/$AN1179)/VLOOKUP(H1179,商品!$A$4:$D$67,4,FALSE),0),"")</f>
        <v/>
      </c>
      <c r="AG1179" t="str">
        <f>IFERROR(J1179&amp;"*"&amp;ROUND(L1179*(K1179/$AN1179)/VLOOKUP(J1179,商品!$A$4:$D$67,4,FALSE),0),"")</f>
        <v/>
      </c>
      <c r="AH1179" t="str">
        <f>IFERROR(M1179&amp;"*"&amp;ROUND(S1179*(N1179/$AO1179)/VLOOKUP(M1179,职业!$A$3:$E$16,4,FALSE),0),"")</f>
        <v/>
      </c>
      <c r="AI1179" t="str">
        <f>IFERROR(O1179&amp;"*"&amp;ROUND(S1179*(P1179/$AO1179)/VLOOKUP(O1179,职业!$A$3:$E$16,4,FALSE),0),"")</f>
        <v/>
      </c>
      <c r="AK1179" t="str">
        <f>IFERROR(T1179&amp;"*"&amp;ROUND(X1179*(U1179/$AP1179)/VLOOKUP(T1179,商品!$A$4:$D$67,4,FALSE),0),"")</f>
        <v/>
      </c>
      <c r="AL1179" t="str">
        <f>IFERROR(V1179&amp;"*"&amp;ROUND(X1179*(W1179/$AP1179)/VLOOKUP(V1179,商品!$A$4:$D$67,4,FALSE),0),"")</f>
        <v/>
      </c>
      <c r="AN1179">
        <f t="shared" si="149"/>
        <v>0</v>
      </c>
      <c r="AO1179">
        <f t="shared" si="150"/>
        <v>0</v>
      </c>
      <c r="AP1179">
        <f t="shared" si="151"/>
        <v>0</v>
      </c>
    </row>
    <row r="1180" customHeight="1" spans="1:42">
      <c r="A1180" s="18" t="s">
        <v>500</v>
      </c>
      <c r="C1180" s="18">
        <v>4</v>
      </c>
      <c r="D1180" s="1" t="s">
        <v>293</v>
      </c>
      <c r="E1180" s="1" t="s">
        <v>227</v>
      </c>
      <c r="L1180" s="1">
        <f>IFERROR(VLOOKUP($D1180&amp;$C1180,生产方式定位!$A$2:$E$38,2,FALSE)+VLOOKUP($E1180&amp;$C1180,生产方式定位!$F$3:$J$38,2,FALSE),0)</f>
        <v>0</v>
      </c>
      <c r="S1180" s="1">
        <f>IFERROR(VLOOKUP($D1180&amp;$C1180,生产方式定位!$A$2:$E$38,3,FALSE)+VLOOKUP($E1180&amp;$C1180,生产方式定位!$F$3:$J$38,3,FALSE),0)</f>
        <v>0</v>
      </c>
      <c r="X1180" s="1">
        <f>IFERROR(VLOOKUP($D1180&amp;$C1180,生产方式定位!$A$2:$E$38,5,FALSE)+VLOOKUP($E1180&amp;$C1180,生产方式定位!$F$3:$J$38,5,FALSE),"错误")</f>
        <v>0</v>
      </c>
      <c r="Y1180" s="27" t="str">
        <f t="shared" si="144"/>
        <v/>
      </c>
      <c r="Z1180" s="37" t="str">
        <f t="shared" si="145"/>
        <v/>
      </c>
      <c r="AA1180" s="37" t="str">
        <f t="shared" si="146"/>
        <v/>
      </c>
      <c r="AB1180" s="28" t="str">
        <f t="shared" si="147"/>
        <v/>
      </c>
      <c r="AC1180" s="37"/>
      <c r="AD1180" s="38">
        <f t="shared" si="148"/>
        <v>4</v>
      </c>
      <c r="AE1180" t="str">
        <f>IFERROR(F1180&amp;"*"&amp;ROUND(L1180*(G1180/$AN1180)/VLOOKUP(F1180,商品!$A$4:$D$67,4,FALSE),0),"")</f>
        <v/>
      </c>
      <c r="AF1180" t="str">
        <f>IFERROR(H1180&amp;"*"&amp;ROUND(L1180*(I1180/$AN1180)/VLOOKUP(H1180,商品!$A$4:$D$67,4,FALSE),0),"")</f>
        <v/>
      </c>
      <c r="AG1180" t="str">
        <f>IFERROR(J1180&amp;"*"&amp;ROUND(L1180*(K1180/$AN1180)/VLOOKUP(J1180,商品!$A$4:$D$67,4,FALSE),0),"")</f>
        <v/>
      </c>
      <c r="AH1180" t="str">
        <f>IFERROR(M1180&amp;"*"&amp;ROUND(S1180*(N1180/$AO1180)/VLOOKUP(M1180,职业!$A$3:$E$16,4,FALSE),0),"")</f>
        <v/>
      </c>
      <c r="AI1180" t="str">
        <f>IFERROR(O1180&amp;"*"&amp;ROUND(S1180*(P1180/$AO1180)/VLOOKUP(O1180,职业!$A$3:$E$16,4,FALSE),0),"")</f>
        <v/>
      </c>
      <c r="AK1180" t="str">
        <f>IFERROR(T1180&amp;"*"&amp;ROUND(X1180*(U1180/$AP1180)/VLOOKUP(T1180,商品!$A$4:$D$67,4,FALSE),0),"")</f>
        <v/>
      </c>
      <c r="AL1180" t="str">
        <f>IFERROR(V1180&amp;"*"&amp;ROUND(X1180*(W1180/$AP1180)/VLOOKUP(V1180,商品!$A$4:$D$67,4,FALSE),0),"")</f>
        <v/>
      </c>
      <c r="AN1180">
        <f t="shared" si="149"/>
        <v>0</v>
      </c>
      <c r="AO1180">
        <f t="shared" si="150"/>
        <v>0</v>
      </c>
      <c r="AP1180">
        <f t="shared" si="151"/>
        <v>0</v>
      </c>
    </row>
    <row r="1181" customHeight="1" spans="1:42">
      <c r="A1181" s="18" t="s">
        <v>500</v>
      </c>
      <c r="C1181" s="18">
        <v>5</v>
      </c>
      <c r="D1181" s="1" t="s">
        <v>293</v>
      </c>
      <c r="E1181" s="1" t="s">
        <v>227</v>
      </c>
      <c r="L1181" s="1">
        <f>IFERROR(VLOOKUP($D1181&amp;$C1181,生产方式定位!$A$2:$E$38,2,FALSE)+VLOOKUP($E1181&amp;$C1181,生产方式定位!$F$3:$J$38,2,FALSE),0)</f>
        <v>0</v>
      </c>
      <c r="S1181" s="1">
        <f>IFERROR(VLOOKUP($D1181&amp;$C1181,生产方式定位!$A$2:$E$38,3,FALSE)+VLOOKUP($E1181&amp;$C1181,生产方式定位!$F$3:$J$38,3,FALSE),0)</f>
        <v>0</v>
      </c>
      <c r="X1181" s="1">
        <f>IFERROR(VLOOKUP($D1181&amp;$C1181,生产方式定位!$A$2:$E$38,5,FALSE)+VLOOKUP($E1181&amp;$C1181,生产方式定位!$F$3:$J$38,5,FALSE),"错误")</f>
        <v>0</v>
      </c>
      <c r="Y1181" s="27" t="str">
        <f t="shared" si="144"/>
        <v/>
      </c>
      <c r="Z1181" s="37" t="str">
        <f t="shared" si="145"/>
        <v/>
      </c>
      <c r="AA1181" s="37" t="str">
        <f t="shared" si="146"/>
        <v/>
      </c>
      <c r="AB1181" s="28" t="str">
        <f t="shared" si="147"/>
        <v/>
      </c>
      <c r="AC1181" s="37"/>
      <c r="AD1181" s="38">
        <f t="shared" si="148"/>
        <v>5</v>
      </c>
      <c r="AE1181" t="str">
        <f>IFERROR(F1181&amp;"*"&amp;ROUND(L1181*(G1181/$AN1181)/VLOOKUP(F1181,商品!$A$4:$D$67,4,FALSE),0),"")</f>
        <v/>
      </c>
      <c r="AF1181" t="str">
        <f>IFERROR(H1181&amp;"*"&amp;ROUND(L1181*(I1181/$AN1181)/VLOOKUP(H1181,商品!$A$4:$D$67,4,FALSE),0),"")</f>
        <v/>
      </c>
      <c r="AG1181" t="str">
        <f>IFERROR(J1181&amp;"*"&amp;ROUND(L1181*(K1181/$AN1181)/VLOOKUP(J1181,商品!$A$4:$D$67,4,FALSE),0),"")</f>
        <v/>
      </c>
      <c r="AH1181" t="str">
        <f>IFERROR(M1181&amp;"*"&amp;ROUND(S1181*(N1181/$AO1181)/VLOOKUP(M1181,职业!$A$3:$E$16,4,FALSE),0),"")</f>
        <v/>
      </c>
      <c r="AI1181" t="str">
        <f>IFERROR(O1181&amp;"*"&amp;ROUND(S1181*(P1181/$AO1181)/VLOOKUP(O1181,职业!$A$3:$E$16,4,FALSE),0),"")</f>
        <v/>
      </c>
      <c r="AK1181" t="str">
        <f>IFERROR(T1181&amp;"*"&amp;ROUND(X1181*(U1181/$AP1181)/VLOOKUP(T1181,商品!$A$4:$D$67,4,FALSE),0),"")</f>
        <v/>
      </c>
      <c r="AL1181" t="str">
        <f>IFERROR(V1181&amp;"*"&amp;ROUND(X1181*(W1181/$AP1181)/VLOOKUP(V1181,商品!$A$4:$D$67,4,FALSE),0),"")</f>
        <v/>
      </c>
      <c r="AN1181">
        <f t="shared" si="149"/>
        <v>0</v>
      </c>
      <c r="AO1181">
        <f t="shared" si="150"/>
        <v>0</v>
      </c>
      <c r="AP1181">
        <f t="shared" si="151"/>
        <v>0</v>
      </c>
    </row>
    <row r="1182" customHeight="1" spans="1:42">
      <c r="A1182" s="18" t="s">
        <v>500</v>
      </c>
      <c r="C1182" s="18">
        <v>6</v>
      </c>
      <c r="D1182" s="1" t="s">
        <v>293</v>
      </c>
      <c r="E1182" s="1" t="s">
        <v>227</v>
      </c>
      <c r="L1182" s="1">
        <f>IFERROR(VLOOKUP($D1182&amp;$C1182,生产方式定位!$A$2:$E$38,2,FALSE)+VLOOKUP($E1182&amp;$C1182,生产方式定位!$F$3:$J$38,2,FALSE),0)</f>
        <v>0</v>
      </c>
      <c r="S1182" s="1">
        <f>IFERROR(VLOOKUP($D1182&amp;$C1182,生产方式定位!$A$2:$E$38,3,FALSE)+VLOOKUP($E1182&amp;$C1182,生产方式定位!$F$3:$J$38,3,FALSE),0)</f>
        <v>0</v>
      </c>
      <c r="X1182" s="1">
        <f>IFERROR(VLOOKUP($D1182&amp;$C1182,生产方式定位!$A$2:$E$38,5,FALSE)+VLOOKUP($E1182&amp;$C1182,生产方式定位!$F$3:$J$38,5,FALSE),"错误")</f>
        <v>0</v>
      </c>
      <c r="Y1182" s="27" t="str">
        <f t="shared" si="144"/>
        <v/>
      </c>
      <c r="Z1182" s="37" t="str">
        <f t="shared" si="145"/>
        <v/>
      </c>
      <c r="AA1182" s="37" t="str">
        <f t="shared" si="146"/>
        <v/>
      </c>
      <c r="AB1182" s="28" t="str">
        <f t="shared" si="147"/>
        <v/>
      </c>
      <c r="AC1182" s="37"/>
      <c r="AD1182" s="38">
        <f t="shared" si="148"/>
        <v>6</v>
      </c>
      <c r="AE1182" t="str">
        <f>IFERROR(F1182&amp;"*"&amp;ROUND(L1182*(G1182/$AN1182)/VLOOKUP(F1182,商品!$A$4:$D$67,4,FALSE),0),"")</f>
        <v/>
      </c>
      <c r="AF1182" t="str">
        <f>IFERROR(H1182&amp;"*"&amp;ROUND(L1182*(I1182/$AN1182)/VLOOKUP(H1182,商品!$A$4:$D$67,4,FALSE),0),"")</f>
        <v/>
      </c>
      <c r="AG1182" t="str">
        <f>IFERROR(J1182&amp;"*"&amp;ROUND(L1182*(K1182/$AN1182)/VLOOKUP(J1182,商品!$A$4:$D$67,4,FALSE),0),"")</f>
        <v/>
      </c>
      <c r="AH1182" t="str">
        <f>IFERROR(M1182&amp;"*"&amp;ROUND(S1182*(N1182/$AO1182)/VLOOKUP(M1182,职业!$A$3:$E$16,4,FALSE),0),"")</f>
        <v/>
      </c>
      <c r="AI1182" t="str">
        <f>IFERROR(O1182&amp;"*"&amp;ROUND(S1182*(P1182/$AO1182)/VLOOKUP(O1182,职业!$A$3:$E$16,4,FALSE),0),"")</f>
        <v/>
      </c>
      <c r="AK1182" t="str">
        <f>IFERROR(T1182&amp;"*"&amp;ROUND(X1182*(U1182/$AP1182)/VLOOKUP(T1182,商品!$A$4:$D$67,4,FALSE),0),"")</f>
        <v/>
      </c>
      <c r="AL1182" t="str">
        <f>IFERROR(V1182&amp;"*"&amp;ROUND(X1182*(W1182/$AP1182)/VLOOKUP(V1182,商品!$A$4:$D$67,4,FALSE),0),"")</f>
        <v/>
      </c>
      <c r="AN1182">
        <f t="shared" si="149"/>
        <v>0</v>
      </c>
      <c r="AO1182">
        <f t="shared" si="150"/>
        <v>0</v>
      </c>
      <c r="AP1182">
        <f t="shared" si="151"/>
        <v>0</v>
      </c>
    </row>
    <row r="1183" customHeight="1" spans="1:42">
      <c r="A1183" s="18" t="s">
        <v>500</v>
      </c>
      <c r="C1183" s="18">
        <v>7</v>
      </c>
      <c r="D1183" s="1" t="s">
        <v>293</v>
      </c>
      <c r="E1183" s="1" t="s">
        <v>227</v>
      </c>
      <c r="L1183" s="1">
        <f>IFERROR(VLOOKUP($D1183&amp;$C1183,生产方式定位!$A$2:$E$38,2,FALSE)+VLOOKUP($E1183&amp;$C1183,生产方式定位!$F$3:$J$38,2,FALSE),0)</f>
        <v>0</v>
      </c>
      <c r="S1183" s="1">
        <f>IFERROR(VLOOKUP($D1183&amp;$C1183,生产方式定位!$A$2:$E$38,3,FALSE)+VLOOKUP($E1183&amp;$C1183,生产方式定位!$F$3:$J$38,3,FALSE),0)</f>
        <v>0</v>
      </c>
      <c r="X1183" s="1">
        <f>IFERROR(VLOOKUP($D1183&amp;$C1183,生产方式定位!$A$2:$E$38,5,FALSE)+VLOOKUP($E1183&amp;$C1183,生产方式定位!$F$3:$J$38,5,FALSE),"错误")</f>
        <v>0</v>
      </c>
      <c r="Y1183" s="27" t="str">
        <f t="shared" si="144"/>
        <v/>
      </c>
      <c r="Z1183" s="37" t="str">
        <f t="shared" si="145"/>
        <v/>
      </c>
      <c r="AA1183" s="37" t="str">
        <f t="shared" si="146"/>
        <v/>
      </c>
      <c r="AB1183" s="28" t="str">
        <f t="shared" si="147"/>
        <v/>
      </c>
      <c r="AC1183" s="37"/>
      <c r="AD1183" s="38">
        <f t="shared" si="148"/>
        <v>7</v>
      </c>
      <c r="AE1183" t="str">
        <f>IFERROR(F1183&amp;"*"&amp;ROUND(L1183*(G1183/$AN1183)/VLOOKUP(F1183,商品!$A$4:$D$67,4,FALSE),0),"")</f>
        <v/>
      </c>
      <c r="AF1183" t="str">
        <f>IFERROR(H1183&amp;"*"&amp;ROUND(L1183*(I1183/$AN1183)/VLOOKUP(H1183,商品!$A$4:$D$67,4,FALSE),0),"")</f>
        <v/>
      </c>
      <c r="AG1183" t="str">
        <f>IFERROR(J1183&amp;"*"&amp;ROUND(L1183*(K1183/$AN1183)/VLOOKUP(J1183,商品!$A$4:$D$67,4,FALSE),0),"")</f>
        <v/>
      </c>
      <c r="AH1183" t="str">
        <f>IFERROR(M1183&amp;"*"&amp;ROUND(S1183*(N1183/$AO1183)/VLOOKUP(M1183,职业!$A$3:$E$16,4,FALSE),0),"")</f>
        <v/>
      </c>
      <c r="AI1183" t="str">
        <f>IFERROR(O1183&amp;"*"&amp;ROUND(S1183*(P1183/$AO1183)/VLOOKUP(O1183,职业!$A$3:$E$16,4,FALSE),0),"")</f>
        <v/>
      </c>
      <c r="AK1183" t="str">
        <f>IFERROR(T1183&amp;"*"&amp;ROUND(X1183*(U1183/$AP1183)/VLOOKUP(T1183,商品!$A$4:$D$67,4,FALSE),0),"")</f>
        <v/>
      </c>
      <c r="AL1183" t="str">
        <f>IFERROR(V1183&amp;"*"&amp;ROUND(X1183*(W1183/$AP1183)/VLOOKUP(V1183,商品!$A$4:$D$67,4,FALSE),0),"")</f>
        <v/>
      </c>
      <c r="AN1183">
        <f t="shared" si="149"/>
        <v>0</v>
      </c>
      <c r="AO1183">
        <f t="shared" si="150"/>
        <v>0</v>
      </c>
      <c r="AP1183">
        <f t="shared" si="151"/>
        <v>0</v>
      </c>
    </row>
    <row r="1184" customHeight="1" spans="1:42">
      <c r="A1184" s="18" t="s">
        <v>500</v>
      </c>
      <c r="C1184" s="18">
        <v>8</v>
      </c>
      <c r="D1184" s="1" t="s">
        <v>293</v>
      </c>
      <c r="E1184" s="1" t="s">
        <v>227</v>
      </c>
      <c r="L1184" s="1">
        <f>IFERROR(VLOOKUP($D1184&amp;$C1184,生产方式定位!$A$2:$E$38,2,FALSE)+VLOOKUP($E1184&amp;$C1184,生产方式定位!$F$3:$J$38,2,FALSE),0)</f>
        <v>0</v>
      </c>
      <c r="S1184" s="1">
        <f>IFERROR(VLOOKUP($D1184&amp;$C1184,生产方式定位!$A$2:$E$38,3,FALSE)+VLOOKUP($E1184&amp;$C1184,生产方式定位!$F$3:$J$38,3,FALSE),0)</f>
        <v>0</v>
      </c>
      <c r="X1184" s="1">
        <f>IFERROR(VLOOKUP($D1184&amp;$C1184,生产方式定位!$A$2:$E$38,5,FALSE)+VLOOKUP($E1184&amp;$C1184,生产方式定位!$F$3:$J$38,5,FALSE),"错误")</f>
        <v>0</v>
      </c>
      <c r="Y1184" s="27" t="str">
        <f t="shared" si="144"/>
        <v/>
      </c>
      <c r="Z1184" s="37" t="str">
        <f t="shared" si="145"/>
        <v/>
      </c>
      <c r="AA1184" s="37" t="str">
        <f t="shared" si="146"/>
        <v/>
      </c>
      <c r="AB1184" s="28" t="str">
        <f t="shared" si="147"/>
        <v/>
      </c>
      <c r="AC1184" s="37"/>
      <c r="AD1184" s="38">
        <f t="shared" si="148"/>
        <v>8</v>
      </c>
      <c r="AE1184" t="str">
        <f>IFERROR(F1184&amp;"*"&amp;ROUND(L1184*(G1184/$AN1184)/VLOOKUP(F1184,商品!$A$4:$D$67,4,FALSE),0),"")</f>
        <v/>
      </c>
      <c r="AF1184" t="str">
        <f>IFERROR(H1184&amp;"*"&amp;ROUND(L1184*(I1184/$AN1184)/VLOOKUP(H1184,商品!$A$4:$D$67,4,FALSE),0),"")</f>
        <v/>
      </c>
      <c r="AG1184" t="str">
        <f>IFERROR(J1184&amp;"*"&amp;ROUND(L1184*(K1184/$AN1184)/VLOOKUP(J1184,商品!$A$4:$D$67,4,FALSE),0),"")</f>
        <v/>
      </c>
      <c r="AH1184" t="str">
        <f>IFERROR(M1184&amp;"*"&amp;ROUND(S1184*(N1184/$AO1184)/VLOOKUP(M1184,职业!$A$3:$E$16,4,FALSE),0),"")</f>
        <v/>
      </c>
      <c r="AI1184" t="str">
        <f>IFERROR(O1184&amp;"*"&amp;ROUND(S1184*(P1184/$AO1184)/VLOOKUP(O1184,职业!$A$3:$E$16,4,FALSE),0),"")</f>
        <v/>
      </c>
      <c r="AK1184" t="str">
        <f>IFERROR(T1184&amp;"*"&amp;ROUND(X1184*(U1184/$AP1184)/VLOOKUP(T1184,商品!$A$4:$D$67,4,FALSE),0),"")</f>
        <v/>
      </c>
      <c r="AL1184" t="str">
        <f>IFERROR(V1184&amp;"*"&amp;ROUND(X1184*(W1184/$AP1184)/VLOOKUP(V1184,商品!$A$4:$D$67,4,FALSE),0),"")</f>
        <v/>
      </c>
      <c r="AN1184">
        <f t="shared" si="149"/>
        <v>0</v>
      </c>
      <c r="AO1184">
        <f t="shared" si="150"/>
        <v>0</v>
      </c>
      <c r="AP1184">
        <f t="shared" si="151"/>
        <v>0</v>
      </c>
    </row>
    <row r="1185" customHeight="1" spans="1:42">
      <c r="A1185" s="5" t="s">
        <v>502</v>
      </c>
      <c r="C1185" s="5">
        <v>1</v>
      </c>
      <c r="D1185" s="1" t="s">
        <v>222</v>
      </c>
      <c r="E1185" s="1" t="s">
        <v>224</v>
      </c>
      <c r="L1185" s="1">
        <f>IFERROR(VLOOKUP($D1185&amp;$C1185,生产方式定位!$A$2:$E$38,2,FALSE)+VLOOKUP($E1185&amp;$C1185,生产方式定位!$F$3:$J$38,2,FALSE),0)</f>
        <v>0</v>
      </c>
      <c r="S1185" s="1">
        <f>IFERROR(VLOOKUP($D1185&amp;$C1185,生产方式定位!$A$2:$E$38,3,FALSE)+VLOOKUP($E1185&amp;$C1185,生产方式定位!$F$3:$J$38,3,FALSE),0)</f>
        <v>500</v>
      </c>
      <c r="X1185" s="1">
        <f>IFERROR(VLOOKUP($D1185&amp;$C1185,生产方式定位!$A$2:$E$38,5,FALSE)+VLOOKUP($E1185&amp;$C1185,生产方式定位!$F$3:$J$38,5,FALSE),"错误")</f>
        <v>250</v>
      </c>
      <c r="Y1185" s="27" t="str">
        <f t="shared" si="144"/>
        <v/>
      </c>
      <c r="Z1185" s="37" t="str">
        <f t="shared" si="145"/>
        <v/>
      </c>
      <c r="AA1185" s="37" t="str">
        <f t="shared" si="146"/>
        <v/>
      </c>
      <c r="AB1185" s="28">
        <f t="shared" si="147"/>
        <v>0</v>
      </c>
      <c r="AC1185" s="37"/>
      <c r="AD1185" s="38">
        <f t="shared" si="148"/>
        <v>1</v>
      </c>
      <c r="AE1185" t="str">
        <f>IFERROR(F1185&amp;"*"&amp;ROUND(L1185*(G1185/$AN1185)/VLOOKUP(F1185,商品!$A$4:$D$67,4,FALSE),0),"")</f>
        <v/>
      </c>
      <c r="AF1185" t="str">
        <f>IFERROR(H1185&amp;"*"&amp;ROUND(L1185*(I1185/$AN1185)/VLOOKUP(H1185,商品!$A$4:$D$67,4,FALSE),0),"")</f>
        <v/>
      </c>
      <c r="AG1185" t="str">
        <f>IFERROR(J1185&amp;"*"&amp;ROUND(L1185*(K1185/$AN1185)/VLOOKUP(J1185,商品!$A$4:$D$67,4,FALSE),0),"")</f>
        <v/>
      </c>
      <c r="AH1185" t="str">
        <f>IFERROR(M1185&amp;"*"&amp;ROUND(S1185*(N1185/$AO1185)/VLOOKUP(M1185,职业!$A$3:$E$16,4,FALSE),0),"")</f>
        <v/>
      </c>
      <c r="AI1185" t="str">
        <f>IFERROR(O1185&amp;"*"&amp;ROUND(S1185*(P1185/$AO1185)/VLOOKUP(O1185,职业!$A$3:$E$16,4,FALSE),0),"")</f>
        <v/>
      </c>
      <c r="AK1185" t="str">
        <f>IFERROR(T1185&amp;"*"&amp;ROUND(X1185*(U1185/$AP1185)/VLOOKUP(T1185,商品!$A$4:$D$67,4,FALSE),0),"")</f>
        <v/>
      </c>
      <c r="AL1185" t="str">
        <f>IFERROR(V1185&amp;"*"&amp;ROUND(X1185*(W1185/$AP1185)/VLOOKUP(V1185,商品!$A$4:$D$67,4,FALSE),0),"")</f>
        <v/>
      </c>
      <c r="AN1185">
        <f t="shared" si="149"/>
        <v>0</v>
      </c>
      <c r="AO1185">
        <f t="shared" si="150"/>
        <v>0</v>
      </c>
      <c r="AP1185">
        <f t="shared" si="151"/>
        <v>0</v>
      </c>
    </row>
    <row r="1186" customHeight="1" spans="1:42">
      <c r="A1186" s="5" t="s">
        <v>502</v>
      </c>
      <c r="C1186" s="5">
        <v>2</v>
      </c>
      <c r="D1186" s="1" t="s">
        <v>222</v>
      </c>
      <c r="E1186" s="1" t="s">
        <v>224</v>
      </c>
      <c r="L1186" s="1">
        <f>IFERROR(VLOOKUP($D1186&amp;$C1186,生产方式定位!$A$2:$E$38,2,FALSE)+VLOOKUP($E1186&amp;$C1186,生产方式定位!$F$3:$J$38,2,FALSE),0)</f>
        <v>2200</v>
      </c>
      <c r="S1186" s="1">
        <f>IFERROR(VLOOKUP($D1186&amp;$C1186,生产方式定位!$A$2:$E$38,3,FALSE)+VLOOKUP($E1186&amp;$C1186,生产方式定位!$F$3:$J$38,3,FALSE),0)</f>
        <v>750</v>
      </c>
      <c r="X1186" s="1">
        <f>IFERROR(VLOOKUP($D1186&amp;$C1186,生产方式定位!$A$2:$E$38,5,FALSE)+VLOOKUP($E1186&amp;$C1186,生产方式定位!$F$3:$J$38,5,FALSE),"错误")</f>
        <v>1547</v>
      </c>
      <c r="Y1186" s="27" t="str">
        <f t="shared" si="144"/>
        <v/>
      </c>
      <c r="Z1186" s="37" t="str">
        <f t="shared" si="145"/>
        <v/>
      </c>
      <c r="AA1186" s="37" t="str">
        <f t="shared" si="146"/>
        <v/>
      </c>
      <c r="AB1186" s="28">
        <f t="shared" si="147"/>
        <v>1.42</v>
      </c>
      <c r="AC1186" s="37"/>
      <c r="AD1186" s="38">
        <f t="shared" si="148"/>
        <v>2</v>
      </c>
      <c r="AE1186" t="str">
        <f>IFERROR(F1186&amp;"*"&amp;ROUND(L1186*(G1186/$AN1186)/VLOOKUP(F1186,商品!$A$4:$D$67,4,FALSE),0),"")</f>
        <v/>
      </c>
      <c r="AF1186" t="str">
        <f>IFERROR(H1186&amp;"*"&amp;ROUND(L1186*(I1186/$AN1186)/VLOOKUP(H1186,商品!$A$4:$D$67,4,FALSE),0),"")</f>
        <v/>
      </c>
      <c r="AG1186" t="str">
        <f>IFERROR(J1186&amp;"*"&amp;ROUND(L1186*(K1186/$AN1186)/VLOOKUP(J1186,商品!$A$4:$D$67,4,FALSE),0),"")</f>
        <v/>
      </c>
      <c r="AH1186" t="str">
        <f>IFERROR(M1186&amp;"*"&amp;ROUND(S1186*(N1186/$AO1186)/VLOOKUP(M1186,职业!$A$3:$E$16,4,FALSE),0),"")</f>
        <v/>
      </c>
      <c r="AI1186" t="str">
        <f>IFERROR(O1186&amp;"*"&amp;ROUND(S1186*(P1186/$AO1186)/VLOOKUP(O1186,职业!$A$3:$E$16,4,FALSE),0),"")</f>
        <v/>
      </c>
      <c r="AK1186" t="str">
        <f>IFERROR(T1186&amp;"*"&amp;ROUND(X1186*(U1186/$AP1186)/VLOOKUP(T1186,商品!$A$4:$D$67,4,FALSE),0),"")</f>
        <v/>
      </c>
      <c r="AL1186" t="str">
        <f>IFERROR(V1186&amp;"*"&amp;ROUND(X1186*(W1186/$AP1186)/VLOOKUP(V1186,商品!$A$4:$D$67,4,FALSE),0),"")</f>
        <v/>
      </c>
      <c r="AN1186">
        <f t="shared" si="149"/>
        <v>0</v>
      </c>
      <c r="AO1186">
        <f t="shared" si="150"/>
        <v>0</v>
      </c>
      <c r="AP1186">
        <f t="shared" si="151"/>
        <v>0</v>
      </c>
    </row>
    <row r="1187" customHeight="1" spans="1:42">
      <c r="A1187" s="5" t="s">
        <v>502</v>
      </c>
      <c r="C1187" s="5">
        <v>3</v>
      </c>
      <c r="D1187" s="1" t="s">
        <v>222</v>
      </c>
      <c r="E1187" s="1" t="s">
        <v>224</v>
      </c>
      <c r="L1187" s="1">
        <f>IFERROR(VLOOKUP($D1187&amp;$C1187,生产方式定位!$A$2:$E$38,2,FALSE)+VLOOKUP($E1187&amp;$C1187,生产方式定位!$F$3:$J$38,2,FALSE),0)</f>
        <v>3400</v>
      </c>
      <c r="S1187" s="1">
        <f>IFERROR(VLOOKUP($D1187&amp;$C1187,生产方式定位!$A$2:$E$38,3,FALSE)+VLOOKUP($E1187&amp;$C1187,生产方式定位!$F$3:$J$38,3,FALSE),0)</f>
        <v>1000</v>
      </c>
      <c r="X1187" s="1">
        <f>IFERROR(VLOOKUP($D1187&amp;$C1187,生产方式定位!$A$2:$E$38,5,FALSE)+VLOOKUP($E1187&amp;$C1187,生产方式定位!$F$3:$J$38,5,FALSE),"错误")</f>
        <v>2488</v>
      </c>
      <c r="Y1187" s="27" t="str">
        <f t="shared" si="144"/>
        <v/>
      </c>
      <c r="Z1187" s="37" t="str">
        <f t="shared" si="145"/>
        <v/>
      </c>
      <c r="AA1187" s="37" t="str">
        <f t="shared" si="146"/>
        <v/>
      </c>
      <c r="AB1187" s="28">
        <f t="shared" si="147"/>
        <v>1.37</v>
      </c>
      <c r="AC1187" s="37"/>
      <c r="AD1187" s="38">
        <f t="shared" si="148"/>
        <v>3</v>
      </c>
      <c r="AE1187" t="str">
        <f>IFERROR(F1187&amp;"*"&amp;ROUND(L1187*(G1187/$AN1187)/VLOOKUP(F1187,商品!$A$4:$D$67,4,FALSE),0),"")</f>
        <v/>
      </c>
      <c r="AF1187" t="str">
        <f>IFERROR(H1187&amp;"*"&amp;ROUND(L1187*(I1187/$AN1187)/VLOOKUP(H1187,商品!$A$4:$D$67,4,FALSE),0),"")</f>
        <v/>
      </c>
      <c r="AG1187" t="str">
        <f>IFERROR(J1187&amp;"*"&amp;ROUND(L1187*(K1187/$AN1187)/VLOOKUP(J1187,商品!$A$4:$D$67,4,FALSE),0),"")</f>
        <v/>
      </c>
      <c r="AH1187" t="str">
        <f>IFERROR(M1187&amp;"*"&amp;ROUND(S1187*(N1187/$AO1187)/VLOOKUP(M1187,职业!$A$3:$E$16,4,FALSE),0),"")</f>
        <v/>
      </c>
      <c r="AI1187" t="str">
        <f>IFERROR(O1187&amp;"*"&amp;ROUND(S1187*(P1187/$AO1187)/VLOOKUP(O1187,职业!$A$3:$E$16,4,FALSE),0),"")</f>
        <v/>
      </c>
      <c r="AK1187" t="str">
        <f>IFERROR(T1187&amp;"*"&amp;ROUND(X1187*(U1187/$AP1187)/VLOOKUP(T1187,商品!$A$4:$D$67,4,FALSE),0),"")</f>
        <v/>
      </c>
      <c r="AL1187" t="str">
        <f>IFERROR(V1187&amp;"*"&amp;ROUND(X1187*(W1187/$AP1187)/VLOOKUP(V1187,商品!$A$4:$D$67,4,FALSE),0),"")</f>
        <v/>
      </c>
      <c r="AN1187">
        <f t="shared" si="149"/>
        <v>0</v>
      </c>
      <c r="AO1187">
        <f t="shared" si="150"/>
        <v>0</v>
      </c>
      <c r="AP1187">
        <f t="shared" si="151"/>
        <v>0</v>
      </c>
    </row>
    <row r="1188" customHeight="1" spans="1:42">
      <c r="A1188" s="5" t="s">
        <v>502</v>
      </c>
      <c r="C1188" s="5">
        <v>4</v>
      </c>
      <c r="D1188" s="1" t="s">
        <v>222</v>
      </c>
      <c r="E1188" s="1" t="s">
        <v>224</v>
      </c>
      <c r="L1188" s="1">
        <f>IFERROR(VLOOKUP($D1188&amp;$C1188,生产方式定位!$A$2:$E$38,2,FALSE)+VLOOKUP($E1188&amp;$C1188,生产方式定位!$F$3:$J$38,2,FALSE),0)</f>
        <v>4600</v>
      </c>
      <c r="S1188" s="1">
        <f>IFERROR(VLOOKUP($D1188&amp;$C1188,生产方式定位!$A$2:$E$38,3,FALSE)+VLOOKUP($E1188&amp;$C1188,生产方式定位!$F$3:$J$38,3,FALSE),0)</f>
        <v>1250</v>
      </c>
      <c r="X1188" s="1">
        <f>IFERROR(VLOOKUP($D1188&amp;$C1188,生产方式定位!$A$2:$E$38,5,FALSE)+VLOOKUP($E1188&amp;$C1188,生产方式定位!$F$3:$J$38,5,FALSE),"错误")</f>
        <v>3573</v>
      </c>
      <c r="Y1188" s="27" t="str">
        <f t="shared" si="144"/>
        <v/>
      </c>
      <c r="Z1188" s="37" t="str">
        <f t="shared" si="145"/>
        <v/>
      </c>
      <c r="AA1188" s="37" t="str">
        <f t="shared" si="146"/>
        <v/>
      </c>
      <c r="AB1188" s="28">
        <f t="shared" si="147"/>
        <v>1.29</v>
      </c>
      <c r="AC1188" s="37"/>
      <c r="AD1188" s="38">
        <f t="shared" si="148"/>
        <v>4</v>
      </c>
      <c r="AE1188" t="str">
        <f>IFERROR(F1188&amp;"*"&amp;ROUND(L1188*(G1188/$AN1188)/VLOOKUP(F1188,商品!$A$4:$D$67,4,FALSE),0),"")</f>
        <v/>
      </c>
      <c r="AF1188" t="str">
        <f>IFERROR(H1188&amp;"*"&amp;ROUND(L1188*(I1188/$AN1188)/VLOOKUP(H1188,商品!$A$4:$D$67,4,FALSE),0),"")</f>
        <v/>
      </c>
      <c r="AG1188" t="str">
        <f>IFERROR(J1188&amp;"*"&amp;ROUND(L1188*(K1188/$AN1188)/VLOOKUP(J1188,商品!$A$4:$D$67,4,FALSE),0),"")</f>
        <v/>
      </c>
      <c r="AH1188" t="str">
        <f>IFERROR(M1188&amp;"*"&amp;ROUND(S1188*(N1188/$AO1188)/VLOOKUP(M1188,职业!$A$3:$E$16,4,FALSE),0),"")</f>
        <v/>
      </c>
      <c r="AI1188" t="str">
        <f>IFERROR(O1188&amp;"*"&amp;ROUND(S1188*(P1188/$AO1188)/VLOOKUP(O1188,职业!$A$3:$E$16,4,FALSE),0),"")</f>
        <v/>
      </c>
      <c r="AK1188" t="str">
        <f>IFERROR(T1188&amp;"*"&amp;ROUND(X1188*(U1188/$AP1188)/VLOOKUP(T1188,商品!$A$4:$D$67,4,FALSE),0),"")</f>
        <v/>
      </c>
      <c r="AL1188" t="str">
        <f>IFERROR(V1188&amp;"*"&amp;ROUND(X1188*(W1188/$AP1188)/VLOOKUP(V1188,商品!$A$4:$D$67,4,FALSE),0),"")</f>
        <v/>
      </c>
      <c r="AN1188">
        <f t="shared" si="149"/>
        <v>0</v>
      </c>
      <c r="AO1188">
        <f t="shared" si="150"/>
        <v>0</v>
      </c>
      <c r="AP1188">
        <f t="shared" si="151"/>
        <v>0</v>
      </c>
    </row>
    <row r="1189" customHeight="1" spans="1:42">
      <c r="A1189" s="5" t="s">
        <v>502</v>
      </c>
      <c r="C1189" s="5">
        <v>5</v>
      </c>
      <c r="D1189" s="1" t="s">
        <v>222</v>
      </c>
      <c r="E1189" s="1" t="s">
        <v>224</v>
      </c>
      <c r="L1189" s="1">
        <f>IFERROR(VLOOKUP($D1189&amp;$C1189,生产方式定位!$A$2:$E$38,2,FALSE)+VLOOKUP($E1189&amp;$C1189,生产方式定位!$F$3:$J$38,2,FALSE),0)</f>
        <v>5800</v>
      </c>
      <c r="S1189" s="1">
        <f>IFERROR(VLOOKUP($D1189&amp;$C1189,生产方式定位!$A$2:$E$38,3,FALSE)+VLOOKUP($E1189&amp;$C1189,生产方式定位!$F$3:$J$38,3,FALSE),0)</f>
        <v>1500</v>
      </c>
      <c r="X1189" s="1">
        <f>IFERROR(VLOOKUP($D1189&amp;$C1189,生产方式定位!$A$2:$E$38,5,FALSE)+VLOOKUP($E1189&amp;$C1189,生产方式定位!$F$3:$J$38,5,FALSE),"错误")</f>
        <v>4850</v>
      </c>
      <c r="Y1189" s="27" t="str">
        <f t="shared" si="144"/>
        <v/>
      </c>
      <c r="Z1189" s="37" t="str">
        <f t="shared" si="145"/>
        <v/>
      </c>
      <c r="AA1189" s="37" t="str">
        <f t="shared" si="146"/>
        <v/>
      </c>
      <c r="AB1189" s="28">
        <f t="shared" si="147"/>
        <v>1.2</v>
      </c>
      <c r="AC1189" s="37"/>
      <c r="AD1189" s="38">
        <f t="shared" si="148"/>
        <v>5</v>
      </c>
      <c r="AE1189" t="str">
        <f>IFERROR(F1189&amp;"*"&amp;ROUND(L1189*(G1189/$AN1189)/VLOOKUP(F1189,商品!$A$4:$D$67,4,FALSE),0),"")</f>
        <v/>
      </c>
      <c r="AF1189" t="str">
        <f>IFERROR(H1189&amp;"*"&amp;ROUND(L1189*(I1189/$AN1189)/VLOOKUP(H1189,商品!$A$4:$D$67,4,FALSE),0),"")</f>
        <v/>
      </c>
      <c r="AG1189" t="str">
        <f>IFERROR(J1189&amp;"*"&amp;ROUND(L1189*(K1189/$AN1189)/VLOOKUP(J1189,商品!$A$4:$D$67,4,FALSE),0),"")</f>
        <v/>
      </c>
      <c r="AH1189" t="str">
        <f>IFERROR(M1189&amp;"*"&amp;ROUND(S1189*(N1189/$AO1189)/VLOOKUP(M1189,职业!$A$3:$E$16,4,FALSE),0),"")</f>
        <v/>
      </c>
      <c r="AI1189" t="str">
        <f>IFERROR(O1189&amp;"*"&amp;ROUND(S1189*(P1189/$AO1189)/VLOOKUP(O1189,职业!$A$3:$E$16,4,FALSE),0),"")</f>
        <v/>
      </c>
      <c r="AK1189" t="str">
        <f>IFERROR(T1189&amp;"*"&amp;ROUND(X1189*(U1189/$AP1189)/VLOOKUP(T1189,商品!$A$4:$D$67,4,FALSE),0),"")</f>
        <v/>
      </c>
      <c r="AL1189" t="str">
        <f>IFERROR(V1189&amp;"*"&amp;ROUND(X1189*(W1189/$AP1189)/VLOOKUP(V1189,商品!$A$4:$D$67,4,FALSE),0),"")</f>
        <v/>
      </c>
      <c r="AN1189">
        <f t="shared" si="149"/>
        <v>0</v>
      </c>
      <c r="AO1189">
        <f t="shared" si="150"/>
        <v>0</v>
      </c>
      <c r="AP1189">
        <f t="shared" si="151"/>
        <v>0</v>
      </c>
    </row>
    <row r="1190" customHeight="1" spans="1:42">
      <c r="A1190" s="18" t="s">
        <v>503</v>
      </c>
      <c r="C1190" s="18">
        <v>1</v>
      </c>
      <c r="D1190" s="1" t="s">
        <v>222</v>
      </c>
      <c r="E1190" s="1" t="s">
        <v>226</v>
      </c>
      <c r="L1190" s="1">
        <f>IFERROR(VLOOKUP($D1190&amp;$C1190,生产方式定位!$A$2:$E$38,2,FALSE)+VLOOKUP($E1190&amp;$C1190,生产方式定位!$F$3:$J$38,2,FALSE),0)</f>
        <v>0</v>
      </c>
      <c r="S1190" s="1">
        <f>IFERROR(VLOOKUP($D1190&amp;$C1190,生产方式定位!$A$2:$E$38,3,FALSE)+VLOOKUP($E1190&amp;$C1190,生产方式定位!$F$3:$J$38,3,FALSE),0)</f>
        <v>500</v>
      </c>
      <c r="X1190" s="1">
        <f>IFERROR(VLOOKUP($D1190&amp;$C1190,生产方式定位!$A$2:$E$38,5,FALSE)+VLOOKUP($E1190&amp;$C1190,生产方式定位!$F$3:$J$38,5,FALSE),"错误")</f>
        <v>250</v>
      </c>
      <c r="Y1190" s="27" t="str">
        <f t="shared" si="144"/>
        <v/>
      </c>
      <c r="Z1190" s="37" t="str">
        <f t="shared" si="145"/>
        <v/>
      </c>
      <c r="AA1190" s="37" t="str">
        <f t="shared" si="146"/>
        <v/>
      </c>
      <c r="AB1190" s="28">
        <f t="shared" si="147"/>
        <v>0</v>
      </c>
      <c r="AC1190" s="37"/>
      <c r="AD1190" s="38">
        <f t="shared" si="148"/>
        <v>1</v>
      </c>
      <c r="AE1190" t="str">
        <f>IFERROR(F1190&amp;"*"&amp;ROUND(L1190*(G1190/$AN1190)/VLOOKUP(F1190,商品!$A$4:$D$67,4,FALSE),0),"")</f>
        <v/>
      </c>
      <c r="AF1190" t="str">
        <f>IFERROR(H1190&amp;"*"&amp;ROUND(L1190*(I1190/$AN1190)/VLOOKUP(H1190,商品!$A$4:$D$67,4,FALSE),0),"")</f>
        <v/>
      </c>
      <c r="AG1190" t="str">
        <f>IFERROR(J1190&amp;"*"&amp;ROUND(L1190*(K1190/$AN1190)/VLOOKUP(J1190,商品!$A$4:$D$67,4,FALSE),0),"")</f>
        <v/>
      </c>
      <c r="AH1190" t="str">
        <f>IFERROR(M1190&amp;"*"&amp;ROUND(S1190*(N1190/$AO1190)/VLOOKUP(M1190,职业!$A$3:$E$16,4,FALSE),0),"")</f>
        <v/>
      </c>
      <c r="AI1190" t="str">
        <f>IFERROR(O1190&amp;"*"&amp;ROUND(S1190*(P1190/$AO1190)/VLOOKUP(O1190,职业!$A$3:$E$16,4,FALSE),0),"")</f>
        <v/>
      </c>
      <c r="AK1190" t="str">
        <f>IFERROR(T1190&amp;"*"&amp;ROUND(X1190*(U1190/$AP1190)/VLOOKUP(T1190,商品!$A$4:$D$67,4,FALSE),0),"")</f>
        <v/>
      </c>
      <c r="AL1190" t="str">
        <f>IFERROR(V1190&amp;"*"&amp;ROUND(X1190*(W1190/$AP1190)/VLOOKUP(V1190,商品!$A$4:$D$67,4,FALSE),0),"")</f>
        <v/>
      </c>
      <c r="AN1190">
        <f t="shared" si="149"/>
        <v>0</v>
      </c>
      <c r="AO1190">
        <f t="shared" si="150"/>
        <v>0</v>
      </c>
      <c r="AP1190">
        <f t="shared" si="151"/>
        <v>0</v>
      </c>
    </row>
    <row r="1191" customHeight="1" spans="1:42">
      <c r="A1191" s="18" t="s">
        <v>503</v>
      </c>
      <c r="C1191" s="18">
        <v>2</v>
      </c>
      <c r="D1191" s="1" t="s">
        <v>222</v>
      </c>
      <c r="E1191" s="1" t="s">
        <v>226</v>
      </c>
      <c r="L1191" s="1">
        <f>IFERROR(VLOOKUP($D1191&amp;$C1191,生产方式定位!$A$2:$E$38,2,FALSE)+VLOOKUP($E1191&amp;$C1191,生产方式定位!$F$3:$J$38,2,FALSE),0)</f>
        <v>3200</v>
      </c>
      <c r="S1191" s="1">
        <f>IFERROR(VLOOKUP($D1191&amp;$C1191,生产方式定位!$A$2:$E$38,3,FALSE)+VLOOKUP($E1191&amp;$C1191,生产方式定位!$F$3:$J$38,3,FALSE),0)</f>
        <v>350</v>
      </c>
      <c r="X1191" s="1">
        <f>IFERROR(VLOOKUP($D1191&amp;$C1191,生产方式定位!$A$2:$E$38,5,FALSE)+VLOOKUP($E1191&amp;$C1191,生产方式定位!$F$3:$J$38,5,FALSE),"错误")</f>
        <v>1865</v>
      </c>
      <c r="Y1191" s="27" t="str">
        <f t="shared" si="144"/>
        <v/>
      </c>
      <c r="Z1191" s="37" t="str">
        <f t="shared" si="145"/>
        <v/>
      </c>
      <c r="AA1191" s="37" t="str">
        <f t="shared" si="146"/>
        <v/>
      </c>
      <c r="AB1191" s="28">
        <f t="shared" si="147"/>
        <v>1.72</v>
      </c>
      <c r="AC1191" s="37"/>
      <c r="AD1191" s="38">
        <f t="shared" si="148"/>
        <v>2</v>
      </c>
      <c r="AE1191" t="str">
        <f>IFERROR(F1191&amp;"*"&amp;ROUND(L1191*(G1191/$AN1191)/VLOOKUP(F1191,商品!$A$4:$D$67,4,FALSE),0),"")</f>
        <v/>
      </c>
      <c r="AF1191" t="str">
        <f>IFERROR(H1191&amp;"*"&amp;ROUND(L1191*(I1191/$AN1191)/VLOOKUP(H1191,商品!$A$4:$D$67,4,FALSE),0),"")</f>
        <v/>
      </c>
      <c r="AG1191" t="str">
        <f>IFERROR(J1191&amp;"*"&amp;ROUND(L1191*(K1191/$AN1191)/VLOOKUP(J1191,商品!$A$4:$D$67,4,FALSE),0),"")</f>
        <v/>
      </c>
      <c r="AH1191" t="str">
        <f>IFERROR(M1191&amp;"*"&amp;ROUND(S1191*(N1191/$AO1191)/VLOOKUP(M1191,职业!$A$3:$E$16,4,FALSE),0),"")</f>
        <v/>
      </c>
      <c r="AI1191" t="str">
        <f>IFERROR(O1191&amp;"*"&amp;ROUND(S1191*(P1191/$AO1191)/VLOOKUP(O1191,职业!$A$3:$E$16,4,FALSE),0),"")</f>
        <v/>
      </c>
      <c r="AK1191" t="str">
        <f>IFERROR(T1191&amp;"*"&amp;ROUND(X1191*(U1191/$AP1191)/VLOOKUP(T1191,商品!$A$4:$D$67,4,FALSE),0),"")</f>
        <v/>
      </c>
      <c r="AL1191" t="str">
        <f>IFERROR(V1191&amp;"*"&amp;ROUND(X1191*(W1191/$AP1191)/VLOOKUP(V1191,商品!$A$4:$D$67,4,FALSE),0),"")</f>
        <v/>
      </c>
      <c r="AN1191">
        <f t="shared" si="149"/>
        <v>0</v>
      </c>
      <c r="AO1191">
        <f t="shared" si="150"/>
        <v>0</v>
      </c>
      <c r="AP1191">
        <f t="shared" si="151"/>
        <v>0</v>
      </c>
    </row>
    <row r="1192" customHeight="1" spans="1:42">
      <c r="A1192" s="18" t="s">
        <v>503</v>
      </c>
      <c r="C1192" s="18">
        <v>3</v>
      </c>
      <c r="D1192" s="1" t="s">
        <v>222</v>
      </c>
      <c r="E1192" s="1" t="s">
        <v>226</v>
      </c>
      <c r="L1192" s="1">
        <f>IFERROR(VLOOKUP($D1192&amp;$C1192,生产方式定位!$A$2:$E$38,2,FALSE)+VLOOKUP($E1192&amp;$C1192,生产方式定位!$F$3:$J$38,2,FALSE),0)</f>
        <v>4400</v>
      </c>
      <c r="S1192" s="1">
        <f>IFERROR(VLOOKUP($D1192&amp;$C1192,生产方式定位!$A$2:$E$38,3,FALSE)+VLOOKUP($E1192&amp;$C1192,生产方式定位!$F$3:$J$38,3,FALSE),0)</f>
        <v>200</v>
      </c>
      <c r="X1192" s="1">
        <f>IFERROR(VLOOKUP($D1192&amp;$C1192,生产方式定位!$A$2:$E$38,5,FALSE)+VLOOKUP($E1192&amp;$C1192,生产方式定位!$F$3:$J$38,5,FALSE),"错误")</f>
        <v>2560</v>
      </c>
      <c r="Y1192" s="27" t="str">
        <f t="shared" si="144"/>
        <v/>
      </c>
      <c r="Z1192" s="37" t="str">
        <f t="shared" si="145"/>
        <v/>
      </c>
      <c r="AA1192" s="37" t="str">
        <f t="shared" si="146"/>
        <v/>
      </c>
      <c r="AB1192" s="28">
        <f t="shared" si="147"/>
        <v>1.72</v>
      </c>
      <c r="AC1192" s="37"/>
      <c r="AD1192" s="38">
        <f t="shared" si="148"/>
        <v>3</v>
      </c>
      <c r="AE1192" t="str">
        <f>IFERROR(F1192&amp;"*"&amp;ROUND(L1192*(G1192/$AN1192)/VLOOKUP(F1192,商品!$A$4:$D$67,4,FALSE),0),"")</f>
        <v/>
      </c>
      <c r="AF1192" t="str">
        <f>IFERROR(H1192&amp;"*"&amp;ROUND(L1192*(I1192/$AN1192)/VLOOKUP(H1192,商品!$A$4:$D$67,4,FALSE),0),"")</f>
        <v/>
      </c>
      <c r="AG1192" t="str">
        <f>IFERROR(J1192&amp;"*"&amp;ROUND(L1192*(K1192/$AN1192)/VLOOKUP(J1192,商品!$A$4:$D$67,4,FALSE),0),"")</f>
        <v/>
      </c>
      <c r="AH1192" t="str">
        <f>IFERROR(M1192&amp;"*"&amp;ROUND(S1192*(N1192/$AO1192)/VLOOKUP(M1192,职业!$A$3:$E$16,4,FALSE),0),"")</f>
        <v/>
      </c>
      <c r="AI1192" t="str">
        <f>IFERROR(O1192&amp;"*"&amp;ROUND(S1192*(P1192/$AO1192)/VLOOKUP(O1192,职业!$A$3:$E$16,4,FALSE),0),"")</f>
        <v/>
      </c>
      <c r="AK1192" t="str">
        <f>IFERROR(T1192&amp;"*"&amp;ROUND(X1192*(U1192/$AP1192)/VLOOKUP(T1192,商品!$A$4:$D$67,4,FALSE),0),"")</f>
        <v/>
      </c>
      <c r="AL1192" t="str">
        <f>IFERROR(V1192&amp;"*"&amp;ROUND(X1192*(W1192/$AP1192)/VLOOKUP(V1192,商品!$A$4:$D$67,4,FALSE),0),"")</f>
        <v/>
      </c>
      <c r="AN1192">
        <f t="shared" si="149"/>
        <v>0</v>
      </c>
      <c r="AO1192">
        <f t="shared" si="150"/>
        <v>0</v>
      </c>
      <c r="AP1192">
        <f t="shared" si="151"/>
        <v>0</v>
      </c>
    </row>
    <row r="1193" customHeight="1" spans="1:42">
      <c r="A1193" s="18" t="s">
        <v>503</v>
      </c>
      <c r="C1193" s="18">
        <v>4</v>
      </c>
      <c r="D1193" s="1" t="s">
        <v>222</v>
      </c>
      <c r="E1193" s="1" t="s">
        <v>226</v>
      </c>
      <c r="L1193" s="1">
        <f>IFERROR(VLOOKUP($D1193&amp;$C1193,生产方式定位!$A$2:$E$38,2,FALSE)+VLOOKUP($E1193&amp;$C1193,生产方式定位!$F$3:$J$38,2,FALSE),0)</f>
        <v>5600</v>
      </c>
      <c r="S1193" s="1">
        <f>IFERROR(VLOOKUP($D1193&amp;$C1193,生产方式定位!$A$2:$E$38,3,FALSE)+VLOOKUP($E1193&amp;$C1193,生产方式定位!$F$3:$J$38,3,FALSE),0)</f>
        <v>50</v>
      </c>
      <c r="X1193" s="1">
        <f>IFERROR(VLOOKUP($D1193&amp;$C1193,生产方式定位!$A$2:$E$38,5,FALSE)+VLOOKUP($E1193&amp;$C1193,生产方式定位!$F$3:$J$38,5,FALSE),"错误")</f>
        <v>3335</v>
      </c>
      <c r="Y1193" s="27" t="str">
        <f t="shared" si="144"/>
        <v/>
      </c>
      <c r="Z1193" s="37" t="str">
        <f t="shared" si="145"/>
        <v/>
      </c>
      <c r="AA1193" s="37" t="str">
        <f t="shared" si="146"/>
        <v/>
      </c>
      <c r="AB1193" s="28">
        <f t="shared" si="147"/>
        <v>1.68</v>
      </c>
      <c r="AC1193" s="37"/>
      <c r="AD1193" s="38">
        <f t="shared" si="148"/>
        <v>4</v>
      </c>
      <c r="AE1193" t="str">
        <f>IFERROR(F1193&amp;"*"&amp;ROUND(L1193*(G1193/$AN1193)/VLOOKUP(F1193,商品!$A$4:$D$67,4,FALSE),0),"")</f>
        <v/>
      </c>
      <c r="AF1193" t="str">
        <f>IFERROR(H1193&amp;"*"&amp;ROUND(L1193*(I1193/$AN1193)/VLOOKUP(H1193,商品!$A$4:$D$67,4,FALSE),0),"")</f>
        <v/>
      </c>
      <c r="AG1193" t="str">
        <f>IFERROR(J1193&amp;"*"&amp;ROUND(L1193*(K1193/$AN1193)/VLOOKUP(J1193,商品!$A$4:$D$67,4,FALSE),0),"")</f>
        <v/>
      </c>
      <c r="AH1193" t="str">
        <f>IFERROR(M1193&amp;"*"&amp;ROUND(S1193*(N1193/$AO1193)/VLOOKUP(M1193,职业!$A$3:$E$16,4,FALSE),0),"")</f>
        <v/>
      </c>
      <c r="AI1193" t="str">
        <f>IFERROR(O1193&amp;"*"&amp;ROUND(S1193*(P1193/$AO1193)/VLOOKUP(O1193,职业!$A$3:$E$16,4,FALSE),0),"")</f>
        <v/>
      </c>
      <c r="AK1193" t="str">
        <f>IFERROR(T1193&amp;"*"&amp;ROUND(X1193*(U1193/$AP1193)/VLOOKUP(T1193,商品!$A$4:$D$67,4,FALSE),0),"")</f>
        <v/>
      </c>
      <c r="AL1193" t="str">
        <f>IFERROR(V1193&amp;"*"&amp;ROUND(X1193*(W1193/$AP1193)/VLOOKUP(V1193,商品!$A$4:$D$67,4,FALSE),0),"")</f>
        <v/>
      </c>
      <c r="AN1193">
        <f t="shared" si="149"/>
        <v>0</v>
      </c>
      <c r="AO1193">
        <f t="shared" si="150"/>
        <v>0</v>
      </c>
      <c r="AP1193">
        <f t="shared" si="151"/>
        <v>0</v>
      </c>
    </row>
    <row r="1194" customHeight="1" spans="1:42">
      <c r="A1194" s="18" t="s">
        <v>503</v>
      </c>
      <c r="C1194" s="18">
        <v>5</v>
      </c>
      <c r="D1194" s="1" t="s">
        <v>222</v>
      </c>
      <c r="E1194" s="1" t="s">
        <v>226</v>
      </c>
      <c r="L1194" s="1">
        <f>IFERROR(VLOOKUP($D1194&amp;$C1194,生产方式定位!$A$2:$E$38,2,FALSE)+VLOOKUP($E1194&amp;$C1194,生产方式定位!$F$3:$J$38,2,FALSE),0)</f>
        <v>6800</v>
      </c>
      <c r="S1194" s="1">
        <f>IFERROR(VLOOKUP($D1194&amp;$C1194,生产方式定位!$A$2:$E$38,3,FALSE)+VLOOKUP($E1194&amp;$C1194,生产方式定位!$F$3:$J$38,3,FALSE),0)</f>
        <v>-100</v>
      </c>
      <c r="X1194" s="1">
        <f>IFERROR(VLOOKUP($D1194&amp;$C1194,生产方式定位!$A$2:$E$38,5,FALSE)+VLOOKUP($E1194&amp;$C1194,生产方式定位!$F$3:$J$38,5,FALSE),"错误")</f>
        <v>4190</v>
      </c>
      <c r="Y1194" s="27" t="str">
        <f t="shared" si="144"/>
        <v/>
      </c>
      <c r="Z1194" s="37" t="str">
        <f t="shared" si="145"/>
        <v/>
      </c>
      <c r="AA1194" s="37" t="str">
        <f t="shared" si="146"/>
        <v/>
      </c>
      <c r="AB1194" s="28">
        <f t="shared" si="147"/>
        <v>1.62</v>
      </c>
      <c r="AC1194" s="37"/>
      <c r="AD1194" s="38">
        <f t="shared" si="148"/>
        <v>5</v>
      </c>
      <c r="AE1194" t="str">
        <f>IFERROR(F1194&amp;"*"&amp;ROUND(L1194*(G1194/$AN1194)/VLOOKUP(F1194,商品!$A$4:$D$67,4,FALSE),0),"")</f>
        <v/>
      </c>
      <c r="AF1194" t="str">
        <f>IFERROR(H1194&amp;"*"&amp;ROUND(L1194*(I1194/$AN1194)/VLOOKUP(H1194,商品!$A$4:$D$67,4,FALSE),0),"")</f>
        <v/>
      </c>
      <c r="AG1194" t="str">
        <f>IFERROR(J1194&amp;"*"&amp;ROUND(L1194*(K1194/$AN1194)/VLOOKUP(J1194,商品!$A$4:$D$67,4,FALSE),0),"")</f>
        <v/>
      </c>
      <c r="AH1194" t="str">
        <f>IFERROR(M1194&amp;"*"&amp;ROUND(S1194*(N1194/$AO1194)/VLOOKUP(M1194,职业!$A$3:$E$16,4,FALSE),0),"")</f>
        <v/>
      </c>
      <c r="AI1194" t="str">
        <f>IFERROR(O1194&amp;"*"&amp;ROUND(S1194*(P1194/$AO1194)/VLOOKUP(O1194,职业!$A$3:$E$16,4,FALSE),0),"")</f>
        <v/>
      </c>
      <c r="AK1194" t="str">
        <f>IFERROR(T1194&amp;"*"&amp;ROUND(X1194*(U1194/$AP1194)/VLOOKUP(T1194,商品!$A$4:$D$67,4,FALSE),0),"")</f>
        <v/>
      </c>
      <c r="AL1194" t="str">
        <f>IFERROR(V1194&amp;"*"&amp;ROUND(X1194*(W1194/$AP1194)/VLOOKUP(V1194,商品!$A$4:$D$67,4,FALSE),0),"")</f>
        <v/>
      </c>
      <c r="AN1194">
        <f t="shared" si="149"/>
        <v>0</v>
      </c>
      <c r="AO1194">
        <f t="shared" si="150"/>
        <v>0</v>
      </c>
      <c r="AP1194">
        <f t="shared" si="151"/>
        <v>0</v>
      </c>
    </row>
    <row r="1195" customHeight="1" spans="1:42">
      <c r="A1195" s="5" t="s">
        <v>503</v>
      </c>
      <c r="C1195" s="5">
        <v>1</v>
      </c>
      <c r="D1195" s="1" t="s">
        <v>222</v>
      </c>
      <c r="E1195" s="1" t="s">
        <v>226</v>
      </c>
      <c r="L1195" s="1">
        <f>IFERROR(VLOOKUP($D1195&amp;$C1195,生产方式定位!$A$2:$E$38,2,FALSE)+VLOOKUP($E1195&amp;$C1195,生产方式定位!$F$3:$J$38,2,FALSE),0)</f>
        <v>0</v>
      </c>
      <c r="S1195" s="1">
        <f>IFERROR(VLOOKUP($D1195&amp;$C1195,生产方式定位!$A$2:$E$38,3,FALSE)+VLOOKUP($E1195&amp;$C1195,生产方式定位!$F$3:$J$38,3,FALSE),0)</f>
        <v>500</v>
      </c>
      <c r="X1195" s="1">
        <f>IFERROR(VLOOKUP($D1195&amp;$C1195,生产方式定位!$A$2:$E$38,5,FALSE)+VLOOKUP($E1195&amp;$C1195,生产方式定位!$F$3:$J$38,5,FALSE),"错误")</f>
        <v>250</v>
      </c>
      <c r="Y1195" s="27" t="str">
        <f t="shared" si="144"/>
        <v/>
      </c>
      <c r="Z1195" s="37" t="str">
        <f t="shared" si="145"/>
        <v/>
      </c>
      <c r="AA1195" s="37" t="str">
        <f t="shared" si="146"/>
        <v/>
      </c>
      <c r="AB1195" s="28">
        <f t="shared" si="147"/>
        <v>0</v>
      </c>
      <c r="AC1195" s="37"/>
      <c r="AD1195" s="38">
        <f t="shared" si="148"/>
        <v>1</v>
      </c>
      <c r="AE1195" t="str">
        <f>IFERROR(F1195&amp;"*"&amp;ROUND(L1195*(G1195/$AN1195)/VLOOKUP(F1195,商品!$A$4:$D$67,4,FALSE),0),"")</f>
        <v/>
      </c>
      <c r="AF1195" t="str">
        <f>IFERROR(H1195&amp;"*"&amp;ROUND(L1195*(I1195/$AN1195)/VLOOKUP(H1195,商品!$A$4:$D$67,4,FALSE),0),"")</f>
        <v/>
      </c>
      <c r="AG1195" t="str">
        <f>IFERROR(J1195&amp;"*"&amp;ROUND(L1195*(K1195/$AN1195)/VLOOKUP(J1195,商品!$A$4:$D$67,4,FALSE),0),"")</f>
        <v/>
      </c>
      <c r="AH1195" t="str">
        <f>IFERROR(M1195&amp;"*"&amp;ROUND(S1195*(N1195/$AO1195)/VLOOKUP(M1195,职业!$A$3:$E$16,4,FALSE),0),"")</f>
        <v/>
      </c>
      <c r="AI1195" t="str">
        <f>IFERROR(O1195&amp;"*"&amp;ROUND(S1195*(P1195/$AO1195)/VLOOKUP(O1195,职业!$A$3:$E$16,4,FALSE),0),"")</f>
        <v/>
      </c>
      <c r="AK1195" t="str">
        <f>IFERROR(T1195&amp;"*"&amp;ROUND(X1195*(U1195/$AP1195)/VLOOKUP(T1195,商品!$A$4:$D$67,4,FALSE),0),"")</f>
        <v/>
      </c>
      <c r="AL1195" t="str">
        <f>IFERROR(V1195&amp;"*"&amp;ROUND(X1195*(W1195/$AP1195)/VLOOKUP(V1195,商品!$A$4:$D$67,4,FALSE),0),"")</f>
        <v/>
      </c>
      <c r="AN1195">
        <f t="shared" si="149"/>
        <v>0</v>
      </c>
      <c r="AO1195">
        <f t="shared" si="150"/>
        <v>0</v>
      </c>
      <c r="AP1195">
        <f t="shared" si="151"/>
        <v>0</v>
      </c>
    </row>
    <row r="1196" customHeight="1" spans="1:42">
      <c r="A1196" s="5" t="s">
        <v>503</v>
      </c>
      <c r="C1196" s="5">
        <v>2</v>
      </c>
      <c r="D1196" s="1" t="s">
        <v>222</v>
      </c>
      <c r="E1196" s="1" t="s">
        <v>226</v>
      </c>
      <c r="L1196" s="1">
        <f>IFERROR(VLOOKUP($D1196&amp;$C1196,生产方式定位!$A$2:$E$38,2,FALSE)+VLOOKUP($E1196&amp;$C1196,生产方式定位!$F$3:$J$38,2,FALSE),0)</f>
        <v>3200</v>
      </c>
      <c r="S1196" s="1">
        <f>IFERROR(VLOOKUP($D1196&amp;$C1196,生产方式定位!$A$2:$E$38,3,FALSE)+VLOOKUP($E1196&amp;$C1196,生产方式定位!$F$3:$J$38,3,FALSE),0)</f>
        <v>350</v>
      </c>
      <c r="X1196" s="1">
        <f>IFERROR(VLOOKUP($D1196&amp;$C1196,生产方式定位!$A$2:$E$38,5,FALSE)+VLOOKUP($E1196&amp;$C1196,生产方式定位!$F$3:$J$38,5,FALSE),"错误")</f>
        <v>1865</v>
      </c>
      <c r="Y1196" s="27" t="str">
        <f t="shared" si="144"/>
        <v/>
      </c>
      <c r="Z1196" s="37" t="str">
        <f t="shared" si="145"/>
        <v/>
      </c>
      <c r="AA1196" s="37" t="str">
        <f t="shared" si="146"/>
        <v/>
      </c>
      <c r="AB1196" s="28">
        <f t="shared" si="147"/>
        <v>1.72</v>
      </c>
      <c r="AC1196" s="37"/>
      <c r="AD1196" s="38">
        <f t="shared" si="148"/>
        <v>2</v>
      </c>
      <c r="AE1196" t="str">
        <f>IFERROR(F1196&amp;"*"&amp;ROUND(L1196*(G1196/$AN1196)/VLOOKUP(F1196,商品!$A$4:$D$67,4,FALSE),0),"")</f>
        <v/>
      </c>
      <c r="AF1196" t="str">
        <f>IFERROR(H1196&amp;"*"&amp;ROUND(L1196*(I1196/$AN1196)/VLOOKUP(H1196,商品!$A$4:$D$67,4,FALSE),0),"")</f>
        <v/>
      </c>
      <c r="AG1196" t="str">
        <f>IFERROR(J1196&amp;"*"&amp;ROUND(L1196*(K1196/$AN1196)/VLOOKUP(J1196,商品!$A$4:$D$67,4,FALSE),0),"")</f>
        <v/>
      </c>
      <c r="AH1196" t="str">
        <f>IFERROR(M1196&amp;"*"&amp;ROUND(S1196*(N1196/$AO1196)/VLOOKUP(M1196,职业!$A$3:$E$16,4,FALSE),0),"")</f>
        <v/>
      </c>
      <c r="AI1196" t="str">
        <f>IFERROR(O1196&amp;"*"&amp;ROUND(S1196*(P1196/$AO1196)/VLOOKUP(O1196,职业!$A$3:$E$16,4,FALSE),0),"")</f>
        <v/>
      </c>
      <c r="AK1196" t="str">
        <f>IFERROR(T1196&amp;"*"&amp;ROUND(X1196*(U1196/$AP1196)/VLOOKUP(T1196,商品!$A$4:$D$67,4,FALSE),0),"")</f>
        <v/>
      </c>
      <c r="AL1196" t="str">
        <f>IFERROR(V1196&amp;"*"&amp;ROUND(X1196*(W1196/$AP1196)/VLOOKUP(V1196,商品!$A$4:$D$67,4,FALSE),0),"")</f>
        <v/>
      </c>
      <c r="AN1196">
        <f t="shared" si="149"/>
        <v>0</v>
      </c>
      <c r="AO1196">
        <f t="shared" si="150"/>
        <v>0</v>
      </c>
      <c r="AP1196">
        <f t="shared" si="151"/>
        <v>0</v>
      </c>
    </row>
    <row r="1197" customHeight="1" spans="1:42">
      <c r="A1197" s="5" t="s">
        <v>503</v>
      </c>
      <c r="C1197" s="5">
        <v>3</v>
      </c>
      <c r="D1197" s="1" t="s">
        <v>222</v>
      </c>
      <c r="E1197" s="1" t="s">
        <v>226</v>
      </c>
      <c r="L1197" s="1">
        <f>IFERROR(VLOOKUP($D1197&amp;$C1197,生产方式定位!$A$2:$E$38,2,FALSE)+VLOOKUP($E1197&amp;$C1197,生产方式定位!$F$3:$J$38,2,FALSE),0)</f>
        <v>4400</v>
      </c>
      <c r="S1197" s="1">
        <f>IFERROR(VLOOKUP($D1197&amp;$C1197,生产方式定位!$A$2:$E$38,3,FALSE)+VLOOKUP($E1197&amp;$C1197,生产方式定位!$F$3:$J$38,3,FALSE),0)</f>
        <v>200</v>
      </c>
      <c r="X1197" s="1">
        <f>IFERROR(VLOOKUP($D1197&amp;$C1197,生产方式定位!$A$2:$E$38,5,FALSE)+VLOOKUP($E1197&amp;$C1197,生产方式定位!$F$3:$J$38,5,FALSE),"错误")</f>
        <v>2560</v>
      </c>
      <c r="Y1197" s="27" t="str">
        <f t="shared" si="144"/>
        <v/>
      </c>
      <c r="Z1197" s="37" t="str">
        <f t="shared" si="145"/>
        <v/>
      </c>
      <c r="AA1197" s="37" t="str">
        <f t="shared" si="146"/>
        <v/>
      </c>
      <c r="AB1197" s="28">
        <f t="shared" si="147"/>
        <v>1.72</v>
      </c>
      <c r="AC1197" s="37"/>
      <c r="AD1197" s="38">
        <f t="shared" si="148"/>
        <v>3</v>
      </c>
      <c r="AE1197" t="str">
        <f>IFERROR(F1197&amp;"*"&amp;ROUND(L1197*(G1197/$AN1197)/VLOOKUP(F1197,商品!$A$4:$D$67,4,FALSE),0),"")</f>
        <v/>
      </c>
      <c r="AF1197" t="str">
        <f>IFERROR(H1197&amp;"*"&amp;ROUND(L1197*(I1197/$AN1197)/VLOOKUP(H1197,商品!$A$4:$D$67,4,FALSE),0),"")</f>
        <v/>
      </c>
      <c r="AG1197" t="str">
        <f>IFERROR(J1197&amp;"*"&amp;ROUND(L1197*(K1197/$AN1197)/VLOOKUP(J1197,商品!$A$4:$D$67,4,FALSE),0),"")</f>
        <v/>
      </c>
      <c r="AH1197" t="str">
        <f>IFERROR(M1197&amp;"*"&amp;ROUND(S1197*(N1197/$AO1197)/VLOOKUP(M1197,职业!$A$3:$E$16,4,FALSE),0),"")</f>
        <v/>
      </c>
      <c r="AI1197" t="str">
        <f>IFERROR(O1197&amp;"*"&amp;ROUND(S1197*(P1197/$AO1197)/VLOOKUP(O1197,职业!$A$3:$E$16,4,FALSE),0),"")</f>
        <v/>
      </c>
      <c r="AK1197" t="str">
        <f>IFERROR(T1197&amp;"*"&amp;ROUND(X1197*(U1197/$AP1197)/VLOOKUP(T1197,商品!$A$4:$D$67,4,FALSE),0),"")</f>
        <v/>
      </c>
      <c r="AL1197" t="str">
        <f>IFERROR(V1197&amp;"*"&amp;ROUND(X1197*(W1197/$AP1197)/VLOOKUP(V1197,商品!$A$4:$D$67,4,FALSE),0),"")</f>
        <v/>
      </c>
      <c r="AN1197">
        <f t="shared" si="149"/>
        <v>0</v>
      </c>
      <c r="AO1197">
        <f t="shared" si="150"/>
        <v>0</v>
      </c>
      <c r="AP1197">
        <f t="shared" si="151"/>
        <v>0</v>
      </c>
    </row>
    <row r="1198" customHeight="1" spans="1:42">
      <c r="A1198" s="5" t="s">
        <v>503</v>
      </c>
      <c r="C1198" s="5">
        <v>4</v>
      </c>
      <c r="D1198" s="1" t="s">
        <v>222</v>
      </c>
      <c r="E1198" s="1" t="s">
        <v>226</v>
      </c>
      <c r="L1198" s="1">
        <f>IFERROR(VLOOKUP($D1198&amp;$C1198,生产方式定位!$A$2:$E$38,2,FALSE)+VLOOKUP($E1198&amp;$C1198,生产方式定位!$F$3:$J$38,2,FALSE),0)</f>
        <v>5600</v>
      </c>
      <c r="S1198" s="1">
        <f>IFERROR(VLOOKUP($D1198&amp;$C1198,生产方式定位!$A$2:$E$38,3,FALSE)+VLOOKUP($E1198&amp;$C1198,生产方式定位!$F$3:$J$38,3,FALSE),0)</f>
        <v>50</v>
      </c>
      <c r="X1198" s="1">
        <f>IFERROR(VLOOKUP($D1198&amp;$C1198,生产方式定位!$A$2:$E$38,5,FALSE)+VLOOKUP($E1198&amp;$C1198,生产方式定位!$F$3:$J$38,5,FALSE),"错误")</f>
        <v>3335</v>
      </c>
      <c r="Y1198" s="27" t="str">
        <f t="shared" si="144"/>
        <v/>
      </c>
      <c r="Z1198" s="37" t="str">
        <f t="shared" si="145"/>
        <v/>
      </c>
      <c r="AA1198" s="37" t="str">
        <f t="shared" si="146"/>
        <v/>
      </c>
      <c r="AB1198" s="28">
        <f t="shared" si="147"/>
        <v>1.68</v>
      </c>
      <c r="AC1198" s="37"/>
      <c r="AD1198" s="38">
        <f t="shared" si="148"/>
        <v>4</v>
      </c>
      <c r="AE1198" t="str">
        <f>IFERROR(F1198&amp;"*"&amp;ROUND(L1198*(G1198/$AN1198)/VLOOKUP(F1198,商品!$A$4:$D$67,4,FALSE),0),"")</f>
        <v/>
      </c>
      <c r="AF1198" t="str">
        <f>IFERROR(H1198&amp;"*"&amp;ROUND(L1198*(I1198/$AN1198)/VLOOKUP(H1198,商品!$A$4:$D$67,4,FALSE),0),"")</f>
        <v/>
      </c>
      <c r="AG1198" t="str">
        <f>IFERROR(J1198&amp;"*"&amp;ROUND(L1198*(K1198/$AN1198)/VLOOKUP(J1198,商品!$A$4:$D$67,4,FALSE),0),"")</f>
        <v/>
      </c>
      <c r="AH1198" t="str">
        <f>IFERROR(M1198&amp;"*"&amp;ROUND(S1198*(N1198/$AO1198)/VLOOKUP(M1198,职业!$A$3:$E$16,4,FALSE),0),"")</f>
        <v/>
      </c>
      <c r="AI1198" t="str">
        <f>IFERROR(O1198&amp;"*"&amp;ROUND(S1198*(P1198/$AO1198)/VLOOKUP(O1198,职业!$A$3:$E$16,4,FALSE),0),"")</f>
        <v/>
      </c>
      <c r="AK1198" t="str">
        <f>IFERROR(T1198&amp;"*"&amp;ROUND(X1198*(U1198/$AP1198)/VLOOKUP(T1198,商品!$A$4:$D$67,4,FALSE),0),"")</f>
        <v/>
      </c>
      <c r="AL1198" t="str">
        <f>IFERROR(V1198&amp;"*"&amp;ROUND(X1198*(W1198/$AP1198)/VLOOKUP(V1198,商品!$A$4:$D$67,4,FALSE),0),"")</f>
        <v/>
      </c>
      <c r="AN1198">
        <f t="shared" si="149"/>
        <v>0</v>
      </c>
      <c r="AO1198">
        <f t="shared" si="150"/>
        <v>0</v>
      </c>
      <c r="AP1198">
        <f t="shared" si="151"/>
        <v>0</v>
      </c>
    </row>
    <row r="1199" customHeight="1" spans="1:42">
      <c r="A1199" s="5" t="s">
        <v>503</v>
      </c>
      <c r="C1199" s="5">
        <v>5</v>
      </c>
      <c r="D1199" s="1" t="s">
        <v>222</v>
      </c>
      <c r="E1199" s="1" t="s">
        <v>226</v>
      </c>
      <c r="L1199" s="1">
        <f>IFERROR(VLOOKUP($D1199&amp;$C1199,生产方式定位!$A$2:$E$38,2,FALSE)+VLOOKUP($E1199&amp;$C1199,生产方式定位!$F$3:$J$38,2,FALSE),0)</f>
        <v>6800</v>
      </c>
      <c r="S1199" s="1">
        <f>IFERROR(VLOOKUP($D1199&amp;$C1199,生产方式定位!$A$2:$E$38,3,FALSE)+VLOOKUP($E1199&amp;$C1199,生产方式定位!$F$3:$J$38,3,FALSE),0)</f>
        <v>-100</v>
      </c>
      <c r="X1199" s="1">
        <f>IFERROR(VLOOKUP($D1199&amp;$C1199,生产方式定位!$A$2:$E$38,5,FALSE)+VLOOKUP($E1199&amp;$C1199,生产方式定位!$F$3:$J$38,5,FALSE),"错误")</f>
        <v>4190</v>
      </c>
      <c r="Y1199" s="27" t="str">
        <f t="shared" si="144"/>
        <v/>
      </c>
      <c r="Z1199" s="37" t="str">
        <f t="shared" si="145"/>
        <v/>
      </c>
      <c r="AA1199" s="37" t="str">
        <f t="shared" si="146"/>
        <v/>
      </c>
      <c r="AB1199" s="28">
        <f t="shared" si="147"/>
        <v>1.62</v>
      </c>
      <c r="AC1199" s="37"/>
      <c r="AD1199" s="38">
        <f t="shared" si="148"/>
        <v>5</v>
      </c>
      <c r="AE1199" t="str">
        <f>IFERROR(F1199&amp;"*"&amp;ROUND(L1199*(G1199/$AN1199)/VLOOKUP(F1199,商品!$A$4:$D$67,4,FALSE),0),"")</f>
        <v/>
      </c>
      <c r="AF1199" t="str">
        <f>IFERROR(H1199&amp;"*"&amp;ROUND(L1199*(I1199/$AN1199)/VLOOKUP(H1199,商品!$A$4:$D$67,4,FALSE),0),"")</f>
        <v/>
      </c>
      <c r="AG1199" t="str">
        <f>IFERROR(J1199&amp;"*"&amp;ROUND(L1199*(K1199/$AN1199)/VLOOKUP(J1199,商品!$A$4:$D$67,4,FALSE),0),"")</f>
        <v/>
      </c>
      <c r="AH1199" t="str">
        <f>IFERROR(M1199&amp;"*"&amp;ROUND(S1199*(N1199/$AO1199)/VLOOKUP(M1199,职业!$A$3:$E$16,4,FALSE),0),"")</f>
        <v/>
      </c>
      <c r="AI1199" t="str">
        <f>IFERROR(O1199&amp;"*"&amp;ROUND(S1199*(P1199/$AO1199)/VLOOKUP(O1199,职业!$A$3:$E$16,4,FALSE),0),"")</f>
        <v/>
      </c>
      <c r="AK1199" t="str">
        <f>IFERROR(T1199&amp;"*"&amp;ROUND(X1199*(U1199/$AP1199)/VLOOKUP(T1199,商品!$A$4:$D$67,4,FALSE),0),"")</f>
        <v/>
      </c>
      <c r="AL1199" t="str">
        <f>IFERROR(V1199&amp;"*"&amp;ROUND(X1199*(W1199/$AP1199)/VLOOKUP(V1199,商品!$A$4:$D$67,4,FALSE),0),"")</f>
        <v/>
      </c>
      <c r="AN1199">
        <f t="shared" si="149"/>
        <v>0</v>
      </c>
      <c r="AO1199">
        <f t="shared" si="150"/>
        <v>0</v>
      </c>
      <c r="AP1199">
        <f t="shared" si="151"/>
        <v>0</v>
      </c>
    </row>
    <row r="1200" customHeight="1" spans="1:42">
      <c r="A1200" s="18" t="s">
        <v>504</v>
      </c>
      <c r="C1200" s="18">
        <v>1</v>
      </c>
      <c r="D1200" s="1" t="s">
        <v>293</v>
      </c>
      <c r="E1200" s="1" t="s">
        <v>227</v>
      </c>
      <c r="L1200" s="1">
        <f>IFERROR(VLOOKUP($D1200&amp;$C1200,生产方式定位!$A$2:$E$38,2,FALSE)+VLOOKUP($E1200&amp;$C1200,生产方式定位!$F$3:$J$38,2,FALSE),0)</f>
        <v>0</v>
      </c>
      <c r="S1200" s="1">
        <f>IFERROR(VLOOKUP($D1200&amp;$C1200,生产方式定位!$A$2:$E$38,3,FALSE)+VLOOKUP($E1200&amp;$C1200,生产方式定位!$F$3:$J$38,3,FALSE),0)</f>
        <v>0</v>
      </c>
      <c r="X1200" s="1">
        <f>IFERROR(VLOOKUP($D1200&amp;$C1200,生产方式定位!$A$2:$E$38,5,FALSE)+VLOOKUP($E1200&amp;$C1200,生产方式定位!$F$3:$J$38,5,FALSE),"错误")</f>
        <v>0</v>
      </c>
      <c r="Y1200" s="27" t="str">
        <f t="shared" si="144"/>
        <v/>
      </c>
      <c r="Z1200" s="37" t="str">
        <f t="shared" si="145"/>
        <v/>
      </c>
      <c r="AA1200" s="37" t="str">
        <f t="shared" si="146"/>
        <v/>
      </c>
      <c r="AB1200" s="28" t="str">
        <f t="shared" si="147"/>
        <v/>
      </c>
      <c r="AC1200" s="37"/>
      <c r="AD1200" s="38">
        <f t="shared" si="148"/>
        <v>1</v>
      </c>
      <c r="AE1200" t="str">
        <f>IFERROR(F1200&amp;"*"&amp;ROUND(L1200*(G1200/$AN1200)/VLOOKUP(F1200,商品!$A$4:$D$67,4,FALSE),0),"")</f>
        <v/>
      </c>
      <c r="AF1200" t="str">
        <f>IFERROR(H1200&amp;"*"&amp;ROUND(L1200*(I1200/$AN1200)/VLOOKUP(H1200,商品!$A$4:$D$67,4,FALSE),0),"")</f>
        <v/>
      </c>
      <c r="AG1200" t="str">
        <f>IFERROR(J1200&amp;"*"&amp;ROUND(L1200*(K1200/$AN1200)/VLOOKUP(J1200,商品!$A$4:$D$67,4,FALSE),0),"")</f>
        <v/>
      </c>
      <c r="AH1200" t="str">
        <f>IFERROR(M1200&amp;"*"&amp;ROUND(S1200*(N1200/$AO1200)/VLOOKUP(M1200,职业!$A$3:$E$16,4,FALSE),0),"")</f>
        <v/>
      </c>
      <c r="AI1200" t="str">
        <f>IFERROR(O1200&amp;"*"&amp;ROUND(S1200*(P1200/$AO1200)/VLOOKUP(O1200,职业!$A$3:$E$16,4,FALSE),0),"")</f>
        <v/>
      </c>
      <c r="AK1200" t="str">
        <f>IFERROR(T1200&amp;"*"&amp;ROUND(X1200*(U1200/$AP1200)/VLOOKUP(T1200,商品!$A$4:$D$67,4,FALSE),0),"")</f>
        <v/>
      </c>
      <c r="AL1200" t="str">
        <f>IFERROR(V1200&amp;"*"&amp;ROUND(X1200*(W1200/$AP1200)/VLOOKUP(V1200,商品!$A$4:$D$67,4,FALSE),0),"")</f>
        <v/>
      </c>
      <c r="AN1200">
        <f t="shared" si="149"/>
        <v>0</v>
      </c>
      <c r="AO1200">
        <f t="shared" si="150"/>
        <v>0</v>
      </c>
      <c r="AP1200">
        <f t="shared" si="151"/>
        <v>0</v>
      </c>
    </row>
    <row r="1201" customHeight="1" spans="1:42">
      <c r="A1201" s="18" t="s">
        <v>504</v>
      </c>
      <c r="C1201" s="18">
        <v>2</v>
      </c>
      <c r="D1201" s="1" t="s">
        <v>293</v>
      </c>
      <c r="E1201" s="1" t="s">
        <v>227</v>
      </c>
      <c r="L1201" s="1">
        <f>IFERROR(VLOOKUP($D1201&amp;$C1201,生产方式定位!$A$2:$E$38,2,FALSE)+VLOOKUP($E1201&amp;$C1201,生产方式定位!$F$3:$J$38,2,FALSE),0)</f>
        <v>0</v>
      </c>
      <c r="S1201" s="1">
        <f>IFERROR(VLOOKUP($D1201&amp;$C1201,生产方式定位!$A$2:$E$38,3,FALSE)+VLOOKUP($E1201&amp;$C1201,生产方式定位!$F$3:$J$38,3,FALSE),0)</f>
        <v>0</v>
      </c>
      <c r="X1201" s="1">
        <f>IFERROR(VLOOKUP($D1201&amp;$C1201,生产方式定位!$A$2:$E$38,5,FALSE)+VLOOKUP($E1201&amp;$C1201,生产方式定位!$F$3:$J$38,5,FALSE),"错误")</f>
        <v>0</v>
      </c>
      <c r="Y1201" s="27" t="str">
        <f t="shared" si="144"/>
        <v/>
      </c>
      <c r="Z1201" s="37" t="str">
        <f t="shared" si="145"/>
        <v/>
      </c>
      <c r="AA1201" s="37" t="str">
        <f t="shared" si="146"/>
        <v/>
      </c>
      <c r="AB1201" s="28" t="str">
        <f t="shared" si="147"/>
        <v/>
      </c>
      <c r="AC1201" s="37"/>
      <c r="AD1201" s="38">
        <f t="shared" si="148"/>
        <v>2</v>
      </c>
      <c r="AE1201" t="str">
        <f>IFERROR(F1201&amp;"*"&amp;ROUND(L1201*(G1201/$AN1201)/VLOOKUP(F1201,商品!$A$4:$D$67,4,FALSE),0),"")</f>
        <v/>
      </c>
      <c r="AF1201" t="str">
        <f>IFERROR(H1201&amp;"*"&amp;ROUND(L1201*(I1201/$AN1201)/VLOOKUP(H1201,商品!$A$4:$D$67,4,FALSE),0),"")</f>
        <v/>
      </c>
      <c r="AG1201" t="str">
        <f>IFERROR(J1201&amp;"*"&amp;ROUND(L1201*(K1201/$AN1201)/VLOOKUP(J1201,商品!$A$4:$D$67,4,FALSE),0),"")</f>
        <v/>
      </c>
      <c r="AH1201" t="str">
        <f>IFERROR(M1201&amp;"*"&amp;ROUND(S1201*(N1201/$AO1201)/VLOOKUP(M1201,职业!$A$3:$E$16,4,FALSE),0),"")</f>
        <v/>
      </c>
      <c r="AI1201" t="str">
        <f>IFERROR(O1201&amp;"*"&amp;ROUND(S1201*(P1201/$AO1201)/VLOOKUP(O1201,职业!$A$3:$E$16,4,FALSE),0),"")</f>
        <v/>
      </c>
      <c r="AK1201" t="str">
        <f>IFERROR(T1201&amp;"*"&amp;ROUND(X1201*(U1201/$AP1201)/VLOOKUP(T1201,商品!$A$4:$D$67,4,FALSE),0),"")</f>
        <v/>
      </c>
      <c r="AL1201" t="str">
        <f>IFERROR(V1201&amp;"*"&amp;ROUND(X1201*(W1201/$AP1201)/VLOOKUP(V1201,商品!$A$4:$D$67,4,FALSE),0),"")</f>
        <v/>
      </c>
      <c r="AN1201">
        <f t="shared" si="149"/>
        <v>0</v>
      </c>
      <c r="AO1201">
        <f t="shared" si="150"/>
        <v>0</v>
      </c>
      <c r="AP1201">
        <f t="shared" si="151"/>
        <v>0</v>
      </c>
    </row>
    <row r="1202" customHeight="1" spans="1:42">
      <c r="A1202" s="18" t="s">
        <v>504</v>
      </c>
      <c r="C1202" s="18">
        <v>3</v>
      </c>
      <c r="D1202" s="1" t="s">
        <v>293</v>
      </c>
      <c r="E1202" s="1" t="s">
        <v>227</v>
      </c>
      <c r="L1202" s="1">
        <f>IFERROR(VLOOKUP($D1202&amp;$C1202,生产方式定位!$A$2:$E$38,2,FALSE)+VLOOKUP($E1202&amp;$C1202,生产方式定位!$F$3:$J$38,2,FALSE),0)</f>
        <v>0</v>
      </c>
      <c r="S1202" s="1">
        <f>IFERROR(VLOOKUP($D1202&amp;$C1202,生产方式定位!$A$2:$E$38,3,FALSE)+VLOOKUP($E1202&amp;$C1202,生产方式定位!$F$3:$J$38,3,FALSE),0)</f>
        <v>0</v>
      </c>
      <c r="X1202" s="1">
        <f>IFERROR(VLOOKUP($D1202&amp;$C1202,生产方式定位!$A$2:$E$38,5,FALSE)+VLOOKUP($E1202&amp;$C1202,生产方式定位!$F$3:$J$38,5,FALSE),"错误")</f>
        <v>0</v>
      </c>
      <c r="Y1202" s="27" t="str">
        <f t="shared" si="144"/>
        <v/>
      </c>
      <c r="Z1202" s="37" t="str">
        <f t="shared" si="145"/>
        <v/>
      </c>
      <c r="AA1202" s="37" t="str">
        <f t="shared" si="146"/>
        <v/>
      </c>
      <c r="AB1202" s="28" t="str">
        <f t="shared" si="147"/>
        <v/>
      </c>
      <c r="AC1202" s="37"/>
      <c r="AD1202" s="38">
        <f t="shared" si="148"/>
        <v>3</v>
      </c>
      <c r="AE1202" t="str">
        <f>IFERROR(F1202&amp;"*"&amp;ROUND(L1202*(G1202/$AN1202)/VLOOKUP(F1202,商品!$A$4:$D$67,4,FALSE),0),"")</f>
        <v/>
      </c>
      <c r="AF1202" t="str">
        <f>IFERROR(H1202&amp;"*"&amp;ROUND(L1202*(I1202/$AN1202)/VLOOKUP(H1202,商品!$A$4:$D$67,4,FALSE),0),"")</f>
        <v/>
      </c>
      <c r="AG1202" t="str">
        <f>IFERROR(J1202&amp;"*"&amp;ROUND(L1202*(K1202/$AN1202)/VLOOKUP(J1202,商品!$A$4:$D$67,4,FALSE),0),"")</f>
        <v/>
      </c>
      <c r="AH1202" t="str">
        <f>IFERROR(M1202&amp;"*"&amp;ROUND(S1202*(N1202/$AO1202)/VLOOKUP(M1202,职业!$A$3:$E$16,4,FALSE),0),"")</f>
        <v/>
      </c>
      <c r="AI1202" t="str">
        <f>IFERROR(O1202&amp;"*"&amp;ROUND(S1202*(P1202/$AO1202)/VLOOKUP(O1202,职业!$A$3:$E$16,4,FALSE),0),"")</f>
        <v/>
      </c>
      <c r="AK1202" t="str">
        <f>IFERROR(T1202&amp;"*"&amp;ROUND(X1202*(U1202/$AP1202)/VLOOKUP(T1202,商品!$A$4:$D$67,4,FALSE),0),"")</f>
        <v/>
      </c>
      <c r="AL1202" t="str">
        <f>IFERROR(V1202&amp;"*"&amp;ROUND(X1202*(W1202/$AP1202)/VLOOKUP(V1202,商品!$A$4:$D$67,4,FALSE),0),"")</f>
        <v/>
      </c>
      <c r="AN1202">
        <f t="shared" si="149"/>
        <v>0</v>
      </c>
      <c r="AO1202">
        <f t="shared" si="150"/>
        <v>0</v>
      </c>
      <c r="AP1202">
        <f t="shared" si="151"/>
        <v>0</v>
      </c>
    </row>
    <row r="1203" customHeight="1" spans="1:42">
      <c r="A1203" s="18" t="s">
        <v>504</v>
      </c>
      <c r="C1203" s="18">
        <v>4</v>
      </c>
      <c r="D1203" s="1" t="s">
        <v>293</v>
      </c>
      <c r="E1203" s="1" t="s">
        <v>227</v>
      </c>
      <c r="L1203" s="1">
        <f>IFERROR(VLOOKUP($D1203&amp;$C1203,生产方式定位!$A$2:$E$38,2,FALSE)+VLOOKUP($E1203&amp;$C1203,生产方式定位!$F$3:$J$38,2,FALSE),0)</f>
        <v>0</v>
      </c>
      <c r="S1203" s="1">
        <f>IFERROR(VLOOKUP($D1203&amp;$C1203,生产方式定位!$A$2:$E$38,3,FALSE)+VLOOKUP($E1203&amp;$C1203,生产方式定位!$F$3:$J$38,3,FALSE),0)</f>
        <v>0</v>
      </c>
      <c r="X1203" s="1">
        <f>IFERROR(VLOOKUP($D1203&amp;$C1203,生产方式定位!$A$2:$E$38,5,FALSE)+VLOOKUP($E1203&amp;$C1203,生产方式定位!$F$3:$J$38,5,FALSE),"错误")</f>
        <v>0</v>
      </c>
      <c r="Y1203" s="27" t="str">
        <f t="shared" si="144"/>
        <v/>
      </c>
      <c r="Z1203" s="37" t="str">
        <f t="shared" si="145"/>
        <v/>
      </c>
      <c r="AA1203" s="37" t="str">
        <f t="shared" si="146"/>
        <v/>
      </c>
      <c r="AB1203" s="28" t="str">
        <f t="shared" si="147"/>
        <v/>
      </c>
      <c r="AC1203" s="37"/>
      <c r="AD1203" s="38">
        <f t="shared" si="148"/>
        <v>4</v>
      </c>
      <c r="AE1203" t="str">
        <f>IFERROR(F1203&amp;"*"&amp;ROUND(L1203*(G1203/$AN1203)/VLOOKUP(F1203,商品!$A$4:$D$67,4,FALSE),0),"")</f>
        <v/>
      </c>
      <c r="AF1203" t="str">
        <f>IFERROR(H1203&amp;"*"&amp;ROUND(L1203*(I1203/$AN1203)/VLOOKUP(H1203,商品!$A$4:$D$67,4,FALSE),0),"")</f>
        <v/>
      </c>
      <c r="AG1203" t="str">
        <f>IFERROR(J1203&amp;"*"&amp;ROUND(L1203*(K1203/$AN1203)/VLOOKUP(J1203,商品!$A$4:$D$67,4,FALSE),0),"")</f>
        <v/>
      </c>
      <c r="AH1203" t="str">
        <f>IFERROR(M1203&amp;"*"&amp;ROUND(S1203*(N1203/$AO1203)/VLOOKUP(M1203,职业!$A$3:$E$16,4,FALSE),0),"")</f>
        <v/>
      </c>
      <c r="AI1203" t="str">
        <f>IFERROR(O1203&amp;"*"&amp;ROUND(S1203*(P1203/$AO1203)/VLOOKUP(O1203,职业!$A$3:$E$16,4,FALSE),0),"")</f>
        <v/>
      </c>
      <c r="AK1203" t="str">
        <f>IFERROR(T1203&amp;"*"&amp;ROUND(X1203*(U1203/$AP1203)/VLOOKUP(T1203,商品!$A$4:$D$67,4,FALSE),0),"")</f>
        <v/>
      </c>
      <c r="AL1203" t="str">
        <f>IFERROR(V1203&amp;"*"&amp;ROUND(X1203*(W1203/$AP1203)/VLOOKUP(V1203,商品!$A$4:$D$67,4,FALSE),0),"")</f>
        <v/>
      </c>
      <c r="AN1203">
        <f t="shared" si="149"/>
        <v>0</v>
      </c>
      <c r="AO1203">
        <f t="shared" si="150"/>
        <v>0</v>
      </c>
      <c r="AP1203">
        <f t="shared" si="151"/>
        <v>0</v>
      </c>
    </row>
    <row r="1204" customHeight="1" spans="1:42">
      <c r="A1204" s="18" t="s">
        <v>504</v>
      </c>
      <c r="C1204" s="18">
        <v>5</v>
      </c>
      <c r="D1204" s="1" t="s">
        <v>293</v>
      </c>
      <c r="E1204" s="1" t="s">
        <v>227</v>
      </c>
      <c r="L1204" s="1">
        <f>IFERROR(VLOOKUP($D1204&amp;$C1204,生产方式定位!$A$2:$E$38,2,FALSE)+VLOOKUP($E1204&amp;$C1204,生产方式定位!$F$3:$J$38,2,FALSE),0)</f>
        <v>0</v>
      </c>
      <c r="S1204" s="1">
        <f>IFERROR(VLOOKUP($D1204&amp;$C1204,生产方式定位!$A$2:$E$38,3,FALSE)+VLOOKUP($E1204&amp;$C1204,生产方式定位!$F$3:$J$38,3,FALSE),0)</f>
        <v>0</v>
      </c>
      <c r="X1204" s="1">
        <f>IFERROR(VLOOKUP($D1204&amp;$C1204,生产方式定位!$A$2:$E$38,5,FALSE)+VLOOKUP($E1204&amp;$C1204,生产方式定位!$F$3:$J$38,5,FALSE),"错误")</f>
        <v>0</v>
      </c>
      <c r="Y1204" s="27" t="str">
        <f t="shared" si="144"/>
        <v/>
      </c>
      <c r="Z1204" s="37" t="str">
        <f t="shared" si="145"/>
        <v/>
      </c>
      <c r="AA1204" s="37" t="str">
        <f t="shared" si="146"/>
        <v/>
      </c>
      <c r="AB1204" s="28" t="str">
        <f t="shared" si="147"/>
        <v/>
      </c>
      <c r="AC1204" s="37"/>
      <c r="AD1204" s="38">
        <f t="shared" si="148"/>
        <v>5</v>
      </c>
      <c r="AE1204" t="str">
        <f>IFERROR(F1204&amp;"*"&amp;ROUND(L1204*(G1204/$AN1204)/VLOOKUP(F1204,商品!$A$4:$D$67,4,FALSE),0),"")</f>
        <v/>
      </c>
      <c r="AF1204" t="str">
        <f>IFERROR(H1204&amp;"*"&amp;ROUND(L1204*(I1204/$AN1204)/VLOOKUP(H1204,商品!$A$4:$D$67,4,FALSE),0),"")</f>
        <v/>
      </c>
      <c r="AG1204" t="str">
        <f>IFERROR(J1204&amp;"*"&amp;ROUND(L1204*(K1204/$AN1204)/VLOOKUP(J1204,商品!$A$4:$D$67,4,FALSE),0),"")</f>
        <v/>
      </c>
      <c r="AH1204" t="str">
        <f>IFERROR(M1204&amp;"*"&amp;ROUND(S1204*(N1204/$AO1204)/VLOOKUP(M1204,职业!$A$3:$E$16,4,FALSE),0),"")</f>
        <v/>
      </c>
      <c r="AI1204" t="str">
        <f>IFERROR(O1204&amp;"*"&amp;ROUND(S1204*(P1204/$AO1204)/VLOOKUP(O1204,职业!$A$3:$E$16,4,FALSE),0),"")</f>
        <v/>
      </c>
      <c r="AK1204" t="str">
        <f>IFERROR(T1204&amp;"*"&amp;ROUND(X1204*(U1204/$AP1204)/VLOOKUP(T1204,商品!$A$4:$D$67,4,FALSE),0),"")</f>
        <v/>
      </c>
      <c r="AL1204" t="str">
        <f>IFERROR(V1204&amp;"*"&amp;ROUND(X1204*(W1204/$AP1204)/VLOOKUP(V1204,商品!$A$4:$D$67,4,FALSE),0),"")</f>
        <v/>
      </c>
      <c r="AN1204">
        <f t="shared" si="149"/>
        <v>0</v>
      </c>
      <c r="AO1204">
        <f t="shared" si="150"/>
        <v>0</v>
      </c>
      <c r="AP1204">
        <f t="shared" si="151"/>
        <v>0</v>
      </c>
    </row>
    <row r="1205" customHeight="1" spans="1:42">
      <c r="A1205" s="18" t="s">
        <v>504</v>
      </c>
      <c r="C1205" s="18">
        <v>6</v>
      </c>
      <c r="D1205" s="1" t="s">
        <v>293</v>
      </c>
      <c r="E1205" s="1" t="s">
        <v>227</v>
      </c>
      <c r="L1205" s="1">
        <f>IFERROR(VLOOKUP($D1205&amp;$C1205,生产方式定位!$A$2:$E$38,2,FALSE)+VLOOKUP($E1205&amp;$C1205,生产方式定位!$F$3:$J$38,2,FALSE),0)</f>
        <v>0</v>
      </c>
      <c r="S1205" s="1">
        <f>IFERROR(VLOOKUP($D1205&amp;$C1205,生产方式定位!$A$2:$E$38,3,FALSE)+VLOOKUP($E1205&amp;$C1205,生产方式定位!$F$3:$J$38,3,FALSE),0)</f>
        <v>0</v>
      </c>
      <c r="X1205" s="1">
        <f>IFERROR(VLOOKUP($D1205&amp;$C1205,生产方式定位!$A$2:$E$38,5,FALSE)+VLOOKUP($E1205&amp;$C1205,生产方式定位!$F$3:$J$38,5,FALSE),"错误")</f>
        <v>0</v>
      </c>
      <c r="Y1205" s="27" t="str">
        <f t="shared" si="144"/>
        <v/>
      </c>
      <c r="Z1205" s="37" t="str">
        <f t="shared" si="145"/>
        <v/>
      </c>
      <c r="AA1205" s="37" t="str">
        <f t="shared" si="146"/>
        <v/>
      </c>
      <c r="AB1205" s="28" t="str">
        <f t="shared" si="147"/>
        <v/>
      </c>
      <c r="AC1205" s="37"/>
      <c r="AD1205" s="38">
        <f t="shared" si="148"/>
        <v>6</v>
      </c>
      <c r="AE1205" t="str">
        <f>IFERROR(F1205&amp;"*"&amp;ROUND(L1205*(G1205/$AN1205)/VLOOKUP(F1205,商品!$A$4:$D$67,4,FALSE),0),"")</f>
        <v/>
      </c>
      <c r="AF1205" t="str">
        <f>IFERROR(H1205&amp;"*"&amp;ROUND(L1205*(I1205/$AN1205)/VLOOKUP(H1205,商品!$A$4:$D$67,4,FALSE),0),"")</f>
        <v/>
      </c>
      <c r="AG1205" t="str">
        <f>IFERROR(J1205&amp;"*"&amp;ROUND(L1205*(K1205/$AN1205)/VLOOKUP(J1205,商品!$A$4:$D$67,4,FALSE),0),"")</f>
        <v/>
      </c>
      <c r="AH1205" t="str">
        <f>IFERROR(M1205&amp;"*"&amp;ROUND(S1205*(N1205/$AO1205)/VLOOKUP(M1205,职业!$A$3:$E$16,4,FALSE),0),"")</f>
        <v/>
      </c>
      <c r="AI1205" t="str">
        <f>IFERROR(O1205&amp;"*"&amp;ROUND(S1205*(P1205/$AO1205)/VLOOKUP(O1205,职业!$A$3:$E$16,4,FALSE),0),"")</f>
        <v/>
      </c>
      <c r="AK1205" t="str">
        <f>IFERROR(T1205&amp;"*"&amp;ROUND(X1205*(U1205/$AP1205)/VLOOKUP(T1205,商品!$A$4:$D$67,4,FALSE),0),"")</f>
        <v/>
      </c>
      <c r="AL1205" t="str">
        <f>IFERROR(V1205&amp;"*"&amp;ROUND(X1205*(W1205/$AP1205)/VLOOKUP(V1205,商品!$A$4:$D$67,4,FALSE),0),"")</f>
        <v/>
      </c>
      <c r="AN1205">
        <f t="shared" si="149"/>
        <v>0</v>
      </c>
      <c r="AO1205">
        <f t="shared" si="150"/>
        <v>0</v>
      </c>
      <c r="AP1205">
        <f t="shared" si="151"/>
        <v>0</v>
      </c>
    </row>
    <row r="1206" customHeight="1" spans="1:42">
      <c r="A1206" s="18" t="s">
        <v>504</v>
      </c>
      <c r="C1206" s="18">
        <v>7</v>
      </c>
      <c r="D1206" s="1" t="s">
        <v>293</v>
      </c>
      <c r="E1206" s="1" t="s">
        <v>227</v>
      </c>
      <c r="L1206" s="1">
        <f>IFERROR(VLOOKUP($D1206&amp;$C1206,生产方式定位!$A$2:$E$38,2,FALSE)+VLOOKUP($E1206&amp;$C1206,生产方式定位!$F$3:$J$38,2,FALSE),0)</f>
        <v>0</v>
      </c>
      <c r="S1206" s="1">
        <f>IFERROR(VLOOKUP($D1206&amp;$C1206,生产方式定位!$A$2:$E$38,3,FALSE)+VLOOKUP($E1206&amp;$C1206,生产方式定位!$F$3:$J$38,3,FALSE),0)</f>
        <v>0</v>
      </c>
      <c r="X1206" s="1">
        <f>IFERROR(VLOOKUP($D1206&amp;$C1206,生产方式定位!$A$2:$E$38,5,FALSE)+VLOOKUP($E1206&amp;$C1206,生产方式定位!$F$3:$J$38,5,FALSE),"错误")</f>
        <v>0</v>
      </c>
      <c r="Y1206" s="27" t="str">
        <f t="shared" si="144"/>
        <v/>
      </c>
      <c r="Z1206" s="37" t="str">
        <f t="shared" si="145"/>
        <v/>
      </c>
      <c r="AA1206" s="37" t="str">
        <f t="shared" si="146"/>
        <v/>
      </c>
      <c r="AB1206" s="28" t="str">
        <f t="shared" si="147"/>
        <v/>
      </c>
      <c r="AC1206" s="37"/>
      <c r="AD1206" s="38">
        <f t="shared" si="148"/>
        <v>7</v>
      </c>
      <c r="AE1206" t="str">
        <f>IFERROR(F1206&amp;"*"&amp;ROUND(L1206*(G1206/$AN1206)/VLOOKUP(F1206,商品!$A$4:$D$67,4,FALSE),0),"")</f>
        <v/>
      </c>
      <c r="AF1206" t="str">
        <f>IFERROR(H1206&amp;"*"&amp;ROUND(L1206*(I1206/$AN1206)/VLOOKUP(H1206,商品!$A$4:$D$67,4,FALSE),0),"")</f>
        <v/>
      </c>
      <c r="AG1206" t="str">
        <f>IFERROR(J1206&amp;"*"&amp;ROUND(L1206*(K1206/$AN1206)/VLOOKUP(J1206,商品!$A$4:$D$67,4,FALSE),0),"")</f>
        <v/>
      </c>
      <c r="AH1206" t="str">
        <f>IFERROR(M1206&amp;"*"&amp;ROUND(S1206*(N1206/$AO1206)/VLOOKUP(M1206,职业!$A$3:$E$16,4,FALSE),0),"")</f>
        <v/>
      </c>
      <c r="AI1206" t="str">
        <f>IFERROR(O1206&amp;"*"&amp;ROUND(S1206*(P1206/$AO1206)/VLOOKUP(O1206,职业!$A$3:$E$16,4,FALSE),0),"")</f>
        <v/>
      </c>
      <c r="AK1206" t="str">
        <f>IFERROR(T1206&amp;"*"&amp;ROUND(X1206*(U1206/$AP1206)/VLOOKUP(T1206,商品!$A$4:$D$67,4,FALSE),0),"")</f>
        <v/>
      </c>
      <c r="AL1206" t="str">
        <f>IFERROR(V1206&amp;"*"&amp;ROUND(X1206*(W1206/$AP1206)/VLOOKUP(V1206,商品!$A$4:$D$67,4,FALSE),0),"")</f>
        <v/>
      </c>
      <c r="AN1206">
        <f t="shared" si="149"/>
        <v>0</v>
      </c>
      <c r="AO1206">
        <f t="shared" si="150"/>
        <v>0</v>
      </c>
      <c r="AP1206">
        <f t="shared" si="151"/>
        <v>0</v>
      </c>
    </row>
    <row r="1207" customHeight="1" spans="1:42">
      <c r="A1207" s="18" t="s">
        <v>504</v>
      </c>
      <c r="C1207" s="18">
        <v>8</v>
      </c>
      <c r="D1207" s="1" t="s">
        <v>293</v>
      </c>
      <c r="E1207" s="1" t="s">
        <v>227</v>
      </c>
      <c r="L1207" s="1">
        <f>IFERROR(VLOOKUP($D1207&amp;$C1207,生产方式定位!$A$2:$E$38,2,FALSE)+VLOOKUP($E1207&amp;$C1207,生产方式定位!$F$3:$J$38,2,FALSE),0)</f>
        <v>0</v>
      </c>
      <c r="S1207" s="1">
        <f>IFERROR(VLOOKUP($D1207&amp;$C1207,生产方式定位!$A$2:$E$38,3,FALSE)+VLOOKUP($E1207&amp;$C1207,生产方式定位!$F$3:$J$38,3,FALSE),0)</f>
        <v>0</v>
      </c>
      <c r="X1207" s="1">
        <f>IFERROR(VLOOKUP($D1207&amp;$C1207,生产方式定位!$A$2:$E$38,5,FALSE)+VLOOKUP($E1207&amp;$C1207,生产方式定位!$F$3:$J$38,5,FALSE),"错误")</f>
        <v>0</v>
      </c>
      <c r="Y1207" s="27" t="str">
        <f t="shared" si="144"/>
        <v/>
      </c>
      <c r="Z1207" s="37" t="str">
        <f t="shared" si="145"/>
        <v/>
      </c>
      <c r="AA1207" s="37" t="str">
        <f t="shared" si="146"/>
        <v/>
      </c>
      <c r="AB1207" s="28" t="str">
        <f t="shared" si="147"/>
        <v/>
      </c>
      <c r="AC1207" s="37"/>
      <c r="AD1207" s="38">
        <f t="shared" si="148"/>
        <v>8</v>
      </c>
      <c r="AE1207" t="str">
        <f>IFERROR(F1207&amp;"*"&amp;ROUND(L1207*(G1207/$AN1207)/VLOOKUP(F1207,商品!$A$4:$D$67,4,FALSE),0),"")</f>
        <v/>
      </c>
      <c r="AF1207" t="str">
        <f>IFERROR(H1207&amp;"*"&amp;ROUND(L1207*(I1207/$AN1207)/VLOOKUP(H1207,商品!$A$4:$D$67,4,FALSE),0),"")</f>
        <v/>
      </c>
      <c r="AG1207" t="str">
        <f>IFERROR(J1207&amp;"*"&amp;ROUND(L1207*(K1207/$AN1207)/VLOOKUP(J1207,商品!$A$4:$D$67,4,FALSE),0),"")</f>
        <v/>
      </c>
      <c r="AH1207" t="str">
        <f>IFERROR(M1207&amp;"*"&amp;ROUND(S1207*(N1207/$AO1207)/VLOOKUP(M1207,职业!$A$3:$E$16,4,FALSE),0),"")</f>
        <v/>
      </c>
      <c r="AI1207" t="str">
        <f>IFERROR(O1207&amp;"*"&amp;ROUND(S1207*(P1207/$AO1207)/VLOOKUP(O1207,职业!$A$3:$E$16,4,FALSE),0),"")</f>
        <v/>
      </c>
      <c r="AK1207" t="str">
        <f>IFERROR(T1207&amp;"*"&amp;ROUND(X1207*(U1207/$AP1207)/VLOOKUP(T1207,商品!$A$4:$D$67,4,FALSE),0),"")</f>
        <v/>
      </c>
      <c r="AL1207" t="str">
        <f>IFERROR(V1207&amp;"*"&amp;ROUND(X1207*(W1207/$AP1207)/VLOOKUP(V1207,商品!$A$4:$D$67,4,FALSE),0),"")</f>
        <v/>
      </c>
      <c r="AN1207">
        <f t="shared" si="149"/>
        <v>0</v>
      </c>
      <c r="AO1207">
        <f t="shared" si="150"/>
        <v>0</v>
      </c>
      <c r="AP1207">
        <f t="shared" si="151"/>
        <v>0</v>
      </c>
    </row>
  </sheetData>
  <mergeCells count="3">
    <mergeCell ref="AD1:AD4"/>
    <mergeCell ref="AM1:AM4"/>
    <mergeCell ref="AQ1:AQ4"/>
  </mergeCells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AG1207"/>
  <sheetViews>
    <sheetView showGridLines="0" workbookViewId="0">
      <pane xSplit="3" ySplit="4" topLeftCell="D5" activePane="bottomRight" state="frozen"/>
      <selection/>
      <selection pane="topRight"/>
      <selection pane="bottomLeft"/>
      <selection pane="bottomRight" activeCell="D5" sqref="D5:AD5"/>
    </sheetView>
  </sheetViews>
  <sheetFormatPr defaultColWidth="9" defaultRowHeight="19" customHeight="1"/>
  <cols>
    <col min="1" max="1" width="21.9583333333333" style="1" customWidth="1"/>
    <col min="2" max="2" width="13.475" style="1" customWidth="1"/>
    <col min="3" max="3" width="5.625" style="1" customWidth="1"/>
    <col min="4" max="4" width="6.75" style="1" customWidth="1"/>
    <col min="5" max="5" width="5.625" style="1" customWidth="1"/>
    <col min="6" max="6" width="6.75" style="1" customWidth="1"/>
    <col min="7" max="7" width="5.625" style="1" customWidth="1"/>
    <col min="8" max="8" width="6.75" style="1" customWidth="1"/>
    <col min="9" max="9" width="5.625" style="1" customWidth="1"/>
    <col min="10" max="10" width="6.75" style="1" customWidth="1"/>
    <col min="11" max="11" width="5.625" style="1" customWidth="1"/>
    <col min="12" max="12" width="7" style="1" customWidth="1"/>
    <col min="13" max="13" width="5.625" style="1" customWidth="1"/>
    <col min="14" max="14" width="7" style="1" customWidth="1"/>
    <col min="15" max="15" width="5.625" style="1" customWidth="1"/>
    <col min="16" max="16" width="6.75" style="1" customWidth="1"/>
    <col min="17" max="17" width="5.625" style="1" customWidth="1"/>
    <col min="18" max="18" width="6.75" style="1" customWidth="1"/>
    <col min="19" max="19" width="5.625" style="16" customWidth="1"/>
    <col min="20" max="21" width="11.25" style="1" customWidth="1"/>
    <col min="22" max="22" width="11.25" style="13" customWidth="1"/>
    <col min="23" max="23" width="9.875" style="13" customWidth="1"/>
    <col min="24" max="24" width="4.875" style="17" customWidth="1"/>
    <col min="25" max="32" width="6.75" customWidth="1"/>
    <col min="33" max="33" width="4.875" style="17" customWidth="1"/>
  </cols>
  <sheetData>
    <row r="1" customHeight="1" spans="1:33">
      <c r="A1" s="6"/>
      <c r="B1" s="6"/>
      <c r="X1" s="19" t="s">
        <v>575</v>
      </c>
      <c r="AG1" s="24" t="s">
        <v>575</v>
      </c>
    </row>
    <row r="2" customHeight="1" spans="1:33">
      <c r="A2" s="6"/>
      <c r="B2" s="6"/>
      <c r="X2" s="20"/>
      <c r="AG2" s="25"/>
    </row>
    <row r="3" customHeight="1" spans="1:33">
      <c r="A3" s="6"/>
      <c r="B3" s="6"/>
      <c r="X3" s="20"/>
      <c r="Y3" s="1"/>
      <c r="Z3" s="1"/>
      <c r="AA3" s="1"/>
      <c r="AB3" s="1"/>
      <c r="AG3" s="25"/>
    </row>
    <row r="4" ht="41" customHeight="1" spans="1:33">
      <c r="A4" s="2" t="s">
        <v>287</v>
      </c>
      <c r="B4" s="2" t="s">
        <v>576</v>
      </c>
      <c r="C4" s="3" t="s">
        <v>218</v>
      </c>
      <c r="D4" s="4" t="s">
        <v>579</v>
      </c>
      <c r="E4" s="4" t="s">
        <v>604</v>
      </c>
      <c r="F4" s="4" t="s">
        <v>581</v>
      </c>
      <c r="G4" s="4" t="s">
        <v>604</v>
      </c>
      <c r="H4" s="4" t="s">
        <v>583</v>
      </c>
      <c r="I4" s="4" t="s">
        <v>604</v>
      </c>
      <c r="J4" s="2" t="s">
        <v>586</v>
      </c>
      <c r="K4" s="2" t="s">
        <v>604</v>
      </c>
      <c r="L4" s="2" t="s">
        <v>588</v>
      </c>
      <c r="M4" s="2" t="s">
        <v>604</v>
      </c>
      <c r="N4" s="2" t="s">
        <v>590</v>
      </c>
      <c r="O4" s="2" t="s">
        <v>604</v>
      </c>
      <c r="P4" s="8" t="s">
        <v>219</v>
      </c>
      <c r="Q4" s="8" t="s">
        <v>604</v>
      </c>
      <c r="R4" s="8" t="s">
        <v>220</v>
      </c>
      <c r="S4" s="21" t="s">
        <v>604</v>
      </c>
      <c r="T4" s="22" t="s">
        <v>605</v>
      </c>
      <c r="U4" s="9" t="s">
        <v>606</v>
      </c>
      <c r="V4" s="10" t="s">
        <v>607</v>
      </c>
      <c r="W4" s="11" t="s">
        <v>608</v>
      </c>
      <c r="X4" s="23"/>
      <c r="Y4" s="4" t="s">
        <v>579</v>
      </c>
      <c r="Z4" s="4" t="s">
        <v>581</v>
      </c>
      <c r="AA4" s="4" t="s">
        <v>583</v>
      </c>
      <c r="AB4" s="2" t="s">
        <v>586</v>
      </c>
      <c r="AC4" s="2" t="s">
        <v>588</v>
      </c>
      <c r="AD4" s="2" t="s">
        <v>590</v>
      </c>
      <c r="AE4" s="8" t="s">
        <v>219</v>
      </c>
      <c r="AF4" s="8" t="s">
        <v>220</v>
      </c>
      <c r="AG4" s="26"/>
    </row>
    <row r="5" customHeight="1" spans="1:32">
      <c r="A5" s="5" t="s">
        <v>290</v>
      </c>
      <c r="B5" s="6"/>
      <c r="C5" s="5">
        <v>1</v>
      </c>
      <c r="D5" s="1" t="s">
        <v>106</v>
      </c>
      <c r="E5" s="1">
        <v>0</v>
      </c>
      <c r="J5" s="1" t="s">
        <v>208</v>
      </c>
      <c r="K5" s="1">
        <v>4900</v>
      </c>
      <c r="L5" s="1" t="s">
        <v>200</v>
      </c>
      <c r="M5" s="1">
        <v>150</v>
      </c>
      <c r="N5" s="1" t="s">
        <v>207</v>
      </c>
      <c r="O5" s="1">
        <v>750</v>
      </c>
      <c r="P5" s="1" t="s">
        <v>106</v>
      </c>
      <c r="Q5" s="1">
        <v>30</v>
      </c>
      <c r="T5" s="1">
        <f>SUM(Y5:AA5)</f>
        <v>0</v>
      </c>
      <c r="U5" s="1">
        <f>SUM(AB5:AC5)</f>
        <v>2396</v>
      </c>
      <c r="V5" s="13">
        <f>SUM(AE5:AF5)</f>
        <v>600</v>
      </c>
      <c r="W5" s="13">
        <f>V5-T5-U5</f>
        <v>-1796</v>
      </c>
      <c r="Y5">
        <f>IFERROR(ROUND(E5*VLOOKUP(D5,商品!$A$4:$D$67,4,FALSE),0),"")</f>
        <v>0</v>
      </c>
      <c r="Z5" t="str">
        <f>IFERROR(ROUND(G5*VLOOKUP(F5,商品!$A$4:$D$67,4,FALSE),0),"")</f>
        <v/>
      </c>
      <c r="AA5" t="str">
        <f>IFERROR(ROUND(I5*VLOOKUP(H5,商品!$A$4:$D$67,4,FALSE),0),"")</f>
        <v/>
      </c>
      <c r="AB5">
        <f>IFERROR(ROUND(K5*VLOOKUP(J5,职业!$A$3:$E$16,4,FALSE),0),"")</f>
        <v>2279</v>
      </c>
      <c r="AC5">
        <f>IFERROR(ROUND(M5*VLOOKUP(L5,职业!$A$3:$E$16,4,FALSE),0),"")</f>
        <v>117</v>
      </c>
      <c r="AD5">
        <f>IFERROR(ROUND(O5*VLOOKUP(N5,职业!$A$3:$E$16,4,FALSE),0),"")</f>
        <v>349</v>
      </c>
      <c r="AE5">
        <f>IFERROR(ROUND(Q5*VLOOKUP(P5,商品!$A$4:$D$67,4,FALSE),0),"")</f>
        <v>600</v>
      </c>
      <c r="AF5" t="str">
        <f>IFERROR(ROUND(S5*VLOOKUP(R5,商品!$A$4:$D$67,4,FALSE),0),"")</f>
        <v/>
      </c>
    </row>
    <row r="6" customHeight="1" spans="1:3">
      <c r="A6" s="5" t="s">
        <v>290</v>
      </c>
      <c r="B6" s="6"/>
      <c r="C6" s="5">
        <v>2</v>
      </c>
    </row>
    <row r="7" customHeight="1" spans="1:3">
      <c r="A7" s="5" t="s">
        <v>290</v>
      </c>
      <c r="C7" s="5">
        <v>3</v>
      </c>
    </row>
    <row r="8" customHeight="1" spans="1:3">
      <c r="A8" s="5" t="s">
        <v>290</v>
      </c>
      <c r="C8" s="5">
        <v>4</v>
      </c>
    </row>
    <row r="9" customHeight="1" spans="1:3">
      <c r="A9" s="5" t="s">
        <v>290</v>
      </c>
      <c r="C9" s="5">
        <v>5</v>
      </c>
    </row>
    <row r="10" customHeight="1" spans="1:3">
      <c r="A10" s="18" t="s">
        <v>291</v>
      </c>
      <c r="C10" s="18">
        <v>1</v>
      </c>
    </row>
    <row r="11" customHeight="1" spans="1:3">
      <c r="A11" s="18" t="s">
        <v>291</v>
      </c>
      <c r="C11" s="18">
        <v>2</v>
      </c>
    </row>
    <row r="12" customHeight="1" spans="1:3">
      <c r="A12" s="18" t="s">
        <v>291</v>
      </c>
      <c r="C12" s="18">
        <v>3</v>
      </c>
    </row>
    <row r="13" customHeight="1" spans="1:3">
      <c r="A13" s="18" t="s">
        <v>291</v>
      </c>
      <c r="C13" s="18">
        <v>4</v>
      </c>
    </row>
    <row r="14" customHeight="1" spans="1:3">
      <c r="A14" s="18" t="s">
        <v>291</v>
      </c>
      <c r="C14" s="18">
        <v>5</v>
      </c>
    </row>
    <row r="15" customHeight="1" spans="1:3">
      <c r="A15" s="5" t="s">
        <v>292</v>
      </c>
      <c r="C15" s="5">
        <v>1</v>
      </c>
    </row>
    <row r="16" customHeight="1" spans="1:3">
      <c r="A16" s="5" t="s">
        <v>292</v>
      </c>
      <c r="C16" s="5">
        <v>2</v>
      </c>
    </row>
    <row r="17" customHeight="1" spans="1:3">
      <c r="A17" s="5" t="s">
        <v>292</v>
      </c>
      <c r="C17" s="5">
        <v>3</v>
      </c>
    </row>
    <row r="18" customHeight="1" spans="1:3">
      <c r="A18" s="5" t="s">
        <v>292</v>
      </c>
      <c r="C18" s="5">
        <v>4</v>
      </c>
    </row>
    <row r="19" customHeight="1" spans="1:3">
      <c r="A19" s="5" t="s">
        <v>292</v>
      </c>
      <c r="C19" s="5">
        <v>5</v>
      </c>
    </row>
    <row r="20" customHeight="1" spans="1:3">
      <c r="A20" s="18" t="s">
        <v>292</v>
      </c>
      <c r="C20" s="18">
        <v>1</v>
      </c>
    </row>
    <row r="21" customHeight="1" spans="1:3">
      <c r="A21" s="18" t="s">
        <v>292</v>
      </c>
      <c r="C21" s="18">
        <v>2</v>
      </c>
    </row>
    <row r="22" customHeight="1" spans="1:3">
      <c r="A22" s="18" t="s">
        <v>292</v>
      </c>
      <c r="C22" s="18">
        <v>3</v>
      </c>
    </row>
    <row r="23" customHeight="1" spans="1:3">
      <c r="A23" s="18" t="s">
        <v>292</v>
      </c>
      <c r="C23" s="18">
        <v>4</v>
      </c>
    </row>
    <row r="24" customHeight="1" spans="1:3">
      <c r="A24" s="18" t="s">
        <v>292</v>
      </c>
      <c r="C24" s="18">
        <v>5</v>
      </c>
    </row>
    <row r="25" customHeight="1" spans="1:3">
      <c r="A25" s="5" t="s">
        <v>294</v>
      </c>
      <c r="C25" s="5">
        <v>1</v>
      </c>
    </row>
    <row r="26" customHeight="1" spans="1:3">
      <c r="A26" s="5" t="s">
        <v>294</v>
      </c>
      <c r="C26" s="5">
        <v>2</v>
      </c>
    </row>
    <row r="27" customHeight="1" spans="1:3">
      <c r="A27" s="5" t="s">
        <v>294</v>
      </c>
      <c r="C27" s="5">
        <v>3</v>
      </c>
    </row>
    <row r="28" customHeight="1" spans="1:3">
      <c r="A28" s="5" t="s">
        <v>294</v>
      </c>
      <c r="C28" s="5">
        <v>4</v>
      </c>
    </row>
    <row r="29" customHeight="1" spans="1:3">
      <c r="A29" s="5" t="s">
        <v>294</v>
      </c>
      <c r="C29" s="5">
        <v>5</v>
      </c>
    </row>
    <row r="30" customHeight="1" spans="1:3">
      <c r="A30" s="5" t="s">
        <v>294</v>
      </c>
      <c r="C30" s="5">
        <v>6</v>
      </c>
    </row>
    <row r="31" customHeight="1" spans="1:3">
      <c r="A31" s="5" t="s">
        <v>294</v>
      </c>
      <c r="C31" s="5">
        <v>7</v>
      </c>
    </row>
    <row r="32" customHeight="1" spans="1:3">
      <c r="A32" s="5" t="s">
        <v>294</v>
      </c>
      <c r="C32" s="5">
        <v>8</v>
      </c>
    </row>
    <row r="33" customHeight="1" spans="1:3">
      <c r="A33" s="18" t="s">
        <v>296</v>
      </c>
      <c r="C33" s="18">
        <v>1</v>
      </c>
    </row>
    <row r="34" customHeight="1" spans="1:3">
      <c r="A34" s="18" t="s">
        <v>296</v>
      </c>
      <c r="C34" s="18">
        <v>2</v>
      </c>
    </row>
    <row r="35" customHeight="1" spans="1:3">
      <c r="A35" s="18" t="s">
        <v>296</v>
      </c>
      <c r="C35" s="18">
        <v>3</v>
      </c>
    </row>
    <row r="36" customHeight="1" spans="1:3">
      <c r="A36" s="18" t="s">
        <v>296</v>
      </c>
      <c r="C36" s="18">
        <v>4</v>
      </c>
    </row>
    <row r="37" customHeight="1" spans="1:3">
      <c r="A37" s="18" t="s">
        <v>296</v>
      </c>
      <c r="C37" s="18">
        <v>5</v>
      </c>
    </row>
    <row r="38" customHeight="1" spans="1:3">
      <c r="A38" s="5" t="s">
        <v>297</v>
      </c>
      <c r="C38" s="5">
        <v>1</v>
      </c>
    </row>
    <row r="39" customHeight="1" spans="1:3">
      <c r="A39" s="5" t="s">
        <v>297</v>
      </c>
      <c r="C39" s="5">
        <v>2</v>
      </c>
    </row>
    <row r="40" customHeight="1" spans="1:3">
      <c r="A40" s="5" t="s">
        <v>297</v>
      </c>
      <c r="C40" s="5">
        <v>3</v>
      </c>
    </row>
    <row r="41" customHeight="1" spans="1:3">
      <c r="A41" s="5" t="s">
        <v>297</v>
      </c>
      <c r="C41" s="5">
        <v>4</v>
      </c>
    </row>
    <row r="42" customHeight="1" spans="1:3">
      <c r="A42" s="5" t="s">
        <v>297</v>
      </c>
      <c r="C42" s="5">
        <v>5</v>
      </c>
    </row>
    <row r="43" customHeight="1" spans="1:3">
      <c r="A43" s="18" t="s">
        <v>298</v>
      </c>
      <c r="C43" s="18">
        <v>1</v>
      </c>
    </row>
    <row r="44" customHeight="1" spans="1:3">
      <c r="A44" s="18" t="s">
        <v>298</v>
      </c>
      <c r="C44" s="18">
        <v>2</v>
      </c>
    </row>
    <row r="45" customHeight="1" spans="1:3">
      <c r="A45" s="18" t="s">
        <v>298</v>
      </c>
      <c r="C45" s="18">
        <v>3</v>
      </c>
    </row>
    <row r="46" customHeight="1" spans="1:3">
      <c r="A46" s="18" t="s">
        <v>298</v>
      </c>
      <c r="C46" s="18">
        <v>4</v>
      </c>
    </row>
    <row r="47" customHeight="1" spans="1:3">
      <c r="A47" s="18" t="s">
        <v>298</v>
      </c>
      <c r="C47" s="18">
        <v>5</v>
      </c>
    </row>
    <row r="48" customHeight="1" spans="1:3">
      <c r="A48" s="5" t="s">
        <v>298</v>
      </c>
      <c r="C48" s="5">
        <v>1</v>
      </c>
    </row>
    <row r="49" customHeight="1" spans="1:3">
      <c r="A49" s="5" t="s">
        <v>298</v>
      </c>
      <c r="C49" s="5">
        <v>2</v>
      </c>
    </row>
    <row r="50" customHeight="1" spans="1:3">
      <c r="A50" s="5" t="s">
        <v>298</v>
      </c>
      <c r="C50" s="5">
        <v>3</v>
      </c>
    </row>
    <row r="51" customHeight="1" spans="1:3">
      <c r="A51" s="5" t="s">
        <v>298</v>
      </c>
      <c r="C51" s="5">
        <v>4</v>
      </c>
    </row>
    <row r="52" customHeight="1" spans="1:3">
      <c r="A52" s="5" t="s">
        <v>298</v>
      </c>
      <c r="C52" s="5">
        <v>5</v>
      </c>
    </row>
    <row r="53" customHeight="1" spans="1:3">
      <c r="A53" s="18" t="s">
        <v>299</v>
      </c>
      <c r="C53" s="18">
        <v>1</v>
      </c>
    </row>
    <row r="54" customHeight="1" spans="1:3">
      <c r="A54" s="18" t="s">
        <v>299</v>
      </c>
      <c r="C54" s="18">
        <v>2</v>
      </c>
    </row>
    <row r="55" customHeight="1" spans="1:3">
      <c r="A55" s="18" t="s">
        <v>299</v>
      </c>
      <c r="C55" s="18">
        <v>3</v>
      </c>
    </row>
    <row r="56" customHeight="1" spans="1:3">
      <c r="A56" s="18" t="s">
        <v>299</v>
      </c>
      <c r="C56" s="18">
        <v>4</v>
      </c>
    </row>
    <row r="57" customHeight="1" spans="1:3">
      <c r="A57" s="18" t="s">
        <v>299</v>
      </c>
      <c r="C57" s="18">
        <v>5</v>
      </c>
    </row>
    <row r="58" customHeight="1" spans="1:3">
      <c r="A58" s="18" t="s">
        <v>299</v>
      </c>
      <c r="C58" s="18">
        <v>6</v>
      </c>
    </row>
    <row r="59" customHeight="1" spans="1:3">
      <c r="A59" s="18" t="s">
        <v>299</v>
      </c>
      <c r="C59" s="18">
        <v>7</v>
      </c>
    </row>
    <row r="60" customHeight="1" spans="1:3">
      <c r="A60" s="18" t="s">
        <v>299</v>
      </c>
      <c r="C60" s="18">
        <v>8</v>
      </c>
    </row>
    <row r="61" customHeight="1" spans="1:3">
      <c r="A61" s="5" t="s">
        <v>301</v>
      </c>
      <c r="C61" s="5">
        <v>1</v>
      </c>
    </row>
    <row r="62" customHeight="1" spans="1:3">
      <c r="A62" s="5" t="s">
        <v>301</v>
      </c>
      <c r="C62" s="5">
        <v>2</v>
      </c>
    </row>
    <row r="63" customHeight="1" spans="1:3">
      <c r="A63" s="5" t="s">
        <v>301</v>
      </c>
      <c r="C63" s="5">
        <v>3</v>
      </c>
    </row>
    <row r="64" customHeight="1" spans="1:3">
      <c r="A64" s="5" t="s">
        <v>301</v>
      </c>
      <c r="C64" s="5">
        <v>4</v>
      </c>
    </row>
    <row r="65" customHeight="1" spans="1:3">
      <c r="A65" s="5" t="s">
        <v>301</v>
      </c>
      <c r="C65" s="5">
        <v>5</v>
      </c>
    </row>
    <row r="66" customHeight="1" spans="1:3">
      <c r="A66" s="18" t="s">
        <v>302</v>
      </c>
      <c r="C66" s="18">
        <v>1</v>
      </c>
    </row>
    <row r="67" customHeight="1" spans="1:3">
      <c r="A67" s="18" t="s">
        <v>302</v>
      </c>
      <c r="C67" s="18">
        <v>2</v>
      </c>
    </row>
    <row r="68" customHeight="1" spans="1:3">
      <c r="A68" s="18" t="s">
        <v>302</v>
      </c>
      <c r="C68" s="18">
        <v>3</v>
      </c>
    </row>
    <row r="69" customHeight="1" spans="1:3">
      <c r="A69" s="18" t="s">
        <v>302</v>
      </c>
      <c r="C69" s="18">
        <v>4</v>
      </c>
    </row>
    <row r="70" customHeight="1" spans="1:3">
      <c r="A70" s="18" t="s">
        <v>302</v>
      </c>
      <c r="C70" s="18">
        <v>5</v>
      </c>
    </row>
    <row r="71" customHeight="1" spans="1:3">
      <c r="A71" s="5" t="s">
        <v>302</v>
      </c>
      <c r="C71" s="5">
        <v>1</v>
      </c>
    </row>
    <row r="72" customHeight="1" spans="1:3">
      <c r="A72" s="5" t="s">
        <v>302</v>
      </c>
      <c r="C72" s="5">
        <v>2</v>
      </c>
    </row>
    <row r="73" customHeight="1" spans="1:3">
      <c r="A73" s="5" t="s">
        <v>302</v>
      </c>
      <c r="C73" s="5">
        <v>3</v>
      </c>
    </row>
    <row r="74" customHeight="1" spans="1:3">
      <c r="A74" s="5" t="s">
        <v>302</v>
      </c>
      <c r="C74" s="5">
        <v>4</v>
      </c>
    </row>
    <row r="75" customHeight="1" spans="1:3">
      <c r="A75" s="5" t="s">
        <v>302</v>
      </c>
      <c r="C75" s="5">
        <v>5</v>
      </c>
    </row>
    <row r="76" customHeight="1" spans="1:3">
      <c r="A76" s="18" t="s">
        <v>303</v>
      </c>
      <c r="C76" s="18">
        <v>1</v>
      </c>
    </row>
    <row r="77" customHeight="1" spans="1:3">
      <c r="A77" s="18" t="s">
        <v>303</v>
      </c>
      <c r="C77" s="18">
        <v>2</v>
      </c>
    </row>
    <row r="78" customHeight="1" spans="1:3">
      <c r="A78" s="18" t="s">
        <v>303</v>
      </c>
      <c r="C78" s="18">
        <v>3</v>
      </c>
    </row>
    <row r="79" customHeight="1" spans="1:3">
      <c r="A79" s="18" t="s">
        <v>303</v>
      </c>
      <c r="C79" s="18">
        <v>4</v>
      </c>
    </row>
    <row r="80" customHeight="1" spans="1:3">
      <c r="A80" s="18" t="s">
        <v>303</v>
      </c>
      <c r="C80" s="18">
        <v>5</v>
      </c>
    </row>
    <row r="81" customHeight="1" spans="1:3">
      <c r="A81" s="18" t="s">
        <v>303</v>
      </c>
      <c r="C81" s="18">
        <v>6</v>
      </c>
    </row>
    <row r="82" customHeight="1" spans="1:3">
      <c r="A82" s="18" t="s">
        <v>303</v>
      </c>
      <c r="C82" s="18">
        <v>7</v>
      </c>
    </row>
    <row r="83" customHeight="1" spans="1:3">
      <c r="A83" s="18" t="s">
        <v>303</v>
      </c>
      <c r="C83" s="18">
        <v>8</v>
      </c>
    </row>
    <row r="84" customHeight="1" spans="1:3">
      <c r="A84" s="5" t="s">
        <v>305</v>
      </c>
      <c r="C84" s="5">
        <v>1</v>
      </c>
    </row>
    <row r="85" customHeight="1" spans="1:3">
      <c r="A85" s="5" t="s">
        <v>305</v>
      </c>
      <c r="C85" s="5">
        <v>2</v>
      </c>
    </row>
    <row r="86" customHeight="1" spans="1:3">
      <c r="A86" s="5" t="s">
        <v>305</v>
      </c>
      <c r="C86" s="5">
        <v>3</v>
      </c>
    </row>
    <row r="87" customHeight="1" spans="1:3">
      <c r="A87" s="5" t="s">
        <v>305</v>
      </c>
      <c r="C87" s="5">
        <v>4</v>
      </c>
    </row>
    <row r="88" customHeight="1" spans="1:3">
      <c r="A88" s="5" t="s">
        <v>305</v>
      </c>
      <c r="C88" s="5">
        <v>5</v>
      </c>
    </row>
    <row r="89" customHeight="1" spans="1:3">
      <c r="A89" s="18" t="s">
        <v>306</v>
      </c>
      <c r="C89" s="18">
        <v>1</v>
      </c>
    </row>
    <row r="90" customHeight="1" spans="1:3">
      <c r="A90" s="18" t="s">
        <v>306</v>
      </c>
      <c r="C90" s="18">
        <v>2</v>
      </c>
    </row>
    <row r="91" customHeight="1" spans="1:3">
      <c r="A91" s="18" t="s">
        <v>306</v>
      </c>
      <c r="C91" s="18">
        <v>3</v>
      </c>
    </row>
    <row r="92" customHeight="1" spans="1:3">
      <c r="A92" s="18" t="s">
        <v>306</v>
      </c>
      <c r="C92" s="18">
        <v>4</v>
      </c>
    </row>
    <row r="93" customHeight="1" spans="1:3">
      <c r="A93" s="18" t="s">
        <v>306</v>
      </c>
      <c r="C93" s="18">
        <v>5</v>
      </c>
    </row>
    <row r="94" customHeight="1" spans="1:3">
      <c r="A94" s="5" t="s">
        <v>307</v>
      </c>
      <c r="C94" s="5">
        <v>1</v>
      </c>
    </row>
    <row r="95" customHeight="1" spans="1:3">
      <c r="A95" s="5" t="s">
        <v>307</v>
      </c>
      <c r="C95" s="5">
        <v>2</v>
      </c>
    </row>
    <row r="96" customHeight="1" spans="1:3">
      <c r="A96" s="5" t="s">
        <v>307</v>
      </c>
      <c r="C96" s="5">
        <v>3</v>
      </c>
    </row>
    <row r="97" customHeight="1" spans="1:3">
      <c r="A97" s="5" t="s">
        <v>307</v>
      </c>
      <c r="C97" s="5">
        <v>4</v>
      </c>
    </row>
    <row r="98" customHeight="1" spans="1:3">
      <c r="A98" s="5" t="s">
        <v>307</v>
      </c>
      <c r="C98" s="5">
        <v>5</v>
      </c>
    </row>
    <row r="99" customHeight="1" spans="1:3">
      <c r="A99" s="18" t="s">
        <v>307</v>
      </c>
      <c r="C99" s="18">
        <v>1</v>
      </c>
    </row>
    <row r="100" customHeight="1" spans="1:3">
      <c r="A100" s="18" t="s">
        <v>307</v>
      </c>
      <c r="C100" s="18">
        <v>2</v>
      </c>
    </row>
    <row r="101" customHeight="1" spans="1:3">
      <c r="A101" s="18" t="s">
        <v>307</v>
      </c>
      <c r="C101" s="18">
        <v>3</v>
      </c>
    </row>
    <row r="102" customHeight="1" spans="1:3">
      <c r="A102" s="18" t="s">
        <v>307</v>
      </c>
      <c r="C102" s="18">
        <v>4</v>
      </c>
    </row>
    <row r="103" customHeight="1" spans="1:3">
      <c r="A103" s="18" t="s">
        <v>307</v>
      </c>
      <c r="C103" s="18">
        <v>5</v>
      </c>
    </row>
    <row r="104" customHeight="1" spans="1:3">
      <c r="A104" s="5" t="s">
        <v>308</v>
      </c>
      <c r="C104" s="5">
        <v>1</v>
      </c>
    </row>
    <row r="105" customHeight="1" spans="1:3">
      <c r="A105" s="5" t="s">
        <v>308</v>
      </c>
      <c r="C105" s="5">
        <v>2</v>
      </c>
    </row>
    <row r="106" customHeight="1" spans="1:3">
      <c r="A106" s="5" t="s">
        <v>308</v>
      </c>
      <c r="C106" s="5">
        <v>3</v>
      </c>
    </row>
    <row r="107" customHeight="1" spans="1:3">
      <c r="A107" s="5" t="s">
        <v>308</v>
      </c>
      <c r="C107" s="5">
        <v>4</v>
      </c>
    </row>
    <row r="108" customHeight="1" spans="1:3">
      <c r="A108" s="5" t="s">
        <v>308</v>
      </c>
      <c r="C108" s="5">
        <v>5</v>
      </c>
    </row>
    <row r="109" customHeight="1" spans="1:3">
      <c r="A109" s="5" t="s">
        <v>308</v>
      </c>
      <c r="C109" s="5">
        <v>6</v>
      </c>
    </row>
    <row r="110" customHeight="1" spans="1:3">
      <c r="A110" s="5" t="s">
        <v>308</v>
      </c>
      <c r="C110" s="5">
        <v>7</v>
      </c>
    </row>
    <row r="111" customHeight="1" spans="1:3">
      <c r="A111" s="5" t="s">
        <v>308</v>
      </c>
      <c r="C111" s="5">
        <v>8</v>
      </c>
    </row>
    <row r="112" customHeight="1" spans="1:3">
      <c r="A112" s="18" t="s">
        <v>310</v>
      </c>
      <c r="C112" s="18">
        <v>1</v>
      </c>
    </row>
    <row r="113" customHeight="1" spans="1:3">
      <c r="A113" s="18" t="s">
        <v>310</v>
      </c>
      <c r="C113" s="18">
        <v>2</v>
      </c>
    </row>
    <row r="114" customHeight="1" spans="1:3">
      <c r="A114" s="18" t="s">
        <v>310</v>
      </c>
      <c r="C114" s="18">
        <v>3</v>
      </c>
    </row>
    <row r="115" customHeight="1" spans="1:3">
      <c r="A115" s="18" t="s">
        <v>310</v>
      </c>
      <c r="C115" s="18">
        <v>4</v>
      </c>
    </row>
    <row r="116" customHeight="1" spans="1:3">
      <c r="A116" s="18" t="s">
        <v>310</v>
      </c>
      <c r="C116" s="18">
        <v>5</v>
      </c>
    </row>
    <row r="117" customHeight="1" spans="1:3">
      <c r="A117" s="5" t="s">
        <v>311</v>
      </c>
      <c r="C117" s="5">
        <v>1</v>
      </c>
    </row>
    <row r="118" customHeight="1" spans="1:3">
      <c r="A118" s="5" t="s">
        <v>311</v>
      </c>
      <c r="C118" s="5">
        <v>2</v>
      </c>
    </row>
    <row r="119" customHeight="1" spans="1:3">
      <c r="A119" s="5" t="s">
        <v>311</v>
      </c>
      <c r="C119" s="5">
        <v>3</v>
      </c>
    </row>
    <row r="120" customHeight="1" spans="1:3">
      <c r="A120" s="5" t="s">
        <v>311</v>
      </c>
      <c r="C120" s="5">
        <v>4</v>
      </c>
    </row>
    <row r="121" customHeight="1" spans="1:3">
      <c r="A121" s="5" t="s">
        <v>311</v>
      </c>
      <c r="C121" s="5">
        <v>5</v>
      </c>
    </row>
    <row r="122" customHeight="1" spans="1:3">
      <c r="A122" s="18" t="s">
        <v>312</v>
      </c>
      <c r="C122" s="18">
        <v>1</v>
      </c>
    </row>
    <row r="123" customHeight="1" spans="1:3">
      <c r="A123" s="18" t="s">
        <v>312</v>
      </c>
      <c r="C123" s="18">
        <v>2</v>
      </c>
    </row>
    <row r="124" customHeight="1" spans="1:3">
      <c r="A124" s="18" t="s">
        <v>312</v>
      </c>
      <c r="C124" s="18">
        <v>3</v>
      </c>
    </row>
    <row r="125" customHeight="1" spans="1:3">
      <c r="A125" s="18" t="s">
        <v>312</v>
      </c>
      <c r="C125" s="18">
        <v>4</v>
      </c>
    </row>
    <row r="126" customHeight="1" spans="1:3">
      <c r="A126" s="18" t="s">
        <v>312</v>
      </c>
      <c r="C126" s="18">
        <v>5</v>
      </c>
    </row>
    <row r="127" customHeight="1" spans="1:3">
      <c r="A127" s="5" t="s">
        <v>312</v>
      </c>
      <c r="C127" s="5">
        <v>1</v>
      </c>
    </row>
    <row r="128" customHeight="1" spans="1:3">
      <c r="A128" s="5" t="s">
        <v>312</v>
      </c>
      <c r="C128" s="5">
        <v>2</v>
      </c>
    </row>
    <row r="129" customHeight="1" spans="1:3">
      <c r="A129" s="5" t="s">
        <v>312</v>
      </c>
      <c r="C129" s="5">
        <v>3</v>
      </c>
    </row>
    <row r="130" customHeight="1" spans="1:3">
      <c r="A130" s="5" t="s">
        <v>312</v>
      </c>
      <c r="C130" s="5">
        <v>4</v>
      </c>
    </row>
    <row r="131" customHeight="1" spans="1:3">
      <c r="A131" s="5" t="s">
        <v>312</v>
      </c>
      <c r="C131" s="5">
        <v>5</v>
      </c>
    </row>
    <row r="132" customHeight="1" spans="1:3">
      <c r="A132" s="18" t="s">
        <v>313</v>
      </c>
      <c r="C132" s="18">
        <v>1</v>
      </c>
    </row>
    <row r="133" customHeight="1" spans="1:3">
      <c r="A133" s="18" t="s">
        <v>313</v>
      </c>
      <c r="C133" s="18">
        <v>2</v>
      </c>
    </row>
    <row r="134" customHeight="1" spans="1:3">
      <c r="A134" s="18" t="s">
        <v>313</v>
      </c>
      <c r="C134" s="18">
        <v>3</v>
      </c>
    </row>
    <row r="135" customHeight="1" spans="1:3">
      <c r="A135" s="18" t="s">
        <v>313</v>
      </c>
      <c r="C135" s="18">
        <v>4</v>
      </c>
    </row>
    <row r="136" customHeight="1" spans="1:3">
      <c r="A136" s="18" t="s">
        <v>313</v>
      </c>
      <c r="C136" s="18">
        <v>5</v>
      </c>
    </row>
    <row r="137" customHeight="1" spans="1:3">
      <c r="A137" s="18" t="s">
        <v>313</v>
      </c>
      <c r="C137" s="18">
        <v>6</v>
      </c>
    </row>
    <row r="138" customHeight="1" spans="1:3">
      <c r="A138" s="18" t="s">
        <v>313</v>
      </c>
      <c r="C138" s="18">
        <v>7</v>
      </c>
    </row>
    <row r="139" customHeight="1" spans="1:3">
      <c r="A139" s="18" t="s">
        <v>313</v>
      </c>
      <c r="C139" s="18">
        <v>8</v>
      </c>
    </row>
    <row r="140" customHeight="1" spans="1:3">
      <c r="A140" s="5" t="s">
        <v>315</v>
      </c>
      <c r="C140" s="5">
        <v>1</v>
      </c>
    </row>
    <row r="141" customHeight="1" spans="1:3">
      <c r="A141" s="5" t="s">
        <v>315</v>
      </c>
      <c r="C141" s="5">
        <v>2</v>
      </c>
    </row>
    <row r="142" customHeight="1" spans="1:3">
      <c r="A142" s="5" t="s">
        <v>315</v>
      </c>
      <c r="C142" s="5">
        <v>3</v>
      </c>
    </row>
    <row r="143" customHeight="1" spans="1:3">
      <c r="A143" s="5" t="s">
        <v>315</v>
      </c>
      <c r="C143" s="5">
        <v>4</v>
      </c>
    </row>
    <row r="144" customHeight="1" spans="1:3">
      <c r="A144" s="5" t="s">
        <v>315</v>
      </c>
      <c r="C144" s="5">
        <v>5</v>
      </c>
    </row>
    <row r="145" customHeight="1" spans="1:3">
      <c r="A145" s="18" t="s">
        <v>316</v>
      </c>
      <c r="C145" s="18">
        <v>1</v>
      </c>
    </row>
    <row r="146" customHeight="1" spans="1:3">
      <c r="A146" s="18" t="s">
        <v>316</v>
      </c>
      <c r="C146" s="18">
        <v>2</v>
      </c>
    </row>
    <row r="147" customHeight="1" spans="1:3">
      <c r="A147" s="18" t="s">
        <v>316</v>
      </c>
      <c r="C147" s="18">
        <v>3</v>
      </c>
    </row>
    <row r="148" customHeight="1" spans="1:3">
      <c r="A148" s="18" t="s">
        <v>316</v>
      </c>
      <c r="C148" s="18">
        <v>4</v>
      </c>
    </row>
    <row r="149" customHeight="1" spans="1:3">
      <c r="A149" s="18" t="s">
        <v>316</v>
      </c>
      <c r="C149" s="18">
        <v>5</v>
      </c>
    </row>
    <row r="150" customHeight="1" spans="1:3">
      <c r="A150" s="5" t="s">
        <v>317</v>
      </c>
      <c r="C150" s="5">
        <v>1</v>
      </c>
    </row>
    <row r="151" customHeight="1" spans="1:3">
      <c r="A151" s="5" t="s">
        <v>317</v>
      </c>
      <c r="C151" s="5">
        <v>2</v>
      </c>
    </row>
    <row r="152" customHeight="1" spans="1:3">
      <c r="A152" s="5" t="s">
        <v>317</v>
      </c>
      <c r="C152" s="5">
        <v>3</v>
      </c>
    </row>
    <row r="153" customHeight="1" spans="1:3">
      <c r="A153" s="5" t="s">
        <v>317</v>
      </c>
      <c r="C153" s="5">
        <v>4</v>
      </c>
    </row>
    <row r="154" customHeight="1" spans="1:3">
      <c r="A154" s="5" t="s">
        <v>317</v>
      </c>
      <c r="C154" s="5">
        <v>5</v>
      </c>
    </row>
    <row r="155" customHeight="1" spans="1:3">
      <c r="A155" s="18" t="s">
        <v>317</v>
      </c>
      <c r="C155" s="18">
        <v>1</v>
      </c>
    </row>
    <row r="156" customHeight="1" spans="1:3">
      <c r="A156" s="18" t="s">
        <v>317</v>
      </c>
      <c r="C156" s="18">
        <v>2</v>
      </c>
    </row>
    <row r="157" customHeight="1" spans="1:3">
      <c r="A157" s="18" t="s">
        <v>317</v>
      </c>
      <c r="C157" s="18">
        <v>3</v>
      </c>
    </row>
    <row r="158" customHeight="1" spans="1:3">
      <c r="A158" s="18" t="s">
        <v>317</v>
      </c>
      <c r="C158" s="18">
        <v>4</v>
      </c>
    </row>
    <row r="159" customHeight="1" spans="1:3">
      <c r="A159" s="18" t="s">
        <v>317</v>
      </c>
      <c r="C159" s="18">
        <v>5</v>
      </c>
    </row>
    <row r="160" customHeight="1" spans="1:3">
      <c r="A160" s="5" t="s">
        <v>318</v>
      </c>
      <c r="C160" s="5">
        <v>1</v>
      </c>
    </row>
    <row r="161" customHeight="1" spans="1:3">
      <c r="A161" s="5" t="s">
        <v>318</v>
      </c>
      <c r="C161" s="5">
        <v>2</v>
      </c>
    </row>
    <row r="162" customHeight="1" spans="1:3">
      <c r="A162" s="5" t="s">
        <v>318</v>
      </c>
      <c r="C162" s="5">
        <v>3</v>
      </c>
    </row>
    <row r="163" customHeight="1" spans="1:3">
      <c r="A163" s="5" t="s">
        <v>318</v>
      </c>
      <c r="C163" s="5">
        <v>4</v>
      </c>
    </row>
    <row r="164" customHeight="1" spans="1:3">
      <c r="A164" s="5" t="s">
        <v>318</v>
      </c>
      <c r="C164" s="5">
        <v>5</v>
      </c>
    </row>
    <row r="165" customHeight="1" spans="1:3">
      <c r="A165" s="5" t="s">
        <v>318</v>
      </c>
      <c r="C165" s="5">
        <v>6</v>
      </c>
    </row>
    <row r="166" customHeight="1" spans="1:3">
      <c r="A166" s="5" t="s">
        <v>318</v>
      </c>
      <c r="C166" s="5">
        <v>7</v>
      </c>
    </row>
    <row r="167" customHeight="1" spans="1:3">
      <c r="A167" s="5" t="s">
        <v>318</v>
      </c>
      <c r="C167" s="5">
        <v>8</v>
      </c>
    </row>
    <row r="168" customHeight="1" spans="1:3">
      <c r="A168" s="18" t="s">
        <v>320</v>
      </c>
      <c r="C168" s="18">
        <v>1</v>
      </c>
    </row>
    <row r="169" customHeight="1" spans="1:3">
      <c r="A169" s="18" t="s">
        <v>320</v>
      </c>
      <c r="C169" s="18">
        <v>2</v>
      </c>
    </row>
    <row r="170" customHeight="1" spans="1:3">
      <c r="A170" s="18" t="s">
        <v>320</v>
      </c>
      <c r="C170" s="18">
        <v>3</v>
      </c>
    </row>
    <row r="171" customHeight="1" spans="1:3">
      <c r="A171" s="18" t="s">
        <v>320</v>
      </c>
      <c r="C171" s="18">
        <v>4</v>
      </c>
    </row>
    <row r="172" customHeight="1" spans="1:3">
      <c r="A172" s="18" t="s">
        <v>320</v>
      </c>
      <c r="C172" s="18">
        <v>5</v>
      </c>
    </row>
    <row r="173" customHeight="1" spans="1:3">
      <c r="A173" s="5" t="s">
        <v>321</v>
      </c>
      <c r="C173" s="5">
        <v>1</v>
      </c>
    </row>
    <row r="174" customHeight="1" spans="1:3">
      <c r="A174" s="5" t="s">
        <v>321</v>
      </c>
      <c r="C174" s="5">
        <v>2</v>
      </c>
    </row>
    <row r="175" customHeight="1" spans="1:3">
      <c r="A175" s="5" t="s">
        <v>321</v>
      </c>
      <c r="C175" s="5">
        <v>3</v>
      </c>
    </row>
    <row r="176" customHeight="1" spans="1:3">
      <c r="A176" s="5" t="s">
        <v>321</v>
      </c>
      <c r="C176" s="5">
        <v>4</v>
      </c>
    </row>
    <row r="177" customHeight="1" spans="1:3">
      <c r="A177" s="5" t="s">
        <v>321</v>
      </c>
      <c r="C177" s="5">
        <v>5</v>
      </c>
    </row>
    <row r="178" customHeight="1" spans="1:3">
      <c r="A178" s="18" t="s">
        <v>322</v>
      </c>
      <c r="C178" s="18">
        <v>1</v>
      </c>
    </row>
    <row r="179" customHeight="1" spans="1:3">
      <c r="A179" s="18" t="s">
        <v>322</v>
      </c>
      <c r="C179" s="18">
        <v>2</v>
      </c>
    </row>
    <row r="180" customHeight="1" spans="1:3">
      <c r="A180" s="18" t="s">
        <v>322</v>
      </c>
      <c r="C180" s="18">
        <v>3</v>
      </c>
    </row>
    <row r="181" customHeight="1" spans="1:3">
      <c r="A181" s="18" t="s">
        <v>322</v>
      </c>
      <c r="C181" s="18">
        <v>4</v>
      </c>
    </row>
    <row r="182" customHeight="1" spans="1:3">
      <c r="A182" s="18" t="s">
        <v>322</v>
      </c>
      <c r="C182" s="18">
        <v>5</v>
      </c>
    </row>
    <row r="183" customHeight="1" spans="1:3">
      <c r="A183" s="5" t="s">
        <v>322</v>
      </c>
      <c r="C183" s="5">
        <v>1</v>
      </c>
    </row>
    <row r="184" customHeight="1" spans="1:3">
      <c r="A184" s="5" t="s">
        <v>322</v>
      </c>
      <c r="C184" s="5">
        <v>2</v>
      </c>
    </row>
    <row r="185" customHeight="1" spans="1:3">
      <c r="A185" s="5" t="s">
        <v>322</v>
      </c>
      <c r="C185" s="5">
        <v>3</v>
      </c>
    </row>
    <row r="186" customHeight="1" spans="1:3">
      <c r="A186" s="5" t="s">
        <v>322</v>
      </c>
      <c r="C186" s="5">
        <v>4</v>
      </c>
    </row>
    <row r="187" customHeight="1" spans="1:3">
      <c r="A187" s="5" t="s">
        <v>322</v>
      </c>
      <c r="C187" s="5">
        <v>5</v>
      </c>
    </row>
    <row r="188" customHeight="1" spans="1:3">
      <c r="A188" s="18" t="s">
        <v>323</v>
      </c>
      <c r="C188" s="18">
        <v>1</v>
      </c>
    </row>
    <row r="189" customHeight="1" spans="1:3">
      <c r="A189" s="18" t="s">
        <v>323</v>
      </c>
      <c r="C189" s="18">
        <v>2</v>
      </c>
    </row>
    <row r="190" customHeight="1" spans="1:3">
      <c r="A190" s="18" t="s">
        <v>323</v>
      </c>
      <c r="C190" s="18">
        <v>3</v>
      </c>
    </row>
    <row r="191" customHeight="1" spans="1:3">
      <c r="A191" s="18" t="s">
        <v>323</v>
      </c>
      <c r="C191" s="18">
        <v>4</v>
      </c>
    </row>
    <row r="192" customHeight="1" spans="1:3">
      <c r="A192" s="18" t="s">
        <v>323</v>
      </c>
      <c r="C192" s="18">
        <v>5</v>
      </c>
    </row>
    <row r="193" customHeight="1" spans="1:3">
      <c r="A193" s="18" t="s">
        <v>323</v>
      </c>
      <c r="C193" s="18">
        <v>6</v>
      </c>
    </row>
    <row r="194" customHeight="1" spans="1:3">
      <c r="A194" s="18" t="s">
        <v>323</v>
      </c>
      <c r="C194" s="18">
        <v>7</v>
      </c>
    </row>
    <row r="195" customHeight="1" spans="1:3">
      <c r="A195" s="18" t="s">
        <v>323</v>
      </c>
      <c r="C195" s="18">
        <v>8</v>
      </c>
    </row>
    <row r="196" customHeight="1" spans="1:3">
      <c r="A196" s="5" t="s">
        <v>325</v>
      </c>
      <c r="C196" s="5">
        <v>1</v>
      </c>
    </row>
    <row r="197" customHeight="1" spans="1:3">
      <c r="A197" s="5" t="s">
        <v>325</v>
      </c>
      <c r="C197" s="5">
        <v>2</v>
      </c>
    </row>
    <row r="198" customHeight="1" spans="1:3">
      <c r="A198" s="5" t="s">
        <v>325</v>
      </c>
      <c r="C198" s="5">
        <v>3</v>
      </c>
    </row>
    <row r="199" customHeight="1" spans="1:3">
      <c r="A199" s="5" t="s">
        <v>325</v>
      </c>
      <c r="C199" s="5">
        <v>4</v>
      </c>
    </row>
    <row r="200" customHeight="1" spans="1:3">
      <c r="A200" s="5" t="s">
        <v>325</v>
      </c>
      <c r="C200" s="5">
        <v>5</v>
      </c>
    </row>
    <row r="201" customHeight="1" spans="1:3">
      <c r="A201" s="18" t="s">
        <v>326</v>
      </c>
      <c r="C201" s="18">
        <v>1</v>
      </c>
    </row>
    <row r="202" customHeight="1" spans="1:3">
      <c r="A202" s="18" t="s">
        <v>326</v>
      </c>
      <c r="C202" s="18">
        <v>2</v>
      </c>
    </row>
    <row r="203" customHeight="1" spans="1:3">
      <c r="A203" s="18" t="s">
        <v>326</v>
      </c>
      <c r="C203" s="18">
        <v>3</v>
      </c>
    </row>
    <row r="204" customHeight="1" spans="1:3">
      <c r="A204" s="18" t="s">
        <v>326</v>
      </c>
      <c r="C204" s="18">
        <v>4</v>
      </c>
    </row>
    <row r="205" customHeight="1" spans="1:3">
      <c r="A205" s="18" t="s">
        <v>326</v>
      </c>
      <c r="C205" s="18">
        <v>5</v>
      </c>
    </row>
    <row r="206" customHeight="1" spans="1:3">
      <c r="A206" s="5" t="s">
        <v>326</v>
      </c>
      <c r="C206" s="5">
        <v>1</v>
      </c>
    </row>
    <row r="207" customHeight="1" spans="1:3">
      <c r="A207" s="5" t="s">
        <v>326</v>
      </c>
      <c r="C207" s="5">
        <v>2</v>
      </c>
    </row>
    <row r="208" customHeight="1" spans="1:3">
      <c r="A208" s="5" t="s">
        <v>326</v>
      </c>
      <c r="C208" s="5">
        <v>3</v>
      </c>
    </row>
    <row r="209" customHeight="1" spans="1:3">
      <c r="A209" s="5" t="s">
        <v>326</v>
      </c>
      <c r="C209" s="5">
        <v>4</v>
      </c>
    </row>
    <row r="210" customHeight="1" spans="1:3">
      <c r="A210" s="5" t="s">
        <v>326</v>
      </c>
      <c r="C210" s="5">
        <v>5</v>
      </c>
    </row>
    <row r="211" customHeight="1" spans="1:3">
      <c r="A211" s="18" t="s">
        <v>327</v>
      </c>
      <c r="C211" s="18">
        <v>1</v>
      </c>
    </row>
    <row r="212" customHeight="1" spans="1:3">
      <c r="A212" s="18" t="s">
        <v>327</v>
      </c>
      <c r="C212" s="18">
        <v>2</v>
      </c>
    </row>
    <row r="213" customHeight="1" spans="1:3">
      <c r="A213" s="18" t="s">
        <v>327</v>
      </c>
      <c r="C213" s="18">
        <v>3</v>
      </c>
    </row>
    <row r="214" customHeight="1" spans="1:3">
      <c r="A214" s="18" t="s">
        <v>327</v>
      </c>
      <c r="C214" s="18">
        <v>4</v>
      </c>
    </row>
    <row r="215" customHeight="1" spans="1:3">
      <c r="A215" s="18" t="s">
        <v>327</v>
      </c>
      <c r="C215" s="18">
        <v>5</v>
      </c>
    </row>
    <row r="216" customHeight="1" spans="1:3">
      <c r="A216" s="18" t="s">
        <v>327</v>
      </c>
      <c r="C216" s="18">
        <v>6</v>
      </c>
    </row>
    <row r="217" customHeight="1" spans="1:3">
      <c r="A217" s="18" t="s">
        <v>327</v>
      </c>
      <c r="C217" s="18">
        <v>7</v>
      </c>
    </row>
    <row r="218" customHeight="1" spans="1:3">
      <c r="A218" s="18" t="s">
        <v>327</v>
      </c>
      <c r="C218" s="18">
        <v>8</v>
      </c>
    </row>
    <row r="219" customHeight="1" spans="1:3">
      <c r="A219" s="5" t="s">
        <v>329</v>
      </c>
      <c r="C219" s="5">
        <v>1</v>
      </c>
    </row>
    <row r="220" customHeight="1" spans="1:3">
      <c r="A220" s="5" t="s">
        <v>329</v>
      </c>
      <c r="C220" s="5">
        <v>2</v>
      </c>
    </row>
    <row r="221" customHeight="1" spans="1:3">
      <c r="A221" s="5" t="s">
        <v>329</v>
      </c>
      <c r="C221" s="5">
        <v>3</v>
      </c>
    </row>
    <row r="222" customHeight="1" spans="1:3">
      <c r="A222" s="5" t="s">
        <v>329</v>
      </c>
      <c r="C222" s="5">
        <v>4</v>
      </c>
    </row>
    <row r="223" customHeight="1" spans="1:3">
      <c r="A223" s="5" t="s">
        <v>329</v>
      </c>
      <c r="C223" s="5">
        <v>5</v>
      </c>
    </row>
    <row r="224" customHeight="1" spans="1:3">
      <c r="A224" s="18" t="s">
        <v>330</v>
      </c>
      <c r="C224" s="18">
        <v>1</v>
      </c>
    </row>
    <row r="225" customHeight="1" spans="1:3">
      <c r="A225" s="18" t="s">
        <v>330</v>
      </c>
      <c r="C225" s="18">
        <v>2</v>
      </c>
    </row>
    <row r="226" customHeight="1" spans="1:3">
      <c r="A226" s="18" t="s">
        <v>330</v>
      </c>
      <c r="C226" s="18">
        <v>3</v>
      </c>
    </row>
    <row r="227" customHeight="1" spans="1:3">
      <c r="A227" s="18" t="s">
        <v>330</v>
      </c>
      <c r="C227" s="18">
        <v>4</v>
      </c>
    </row>
    <row r="228" customHeight="1" spans="1:3">
      <c r="A228" s="18" t="s">
        <v>330</v>
      </c>
      <c r="C228" s="18">
        <v>5</v>
      </c>
    </row>
    <row r="229" customHeight="1" spans="1:3">
      <c r="A229" s="5" t="s">
        <v>330</v>
      </c>
      <c r="C229" s="5">
        <v>1</v>
      </c>
    </row>
    <row r="230" customHeight="1" spans="1:3">
      <c r="A230" s="5" t="s">
        <v>330</v>
      </c>
      <c r="C230" s="5">
        <v>2</v>
      </c>
    </row>
    <row r="231" customHeight="1" spans="1:3">
      <c r="A231" s="5" t="s">
        <v>330</v>
      </c>
      <c r="C231" s="5">
        <v>3</v>
      </c>
    </row>
    <row r="232" customHeight="1" spans="1:3">
      <c r="A232" s="5" t="s">
        <v>330</v>
      </c>
      <c r="C232" s="5">
        <v>4</v>
      </c>
    </row>
    <row r="233" customHeight="1" spans="1:3">
      <c r="A233" s="5" t="s">
        <v>330</v>
      </c>
      <c r="C233" s="5">
        <v>5</v>
      </c>
    </row>
    <row r="234" customHeight="1" spans="1:3">
      <c r="A234" s="18" t="s">
        <v>331</v>
      </c>
      <c r="C234" s="18">
        <v>1</v>
      </c>
    </row>
    <row r="235" customHeight="1" spans="1:3">
      <c r="A235" s="18" t="s">
        <v>331</v>
      </c>
      <c r="C235" s="18">
        <v>2</v>
      </c>
    </row>
    <row r="236" customHeight="1" spans="1:3">
      <c r="A236" s="18" t="s">
        <v>331</v>
      </c>
      <c r="C236" s="18">
        <v>3</v>
      </c>
    </row>
    <row r="237" customHeight="1" spans="1:3">
      <c r="A237" s="18" t="s">
        <v>331</v>
      </c>
      <c r="C237" s="18">
        <v>4</v>
      </c>
    </row>
    <row r="238" customHeight="1" spans="1:3">
      <c r="A238" s="18" t="s">
        <v>331</v>
      </c>
      <c r="C238" s="18">
        <v>5</v>
      </c>
    </row>
    <row r="239" customHeight="1" spans="1:3">
      <c r="A239" s="18" t="s">
        <v>331</v>
      </c>
      <c r="C239" s="18">
        <v>6</v>
      </c>
    </row>
    <row r="240" customHeight="1" spans="1:3">
      <c r="A240" s="18" t="s">
        <v>331</v>
      </c>
      <c r="C240" s="18">
        <v>7</v>
      </c>
    </row>
    <row r="241" customHeight="1" spans="1:3">
      <c r="A241" s="18" t="s">
        <v>331</v>
      </c>
      <c r="C241" s="18">
        <v>8</v>
      </c>
    </row>
    <row r="242" customHeight="1" spans="1:3">
      <c r="A242" s="5" t="s">
        <v>333</v>
      </c>
      <c r="C242" s="5">
        <v>1</v>
      </c>
    </row>
    <row r="243" customHeight="1" spans="1:3">
      <c r="A243" s="5" t="s">
        <v>333</v>
      </c>
      <c r="C243" s="5">
        <v>2</v>
      </c>
    </row>
    <row r="244" customHeight="1" spans="1:3">
      <c r="A244" s="5" t="s">
        <v>333</v>
      </c>
      <c r="C244" s="5">
        <v>3</v>
      </c>
    </row>
    <row r="245" customHeight="1" spans="1:3">
      <c r="A245" s="5" t="s">
        <v>333</v>
      </c>
      <c r="C245" s="5">
        <v>4</v>
      </c>
    </row>
    <row r="246" customHeight="1" spans="1:3">
      <c r="A246" s="5" t="s">
        <v>333</v>
      </c>
      <c r="C246" s="5">
        <v>5</v>
      </c>
    </row>
    <row r="247" customHeight="1" spans="1:3">
      <c r="A247" s="18" t="s">
        <v>334</v>
      </c>
      <c r="C247" s="18">
        <v>1</v>
      </c>
    </row>
    <row r="248" customHeight="1" spans="1:3">
      <c r="A248" s="18" t="s">
        <v>334</v>
      </c>
      <c r="C248" s="18">
        <v>2</v>
      </c>
    </row>
    <row r="249" customHeight="1" spans="1:3">
      <c r="A249" s="18" t="s">
        <v>334</v>
      </c>
      <c r="C249" s="18">
        <v>3</v>
      </c>
    </row>
    <row r="250" customHeight="1" spans="1:3">
      <c r="A250" s="18" t="s">
        <v>334</v>
      </c>
      <c r="C250" s="18">
        <v>4</v>
      </c>
    </row>
    <row r="251" customHeight="1" spans="1:3">
      <c r="A251" s="18" t="s">
        <v>334</v>
      </c>
      <c r="C251" s="18">
        <v>5</v>
      </c>
    </row>
    <row r="252" customHeight="1" spans="1:3">
      <c r="A252" s="5" t="s">
        <v>335</v>
      </c>
      <c r="C252" s="5">
        <v>1</v>
      </c>
    </row>
    <row r="253" customHeight="1" spans="1:3">
      <c r="A253" s="5" t="s">
        <v>335</v>
      </c>
      <c r="C253" s="5">
        <v>2</v>
      </c>
    </row>
    <row r="254" customHeight="1" spans="1:3">
      <c r="A254" s="5" t="s">
        <v>335</v>
      </c>
      <c r="C254" s="5">
        <v>3</v>
      </c>
    </row>
    <row r="255" customHeight="1" spans="1:3">
      <c r="A255" s="5" t="s">
        <v>335</v>
      </c>
      <c r="C255" s="5">
        <v>4</v>
      </c>
    </row>
    <row r="256" customHeight="1" spans="1:3">
      <c r="A256" s="5" t="s">
        <v>335</v>
      </c>
      <c r="C256" s="5">
        <v>5</v>
      </c>
    </row>
    <row r="257" customHeight="1" spans="1:3">
      <c r="A257" s="18" t="s">
        <v>335</v>
      </c>
      <c r="C257" s="18">
        <v>1</v>
      </c>
    </row>
    <row r="258" customHeight="1" spans="1:3">
      <c r="A258" s="18" t="s">
        <v>335</v>
      </c>
      <c r="C258" s="18">
        <v>2</v>
      </c>
    </row>
    <row r="259" customHeight="1" spans="1:3">
      <c r="A259" s="18" t="s">
        <v>335</v>
      </c>
      <c r="C259" s="18">
        <v>3</v>
      </c>
    </row>
    <row r="260" customHeight="1" spans="1:3">
      <c r="A260" s="18" t="s">
        <v>335</v>
      </c>
      <c r="C260" s="18">
        <v>4</v>
      </c>
    </row>
    <row r="261" customHeight="1" spans="1:3">
      <c r="A261" s="18" t="s">
        <v>335</v>
      </c>
      <c r="C261" s="18">
        <v>5</v>
      </c>
    </row>
    <row r="262" customHeight="1" spans="1:3">
      <c r="A262" s="5" t="s">
        <v>336</v>
      </c>
      <c r="C262" s="5">
        <v>1</v>
      </c>
    </row>
    <row r="263" customHeight="1" spans="1:3">
      <c r="A263" s="5" t="s">
        <v>336</v>
      </c>
      <c r="C263" s="5">
        <v>2</v>
      </c>
    </row>
    <row r="264" customHeight="1" spans="1:3">
      <c r="A264" s="5" t="s">
        <v>336</v>
      </c>
      <c r="C264" s="5">
        <v>3</v>
      </c>
    </row>
    <row r="265" customHeight="1" spans="1:3">
      <c r="A265" s="5" t="s">
        <v>336</v>
      </c>
      <c r="C265" s="5">
        <v>4</v>
      </c>
    </row>
    <row r="266" customHeight="1" spans="1:3">
      <c r="A266" s="5" t="s">
        <v>336</v>
      </c>
      <c r="C266" s="5">
        <v>5</v>
      </c>
    </row>
    <row r="267" customHeight="1" spans="1:3">
      <c r="A267" s="5" t="s">
        <v>336</v>
      </c>
      <c r="C267" s="5">
        <v>6</v>
      </c>
    </row>
    <row r="268" customHeight="1" spans="1:3">
      <c r="A268" s="5" t="s">
        <v>336</v>
      </c>
      <c r="C268" s="5">
        <v>7</v>
      </c>
    </row>
    <row r="269" customHeight="1" spans="1:3">
      <c r="A269" s="5" t="s">
        <v>336</v>
      </c>
      <c r="C269" s="5">
        <v>8</v>
      </c>
    </row>
    <row r="270" customHeight="1" spans="1:3">
      <c r="A270" s="18" t="s">
        <v>338</v>
      </c>
      <c r="C270" s="18">
        <v>1</v>
      </c>
    </row>
    <row r="271" customHeight="1" spans="1:3">
      <c r="A271" s="18" t="s">
        <v>338</v>
      </c>
      <c r="C271" s="18">
        <v>2</v>
      </c>
    </row>
    <row r="272" customHeight="1" spans="1:3">
      <c r="A272" s="18" t="s">
        <v>338</v>
      </c>
      <c r="C272" s="18">
        <v>3</v>
      </c>
    </row>
    <row r="273" customHeight="1" spans="1:3">
      <c r="A273" s="18" t="s">
        <v>338</v>
      </c>
      <c r="C273" s="18">
        <v>4</v>
      </c>
    </row>
    <row r="274" customHeight="1" spans="1:3">
      <c r="A274" s="18" t="s">
        <v>338</v>
      </c>
      <c r="C274" s="18">
        <v>5</v>
      </c>
    </row>
    <row r="275" customHeight="1" spans="1:3">
      <c r="A275" s="5" t="s">
        <v>339</v>
      </c>
      <c r="C275" s="5">
        <v>1</v>
      </c>
    </row>
    <row r="276" customHeight="1" spans="1:3">
      <c r="A276" s="5" t="s">
        <v>339</v>
      </c>
      <c r="C276" s="5">
        <v>2</v>
      </c>
    </row>
    <row r="277" customHeight="1" spans="1:3">
      <c r="A277" s="5" t="s">
        <v>339</v>
      </c>
      <c r="C277" s="5">
        <v>3</v>
      </c>
    </row>
    <row r="278" customHeight="1" spans="1:3">
      <c r="A278" s="5" t="s">
        <v>339</v>
      </c>
      <c r="C278" s="5">
        <v>4</v>
      </c>
    </row>
    <row r="279" customHeight="1" spans="1:3">
      <c r="A279" s="5" t="s">
        <v>339</v>
      </c>
      <c r="C279" s="5">
        <v>5</v>
      </c>
    </row>
    <row r="280" customHeight="1" spans="1:3">
      <c r="A280" s="18" t="s">
        <v>340</v>
      </c>
      <c r="C280" s="18">
        <v>1</v>
      </c>
    </row>
    <row r="281" customHeight="1" spans="1:3">
      <c r="A281" s="18" t="s">
        <v>340</v>
      </c>
      <c r="C281" s="18">
        <v>2</v>
      </c>
    </row>
    <row r="282" customHeight="1" spans="1:3">
      <c r="A282" s="18" t="s">
        <v>340</v>
      </c>
      <c r="C282" s="18">
        <v>3</v>
      </c>
    </row>
    <row r="283" customHeight="1" spans="1:3">
      <c r="A283" s="18" t="s">
        <v>340</v>
      </c>
      <c r="C283" s="18">
        <v>4</v>
      </c>
    </row>
    <row r="284" customHeight="1" spans="1:3">
      <c r="A284" s="18" t="s">
        <v>340</v>
      </c>
      <c r="C284" s="18">
        <v>5</v>
      </c>
    </row>
    <row r="285" customHeight="1" spans="1:3">
      <c r="A285" s="5" t="s">
        <v>340</v>
      </c>
      <c r="C285" s="5">
        <v>1</v>
      </c>
    </row>
    <row r="286" customHeight="1" spans="1:3">
      <c r="A286" s="5" t="s">
        <v>340</v>
      </c>
      <c r="C286" s="5">
        <v>2</v>
      </c>
    </row>
    <row r="287" customHeight="1" spans="1:3">
      <c r="A287" s="5" t="s">
        <v>340</v>
      </c>
      <c r="C287" s="5">
        <v>3</v>
      </c>
    </row>
    <row r="288" customHeight="1" spans="1:3">
      <c r="A288" s="5" t="s">
        <v>340</v>
      </c>
      <c r="C288" s="5">
        <v>4</v>
      </c>
    </row>
    <row r="289" customHeight="1" spans="1:3">
      <c r="A289" s="5" t="s">
        <v>340</v>
      </c>
      <c r="C289" s="5">
        <v>5</v>
      </c>
    </row>
    <row r="290" customHeight="1" spans="1:3">
      <c r="A290" s="18" t="s">
        <v>341</v>
      </c>
      <c r="C290" s="18">
        <v>1</v>
      </c>
    </row>
    <row r="291" customHeight="1" spans="1:3">
      <c r="A291" s="18" t="s">
        <v>341</v>
      </c>
      <c r="C291" s="18">
        <v>2</v>
      </c>
    </row>
    <row r="292" customHeight="1" spans="1:3">
      <c r="A292" s="18" t="s">
        <v>341</v>
      </c>
      <c r="C292" s="18">
        <v>3</v>
      </c>
    </row>
    <row r="293" customHeight="1" spans="1:3">
      <c r="A293" s="18" t="s">
        <v>341</v>
      </c>
      <c r="C293" s="18">
        <v>4</v>
      </c>
    </row>
    <row r="294" customHeight="1" spans="1:3">
      <c r="A294" s="18" t="s">
        <v>341</v>
      </c>
      <c r="C294" s="18">
        <v>5</v>
      </c>
    </row>
    <row r="295" customHeight="1" spans="1:3">
      <c r="A295" s="18" t="s">
        <v>341</v>
      </c>
      <c r="C295" s="18">
        <v>6</v>
      </c>
    </row>
    <row r="296" customHeight="1" spans="1:3">
      <c r="A296" s="18" t="s">
        <v>341</v>
      </c>
      <c r="C296" s="18">
        <v>7</v>
      </c>
    </row>
    <row r="297" customHeight="1" spans="1:3">
      <c r="A297" s="18" t="s">
        <v>341</v>
      </c>
      <c r="C297" s="18">
        <v>8</v>
      </c>
    </row>
    <row r="298" customHeight="1" spans="1:3">
      <c r="A298" s="5" t="s">
        <v>343</v>
      </c>
      <c r="C298" s="5">
        <v>1</v>
      </c>
    </row>
    <row r="299" customHeight="1" spans="1:3">
      <c r="A299" s="5" t="s">
        <v>343</v>
      </c>
      <c r="C299" s="5">
        <v>2</v>
      </c>
    </row>
    <row r="300" customHeight="1" spans="1:3">
      <c r="A300" s="5" t="s">
        <v>343</v>
      </c>
      <c r="C300" s="5">
        <v>3</v>
      </c>
    </row>
    <row r="301" customHeight="1" spans="1:3">
      <c r="A301" s="5" t="s">
        <v>343</v>
      </c>
      <c r="C301" s="5">
        <v>4</v>
      </c>
    </row>
    <row r="302" customHeight="1" spans="1:3">
      <c r="A302" s="5" t="s">
        <v>343</v>
      </c>
      <c r="C302" s="5">
        <v>5</v>
      </c>
    </row>
    <row r="303" customHeight="1" spans="1:3">
      <c r="A303" s="18" t="s">
        <v>344</v>
      </c>
      <c r="C303" s="18">
        <v>1</v>
      </c>
    </row>
    <row r="304" customHeight="1" spans="1:3">
      <c r="A304" s="18" t="s">
        <v>344</v>
      </c>
      <c r="C304" s="18">
        <v>2</v>
      </c>
    </row>
    <row r="305" customHeight="1" spans="1:3">
      <c r="A305" s="18" t="s">
        <v>344</v>
      </c>
      <c r="C305" s="18">
        <v>3</v>
      </c>
    </row>
    <row r="306" customHeight="1" spans="1:3">
      <c r="A306" s="18" t="s">
        <v>344</v>
      </c>
      <c r="C306" s="18">
        <v>4</v>
      </c>
    </row>
    <row r="307" customHeight="1" spans="1:3">
      <c r="A307" s="18" t="s">
        <v>344</v>
      </c>
      <c r="C307" s="18">
        <v>5</v>
      </c>
    </row>
    <row r="308" customHeight="1" spans="1:3">
      <c r="A308" s="5" t="s">
        <v>344</v>
      </c>
      <c r="C308" s="5">
        <v>1</v>
      </c>
    </row>
    <row r="309" customHeight="1" spans="1:3">
      <c r="A309" s="5" t="s">
        <v>344</v>
      </c>
      <c r="C309" s="5">
        <v>2</v>
      </c>
    </row>
    <row r="310" customHeight="1" spans="1:3">
      <c r="A310" s="5" t="s">
        <v>344</v>
      </c>
      <c r="C310" s="5">
        <v>3</v>
      </c>
    </row>
    <row r="311" customHeight="1" spans="1:3">
      <c r="A311" s="5" t="s">
        <v>344</v>
      </c>
      <c r="C311" s="5">
        <v>4</v>
      </c>
    </row>
    <row r="312" customHeight="1" spans="1:3">
      <c r="A312" s="5" t="s">
        <v>344</v>
      </c>
      <c r="C312" s="5">
        <v>5</v>
      </c>
    </row>
    <row r="313" customHeight="1" spans="1:3">
      <c r="A313" s="18" t="s">
        <v>345</v>
      </c>
      <c r="C313" s="18">
        <v>1</v>
      </c>
    </row>
    <row r="314" customHeight="1" spans="1:3">
      <c r="A314" s="18" t="s">
        <v>345</v>
      </c>
      <c r="C314" s="18">
        <v>2</v>
      </c>
    </row>
    <row r="315" customHeight="1" spans="1:3">
      <c r="A315" s="18" t="s">
        <v>345</v>
      </c>
      <c r="C315" s="18">
        <v>3</v>
      </c>
    </row>
    <row r="316" customHeight="1" spans="1:3">
      <c r="A316" s="18" t="s">
        <v>345</v>
      </c>
      <c r="C316" s="18">
        <v>4</v>
      </c>
    </row>
    <row r="317" customHeight="1" spans="1:3">
      <c r="A317" s="18" t="s">
        <v>345</v>
      </c>
      <c r="C317" s="18">
        <v>5</v>
      </c>
    </row>
    <row r="318" customHeight="1" spans="1:3">
      <c r="A318" s="18" t="s">
        <v>345</v>
      </c>
      <c r="C318" s="18">
        <v>6</v>
      </c>
    </row>
    <row r="319" customHeight="1" spans="1:3">
      <c r="A319" s="18" t="s">
        <v>345</v>
      </c>
      <c r="C319" s="18">
        <v>7</v>
      </c>
    </row>
    <row r="320" customHeight="1" spans="1:3">
      <c r="A320" s="18" t="s">
        <v>345</v>
      </c>
      <c r="C320" s="18">
        <v>8</v>
      </c>
    </row>
    <row r="321" customHeight="1" spans="1:3">
      <c r="A321" s="5" t="s">
        <v>347</v>
      </c>
      <c r="C321" s="5">
        <v>1</v>
      </c>
    </row>
    <row r="322" customHeight="1" spans="1:3">
      <c r="A322" s="5" t="s">
        <v>347</v>
      </c>
      <c r="C322" s="5">
        <v>2</v>
      </c>
    </row>
    <row r="323" customHeight="1" spans="1:3">
      <c r="A323" s="5" t="s">
        <v>347</v>
      </c>
      <c r="C323" s="5">
        <v>3</v>
      </c>
    </row>
    <row r="324" customHeight="1" spans="1:3">
      <c r="A324" s="5" t="s">
        <v>347</v>
      </c>
      <c r="C324" s="5">
        <v>4</v>
      </c>
    </row>
    <row r="325" customHeight="1" spans="1:3">
      <c r="A325" s="5" t="s">
        <v>347</v>
      </c>
      <c r="C325" s="5">
        <v>5</v>
      </c>
    </row>
    <row r="326" customHeight="1" spans="1:3">
      <c r="A326" s="18" t="s">
        <v>348</v>
      </c>
      <c r="C326" s="18">
        <v>1</v>
      </c>
    </row>
    <row r="327" customHeight="1" spans="1:3">
      <c r="A327" s="18" t="s">
        <v>348</v>
      </c>
      <c r="C327" s="18">
        <v>2</v>
      </c>
    </row>
    <row r="328" customHeight="1" spans="1:3">
      <c r="A328" s="18" t="s">
        <v>348</v>
      </c>
      <c r="C328" s="18">
        <v>3</v>
      </c>
    </row>
    <row r="329" customHeight="1" spans="1:3">
      <c r="A329" s="18" t="s">
        <v>348</v>
      </c>
      <c r="C329" s="18">
        <v>4</v>
      </c>
    </row>
    <row r="330" customHeight="1" spans="1:3">
      <c r="A330" s="18" t="s">
        <v>348</v>
      </c>
      <c r="C330" s="18">
        <v>5</v>
      </c>
    </row>
    <row r="331" customHeight="1" spans="1:3">
      <c r="A331" s="5" t="s">
        <v>348</v>
      </c>
      <c r="C331" s="5">
        <v>1</v>
      </c>
    </row>
    <row r="332" customHeight="1" spans="1:3">
      <c r="A332" s="5" t="s">
        <v>348</v>
      </c>
      <c r="C332" s="5">
        <v>2</v>
      </c>
    </row>
    <row r="333" customHeight="1" spans="1:3">
      <c r="A333" s="5" t="s">
        <v>348</v>
      </c>
      <c r="C333" s="5">
        <v>3</v>
      </c>
    </row>
    <row r="334" customHeight="1" spans="1:3">
      <c r="A334" s="5" t="s">
        <v>348</v>
      </c>
      <c r="C334" s="5">
        <v>4</v>
      </c>
    </row>
    <row r="335" customHeight="1" spans="1:3">
      <c r="A335" s="5" t="s">
        <v>348</v>
      </c>
      <c r="C335" s="5">
        <v>5</v>
      </c>
    </row>
    <row r="336" customHeight="1" spans="1:3">
      <c r="A336" s="18" t="s">
        <v>349</v>
      </c>
      <c r="C336" s="18">
        <v>1</v>
      </c>
    </row>
    <row r="337" customHeight="1" spans="1:3">
      <c r="A337" s="18" t="s">
        <v>349</v>
      </c>
      <c r="C337" s="18">
        <v>2</v>
      </c>
    </row>
    <row r="338" customHeight="1" spans="1:3">
      <c r="A338" s="18" t="s">
        <v>349</v>
      </c>
      <c r="C338" s="18">
        <v>3</v>
      </c>
    </row>
    <row r="339" customHeight="1" spans="1:3">
      <c r="A339" s="18" t="s">
        <v>349</v>
      </c>
      <c r="C339" s="18">
        <v>4</v>
      </c>
    </row>
    <row r="340" customHeight="1" spans="1:3">
      <c r="A340" s="18" t="s">
        <v>349</v>
      </c>
      <c r="C340" s="18">
        <v>5</v>
      </c>
    </row>
    <row r="341" customHeight="1" spans="1:3">
      <c r="A341" s="18" t="s">
        <v>349</v>
      </c>
      <c r="C341" s="18">
        <v>6</v>
      </c>
    </row>
    <row r="342" customHeight="1" spans="1:3">
      <c r="A342" s="18" t="s">
        <v>349</v>
      </c>
      <c r="C342" s="18">
        <v>7</v>
      </c>
    </row>
    <row r="343" customHeight="1" spans="1:3">
      <c r="A343" s="18" t="s">
        <v>349</v>
      </c>
      <c r="C343" s="18">
        <v>8</v>
      </c>
    </row>
    <row r="344" customHeight="1" spans="1:3">
      <c r="A344" s="5" t="s">
        <v>351</v>
      </c>
      <c r="C344" s="5">
        <v>1</v>
      </c>
    </row>
    <row r="345" customHeight="1" spans="1:3">
      <c r="A345" s="5" t="s">
        <v>351</v>
      </c>
      <c r="C345" s="5">
        <v>2</v>
      </c>
    </row>
    <row r="346" customHeight="1" spans="1:3">
      <c r="A346" s="5" t="s">
        <v>351</v>
      </c>
      <c r="C346" s="5">
        <v>3</v>
      </c>
    </row>
    <row r="347" customHeight="1" spans="1:3">
      <c r="A347" s="5" t="s">
        <v>351</v>
      </c>
      <c r="C347" s="5">
        <v>4</v>
      </c>
    </row>
    <row r="348" customHeight="1" spans="1:3">
      <c r="A348" s="5" t="s">
        <v>351</v>
      </c>
      <c r="C348" s="5">
        <v>5</v>
      </c>
    </row>
    <row r="349" customHeight="1" spans="1:3">
      <c r="A349" s="18" t="s">
        <v>352</v>
      </c>
      <c r="C349" s="18">
        <v>1</v>
      </c>
    </row>
    <row r="350" customHeight="1" spans="1:3">
      <c r="A350" s="18" t="s">
        <v>352</v>
      </c>
      <c r="C350" s="18">
        <v>2</v>
      </c>
    </row>
    <row r="351" customHeight="1" spans="1:3">
      <c r="A351" s="18" t="s">
        <v>352</v>
      </c>
      <c r="C351" s="18">
        <v>3</v>
      </c>
    </row>
    <row r="352" customHeight="1" spans="1:3">
      <c r="A352" s="18" t="s">
        <v>352</v>
      </c>
      <c r="C352" s="18">
        <v>4</v>
      </c>
    </row>
    <row r="353" customHeight="1" spans="1:3">
      <c r="A353" s="18" t="s">
        <v>352</v>
      </c>
      <c r="C353" s="18">
        <v>5</v>
      </c>
    </row>
    <row r="354" customHeight="1" spans="1:3">
      <c r="A354" s="5" t="s">
        <v>352</v>
      </c>
      <c r="C354" s="5">
        <v>1</v>
      </c>
    </row>
    <row r="355" customHeight="1" spans="1:3">
      <c r="A355" s="5" t="s">
        <v>352</v>
      </c>
      <c r="C355" s="5">
        <v>2</v>
      </c>
    </row>
    <row r="356" customHeight="1" spans="1:3">
      <c r="A356" s="5" t="s">
        <v>352</v>
      </c>
      <c r="C356" s="5">
        <v>3</v>
      </c>
    </row>
    <row r="357" customHeight="1" spans="1:3">
      <c r="A357" s="5" t="s">
        <v>352</v>
      </c>
      <c r="C357" s="5">
        <v>4</v>
      </c>
    </row>
    <row r="358" customHeight="1" spans="1:3">
      <c r="A358" s="5" t="s">
        <v>352</v>
      </c>
      <c r="C358" s="5">
        <v>5</v>
      </c>
    </row>
    <row r="359" customHeight="1" spans="1:3">
      <c r="A359" s="18" t="s">
        <v>353</v>
      </c>
      <c r="C359" s="18">
        <v>1</v>
      </c>
    </row>
    <row r="360" customHeight="1" spans="1:3">
      <c r="A360" s="18" t="s">
        <v>353</v>
      </c>
      <c r="C360" s="18">
        <v>2</v>
      </c>
    </row>
    <row r="361" customHeight="1" spans="1:3">
      <c r="A361" s="18" t="s">
        <v>353</v>
      </c>
      <c r="C361" s="18">
        <v>3</v>
      </c>
    </row>
    <row r="362" customHeight="1" spans="1:3">
      <c r="A362" s="18" t="s">
        <v>353</v>
      </c>
      <c r="C362" s="18">
        <v>4</v>
      </c>
    </row>
    <row r="363" customHeight="1" spans="1:3">
      <c r="A363" s="18" t="s">
        <v>353</v>
      </c>
      <c r="C363" s="18">
        <v>5</v>
      </c>
    </row>
    <row r="364" customHeight="1" spans="1:3">
      <c r="A364" s="18" t="s">
        <v>353</v>
      </c>
      <c r="C364" s="18">
        <v>6</v>
      </c>
    </row>
    <row r="365" customHeight="1" spans="1:3">
      <c r="A365" s="18" t="s">
        <v>353</v>
      </c>
      <c r="C365" s="18">
        <v>7</v>
      </c>
    </row>
    <row r="366" customHeight="1" spans="1:3">
      <c r="A366" s="18" t="s">
        <v>353</v>
      </c>
      <c r="C366" s="18">
        <v>8</v>
      </c>
    </row>
    <row r="367" customHeight="1" spans="1:3">
      <c r="A367" s="5" t="s">
        <v>355</v>
      </c>
      <c r="C367" s="5">
        <v>1</v>
      </c>
    </row>
    <row r="368" customHeight="1" spans="1:3">
      <c r="A368" s="5" t="s">
        <v>355</v>
      </c>
      <c r="C368" s="5">
        <v>2</v>
      </c>
    </row>
    <row r="369" customHeight="1" spans="1:3">
      <c r="A369" s="5" t="s">
        <v>355</v>
      </c>
      <c r="C369" s="5">
        <v>3</v>
      </c>
    </row>
    <row r="370" customHeight="1" spans="1:3">
      <c r="A370" s="5" t="s">
        <v>355</v>
      </c>
      <c r="C370" s="5">
        <v>4</v>
      </c>
    </row>
    <row r="371" customHeight="1" spans="1:3">
      <c r="A371" s="5" t="s">
        <v>355</v>
      </c>
      <c r="C371" s="5">
        <v>5</v>
      </c>
    </row>
    <row r="372" customHeight="1" spans="1:3">
      <c r="A372" s="18" t="s">
        <v>356</v>
      </c>
      <c r="C372" s="18">
        <v>1</v>
      </c>
    </row>
    <row r="373" customHeight="1" spans="1:3">
      <c r="A373" s="18" t="s">
        <v>356</v>
      </c>
      <c r="C373" s="18">
        <v>2</v>
      </c>
    </row>
    <row r="374" customHeight="1" spans="1:3">
      <c r="A374" s="18" t="s">
        <v>356</v>
      </c>
      <c r="C374" s="18">
        <v>3</v>
      </c>
    </row>
    <row r="375" customHeight="1" spans="1:3">
      <c r="A375" s="18" t="s">
        <v>356</v>
      </c>
      <c r="C375" s="18">
        <v>4</v>
      </c>
    </row>
    <row r="376" customHeight="1" spans="1:3">
      <c r="A376" s="18" t="s">
        <v>356</v>
      </c>
      <c r="C376" s="18">
        <v>5</v>
      </c>
    </row>
    <row r="377" customHeight="1" spans="1:3">
      <c r="A377" s="5" t="s">
        <v>356</v>
      </c>
      <c r="C377" s="5">
        <v>1</v>
      </c>
    </row>
    <row r="378" customHeight="1" spans="1:3">
      <c r="A378" s="5" t="s">
        <v>356</v>
      </c>
      <c r="C378" s="5">
        <v>2</v>
      </c>
    </row>
    <row r="379" customHeight="1" spans="1:3">
      <c r="A379" s="5" t="s">
        <v>356</v>
      </c>
      <c r="C379" s="5">
        <v>3</v>
      </c>
    </row>
    <row r="380" customHeight="1" spans="1:3">
      <c r="A380" s="5" t="s">
        <v>356</v>
      </c>
      <c r="C380" s="5">
        <v>4</v>
      </c>
    </row>
    <row r="381" customHeight="1" spans="1:3">
      <c r="A381" s="5" t="s">
        <v>356</v>
      </c>
      <c r="C381" s="5">
        <v>5</v>
      </c>
    </row>
    <row r="382" customHeight="1" spans="1:3">
      <c r="A382" s="18" t="s">
        <v>357</v>
      </c>
      <c r="C382" s="18">
        <v>1</v>
      </c>
    </row>
    <row r="383" customHeight="1" spans="1:3">
      <c r="A383" s="18" t="s">
        <v>357</v>
      </c>
      <c r="C383" s="18">
        <v>2</v>
      </c>
    </row>
    <row r="384" customHeight="1" spans="1:3">
      <c r="A384" s="18" t="s">
        <v>357</v>
      </c>
      <c r="C384" s="18">
        <v>3</v>
      </c>
    </row>
    <row r="385" customHeight="1" spans="1:3">
      <c r="A385" s="18" t="s">
        <v>357</v>
      </c>
      <c r="C385" s="18">
        <v>4</v>
      </c>
    </row>
    <row r="386" customHeight="1" spans="1:3">
      <c r="A386" s="18" t="s">
        <v>357</v>
      </c>
      <c r="C386" s="18">
        <v>5</v>
      </c>
    </row>
    <row r="387" customHeight="1" spans="1:3">
      <c r="A387" s="18" t="s">
        <v>357</v>
      </c>
      <c r="C387" s="18">
        <v>6</v>
      </c>
    </row>
    <row r="388" customHeight="1" spans="1:3">
      <c r="A388" s="18" t="s">
        <v>357</v>
      </c>
      <c r="C388" s="18">
        <v>7</v>
      </c>
    </row>
    <row r="389" customHeight="1" spans="1:3">
      <c r="A389" s="18" t="s">
        <v>357</v>
      </c>
      <c r="C389" s="18">
        <v>8</v>
      </c>
    </row>
    <row r="390" customHeight="1" spans="1:3">
      <c r="A390" s="5" t="s">
        <v>359</v>
      </c>
      <c r="C390" s="5">
        <v>1</v>
      </c>
    </row>
    <row r="391" customHeight="1" spans="1:3">
      <c r="A391" s="5" t="s">
        <v>359</v>
      </c>
      <c r="C391" s="5">
        <v>2</v>
      </c>
    </row>
    <row r="392" customHeight="1" spans="1:3">
      <c r="A392" s="5" t="s">
        <v>359</v>
      </c>
      <c r="C392" s="5">
        <v>3</v>
      </c>
    </row>
    <row r="393" customHeight="1" spans="1:3">
      <c r="A393" s="5" t="s">
        <v>359</v>
      </c>
      <c r="C393" s="5">
        <v>4</v>
      </c>
    </row>
    <row r="394" customHeight="1" spans="1:3">
      <c r="A394" s="5" t="s">
        <v>359</v>
      </c>
      <c r="C394" s="5">
        <v>5</v>
      </c>
    </row>
    <row r="395" customHeight="1" spans="1:3">
      <c r="A395" s="18" t="s">
        <v>360</v>
      </c>
      <c r="C395" s="18">
        <v>1</v>
      </c>
    </row>
    <row r="396" customHeight="1" spans="1:3">
      <c r="A396" s="18" t="s">
        <v>360</v>
      </c>
      <c r="C396" s="18">
        <v>2</v>
      </c>
    </row>
    <row r="397" customHeight="1" spans="1:3">
      <c r="A397" s="18" t="s">
        <v>360</v>
      </c>
      <c r="C397" s="18">
        <v>3</v>
      </c>
    </row>
    <row r="398" customHeight="1" spans="1:3">
      <c r="A398" s="18" t="s">
        <v>360</v>
      </c>
      <c r="C398" s="18">
        <v>4</v>
      </c>
    </row>
    <row r="399" customHeight="1" spans="1:3">
      <c r="A399" s="18" t="s">
        <v>360</v>
      </c>
      <c r="C399" s="18">
        <v>5</v>
      </c>
    </row>
    <row r="400" customHeight="1" spans="1:3">
      <c r="A400" s="5" t="s">
        <v>360</v>
      </c>
      <c r="C400" s="5">
        <v>1</v>
      </c>
    </row>
    <row r="401" customHeight="1" spans="1:3">
      <c r="A401" s="5" t="s">
        <v>360</v>
      </c>
      <c r="C401" s="5">
        <v>2</v>
      </c>
    </row>
    <row r="402" customHeight="1" spans="1:3">
      <c r="A402" s="5" t="s">
        <v>360</v>
      </c>
      <c r="C402" s="5">
        <v>3</v>
      </c>
    </row>
    <row r="403" customHeight="1" spans="1:3">
      <c r="A403" s="5" t="s">
        <v>360</v>
      </c>
      <c r="C403" s="5">
        <v>4</v>
      </c>
    </row>
    <row r="404" customHeight="1" spans="1:3">
      <c r="A404" s="5" t="s">
        <v>360</v>
      </c>
      <c r="C404" s="5">
        <v>5</v>
      </c>
    </row>
    <row r="405" customHeight="1" spans="1:3">
      <c r="A405" s="18" t="s">
        <v>361</v>
      </c>
      <c r="C405" s="18">
        <v>1</v>
      </c>
    </row>
    <row r="406" customHeight="1" spans="1:3">
      <c r="A406" s="18" t="s">
        <v>361</v>
      </c>
      <c r="C406" s="18">
        <v>2</v>
      </c>
    </row>
    <row r="407" customHeight="1" spans="1:3">
      <c r="A407" s="18" t="s">
        <v>361</v>
      </c>
      <c r="C407" s="18">
        <v>3</v>
      </c>
    </row>
    <row r="408" customHeight="1" spans="1:3">
      <c r="A408" s="18" t="s">
        <v>361</v>
      </c>
      <c r="C408" s="18">
        <v>4</v>
      </c>
    </row>
    <row r="409" customHeight="1" spans="1:3">
      <c r="A409" s="18" t="s">
        <v>361</v>
      </c>
      <c r="C409" s="18">
        <v>5</v>
      </c>
    </row>
    <row r="410" customHeight="1" spans="1:3">
      <c r="A410" s="18" t="s">
        <v>361</v>
      </c>
      <c r="C410" s="18">
        <v>6</v>
      </c>
    </row>
    <row r="411" customHeight="1" spans="1:3">
      <c r="A411" s="18" t="s">
        <v>361</v>
      </c>
      <c r="C411" s="18">
        <v>7</v>
      </c>
    </row>
    <row r="412" customHeight="1" spans="1:3">
      <c r="A412" s="18" t="s">
        <v>361</v>
      </c>
      <c r="C412" s="18">
        <v>8</v>
      </c>
    </row>
    <row r="413" customHeight="1" spans="1:3">
      <c r="A413" s="5" t="s">
        <v>363</v>
      </c>
      <c r="C413" s="5">
        <v>1</v>
      </c>
    </row>
    <row r="414" customHeight="1" spans="1:3">
      <c r="A414" s="5" t="s">
        <v>363</v>
      </c>
      <c r="C414" s="5">
        <v>2</v>
      </c>
    </row>
    <row r="415" customHeight="1" spans="1:3">
      <c r="A415" s="5" t="s">
        <v>363</v>
      </c>
      <c r="C415" s="5">
        <v>3</v>
      </c>
    </row>
    <row r="416" customHeight="1" spans="1:3">
      <c r="A416" s="5" t="s">
        <v>363</v>
      </c>
      <c r="C416" s="5">
        <v>4</v>
      </c>
    </row>
    <row r="417" customHeight="1" spans="1:3">
      <c r="A417" s="5" t="s">
        <v>363</v>
      </c>
      <c r="C417" s="5">
        <v>5</v>
      </c>
    </row>
    <row r="418" customHeight="1" spans="1:3">
      <c r="A418" s="18" t="s">
        <v>364</v>
      </c>
      <c r="C418" s="18">
        <v>1</v>
      </c>
    </row>
    <row r="419" customHeight="1" spans="1:3">
      <c r="A419" s="18" t="s">
        <v>364</v>
      </c>
      <c r="C419" s="18">
        <v>2</v>
      </c>
    </row>
    <row r="420" customHeight="1" spans="1:3">
      <c r="A420" s="18" t="s">
        <v>364</v>
      </c>
      <c r="C420" s="18">
        <v>3</v>
      </c>
    </row>
    <row r="421" customHeight="1" spans="1:3">
      <c r="A421" s="18" t="s">
        <v>364</v>
      </c>
      <c r="C421" s="18">
        <v>4</v>
      </c>
    </row>
    <row r="422" customHeight="1" spans="1:3">
      <c r="A422" s="18" t="s">
        <v>364</v>
      </c>
      <c r="C422" s="18">
        <v>5</v>
      </c>
    </row>
    <row r="423" customHeight="1" spans="1:3">
      <c r="A423" s="5" t="s">
        <v>364</v>
      </c>
      <c r="C423" s="5">
        <v>1</v>
      </c>
    </row>
    <row r="424" customHeight="1" spans="1:3">
      <c r="A424" s="5" t="s">
        <v>364</v>
      </c>
      <c r="C424" s="5">
        <v>2</v>
      </c>
    </row>
    <row r="425" customHeight="1" spans="1:3">
      <c r="A425" s="5" t="s">
        <v>364</v>
      </c>
      <c r="C425" s="5">
        <v>3</v>
      </c>
    </row>
    <row r="426" customHeight="1" spans="1:3">
      <c r="A426" s="5" t="s">
        <v>364</v>
      </c>
      <c r="C426" s="5">
        <v>4</v>
      </c>
    </row>
    <row r="427" customHeight="1" spans="1:3">
      <c r="A427" s="5" t="s">
        <v>364</v>
      </c>
      <c r="C427" s="5">
        <v>5</v>
      </c>
    </row>
    <row r="428" customHeight="1" spans="1:3">
      <c r="A428" s="18" t="s">
        <v>365</v>
      </c>
      <c r="C428" s="18">
        <v>1</v>
      </c>
    </row>
    <row r="429" customHeight="1" spans="1:3">
      <c r="A429" s="18" t="s">
        <v>365</v>
      </c>
      <c r="C429" s="18">
        <v>2</v>
      </c>
    </row>
    <row r="430" customHeight="1" spans="1:3">
      <c r="A430" s="18" t="s">
        <v>365</v>
      </c>
      <c r="C430" s="18">
        <v>3</v>
      </c>
    </row>
    <row r="431" customHeight="1" spans="1:3">
      <c r="A431" s="18" t="s">
        <v>365</v>
      </c>
      <c r="C431" s="18">
        <v>4</v>
      </c>
    </row>
    <row r="432" customHeight="1" spans="1:3">
      <c r="A432" s="18" t="s">
        <v>365</v>
      </c>
      <c r="C432" s="18">
        <v>5</v>
      </c>
    </row>
    <row r="433" customHeight="1" spans="1:3">
      <c r="A433" s="18" t="s">
        <v>365</v>
      </c>
      <c r="C433" s="18">
        <v>6</v>
      </c>
    </row>
    <row r="434" customHeight="1" spans="1:3">
      <c r="A434" s="18" t="s">
        <v>365</v>
      </c>
      <c r="C434" s="18">
        <v>7</v>
      </c>
    </row>
    <row r="435" customHeight="1" spans="1:3">
      <c r="A435" s="18" t="s">
        <v>365</v>
      </c>
      <c r="C435" s="18">
        <v>8</v>
      </c>
    </row>
    <row r="436" customHeight="1" spans="1:3">
      <c r="A436" s="5" t="s">
        <v>367</v>
      </c>
      <c r="C436" s="5">
        <v>1</v>
      </c>
    </row>
    <row r="437" customHeight="1" spans="1:3">
      <c r="A437" s="5" t="s">
        <v>367</v>
      </c>
      <c r="C437" s="5">
        <v>2</v>
      </c>
    </row>
    <row r="438" customHeight="1" spans="1:3">
      <c r="A438" s="5" t="s">
        <v>367</v>
      </c>
      <c r="C438" s="5">
        <v>3</v>
      </c>
    </row>
    <row r="439" customHeight="1" spans="1:3">
      <c r="A439" s="5" t="s">
        <v>367</v>
      </c>
      <c r="C439" s="5">
        <v>4</v>
      </c>
    </row>
    <row r="440" customHeight="1" spans="1:3">
      <c r="A440" s="5" t="s">
        <v>367</v>
      </c>
      <c r="C440" s="5">
        <v>5</v>
      </c>
    </row>
    <row r="441" customHeight="1" spans="1:3">
      <c r="A441" s="18" t="s">
        <v>368</v>
      </c>
      <c r="C441" s="18">
        <v>1</v>
      </c>
    </row>
    <row r="442" customHeight="1" spans="1:3">
      <c r="A442" s="18" t="s">
        <v>368</v>
      </c>
      <c r="C442" s="18">
        <v>2</v>
      </c>
    </row>
    <row r="443" customHeight="1" spans="1:3">
      <c r="A443" s="18" t="s">
        <v>368</v>
      </c>
      <c r="C443" s="18">
        <v>3</v>
      </c>
    </row>
    <row r="444" customHeight="1" spans="1:3">
      <c r="A444" s="18" t="s">
        <v>368</v>
      </c>
      <c r="C444" s="18">
        <v>4</v>
      </c>
    </row>
    <row r="445" customHeight="1" spans="1:3">
      <c r="A445" s="18" t="s">
        <v>368</v>
      </c>
      <c r="C445" s="18">
        <v>5</v>
      </c>
    </row>
    <row r="446" customHeight="1" spans="1:3">
      <c r="A446" s="5" t="s">
        <v>369</v>
      </c>
      <c r="C446" s="5">
        <v>1</v>
      </c>
    </row>
    <row r="447" customHeight="1" spans="1:3">
      <c r="A447" s="5" t="s">
        <v>369</v>
      </c>
      <c r="C447" s="5">
        <v>2</v>
      </c>
    </row>
    <row r="448" customHeight="1" spans="1:3">
      <c r="A448" s="5" t="s">
        <v>369</v>
      </c>
      <c r="C448" s="5">
        <v>3</v>
      </c>
    </row>
    <row r="449" customHeight="1" spans="1:3">
      <c r="A449" s="5" t="s">
        <v>369</v>
      </c>
      <c r="C449" s="5">
        <v>4</v>
      </c>
    </row>
    <row r="450" customHeight="1" spans="1:3">
      <c r="A450" s="5" t="s">
        <v>369</v>
      </c>
      <c r="C450" s="5">
        <v>5</v>
      </c>
    </row>
    <row r="451" customHeight="1" spans="1:3">
      <c r="A451" s="18" t="s">
        <v>369</v>
      </c>
      <c r="C451" s="18">
        <v>1</v>
      </c>
    </row>
    <row r="452" customHeight="1" spans="1:3">
      <c r="A452" s="18" t="s">
        <v>369</v>
      </c>
      <c r="C452" s="18">
        <v>2</v>
      </c>
    </row>
    <row r="453" customHeight="1" spans="1:3">
      <c r="A453" s="18" t="s">
        <v>369</v>
      </c>
      <c r="C453" s="18">
        <v>3</v>
      </c>
    </row>
    <row r="454" customHeight="1" spans="1:3">
      <c r="A454" s="18" t="s">
        <v>369</v>
      </c>
      <c r="C454" s="18">
        <v>4</v>
      </c>
    </row>
    <row r="455" customHeight="1" spans="1:3">
      <c r="A455" s="18" t="s">
        <v>369</v>
      </c>
      <c r="C455" s="18">
        <v>5</v>
      </c>
    </row>
    <row r="456" customHeight="1" spans="1:3">
      <c r="A456" s="5" t="s">
        <v>370</v>
      </c>
      <c r="C456" s="5">
        <v>1</v>
      </c>
    </row>
    <row r="457" customHeight="1" spans="1:3">
      <c r="A457" s="5" t="s">
        <v>370</v>
      </c>
      <c r="C457" s="5">
        <v>2</v>
      </c>
    </row>
    <row r="458" customHeight="1" spans="1:3">
      <c r="A458" s="5" t="s">
        <v>370</v>
      </c>
      <c r="C458" s="5">
        <v>3</v>
      </c>
    </row>
    <row r="459" customHeight="1" spans="1:3">
      <c r="A459" s="5" t="s">
        <v>370</v>
      </c>
      <c r="C459" s="5">
        <v>4</v>
      </c>
    </row>
    <row r="460" customHeight="1" spans="1:3">
      <c r="A460" s="5" t="s">
        <v>370</v>
      </c>
      <c r="C460" s="5">
        <v>5</v>
      </c>
    </row>
    <row r="461" customHeight="1" spans="1:3">
      <c r="A461" s="5" t="s">
        <v>370</v>
      </c>
      <c r="C461" s="5">
        <v>6</v>
      </c>
    </row>
    <row r="462" customHeight="1" spans="1:3">
      <c r="A462" s="5" t="s">
        <v>370</v>
      </c>
      <c r="C462" s="5">
        <v>7</v>
      </c>
    </row>
    <row r="463" customHeight="1" spans="1:3">
      <c r="A463" s="5" t="s">
        <v>370</v>
      </c>
      <c r="C463" s="5">
        <v>8</v>
      </c>
    </row>
    <row r="464" customHeight="1" spans="1:3">
      <c r="A464" s="18" t="s">
        <v>372</v>
      </c>
      <c r="C464" s="18">
        <v>1</v>
      </c>
    </row>
    <row r="465" customHeight="1" spans="1:3">
      <c r="A465" s="18" t="s">
        <v>372</v>
      </c>
      <c r="C465" s="18">
        <v>2</v>
      </c>
    </row>
    <row r="466" customHeight="1" spans="1:3">
      <c r="A466" s="18" t="s">
        <v>372</v>
      </c>
      <c r="C466" s="18">
        <v>3</v>
      </c>
    </row>
    <row r="467" customHeight="1" spans="1:3">
      <c r="A467" s="18" t="s">
        <v>372</v>
      </c>
      <c r="C467" s="18">
        <v>4</v>
      </c>
    </row>
    <row r="468" customHeight="1" spans="1:3">
      <c r="A468" s="18" t="s">
        <v>372</v>
      </c>
      <c r="C468" s="18">
        <v>5</v>
      </c>
    </row>
    <row r="469" customHeight="1" spans="1:3">
      <c r="A469" s="5" t="s">
        <v>373</v>
      </c>
      <c r="C469" s="5">
        <v>1</v>
      </c>
    </row>
    <row r="470" customHeight="1" spans="1:3">
      <c r="A470" s="5" t="s">
        <v>373</v>
      </c>
      <c r="C470" s="5">
        <v>2</v>
      </c>
    </row>
    <row r="471" customHeight="1" spans="1:3">
      <c r="A471" s="5" t="s">
        <v>373</v>
      </c>
      <c r="C471" s="5">
        <v>3</v>
      </c>
    </row>
    <row r="472" customHeight="1" spans="1:3">
      <c r="A472" s="5" t="s">
        <v>373</v>
      </c>
      <c r="C472" s="5">
        <v>4</v>
      </c>
    </row>
    <row r="473" customHeight="1" spans="1:3">
      <c r="A473" s="5" t="s">
        <v>373</v>
      </c>
      <c r="C473" s="5">
        <v>5</v>
      </c>
    </row>
    <row r="474" customHeight="1" spans="1:3">
      <c r="A474" s="18" t="s">
        <v>374</v>
      </c>
      <c r="C474" s="18">
        <v>1</v>
      </c>
    </row>
    <row r="475" customHeight="1" spans="1:3">
      <c r="A475" s="18" t="s">
        <v>374</v>
      </c>
      <c r="C475" s="18">
        <v>2</v>
      </c>
    </row>
    <row r="476" customHeight="1" spans="1:3">
      <c r="A476" s="18" t="s">
        <v>374</v>
      </c>
      <c r="C476" s="18">
        <v>3</v>
      </c>
    </row>
    <row r="477" customHeight="1" spans="1:3">
      <c r="A477" s="18" t="s">
        <v>374</v>
      </c>
      <c r="C477" s="18">
        <v>4</v>
      </c>
    </row>
    <row r="478" customHeight="1" spans="1:3">
      <c r="A478" s="18" t="s">
        <v>374</v>
      </c>
      <c r="C478" s="18">
        <v>5</v>
      </c>
    </row>
    <row r="479" customHeight="1" spans="1:3">
      <c r="A479" s="5" t="s">
        <v>374</v>
      </c>
      <c r="C479" s="5">
        <v>1</v>
      </c>
    </row>
    <row r="480" customHeight="1" spans="1:3">
      <c r="A480" s="5" t="s">
        <v>374</v>
      </c>
      <c r="C480" s="5">
        <v>2</v>
      </c>
    </row>
    <row r="481" customHeight="1" spans="1:3">
      <c r="A481" s="5" t="s">
        <v>374</v>
      </c>
      <c r="C481" s="5">
        <v>3</v>
      </c>
    </row>
    <row r="482" customHeight="1" spans="1:3">
      <c r="A482" s="5" t="s">
        <v>374</v>
      </c>
      <c r="C482" s="5">
        <v>4</v>
      </c>
    </row>
    <row r="483" customHeight="1" spans="1:3">
      <c r="A483" s="5" t="s">
        <v>374</v>
      </c>
      <c r="C483" s="5">
        <v>5</v>
      </c>
    </row>
    <row r="484" customHeight="1" spans="1:3">
      <c r="A484" s="18" t="s">
        <v>375</v>
      </c>
      <c r="C484" s="18">
        <v>1</v>
      </c>
    </row>
    <row r="485" customHeight="1" spans="1:3">
      <c r="A485" s="18" t="s">
        <v>375</v>
      </c>
      <c r="C485" s="18">
        <v>2</v>
      </c>
    </row>
    <row r="486" customHeight="1" spans="1:3">
      <c r="A486" s="18" t="s">
        <v>375</v>
      </c>
      <c r="C486" s="18">
        <v>3</v>
      </c>
    </row>
    <row r="487" customHeight="1" spans="1:3">
      <c r="A487" s="18" t="s">
        <v>375</v>
      </c>
      <c r="C487" s="18">
        <v>4</v>
      </c>
    </row>
    <row r="488" customHeight="1" spans="1:3">
      <c r="A488" s="18" t="s">
        <v>375</v>
      </c>
      <c r="C488" s="18">
        <v>5</v>
      </c>
    </row>
    <row r="489" customHeight="1" spans="1:3">
      <c r="A489" s="18" t="s">
        <v>375</v>
      </c>
      <c r="C489" s="18">
        <v>6</v>
      </c>
    </row>
    <row r="490" customHeight="1" spans="1:3">
      <c r="A490" s="18" t="s">
        <v>375</v>
      </c>
      <c r="C490" s="18">
        <v>7</v>
      </c>
    </row>
    <row r="491" customHeight="1" spans="1:3">
      <c r="A491" s="18" t="s">
        <v>375</v>
      </c>
      <c r="C491" s="18">
        <v>8</v>
      </c>
    </row>
    <row r="492" customHeight="1" spans="1:3">
      <c r="A492" s="5" t="s">
        <v>377</v>
      </c>
      <c r="C492" s="5">
        <v>1</v>
      </c>
    </row>
    <row r="493" customHeight="1" spans="1:3">
      <c r="A493" s="5" t="s">
        <v>377</v>
      </c>
      <c r="C493" s="5">
        <v>2</v>
      </c>
    </row>
    <row r="494" customHeight="1" spans="1:3">
      <c r="A494" s="5" t="s">
        <v>377</v>
      </c>
      <c r="C494" s="5">
        <v>3</v>
      </c>
    </row>
    <row r="495" customHeight="1" spans="1:3">
      <c r="A495" s="5" t="s">
        <v>377</v>
      </c>
      <c r="C495" s="5">
        <v>4</v>
      </c>
    </row>
    <row r="496" customHeight="1" spans="1:3">
      <c r="A496" s="5" t="s">
        <v>377</v>
      </c>
      <c r="C496" s="5">
        <v>5</v>
      </c>
    </row>
    <row r="497" customHeight="1" spans="1:3">
      <c r="A497" s="18" t="s">
        <v>378</v>
      </c>
      <c r="C497" s="18">
        <v>1</v>
      </c>
    </row>
    <row r="498" customHeight="1" spans="1:3">
      <c r="A498" s="18" t="s">
        <v>378</v>
      </c>
      <c r="C498" s="18">
        <v>2</v>
      </c>
    </row>
    <row r="499" customHeight="1" spans="1:3">
      <c r="A499" s="18" t="s">
        <v>378</v>
      </c>
      <c r="C499" s="18">
        <v>3</v>
      </c>
    </row>
    <row r="500" customHeight="1" spans="1:3">
      <c r="A500" s="18" t="s">
        <v>378</v>
      </c>
      <c r="C500" s="18">
        <v>4</v>
      </c>
    </row>
    <row r="501" customHeight="1" spans="1:3">
      <c r="A501" s="18" t="s">
        <v>378</v>
      </c>
      <c r="C501" s="18">
        <v>5</v>
      </c>
    </row>
    <row r="502" customHeight="1" spans="1:3">
      <c r="A502" s="5" t="s">
        <v>380</v>
      </c>
      <c r="C502" s="5">
        <v>1</v>
      </c>
    </row>
    <row r="503" customHeight="1" spans="1:3">
      <c r="A503" s="5" t="s">
        <v>380</v>
      </c>
      <c r="C503" s="5">
        <v>2</v>
      </c>
    </row>
    <row r="504" customHeight="1" spans="1:3">
      <c r="A504" s="5" t="s">
        <v>380</v>
      </c>
      <c r="C504" s="5">
        <v>3</v>
      </c>
    </row>
    <row r="505" customHeight="1" spans="1:3">
      <c r="A505" s="5" t="s">
        <v>380</v>
      </c>
      <c r="C505" s="5">
        <v>4</v>
      </c>
    </row>
    <row r="506" customHeight="1" spans="1:3">
      <c r="A506" s="5" t="s">
        <v>380</v>
      </c>
      <c r="C506" s="5">
        <v>5</v>
      </c>
    </row>
    <row r="507" customHeight="1" spans="1:3">
      <c r="A507" s="18" t="s">
        <v>381</v>
      </c>
      <c r="C507" s="18">
        <v>1</v>
      </c>
    </row>
    <row r="508" customHeight="1" spans="1:3">
      <c r="A508" s="18" t="s">
        <v>381</v>
      </c>
      <c r="C508" s="18">
        <v>2</v>
      </c>
    </row>
    <row r="509" customHeight="1" spans="1:3">
      <c r="A509" s="18" t="s">
        <v>381</v>
      </c>
      <c r="C509" s="18">
        <v>3</v>
      </c>
    </row>
    <row r="510" customHeight="1" spans="1:3">
      <c r="A510" s="18" t="s">
        <v>381</v>
      </c>
      <c r="C510" s="18">
        <v>4</v>
      </c>
    </row>
    <row r="511" customHeight="1" spans="1:3">
      <c r="A511" s="18" t="s">
        <v>381</v>
      </c>
      <c r="C511" s="18">
        <v>5</v>
      </c>
    </row>
    <row r="512" customHeight="1" spans="1:3">
      <c r="A512" s="5" t="s">
        <v>383</v>
      </c>
      <c r="C512" s="5">
        <v>1</v>
      </c>
    </row>
    <row r="513" customHeight="1" spans="1:3">
      <c r="A513" s="5" t="s">
        <v>383</v>
      </c>
      <c r="C513" s="5">
        <v>2</v>
      </c>
    </row>
    <row r="514" customHeight="1" spans="1:3">
      <c r="A514" s="5" t="s">
        <v>383</v>
      </c>
      <c r="C514" s="5">
        <v>3</v>
      </c>
    </row>
    <row r="515" customHeight="1" spans="1:3">
      <c r="A515" s="5" t="s">
        <v>383</v>
      </c>
      <c r="C515" s="5">
        <v>4</v>
      </c>
    </row>
    <row r="516" customHeight="1" spans="1:3">
      <c r="A516" s="5" t="s">
        <v>383</v>
      </c>
      <c r="C516" s="5">
        <v>5</v>
      </c>
    </row>
    <row r="517" customHeight="1" spans="1:3">
      <c r="A517" s="18" t="s">
        <v>384</v>
      </c>
      <c r="C517" s="18">
        <v>1</v>
      </c>
    </row>
    <row r="518" customHeight="1" spans="1:3">
      <c r="A518" s="18" t="s">
        <v>384</v>
      </c>
      <c r="C518" s="18">
        <v>2</v>
      </c>
    </row>
    <row r="519" customHeight="1" spans="1:3">
      <c r="A519" s="18" t="s">
        <v>384</v>
      </c>
      <c r="C519" s="18">
        <v>3</v>
      </c>
    </row>
    <row r="520" customHeight="1" spans="1:3">
      <c r="A520" s="18" t="s">
        <v>384</v>
      </c>
      <c r="C520" s="18">
        <v>4</v>
      </c>
    </row>
    <row r="521" customHeight="1" spans="1:3">
      <c r="A521" s="18" t="s">
        <v>384</v>
      </c>
      <c r="C521" s="18">
        <v>5</v>
      </c>
    </row>
    <row r="522" customHeight="1" spans="1:3">
      <c r="A522" s="5" t="s">
        <v>386</v>
      </c>
      <c r="C522" s="5">
        <v>1</v>
      </c>
    </row>
    <row r="523" customHeight="1" spans="1:3">
      <c r="A523" s="5" t="s">
        <v>386</v>
      </c>
      <c r="C523" s="5">
        <v>2</v>
      </c>
    </row>
    <row r="524" customHeight="1" spans="1:3">
      <c r="A524" s="5" t="s">
        <v>386</v>
      </c>
      <c r="C524" s="5">
        <v>3</v>
      </c>
    </row>
    <row r="525" customHeight="1" spans="1:3">
      <c r="A525" s="5" t="s">
        <v>386</v>
      </c>
      <c r="C525" s="5">
        <v>4</v>
      </c>
    </row>
    <row r="526" customHeight="1" spans="1:3">
      <c r="A526" s="5" t="s">
        <v>386</v>
      </c>
      <c r="C526" s="5">
        <v>5</v>
      </c>
    </row>
    <row r="527" customHeight="1" spans="1:3">
      <c r="A527" s="18" t="s">
        <v>387</v>
      </c>
      <c r="C527" s="18">
        <v>1</v>
      </c>
    </row>
    <row r="528" customHeight="1" spans="1:3">
      <c r="A528" s="18" t="s">
        <v>387</v>
      </c>
      <c r="C528" s="18">
        <v>2</v>
      </c>
    </row>
    <row r="529" customHeight="1" spans="1:3">
      <c r="A529" s="18" t="s">
        <v>387</v>
      </c>
      <c r="C529" s="18">
        <v>3</v>
      </c>
    </row>
    <row r="530" customHeight="1" spans="1:3">
      <c r="A530" s="18" t="s">
        <v>387</v>
      </c>
      <c r="C530" s="18">
        <v>4</v>
      </c>
    </row>
    <row r="531" customHeight="1" spans="1:3">
      <c r="A531" s="18" t="s">
        <v>387</v>
      </c>
      <c r="C531" s="18">
        <v>5</v>
      </c>
    </row>
    <row r="532" customHeight="1" spans="1:3">
      <c r="A532" s="18" t="s">
        <v>387</v>
      </c>
      <c r="C532" s="18">
        <v>6</v>
      </c>
    </row>
    <row r="533" customHeight="1" spans="1:3">
      <c r="A533" s="18" t="s">
        <v>387</v>
      </c>
      <c r="C533" s="18">
        <v>7</v>
      </c>
    </row>
    <row r="534" customHeight="1" spans="1:3">
      <c r="A534" s="18" t="s">
        <v>387</v>
      </c>
      <c r="C534" s="18">
        <v>8</v>
      </c>
    </row>
    <row r="535" customHeight="1" spans="1:3">
      <c r="A535" s="5" t="s">
        <v>387</v>
      </c>
      <c r="C535" s="5">
        <v>1</v>
      </c>
    </row>
    <row r="536" customHeight="1" spans="1:3">
      <c r="A536" s="5" t="s">
        <v>387</v>
      </c>
      <c r="C536" s="5">
        <v>2</v>
      </c>
    </row>
    <row r="537" customHeight="1" spans="1:3">
      <c r="A537" s="5" t="s">
        <v>387</v>
      </c>
      <c r="C537" s="5">
        <v>3</v>
      </c>
    </row>
    <row r="538" customHeight="1" spans="1:3">
      <c r="A538" s="5" t="s">
        <v>387</v>
      </c>
      <c r="C538" s="5">
        <v>4</v>
      </c>
    </row>
    <row r="539" customHeight="1" spans="1:3">
      <c r="A539" s="5" t="s">
        <v>387</v>
      </c>
      <c r="C539" s="5">
        <v>5</v>
      </c>
    </row>
    <row r="540" customHeight="1" spans="1:3">
      <c r="A540" s="5" t="s">
        <v>387</v>
      </c>
      <c r="C540" s="5">
        <v>6</v>
      </c>
    </row>
    <row r="541" customHeight="1" spans="1:3">
      <c r="A541" s="5" t="s">
        <v>387</v>
      </c>
      <c r="C541" s="5">
        <v>7</v>
      </c>
    </row>
    <row r="542" customHeight="1" spans="1:3">
      <c r="A542" s="5" t="s">
        <v>387</v>
      </c>
      <c r="C542" s="5">
        <v>8</v>
      </c>
    </row>
    <row r="543" customHeight="1" spans="1:3">
      <c r="A543" s="18" t="s">
        <v>389</v>
      </c>
      <c r="C543" s="18">
        <v>1</v>
      </c>
    </row>
    <row r="544" customHeight="1" spans="1:3">
      <c r="A544" s="18" t="s">
        <v>389</v>
      </c>
      <c r="C544" s="18">
        <v>2</v>
      </c>
    </row>
    <row r="545" customHeight="1" spans="1:3">
      <c r="A545" s="18" t="s">
        <v>389</v>
      </c>
      <c r="C545" s="18">
        <v>3</v>
      </c>
    </row>
    <row r="546" customHeight="1" spans="1:3">
      <c r="A546" s="18" t="s">
        <v>389</v>
      </c>
      <c r="C546" s="18">
        <v>4</v>
      </c>
    </row>
    <row r="547" customHeight="1" spans="1:3">
      <c r="A547" s="18" t="s">
        <v>389</v>
      </c>
      <c r="C547" s="18">
        <v>5</v>
      </c>
    </row>
    <row r="548" customHeight="1" spans="1:3">
      <c r="A548" s="5" t="s">
        <v>389</v>
      </c>
      <c r="C548" s="5">
        <v>1</v>
      </c>
    </row>
    <row r="549" customHeight="1" spans="1:3">
      <c r="A549" s="5" t="s">
        <v>389</v>
      </c>
      <c r="C549" s="5">
        <v>2</v>
      </c>
    </row>
    <row r="550" customHeight="1" spans="1:3">
      <c r="A550" s="5" t="s">
        <v>389</v>
      </c>
      <c r="C550" s="5">
        <v>3</v>
      </c>
    </row>
    <row r="551" customHeight="1" spans="1:3">
      <c r="A551" s="5" t="s">
        <v>389</v>
      </c>
      <c r="C551" s="5">
        <v>4</v>
      </c>
    </row>
    <row r="552" customHeight="1" spans="1:3">
      <c r="A552" s="5" t="s">
        <v>389</v>
      </c>
      <c r="C552" s="5">
        <v>5</v>
      </c>
    </row>
    <row r="553" customHeight="1" spans="1:3">
      <c r="A553" s="18" t="s">
        <v>390</v>
      </c>
      <c r="C553" s="18">
        <v>1</v>
      </c>
    </row>
    <row r="554" customHeight="1" spans="1:3">
      <c r="A554" s="18" t="s">
        <v>390</v>
      </c>
      <c r="C554" s="18">
        <v>2</v>
      </c>
    </row>
    <row r="555" customHeight="1" spans="1:3">
      <c r="A555" s="18" t="s">
        <v>390</v>
      </c>
      <c r="C555" s="18">
        <v>3</v>
      </c>
    </row>
    <row r="556" customHeight="1" spans="1:3">
      <c r="A556" s="18" t="s">
        <v>390</v>
      </c>
      <c r="C556" s="18">
        <v>4</v>
      </c>
    </row>
    <row r="557" customHeight="1" spans="1:3">
      <c r="A557" s="18" t="s">
        <v>390</v>
      </c>
      <c r="C557" s="18">
        <v>5</v>
      </c>
    </row>
    <row r="558" customHeight="1" spans="1:3">
      <c r="A558" s="5" t="s">
        <v>391</v>
      </c>
      <c r="C558" s="5">
        <v>1</v>
      </c>
    </row>
    <row r="559" customHeight="1" spans="1:3">
      <c r="A559" s="5" t="s">
        <v>391</v>
      </c>
      <c r="C559" s="5">
        <v>2</v>
      </c>
    </row>
    <row r="560" customHeight="1" spans="1:3">
      <c r="A560" s="5" t="s">
        <v>391</v>
      </c>
      <c r="C560" s="5">
        <v>3</v>
      </c>
    </row>
    <row r="561" customHeight="1" spans="1:3">
      <c r="A561" s="5" t="s">
        <v>391</v>
      </c>
      <c r="C561" s="5">
        <v>4</v>
      </c>
    </row>
    <row r="562" customHeight="1" spans="1:3">
      <c r="A562" s="5" t="s">
        <v>391</v>
      </c>
      <c r="C562" s="5">
        <v>5</v>
      </c>
    </row>
    <row r="563" customHeight="1" spans="1:3">
      <c r="A563" s="5" t="s">
        <v>391</v>
      </c>
      <c r="C563" s="5">
        <v>6</v>
      </c>
    </row>
    <row r="564" customHeight="1" spans="1:3">
      <c r="A564" s="5" t="s">
        <v>391</v>
      </c>
      <c r="C564" s="5">
        <v>7</v>
      </c>
    </row>
    <row r="565" customHeight="1" spans="1:3">
      <c r="A565" s="5" t="s">
        <v>391</v>
      </c>
      <c r="C565" s="5">
        <v>8</v>
      </c>
    </row>
    <row r="566" customHeight="1" spans="1:3">
      <c r="A566" s="18" t="s">
        <v>393</v>
      </c>
      <c r="C566" s="18">
        <v>1</v>
      </c>
    </row>
    <row r="567" customHeight="1" spans="1:3">
      <c r="A567" s="18" t="s">
        <v>393</v>
      </c>
      <c r="C567" s="18">
        <v>2</v>
      </c>
    </row>
    <row r="568" customHeight="1" spans="1:3">
      <c r="A568" s="18" t="s">
        <v>393</v>
      </c>
      <c r="C568" s="18">
        <v>3</v>
      </c>
    </row>
    <row r="569" customHeight="1" spans="1:3">
      <c r="A569" s="18" t="s">
        <v>393</v>
      </c>
      <c r="C569" s="18">
        <v>4</v>
      </c>
    </row>
    <row r="570" customHeight="1" spans="1:3">
      <c r="A570" s="18" t="s">
        <v>393</v>
      </c>
      <c r="C570" s="18">
        <v>5</v>
      </c>
    </row>
    <row r="571" customHeight="1" spans="1:3">
      <c r="A571" s="5" t="s">
        <v>395</v>
      </c>
      <c r="C571" s="5">
        <v>1</v>
      </c>
    </row>
    <row r="572" customHeight="1" spans="1:3">
      <c r="A572" s="5" t="s">
        <v>395</v>
      </c>
      <c r="C572" s="5">
        <v>2</v>
      </c>
    </row>
    <row r="573" customHeight="1" spans="1:3">
      <c r="A573" s="5" t="s">
        <v>395</v>
      </c>
      <c r="C573" s="5">
        <v>3</v>
      </c>
    </row>
    <row r="574" customHeight="1" spans="1:3">
      <c r="A574" s="5" t="s">
        <v>395</v>
      </c>
      <c r="C574" s="5">
        <v>4</v>
      </c>
    </row>
    <row r="575" customHeight="1" spans="1:3">
      <c r="A575" s="5" t="s">
        <v>395</v>
      </c>
      <c r="C575" s="5">
        <v>5</v>
      </c>
    </row>
    <row r="576" customHeight="1" spans="1:3">
      <c r="A576" s="18" t="s">
        <v>396</v>
      </c>
      <c r="C576" s="18">
        <v>1</v>
      </c>
    </row>
    <row r="577" customHeight="1" spans="1:3">
      <c r="A577" s="18" t="s">
        <v>396</v>
      </c>
      <c r="C577" s="18">
        <v>2</v>
      </c>
    </row>
    <row r="578" customHeight="1" spans="1:3">
      <c r="A578" s="18" t="s">
        <v>396</v>
      </c>
      <c r="C578" s="18">
        <v>3</v>
      </c>
    </row>
    <row r="579" customHeight="1" spans="1:3">
      <c r="A579" s="18" t="s">
        <v>396</v>
      </c>
      <c r="C579" s="18">
        <v>4</v>
      </c>
    </row>
    <row r="580" customHeight="1" spans="1:3">
      <c r="A580" s="18" t="s">
        <v>396</v>
      </c>
      <c r="C580" s="18">
        <v>5</v>
      </c>
    </row>
    <row r="581" customHeight="1" spans="1:3">
      <c r="A581" s="18" t="s">
        <v>396</v>
      </c>
      <c r="C581" s="18">
        <v>6</v>
      </c>
    </row>
    <row r="582" customHeight="1" spans="1:3">
      <c r="A582" s="18" t="s">
        <v>396</v>
      </c>
      <c r="C582" s="18">
        <v>7</v>
      </c>
    </row>
    <row r="583" customHeight="1" spans="1:3">
      <c r="A583" s="18" t="s">
        <v>396</v>
      </c>
      <c r="C583" s="18">
        <v>8</v>
      </c>
    </row>
    <row r="584" customHeight="1" spans="1:3">
      <c r="A584" s="5" t="s">
        <v>398</v>
      </c>
      <c r="C584" s="5">
        <v>1</v>
      </c>
    </row>
    <row r="585" customHeight="1" spans="1:3">
      <c r="A585" s="5" t="s">
        <v>398</v>
      </c>
      <c r="C585" s="5">
        <v>2</v>
      </c>
    </row>
    <row r="586" customHeight="1" spans="1:3">
      <c r="A586" s="5" t="s">
        <v>398</v>
      </c>
      <c r="C586" s="5">
        <v>3</v>
      </c>
    </row>
    <row r="587" customHeight="1" spans="1:3">
      <c r="A587" s="5" t="s">
        <v>398</v>
      </c>
      <c r="C587" s="5">
        <v>4</v>
      </c>
    </row>
    <row r="588" customHeight="1" spans="1:3">
      <c r="A588" s="5" t="s">
        <v>398</v>
      </c>
      <c r="C588" s="5">
        <v>5</v>
      </c>
    </row>
    <row r="589" customHeight="1" spans="1:3">
      <c r="A589" s="18" t="s">
        <v>399</v>
      </c>
      <c r="C589" s="18">
        <v>1</v>
      </c>
    </row>
    <row r="590" customHeight="1" spans="1:3">
      <c r="A590" s="18" t="s">
        <v>399</v>
      </c>
      <c r="C590" s="18">
        <v>2</v>
      </c>
    </row>
    <row r="591" customHeight="1" spans="1:3">
      <c r="A591" s="18" t="s">
        <v>399</v>
      </c>
      <c r="C591" s="18">
        <v>3</v>
      </c>
    </row>
    <row r="592" customHeight="1" spans="1:3">
      <c r="A592" s="18" t="s">
        <v>399</v>
      </c>
      <c r="C592" s="18">
        <v>4</v>
      </c>
    </row>
    <row r="593" customHeight="1" spans="1:3">
      <c r="A593" s="18" t="s">
        <v>399</v>
      </c>
      <c r="C593" s="18">
        <v>5</v>
      </c>
    </row>
    <row r="594" customHeight="1" spans="1:3">
      <c r="A594" s="18" t="s">
        <v>399</v>
      </c>
      <c r="C594" s="18">
        <v>6</v>
      </c>
    </row>
    <row r="595" customHeight="1" spans="1:3">
      <c r="A595" s="18" t="s">
        <v>399</v>
      </c>
      <c r="C595" s="18">
        <v>7</v>
      </c>
    </row>
    <row r="596" customHeight="1" spans="1:3">
      <c r="A596" s="18" t="s">
        <v>399</v>
      </c>
      <c r="C596" s="18">
        <v>8</v>
      </c>
    </row>
    <row r="597" customHeight="1" spans="1:3">
      <c r="A597" s="5" t="s">
        <v>399</v>
      </c>
      <c r="C597" s="5">
        <v>1</v>
      </c>
    </row>
    <row r="598" customHeight="1" spans="1:3">
      <c r="A598" s="5" t="s">
        <v>399</v>
      </c>
      <c r="C598" s="5">
        <v>2</v>
      </c>
    </row>
    <row r="599" customHeight="1" spans="1:3">
      <c r="A599" s="5" t="s">
        <v>399</v>
      </c>
      <c r="C599" s="5">
        <v>3</v>
      </c>
    </row>
    <row r="600" customHeight="1" spans="1:3">
      <c r="A600" s="5" t="s">
        <v>399</v>
      </c>
      <c r="C600" s="5">
        <v>4</v>
      </c>
    </row>
    <row r="601" customHeight="1" spans="1:3">
      <c r="A601" s="5" t="s">
        <v>399</v>
      </c>
      <c r="C601" s="5">
        <v>5</v>
      </c>
    </row>
    <row r="602" customHeight="1" spans="1:3">
      <c r="A602" s="5" t="s">
        <v>399</v>
      </c>
      <c r="C602" s="5">
        <v>6</v>
      </c>
    </row>
    <row r="603" customHeight="1" spans="1:3">
      <c r="A603" s="5" t="s">
        <v>399</v>
      </c>
      <c r="C603" s="5">
        <v>7</v>
      </c>
    </row>
    <row r="604" customHeight="1" spans="1:3">
      <c r="A604" s="5" t="s">
        <v>399</v>
      </c>
      <c r="C604" s="5">
        <v>8</v>
      </c>
    </row>
    <row r="605" customHeight="1" spans="1:3">
      <c r="A605" s="18" t="s">
        <v>401</v>
      </c>
      <c r="C605" s="18">
        <v>1</v>
      </c>
    </row>
    <row r="606" customHeight="1" spans="1:3">
      <c r="A606" s="18" t="s">
        <v>401</v>
      </c>
      <c r="C606" s="18">
        <v>2</v>
      </c>
    </row>
    <row r="607" customHeight="1" spans="1:3">
      <c r="A607" s="18" t="s">
        <v>401</v>
      </c>
      <c r="C607" s="18">
        <v>3</v>
      </c>
    </row>
    <row r="608" customHeight="1" spans="1:3">
      <c r="A608" s="18" t="s">
        <v>401</v>
      </c>
      <c r="C608" s="18">
        <v>4</v>
      </c>
    </row>
    <row r="609" customHeight="1" spans="1:3">
      <c r="A609" s="18" t="s">
        <v>401</v>
      </c>
      <c r="C609" s="18">
        <v>5</v>
      </c>
    </row>
    <row r="610" customHeight="1" spans="1:3">
      <c r="A610" s="5" t="s">
        <v>402</v>
      </c>
      <c r="C610" s="5">
        <v>1</v>
      </c>
    </row>
    <row r="611" customHeight="1" spans="1:3">
      <c r="A611" s="5" t="s">
        <v>402</v>
      </c>
      <c r="C611" s="5">
        <v>2</v>
      </c>
    </row>
    <row r="612" customHeight="1" spans="1:3">
      <c r="A612" s="5" t="s">
        <v>402</v>
      </c>
      <c r="C612" s="5">
        <v>3</v>
      </c>
    </row>
    <row r="613" customHeight="1" spans="1:3">
      <c r="A613" s="5" t="s">
        <v>402</v>
      </c>
      <c r="C613" s="5">
        <v>4</v>
      </c>
    </row>
    <row r="614" customHeight="1" spans="1:3">
      <c r="A614" s="5" t="s">
        <v>402</v>
      </c>
      <c r="C614" s="5">
        <v>5</v>
      </c>
    </row>
    <row r="615" customHeight="1" spans="1:3">
      <c r="A615" s="5" t="s">
        <v>402</v>
      </c>
      <c r="C615" s="5">
        <v>6</v>
      </c>
    </row>
    <row r="616" customHeight="1" spans="1:3">
      <c r="A616" s="5" t="s">
        <v>402</v>
      </c>
      <c r="C616" s="5">
        <v>7</v>
      </c>
    </row>
    <row r="617" customHeight="1" spans="1:3">
      <c r="A617" s="5" t="s">
        <v>402</v>
      </c>
      <c r="C617" s="5">
        <v>8</v>
      </c>
    </row>
    <row r="618" customHeight="1" spans="1:3">
      <c r="A618" s="18" t="s">
        <v>402</v>
      </c>
      <c r="C618" s="18">
        <v>1</v>
      </c>
    </row>
    <row r="619" customHeight="1" spans="1:3">
      <c r="A619" s="18" t="s">
        <v>402</v>
      </c>
      <c r="C619" s="18">
        <v>2</v>
      </c>
    </row>
    <row r="620" customHeight="1" spans="1:3">
      <c r="A620" s="18" t="s">
        <v>402</v>
      </c>
      <c r="C620" s="18">
        <v>3</v>
      </c>
    </row>
    <row r="621" customHeight="1" spans="1:3">
      <c r="A621" s="18" t="s">
        <v>402</v>
      </c>
      <c r="C621" s="18">
        <v>4</v>
      </c>
    </row>
    <row r="622" customHeight="1" spans="1:3">
      <c r="A622" s="18" t="s">
        <v>402</v>
      </c>
      <c r="C622" s="18">
        <v>5</v>
      </c>
    </row>
    <row r="623" customHeight="1" spans="1:3">
      <c r="A623" s="18" t="s">
        <v>402</v>
      </c>
      <c r="C623" s="18">
        <v>6</v>
      </c>
    </row>
    <row r="624" customHeight="1" spans="1:3">
      <c r="A624" s="18" t="s">
        <v>402</v>
      </c>
      <c r="C624" s="18">
        <v>7</v>
      </c>
    </row>
    <row r="625" customHeight="1" spans="1:3">
      <c r="A625" s="18" t="s">
        <v>402</v>
      </c>
      <c r="C625" s="18">
        <v>8</v>
      </c>
    </row>
    <row r="626" customHeight="1" spans="1:3">
      <c r="A626" s="5" t="s">
        <v>404</v>
      </c>
      <c r="C626" s="5">
        <v>1</v>
      </c>
    </row>
    <row r="627" customHeight="1" spans="1:3">
      <c r="A627" s="5" t="s">
        <v>404</v>
      </c>
      <c r="C627" s="5">
        <v>2</v>
      </c>
    </row>
    <row r="628" customHeight="1" spans="1:3">
      <c r="A628" s="5" t="s">
        <v>404</v>
      </c>
      <c r="C628" s="5">
        <v>3</v>
      </c>
    </row>
    <row r="629" customHeight="1" spans="1:3">
      <c r="A629" s="5" t="s">
        <v>404</v>
      </c>
      <c r="C629" s="5">
        <v>4</v>
      </c>
    </row>
    <row r="630" customHeight="1" spans="1:3">
      <c r="A630" s="5" t="s">
        <v>404</v>
      </c>
      <c r="C630" s="5">
        <v>5</v>
      </c>
    </row>
    <row r="631" customHeight="1" spans="1:3">
      <c r="A631" s="18" t="s">
        <v>405</v>
      </c>
      <c r="C631" s="18">
        <v>1</v>
      </c>
    </row>
    <row r="632" customHeight="1" spans="1:3">
      <c r="A632" s="18" t="s">
        <v>405</v>
      </c>
      <c r="C632" s="18">
        <v>2</v>
      </c>
    </row>
    <row r="633" customHeight="1" spans="1:3">
      <c r="A633" s="18" t="s">
        <v>405</v>
      </c>
      <c r="C633" s="18">
        <v>3</v>
      </c>
    </row>
    <row r="634" customHeight="1" spans="1:3">
      <c r="A634" s="18" t="s">
        <v>405</v>
      </c>
      <c r="C634" s="18">
        <v>4</v>
      </c>
    </row>
    <row r="635" customHeight="1" spans="1:3">
      <c r="A635" s="18" t="s">
        <v>405</v>
      </c>
      <c r="C635" s="18">
        <v>5</v>
      </c>
    </row>
    <row r="636" customHeight="1" spans="1:3">
      <c r="A636" s="5" t="s">
        <v>406</v>
      </c>
      <c r="C636" s="5">
        <v>1</v>
      </c>
    </row>
    <row r="637" customHeight="1" spans="1:3">
      <c r="A637" s="5" t="s">
        <v>406</v>
      </c>
      <c r="C637" s="5">
        <v>2</v>
      </c>
    </row>
    <row r="638" customHeight="1" spans="1:3">
      <c r="A638" s="5" t="s">
        <v>406</v>
      </c>
      <c r="C638" s="5">
        <v>3</v>
      </c>
    </row>
    <row r="639" customHeight="1" spans="1:3">
      <c r="A639" s="5" t="s">
        <v>406</v>
      </c>
      <c r="C639" s="5">
        <v>4</v>
      </c>
    </row>
    <row r="640" customHeight="1" spans="1:3">
      <c r="A640" s="5" t="s">
        <v>406</v>
      </c>
      <c r="C640" s="5">
        <v>5</v>
      </c>
    </row>
    <row r="641" customHeight="1" spans="1:3">
      <c r="A641" s="18" t="s">
        <v>406</v>
      </c>
      <c r="C641" s="18">
        <v>1</v>
      </c>
    </row>
    <row r="642" customHeight="1" spans="1:3">
      <c r="A642" s="18" t="s">
        <v>406</v>
      </c>
      <c r="C642" s="18">
        <v>2</v>
      </c>
    </row>
    <row r="643" customHeight="1" spans="1:3">
      <c r="A643" s="18" t="s">
        <v>406</v>
      </c>
      <c r="C643" s="18">
        <v>3</v>
      </c>
    </row>
    <row r="644" customHeight="1" spans="1:3">
      <c r="A644" s="18" t="s">
        <v>406</v>
      </c>
      <c r="C644" s="18">
        <v>4</v>
      </c>
    </row>
    <row r="645" customHeight="1" spans="1:3">
      <c r="A645" s="18" t="s">
        <v>406</v>
      </c>
      <c r="C645" s="18">
        <v>5</v>
      </c>
    </row>
    <row r="646" customHeight="1" spans="1:3">
      <c r="A646" s="5" t="s">
        <v>407</v>
      </c>
      <c r="C646" s="5">
        <v>1</v>
      </c>
    </row>
    <row r="647" customHeight="1" spans="1:3">
      <c r="A647" s="5" t="s">
        <v>407</v>
      </c>
      <c r="C647" s="5">
        <v>2</v>
      </c>
    </row>
    <row r="648" customHeight="1" spans="1:3">
      <c r="A648" s="5" t="s">
        <v>407</v>
      </c>
      <c r="C648" s="5">
        <v>3</v>
      </c>
    </row>
    <row r="649" customHeight="1" spans="1:3">
      <c r="A649" s="5" t="s">
        <v>407</v>
      </c>
      <c r="C649" s="5">
        <v>4</v>
      </c>
    </row>
    <row r="650" customHeight="1" spans="1:3">
      <c r="A650" s="5" t="s">
        <v>407</v>
      </c>
      <c r="C650" s="5">
        <v>5</v>
      </c>
    </row>
    <row r="651" customHeight="1" spans="1:3">
      <c r="A651" s="5" t="s">
        <v>407</v>
      </c>
      <c r="C651" s="5">
        <v>6</v>
      </c>
    </row>
    <row r="652" customHeight="1" spans="1:3">
      <c r="A652" s="5" t="s">
        <v>407</v>
      </c>
      <c r="C652" s="5">
        <v>7</v>
      </c>
    </row>
    <row r="653" customHeight="1" spans="1:3">
      <c r="A653" s="5" t="s">
        <v>407</v>
      </c>
      <c r="C653" s="5">
        <v>8</v>
      </c>
    </row>
    <row r="654" customHeight="1" spans="1:3">
      <c r="A654" s="18" t="s">
        <v>409</v>
      </c>
      <c r="C654" s="18">
        <v>1</v>
      </c>
    </row>
    <row r="655" customHeight="1" spans="1:3">
      <c r="A655" s="18" t="s">
        <v>409</v>
      </c>
      <c r="C655" s="18">
        <v>2</v>
      </c>
    </row>
    <row r="656" customHeight="1" spans="1:3">
      <c r="A656" s="18" t="s">
        <v>409</v>
      </c>
      <c r="C656" s="18">
        <v>3</v>
      </c>
    </row>
    <row r="657" customHeight="1" spans="1:3">
      <c r="A657" s="18" t="s">
        <v>409</v>
      </c>
      <c r="C657" s="18">
        <v>4</v>
      </c>
    </row>
    <row r="658" customHeight="1" spans="1:3">
      <c r="A658" s="18" t="s">
        <v>409</v>
      </c>
      <c r="C658" s="18">
        <v>5</v>
      </c>
    </row>
    <row r="659" customHeight="1" spans="1:3">
      <c r="A659" s="5" t="s">
        <v>410</v>
      </c>
      <c r="C659" s="5">
        <v>1</v>
      </c>
    </row>
    <row r="660" customHeight="1" spans="1:3">
      <c r="A660" s="5" t="s">
        <v>410</v>
      </c>
      <c r="C660" s="5">
        <v>2</v>
      </c>
    </row>
    <row r="661" customHeight="1" spans="1:3">
      <c r="A661" s="5" t="s">
        <v>410</v>
      </c>
      <c r="C661" s="5">
        <v>3</v>
      </c>
    </row>
    <row r="662" customHeight="1" spans="1:3">
      <c r="A662" s="5" t="s">
        <v>410</v>
      </c>
      <c r="C662" s="5">
        <v>4</v>
      </c>
    </row>
    <row r="663" customHeight="1" spans="1:3">
      <c r="A663" s="5" t="s">
        <v>410</v>
      </c>
      <c r="C663" s="5">
        <v>5</v>
      </c>
    </row>
    <row r="664" customHeight="1" spans="1:3">
      <c r="A664" s="18" t="s">
        <v>411</v>
      </c>
      <c r="C664" s="18">
        <v>1</v>
      </c>
    </row>
    <row r="665" customHeight="1" spans="1:3">
      <c r="A665" s="18" t="s">
        <v>411</v>
      </c>
      <c r="C665" s="18">
        <v>2</v>
      </c>
    </row>
    <row r="666" customHeight="1" spans="1:3">
      <c r="A666" s="18" t="s">
        <v>411</v>
      </c>
      <c r="C666" s="18">
        <v>3</v>
      </c>
    </row>
    <row r="667" customHeight="1" spans="1:3">
      <c r="A667" s="18" t="s">
        <v>411</v>
      </c>
      <c r="C667" s="18">
        <v>4</v>
      </c>
    </row>
    <row r="668" customHeight="1" spans="1:3">
      <c r="A668" s="18" t="s">
        <v>411</v>
      </c>
      <c r="C668" s="18">
        <v>5</v>
      </c>
    </row>
    <row r="669" customHeight="1" spans="1:3">
      <c r="A669" s="5" t="s">
        <v>411</v>
      </c>
      <c r="C669" s="5">
        <v>1</v>
      </c>
    </row>
    <row r="670" customHeight="1" spans="1:3">
      <c r="A670" s="5" t="s">
        <v>411</v>
      </c>
      <c r="C670" s="5">
        <v>2</v>
      </c>
    </row>
    <row r="671" customHeight="1" spans="1:3">
      <c r="A671" s="5" t="s">
        <v>411</v>
      </c>
      <c r="C671" s="5">
        <v>3</v>
      </c>
    </row>
    <row r="672" customHeight="1" spans="1:3">
      <c r="A672" s="5" t="s">
        <v>411</v>
      </c>
      <c r="C672" s="5">
        <v>4</v>
      </c>
    </row>
    <row r="673" customHeight="1" spans="1:3">
      <c r="A673" s="5" t="s">
        <v>411</v>
      </c>
      <c r="C673" s="5">
        <v>5</v>
      </c>
    </row>
    <row r="674" customHeight="1" spans="1:3">
      <c r="A674" s="18" t="s">
        <v>412</v>
      </c>
      <c r="C674" s="18">
        <v>1</v>
      </c>
    </row>
    <row r="675" customHeight="1" spans="1:3">
      <c r="A675" s="18" t="s">
        <v>412</v>
      </c>
      <c r="C675" s="18">
        <v>2</v>
      </c>
    </row>
    <row r="676" customHeight="1" spans="1:3">
      <c r="A676" s="18" t="s">
        <v>412</v>
      </c>
      <c r="C676" s="18">
        <v>3</v>
      </c>
    </row>
    <row r="677" customHeight="1" spans="1:3">
      <c r="A677" s="18" t="s">
        <v>412</v>
      </c>
      <c r="C677" s="18">
        <v>4</v>
      </c>
    </row>
    <row r="678" customHeight="1" spans="1:3">
      <c r="A678" s="18" t="s">
        <v>412</v>
      </c>
      <c r="C678" s="18">
        <v>5</v>
      </c>
    </row>
    <row r="679" customHeight="1" spans="1:3">
      <c r="A679" s="18" t="s">
        <v>412</v>
      </c>
      <c r="C679" s="18">
        <v>6</v>
      </c>
    </row>
    <row r="680" customHeight="1" spans="1:3">
      <c r="A680" s="18" t="s">
        <v>412</v>
      </c>
      <c r="C680" s="18">
        <v>7</v>
      </c>
    </row>
    <row r="681" customHeight="1" spans="1:3">
      <c r="A681" s="18" t="s">
        <v>412</v>
      </c>
      <c r="C681" s="18">
        <v>8</v>
      </c>
    </row>
    <row r="682" customHeight="1" spans="1:3">
      <c r="A682" s="5" t="s">
        <v>414</v>
      </c>
      <c r="C682" s="5">
        <v>1</v>
      </c>
    </row>
    <row r="683" customHeight="1" spans="1:3">
      <c r="A683" s="5" t="s">
        <v>414</v>
      </c>
      <c r="C683" s="5">
        <v>2</v>
      </c>
    </row>
    <row r="684" customHeight="1" spans="1:3">
      <c r="A684" s="5" t="s">
        <v>414</v>
      </c>
      <c r="C684" s="5">
        <v>3</v>
      </c>
    </row>
    <row r="685" customHeight="1" spans="1:3">
      <c r="A685" s="5" t="s">
        <v>414</v>
      </c>
      <c r="C685" s="5">
        <v>4</v>
      </c>
    </row>
    <row r="686" customHeight="1" spans="1:3">
      <c r="A686" s="5" t="s">
        <v>414</v>
      </c>
      <c r="C686" s="5">
        <v>5</v>
      </c>
    </row>
    <row r="687" customHeight="1" spans="1:3">
      <c r="A687" s="18" t="s">
        <v>415</v>
      </c>
      <c r="C687" s="18">
        <v>1</v>
      </c>
    </row>
    <row r="688" customHeight="1" spans="1:3">
      <c r="A688" s="18" t="s">
        <v>415</v>
      </c>
      <c r="C688" s="18">
        <v>2</v>
      </c>
    </row>
    <row r="689" customHeight="1" spans="1:3">
      <c r="A689" s="18" t="s">
        <v>415</v>
      </c>
      <c r="C689" s="18">
        <v>3</v>
      </c>
    </row>
    <row r="690" customHeight="1" spans="1:3">
      <c r="A690" s="18" t="s">
        <v>415</v>
      </c>
      <c r="C690" s="18">
        <v>4</v>
      </c>
    </row>
    <row r="691" customHeight="1" spans="1:3">
      <c r="A691" s="18" t="s">
        <v>415</v>
      </c>
      <c r="C691" s="18">
        <v>5</v>
      </c>
    </row>
    <row r="692" customHeight="1" spans="1:3">
      <c r="A692" s="5" t="s">
        <v>416</v>
      </c>
      <c r="C692" s="5">
        <v>1</v>
      </c>
    </row>
    <row r="693" customHeight="1" spans="1:3">
      <c r="A693" s="5" t="s">
        <v>416</v>
      </c>
      <c r="C693" s="5">
        <v>2</v>
      </c>
    </row>
    <row r="694" customHeight="1" spans="1:3">
      <c r="A694" s="5" t="s">
        <v>416</v>
      </c>
      <c r="C694" s="5">
        <v>3</v>
      </c>
    </row>
    <row r="695" customHeight="1" spans="1:3">
      <c r="A695" s="5" t="s">
        <v>416</v>
      </c>
      <c r="C695" s="5">
        <v>4</v>
      </c>
    </row>
    <row r="696" customHeight="1" spans="1:3">
      <c r="A696" s="5" t="s">
        <v>416</v>
      </c>
      <c r="C696" s="5">
        <v>5</v>
      </c>
    </row>
    <row r="697" customHeight="1" spans="1:3">
      <c r="A697" s="18" t="s">
        <v>416</v>
      </c>
      <c r="C697" s="18">
        <v>1</v>
      </c>
    </row>
    <row r="698" customHeight="1" spans="1:3">
      <c r="A698" s="18" t="s">
        <v>416</v>
      </c>
      <c r="C698" s="18">
        <v>2</v>
      </c>
    </row>
    <row r="699" customHeight="1" spans="1:3">
      <c r="A699" s="18" t="s">
        <v>416</v>
      </c>
      <c r="C699" s="18">
        <v>3</v>
      </c>
    </row>
    <row r="700" customHeight="1" spans="1:3">
      <c r="A700" s="18" t="s">
        <v>416</v>
      </c>
      <c r="C700" s="18">
        <v>4</v>
      </c>
    </row>
    <row r="701" customHeight="1" spans="1:3">
      <c r="A701" s="18" t="s">
        <v>416</v>
      </c>
      <c r="C701" s="18">
        <v>5</v>
      </c>
    </row>
    <row r="702" customHeight="1" spans="1:3">
      <c r="A702" s="5" t="s">
        <v>417</v>
      </c>
      <c r="C702" s="5">
        <v>1</v>
      </c>
    </row>
    <row r="703" customHeight="1" spans="1:3">
      <c r="A703" s="5" t="s">
        <v>417</v>
      </c>
      <c r="C703" s="5">
        <v>2</v>
      </c>
    </row>
    <row r="704" customHeight="1" spans="1:3">
      <c r="A704" s="5" t="s">
        <v>417</v>
      </c>
      <c r="C704" s="5">
        <v>3</v>
      </c>
    </row>
    <row r="705" customHeight="1" spans="1:3">
      <c r="A705" s="5" t="s">
        <v>417</v>
      </c>
      <c r="C705" s="5">
        <v>4</v>
      </c>
    </row>
    <row r="706" customHeight="1" spans="1:3">
      <c r="A706" s="5" t="s">
        <v>417</v>
      </c>
      <c r="C706" s="5">
        <v>5</v>
      </c>
    </row>
    <row r="707" customHeight="1" spans="1:3">
      <c r="A707" s="5" t="s">
        <v>417</v>
      </c>
      <c r="C707" s="5">
        <v>6</v>
      </c>
    </row>
    <row r="708" customHeight="1" spans="1:3">
      <c r="A708" s="5" t="s">
        <v>417</v>
      </c>
      <c r="C708" s="5">
        <v>7</v>
      </c>
    </row>
    <row r="709" customHeight="1" spans="1:3">
      <c r="A709" s="5" t="s">
        <v>417</v>
      </c>
      <c r="C709" s="5">
        <v>8</v>
      </c>
    </row>
    <row r="710" customHeight="1" spans="1:3">
      <c r="A710" s="18" t="s">
        <v>419</v>
      </c>
      <c r="C710" s="18">
        <v>1</v>
      </c>
    </row>
    <row r="711" customHeight="1" spans="1:3">
      <c r="A711" s="18" t="s">
        <v>419</v>
      </c>
      <c r="C711" s="18">
        <v>2</v>
      </c>
    </row>
    <row r="712" customHeight="1" spans="1:3">
      <c r="A712" s="18" t="s">
        <v>419</v>
      </c>
      <c r="C712" s="18">
        <v>3</v>
      </c>
    </row>
    <row r="713" customHeight="1" spans="1:3">
      <c r="A713" s="18" t="s">
        <v>419</v>
      </c>
      <c r="C713" s="18">
        <v>4</v>
      </c>
    </row>
    <row r="714" customHeight="1" spans="1:3">
      <c r="A714" s="18" t="s">
        <v>419</v>
      </c>
      <c r="C714" s="18">
        <v>5</v>
      </c>
    </row>
    <row r="715" customHeight="1" spans="1:3">
      <c r="A715" s="5" t="s">
        <v>420</v>
      </c>
      <c r="C715" s="5">
        <v>1</v>
      </c>
    </row>
    <row r="716" customHeight="1" spans="1:3">
      <c r="A716" s="5" t="s">
        <v>420</v>
      </c>
      <c r="C716" s="5">
        <v>2</v>
      </c>
    </row>
    <row r="717" customHeight="1" spans="1:3">
      <c r="A717" s="5" t="s">
        <v>420</v>
      </c>
      <c r="C717" s="5">
        <v>3</v>
      </c>
    </row>
    <row r="718" customHeight="1" spans="1:3">
      <c r="A718" s="5" t="s">
        <v>420</v>
      </c>
      <c r="C718" s="5">
        <v>4</v>
      </c>
    </row>
    <row r="719" customHeight="1" spans="1:3">
      <c r="A719" s="5" t="s">
        <v>420</v>
      </c>
      <c r="C719" s="5">
        <v>5</v>
      </c>
    </row>
    <row r="720" customHeight="1" spans="1:3">
      <c r="A720" s="18" t="s">
        <v>421</v>
      </c>
      <c r="C720" s="18">
        <v>1</v>
      </c>
    </row>
    <row r="721" customHeight="1" spans="1:3">
      <c r="A721" s="18" t="s">
        <v>421</v>
      </c>
      <c r="C721" s="18">
        <v>2</v>
      </c>
    </row>
    <row r="722" customHeight="1" spans="1:3">
      <c r="A722" s="18" t="s">
        <v>421</v>
      </c>
      <c r="C722" s="18">
        <v>3</v>
      </c>
    </row>
    <row r="723" customHeight="1" spans="1:3">
      <c r="A723" s="18" t="s">
        <v>421</v>
      </c>
      <c r="C723" s="18">
        <v>4</v>
      </c>
    </row>
    <row r="724" customHeight="1" spans="1:3">
      <c r="A724" s="18" t="s">
        <v>421</v>
      </c>
      <c r="C724" s="18">
        <v>5</v>
      </c>
    </row>
    <row r="725" customHeight="1" spans="1:3">
      <c r="A725" s="5" t="s">
        <v>421</v>
      </c>
      <c r="C725" s="5">
        <v>1</v>
      </c>
    </row>
    <row r="726" customHeight="1" spans="1:3">
      <c r="A726" s="5" t="s">
        <v>421</v>
      </c>
      <c r="C726" s="5">
        <v>2</v>
      </c>
    </row>
    <row r="727" customHeight="1" spans="1:3">
      <c r="A727" s="5" t="s">
        <v>421</v>
      </c>
      <c r="C727" s="5">
        <v>3</v>
      </c>
    </row>
    <row r="728" customHeight="1" spans="1:3">
      <c r="A728" s="5" t="s">
        <v>421</v>
      </c>
      <c r="C728" s="5">
        <v>4</v>
      </c>
    </row>
    <row r="729" customHeight="1" spans="1:3">
      <c r="A729" s="5" t="s">
        <v>421</v>
      </c>
      <c r="C729" s="5">
        <v>5</v>
      </c>
    </row>
    <row r="730" customHeight="1" spans="1:3">
      <c r="A730" s="18" t="s">
        <v>422</v>
      </c>
      <c r="C730" s="18">
        <v>1</v>
      </c>
    </row>
    <row r="731" customHeight="1" spans="1:3">
      <c r="A731" s="18" t="s">
        <v>422</v>
      </c>
      <c r="C731" s="18">
        <v>2</v>
      </c>
    </row>
    <row r="732" customHeight="1" spans="1:3">
      <c r="A732" s="18" t="s">
        <v>422</v>
      </c>
      <c r="C732" s="18">
        <v>3</v>
      </c>
    </row>
    <row r="733" customHeight="1" spans="1:3">
      <c r="A733" s="18" t="s">
        <v>422</v>
      </c>
      <c r="C733" s="18">
        <v>4</v>
      </c>
    </row>
    <row r="734" customHeight="1" spans="1:3">
      <c r="A734" s="18" t="s">
        <v>422</v>
      </c>
      <c r="C734" s="18">
        <v>5</v>
      </c>
    </row>
    <row r="735" customHeight="1" spans="1:3">
      <c r="A735" s="18" t="s">
        <v>422</v>
      </c>
      <c r="C735" s="18">
        <v>6</v>
      </c>
    </row>
    <row r="736" customHeight="1" spans="1:3">
      <c r="A736" s="18" t="s">
        <v>422</v>
      </c>
      <c r="C736" s="18">
        <v>7</v>
      </c>
    </row>
    <row r="737" customHeight="1" spans="1:3">
      <c r="A737" s="18" t="s">
        <v>422</v>
      </c>
      <c r="C737" s="18">
        <v>8</v>
      </c>
    </row>
    <row r="738" customHeight="1" spans="1:3">
      <c r="A738" s="5" t="s">
        <v>424</v>
      </c>
      <c r="C738" s="5">
        <v>1</v>
      </c>
    </row>
    <row r="739" customHeight="1" spans="1:3">
      <c r="A739" s="5" t="s">
        <v>424</v>
      </c>
      <c r="C739" s="5">
        <v>2</v>
      </c>
    </row>
    <row r="740" customHeight="1" spans="1:3">
      <c r="A740" s="5" t="s">
        <v>424</v>
      </c>
      <c r="C740" s="5">
        <v>3</v>
      </c>
    </row>
    <row r="741" customHeight="1" spans="1:3">
      <c r="A741" s="5" t="s">
        <v>424</v>
      </c>
      <c r="C741" s="5">
        <v>4</v>
      </c>
    </row>
    <row r="742" customHeight="1" spans="1:3">
      <c r="A742" s="5" t="s">
        <v>424</v>
      </c>
      <c r="C742" s="5">
        <v>5</v>
      </c>
    </row>
    <row r="743" customHeight="1" spans="1:3">
      <c r="A743" s="18" t="s">
        <v>425</v>
      </c>
      <c r="C743" s="18">
        <v>1</v>
      </c>
    </row>
    <row r="744" customHeight="1" spans="1:3">
      <c r="A744" s="18" t="s">
        <v>425</v>
      </c>
      <c r="C744" s="18">
        <v>2</v>
      </c>
    </row>
    <row r="745" customHeight="1" spans="1:3">
      <c r="A745" s="18" t="s">
        <v>425</v>
      </c>
      <c r="C745" s="18">
        <v>3</v>
      </c>
    </row>
    <row r="746" customHeight="1" spans="1:3">
      <c r="A746" s="18" t="s">
        <v>425</v>
      </c>
      <c r="C746" s="18">
        <v>4</v>
      </c>
    </row>
    <row r="747" customHeight="1" spans="1:3">
      <c r="A747" s="18" t="s">
        <v>425</v>
      </c>
      <c r="C747" s="18">
        <v>5</v>
      </c>
    </row>
    <row r="748" customHeight="1" spans="1:3">
      <c r="A748" s="5" t="s">
        <v>426</v>
      </c>
      <c r="C748" s="5">
        <v>1</v>
      </c>
    </row>
    <row r="749" customHeight="1" spans="1:3">
      <c r="A749" s="5" t="s">
        <v>426</v>
      </c>
      <c r="C749" s="5">
        <v>2</v>
      </c>
    </row>
    <row r="750" customHeight="1" spans="1:3">
      <c r="A750" s="5" t="s">
        <v>426</v>
      </c>
      <c r="C750" s="5">
        <v>3</v>
      </c>
    </row>
    <row r="751" customHeight="1" spans="1:3">
      <c r="A751" s="5" t="s">
        <v>426</v>
      </c>
      <c r="C751" s="5">
        <v>4</v>
      </c>
    </row>
    <row r="752" customHeight="1" spans="1:3">
      <c r="A752" s="5" t="s">
        <v>426</v>
      </c>
      <c r="C752" s="5">
        <v>5</v>
      </c>
    </row>
    <row r="753" customHeight="1" spans="1:3">
      <c r="A753" s="18" t="s">
        <v>426</v>
      </c>
      <c r="C753" s="18">
        <v>1</v>
      </c>
    </row>
    <row r="754" customHeight="1" spans="1:3">
      <c r="A754" s="18" t="s">
        <v>426</v>
      </c>
      <c r="C754" s="18">
        <v>2</v>
      </c>
    </row>
    <row r="755" customHeight="1" spans="1:3">
      <c r="A755" s="18" t="s">
        <v>426</v>
      </c>
      <c r="C755" s="18">
        <v>3</v>
      </c>
    </row>
    <row r="756" customHeight="1" spans="1:3">
      <c r="A756" s="18" t="s">
        <v>426</v>
      </c>
      <c r="C756" s="18">
        <v>4</v>
      </c>
    </row>
    <row r="757" customHeight="1" spans="1:3">
      <c r="A757" s="18" t="s">
        <v>426</v>
      </c>
      <c r="C757" s="18">
        <v>5</v>
      </c>
    </row>
    <row r="758" customHeight="1" spans="1:3">
      <c r="A758" s="5" t="s">
        <v>427</v>
      </c>
      <c r="C758" s="5">
        <v>1</v>
      </c>
    </row>
    <row r="759" customHeight="1" spans="1:3">
      <c r="A759" s="5" t="s">
        <v>427</v>
      </c>
      <c r="C759" s="5">
        <v>2</v>
      </c>
    </row>
    <row r="760" customHeight="1" spans="1:3">
      <c r="A760" s="5" t="s">
        <v>427</v>
      </c>
      <c r="C760" s="5">
        <v>3</v>
      </c>
    </row>
    <row r="761" customHeight="1" spans="1:3">
      <c r="A761" s="5" t="s">
        <v>427</v>
      </c>
      <c r="C761" s="5">
        <v>4</v>
      </c>
    </row>
    <row r="762" customHeight="1" spans="1:3">
      <c r="A762" s="5" t="s">
        <v>427</v>
      </c>
      <c r="C762" s="5">
        <v>5</v>
      </c>
    </row>
    <row r="763" customHeight="1" spans="1:3">
      <c r="A763" s="5" t="s">
        <v>427</v>
      </c>
      <c r="C763" s="5">
        <v>6</v>
      </c>
    </row>
    <row r="764" customHeight="1" spans="1:3">
      <c r="A764" s="5" t="s">
        <v>427</v>
      </c>
      <c r="C764" s="5">
        <v>7</v>
      </c>
    </row>
    <row r="765" customHeight="1" spans="1:3">
      <c r="A765" s="5" t="s">
        <v>427</v>
      </c>
      <c r="C765" s="5">
        <v>8</v>
      </c>
    </row>
    <row r="766" customHeight="1" spans="1:3">
      <c r="A766" s="18" t="s">
        <v>429</v>
      </c>
      <c r="C766" s="18">
        <v>1</v>
      </c>
    </row>
    <row r="767" customHeight="1" spans="1:3">
      <c r="A767" s="18" t="s">
        <v>429</v>
      </c>
      <c r="C767" s="18">
        <v>2</v>
      </c>
    </row>
    <row r="768" customHeight="1" spans="1:3">
      <c r="A768" s="18" t="s">
        <v>429</v>
      </c>
      <c r="C768" s="18">
        <v>3</v>
      </c>
    </row>
    <row r="769" customHeight="1" spans="1:3">
      <c r="A769" s="18" t="s">
        <v>429</v>
      </c>
      <c r="C769" s="18">
        <v>4</v>
      </c>
    </row>
    <row r="770" customHeight="1" spans="1:3">
      <c r="A770" s="18" t="s">
        <v>429</v>
      </c>
      <c r="C770" s="18">
        <v>5</v>
      </c>
    </row>
    <row r="771" customHeight="1" spans="1:3">
      <c r="A771" s="5" t="s">
        <v>430</v>
      </c>
      <c r="C771" s="5">
        <v>1</v>
      </c>
    </row>
    <row r="772" customHeight="1" spans="1:3">
      <c r="A772" s="5" t="s">
        <v>430</v>
      </c>
      <c r="C772" s="5">
        <v>2</v>
      </c>
    </row>
    <row r="773" customHeight="1" spans="1:3">
      <c r="A773" s="5" t="s">
        <v>430</v>
      </c>
      <c r="C773" s="5">
        <v>3</v>
      </c>
    </row>
    <row r="774" customHeight="1" spans="1:3">
      <c r="A774" s="5" t="s">
        <v>430</v>
      </c>
      <c r="C774" s="5">
        <v>4</v>
      </c>
    </row>
    <row r="775" customHeight="1" spans="1:3">
      <c r="A775" s="5" t="s">
        <v>430</v>
      </c>
      <c r="C775" s="5">
        <v>5</v>
      </c>
    </row>
    <row r="776" customHeight="1" spans="1:3">
      <c r="A776" s="18" t="s">
        <v>431</v>
      </c>
      <c r="C776" s="18">
        <v>1</v>
      </c>
    </row>
    <row r="777" customHeight="1" spans="1:3">
      <c r="A777" s="18" t="s">
        <v>431</v>
      </c>
      <c r="C777" s="18">
        <v>2</v>
      </c>
    </row>
    <row r="778" customHeight="1" spans="1:3">
      <c r="A778" s="18" t="s">
        <v>431</v>
      </c>
      <c r="C778" s="18">
        <v>3</v>
      </c>
    </row>
    <row r="779" customHeight="1" spans="1:3">
      <c r="A779" s="18" t="s">
        <v>431</v>
      </c>
      <c r="C779" s="18">
        <v>4</v>
      </c>
    </row>
    <row r="780" customHeight="1" spans="1:3">
      <c r="A780" s="18" t="s">
        <v>431</v>
      </c>
      <c r="C780" s="18">
        <v>5</v>
      </c>
    </row>
    <row r="781" customHeight="1" spans="1:3">
      <c r="A781" s="5" t="s">
        <v>431</v>
      </c>
      <c r="C781" s="5">
        <v>1</v>
      </c>
    </row>
    <row r="782" customHeight="1" spans="1:3">
      <c r="A782" s="5" t="s">
        <v>431</v>
      </c>
      <c r="C782" s="5">
        <v>2</v>
      </c>
    </row>
    <row r="783" customHeight="1" spans="1:3">
      <c r="A783" s="5" t="s">
        <v>431</v>
      </c>
      <c r="C783" s="5">
        <v>3</v>
      </c>
    </row>
    <row r="784" customHeight="1" spans="1:3">
      <c r="A784" s="5" t="s">
        <v>431</v>
      </c>
      <c r="C784" s="5">
        <v>4</v>
      </c>
    </row>
    <row r="785" customHeight="1" spans="1:3">
      <c r="A785" s="5" t="s">
        <v>431</v>
      </c>
      <c r="C785" s="5">
        <v>5</v>
      </c>
    </row>
    <row r="786" customHeight="1" spans="1:3">
      <c r="A786" s="18" t="s">
        <v>432</v>
      </c>
      <c r="C786" s="18">
        <v>1</v>
      </c>
    </row>
    <row r="787" customHeight="1" spans="1:3">
      <c r="A787" s="18" t="s">
        <v>432</v>
      </c>
      <c r="C787" s="18">
        <v>2</v>
      </c>
    </row>
    <row r="788" customHeight="1" spans="1:3">
      <c r="A788" s="18" t="s">
        <v>432</v>
      </c>
      <c r="C788" s="18">
        <v>3</v>
      </c>
    </row>
    <row r="789" customHeight="1" spans="1:3">
      <c r="A789" s="18" t="s">
        <v>432</v>
      </c>
      <c r="C789" s="18">
        <v>4</v>
      </c>
    </row>
    <row r="790" customHeight="1" spans="1:3">
      <c r="A790" s="18" t="s">
        <v>432</v>
      </c>
      <c r="C790" s="18">
        <v>5</v>
      </c>
    </row>
    <row r="791" customHeight="1" spans="1:3">
      <c r="A791" s="18" t="s">
        <v>432</v>
      </c>
      <c r="C791" s="18">
        <v>6</v>
      </c>
    </row>
    <row r="792" customHeight="1" spans="1:3">
      <c r="A792" s="18" t="s">
        <v>432</v>
      </c>
      <c r="C792" s="18">
        <v>7</v>
      </c>
    </row>
    <row r="793" customHeight="1" spans="1:3">
      <c r="A793" s="18" t="s">
        <v>432</v>
      </c>
      <c r="C793" s="18">
        <v>8</v>
      </c>
    </row>
    <row r="794" customHeight="1" spans="1:3">
      <c r="A794" s="5" t="s">
        <v>434</v>
      </c>
      <c r="C794" s="5">
        <v>1</v>
      </c>
    </row>
    <row r="795" customHeight="1" spans="1:3">
      <c r="A795" s="5" t="s">
        <v>434</v>
      </c>
      <c r="C795" s="5">
        <v>2</v>
      </c>
    </row>
    <row r="796" customHeight="1" spans="1:3">
      <c r="A796" s="5" t="s">
        <v>434</v>
      </c>
      <c r="C796" s="5">
        <v>3</v>
      </c>
    </row>
    <row r="797" customHeight="1" spans="1:3">
      <c r="A797" s="5" t="s">
        <v>434</v>
      </c>
      <c r="C797" s="5">
        <v>4</v>
      </c>
    </row>
    <row r="798" customHeight="1" spans="1:3">
      <c r="A798" s="5" t="s">
        <v>434</v>
      </c>
      <c r="C798" s="5">
        <v>5</v>
      </c>
    </row>
    <row r="799" customHeight="1" spans="1:3">
      <c r="A799" s="18" t="s">
        <v>435</v>
      </c>
      <c r="C799" s="18">
        <v>1</v>
      </c>
    </row>
    <row r="800" customHeight="1" spans="1:3">
      <c r="A800" s="18" t="s">
        <v>435</v>
      </c>
      <c r="C800" s="18">
        <v>2</v>
      </c>
    </row>
    <row r="801" customHeight="1" spans="1:3">
      <c r="A801" s="18" t="s">
        <v>435</v>
      </c>
      <c r="C801" s="18">
        <v>3</v>
      </c>
    </row>
    <row r="802" customHeight="1" spans="1:3">
      <c r="A802" s="18" t="s">
        <v>435</v>
      </c>
      <c r="C802" s="18">
        <v>4</v>
      </c>
    </row>
    <row r="803" customHeight="1" spans="1:3">
      <c r="A803" s="18" t="s">
        <v>435</v>
      </c>
      <c r="C803" s="18">
        <v>5</v>
      </c>
    </row>
    <row r="804" customHeight="1" spans="1:3">
      <c r="A804" s="5" t="s">
        <v>435</v>
      </c>
      <c r="C804" s="5">
        <v>1</v>
      </c>
    </row>
    <row r="805" customHeight="1" spans="1:3">
      <c r="A805" s="5" t="s">
        <v>435</v>
      </c>
      <c r="C805" s="5">
        <v>2</v>
      </c>
    </row>
    <row r="806" customHeight="1" spans="1:3">
      <c r="A806" s="5" t="s">
        <v>435</v>
      </c>
      <c r="C806" s="5">
        <v>3</v>
      </c>
    </row>
    <row r="807" customHeight="1" spans="1:3">
      <c r="A807" s="5" t="s">
        <v>435</v>
      </c>
      <c r="C807" s="5">
        <v>4</v>
      </c>
    </row>
    <row r="808" customHeight="1" spans="1:3">
      <c r="A808" s="5" t="s">
        <v>435</v>
      </c>
      <c r="C808" s="5">
        <v>5</v>
      </c>
    </row>
    <row r="809" customHeight="1" spans="1:3">
      <c r="A809" s="18" t="s">
        <v>436</v>
      </c>
      <c r="C809" s="18">
        <v>1</v>
      </c>
    </row>
    <row r="810" customHeight="1" spans="1:3">
      <c r="A810" s="18" t="s">
        <v>436</v>
      </c>
      <c r="C810" s="18">
        <v>2</v>
      </c>
    </row>
    <row r="811" customHeight="1" spans="1:3">
      <c r="A811" s="18" t="s">
        <v>436</v>
      </c>
      <c r="C811" s="18">
        <v>3</v>
      </c>
    </row>
    <row r="812" customHeight="1" spans="1:3">
      <c r="A812" s="18" t="s">
        <v>436</v>
      </c>
      <c r="C812" s="18">
        <v>4</v>
      </c>
    </row>
    <row r="813" customHeight="1" spans="1:3">
      <c r="A813" s="18" t="s">
        <v>436</v>
      </c>
      <c r="C813" s="18">
        <v>5</v>
      </c>
    </row>
    <row r="814" customHeight="1" spans="1:3">
      <c r="A814" s="18" t="s">
        <v>436</v>
      </c>
      <c r="C814" s="18">
        <v>6</v>
      </c>
    </row>
    <row r="815" customHeight="1" spans="1:3">
      <c r="A815" s="18" t="s">
        <v>436</v>
      </c>
      <c r="C815" s="18">
        <v>7</v>
      </c>
    </row>
    <row r="816" customHeight="1" spans="1:3">
      <c r="A816" s="18" t="s">
        <v>436</v>
      </c>
      <c r="C816" s="18">
        <v>8</v>
      </c>
    </row>
    <row r="817" customHeight="1" spans="1:3">
      <c r="A817" s="5" t="s">
        <v>438</v>
      </c>
      <c r="C817" s="5">
        <v>1</v>
      </c>
    </row>
    <row r="818" customHeight="1" spans="1:3">
      <c r="A818" s="5" t="s">
        <v>438</v>
      </c>
      <c r="C818" s="5">
        <v>2</v>
      </c>
    </row>
    <row r="819" customHeight="1" spans="1:3">
      <c r="A819" s="5" t="s">
        <v>438</v>
      </c>
      <c r="C819" s="5">
        <v>3</v>
      </c>
    </row>
    <row r="820" customHeight="1" spans="1:3">
      <c r="A820" s="5" t="s">
        <v>438</v>
      </c>
      <c r="C820" s="5">
        <v>4</v>
      </c>
    </row>
    <row r="821" customHeight="1" spans="1:3">
      <c r="A821" s="5" t="s">
        <v>438</v>
      </c>
      <c r="C821" s="5">
        <v>5</v>
      </c>
    </row>
    <row r="822" customHeight="1" spans="1:3">
      <c r="A822" s="18" t="s">
        <v>439</v>
      </c>
      <c r="C822" s="18">
        <v>1</v>
      </c>
    </row>
    <row r="823" customHeight="1" spans="1:3">
      <c r="A823" s="18" t="s">
        <v>439</v>
      </c>
      <c r="C823" s="18">
        <v>2</v>
      </c>
    </row>
    <row r="824" customHeight="1" spans="1:3">
      <c r="A824" s="18" t="s">
        <v>439</v>
      </c>
      <c r="C824" s="18">
        <v>3</v>
      </c>
    </row>
    <row r="825" customHeight="1" spans="1:3">
      <c r="A825" s="18" t="s">
        <v>439</v>
      </c>
      <c r="C825" s="18">
        <v>4</v>
      </c>
    </row>
    <row r="826" customHeight="1" spans="1:3">
      <c r="A826" s="18" t="s">
        <v>439</v>
      </c>
      <c r="C826" s="18">
        <v>5</v>
      </c>
    </row>
    <row r="827" customHeight="1" spans="1:3">
      <c r="A827" s="5" t="s">
        <v>439</v>
      </c>
      <c r="C827" s="5">
        <v>1</v>
      </c>
    </row>
    <row r="828" customHeight="1" spans="1:3">
      <c r="A828" s="5" t="s">
        <v>439</v>
      </c>
      <c r="C828" s="5">
        <v>2</v>
      </c>
    </row>
    <row r="829" customHeight="1" spans="1:3">
      <c r="A829" s="5" t="s">
        <v>439</v>
      </c>
      <c r="C829" s="5">
        <v>3</v>
      </c>
    </row>
    <row r="830" customHeight="1" spans="1:3">
      <c r="A830" s="5" t="s">
        <v>439</v>
      </c>
      <c r="C830" s="5">
        <v>4</v>
      </c>
    </row>
    <row r="831" customHeight="1" spans="1:3">
      <c r="A831" s="5" t="s">
        <v>439</v>
      </c>
      <c r="C831" s="5">
        <v>5</v>
      </c>
    </row>
    <row r="832" customHeight="1" spans="1:3">
      <c r="A832" s="18" t="s">
        <v>440</v>
      </c>
      <c r="C832" s="18">
        <v>1</v>
      </c>
    </row>
    <row r="833" customHeight="1" spans="1:3">
      <c r="A833" s="18" t="s">
        <v>440</v>
      </c>
      <c r="C833" s="18">
        <v>2</v>
      </c>
    </row>
    <row r="834" customHeight="1" spans="1:3">
      <c r="A834" s="18" t="s">
        <v>440</v>
      </c>
      <c r="C834" s="18">
        <v>3</v>
      </c>
    </row>
    <row r="835" customHeight="1" spans="1:3">
      <c r="A835" s="18" t="s">
        <v>440</v>
      </c>
      <c r="C835" s="18">
        <v>4</v>
      </c>
    </row>
    <row r="836" customHeight="1" spans="1:3">
      <c r="A836" s="18" t="s">
        <v>440</v>
      </c>
      <c r="C836" s="18">
        <v>5</v>
      </c>
    </row>
    <row r="837" customHeight="1" spans="1:3">
      <c r="A837" s="18" t="s">
        <v>440</v>
      </c>
      <c r="C837" s="18">
        <v>6</v>
      </c>
    </row>
    <row r="838" customHeight="1" spans="1:3">
      <c r="A838" s="18" t="s">
        <v>440</v>
      </c>
      <c r="C838" s="18">
        <v>7</v>
      </c>
    </row>
    <row r="839" customHeight="1" spans="1:3">
      <c r="A839" s="18" t="s">
        <v>440</v>
      </c>
      <c r="C839" s="18">
        <v>8</v>
      </c>
    </row>
    <row r="840" customHeight="1" spans="1:3">
      <c r="A840" s="5" t="s">
        <v>442</v>
      </c>
      <c r="C840" s="5">
        <v>1</v>
      </c>
    </row>
    <row r="841" customHeight="1" spans="1:3">
      <c r="A841" s="5" t="s">
        <v>442</v>
      </c>
      <c r="C841" s="5">
        <v>2</v>
      </c>
    </row>
    <row r="842" customHeight="1" spans="1:3">
      <c r="A842" s="5" t="s">
        <v>442</v>
      </c>
      <c r="C842" s="5">
        <v>3</v>
      </c>
    </row>
    <row r="843" customHeight="1" spans="1:3">
      <c r="A843" s="5" t="s">
        <v>442</v>
      </c>
      <c r="C843" s="5">
        <v>4</v>
      </c>
    </row>
    <row r="844" customHeight="1" spans="1:3">
      <c r="A844" s="5" t="s">
        <v>442</v>
      </c>
      <c r="C844" s="5">
        <v>5</v>
      </c>
    </row>
    <row r="845" customHeight="1" spans="1:3">
      <c r="A845" s="18" t="s">
        <v>443</v>
      </c>
      <c r="C845" s="18">
        <v>1</v>
      </c>
    </row>
    <row r="846" customHeight="1" spans="1:3">
      <c r="A846" s="18" t="s">
        <v>443</v>
      </c>
      <c r="C846" s="18">
        <v>2</v>
      </c>
    </row>
    <row r="847" customHeight="1" spans="1:3">
      <c r="A847" s="18" t="s">
        <v>443</v>
      </c>
      <c r="C847" s="18">
        <v>3</v>
      </c>
    </row>
    <row r="848" customHeight="1" spans="1:3">
      <c r="A848" s="18" t="s">
        <v>443</v>
      </c>
      <c r="C848" s="18">
        <v>4</v>
      </c>
    </row>
    <row r="849" customHeight="1" spans="1:3">
      <c r="A849" s="18" t="s">
        <v>443</v>
      </c>
      <c r="C849" s="18">
        <v>5</v>
      </c>
    </row>
    <row r="850" customHeight="1" spans="1:3">
      <c r="A850" s="5" t="s">
        <v>443</v>
      </c>
      <c r="C850" s="5">
        <v>1</v>
      </c>
    </row>
    <row r="851" customHeight="1" spans="1:3">
      <c r="A851" s="5" t="s">
        <v>443</v>
      </c>
      <c r="C851" s="5">
        <v>2</v>
      </c>
    </row>
    <row r="852" customHeight="1" spans="1:3">
      <c r="A852" s="5" t="s">
        <v>443</v>
      </c>
      <c r="C852" s="5">
        <v>3</v>
      </c>
    </row>
    <row r="853" customHeight="1" spans="1:3">
      <c r="A853" s="5" t="s">
        <v>443</v>
      </c>
      <c r="C853" s="5">
        <v>4</v>
      </c>
    </row>
    <row r="854" customHeight="1" spans="1:3">
      <c r="A854" s="5" t="s">
        <v>443</v>
      </c>
      <c r="C854" s="5">
        <v>5</v>
      </c>
    </row>
    <row r="855" customHeight="1" spans="1:3">
      <c r="A855" s="18" t="s">
        <v>444</v>
      </c>
      <c r="C855" s="18">
        <v>1</v>
      </c>
    </row>
    <row r="856" customHeight="1" spans="1:3">
      <c r="A856" s="18" t="s">
        <v>444</v>
      </c>
      <c r="C856" s="18">
        <v>2</v>
      </c>
    </row>
    <row r="857" customHeight="1" spans="1:3">
      <c r="A857" s="18" t="s">
        <v>444</v>
      </c>
      <c r="C857" s="18">
        <v>3</v>
      </c>
    </row>
    <row r="858" customHeight="1" spans="1:3">
      <c r="A858" s="18" t="s">
        <v>444</v>
      </c>
      <c r="C858" s="18">
        <v>4</v>
      </c>
    </row>
    <row r="859" customHeight="1" spans="1:3">
      <c r="A859" s="18" t="s">
        <v>444</v>
      </c>
      <c r="C859" s="18">
        <v>5</v>
      </c>
    </row>
    <row r="860" customHeight="1" spans="1:3">
      <c r="A860" s="18" t="s">
        <v>444</v>
      </c>
      <c r="C860" s="18">
        <v>6</v>
      </c>
    </row>
    <row r="861" customHeight="1" spans="1:3">
      <c r="A861" s="18" t="s">
        <v>444</v>
      </c>
      <c r="C861" s="18">
        <v>7</v>
      </c>
    </row>
    <row r="862" customHeight="1" spans="1:3">
      <c r="A862" s="18" t="s">
        <v>444</v>
      </c>
      <c r="C862" s="18">
        <v>8</v>
      </c>
    </row>
    <row r="863" customHeight="1" spans="1:3">
      <c r="A863" s="5" t="s">
        <v>446</v>
      </c>
      <c r="C863" s="5">
        <v>1</v>
      </c>
    </row>
    <row r="864" customHeight="1" spans="1:3">
      <c r="A864" s="5" t="s">
        <v>446</v>
      </c>
      <c r="C864" s="5">
        <v>2</v>
      </c>
    </row>
    <row r="865" customHeight="1" spans="1:3">
      <c r="A865" s="5" t="s">
        <v>446</v>
      </c>
      <c r="C865" s="5">
        <v>3</v>
      </c>
    </row>
    <row r="866" customHeight="1" spans="1:3">
      <c r="A866" s="5" t="s">
        <v>446</v>
      </c>
      <c r="C866" s="5">
        <v>4</v>
      </c>
    </row>
    <row r="867" customHeight="1" spans="1:3">
      <c r="A867" s="5" t="s">
        <v>446</v>
      </c>
      <c r="C867" s="5">
        <v>5</v>
      </c>
    </row>
    <row r="868" customHeight="1" spans="1:3">
      <c r="A868" s="18" t="s">
        <v>447</v>
      </c>
      <c r="C868" s="18">
        <v>1</v>
      </c>
    </row>
    <row r="869" customHeight="1" spans="1:3">
      <c r="A869" s="18" t="s">
        <v>447</v>
      </c>
      <c r="C869" s="18">
        <v>2</v>
      </c>
    </row>
    <row r="870" customHeight="1" spans="1:3">
      <c r="A870" s="18" t="s">
        <v>447</v>
      </c>
      <c r="C870" s="18">
        <v>3</v>
      </c>
    </row>
    <row r="871" customHeight="1" spans="1:3">
      <c r="A871" s="18" t="s">
        <v>447</v>
      </c>
      <c r="C871" s="18">
        <v>4</v>
      </c>
    </row>
    <row r="872" customHeight="1" spans="1:3">
      <c r="A872" s="18" t="s">
        <v>447</v>
      </c>
      <c r="C872" s="18">
        <v>5</v>
      </c>
    </row>
    <row r="873" customHeight="1" spans="1:3">
      <c r="A873" s="5" t="s">
        <v>447</v>
      </c>
      <c r="C873" s="5">
        <v>1</v>
      </c>
    </row>
    <row r="874" customHeight="1" spans="1:3">
      <c r="A874" s="5" t="s">
        <v>447</v>
      </c>
      <c r="C874" s="5">
        <v>2</v>
      </c>
    </row>
    <row r="875" customHeight="1" spans="1:3">
      <c r="A875" s="5" t="s">
        <v>447</v>
      </c>
      <c r="C875" s="5">
        <v>3</v>
      </c>
    </row>
    <row r="876" customHeight="1" spans="1:3">
      <c r="A876" s="5" t="s">
        <v>447</v>
      </c>
      <c r="C876" s="5">
        <v>4</v>
      </c>
    </row>
    <row r="877" customHeight="1" spans="1:3">
      <c r="A877" s="5" t="s">
        <v>447</v>
      </c>
      <c r="C877" s="5">
        <v>5</v>
      </c>
    </row>
    <row r="878" customHeight="1" spans="1:3">
      <c r="A878" s="18" t="s">
        <v>448</v>
      </c>
      <c r="C878" s="18">
        <v>1</v>
      </c>
    </row>
    <row r="879" customHeight="1" spans="1:3">
      <c r="A879" s="18" t="s">
        <v>448</v>
      </c>
      <c r="C879" s="18">
        <v>2</v>
      </c>
    </row>
    <row r="880" customHeight="1" spans="1:3">
      <c r="A880" s="18" t="s">
        <v>448</v>
      </c>
      <c r="C880" s="18">
        <v>3</v>
      </c>
    </row>
    <row r="881" customHeight="1" spans="1:3">
      <c r="A881" s="18" t="s">
        <v>448</v>
      </c>
      <c r="C881" s="18">
        <v>4</v>
      </c>
    </row>
    <row r="882" customHeight="1" spans="1:3">
      <c r="A882" s="18" t="s">
        <v>448</v>
      </c>
      <c r="C882" s="18">
        <v>5</v>
      </c>
    </row>
    <row r="883" customHeight="1" spans="1:3">
      <c r="A883" s="18" t="s">
        <v>448</v>
      </c>
      <c r="C883" s="18">
        <v>6</v>
      </c>
    </row>
    <row r="884" customHeight="1" spans="1:3">
      <c r="A884" s="18" t="s">
        <v>448</v>
      </c>
      <c r="C884" s="18">
        <v>7</v>
      </c>
    </row>
    <row r="885" customHeight="1" spans="1:3">
      <c r="A885" s="18" t="s">
        <v>448</v>
      </c>
      <c r="C885" s="18">
        <v>8</v>
      </c>
    </row>
    <row r="886" customHeight="1" spans="1:3">
      <c r="A886" s="5" t="s">
        <v>450</v>
      </c>
      <c r="C886" s="5">
        <v>1</v>
      </c>
    </row>
    <row r="887" customHeight="1" spans="1:3">
      <c r="A887" s="5" t="s">
        <v>450</v>
      </c>
      <c r="C887" s="5">
        <v>2</v>
      </c>
    </row>
    <row r="888" customHeight="1" spans="1:3">
      <c r="A888" s="5" t="s">
        <v>450</v>
      </c>
      <c r="C888" s="5">
        <v>3</v>
      </c>
    </row>
    <row r="889" customHeight="1" spans="1:3">
      <c r="A889" s="5" t="s">
        <v>450</v>
      </c>
      <c r="C889" s="5">
        <v>4</v>
      </c>
    </row>
    <row r="890" customHeight="1" spans="1:3">
      <c r="A890" s="5" t="s">
        <v>450</v>
      </c>
      <c r="C890" s="5">
        <v>5</v>
      </c>
    </row>
    <row r="891" customHeight="1" spans="1:3">
      <c r="A891" s="18" t="s">
        <v>451</v>
      </c>
      <c r="C891" s="18">
        <v>1</v>
      </c>
    </row>
    <row r="892" customHeight="1" spans="1:3">
      <c r="A892" s="18" t="s">
        <v>451</v>
      </c>
      <c r="C892" s="18">
        <v>2</v>
      </c>
    </row>
    <row r="893" customHeight="1" spans="1:3">
      <c r="A893" s="18" t="s">
        <v>451</v>
      </c>
      <c r="C893" s="18">
        <v>3</v>
      </c>
    </row>
    <row r="894" customHeight="1" spans="1:3">
      <c r="A894" s="18" t="s">
        <v>451</v>
      </c>
      <c r="C894" s="18">
        <v>4</v>
      </c>
    </row>
    <row r="895" customHeight="1" spans="1:3">
      <c r="A895" s="18" t="s">
        <v>451</v>
      </c>
      <c r="C895" s="18">
        <v>5</v>
      </c>
    </row>
    <row r="896" customHeight="1" spans="1:3">
      <c r="A896" s="5" t="s">
        <v>451</v>
      </c>
      <c r="C896" s="5">
        <v>1</v>
      </c>
    </row>
    <row r="897" customHeight="1" spans="1:3">
      <c r="A897" s="5" t="s">
        <v>451</v>
      </c>
      <c r="C897" s="5">
        <v>2</v>
      </c>
    </row>
    <row r="898" customHeight="1" spans="1:3">
      <c r="A898" s="5" t="s">
        <v>451</v>
      </c>
      <c r="C898" s="5">
        <v>3</v>
      </c>
    </row>
    <row r="899" customHeight="1" spans="1:3">
      <c r="A899" s="5" t="s">
        <v>451</v>
      </c>
      <c r="C899" s="5">
        <v>4</v>
      </c>
    </row>
    <row r="900" customHeight="1" spans="1:3">
      <c r="A900" s="5" t="s">
        <v>451</v>
      </c>
      <c r="C900" s="5">
        <v>5</v>
      </c>
    </row>
    <row r="901" customHeight="1" spans="1:3">
      <c r="A901" s="18" t="s">
        <v>452</v>
      </c>
      <c r="C901" s="18">
        <v>1</v>
      </c>
    </row>
    <row r="902" customHeight="1" spans="1:3">
      <c r="A902" s="18" t="s">
        <v>452</v>
      </c>
      <c r="C902" s="18">
        <v>2</v>
      </c>
    </row>
    <row r="903" customHeight="1" spans="1:3">
      <c r="A903" s="18" t="s">
        <v>452</v>
      </c>
      <c r="C903" s="18">
        <v>3</v>
      </c>
    </row>
    <row r="904" customHeight="1" spans="1:3">
      <c r="A904" s="18" t="s">
        <v>452</v>
      </c>
      <c r="C904" s="18">
        <v>4</v>
      </c>
    </row>
    <row r="905" customHeight="1" spans="1:3">
      <c r="A905" s="18" t="s">
        <v>452</v>
      </c>
      <c r="C905" s="18">
        <v>5</v>
      </c>
    </row>
    <row r="906" customHeight="1" spans="1:3">
      <c r="A906" s="18" t="s">
        <v>452</v>
      </c>
      <c r="C906" s="18">
        <v>6</v>
      </c>
    </row>
    <row r="907" customHeight="1" spans="1:3">
      <c r="A907" s="18" t="s">
        <v>452</v>
      </c>
      <c r="C907" s="18">
        <v>7</v>
      </c>
    </row>
    <row r="908" customHeight="1" spans="1:3">
      <c r="A908" s="18" t="s">
        <v>452</v>
      </c>
      <c r="C908" s="18">
        <v>8</v>
      </c>
    </row>
    <row r="909" customHeight="1" spans="1:3">
      <c r="A909" s="5" t="s">
        <v>454</v>
      </c>
      <c r="C909" s="5">
        <v>1</v>
      </c>
    </row>
    <row r="910" customHeight="1" spans="1:3">
      <c r="A910" s="5" t="s">
        <v>454</v>
      </c>
      <c r="C910" s="5">
        <v>2</v>
      </c>
    </row>
    <row r="911" customHeight="1" spans="1:3">
      <c r="A911" s="5" t="s">
        <v>454</v>
      </c>
      <c r="C911" s="5">
        <v>3</v>
      </c>
    </row>
    <row r="912" customHeight="1" spans="1:3">
      <c r="A912" s="5" t="s">
        <v>454</v>
      </c>
      <c r="C912" s="5">
        <v>4</v>
      </c>
    </row>
    <row r="913" customHeight="1" spans="1:3">
      <c r="A913" s="5" t="s">
        <v>454</v>
      </c>
      <c r="C913" s="5">
        <v>5</v>
      </c>
    </row>
    <row r="914" customHeight="1" spans="1:3">
      <c r="A914" s="18" t="s">
        <v>455</v>
      </c>
      <c r="C914" s="18">
        <v>1</v>
      </c>
    </row>
    <row r="915" customHeight="1" spans="1:3">
      <c r="A915" s="18" t="s">
        <v>455</v>
      </c>
      <c r="C915" s="18">
        <v>2</v>
      </c>
    </row>
    <row r="916" customHeight="1" spans="1:3">
      <c r="A916" s="18" t="s">
        <v>455</v>
      </c>
      <c r="C916" s="18">
        <v>3</v>
      </c>
    </row>
    <row r="917" customHeight="1" spans="1:3">
      <c r="A917" s="18" t="s">
        <v>455</v>
      </c>
      <c r="C917" s="18">
        <v>4</v>
      </c>
    </row>
    <row r="918" customHeight="1" spans="1:3">
      <c r="A918" s="18" t="s">
        <v>455</v>
      </c>
      <c r="C918" s="18">
        <v>5</v>
      </c>
    </row>
    <row r="919" customHeight="1" spans="1:3">
      <c r="A919" s="5" t="s">
        <v>455</v>
      </c>
      <c r="C919" s="5">
        <v>1</v>
      </c>
    </row>
    <row r="920" customHeight="1" spans="1:3">
      <c r="A920" s="5" t="s">
        <v>455</v>
      </c>
      <c r="C920" s="5">
        <v>2</v>
      </c>
    </row>
    <row r="921" customHeight="1" spans="1:3">
      <c r="A921" s="5" t="s">
        <v>455</v>
      </c>
      <c r="C921" s="5">
        <v>3</v>
      </c>
    </row>
    <row r="922" customHeight="1" spans="1:3">
      <c r="A922" s="5" t="s">
        <v>455</v>
      </c>
      <c r="C922" s="5">
        <v>4</v>
      </c>
    </row>
    <row r="923" customHeight="1" spans="1:3">
      <c r="A923" s="5" t="s">
        <v>455</v>
      </c>
      <c r="C923" s="5">
        <v>5</v>
      </c>
    </row>
    <row r="924" customHeight="1" spans="1:3">
      <c r="A924" s="18" t="s">
        <v>456</v>
      </c>
      <c r="C924" s="18">
        <v>1</v>
      </c>
    </row>
    <row r="925" customHeight="1" spans="1:3">
      <c r="A925" s="18" t="s">
        <v>456</v>
      </c>
      <c r="C925" s="18">
        <v>2</v>
      </c>
    </row>
    <row r="926" customHeight="1" spans="1:3">
      <c r="A926" s="18" t="s">
        <v>456</v>
      </c>
      <c r="C926" s="18">
        <v>3</v>
      </c>
    </row>
    <row r="927" customHeight="1" spans="1:3">
      <c r="A927" s="18" t="s">
        <v>456</v>
      </c>
      <c r="C927" s="18">
        <v>4</v>
      </c>
    </row>
    <row r="928" customHeight="1" spans="1:3">
      <c r="A928" s="18" t="s">
        <v>456</v>
      </c>
      <c r="C928" s="18">
        <v>5</v>
      </c>
    </row>
    <row r="929" customHeight="1" spans="1:3">
      <c r="A929" s="18" t="s">
        <v>456</v>
      </c>
      <c r="C929" s="18">
        <v>6</v>
      </c>
    </row>
    <row r="930" customHeight="1" spans="1:3">
      <c r="A930" s="18" t="s">
        <v>456</v>
      </c>
      <c r="C930" s="18">
        <v>7</v>
      </c>
    </row>
    <row r="931" customHeight="1" spans="1:3">
      <c r="A931" s="18" t="s">
        <v>456</v>
      </c>
      <c r="C931" s="18">
        <v>8</v>
      </c>
    </row>
    <row r="932" customHeight="1" spans="1:3">
      <c r="A932" s="5" t="s">
        <v>458</v>
      </c>
      <c r="C932" s="5">
        <v>1</v>
      </c>
    </row>
    <row r="933" customHeight="1" spans="1:3">
      <c r="A933" s="5" t="s">
        <v>458</v>
      </c>
      <c r="C933" s="5">
        <v>2</v>
      </c>
    </row>
    <row r="934" customHeight="1" spans="1:3">
      <c r="A934" s="5" t="s">
        <v>458</v>
      </c>
      <c r="C934" s="5">
        <v>3</v>
      </c>
    </row>
    <row r="935" customHeight="1" spans="1:3">
      <c r="A935" s="5" t="s">
        <v>458</v>
      </c>
      <c r="C935" s="5">
        <v>4</v>
      </c>
    </row>
    <row r="936" customHeight="1" spans="1:3">
      <c r="A936" s="5" t="s">
        <v>458</v>
      </c>
      <c r="C936" s="5">
        <v>5</v>
      </c>
    </row>
    <row r="937" customHeight="1" spans="1:3">
      <c r="A937" s="18" t="s">
        <v>459</v>
      </c>
      <c r="C937" s="18">
        <v>1</v>
      </c>
    </row>
    <row r="938" customHeight="1" spans="1:3">
      <c r="A938" s="18" t="s">
        <v>459</v>
      </c>
      <c r="C938" s="18">
        <v>2</v>
      </c>
    </row>
    <row r="939" customHeight="1" spans="1:3">
      <c r="A939" s="18" t="s">
        <v>459</v>
      </c>
      <c r="C939" s="18">
        <v>3</v>
      </c>
    </row>
    <row r="940" customHeight="1" spans="1:3">
      <c r="A940" s="18" t="s">
        <v>459</v>
      </c>
      <c r="C940" s="18">
        <v>4</v>
      </c>
    </row>
    <row r="941" customHeight="1" spans="1:3">
      <c r="A941" s="18" t="s">
        <v>459</v>
      </c>
      <c r="C941" s="18">
        <v>5</v>
      </c>
    </row>
    <row r="942" customHeight="1" spans="1:3">
      <c r="A942" s="5" t="s">
        <v>459</v>
      </c>
      <c r="C942" s="5">
        <v>1</v>
      </c>
    </row>
    <row r="943" customHeight="1" spans="1:3">
      <c r="A943" s="5" t="s">
        <v>459</v>
      </c>
      <c r="C943" s="5">
        <v>2</v>
      </c>
    </row>
    <row r="944" customHeight="1" spans="1:3">
      <c r="A944" s="5" t="s">
        <v>459</v>
      </c>
      <c r="C944" s="5">
        <v>3</v>
      </c>
    </row>
    <row r="945" customHeight="1" spans="1:3">
      <c r="A945" s="5" t="s">
        <v>459</v>
      </c>
      <c r="C945" s="5">
        <v>4</v>
      </c>
    </row>
    <row r="946" customHeight="1" spans="1:3">
      <c r="A946" s="5" t="s">
        <v>459</v>
      </c>
      <c r="C946" s="5">
        <v>5</v>
      </c>
    </row>
    <row r="947" customHeight="1" spans="1:3">
      <c r="A947" s="18" t="s">
        <v>460</v>
      </c>
      <c r="C947" s="18">
        <v>1</v>
      </c>
    </row>
    <row r="948" customHeight="1" spans="1:3">
      <c r="A948" s="18" t="s">
        <v>460</v>
      </c>
      <c r="C948" s="18">
        <v>2</v>
      </c>
    </row>
    <row r="949" customHeight="1" spans="1:3">
      <c r="A949" s="18" t="s">
        <v>460</v>
      </c>
      <c r="C949" s="18">
        <v>3</v>
      </c>
    </row>
    <row r="950" customHeight="1" spans="1:3">
      <c r="A950" s="18" t="s">
        <v>460</v>
      </c>
      <c r="C950" s="18">
        <v>4</v>
      </c>
    </row>
    <row r="951" customHeight="1" spans="1:3">
      <c r="A951" s="18" t="s">
        <v>460</v>
      </c>
      <c r="C951" s="18">
        <v>5</v>
      </c>
    </row>
    <row r="952" customHeight="1" spans="1:3">
      <c r="A952" s="18" t="s">
        <v>460</v>
      </c>
      <c r="C952" s="18">
        <v>6</v>
      </c>
    </row>
    <row r="953" customHeight="1" spans="1:3">
      <c r="A953" s="18" t="s">
        <v>460</v>
      </c>
      <c r="C953" s="18">
        <v>7</v>
      </c>
    </row>
    <row r="954" customHeight="1" spans="1:3">
      <c r="A954" s="18" t="s">
        <v>460</v>
      </c>
      <c r="C954" s="18">
        <v>8</v>
      </c>
    </row>
    <row r="955" customHeight="1" spans="1:3">
      <c r="A955" s="5" t="s">
        <v>462</v>
      </c>
      <c r="C955" s="5">
        <v>1</v>
      </c>
    </row>
    <row r="956" customHeight="1" spans="1:3">
      <c r="A956" s="5" t="s">
        <v>462</v>
      </c>
      <c r="C956" s="5">
        <v>2</v>
      </c>
    </row>
    <row r="957" customHeight="1" spans="1:3">
      <c r="A957" s="5" t="s">
        <v>462</v>
      </c>
      <c r="C957" s="5">
        <v>3</v>
      </c>
    </row>
    <row r="958" customHeight="1" spans="1:3">
      <c r="A958" s="5" t="s">
        <v>462</v>
      </c>
      <c r="C958" s="5">
        <v>4</v>
      </c>
    </row>
    <row r="959" customHeight="1" spans="1:3">
      <c r="A959" s="5" t="s">
        <v>462</v>
      </c>
      <c r="C959" s="5">
        <v>5</v>
      </c>
    </row>
    <row r="960" customHeight="1" spans="1:3">
      <c r="A960" s="18" t="s">
        <v>463</v>
      </c>
      <c r="C960" s="18">
        <v>1</v>
      </c>
    </row>
    <row r="961" customHeight="1" spans="1:3">
      <c r="A961" s="18" t="s">
        <v>463</v>
      </c>
      <c r="C961" s="18">
        <v>2</v>
      </c>
    </row>
    <row r="962" customHeight="1" spans="1:3">
      <c r="A962" s="18" t="s">
        <v>463</v>
      </c>
      <c r="C962" s="18">
        <v>3</v>
      </c>
    </row>
    <row r="963" customHeight="1" spans="1:3">
      <c r="A963" s="18" t="s">
        <v>463</v>
      </c>
      <c r="C963" s="18">
        <v>4</v>
      </c>
    </row>
    <row r="964" customHeight="1" spans="1:3">
      <c r="A964" s="18" t="s">
        <v>463</v>
      </c>
      <c r="C964" s="18">
        <v>5</v>
      </c>
    </row>
    <row r="965" customHeight="1" spans="1:3">
      <c r="A965" s="5" t="s">
        <v>463</v>
      </c>
      <c r="C965" s="5">
        <v>1</v>
      </c>
    </row>
    <row r="966" customHeight="1" spans="1:3">
      <c r="A966" s="5" t="s">
        <v>463</v>
      </c>
      <c r="C966" s="5">
        <v>2</v>
      </c>
    </row>
    <row r="967" customHeight="1" spans="1:3">
      <c r="A967" s="5" t="s">
        <v>463</v>
      </c>
      <c r="C967" s="5">
        <v>3</v>
      </c>
    </row>
    <row r="968" customHeight="1" spans="1:3">
      <c r="A968" s="5" t="s">
        <v>463</v>
      </c>
      <c r="C968" s="5">
        <v>4</v>
      </c>
    </row>
    <row r="969" customHeight="1" spans="1:3">
      <c r="A969" s="5" t="s">
        <v>463</v>
      </c>
      <c r="C969" s="5">
        <v>5</v>
      </c>
    </row>
    <row r="970" customHeight="1" spans="1:3">
      <c r="A970" s="18" t="s">
        <v>464</v>
      </c>
      <c r="C970" s="18">
        <v>1</v>
      </c>
    </row>
    <row r="971" customHeight="1" spans="1:3">
      <c r="A971" s="18" t="s">
        <v>464</v>
      </c>
      <c r="C971" s="18">
        <v>2</v>
      </c>
    </row>
    <row r="972" customHeight="1" spans="1:3">
      <c r="A972" s="18" t="s">
        <v>464</v>
      </c>
      <c r="C972" s="18">
        <v>3</v>
      </c>
    </row>
    <row r="973" customHeight="1" spans="1:3">
      <c r="A973" s="18" t="s">
        <v>464</v>
      </c>
      <c r="C973" s="18">
        <v>4</v>
      </c>
    </row>
    <row r="974" customHeight="1" spans="1:3">
      <c r="A974" s="18" t="s">
        <v>464</v>
      </c>
      <c r="C974" s="18">
        <v>5</v>
      </c>
    </row>
    <row r="975" customHeight="1" spans="1:3">
      <c r="A975" s="18" t="s">
        <v>464</v>
      </c>
      <c r="C975" s="18">
        <v>6</v>
      </c>
    </row>
    <row r="976" customHeight="1" spans="1:3">
      <c r="A976" s="18" t="s">
        <v>464</v>
      </c>
      <c r="C976" s="18">
        <v>7</v>
      </c>
    </row>
    <row r="977" customHeight="1" spans="1:3">
      <c r="A977" s="18" t="s">
        <v>464</v>
      </c>
      <c r="C977" s="18">
        <v>8</v>
      </c>
    </row>
    <row r="978" customHeight="1" spans="1:3">
      <c r="A978" s="5" t="s">
        <v>466</v>
      </c>
      <c r="C978" s="5">
        <v>1</v>
      </c>
    </row>
    <row r="979" customHeight="1" spans="1:3">
      <c r="A979" s="5" t="s">
        <v>466</v>
      </c>
      <c r="C979" s="5">
        <v>2</v>
      </c>
    </row>
    <row r="980" customHeight="1" spans="1:3">
      <c r="A980" s="5" t="s">
        <v>466</v>
      </c>
      <c r="C980" s="5">
        <v>3</v>
      </c>
    </row>
    <row r="981" customHeight="1" spans="1:3">
      <c r="A981" s="5" t="s">
        <v>466</v>
      </c>
      <c r="C981" s="5">
        <v>4</v>
      </c>
    </row>
    <row r="982" customHeight="1" spans="1:3">
      <c r="A982" s="5" t="s">
        <v>466</v>
      </c>
      <c r="C982" s="5">
        <v>5</v>
      </c>
    </row>
    <row r="983" customHeight="1" spans="1:3">
      <c r="A983" s="18" t="s">
        <v>467</v>
      </c>
      <c r="C983" s="18">
        <v>1</v>
      </c>
    </row>
    <row r="984" customHeight="1" spans="1:3">
      <c r="A984" s="18" t="s">
        <v>467</v>
      </c>
      <c r="C984" s="18">
        <v>2</v>
      </c>
    </row>
    <row r="985" customHeight="1" spans="1:3">
      <c r="A985" s="18" t="s">
        <v>467</v>
      </c>
      <c r="C985" s="18">
        <v>3</v>
      </c>
    </row>
    <row r="986" customHeight="1" spans="1:3">
      <c r="A986" s="18" t="s">
        <v>467</v>
      </c>
      <c r="C986" s="18">
        <v>4</v>
      </c>
    </row>
    <row r="987" customHeight="1" spans="1:3">
      <c r="A987" s="18" t="s">
        <v>467</v>
      </c>
      <c r="C987" s="18">
        <v>5</v>
      </c>
    </row>
    <row r="988" customHeight="1" spans="1:3">
      <c r="A988" s="5" t="s">
        <v>467</v>
      </c>
      <c r="C988" s="5">
        <v>1</v>
      </c>
    </row>
    <row r="989" customHeight="1" spans="1:3">
      <c r="A989" s="5" t="s">
        <v>467</v>
      </c>
      <c r="C989" s="5">
        <v>2</v>
      </c>
    </row>
    <row r="990" customHeight="1" spans="1:3">
      <c r="A990" s="5" t="s">
        <v>467</v>
      </c>
      <c r="C990" s="5">
        <v>3</v>
      </c>
    </row>
    <row r="991" customHeight="1" spans="1:3">
      <c r="A991" s="5" t="s">
        <v>467</v>
      </c>
      <c r="C991" s="5">
        <v>4</v>
      </c>
    </row>
    <row r="992" customHeight="1" spans="1:3">
      <c r="A992" s="5" t="s">
        <v>467</v>
      </c>
      <c r="C992" s="5">
        <v>5</v>
      </c>
    </row>
    <row r="993" customHeight="1" spans="1:3">
      <c r="A993" s="18" t="s">
        <v>468</v>
      </c>
      <c r="C993" s="18">
        <v>1</v>
      </c>
    </row>
    <row r="994" customHeight="1" spans="1:3">
      <c r="A994" s="18" t="s">
        <v>468</v>
      </c>
      <c r="C994" s="18">
        <v>2</v>
      </c>
    </row>
    <row r="995" customHeight="1" spans="1:3">
      <c r="A995" s="18" t="s">
        <v>468</v>
      </c>
      <c r="C995" s="18">
        <v>3</v>
      </c>
    </row>
    <row r="996" customHeight="1" spans="1:3">
      <c r="A996" s="18" t="s">
        <v>468</v>
      </c>
      <c r="C996" s="18">
        <v>4</v>
      </c>
    </row>
    <row r="997" customHeight="1" spans="1:3">
      <c r="A997" s="18" t="s">
        <v>468</v>
      </c>
      <c r="C997" s="18">
        <v>5</v>
      </c>
    </row>
    <row r="998" customHeight="1" spans="1:3">
      <c r="A998" s="18" t="s">
        <v>468</v>
      </c>
      <c r="C998" s="18">
        <v>6</v>
      </c>
    </row>
    <row r="999" customHeight="1" spans="1:3">
      <c r="A999" s="18" t="s">
        <v>468</v>
      </c>
      <c r="C999" s="18">
        <v>7</v>
      </c>
    </row>
    <row r="1000" customHeight="1" spans="1:3">
      <c r="A1000" s="18" t="s">
        <v>468</v>
      </c>
      <c r="C1000" s="18">
        <v>8</v>
      </c>
    </row>
    <row r="1001" customHeight="1" spans="1:3">
      <c r="A1001" s="5" t="s">
        <v>470</v>
      </c>
      <c r="C1001" s="5">
        <v>1</v>
      </c>
    </row>
    <row r="1002" customHeight="1" spans="1:3">
      <c r="A1002" s="5" t="s">
        <v>470</v>
      </c>
      <c r="C1002" s="5">
        <v>2</v>
      </c>
    </row>
    <row r="1003" customHeight="1" spans="1:3">
      <c r="A1003" s="5" t="s">
        <v>470</v>
      </c>
      <c r="C1003" s="5">
        <v>3</v>
      </c>
    </row>
    <row r="1004" customHeight="1" spans="1:3">
      <c r="A1004" s="5" t="s">
        <v>470</v>
      </c>
      <c r="C1004" s="5">
        <v>4</v>
      </c>
    </row>
    <row r="1005" customHeight="1" spans="1:3">
      <c r="A1005" s="5" t="s">
        <v>470</v>
      </c>
      <c r="C1005" s="5">
        <v>5</v>
      </c>
    </row>
    <row r="1006" customHeight="1" spans="1:3">
      <c r="A1006" s="18" t="s">
        <v>471</v>
      </c>
      <c r="C1006" s="18">
        <v>1</v>
      </c>
    </row>
    <row r="1007" customHeight="1" spans="1:3">
      <c r="A1007" s="18" t="s">
        <v>471</v>
      </c>
      <c r="C1007" s="18">
        <v>2</v>
      </c>
    </row>
    <row r="1008" customHeight="1" spans="1:3">
      <c r="A1008" s="18" t="s">
        <v>471</v>
      </c>
      <c r="C1008" s="18">
        <v>3</v>
      </c>
    </row>
    <row r="1009" customHeight="1" spans="1:3">
      <c r="A1009" s="18" t="s">
        <v>471</v>
      </c>
      <c r="C1009" s="18">
        <v>4</v>
      </c>
    </row>
    <row r="1010" customHeight="1" spans="1:3">
      <c r="A1010" s="18" t="s">
        <v>471</v>
      </c>
      <c r="C1010" s="18">
        <v>5</v>
      </c>
    </row>
    <row r="1011" customHeight="1" spans="1:3">
      <c r="A1011" s="5" t="s">
        <v>471</v>
      </c>
      <c r="C1011" s="5">
        <v>1</v>
      </c>
    </row>
    <row r="1012" customHeight="1" spans="1:3">
      <c r="A1012" s="5" t="s">
        <v>471</v>
      </c>
      <c r="C1012" s="5">
        <v>2</v>
      </c>
    </row>
    <row r="1013" customHeight="1" spans="1:3">
      <c r="A1013" s="5" t="s">
        <v>471</v>
      </c>
      <c r="C1013" s="5">
        <v>3</v>
      </c>
    </row>
    <row r="1014" customHeight="1" spans="1:3">
      <c r="A1014" s="5" t="s">
        <v>471</v>
      </c>
      <c r="C1014" s="5">
        <v>4</v>
      </c>
    </row>
    <row r="1015" customHeight="1" spans="1:3">
      <c r="A1015" s="5" t="s">
        <v>471</v>
      </c>
      <c r="C1015" s="5">
        <v>5</v>
      </c>
    </row>
    <row r="1016" customHeight="1" spans="1:3">
      <c r="A1016" s="18" t="s">
        <v>472</v>
      </c>
      <c r="C1016" s="18">
        <v>1</v>
      </c>
    </row>
    <row r="1017" customHeight="1" spans="1:3">
      <c r="A1017" s="18" t="s">
        <v>472</v>
      </c>
      <c r="C1017" s="18">
        <v>2</v>
      </c>
    </row>
    <row r="1018" customHeight="1" spans="1:3">
      <c r="A1018" s="18" t="s">
        <v>472</v>
      </c>
      <c r="C1018" s="18">
        <v>3</v>
      </c>
    </row>
    <row r="1019" customHeight="1" spans="1:3">
      <c r="A1019" s="18" t="s">
        <v>472</v>
      </c>
      <c r="C1019" s="18">
        <v>4</v>
      </c>
    </row>
    <row r="1020" customHeight="1" spans="1:3">
      <c r="A1020" s="18" t="s">
        <v>472</v>
      </c>
      <c r="C1020" s="18">
        <v>5</v>
      </c>
    </row>
    <row r="1021" customHeight="1" spans="1:3">
      <c r="A1021" s="18" t="s">
        <v>472</v>
      </c>
      <c r="C1021" s="18">
        <v>6</v>
      </c>
    </row>
    <row r="1022" customHeight="1" spans="1:3">
      <c r="A1022" s="18" t="s">
        <v>472</v>
      </c>
      <c r="C1022" s="18">
        <v>7</v>
      </c>
    </row>
    <row r="1023" customHeight="1" spans="1:3">
      <c r="A1023" s="18" t="s">
        <v>472</v>
      </c>
      <c r="C1023" s="18">
        <v>8</v>
      </c>
    </row>
    <row r="1024" customHeight="1" spans="1:3">
      <c r="A1024" s="5" t="s">
        <v>474</v>
      </c>
      <c r="C1024" s="5">
        <v>1</v>
      </c>
    </row>
    <row r="1025" customHeight="1" spans="1:3">
      <c r="A1025" s="5" t="s">
        <v>474</v>
      </c>
      <c r="C1025" s="5">
        <v>2</v>
      </c>
    </row>
    <row r="1026" customHeight="1" spans="1:3">
      <c r="A1026" s="5" t="s">
        <v>474</v>
      </c>
      <c r="C1026" s="5">
        <v>3</v>
      </c>
    </row>
    <row r="1027" customHeight="1" spans="1:3">
      <c r="A1027" s="5" t="s">
        <v>474</v>
      </c>
      <c r="C1027" s="5">
        <v>4</v>
      </c>
    </row>
    <row r="1028" customHeight="1" spans="1:3">
      <c r="A1028" s="5" t="s">
        <v>474</v>
      </c>
      <c r="C1028" s="5">
        <v>5</v>
      </c>
    </row>
    <row r="1029" customHeight="1" spans="1:3">
      <c r="A1029" s="18" t="s">
        <v>475</v>
      </c>
      <c r="C1029" s="18">
        <v>1</v>
      </c>
    </row>
    <row r="1030" customHeight="1" spans="1:3">
      <c r="A1030" s="18" t="s">
        <v>475</v>
      </c>
      <c r="C1030" s="18">
        <v>2</v>
      </c>
    </row>
    <row r="1031" customHeight="1" spans="1:3">
      <c r="A1031" s="18" t="s">
        <v>475</v>
      </c>
      <c r="C1031" s="18">
        <v>3</v>
      </c>
    </row>
    <row r="1032" customHeight="1" spans="1:3">
      <c r="A1032" s="18" t="s">
        <v>475</v>
      </c>
      <c r="C1032" s="18">
        <v>4</v>
      </c>
    </row>
    <row r="1033" customHeight="1" spans="1:3">
      <c r="A1033" s="18" t="s">
        <v>475</v>
      </c>
      <c r="C1033" s="18">
        <v>5</v>
      </c>
    </row>
    <row r="1034" customHeight="1" spans="1:3">
      <c r="A1034" s="5" t="s">
        <v>475</v>
      </c>
      <c r="C1034" s="5">
        <v>1</v>
      </c>
    </row>
    <row r="1035" customHeight="1" spans="1:3">
      <c r="A1035" s="5" t="s">
        <v>475</v>
      </c>
      <c r="C1035" s="5">
        <v>2</v>
      </c>
    </row>
    <row r="1036" customHeight="1" spans="1:3">
      <c r="A1036" s="5" t="s">
        <v>475</v>
      </c>
      <c r="C1036" s="5">
        <v>3</v>
      </c>
    </row>
    <row r="1037" customHeight="1" spans="1:3">
      <c r="A1037" s="5" t="s">
        <v>475</v>
      </c>
      <c r="C1037" s="5">
        <v>4</v>
      </c>
    </row>
    <row r="1038" customHeight="1" spans="1:3">
      <c r="A1038" s="5" t="s">
        <v>475</v>
      </c>
      <c r="C1038" s="5">
        <v>5</v>
      </c>
    </row>
    <row r="1039" customHeight="1" spans="1:3">
      <c r="A1039" s="18" t="s">
        <v>476</v>
      </c>
      <c r="C1039" s="18">
        <v>1</v>
      </c>
    </row>
    <row r="1040" customHeight="1" spans="1:3">
      <c r="A1040" s="18" t="s">
        <v>476</v>
      </c>
      <c r="C1040" s="18">
        <v>2</v>
      </c>
    </row>
    <row r="1041" customHeight="1" spans="1:3">
      <c r="A1041" s="18" t="s">
        <v>476</v>
      </c>
      <c r="C1041" s="18">
        <v>3</v>
      </c>
    </row>
    <row r="1042" customHeight="1" spans="1:3">
      <c r="A1042" s="18" t="s">
        <v>476</v>
      </c>
      <c r="C1042" s="18">
        <v>4</v>
      </c>
    </row>
    <row r="1043" customHeight="1" spans="1:3">
      <c r="A1043" s="18" t="s">
        <v>476</v>
      </c>
      <c r="C1043" s="18">
        <v>5</v>
      </c>
    </row>
    <row r="1044" customHeight="1" spans="1:3">
      <c r="A1044" s="18" t="s">
        <v>476</v>
      </c>
      <c r="C1044" s="18">
        <v>6</v>
      </c>
    </row>
    <row r="1045" customHeight="1" spans="1:3">
      <c r="A1045" s="18" t="s">
        <v>476</v>
      </c>
      <c r="C1045" s="18">
        <v>7</v>
      </c>
    </row>
    <row r="1046" customHeight="1" spans="1:3">
      <c r="A1046" s="18" t="s">
        <v>476</v>
      </c>
      <c r="C1046" s="18">
        <v>8</v>
      </c>
    </row>
    <row r="1047" customHeight="1" spans="1:3">
      <c r="A1047" s="5" t="s">
        <v>478</v>
      </c>
      <c r="C1047" s="5">
        <v>1</v>
      </c>
    </row>
    <row r="1048" customHeight="1" spans="1:3">
      <c r="A1048" s="5" t="s">
        <v>478</v>
      </c>
      <c r="C1048" s="5">
        <v>2</v>
      </c>
    </row>
    <row r="1049" customHeight="1" spans="1:3">
      <c r="A1049" s="5" t="s">
        <v>478</v>
      </c>
      <c r="C1049" s="5">
        <v>3</v>
      </c>
    </row>
    <row r="1050" customHeight="1" spans="1:3">
      <c r="A1050" s="5" t="s">
        <v>478</v>
      </c>
      <c r="C1050" s="5">
        <v>4</v>
      </c>
    </row>
    <row r="1051" customHeight="1" spans="1:3">
      <c r="A1051" s="5" t="s">
        <v>478</v>
      </c>
      <c r="C1051" s="5">
        <v>5</v>
      </c>
    </row>
    <row r="1052" customHeight="1" spans="1:3">
      <c r="A1052" s="18" t="s">
        <v>479</v>
      </c>
      <c r="C1052" s="18">
        <v>1</v>
      </c>
    </row>
    <row r="1053" customHeight="1" spans="1:3">
      <c r="A1053" s="18" t="s">
        <v>479</v>
      </c>
      <c r="C1053" s="18">
        <v>2</v>
      </c>
    </row>
    <row r="1054" customHeight="1" spans="1:3">
      <c r="A1054" s="18" t="s">
        <v>479</v>
      </c>
      <c r="C1054" s="18">
        <v>3</v>
      </c>
    </row>
    <row r="1055" customHeight="1" spans="1:3">
      <c r="A1055" s="18" t="s">
        <v>479</v>
      </c>
      <c r="C1055" s="18">
        <v>4</v>
      </c>
    </row>
    <row r="1056" customHeight="1" spans="1:3">
      <c r="A1056" s="18" t="s">
        <v>479</v>
      </c>
      <c r="C1056" s="18">
        <v>5</v>
      </c>
    </row>
    <row r="1057" customHeight="1" spans="1:3">
      <c r="A1057" s="5" t="s">
        <v>479</v>
      </c>
      <c r="C1057" s="5">
        <v>1</v>
      </c>
    </row>
    <row r="1058" customHeight="1" spans="1:3">
      <c r="A1058" s="5" t="s">
        <v>479</v>
      </c>
      <c r="C1058" s="5">
        <v>2</v>
      </c>
    </row>
    <row r="1059" customHeight="1" spans="1:3">
      <c r="A1059" s="5" t="s">
        <v>479</v>
      </c>
      <c r="C1059" s="5">
        <v>3</v>
      </c>
    </row>
    <row r="1060" customHeight="1" spans="1:3">
      <c r="A1060" s="5" t="s">
        <v>479</v>
      </c>
      <c r="C1060" s="5">
        <v>4</v>
      </c>
    </row>
    <row r="1061" customHeight="1" spans="1:3">
      <c r="A1061" s="5" t="s">
        <v>479</v>
      </c>
      <c r="C1061" s="5">
        <v>5</v>
      </c>
    </row>
    <row r="1062" customHeight="1" spans="1:3">
      <c r="A1062" s="18" t="s">
        <v>480</v>
      </c>
      <c r="C1062" s="18">
        <v>1</v>
      </c>
    </row>
    <row r="1063" customHeight="1" spans="1:3">
      <c r="A1063" s="18" t="s">
        <v>480</v>
      </c>
      <c r="C1063" s="18">
        <v>2</v>
      </c>
    </row>
    <row r="1064" customHeight="1" spans="1:3">
      <c r="A1064" s="18" t="s">
        <v>480</v>
      </c>
      <c r="C1064" s="18">
        <v>3</v>
      </c>
    </row>
    <row r="1065" customHeight="1" spans="1:3">
      <c r="A1065" s="18" t="s">
        <v>480</v>
      </c>
      <c r="C1065" s="18">
        <v>4</v>
      </c>
    </row>
    <row r="1066" customHeight="1" spans="1:3">
      <c r="A1066" s="18" t="s">
        <v>480</v>
      </c>
      <c r="C1066" s="18">
        <v>5</v>
      </c>
    </row>
    <row r="1067" customHeight="1" spans="1:3">
      <c r="A1067" s="18" t="s">
        <v>480</v>
      </c>
      <c r="C1067" s="18">
        <v>6</v>
      </c>
    </row>
    <row r="1068" customHeight="1" spans="1:3">
      <c r="A1068" s="18" t="s">
        <v>480</v>
      </c>
      <c r="C1068" s="18">
        <v>7</v>
      </c>
    </row>
    <row r="1069" customHeight="1" spans="1:3">
      <c r="A1069" s="18" t="s">
        <v>480</v>
      </c>
      <c r="C1069" s="18">
        <v>8</v>
      </c>
    </row>
    <row r="1070" customHeight="1" spans="1:3">
      <c r="A1070" s="5" t="s">
        <v>482</v>
      </c>
      <c r="C1070" s="5">
        <v>1</v>
      </c>
    </row>
    <row r="1071" customHeight="1" spans="1:3">
      <c r="A1071" s="5" t="s">
        <v>482</v>
      </c>
      <c r="C1071" s="5">
        <v>2</v>
      </c>
    </row>
    <row r="1072" customHeight="1" spans="1:3">
      <c r="A1072" s="5" t="s">
        <v>482</v>
      </c>
      <c r="C1072" s="5">
        <v>3</v>
      </c>
    </row>
    <row r="1073" customHeight="1" spans="1:3">
      <c r="A1073" s="5" t="s">
        <v>482</v>
      </c>
      <c r="C1073" s="5">
        <v>4</v>
      </c>
    </row>
    <row r="1074" customHeight="1" spans="1:3">
      <c r="A1074" s="5" t="s">
        <v>482</v>
      </c>
      <c r="C1074" s="5">
        <v>5</v>
      </c>
    </row>
    <row r="1075" customHeight="1" spans="1:3">
      <c r="A1075" s="18" t="s">
        <v>483</v>
      </c>
      <c r="C1075" s="18">
        <v>1</v>
      </c>
    </row>
    <row r="1076" customHeight="1" spans="1:3">
      <c r="A1076" s="18" t="s">
        <v>483</v>
      </c>
      <c r="C1076" s="18">
        <v>2</v>
      </c>
    </row>
    <row r="1077" customHeight="1" spans="1:3">
      <c r="A1077" s="18" t="s">
        <v>483</v>
      </c>
      <c r="C1077" s="18">
        <v>3</v>
      </c>
    </row>
    <row r="1078" customHeight="1" spans="1:3">
      <c r="A1078" s="18" t="s">
        <v>483</v>
      </c>
      <c r="C1078" s="18">
        <v>4</v>
      </c>
    </row>
    <row r="1079" customHeight="1" spans="1:3">
      <c r="A1079" s="18" t="s">
        <v>483</v>
      </c>
      <c r="C1079" s="18">
        <v>5</v>
      </c>
    </row>
    <row r="1080" customHeight="1" spans="1:3">
      <c r="A1080" s="5" t="s">
        <v>483</v>
      </c>
      <c r="C1080" s="5">
        <v>1</v>
      </c>
    </row>
    <row r="1081" customHeight="1" spans="1:3">
      <c r="A1081" s="5" t="s">
        <v>483</v>
      </c>
      <c r="C1081" s="5">
        <v>2</v>
      </c>
    </row>
    <row r="1082" customHeight="1" spans="1:3">
      <c r="A1082" s="5" t="s">
        <v>483</v>
      </c>
      <c r="C1082" s="5">
        <v>3</v>
      </c>
    </row>
    <row r="1083" customHeight="1" spans="1:3">
      <c r="A1083" s="5" t="s">
        <v>483</v>
      </c>
      <c r="C1083" s="5">
        <v>4</v>
      </c>
    </row>
    <row r="1084" customHeight="1" spans="1:3">
      <c r="A1084" s="5" t="s">
        <v>483</v>
      </c>
      <c r="C1084" s="5">
        <v>5</v>
      </c>
    </row>
    <row r="1085" customHeight="1" spans="1:3">
      <c r="A1085" s="18" t="s">
        <v>484</v>
      </c>
      <c r="C1085" s="18">
        <v>1</v>
      </c>
    </row>
    <row r="1086" customHeight="1" spans="1:3">
      <c r="A1086" s="18" t="s">
        <v>484</v>
      </c>
      <c r="C1086" s="18">
        <v>2</v>
      </c>
    </row>
    <row r="1087" customHeight="1" spans="1:3">
      <c r="A1087" s="18" t="s">
        <v>484</v>
      </c>
      <c r="C1087" s="18">
        <v>3</v>
      </c>
    </row>
    <row r="1088" customHeight="1" spans="1:3">
      <c r="A1088" s="18" t="s">
        <v>484</v>
      </c>
      <c r="C1088" s="18">
        <v>4</v>
      </c>
    </row>
    <row r="1089" customHeight="1" spans="1:3">
      <c r="A1089" s="18" t="s">
        <v>484</v>
      </c>
      <c r="C1089" s="18">
        <v>5</v>
      </c>
    </row>
    <row r="1090" customHeight="1" spans="1:3">
      <c r="A1090" s="18" t="s">
        <v>484</v>
      </c>
      <c r="C1090" s="18">
        <v>6</v>
      </c>
    </row>
    <row r="1091" customHeight="1" spans="1:3">
      <c r="A1091" s="18" t="s">
        <v>484</v>
      </c>
      <c r="C1091" s="18">
        <v>7</v>
      </c>
    </row>
    <row r="1092" customHeight="1" spans="1:3">
      <c r="A1092" s="18" t="s">
        <v>484</v>
      </c>
      <c r="C1092" s="18">
        <v>8</v>
      </c>
    </row>
    <row r="1093" customHeight="1" spans="1:3">
      <c r="A1093" s="5" t="s">
        <v>486</v>
      </c>
      <c r="C1093" s="5">
        <v>1</v>
      </c>
    </row>
    <row r="1094" customHeight="1" spans="1:3">
      <c r="A1094" s="5" t="s">
        <v>486</v>
      </c>
      <c r="C1094" s="5">
        <v>2</v>
      </c>
    </row>
    <row r="1095" customHeight="1" spans="1:3">
      <c r="A1095" s="5" t="s">
        <v>486</v>
      </c>
      <c r="C1095" s="5">
        <v>3</v>
      </c>
    </row>
    <row r="1096" customHeight="1" spans="1:3">
      <c r="A1096" s="5" t="s">
        <v>486</v>
      </c>
      <c r="C1096" s="5">
        <v>4</v>
      </c>
    </row>
    <row r="1097" customHeight="1" spans="1:3">
      <c r="A1097" s="5" t="s">
        <v>486</v>
      </c>
      <c r="C1097" s="5">
        <v>5</v>
      </c>
    </row>
    <row r="1098" customHeight="1" spans="1:3">
      <c r="A1098" s="18" t="s">
        <v>487</v>
      </c>
      <c r="C1098" s="18">
        <v>1</v>
      </c>
    </row>
    <row r="1099" customHeight="1" spans="1:3">
      <c r="A1099" s="18" t="s">
        <v>487</v>
      </c>
      <c r="C1099" s="18">
        <v>2</v>
      </c>
    </row>
    <row r="1100" customHeight="1" spans="1:3">
      <c r="A1100" s="18" t="s">
        <v>487</v>
      </c>
      <c r="C1100" s="18">
        <v>3</v>
      </c>
    </row>
    <row r="1101" customHeight="1" spans="1:3">
      <c r="A1101" s="18" t="s">
        <v>487</v>
      </c>
      <c r="C1101" s="18">
        <v>4</v>
      </c>
    </row>
    <row r="1102" customHeight="1" spans="1:3">
      <c r="A1102" s="18" t="s">
        <v>487</v>
      </c>
      <c r="C1102" s="18">
        <v>5</v>
      </c>
    </row>
    <row r="1103" customHeight="1" spans="1:3">
      <c r="A1103" s="5" t="s">
        <v>487</v>
      </c>
      <c r="C1103" s="5">
        <v>1</v>
      </c>
    </row>
    <row r="1104" customHeight="1" spans="1:3">
      <c r="A1104" s="5" t="s">
        <v>487</v>
      </c>
      <c r="C1104" s="5">
        <v>2</v>
      </c>
    </row>
    <row r="1105" customHeight="1" spans="1:3">
      <c r="A1105" s="5" t="s">
        <v>487</v>
      </c>
      <c r="C1105" s="5">
        <v>3</v>
      </c>
    </row>
    <row r="1106" customHeight="1" spans="1:3">
      <c r="A1106" s="5" t="s">
        <v>487</v>
      </c>
      <c r="C1106" s="5">
        <v>4</v>
      </c>
    </row>
    <row r="1107" customHeight="1" spans="1:3">
      <c r="A1107" s="5" t="s">
        <v>487</v>
      </c>
      <c r="C1107" s="5">
        <v>5</v>
      </c>
    </row>
    <row r="1108" customHeight="1" spans="1:3">
      <c r="A1108" s="18" t="s">
        <v>488</v>
      </c>
      <c r="C1108" s="18">
        <v>1</v>
      </c>
    </row>
    <row r="1109" customHeight="1" spans="1:3">
      <c r="A1109" s="18" t="s">
        <v>488</v>
      </c>
      <c r="C1109" s="18">
        <v>2</v>
      </c>
    </row>
    <row r="1110" customHeight="1" spans="1:3">
      <c r="A1110" s="18" t="s">
        <v>488</v>
      </c>
      <c r="C1110" s="18">
        <v>3</v>
      </c>
    </row>
    <row r="1111" customHeight="1" spans="1:3">
      <c r="A1111" s="18" t="s">
        <v>488</v>
      </c>
      <c r="C1111" s="18">
        <v>4</v>
      </c>
    </row>
    <row r="1112" customHeight="1" spans="1:3">
      <c r="A1112" s="18" t="s">
        <v>488</v>
      </c>
      <c r="C1112" s="18">
        <v>5</v>
      </c>
    </row>
    <row r="1113" customHeight="1" spans="1:3">
      <c r="A1113" s="18" t="s">
        <v>488</v>
      </c>
      <c r="C1113" s="18">
        <v>6</v>
      </c>
    </row>
    <row r="1114" customHeight="1" spans="1:3">
      <c r="A1114" s="18" t="s">
        <v>488</v>
      </c>
      <c r="C1114" s="18">
        <v>7</v>
      </c>
    </row>
    <row r="1115" customHeight="1" spans="1:3">
      <c r="A1115" s="18" t="s">
        <v>488</v>
      </c>
      <c r="C1115" s="18">
        <v>8</v>
      </c>
    </row>
    <row r="1116" customHeight="1" spans="1:3">
      <c r="A1116" s="5" t="s">
        <v>490</v>
      </c>
      <c r="C1116" s="5">
        <v>1</v>
      </c>
    </row>
    <row r="1117" customHeight="1" spans="1:3">
      <c r="A1117" s="5" t="s">
        <v>490</v>
      </c>
      <c r="C1117" s="5">
        <v>2</v>
      </c>
    </row>
    <row r="1118" customHeight="1" spans="1:3">
      <c r="A1118" s="5" t="s">
        <v>490</v>
      </c>
      <c r="C1118" s="5">
        <v>3</v>
      </c>
    </row>
    <row r="1119" customHeight="1" spans="1:3">
      <c r="A1119" s="5" t="s">
        <v>490</v>
      </c>
      <c r="C1119" s="5">
        <v>4</v>
      </c>
    </row>
    <row r="1120" customHeight="1" spans="1:3">
      <c r="A1120" s="5" t="s">
        <v>490</v>
      </c>
      <c r="C1120" s="5">
        <v>5</v>
      </c>
    </row>
    <row r="1121" customHeight="1" spans="1:3">
      <c r="A1121" s="18" t="s">
        <v>491</v>
      </c>
      <c r="C1121" s="18">
        <v>1</v>
      </c>
    </row>
    <row r="1122" customHeight="1" spans="1:3">
      <c r="A1122" s="18" t="s">
        <v>491</v>
      </c>
      <c r="C1122" s="18">
        <v>2</v>
      </c>
    </row>
    <row r="1123" customHeight="1" spans="1:3">
      <c r="A1123" s="18" t="s">
        <v>491</v>
      </c>
      <c r="C1123" s="18">
        <v>3</v>
      </c>
    </row>
    <row r="1124" customHeight="1" spans="1:3">
      <c r="A1124" s="18" t="s">
        <v>491</v>
      </c>
      <c r="C1124" s="18">
        <v>4</v>
      </c>
    </row>
    <row r="1125" customHeight="1" spans="1:3">
      <c r="A1125" s="18" t="s">
        <v>491</v>
      </c>
      <c r="C1125" s="18">
        <v>5</v>
      </c>
    </row>
    <row r="1126" customHeight="1" spans="1:3">
      <c r="A1126" s="5" t="s">
        <v>491</v>
      </c>
      <c r="C1126" s="5">
        <v>1</v>
      </c>
    </row>
    <row r="1127" customHeight="1" spans="1:3">
      <c r="A1127" s="5" t="s">
        <v>491</v>
      </c>
      <c r="C1127" s="5">
        <v>2</v>
      </c>
    </row>
    <row r="1128" customHeight="1" spans="1:3">
      <c r="A1128" s="5" t="s">
        <v>491</v>
      </c>
      <c r="C1128" s="5">
        <v>3</v>
      </c>
    </row>
    <row r="1129" customHeight="1" spans="1:3">
      <c r="A1129" s="5" t="s">
        <v>491</v>
      </c>
      <c r="C1129" s="5">
        <v>4</v>
      </c>
    </row>
    <row r="1130" customHeight="1" spans="1:3">
      <c r="A1130" s="5" t="s">
        <v>491</v>
      </c>
      <c r="C1130" s="5">
        <v>5</v>
      </c>
    </row>
    <row r="1131" customHeight="1" spans="1:3">
      <c r="A1131" s="18" t="s">
        <v>492</v>
      </c>
      <c r="C1131" s="18">
        <v>1</v>
      </c>
    </row>
    <row r="1132" customHeight="1" spans="1:3">
      <c r="A1132" s="18" t="s">
        <v>492</v>
      </c>
      <c r="C1132" s="18">
        <v>2</v>
      </c>
    </row>
    <row r="1133" customHeight="1" spans="1:3">
      <c r="A1133" s="18" t="s">
        <v>492</v>
      </c>
      <c r="C1133" s="18">
        <v>3</v>
      </c>
    </row>
    <row r="1134" customHeight="1" spans="1:3">
      <c r="A1134" s="18" t="s">
        <v>492</v>
      </c>
      <c r="C1134" s="18">
        <v>4</v>
      </c>
    </row>
    <row r="1135" customHeight="1" spans="1:3">
      <c r="A1135" s="18" t="s">
        <v>492</v>
      </c>
      <c r="C1135" s="18">
        <v>5</v>
      </c>
    </row>
    <row r="1136" customHeight="1" spans="1:3">
      <c r="A1136" s="18" t="s">
        <v>492</v>
      </c>
      <c r="C1136" s="18">
        <v>6</v>
      </c>
    </row>
    <row r="1137" customHeight="1" spans="1:3">
      <c r="A1137" s="18" t="s">
        <v>492</v>
      </c>
      <c r="C1137" s="18">
        <v>7</v>
      </c>
    </row>
    <row r="1138" customHeight="1" spans="1:3">
      <c r="A1138" s="18" t="s">
        <v>492</v>
      </c>
      <c r="C1138" s="18">
        <v>8</v>
      </c>
    </row>
    <row r="1139" customHeight="1" spans="1:3">
      <c r="A1139" s="5" t="s">
        <v>494</v>
      </c>
      <c r="C1139" s="5">
        <v>1</v>
      </c>
    </row>
    <row r="1140" customHeight="1" spans="1:3">
      <c r="A1140" s="5" t="s">
        <v>494</v>
      </c>
      <c r="C1140" s="5">
        <v>2</v>
      </c>
    </row>
    <row r="1141" customHeight="1" spans="1:3">
      <c r="A1141" s="5" t="s">
        <v>494</v>
      </c>
      <c r="C1141" s="5">
        <v>3</v>
      </c>
    </row>
    <row r="1142" customHeight="1" spans="1:3">
      <c r="A1142" s="5" t="s">
        <v>494</v>
      </c>
      <c r="C1142" s="5">
        <v>4</v>
      </c>
    </row>
    <row r="1143" customHeight="1" spans="1:3">
      <c r="A1143" s="5" t="s">
        <v>494</v>
      </c>
      <c r="C1143" s="5">
        <v>5</v>
      </c>
    </row>
    <row r="1144" customHeight="1" spans="1:3">
      <c r="A1144" s="18" t="s">
        <v>495</v>
      </c>
      <c r="C1144" s="18">
        <v>1</v>
      </c>
    </row>
    <row r="1145" customHeight="1" spans="1:3">
      <c r="A1145" s="18" t="s">
        <v>495</v>
      </c>
      <c r="C1145" s="18">
        <v>2</v>
      </c>
    </row>
    <row r="1146" customHeight="1" spans="1:3">
      <c r="A1146" s="18" t="s">
        <v>495</v>
      </c>
      <c r="C1146" s="18">
        <v>3</v>
      </c>
    </row>
    <row r="1147" customHeight="1" spans="1:3">
      <c r="A1147" s="18" t="s">
        <v>495</v>
      </c>
      <c r="C1147" s="18">
        <v>4</v>
      </c>
    </row>
    <row r="1148" customHeight="1" spans="1:3">
      <c r="A1148" s="18" t="s">
        <v>495</v>
      </c>
      <c r="C1148" s="18">
        <v>5</v>
      </c>
    </row>
    <row r="1149" customHeight="1" spans="1:3">
      <c r="A1149" s="5" t="s">
        <v>495</v>
      </c>
      <c r="C1149" s="5">
        <v>1</v>
      </c>
    </row>
    <row r="1150" customHeight="1" spans="1:3">
      <c r="A1150" s="5" t="s">
        <v>495</v>
      </c>
      <c r="C1150" s="5">
        <v>2</v>
      </c>
    </row>
    <row r="1151" customHeight="1" spans="1:3">
      <c r="A1151" s="5" t="s">
        <v>495</v>
      </c>
      <c r="C1151" s="5">
        <v>3</v>
      </c>
    </row>
    <row r="1152" customHeight="1" spans="1:3">
      <c r="A1152" s="5" t="s">
        <v>495</v>
      </c>
      <c r="C1152" s="5">
        <v>4</v>
      </c>
    </row>
    <row r="1153" customHeight="1" spans="1:3">
      <c r="A1153" s="5" t="s">
        <v>495</v>
      </c>
      <c r="C1153" s="5">
        <v>5</v>
      </c>
    </row>
    <row r="1154" customHeight="1" spans="1:3">
      <c r="A1154" s="18" t="s">
        <v>496</v>
      </c>
      <c r="C1154" s="18">
        <v>1</v>
      </c>
    </row>
    <row r="1155" customHeight="1" spans="1:3">
      <c r="A1155" s="18" t="s">
        <v>496</v>
      </c>
      <c r="C1155" s="18">
        <v>2</v>
      </c>
    </row>
    <row r="1156" customHeight="1" spans="1:3">
      <c r="A1156" s="18" t="s">
        <v>496</v>
      </c>
      <c r="C1156" s="18">
        <v>3</v>
      </c>
    </row>
    <row r="1157" customHeight="1" spans="1:3">
      <c r="A1157" s="18" t="s">
        <v>496</v>
      </c>
      <c r="C1157" s="18">
        <v>4</v>
      </c>
    </row>
    <row r="1158" customHeight="1" spans="1:3">
      <c r="A1158" s="18" t="s">
        <v>496</v>
      </c>
      <c r="C1158" s="18">
        <v>5</v>
      </c>
    </row>
    <row r="1159" customHeight="1" spans="1:3">
      <c r="A1159" s="18" t="s">
        <v>496</v>
      </c>
      <c r="C1159" s="18">
        <v>6</v>
      </c>
    </row>
    <row r="1160" customHeight="1" spans="1:3">
      <c r="A1160" s="18" t="s">
        <v>496</v>
      </c>
      <c r="C1160" s="18">
        <v>7</v>
      </c>
    </row>
    <row r="1161" customHeight="1" spans="1:3">
      <c r="A1161" s="18" t="s">
        <v>496</v>
      </c>
      <c r="C1161" s="18">
        <v>8</v>
      </c>
    </row>
    <row r="1162" customHeight="1" spans="1:3">
      <c r="A1162" s="5" t="s">
        <v>498</v>
      </c>
      <c r="C1162" s="5">
        <v>1</v>
      </c>
    </row>
    <row r="1163" customHeight="1" spans="1:3">
      <c r="A1163" s="5" t="s">
        <v>498</v>
      </c>
      <c r="C1163" s="5">
        <v>2</v>
      </c>
    </row>
    <row r="1164" customHeight="1" spans="1:3">
      <c r="A1164" s="5" t="s">
        <v>498</v>
      </c>
      <c r="C1164" s="5">
        <v>3</v>
      </c>
    </row>
    <row r="1165" customHeight="1" spans="1:3">
      <c r="A1165" s="5" t="s">
        <v>498</v>
      </c>
      <c r="C1165" s="5">
        <v>4</v>
      </c>
    </row>
    <row r="1166" customHeight="1" spans="1:3">
      <c r="A1166" s="5" t="s">
        <v>498</v>
      </c>
      <c r="C1166" s="5">
        <v>5</v>
      </c>
    </row>
    <row r="1167" customHeight="1" spans="1:3">
      <c r="A1167" s="18" t="s">
        <v>499</v>
      </c>
      <c r="C1167" s="18">
        <v>1</v>
      </c>
    </row>
    <row r="1168" customHeight="1" spans="1:3">
      <c r="A1168" s="18" t="s">
        <v>499</v>
      </c>
      <c r="C1168" s="18">
        <v>2</v>
      </c>
    </row>
    <row r="1169" customHeight="1" spans="1:3">
      <c r="A1169" s="18" t="s">
        <v>499</v>
      </c>
      <c r="C1169" s="18">
        <v>3</v>
      </c>
    </row>
    <row r="1170" customHeight="1" spans="1:3">
      <c r="A1170" s="18" t="s">
        <v>499</v>
      </c>
      <c r="C1170" s="18">
        <v>4</v>
      </c>
    </row>
    <row r="1171" customHeight="1" spans="1:3">
      <c r="A1171" s="18" t="s">
        <v>499</v>
      </c>
      <c r="C1171" s="18">
        <v>5</v>
      </c>
    </row>
    <row r="1172" customHeight="1" spans="1:3">
      <c r="A1172" s="5" t="s">
        <v>499</v>
      </c>
      <c r="C1172" s="5">
        <v>1</v>
      </c>
    </row>
    <row r="1173" customHeight="1" spans="1:3">
      <c r="A1173" s="5" t="s">
        <v>499</v>
      </c>
      <c r="C1173" s="5">
        <v>2</v>
      </c>
    </row>
    <row r="1174" customHeight="1" spans="1:3">
      <c r="A1174" s="5" t="s">
        <v>499</v>
      </c>
      <c r="C1174" s="5">
        <v>3</v>
      </c>
    </row>
    <row r="1175" customHeight="1" spans="1:3">
      <c r="A1175" s="5" t="s">
        <v>499</v>
      </c>
      <c r="C1175" s="5">
        <v>4</v>
      </c>
    </row>
    <row r="1176" customHeight="1" spans="1:3">
      <c r="A1176" s="5" t="s">
        <v>499</v>
      </c>
      <c r="C1176" s="5">
        <v>5</v>
      </c>
    </row>
    <row r="1177" customHeight="1" spans="1:3">
      <c r="A1177" s="18" t="s">
        <v>500</v>
      </c>
      <c r="C1177" s="18">
        <v>1</v>
      </c>
    </row>
    <row r="1178" customHeight="1" spans="1:3">
      <c r="A1178" s="18" t="s">
        <v>500</v>
      </c>
      <c r="C1178" s="18">
        <v>2</v>
      </c>
    </row>
    <row r="1179" customHeight="1" spans="1:3">
      <c r="A1179" s="18" t="s">
        <v>500</v>
      </c>
      <c r="C1179" s="18">
        <v>3</v>
      </c>
    </row>
    <row r="1180" customHeight="1" spans="1:3">
      <c r="A1180" s="18" t="s">
        <v>500</v>
      </c>
      <c r="C1180" s="18">
        <v>4</v>
      </c>
    </row>
    <row r="1181" customHeight="1" spans="1:3">
      <c r="A1181" s="18" t="s">
        <v>500</v>
      </c>
      <c r="C1181" s="18">
        <v>5</v>
      </c>
    </row>
    <row r="1182" customHeight="1" spans="1:3">
      <c r="A1182" s="18" t="s">
        <v>500</v>
      </c>
      <c r="C1182" s="18">
        <v>6</v>
      </c>
    </row>
    <row r="1183" customHeight="1" spans="1:3">
      <c r="A1183" s="18" t="s">
        <v>500</v>
      </c>
      <c r="C1183" s="18">
        <v>7</v>
      </c>
    </row>
    <row r="1184" customHeight="1" spans="1:3">
      <c r="A1184" s="18" t="s">
        <v>500</v>
      </c>
      <c r="C1184" s="18">
        <v>8</v>
      </c>
    </row>
    <row r="1185" customHeight="1" spans="1:3">
      <c r="A1185" s="5" t="s">
        <v>502</v>
      </c>
      <c r="C1185" s="5">
        <v>1</v>
      </c>
    </row>
    <row r="1186" customHeight="1" spans="1:3">
      <c r="A1186" s="5" t="s">
        <v>502</v>
      </c>
      <c r="C1186" s="5">
        <v>2</v>
      </c>
    </row>
    <row r="1187" customHeight="1" spans="1:3">
      <c r="A1187" s="5" t="s">
        <v>502</v>
      </c>
      <c r="C1187" s="5">
        <v>3</v>
      </c>
    </row>
    <row r="1188" customHeight="1" spans="1:3">
      <c r="A1188" s="5" t="s">
        <v>502</v>
      </c>
      <c r="C1188" s="5">
        <v>4</v>
      </c>
    </row>
    <row r="1189" customHeight="1" spans="1:3">
      <c r="A1189" s="5" t="s">
        <v>502</v>
      </c>
      <c r="C1189" s="5">
        <v>5</v>
      </c>
    </row>
    <row r="1190" customHeight="1" spans="1:3">
      <c r="A1190" s="18" t="s">
        <v>503</v>
      </c>
      <c r="C1190" s="18">
        <v>1</v>
      </c>
    </row>
    <row r="1191" customHeight="1" spans="1:3">
      <c r="A1191" s="18" t="s">
        <v>503</v>
      </c>
      <c r="C1191" s="18">
        <v>2</v>
      </c>
    </row>
    <row r="1192" customHeight="1" spans="1:3">
      <c r="A1192" s="18" t="s">
        <v>503</v>
      </c>
      <c r="C1192" s="18">
        <v>3</v>
      </c>
    </row>
    <row r="1193" customHeight="1" spans="1:3">
      <c r="A1193" s="18" t="s">
        <v>503</v>
      </c>
      <c r="C1193" s="18">
        <v>4</v>
      </c>
    </row>
    <row r="1194" customHeight="1" spans="1:3">
      <c r="A1194" s="18" t="s">
        <v>503</v>
      </c>
      <c r="C1194" s="18">
        <v>5</v>
      </c>
    </row>
    <row r="1195" customHeight="1" spans="1:3">
      <c r="A1195" s="5" t="s">
        <v>503</v>
      </c>
      <c r="C1195" s="5">
        <v>1</v>
      </c>
    </row>
    <row r="1196" customHeight="1" spans="1:3">
      <c r="A1196" s="5" t="s">
        <v>503</v>
      </c>
      <c r="C1196" s="5">
        <v>2</v>
      </c>
    </row>
    <row r="1197" customHeight="1" spans="1:3">
      <c r="A1197" s="5" t="s">
        <v>503</v>
      </c>
      <c r="C1197" s="5">
        <v>3</v>
      </c>
    </row>
    <row r="1198" customHeight="1" spans="1:3">
      <c r="A1198" s="5" t="s">
        <v>503</v>
      </c>
      <c r="C1198" s="5">
        <v>4</v>
      </c>
    </row>
    <row r="1199" customHeight="1" spans="1:3">
      <c r="A1199" s="5" t="s">
        <v>503</v>
      </c>
      <c r="C1199" s="5">
        <v>5</v>
      </c>
    </row>
    <row r="1200" customHeight="1" spans="1:3">
      <c r="A1200" s="18" t="s">
        <v>504</v>
      </c>
      <c r="C1200" s="18">
        <v>1</v>
      </c>
    </row>
    <row r="1201" customHeight="1" spans="1:3">
      <c r="A1201" s="18" t="s">
        <v>504</v>
      </c>
      <c r="C1201" s="18">
        <v>2</v>
      </c>
    </row>
    <row r="1202" customHeight="1" spans="1:3">
      <c r="A1202" s="18" t="s">
        <v>504</v>
      </c>
      <c r="C1202" s="18">
        <v>3</v>
      </c>
    </row>
    <row r="1203" customHeight="1" spans="1:3">
      <c r="A1203" s="18" t="s">
        <v>504</v>
      </c>
      <c r="C1203" s="18">
        <v>4</v>
      </c>
    </row>
    <row r="1204" customHeight="1" spans="1:3">
      <c r="A1204" s="18" t="s">
        <v>504</v>
      </c>
      <c r="C1204" s="18">
        <v>5</v>
      </c>
    </row>
    <row r="1205" customHeight="1" spans="1:3">
      <c r="A1205" s="18" t="s">
        <v>504</v>
      </c>
      <c r="C1205" s="18">
        <v>6</v>
      </c>
    </row>
    <row r="1206" customHeight="1" spans="1:3">
      <c r="A1206" s="18" t="s">
        <v>504</v>
      </c>
      <c r="C1206" s="18">
        <v>7</v>
      </c>
    </row>
    <row r="1207" customHeight="1" spans="1:3">
      <c r="A1207" s="18" t="s">
        <v>504</v>
      </c>
      <c r="C1207" s="18">
        <v>8</v>
      </c>
    </row>
  </sheetData>
  <mergeCells count="2">
    <mergeCell ref="X1:X4"/>
    <mergeCell ref="AG1:AG4"/>
  </mergeCells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4:AG16"/>
  <sheetViews>
    <sheetView showGridLines="0" zoomScale="90" zoomScaleNormal="90" workbookViewId="0">
      <selection activeCell="A5" sqref="$A5:$XFD5"/>
    </sheetView>
  </sheetViews>
  <sheetFormatPr defaultColWidth="9" defaultRowHeight="20" customHeight="1"/>
  <cols>
    <col min="1" max="1" width="20.625" style="1" customWidth="1"/>
    <col min="2" max="2" width="15" style="1" customWidth="1"/>
    <col min="3" max="3" width="9" style="1"/>
    <col min="4" max="4" width="8.875" style="1" customWidth="1"/>
    <col min="5" max="5" width="5.625" style="1" customWidth="1"/>
    <col min="6" max="6" width="8.875" style="1" customWidth="1"/>
    <col min="7" max="7" width="5.625" style="1" customWidth="1"/>
    <col min="8" max="8" width="6.75" style="1" customWidth="1"/>
    <col min="9" max="9" width="5.625" style="1" customWidth="1"/>
    <col min="10" max="10" width="6.75" style="1" customWidth="1"/>
    <col min="11" max="11" width="5.625" style="1" customWidth="1"/>
    <col min="12" max="12" width="6.75" style="1" customWidth="1"/>
    <col min="13" max="13" width="5.625" style="1" customWidth="1"/>
    <col min="14" max="14" width="6.75" style="1" customWidth="1"/>
    <col min="15" max="15" width="5.625" style="1" customWidth="1"/>
    <col min="16" max="16" width="6.75" style="1" customWidth="1"/>
    <col min="17" max="17" width="5.625" style="1" customWidth="1"/>
    <col min="18" max="18" width="6.75" style="1" customWidth="1"/>
    <col min="19" max="19" width="5.625" style="1" customWidth="1"/>
    <col min="20" max="22" width="7" style="1" customWidth="1"/>
    <col min="23" max="23" width="9.875" style="1" customWidth="1"/>
    <col min="24" max="24" width="9" style="1"/>
    <col min="25" max="32" width="6.75" style="1" customWidth="1"/>
    <col min="33" max="16384" width="9" style="1"/>
  </cols>
  <sheetData>
    <row r="4" ht="36" customHeight="1" spans="1:33">
      <c r="A4" s="2" t="s">
        <v>287</v>
      </c>
      <c r="B4" s="2" t="s">
        <v>576</v>
      </c>
      <c r="C4" s="3" t="s">
        <v>218</v>
      </c>
      <c r="D4" s="4" t="s">
        <v>579</v>
      </c>
      <c r="E4" s="4" t="s">
        <v>604</v>
      </c>
      <c r="F4" s="4" t="s">
        <v>581</v>
      </c>
      <c r="G4" s="4" t="s">
        <v>604</v>
      </c>
      <c r="H4" s="4" t="s">
        <v>583</v>
      </c>
      <c r="I4" s="4" t="s">
        <v>604</v>
      </c>
      <c r="J4" s="2" t="s">
        <v>586</v>
      </c>
      <c r="K4" s="2" t="s">
        <v>604</v>
      </c>
      <c r="L4" s="2" t="s">
        <v>588</v>
      </c>
      <c r="M4" s="2" t="s">
        <v>604</v>
      </c>
      <c r="N4" s="2" t="s">
        <v>590</v>
      </c>
      <c r="O4" s="2" t="s">
        <v>604</v>
      </c>
      <c r="P4" s="8" t="s">
        <v>219</v>
      </c>
      <c r="Q4" s="8" t="s">
        <v>604</v>
      </c>
      <c r="R4" s="8" t="s">
        <v>220</v>
      </c>
      <c r="S4" s="8" t="s">
        <v>604</v>
      </c>
      <c r="T4" s="4" t="s">
        <v>609</v>
      </c>
      <c r="U4" s="9" t="s">
        <v>610</v>
      </c>
      <c r="V4" s="10" t="s">
        <v>611</v>
      </c>
      <c r="W4" s="11" t="s">
        <v>600</v>
      </c>
      <c r="X4" s="12"/>
      <c r="Y4" s="4" t="s">
        <v>579</v>
      </c>
      <c r="Z4" s="4" t="s">
        <v>581</v>
      </c>
      <c r="AA4" s="4" t="s">
        <v>583</v>
      </c>
      <c r="AB4" s="2" t="s">
        <v>586</v>
      </c>
      <c r="AC4" s="2" t="s">
        <v>588</v>
      </c>
      <c r="AD4" s="2" t="s">
        <v>590</v>
      </c>
      <c r="AE4" s="8" t="s">
        <v>219</v>
      </c>
      <c r="AF4" s="8" t="s">
        <v>220</v>
      </c>
      <c r="AG4" s="12"/>
    </row>
    <row r="5" customHeight="1" spans="1:32">
      <c r="A5" s="5" t="s">
        <v>612</v>
      </c>
      <c r="B5" s="6" t="s">
        <v>613</v>
      </c>
      <c r="C5" s="1">
        <v>1</v>
      </c>
      <c r="D5" s="1" t="s">
        <v>106</v>
      </c>
      <c r="E5" s="1">
        <v>0</v>
      </c>
      <c r="J5" s="1" t="s">
        <v>208</v>
      </c>
      <c r="K5" s="1">
        <v>4000</v>
      </c>
      <c r="L5" s="1" t="s">
        <v>200</v>
      </c>
      <c r="M5" s="1">
        <v>150</v>
      </c>
      <c r="N5" s="1" t="s">
        <v>207</v>
      </c>
      <c r="O5" s="1">
        <v>750</v>
      </c>
      <c r="P5" s="1" t="s">
        <v>106</v>
      </c>
      <c r="Q5" s="1">
        <v>30</v>
      </c>
      <c r="T5" s="1">
        <f t="shared" ref="T5:T8" si="0">SUM(Y5:AA5)</f>
        <v>0</v>
      </c>
      <c r="U5" s="1">
        <f t="shared" ref="U5:U8" si="1">SUM(AB5:AC5)</f>
        <v>1977</v>
      </c>
      <c r="V5" s="13">
        <f t="shared" ref="V5:V8" si="2">SUM(AE5:AF5)</f>
        <v>600</v>
      </c>
      <c r="W5" s="14">
        <f t="shared" ref="W5:W8" si="3">V5-T5-U5</f>
        <v>-1377</v>
      </c>
      <c r="Y5" s="1">
        <f>IFERROR(ROUND(E5*VLOOKUP(D5,商品!$A$4:$D$67,4,FALSE),0),"")</f>
        <v>0</v>
      </c>
      <c r="Z5" s="1" t="str">
        <f>IFERROR(ROUND(G5*VLOOKUP(F5,商品!$A$4:$D$67,4,FALSE),0),"")</f>
        <v/>
      </c>
      <c r="AA5" s="1" t="str">
        <f>IFERROR(ROUND(I5*VLOOKUP(H5,商品!$A$4:$D$67,4,FALSE),0),"")</f>
        <v/>
      </c>
      <c r="AB5" s="1">
        <f>IFERROR(ROUND(K5*VLOOKUP(J5,职业!$A$3:$E$16,4,FALSE),0),"")</f>
        <v>1860</v>
      </c>
      <c r="AC5" s="1">
        <f>IFERROR(ROUND(M5*VLOOKUP(L5,职业!$A$3:$E$16,4,FALSE),0),"")</f>
        <v>117</v>
      </c>
      <c r="AD5" s="1">
        <f>IFERROR(ROUND(O5*VLOOKUP(N5,职业!$A$3:$E$16,4,FALSE),0),"")</f>
        <v>349</v>
      </c>
      <c r="AE5" s="1">
        <f>IFERROR(ROUND(Q5*VLOOKUP(P5,商品!$A$4:$D$67,4,FALSE),0),"")</f>
        <v>600</v>
      </c>
      <c r="AF5" s="1" t="str">
        <f>IFERROR(ROUND(S5*VLOOKUP(R5,商品!$A$4:$D$67,4,FALSE),0),"")</f>
        <v/>
      </c>
    </row>
    <row r="6" customHeight="1" spans="1:32">
      <c r="A6" s="5" t="s">
        <v>612</v>
      </c>
      <c r="B6" s="1" t="s">
        <v>614</v>
      </c>
      <c r="C6" s="1">
        <v>2</v>
      </c>
      <c r="D6" s="1" t="s">
        <v>128</v>
      </c>
      <c r="E6" s="1">
        <v>10</v>
      </c>
      <c r="J6" s="1" t="s">
        <v>208</v>
      </c>
      <c r="K6" s="1">
        <v>3750</v>
      </c>
      <c r="L6" s="1" t="s">
        <v>200</v>
      </c>
      <c r="M6" s="1">
        <v>150</v>
      </c>
      <c r="N6" s="1" t="s">
        <v>207</v>
      </c>
      <c r="O6" s="1">
        <v>1000</v>
      </c>
      <c r="P6" s="1" t="s">
        <v>106</v>
      </c>
      <c r="Q6" s="1">
        <v>50</v>
      </c>
      <c r="T6" s="1">
        <f t="shared" si="0"/>
        <v>600</v>
      </c>
      <c r="U6" s="1">
        <f t="shared" si="1"/>
        <v>1861</v>
      </c>
      <c r="V6" s="13">
        <f t="shared" si="2"/>
        <v>1000</v>
      </c>
      <c r="W6" s="14">
        <f t="shared" si="3"/>
        <v>-1461</v>
      </c>
      <c r="Y6" s="1">
        <f>IFERROR(ROUND(E6*VLOOKUP(D6,商品!$A$4:$D$67,4,FALSE),0),"")</f>
        <v>600</v>
      </c>
      <c r="Z6" s="1" t="str">
        <f>IFERROR(ROUND(G6*VLOOKUP(F6,商品!$A$4:$D$67,4,FALSE),0),"")</f>
        <v/>
      </c>
      <c r="AA6" s="1" t="str">
        <f>IFERROR(ROUND(I6*VLOOKUP(H6,商品!$A$4:$D$67,4,FALSE),0),"")</f>
        <v/>
      </c>
      <c r="AB6" s="1">
        <f>IFERROR(ROUND(K6*VLOOKUP(J6,职业!$A$3:$E$16,4,FALSE),0),"")</f>
        <v>1744</v>
      </c>
      <c r="AC6" s="1">
        <f>IFERROR(ROUND(M6*VLOOKUP(L6,职业!$A$3:$E$16,4,FALSE),0),"")</f>
        <v>117</v>
      </c>
      <c r="AD6" s="1">
        <f>IFERROR(ROUND(O6*VLOOKUP(N6,职业!$A$3:$E$16,4,FALSE),0),"")</f>
        <v>465</v>
      </c>
      <c r="AE6" s="1">
        <f>IFERROR(ROUND(Q6*VLOOKUP(P6,商品!$A$4:$D$67,4,FALSE),0),"")</f>
        <v>1000</v>
      </c>
      <c r="AF6" s="1" t="str">
        <f>IFERROR(ROUND(S6*VLOOKUP(R6,商品!$A$4:$D$67,4,FALSE),0),"")</f>
        <v/>
      </c>
    </row>
    <row r="7" customHeight="1" spans="1:32">
      <c r="A7" s="5" t="s">
        <v>612</v>
      </c>
      <c r="B7" s="1" t="s">
        <v>128</v>
      </c>
      <c r="C7" s="1">
        <v>3</v>
      </c>
      <c r="D7" s="1" t="s">
        <v>128</v>
      </c>
      <c r="E7" s="1">
        <v>30</v>
      </c>
      <c r="J7" s="1" t="s">
        <v>208</v>
      </c>
      <c r="K7" s="1">
        <v>3250</v>
      </c>
      <c r="L7" s="1" t="s">
        <v>200</v>
      </c>
      <c r="M7" s="1">
        <v>150</v>
      </c>
      <c r="N7" s="1" t="s">
        <v>207</v>
      </c>
      <c r="O7" s="1">
        <v>1500</v>
      </c>
      <c r="P7" s="1" t="s">
        <v>106</v>
      </c>
      <c r="Q7" s="1">
        <v>95</v>
      </c>
      <c r="T7" s="1">
        <f t="shared" si="0"/>
        <v>1800</v>
      </c>
      <c r="U7" s="1">
        <f t="shared" si="1"/>
        <v>1628</v>
      </c>
      <c r="V7" s="13">
        <f t="shared" si="2"/>
        <v>1900</v>
      </c>
      <c r="W7" s="14">
        <f t="shared" si="3"/>
        <v>-1528</v>
      </c>
      <c r="Y7" s="1">
        <f>IFERROR(ROUND(E7*VLOOKUP(D7,商品!$A$4:$D$67,4,FALSE),0),"")</f>
        <v>1800</v>
      </c>
      <c r="Z7" s="1" t="str">
        <f>IFERROR(ROUND(G7*VLOOKUP(F7,商品!$A$4:$D$67,4,FALSE),0),"")</f>
        <v/>
      </c>
      <c r="AA7" s="1" t="str">
        <f>IFERROR(ROUND(I7*VLOOKUP(H7,商品!$A$4:$D$67,4,FALSE),0),"")</f>
        <v/>
      </c>
      <c r="AB7" s="1">
        <f>IFERROR(ROUND(K7*VLOOKUP(J7,职业!$A$3:$E$16,4,FALSE),0),"")</f>
        <v>1511</v>
      </c>
      <c r="AC7" s="1">
        <f>IFERROR(ROUND(M7*VLOOKUP(L7,职业!$A$3:$E$16,4,FALSE),0),"")</f>
        <v>117</v>
      </c>
      <c r="AD7" s="1">
        <f>IFERROR(ROUND(O7*VLOOKUP(N7,职业!$A$3:$E$16,4,FALSE),0),"")</f>
        <v>698</v>
      </c>
      <c r="AE7" s="1">
        <f>IFERROR(ROUND(Q7*VLOOKUP(P7,商品!$A$4:$D$67,4,FALSE),0),"")</f>
        <v>1900</v>
      </c>
      <c r="AF7" s="1" t="str">
        <f>IFERROR(ROUND(S7*VLOOKUP(R7,商品!$A$4:$D$67,4,FALSE),0),"")</f>
        <v/>
      </c>
    </row>
    <row r="8" customHeight="1" spans="1:32">
      <c r="A8" s="5" t="s">
        <v>612</v>
      </c>
      <c r="B8" s="1" t="s">
        <v>615</v>
      </c>
      <c r="C8" s="1">
        <v>4</v>
      </c>
      <c r="D8" s="1" t="s">
        <v>128</v>
      </c>
      <c r="E8" s="1">
        <v>60</v>
      </c>
      <c r="J8" s="1" t="s">
        <v>208</v>
      </c>
      <c r="K8" s="1">
        <v>2500</v>
      </c>
      <c r="L8" s="1" t="s">
        <v>200</v>
      </c>
      <c r="M8" s="1">
        <v>150</v>
      </c>
      <c r="N8" s="1" t="s">
        <v>207</v>
      </c>
      <c r="O8" s="1">
        <v>2250</v>
      </c>
      <c r="P8" s="1" t="s">
        <v>106</v>
      </c>
      <c r="Q8" s="1">
        <v>165</v>
      </c>
      <c r="T8" s="1">
        <f t="shared" si="0"/>
        <v>3600</v>
      </c>
      <c r="U8" s="1">
        <f t="shared" si="1"/>
        <v>1280</v>
      </c>
      <c r="V8" s="13">
        <f t="shared" si="2"/>
        <v>3300</v>
      </c>
      <c r="W8" s="14">
        <f t="shared" si="3"/>
        <v>-1580</v>
      </c>
      <c r="Y8" s="1">
        <f>IFERROR(ROUND(E8*VLOOKUP(D8,商品!$A$4:$D$67,4,FALSE),0),"")</f>
        <v>3600</v>
      </c>
      <c r="Z8" s="1" t="str">
        <f>IFERROR(ROUND(G8*VLOOKUP(F8,商品!$A$4:$D$67,4,FALSE),0),"")</f>
        <v/>
      </c>
      <c r="AA8" s="1" t="str">
        <f>IFERROR(ROUND(I8*VLOOKUP(H8,商品!$A$4:$D$67,4,FALSE),0),"")</f>
        <v/>
      </c>
      <c r="AB8" s="1">
        <f>IFERROR(ROUND(K8*VLOOKUP(J8,职业!$A$3:$E$16,4,FALSE),0),"")</f>
        <v>1163</v>
      </c>
      <c r="AC8" s="1">
        <f>IFERROR(ROUND(M8*VLOOKUP(L8,职业!$A$3:$E$16,4,FALSE),0),"")</f>
        <v>117</v>
      </c>
      <c r="AD8" s="1">
        <f>IFERROR(ROUND(O8*VLOOKUP(N8,职业!$A$3:$E$16,4,FALSE),0),"")</f>
        <v>1046</v>
      </c>
      <c r="AE8" s="1">
        <f>IFERROR(ROUND(Q8*VLOOKUP(P8,商品!$A$4:$D$67,4,FALSE),0),"")</f>
        <v>3300</v>
      </c>
      <c r="AF8" s="1" t="str">
        <f>IFERROR(ROUND(S8*VLOOKUP(R8,商品!$A$4:$D$67,4,FALSE),0),"")</f>
        <v/>
      </c>
    </row>
    <row r="9" customHeight="1" spans="1:23">
      <c r="A9" s="7" t="s">
        <v>616</v>
      </c>
      <c r="B9" s="1" t="s">
        <v>617</v>
      </c>
      <c r="C9" s="1">
        <v>1</v>
      </c>
      <c r="W9" s="15"/>
    </row>
    <row r="10" customHeight="1" spans="1:32">
      <c r="A10" s="7" t="s">
        <v>616</v>
      </c>
      <c r="B10" s="1" t="s">
        <v>618</v>
      </c>
      <c r="C10" s="1">
        <v>2</v>
      </c>
      <c r="D10" s="1" t="s">
        <v>106</v>
      </c>
      <c r="E10" s="1">
        <v>15</v>
      </c>
      <c r="P10" s="1" t="s">
        <v>115</v>
      </c>
      <c r="Q10" s="1">
        <v>6</v>
      </c>
      <c r="R10" s="1" t="s">
        <v>113</v>
      </c>
      <c r="S10" s="1">
        <v>4</v>
      </c>
      <c r="T10" s="1">
        <f t="shared" ref="T10:T16" si="4">SUM(Y10:AA10)</f>
        <v>300</v>
      </c>
      <c r="U10" s="1">
        <f t="shared" ref="U10:U16" si="5">SUM(AB10:AC10)</f>
        <v>0</v>
      </c>
      <c r="V10" s="13">
        <f t="shared" ref="V10:V16" si="6">SUM(AE10:AF10)</f>
        <v>400</v>
      </c>
      <c r="W10" s="14">
        <f t="shared" ref="W10:W16" si="7">V10-T10-U10</f>
        <v>100</v>
      </c>
      <c r="Y10" s="1">
        <f>IFERROR(ROUND(E10*VLOOKUP(D10,商品!$A$4:$D$67,4,FALSE),0),"")</f>
        <v>300</v>
      </c>
      <c r="Z10" s="1" t="str">
        <f>IFERROR(ROUND(G10*VLOOKUP(F10,商品!$A$4:$D$67,4,FALSE),0),"")</f>
        <v/>
      </c>
      <c r="AA10" s="1" t="str">
        <f>IFERROR(ROUND(I10*VLOOKUP(H10,商品!$A$4:$D$67,4,FALSE),0),"")</f>
        <v/>
      </c>
      <c r="AB10" s="1" t="str">
        <f>IFERROR(ROUND(K10*VLOOKUP(J10,职业!$A$3:$E$16,4,FALSE),0),"")</f>
        <v/>
      </c>
      <c r="AC10" s="1" t="str">
        <f>IFERROR(ROUND(M10*VLOOKUP(L10,职业!$A$3:$E$16,4,FALSE),0),"")</f>
        <v/>
      </c>
      <c r="AD10" s="1" t="str">
        <f>IFERROR(ROUND(O10*VLOOKUP(N10,职业!$A$3:$E$16,4,FALSE),0),"")</f>
        <v/>
      </c>
      <c r="AE10" s="1">
        <f>IFERROR(ROUND(Q10*VLOOKUP(P10,商品!$A$4:$D$67,4,FALSE),0),"")</f>
        <v>240</v>
      </c>
      <c r="AF10" s="1">
        <f>IFERROR(ROUND(S10*VLOOKUP(R10,商品!$A$4:$D$67,4,FALSE),0),"")</f>
        <v>160</v>
      </c>
    </row>
    <row r="11" customHeight="1" spans="1:32">
      <c r="A11" s="7" t="s">
        <v>616</v>
      </c>
      <c r="B11" s="1" t="s">
        <v>619</v>
      </c>
      <c r="C11" s="1">
        <v>3</v>
      </c>
      <c r="D11" s="1" t="s">
        <v>106</v>
      </c>
      <c r="E11" s="1">
        <v>20</v>
      </c>
      <c r="P11" s="1" t="s">
        <v>139</v>
      </c>
      <c r="Q11" s="1">
        <v>8</v>
      </c>
      <c r="T11" s="1">
        <f t="shared" si="4"/>
        <v>400</v>
      </c>
      <c r="U11" s="1">
        <f t="shared" si="5"/>
        <v>0</v>
      </c>
      <c r="V11" s="13">
        <f t="shared" si="6"/>
        <v>240</v>
      </c>
      <c r="W11" s="14">
        <f t="shared" si="7"/>
        <v>-160</v>
      </c>
      <c r="Y11" s="1">
        <f>IFERROR(ROUND(E11*VLOOKUP(D11,商品!$A$4:$D$67,4,FALSE),0),"")</f>
        <v>400</v>
      </c>
      <c r="Z11" s="1" t="str">
        <f>IFERROR(ROUND(G11*VLOOKUP(F11,商品!$A$4:$D$67,4,FALSE),0),"")</f>
        <v/>
      </c>
      <c r="AA11" s="1" t="str">
        <f>IFERROR(ROUND(I11*VLOOKUP(H11,商品!$A$4:$D$67,4,FALSE),0),"")</f>
        <v/>
      </c>
      <c r="AB11" s="1" t="str">
        <f>IFERROR(ROUND(K11*VLOOKUP(J11,职业!$A$3:$E$16,4,FALSE),0),"")</f>
        <v/>
      </c>
      <c r="AC11" s="1" t="str">
        <f>IFERROR(ROUND(M11*VLOOKUP(L11,职业!$A$3:$E$16,4,FALSE),0),"")</f>
        <v/>
      </c>
      <c r="AD11" s="1" t="str">
        <f>IFERROR(ROUND(O11*VLOOKUP(N11,职业!$A$3:$E$16,4,FALSE),0),"")</f>
        <v/>
      </c>
      <c r="AE11" s="1">
        <f>IFERROR(ROUND(Q11*VLOOKUP(P11,商品!$A$4:$D$67,4,FALSE),0),"")</f>
        <v>240</v>
      </c>
      <c r="AF11" s="1" t="str">
        <f>IFERROR(ROUND(S11*VLOOKUP(R11,商品!$A$4:$D$67,4,FALSE),0),"")</f>
        <v/>
      </c>
    </row>
    <row r="12" customHeight="1" spans="1:23">
      <c r="A12" s="5" t="s">
        <v>620</v>
      </c>
      <c r="B12" s="1" t="s">
        <v>621</v>
      </c>
      <c r="C12" s="1">
        <v>1</v>
      </c>
      <c r="W12" s="15"/>
    </row>
    <row r="13" customHeight="1" spans="1:32">
      <c r="A13" s="5" t="s">
        <v>620</v>
      </c>
      <c r="B13" s="1" t="s">
        <v>622</v>
      </c>
      <c r="C13" s="1">
        <v>2</v>
      </c>
      <c r="D13" s="1" t="s">
        <v>145</v>
      </c>
      <c r="E13" s="1">
        <v>5</v>
      </c>
      <c r="J13" s="1" t="s">
        <v>208</v>
      </c>
      <c r="K13" s="1">
        <v>-1000</v>
      </c>
      <c r="L13" s="1" t="s">
        <v>207</v>
      </c>
      <c r="M13" s="1">
        <v>200</v>
      </c>
      <c r="T13" s="1">
        <f t="shared" si="4"/>
        <v>200</v>
      </c>
      <c r="U13" s="1">
        <f t="shared" si="5"/>
        <v>-372</v>
      </c>
      <c r="V13" s="13">
        <f t="shared" si="6"/>
        <v>0</v>
      </c>
      <c r="W13" s="14">
        <f t="shared" si="7"/>
        <v>172</v>
      </c>
      <c r="Y13" s="1">
        <f>IFERROR(ROUND(E13*VLOOKUP(D13,商品!$A$4:$D$67,4,FALSE),0),"")</f>
        <v>200</v>
      </c>
      <c r="Z13" s="1" t="str">
        <f>IFERROR(ROUND(G13*VLOOKUP(F13,商品!$A$4:$D$67,4,FALSE),0),"")</f>
        <v/>
      </c>
      <c r="AA13" s="1" t="str">
        <f>IFERROR(ROUND(I13*VLOOKUP(H13,商品!$A$4:$D$67,4,FALSE),0),"")</f>
        <v/>
      </c>
      <c r="AB13" s="1">
        <f>IFERROR(ROUND(K13*VLOOKUP(J13,职业!$A$3:$E$16,4,FALSE),0),"")</f>
        <v>-465</v>
      </c>
      <c r="AC13" s="1">
        <f>IFERROR(ROUND(M13*VLOOKUP(L13,职业!$A$3:$E$16,4,FALSE),0),"")</f>
        <v>93</v>
      </c>
      <c r="AD13" s="1" t="str">
        <f>IFERROR(ROUND(O13*VLOOKUP(N13,职业!$A$3:$E$16,4,FALSE),0),"")</f>
        <v/>
      </c>
      <c r="AE13" s="1" t="str">
        <f>IFERROR(ROUND(Q13*VLOOKUP(P13,商品!$A$4:$D$67,4,FALSE),0),"")</f>
        <v/>
      </c>
      <c r="AF13" s="1" t="str">
        <f>IFERROR(ROUND(S13*VLOOKUP(R13,商品!$A$4:$D$67,4,FALSE),0),"")</f>
        <v/>
      </c>
    </row>
    <row r="14" customHeight="1" spans="1:32">
      <c r="A14" s="5" t="s">
        <v>620</v>
      </c>
      <c r="B14" s="1" t="s">
        <v>623</v>
      </c>
      <c r="C14" s="1">
        <v>3</v>
      </c>
      <c r="D14" s="1" t="s">
        <v>145</v>
      </c>
      <c r="E14" s="1">
        <v>5</v>
      </c>
      <c r="F14" s="1" t="s">
        <v>122</v>
      </c>
      <c r="G14" s="1">
        <v>5</v>
      </c>
      <c r="J14" s="1" t="s">
        <v>208</v>
      </c>
      <c r="K14" s="1">
        <v>-2000</v>
      </c>
      <c r="L14" s="1" t="s">
        <v>207</v>
      </c>
      <c r="M14" s="1">
        <v>400</v>
      </c>
      <c r="T14" s="1">
        <f t="shared" si="4"/>
        <v>350</v>
      </c>
      <c r="U14" s="1">
        <f t="shared" si="5"/>
        <v>-744</v>
      </c>
      <c r="V14" s="13">
        <f t="shared" si="6"/>
        <v>0</v>
      </c>
      <c r="W14" s="14">
        <f t="shared" si="7"/>
        <v>394</v>
      </c>
      <c r="Y14" s="1">
        <f>IFERROR(ROUND(E14*VLOOKUP(D14,商品!$A$4:$D$67,4,FALSE),0),"")</f>
        <v>200</v>
      </c>
      <c r="Z14" s="1">
        <f>IFERROR(ROUND(G14*VLOOKUP(F14,商品!$A$4:$D$67,4,FALSE),0),"")</f>
        <v>150</v>
      </c>
      <c r="AA14" s="1" t="str">
        <f>IFERROR(ROUND(I14*VLOOKUP(H14,商品!$A$4:$D$67,4,FALSE),0),"")</f>
        <v/>
      </c>
      <c r="AB14" s="1">
        <f>IFERROR(ROUND(K14*VLOOKUP(J14,职业!$A$3:$E$16,4,FALSE),0),"")</f>
        <v>-930</v>
      </c>
      <c r="AC14" s="1">
        <f>IFERROR(ROUND(M14*VLOOKUP(L14,职业!$A$3:$E$16,4,FALSE),0),"")</f>
        <v>186</v>
      </c>
      <c r="AD14" s="1" t="str">
        <f>IFERROR(ROUND(O14*VLOOKUP(N14,职业!$A$3:$E$16,4,FALSE),0),"")</f>
        <v/>
      </c>
      <c r="AE14" s="1" t="str">
        <f>IFERROR(ROUND(Q14*VLOOKUP(P14,商品!$A$4:$D$67,4,FALSE),0),"")</f>
        <v/>
      </c>
      <c r="AF14" s="1" t="str">
        <f>IFERROR(ROUND(S14*VLOOKUP(R14,商品!$A$4:$D$67,4,FALSE),0),"")</f>
        <v/>
      </c>
    </row>
    <row r="15" customHeight="1" spans="1:32">
      <c r="A15" s="5" t="s">
        <v>620</v>
      </c>
      <c r="B15" s="1" t="s">
        <v>624</v>
      </c>
      <c r="C15" s="1">
        <v>4</v>
      </c>
      <c r="D15" s="1" t="s">
        <v>122</v>
      </c>
      <c r="E15" s="1">
        <v>10</v>
      </c>
      <c r="F15" s="1" t="s">
        <v>149</v>
      </c>
      <c r="G15" s="1">
        <v>1</v>
      </c>
      <c r="J15" s="1" t="s">
        <v>208</v>
      </c>
      <c r="K15" s="1">
        <v>-2500</v>
      </c>
      <c r="L15" s="1" t="s">
        <v>207</v>
      </c>
      <c r="M15" s="1">
        <v>-500</v>
      </c>
      <c r="N15" s="1" t="s">
        <v>625</v>
      </c>
      <c r="O15" s="1">
        <v>150</v>
      </c>
      <c r="T15" s="1">
        <f t="shared" si="4"/>
        <v>380</v>
      </c>
      <c r="U15" s="1">
        <f t="shared" si="5"/>
        <v>-1396</v>
      </c>
      <c r="V15" s="13">
        <f t="shared" si="6"/>
        <v>0</v>
      </c>
      <c r="W15" s="14">
        <f t="shared" si="7"/>
        <v>1016</v>
      </c>
      <c r="Y15" s="1">
        <f>IFERROR(ROUND(E15*VLOOKUP(D15,商品!$A$4:$D$67,4,FALSE),0),"")</f>
        <v>300</v>
      </c>
      <c r="Z15" s="1">
        <f>IFERROR(ROUND(G15*VLOOKUP(F15,商品!$A$4:$D$67,4,FALSE),0),"")</f>
        <v>80</v>
      </c>
      <c r="AA15" s="1" t="str">
        <f>IFERROR(ROUND(I15*VLOOKUP(H15,商品!$A$4:$D$67,4,FALSE),0),"")</f>
        <v/>
      </c>
      <c r="AB15" s="1">
        <f>IFERROR(ROUND(K15*VLOOKUP(J15,职业!$A$3:$E$16,4,FALSE),0),"")</f>
        <v>-1163</v>
      </c>
      <c r="AC15" s="1">
        <f>IFERROR(ROUND(M15*VLOOKUP(L15,职业!$A$3:$E$16,4,FALSE),0),"")</f>
        <v>-233</v>
      </c>
      <c r="AD15" s="1" t="str">
        <f>IFERROR(ROUND(O15*VLOOKUP(N15,职业!$A$3:$E$16,4,FALSE),0),"")</f>
        <v/>
      </c>
      <c r="AE15" s="1" t="str">
        <f>IFERROR(ROUND(Q15*VLOOKUP(P15,商品!$A$4:$D$67,4,FALSE),0),"")</f>
        <v/>
      </c>
      <c r="AF15" s="1" t="str">
        <f>IFERROR(ROUND(S15*VLOOKUP(R15,商品!$A$4:$D$67,4,FALSE),0),"")</f>
        <v/>
      </c>
    </row>
    <row r="16" customHeight="1" spans="1:32">
      <c r="A16" s="5" t="s">
        <v>620</v>
      </c>
      <c r="B16" s="1" t="s">
        <v>626</v>
      </c>
      <c r="C16" s="1">
        <v>5</v>
      </c>
      <c r="D16" s="1" t="s">
        <v>149</v>
      </c>
      <c r="E16" s="1">
        <v>1</v>
      </c>
      <c r="F16" s="1" t="s">
        <v>627</v>
      </c>
      <c r="G16" s="1">
        <v>5</v>
      </c>
      <c r="J16" s="1" t="s">
        <v>208</v>
      </c>
      <c r="K16" s="1">
        <v>-3000</v>
      </c>
      <c r="L16" s="1" t="s">
        <v>207</v>
      </c>
      <c r="M16" s="1">
        <v>-750</v>
      </c>
      <c r="N16" s="1" t="s">
        <v>625</v>
      </c>
      <c r="O16" s="1">
        <v>300</v>
      </c>
      <c r="T16" s="1">
        <f t="shared" si="4"/>
        <v>80</v>
      </c>
      <c r="U16" s="1">
        <f t="shared" si="5"/>
        <v>-1744</v>
      </c>
      <c r="V16" s="13">
        <f t="shared" si="6"/>
        <v>0</v>
      </c>
      <c r="W16" s="14">
        <f t="shared" si="7"/>
        <v>1664</v>
      </c>
      <c r="Y16" s="1">
        <f>IFERROR(ROUND(E16*VLOOKUP(D16,商品!$A$4:$D$67,4,FALSE),0),"")</f>
        <v>80</v>
      </c>
      <c r="Z16" s="1" t="str">
        <f>IFERROR(ROUND(G16*VLOOKUP(F16,商品!$A$4:$D$67,4,FALSE),0),"")</f>
        <v/>
      </c>
      <c r="AA16" s="1" t="str">
        <f>IFERROR(ROUND(I16*VLOOKUP(H16,商品!$A$4:$D$67,4,FALSE),0),"")</f>
        <v/>
      </c>
      <c r="AB16" s="1">
        <f>IFERROR(ROUND(K16*VLOOKUP(J16,职业!$A$3:$E$16,4,FALSE),0),"")</f>
        <v>-1395</v>
      </c>
      <c r="AC16" s="1">
        <f>IFERROR(ROUND(M16*VLOOKUP(L16,职业!$A$3:$E$16,4,FALSE),0),"")</f>
        <v>-349</v>
      </c>
      <c r="AD16" s="1" t="str">
        <f>IFERROR(ROUND(O16*VLOOKUP(N16,职业!$A$3:$E$16,4,FALSE),0),"")</f>
        <v/>
      </c>
      <c r="AE16" s="1" t="str">
        <f>IFERROR(ROUND(Q16*VLOOKUP(P16,商品!$A$4:$D$67,4,FALSE),0),"")</f>
        <v/>
      </c>
      <c r="AF16" s="1" t="str">
        <f>IFERROR(ROUND(S16*VLOOKUP(R16,商品!$A$4:$D$67,4,FALSE),0),"")</f>
        <v/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商品定位</vt:lpstr>
      <vt:lpstr>商品</vt:lpstr>
      <vt:lpstr>生活水平</vt:lpstr>
      <vt:lpstr>职业</vt:lpstr>
      <vt:lpstr>建筑</vt:lpstr>
      <vt:lpstr>生产方式组</vt:lpstr>
      <vt:lpstr>生产方式定位</vt:lpstr>
      <vt:lpstr>生产方式A</vt:lpstr>
      <vt:lpstr>生产方式B</vt:lpstr>
      <vt:lpstr>临时演算表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稿子写完了吗</cp:lastModifiedBy>
  <dcterms:created xsi:type="dcterms:W3CDTF">2022-05-30T14:57:00Z</dcterms:created>
  <dcterms:modified xsi:type="dcterms:W3CDTF">2022-06-19T18:11:21Z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F5122D32B14345358BE3547F3BCF1271</vt:lpwstr>
  </property>
  <property fmtid="{D5CDD505-2E9C-101B-9397-08002B2CF9AE}" pid="3" name="KSOProductBuildVer">
    <vt:lpwstr>2052-11.1.0.11744</vt:lpwstr>
  </property>
</Properties>
</file>