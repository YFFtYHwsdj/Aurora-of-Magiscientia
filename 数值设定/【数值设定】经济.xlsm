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7"/>
  </bookViews>
  <sheets>
    <sheet name="商品定位" sheetId="4" r:id="rId1"/>
    <sheet name="商品" sheetId="1" r:id="rId2"/>
    <sheet name="生活水平" sheetId="8" r:id="rId3"/>
    <sheet name="职业" sheetId="2" r:id="rId4"/>
    <sheet name="建筑" sheetId="3" r:id="rId5"/>
    <sheet name="生产方式组" sheetId="10" r:id="rId6"/>
    <sheet name="生产方式定位" sheetId="5" r:id="rId7"/>
    <sheet name="生产方式" sheetId="7" r:id="rId8"/>
    <sheet name="Sheet1" sheetId="9" r:id="rId9"/>
  </sheets>
  <externalReferences>
    <externalReference r:id="rId10"/>
  </externalReferences>
  <calcPr calcId="144525"/>
</workbook>
</file>

<file path=xl/sharedStrings.xml><?xml version="1.0" encoding="utf-8"?>
<sst xmlns="http://schemas.openxmlformats.org/spreadsheetml/2006/main" count="9896" uniqueCount="617">
  <si>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</si>
  <si>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</si>
  <si>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</si>
  <si>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</si>
  <si>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说明</t>
  </si>
  <si>
    <t>一般定价</t>
  </si>
  <si>
    <t>生产效率定位</t>
  </si>
  <si>
    <t>建筑类型</t>
  </si>
  <si>
    <t>初级农产品</t>
  </si>
  <si>
    <t>这是案例</t>
  </si>
  <si>
    <t>低</t>
  </si>
  <si>
    <t>先低后高</t>
  </si>
  <si>
    <t>农场、种植园</t>
  </si>
  <si>
    <t>我是分割线</t>
  </si>
  <si>
    <t>比如上案例，初级农产品其实就是谷物这些东西，它们的一般定价是低，生产效率定位为“先低后高”</t>
  </si>
  <si>
    <t>那么我们可以想一下如何做这个过渡，合理的做法是引入“肥料”这一商品，通过它去变革生产方式，拉高生产效率</t>
  </si>
  <si>
    <t>那么在这里我们就有必要去做抉择，“肥料”的生产效率此时是如何的？如果肥料供给也很充足，价格也很低，那么可能导致如下结果：</t>
  </si>
  <si>
    <t>可能出现国生产该商品的建筑盈利→建筑劳动力的生活水平上升&amp;商品价格下降&amp;国家收入增长</t>
  </si>
  <si>
    <t>1、建筑劳动力的生活水平上升意味着他们政治力量的加强，可能因此具备推动某些变革的能力</t>
  </si>
  <si>
    <t>2、商品价格下降会导致需求该商品的开支减少，也即提高一些pop的生活水平</t>
  </si>
  <si>
    <t>3、国家收入增长会加快玩家的发展速度</t>
  </si>
  <si>
    <t>最后的结果就是玩家发现有利可图，于是大量建造肥料和生产该初级农产品的建筑</t>
  </si>
  <si>
    <t>如果商品价格到50%还是有很多收益的话，那么玩家可能就会出现邪道打法，他可能就只出这个建筑和军营，然后横推全球</t>
  </si>
  <si>
    <t>这样子我们可以说，这个游戏是失去经营产业链的乐趣的，是不符合V3想要的核心体验的</t>
  </si>
  <si>
    <t>但是如果肥料此时的生产效率是很低的，而肥料对初级农产品的定位又是很大的，刚好玩家又对该农产品很需求</t>
  </si>
  <si>
    <t>那么玩家就会为了填平初级农产品的需求去大量生产肥料，接着他一看，肥料需要大量的硫磺，硫磺又需要炸药去提高生产效率，然后这些可能都还离不开科技的进步</t>
  </si>
  <si>
    <t>那么他就得在肥料、硫磺、炸药、大学间做出权衡，并安排发展顺序，游戏会有意思很多</t>
  </si>
  <si>
    <t>而且可能游戏的发展是出乎他意料的，比如他没发现农产品大量的供给导致生活水平提升，他对衣服、家具的需求变大了，他不得不处理新的问题</t>
  </si>
  <si>
    <t>这样，整个游戏的经济是可以循环的，可以让玩家一定程度上重复游玩，而不是像横推全球那样无聊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</si>
  <si>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</si>
  <si>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</si>
  <si>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</si>
  <si>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</si>
  <si>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</si>
  <si>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</si>
  <si>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</si>
  <si>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</si>
  <si>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需求消费</t>
  </si>
  <si>
    <t>人口群的需求</t>
  </si>
  <si>
    <t>替代品</t>
  </si>
  <si>
    <t>花费</t>
  </si>
  <si>
    <t>中级农产品</t>
  </si>
  <si>
    <t>simple_clothing</t>
  </si>
  <si>
    <t>fabric</t>
  </si>
  <si>
    <t>高级农产品</t>
  </si>
  <si>
    <t>clothes</t>
  </si>
  <si>
    <t>crude_items</t>
  </si>
  <si>
    <t>wood</t>
  </si>
  <si>
    <t>初级原材料</t>
  </si>
  <si>
    <t>furniture</t>
  </si>
  <si>
    <t>中级原材料</t>
  </si>
  <si>
    <t>basic_food</t>
  </si>
  <si>
    <t>grain</t>
  </si>
  <si>
    <t>高级原材料</t>
  </si>
  <si>
    <t>fish</t>
  </si>
  <si>
    <t>meat</t>
  </si>
  <si>
    <t>初级工业品</t>
  </si>
  <si>
    <t>fruit</t>
  </si>
  <si>
    <t>中级工业品</t>
  </si>
  <si>
    <t>groceries</t>
  </si>
  <si>
    <t>高级工业品</t>
  </si>
  <si>
    <t>heating</t>
  </si>
  <si>
    <t>初级消费品</t>
  </si>
  <si>
    <t>coal</t>
  </si>
  <si>
    <t>中级消费品</t>
  </si>
  <si>
    <t>oil</t>
  </si>
  <si>
    <t>高级消费品</t>
  </si>
  <si>
    <t>electricity</t>
  </si>
  <si>
    <t>household_items</t>
  </si>
  <si>
    <t>初级工具</t>
  </si>
  <si>
    <t>glass</t>
  </si>
  <si>
    <t>中级工具</t>
  </si>
  <si>
    <t>standard_clothing</t>
  </si>
  <si>
    <t>高级工具</t>
  </si>
  <si>
    <t>services</t>
  </si>
  <si>
    <t>intoxicants</t>
  </si>
  <si>
    <t>liquor</t>
  </si>
  <si>
    <t>初级军用品</t>
  </si>
  <si>
    <t>tobacco</t>
  </si>
  <si>
    <t>中级军用品</t>
  </si>
  <si>
    <t>opium</t>
  </si>
  <si>
    <t>高级军用品</t>
  </si>
  <si>
    <t>luxury_drinks</t>
  </si>
  <si>
    <t>tea</t>
  </si>
  <si>
    <t>coffee</t>
  </si>
  <si>
    <t>能源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</si>
  <si>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</si>
  <si>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</si>
  <si>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</si>
  <si>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</si>
  <si>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</si>
  <si>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</si>
  <si>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</si>
  <si>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</si>
  <si>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</si>
  <si>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</si>
  <si>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</si>
  <si>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</si>
  <si>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</si>
  <si>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</si>
  <si>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</si>
  <si>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商品名称</t>
  </si>
  <si>
    <t>备注</t>
  </si>
  <si>
    <t>定位</t>
  </si>
  <si>
    <t>用途概述
（为了减少工作量，有特殊需求的才写）</t>
  </si>
  <si>
    <t>简要说明
（为了减少工作量，有特殊需求的才写）</t>
  </si>
  <si>
    <t>谷物</t>
  </si>
  <si>
    <t>鱼</t>
  </si>
  <si>
    <t>木头</t>
  </si>
  <si>
    <t>布料</t>
  </si>
  <si>
    <t>硬木</t>
  </si>
  <si>
    <t>染料</t>
  </si>
  <si>
    <t>树胶</t>
  </si>
  <si>
    <t>糖</t>
  </si>
  <si>
    <t>肉类</t>
  </si>
  <si>
    <t>水果</t>
  </si>
  <si>
    <t>药草</t>
  </si>
  <si>
    <t>烟草</t>
  </si>
  <si>
    <t>赛里斯草</t>
  </si>
  <si>
    <t>茶</t>
  </si>
  <si>
    <t>丝绸</t>
  </si>
  <si>
    <t>高级农产品&amp;中级工业品</t>
  </si>
  <si>
    <t>煤</t>
  </si>
  <si>
    <t>铁</t>
  </si>
  <si>
    <t>铅</t>
  </si>
  <si>
    <t>硫</t>
  </si>
  <si>
    <t>食品</t>
  </si>
  <si>
    <t>纸张</t>
  </si>
  <si>
    <t>肥料</t>
  </si>
  <si>
    <t>钢铁</t>
  </si>
  <si>
    <t>服务</t>
  </si>
  <si>
    <t>玻璃</t>
  </si>
  <si>
    <t>初级消费品&amp;初级工业品</t>
  </si>
  <si>
    <t>瓷器</t>
  </si>
  <si>
    <t>高级玻璃</t>
  </si>
  <si>
    <t>衣物</t>
  </si>
  <si>
    <t>奢侈服装</t>
  </si>
  <si>
    <t>家具</t>
  </si>
  <si>
    <t>奢侈家具</t>
  </si>
  <si>
    <t>饮品</t>
  </si>
  <si>
    <t>烈酒</t>
  </si>
  <si>
    <t>奢侈饮品</t>
  </si>
  <si>
    <t>魔悬浮车</t>
  </si>
  <si>
    <t>黄金</t>
  </si>
  <si>
    <t>艺术品</t>
  </si>
  <si>
    <t>工具</t>
  </si>
  <si>
    <t>魔偶</t>
  </si>
  <si>
    <t>运力</t>
  </si>
  <si>
    <t>炸药</t>
  </si>
  <si>
    <t>科学引擎</t>
  </si>
  <si>
    <t>魔导引擎</t>
  </si>
  <si>
    <t>灵能水晶</t>
  </si>
  <si>
    <t>泽洛</t>
  </si>
  <si>
    <t>能源＆高级工具＆高级原材料</t>
  </si>
  <si>
    <t>秘银</t>
  </si>
  <si>
    <t>轻武器</t>
  </si>
  <si>
    <t>金属武器</t>
  </si>
  <si>
    <t>金属防具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</si>
  <si>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</si>
  <si>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</si>
  <si>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</si>
  <si>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</si>
  <si>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</si>
  <si>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</si>
  <si>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</si>
  <si>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快速帆船</t>
  </si>
  <si>
    <t>建造</t>
  </si>
  <si>
    <t>特殊数值</t>
  </si>
  <si>
    <t>wealth</t>
  </si>
  <si>
    <t>political
strength</t>
  </si>
  <si>
    <t>total_cost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</si>
  <si>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</si>
  <si>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</si>
  <si>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</si>
  <si>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</si>
  <si>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</si>
  <si>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</si>
  <si>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</si>
  <si>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</si>
  <si>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</si>
  <si>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自由出行</t>
  </si>
  <si>
    <t>交流</t>
  </si>
  <si>
    <t>奢侈食物</t>
  </si>
  <si>
    <t>奢侈物品</t>
  </si>
  <si>
    <t>艺术</t>
  </si>
  <si>
    <t>职业名称</t>
  </si>
  <si>
    <t>阶级</t>
  </si>
  <si>
    <t>最低生活水平</t>
  </si>
  <si>
    <t>最低生活花费
放缩</t>
  </si>
  <si>
    <t>最低生活花费</t>
  </si>
  <si>
    <t>工资权重</t>
  </si>
  <si>
    <t>工资等级</t>
  </si>
  <si>
    <t>定位说明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</si>
  <si>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</si>
  <si>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</si>
  <si>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</si>
  <si>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</si>
  <si>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</si>
  <si>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</si>
  <si>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</si>
  <si>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</si>
  <si>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</si>
  <si>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</si>
  <si>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</si>
  <si>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</si>
  <si>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</si>
  <si>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</si>
  <si>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</si>
  <si>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</si>
  <si>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职员</t>
  </si>
  <si>
    <t>矮人？</t>
  </si>
  <si>
    <t>需要说明</t>
  </si>
  <si>
    <t>转表遍历行数：
（可配置）</t>
  </si>
  <si>
    <t>生产方式类别</t>
  </si>
  <si>
    <t>建筑名称</t>
  </si>
  <si>
    <t>生产方式组类别</t>
  </si>
  <si>
    <t>等级</t>
  </si>
  <si>
    <t>产出1</t>
  </si>
  <si>
    <t>产出2</t>
  </si>
  <si>
    <t>简要说明</t>
  </si>
  <si>
    <t>劳动密集</t>
  </si>
  <si>
    <t>食品厂</t>
  </si>
  <si>
    <t>基础生产</t>
  </si>
  <si>
    <t>高级生产</t>
  </si>
  <si>
    <t>自动化</t>
  </si>
  <si>
    <t>所有制</t>
  </si>
  <si>
    <t>酿酒厂</t>
  </si>
  <si>
    <t>造纸厂</t>
  </si>
  <si>
    <t>纺织厂</t>
  </si>
  <si>
    <t>奢侈衣物</t>
  </si>
  <si>
    <t>家具厂</t>
  </si>
  <si>
    <t>玻璃厂</t>
  </si>
  <si>
    <t>陶瓷</t>
  </si>
  <si>
    <t>化工厂</t>
  </si>
  <si>
    <t>工具作坊</t>
  </si>
  <si>
    <t>魔偶工厂</t>
  </si>
  <si>
    <t>科学武器厂</t>
  </si>
  <si>
    <t>魔导武器厂</t>
  </si>
  <si>
    <t>技术密集</t>
  </si>
  <si>
    <t>合成材料工厂</t>
  </si>
  <si>
    <t>钢铁厂</t>
  </si>
  <si>
    <t>炼金厂</t>
  </si>
  <si>
    <t>晶体萃取厂</t>
  </si>
  <si>
    <t>科学动力厂</t>
  </si>
  <si>
    <t>魔导动力厂</t>
  </si>
  <si>
    <t>魔能军械厂</t>
  </si>
  <si>
    <t>科学军械厂</t>
  </si>
  <si>
    <t>资本密集</t>
  </si>
  <si>
    <t>道路</t>
  </si>
  <si>
    <t>军事化</t>
  </si>
  <si>
    <t>铁路</t>
  </si>
  <si>
    <t>传送阵</t>
  </si>
  <si>
    <t>贸易中心</t>
  </si>
  <si>
    <t>艺术学院</t>
  </si>
  <si>
    <t>城镇中心</t>
  </si>
  <si>
    <t>运输方式</t>
  </si>
  <si>
    <t>建造部门</t>
  </si>
  <si>
    <t>港口</t>
  </si>
  <si>
    <t>行政机构</t>
  </si>
  <si>
    <t>大学</t>
  </si>
  <si>
    <t>资源密集</t>
  </si>
  <si>
    <t>煤矿</t>
  </si>
  <si>
    <t>铁矿</t>
  </si>
  <si>
    <t>铅矿</t>
  </si>
  <si>
    <t>硫矿</t>
  </si>
  <si>
    <t>金矿</t>
  </si>
  <si>
    <t>油井</t>
  </si>
  <si>
    <t>棉花</t>
  </si>
  <si>
    <t>鸦片</t>
  </si>
  <si>
    <t>茶叶</t>
  </si>
  <si>
    <t>香蕉</t>
  </si>
  <si>
    <t>糖类</t>
  </si>
  <si>
    <t>伐木场</t>
  </si>
  <si>
    <t>黑麦</t>
  </si>
  <si>
    <t>小麦</t>
  </si>
  <si>
    <t>大米</t>
  </si>
  <si>
    <t>玉米</t>
  </si>
  <si>
    <t>小米</t>
  </si>
  <si>
    <t>牧场</t>
  </si>
  <si>
    <t>渔船码头</t>
  </si>
  <si>
    <t>捕鲸站</t>
  </si>
  <si>
    <t>常备军营</t>
  </si>
  <si>
    <t>动员军营</t>
  </si>
  <si>
    <t>军港</t>
  </si>
  <si>
    <t>自给农场</t>
  </si>
  <si>
    <t>生产方式组</t>
  </si>
  <si>
    <t>生产方式等级</t>
  </si>
  <si>
    <t>building_食品厂</t>
  </si>
  <si>
    <t>pmg_食品厂_基础生产</t>
  </si>
  <si>
    <t>pmg_食品厂_高级生产</t>
  </si>
  <si>
    <t>pmg_食品厂_自动化</t>
  </si>
  <si>
    <t>pmg_食品厂_所有制</t>
  </si>
  <si>
    <t>building_酿酒厂</t>
  </si>
  <si>
    <t>pmg_酿酒厂_基础生产</t>
  </si>
  <si>
    <t>pmg_酿酒厂_高级生产</t>
  </si>
  <si>
    <t>pmg_酿酒厂_自动化</t>
  </si>
  <si>
    <t>pmg_酿酒厂_所有制</t>
  </si>
  <si>
    <t>building_造纸厂</t>
  </si>
  <si>
    <t>pmg_造纸厂_基础生产</t>
  </si>
  <si>
    <t>pmg_造纸厂_自动化</t>
  </si>
  <si>
    <t>pmg_造纸厂_所有制</t>
  </si>
  <si>
    <t>building_纺织厂</t>
  </si>
  <si>
    <t>pmg_纺织厂_基础生产</t>
  </si>
  <si>
    <t>pmg_纺织厂_高级生产</t>
  </si>
  <si>
    <t>pmg_纺织厂_自动化</t>
  </si>
  <si>
    <t>pmg_纺织厂_所有制</t>
  </si>
  <si>
    <t>building_家具厂</t>
  </si>
  <si>
    <t>pmg_家具厂_基础生产</t>
  </si>
  <si>
    <t>pmg_家具厂_高级生产</t>
  </si>
  <si>
    <t>pmg_家具厂_自动化</t>
  </si>
  <si>
    <t>pmg_家具厂_所有制</t>
  </si>
  <si>
    <t>building_玻璃厂</t>
  </si>
  <si>
    <t>pmg_玻璃厂_基础生产</t>
  </si>
  <si>
    <t>pmg_玻璃厂_高级生产</t>
  </si>
  <si>
    <t>pmg_玻璃厂_自动化</t>
  </si>
  <si>
    <t>pmg_玻璃厂_所有制</t>
  </si>
  <si>
    <t>building_化工厂</t>
  </si>
  <si>
    <t>pmg_化工厂_基础生产</t>
  </si>
  <si>
    <t>pmg_化工厂_高级生产</t>
  </si>
  <si>
    <t>pmg_化工厂_自动化</t>
  </si>
  <si>
    <t>pmg_化工厂_所有制</t>
  </si>
  <si>
    <t>building_工具作坊</t>
  </si>
  <si>
    <t>pmg_工具作坊_基础生产</t>
  </si>
  <si>
    <t>pmg_工具作坊_自动化</t>
  </si>
  <si>
    <t>pmg_工具作坊_所有制</t>
  </si>
  <si>
    <t>building_魔偶工厂</t>
  </si>
  <si>
    <t>pmg_魔偶工厂_基础生产</t>
  </si>
  <si>
    <t>pmg_魔偶工厂_自动化</t>
  </si>
  <si>
    <t>pmg_魔偶工厂_所有制</t>
  </si>
  <si>
    <t>building_科学武器厂</t>
  </si>
  <si>
    <t>pmg_科学武器厂_基础生产</t>
  </si>
  <si>
    <t>pmg_科学武器厂_高级生产</t>
  </si>
  <si>
    <t>pmg_科学武器厂_自动化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</si>
  <si>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</si>
  <si>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</si>
  <si>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</si>
  <si>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</si>
  <si>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pmg_魔导武器厂_自动化</t>
  </si>
  <si>
    <t>pmg_魔导武器厂_所有制</t>
  </si>
  <si>
    <t>building_合成材料工厂</t>
  </si>
  <si>
    <t>pmg_合成材料工厂_基础生产</t>
  </si>
  <si>
    <t>pmg_合成材料工厂_自动化</t>
  </si>
  <si>
    <t>pmg_合成材料工厂_所有制</t>
  </si>
  <si>
    <t>building_钢铁厂</t>
  </si>
  <si>
    <t>pmg_钢铁厂_基础生产</t>
  </si>
  <si>
    <t>pmg_钢铁厂_自动化</t>
  </si>
  <si>
    <t>pmg_钢铁厂_所有制</t>
  </si>
  <si>
    <t>building_炼金厂</t>
  </si>
  <si>
    <t>pmg_炼金厂_基础生产</t>
  </si>
  <si>
    <t>pmg_炼金厂_自动化</t>
  </si>
  <si>
    <t>pmg_炼金厂_所有制</t>
  </si>
  <si>
    <t>building_晶体萃取厂</t>
  </si>
  <si>
    <t>pmg_晶体萃取厂_基础生产</t>
  </si>
  <si>
    <t>pmg_晶体萃取厂_自动化</t>
  </si>
  <si>
    <t>pmg_晶体萃取厂_所有制</t>
  </si>
  <si>
    <t>building_科学动力厂</t>
  </si>
  <si>
    <t>pmg_科学动力厂_基础生产</t>
  </si>
  <si>
    <t>pmg_科学动力厂_自动化</t>
  </si>
  <si>
    <t>pmg_科学动力厂_所有制</t>
  </si>
  <si>
    <t>building_魔导动力厂</t>
  </si>
  <si>
    <t>pmg_魔导动力厂_基础生产</t>
  </si>
  <si>
    <t>pmg_魔导动力厂_自动化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</si>
  <si>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</si>
  <si>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</si>
  <si>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</si>
  <si>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</si>
  <si>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</si>
  <si>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</si>
  <si>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</si>
  <si>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</si>
  <si>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</si>
  <si>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pmg_科学军械厂_自动化</t>
  </si>
  <si>
    <t>pmg_科学军械厂_所有制</t>
  </si>
  <si>
    <t>building_道路</t>
  </si>
  <si>
    <t>pmg_道路_基础生产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</si>
  <si>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</si>
  <si>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</si>
  <si>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</si>
  <si>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</si>
  <si>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</si>
  <si>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</si>
  <si>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</si>
  <si>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</si>
  <si>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</si>
  <si>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</si>
  <si>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</si>
  <si>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</si>
  <si>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</si>
  <si>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</si>
  <si>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</si>
  <si>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</si>
  <si>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</si>
  <si>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</si>
  <si>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</si>
  <si>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</si>
  <si>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</si>
  <si>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</si>
  <si>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</si>
  <si>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</si>
  <si>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</si>
  <si>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</si>
  <si>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</si>
  <si>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pmg_煤矿_高级生产</t>
  </si>
  <si>
    <t>pmg_煤矿_自动化</t>
  </si>
  <si>
    <t>pmg_煤矿_所有制</t>
  </si>
  <si>
    <t>building_铁矿</t>
  </si>
  <si>
    <t>pmg_铁矿_基础生产</t>
  </si>
  <si>
    <t>pmg_铁矿_高级生产</t>
  </si>
  <si>
    <t>pmg_铁矿_自动化</t>
  </si>
  <si>
    <t>pmg_铁矿_所有制</t>
  </si>
  <si>
    <t>building_铅矿</t>
  </si>
  <si>
    <t>pmg_铅矿_基础生产</t>
  </si>
  <si>
    <t>pmg_铅矿_高级生产</t>
  </si>
  <si>
    <t>pmg_铅矿_自动化</t>
  </si>
  <si>
    <t>pmg_铅矿_所有制</t>
  </si>
  <si>
    <t>building_硫矿</t>
  </si>
  <si>
    <t>pmg_硫矿_基础生产</t>
  </si>
  <si>
    <t>pmg_硫矿_高级生产</t>
  </si>
  <si>
    <t>pmg_硫矿_自动化</t>
  </si>
  <si>
    <t>pmg_硫矿_所有制</t>
  </si>
  <si>
    <t>building_金矿</t>
  </si>
  <si>
    <t>pmg_金矿_基础生产</t>
  </si>
  <si>
    <t>pmg_金矿_高级生产</t>
  </si>
  <si>
    <t>pmg_金矿_自动化</t>
  </si>
  <si>
    <t>pmg_金矿_所有制</t>
  </si>
  <si>
    <t>building_油井</t>
  </si>
  <si>
    <t>pmg_油井_基础生产</t>
  </si>
  <si>
    <t>pmg_油井_高级生产</t>
  </si>
  <si>
    <t>pmg_油井_自动化</t>
  </si>
  <si>
    <t>pmg_油井_所有制</t>
  </si>
  <si>
    <t>building_棉花</t>
  </si>
  <si>
    <t>pmg_棉花_基础生产</t>
  </si>
  <si>
    <t>pmg_棉花_自动化</t>
  </si>
  <si>
    <t>pmg_棉花_运输方式</t>
  </si>
  <si>
    <t>pmg_棉花_所有制</t>
  </si>
  <si>
    <t>building_染料</t>
  </si>
  <si>
    <t>pmg_染料_基础生产</t>
  </si>
  <si>
    <t>pmg_染料_自动化</t>
  </si>
  <si>
    <t>pmg_染料_运输方式</t>
  </si>
  <si>
    <t>pmg_染料_所有制</t>
  </si>
  <si>
    <t>building_鸦片</t>
  </si>
  <si>
    <t>pmg_鸦片_基础生产</t>
  </si>
  <si>
    <t>pmg_鸦片_自动化</t>
  </si>
  <si>
    <t>pmg_鸦片_运输方式</t>
  </si>
  <si>
    <t>pmg_鸦片_所有制</t>
  </si>
  <si>
    <t>building_茶叶</t>
  </si>
  <si>
    <t>pmg_茶叶_基础生产</t>
  </si>
  <si>
    <t>pmg_茶叶_自动化</t>
  </si>
  <si>
    <t>pmg_茶叶_运输方式</t>
  </si>
  <si>
    <t>pmg_茶叶_所有制</t>
  </si>
  <si>
    <t>building_烟草</t>
  </si>
  <si>
    <t>pmg_烟草_基础生产</t>
  </si>
  <si>
    <t>pmg_烟草_自动化</t>
  </si>
  <si>
    <t>pmg_烟草_运输方式</t>
  </si>
  <si>
    <t>pmg_烟草_所有制</t>
  </si>
  <si>
    <t>building_香蕉</t>
  </si>
  <si>
    <t>pmg_香蕉_基础生产</t>
  </si>
  <si>
    <t>pmg_香蕉_自动化</t>
  </si>
  <si>
    <t>pmg_香蕉_运输方式</t>
  </si>
  <si>
    <t>pmg_香蕉_所有制</t>
  </si>
  <si>
    <t>building_糖类</t>
  </si>
  <si>
    <t>pmg_糖类_基础生产</t>
  </si>
  <si>
    <t>pmg_糖类_自动化</t>
  </si>
  <si>
    <t>pmg_糖类_运输方式</t>
  </si>
  <si>
    <t>pmg_糖类_所有制</t>
  </si>
  <si>
    <t>building_丝绸</t>
  </si>
  <si>
    <t>pmg_丝绸_基础生产</t>
  </si>
  <si>
    <t>pmg_丝绸_自动化</t>
  </si>
  <si>
    <t>pmg_丝绸_运输方式</t>
  </si>
  <si>
    <t>pmg_丝绸_所有制</t>
  </si>
  <si>
    <t>building_伐木场</t>
  </si>
  <si>
    <t>pmg_伐木场_基础生产</t>
  </si>
  <si>
    <t>pmg_伐木场_自动化</t>
  </si>
  <si>
    <t>pmg_伐木场_运输方式</t>
  </si>
  <si>
    <t>pmg_伐木场_所有制</t>
  </si>
  <si>
    <t>building_树胶</t>
  </si>
  <si>
    <t>pmg_树胶_基础生产</t>
  </si>
  <si>
    <t>pmg_树胶_自动化</t>
  </si>
  <si>
    <t>pmg_树胶_运输方式</t>
  </si>
  <si>
    <t>pmg_树胶_所有制</t>
  </si>
  <si>
    <t>building_黑麦</t>
  </si>
  <si>
    <t>pmg_黑麦_基础生产</t>
  </si>
  <si>
    <t>pmg_黑麦_自动化</t>
  </si>
  <si>
    <t>pmg_黑麦_运输方式</t>
  </si>
  <si>
    <t>pmg_黑麦_所有制</t>
  </si>
  <si>
    <t>building_小麦</t>
  </si>
  <si>
    <t>pmg_小麦_基础生产</t>
  </si>
  <si>
    <t>pmg_小麦_自动化</t>
  </si>
  <si>
    <t>pmg_小麦_运输方式</t>
  </si>
  <si>
    <t>pmg_小麦_所有制</t>
  </si>
  <si>
    <t>building_大米</t>
  </si>
  <si>
    <t>pmg_大米_基础生产</t>
  </si>
  <si>
    <t>pmg_大米_自动化</t>
  </si>
  <si>
    <t>pmg_大米_运输方式</t>
  </si>
  <si>
    <t>pmg_大米_所有制</t>
  </si>
  <si>
    <t>building_玉米</t>
  </si>
  <si>
    <t>pmg_玉米_基础生产</t>
  </si>
  <si>
    <t>pmg_玉米_自动化</t>
  </si>
  <si>
    <t>pmg_玉米_运输方式</t>
  </si>
  <si>
    <t>pmg_玉米_所有制</t>
  </si>
  <si>
    <t>building_小米</t>
  </si>
  <si>
    <t>pmg_小米_基础生产</t>
  </si>
  <si>
    <t>pmg_小米_自动化</t>
  </si>
  <si>
    <t>pmg_小米_运输方式</t>
  </si>
  <si>
    <t>pmg_小米_所有制</t>
  </si>
  <si>
    <t>building_牧场</t>
  </si>
  <si>
    <t>pmg_牧场_基础生产</t>
  </si>
  <si>
    <t>pmg_牧场_自动化</t>
  </si>
  <si>
    <t>pmg_牧场_运输方式</t>
  </si>
  <si>
    <t>pmg_牧场_所有制</t>
  </si>
  <si>
    <t>building_渔船码头</t>
  </si>
  <si>
    <t>pmg_渔船码头_基础生产</t>
  </si>
  <si>
    <t>pmg_渔船码头_自动化</t>
  </si>
  <si>
    <t>pmg_渔船码头_运输方式</t>
  </si>
  <si>
    <t>pmg_渔船码头_所有制</t>
  </si>
  <si>
    <t>building_捕鲸站</t>
  </si>
  <si>
    <t>pmg_捕鲸站_基础生产</t>
  </si>
  <si>
    <t>pmg_捕鲸站_自动化</t>
  </si>
  <si>
    <t>pmg_捕鲸站_运输方式</t>
  </si>
  <si>
    <t>pmg_捕鲸站_所有制</t>
  </si>
  <si>
    <t>消耗等级</t>
  </si>
  <si>
    <t>产出倍率
(辅助配置）</t>
  </si>
  <si>
    <t>产出等级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</si>
  <si>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</si>
  <si>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</si>
  <si>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</si>
  <si>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</si>
  <si>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</si>
  <si>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</si>
  <si>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</si>
  <si>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</si>
  <si>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</si>
  <si>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</si>
  <si>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</si>
  <si>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</si>
  <si>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</si>
  <si>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</si>
  <si>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</si>
  <si>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</si>
  <si>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</si>
  <si>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</si>
  <si>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</si>
  <si>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</si>
  <si>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</si>
  <si>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</si>
  <si>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</si>
  <si>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</si>
  <si>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</si>
  <si>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</si>
  <si>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</si>
  <si>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</si>
  <si>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</si>
  <si>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</si>
  <si>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</si>
  <si>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自动化1</t>
  </si>
  <si>
    <t>（交通运输和所有制比较特殊，另外设计）</t>
  </si>
  <si>
    <t>技术密集2</t>
  </si>
  <si>
    <t>自动化2</t>
  </si>
  <si>
    <t>技术密集3</t>
  </si>
  <si>
    <t>自动化3</t>
  </si>
  <si>
    <t>技术密集4</t>
  </si>
  <si>
    <t>自动化4</t>
  </si>
  <si>
    <t>技术密集5</t>
  </si>
  <si>
    <t>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</si>
  <si>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</si>
  <si>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</si>
  <si>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</si>
  <si>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</si>
  <si>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</si>
  <si>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</si>
  <si>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</si>
  <si>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</si>
  <si>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</si>
  <si>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</si>
  <si>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运输方式1</t>
  </si>
  <si>
    <t>运输方式2</t>
  </si>
  <si>
    <t>运输方式3</t>
  </si>
  <si>
    <t>运输方式4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</si>
  <si>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</si>
  <si>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</si>
  <si>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</si>
  <si>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</si>
  <si>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</si>
  <si>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</si>
  <si>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</si>
  <si>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</si>
  <si>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</si>
  <si>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无2</t>
  </si>
  <si>
    <t>无3</t>
  </si>
  <si>
    <t>无4</t>
  </si>
  <si>
    <t>无5</t>
  </si>
  <si>
    <t>演算</t>
  </si>
  <si>
    <t>生产方式</t>
  </si>
  <si>
    <t>生产方式
类别</t>
  </si>
  <si>
    <t>生产方式组
类别</t>
  </si>
  <si>
    <t>消耗1</t>
  </si>
  <si>
    <t>消耗1
权重</t>
  </si>
  <si>
    <t>消耗2</t>
  </si>
  <si>
    <t>消耗2
权重</t>
  </si>
  <si>
    <t>消耗3</t>
  </si>
  <si>
    <t>消耗3
权重</t>
  </si>
  <si>
    <t>消耗总等级
估算</t>
  </si>
  <si>
    <t>雇佣1</t>
  </si>
  <si>
    <t>雇佣1
权重</t>
  </si>
  <si>
    <t>雇佣2</t>
  </si>
  <si>
    <t>雇佣2
权重</t>
  </si>
  <si>
    <t>雇佣总等级
估算</t>
  </si>
  <si>
    <t>产出1
权重</t>
  </si>
  <si>
    <t>产出2
权重</t>
  </si>
  <si>
    <t>产出总等级
估算</t>
  </si>
  <si>
    <t>实际消耗</t>
  </si>
  <si>
    <t>实际雇佣</t>
  </si>
  <si>
    <t>实际产出</t>
  </si>
  <si>
    <t>生产力</t>
  </si>
  <si>
    <t>pmg_钢铁_科学线基础</t>
  </si>
  <si>
    <t>pm_钢铁_无科学基础生产</t>
  </si>
  <si>
    <t>低级生产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</si>
</sst>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8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sz val="12"/>
      <color theme="0"/>
      <name val="宋体"/>
      <charset val="134"/>
      <scheme val="major"/>
    </font>
    <font>
      <sz val="14"/>
      <color rgb="FFFF0000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7" tint="-0.25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5" fillId="27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6" borderId="19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20" applyNumberFormat="0" applyFill="0" applyAlignment="0" applyProtection="0">
      <alignment vertical="center"/>
    </xf>
    <xf numFmtId="0" fontId="24" fillId="0" borderId="20" applyNumberFormat="0" applyFill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7" fillId="31" borderId="18" applyNumberFormat="0" applyAlignment="0" applyProtection="0">
      <alignment vertical="center"/>
    </xf>
    <xf numFmtId="0" fontId="16" fillId="31" borderId="17" applyNumberFormat="0" applyAlignment="0" applyProtection="0">
      <alignment vertical="center"/>
    </xf>
    <xf numFmtId="0" fontId="9" fillId="21" borderId="16" applyNumberFormat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1" fillId="46" borderId="0" applyNumberFormat="0" applyBorder="0" applyAlignment="0" applyProtection="0">
      <alignment vertical="center"/>
    </xf>
    <xf numFmtId="0" fontId="25" fillId="0" borderId="22" applyNumberFormat="0" applyFill="0" applyAlignment="0" applyProtection="0">
      <alignment vertical="center"/>
    </xf>
    <xf numFmtId="0" fontId="26" fillId="0" borderId="23" applyNumberFormat="0" applyFill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27" fillId="48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1" fillId="50" borderId="0" applyNumberFormat="0" applyBorder="0" applyAlignment="0" applyProtection="0">
      <alignment vertical="center"/>
    </xf>
    <xf numFmtId="0" fontId="13" fillId="49" borderId="0" applyNumberFormat="0" applyBorder="0" applyAlignment="0" applyProtection="0">
      <alignment vertical="center"/>
    </xf>
    <xf numFmtId="0" fontId="13" fillId="47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1" fillId="42" borderId="0" applyNumberFormat="0" applyBorder="0" applyAlignment="0" applyProtection="0">
      <alignment vertical="center"/>
    </xf>
    <xf numFmtId="0" fontId="13" fillId="51" borderId="0" applyNumberFormat="0" applyBorder="0" applyAlignment="0" applyProtection="0">
      <alignment vertical="center"/>
    </xf>
    <xf numFmtId="0" fontId="13" fillId="45" borderId="0" applyNumberFormat="0" applyBorder="0" applyAlignment="0" applyProtection="0">
      <alignment vertical="center"/>
    </xf>
    <xf numFmtId="0" fontId="11" fillId="39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>
      <alignment vertical="center"/>
    </xf>
    <xf numFmtId="0" fontId="1" fillId="2" borderId="3" xfId="0" applyFont="1" applyFill="1" applyBorder="1" applyAlignment="1">
      <alignment horizontal="center" vertical="center"/>
    </xf>
    <xf numFmtId="0" fontId="0" fillId="2" borderId="4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6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1" xfId="0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4" fillId="3" borderId="5" xfId="0" applyFont="1" applyFill="1" applyBorder="1" applyAlignment="1">
      <alignment horizontal="center" vertical="center" wrapText="1"/>
    </xf>
    <xf numFmtId="0" fontId="3" fillId="1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1</xdr:col>
          <xdr:colOff>1181100</xdr:colOff>
          <xdr:row>0</xdr:row>
          <xdr:rowOff>485775</xdr:rowOff>
        </xdr:to>
        <xdr:sp>
          <xdr:nvSpPr>
            <xdr:cNvPr id="1025" name="BuildingTransform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575" y="28575"/>
              <a:ext cx="2266950" cy="4572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Victoria3\V3datas\&#32500;&#22810;&#21033;&#20122;3&#25968;&#20540;&#25286;&#35299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经济数值"/>
      <sheetName val="Wealth"/>
      <sheetName val="Good"/>
      <sheetName val="Needs"/>
      <sheetName val="Cost_Performance"/>
      <sheetName val="Building"/>
      <sheetName val="Production_Method"/>
      <sheetName val="Building_Example"/>
      <sheetName val="Profession"/>
      <sheetName val="Test"/>
      <sheetName val="Sheet4"/>
      <sheetName val="Economy"/>
    </sheetNames>
    <sheetDataSet>
      <sheetData sheetId="0"/>
      <sheetData sheetId="1"/>
      <sheetData sheetId="2">
        <row r="4">
          <cell r="A4" t="str">
            <v>ammunition</v>
          </cell>
          <cell r="B4" t="str">
            <v>military</v>
          </cell>
          <cell r="C4">
            <v>50</v>
          </cell>
        </row>
        <row r="5">
          <cell r="A5" t="str">
            <v>small_arms</v>
          </cell>
          <cell r="B5" t="str">
            <v>military</v>
          </cell>
          <cell r="C5">
            <v>60</v>
          </cell>
        </row>
        <row r="6">
          <cell r="A6" t="str">
            <v>artillery</v>
          </cell>
          <cell r="B6" t="str">
            <v>military</v>
          </cell>
          <cell r="C6">
            <v>70</v>
          </cell>
        </row>
        <row r="7">
          <cell r="A7" t="str">
            <v>tanks</v>
          </cell>
          <cell r="B7" t="str">
            <v>military</v>
          </cell>
          <cell r="C7">
            <v>80</v>
          </cell>
        </row>
        <row r="8">
          <cell r="A8" t="str">
            <v>aeroplanes</v>
          </cell>
          <cell r="B8" t="str">
            <v>military</v>
          </cell>
          <cell r="C8">
            <v>80</v>
          </cell>
        </row>
        <row r="9">
          <cell r="A9" t="str">
            <v>manowars</v>
          </cell>
          <cell r="B9" t="str">
            <v>military</v>
          </cell>
          <cell r="C9">
            <v>70</v>
          </cell>
        </row>
        <row r="10">
          <cell r="A10" t="str">
            <v>ironclads</v>
          </cell>
          <cell r="B10" t="str">
            <v>military</v>
          </cell>
          <cell r="C10">
            <v>80</v>
          </cell>
        </row>
        <row r="11">
          <cell r="A11" t="str">
            <v>grain</v>
          </cell>
          <cell r="B11" t="str">
            <v>staple</v>
          </cell>
          <cell r="C11">
            <v>20</v>
          </cell>
        </row>
        <row r="12">
          <cell r="A12" t="str">
            <v>fish</v>
          </cell>
          <cell r="B12" t="str">
            <v>staple</v>
          </cell>
          <cell r="C12">
            <v>20</v>
          </cell>
        </row>
        <row r="13">
          <cell r="A13" t="str">
            <v>fabric</v>
          </cell>
          <cell r="B13" t="str">
            <v>staple</v>
          </cell>
          <cell r="C13">
            <v>20</v>
          </cell>
        </row>
        <row r="14">
          <cell r="A14" t="str">
            <v>wood</v>
          </cell>
          <cell r="B14" t="str">
            <v>staple</v>
          </cell>
          <cell r="C14">
            <v>20</v>
          </cell>
        </row>
        <row r="15">
          <cell r="A15" t="str">
            <v>groceries</v>
          </cell>
          <cell r="B15" t="str">
            <v>staple</v>
          </cell>
          <cell r="C15">
            <v>30</v>
          </cell>
        </row>
        <row r="16">
          <cell r="A16" t="str">
            <v>clothes</v>
          </cell>
          <cell r="B16" t="str">
            <v>staple</v>
          </cell>
          <cell r="C16">
            <v>30</v>
          </cell>
        </row>
        <row r="17">
          <cell r="A17" t="str">
            <v>furniture</v>
          </cell>
          <cell r="B17" t="str">
            <v>staple</v>
          </cell>
          <cell r="C17">
            <v>30</v>
          </cell>
        </row>
        <row r="18">
          <cell r="A18" t="str">
            <v>services</v>
          </cell>
          <cell r="B18" t="str">
            <v>staple</v>
          </cell>
          <cell r="C18">
            <v>30</v>
          </cell>
        </row>
        <row r="19">
          <cell r="A19" t="str">
            <v>transportation</v>
          </cell>
          <cell r="B19" t="str">
            <v>staple</v>
          </cell>
          <cell r="C19">
            <v>30</v>
          </cell>
        </row>
        <row r="20">
          <cell r="A20" t="str">
            <v>paper</v>
          </cell>
          <cell r="B20" t="str">
            <v>staple</v>
          </cell>
          <cell r="C20">
            <v>30</v>
          </cell>
        </row>
        <row r="21">
          <cell r="A21" t="str">
            <v>electricity</v>
          </cell>
          <cell r="B21" t="str">
            <v>staple</v>
          </cell>
          <cell r="C21">
            <v>30</v>
          </cell>
        </row>
        <row r="22">
          <cell r="A22" t="str">
            <v>clippers</v>
          </cell>
          <cell r="B22" t="str">
            <v>industrial</v>
          </cell>
          <cell r="C22">
            <v>60</v>
          </cell>
        </row>
        <row r="23">
          <cell r="A23" t="str">
            <v>steamers</v>
          </cell>
          <cell r="B23" t="str">
            <v>industrial</v>
          </cell>
          <cell r="C23">
            <v>70</v>
          </cell>
        </row>
        <row r="24">
          <cell r="A24" t="str">
            <v>silk</v>
          </cell>
          <cell r="B24" t="str">
            <v>industrial</v>
          </cell>
          <cell r="C24">
            <v>40</v>
          </cell>
        </row>
        <row r="25">
          <cell r="A25" t="str">
            <v>dye</v>
          </cell>
          <cell r="B25" t="str">
            <v>industrial</v>
          </cell>
          <cell r="C25">
            <v>40</v>
          </cell>
        </row>
        <row r="26">
          <cell r="A26" t="str">
            <v>sulfur</v>
          </cell>
          <cell r="B26" t="str">
            <v>industrial</v>
          </cell>
          <cell r="C26">
            <v>50</v>
          </cell>
        </row>
        <row r="27">
          <cell r="A27" t="str">
            <v>coal</v>
          </cell>
          <cell r="B27" t="str">
            <v>industrial</v>
          </cell>
          <cell r="C27">
            <v>30</v>
          </cell>
        </row>
        <row r="28">
          <cell r="A28" t="str">
            <v>iron</v>
          </cell>
          <cell r="B28" t="str">
            <v>industrial</v>
          </cell>
          <cell r="C28">
            <v>40</v>
          </cell>
        </row>
        <row r="29">
          <cell r="A29" t="str">
            <v>lead</v>
          </cell>
          <cell r="B29" t="str">
            <v>industrial</v>
          </cell>
          <cell r="C29">
            <v>40</v>
          </cell>
        </row>
        <row r="30">
          <cell r="A30" t="str">
            <v>hardwood</v>
          </cell>
          <cell r="B30" t="str">
            <v>industrial</v>
          </cell>
          <cell r="C30">
            <v>40</v>
          </cell>
        </row>
        <row r="31">
          <cell r="A31" t="str">
            <v>rubber</v>
          </cell>
          <cell r="B31" t="str">
            <v>industrial</v>
          </cell>
          <cell r="C31">
            <v>40</v>
          </cell>
        </row>
        <row r="32">
          <cell r="A32" t="str">
            <v>oil</v>
          </cell>
          <cell r="B32" t="str">
            <v>industrial</v>
          </cell>
          <cell r="C32">
            <v>40</v>
          </cell>
        </row>
        <row r="33">
          <cell r="A33" t="str">
            <v>engines</v>
          </cell>
          <cell r="B33" t="str">
            <v>industrial</v>
          </cell>
          <cell r="C33">
            <v>60</v>
          </cell>
        </row>
        <row r="34">
          <cell r="A34" t="str">
            <v>steel</v>
          </cell>
          <cell r="B34" t="str">
            <v>industrial</v>
          </cell>
          <cell r="C34">
            <v>50</v>
          </cell>
        </row>
        <row r="35">
          <cell r="A35" t="str">
            <v>glass</v>
          </cell>
          <cell r="B35" t="str">
            <v>industrial</v>
          </cell>
          <cell r="C35">
            <v>40</v>
          </cell>
        </row>
        <row r="36">
          <cell r="A36" t="str">
            <v>fertilizer</v>
          </cell>
          <cell r="B36" t="str">
            <v>industrial</v>
          </cell>
          <cell r="C36">
            <v>30</v>
          </cell>
        </row>
        <row r="37">
          <cell r="A37" t="str">
            <v>tools</v>
          </cell>
          <cell r="B37" t="str">
            <v>industrial</v>
          </cell>
          <cell r="C37">
            <v>40</v>
          </cell>
        </row>
        <row r="38">
          <cell r="A38" t="str">
            <v>explosives</v>
          </cell>
          <cell r="B38" t="str">
            <v>industrial</v>
          </cell>
          <cell r="C38">
            <v>50</v>
          </cell>
        </row>
        <row r="39">
          <cell r="A39" t="str">
            <v>porcelain</v>
          </cell>
          <cell r="B39" t="str">
            <v>luxury</v>
          </cell>
          <cell r="C39">
            <v>70</v>
          </cell>
        </row>
        <row r="40">
          <cell r="A40" t="str">
            <v>meat</v>
          </cell>
          <cell r="B40" t="str">
            <v>luxury</v>
          </cell>
          <cell r="C40">
            <v>30</v>
          </cell>
        </row>
        <row r="41">
          <cell r="A41" t="str">
            <v>fruit</v>
          </cell>
          <cell r="B41" t="str">
            <v>luxury</v>
          </cell>
          <cell r="C41">
            <v>30</v>
          </cell>
        </row>
        <row r="42">
          <cell r="A42" t="str">
            <v>liquor</v>
          </cell>
          <cell r="B42" t="str">
            <v>luxury</v>
          </cell>
          <cell r="C42">
            <v>30</v>
          </cell>
        </row>
        <row r="43">
          <cell r="A43" t="str">
            <v>wine</v>
          </cell>
          <cell r="B43" t="str">
            <v>luxury</v>
          </cell>
          <cell r="C43">
            <v>50</v>
          </cell>
        </row>
        <row r="44">
          <cell r="A44" t="str">
            <v>tea</v>
          </cell>
          <cell r="B44" t="str">
            <v>luxury</v>
          </cell>
          <cell r="C44">
            <v>50</v>
          </cell>
        </row>
        <row r="45">
          <cell r="A45" t="str">
            <v>coffee</v>
          </cell>
          <cell r="B45" t="str">
            <v>luxury</v>
          </cell>
          <cell r="C45">
            <v>50</v>
          </cell>
        </row>
        <row r="46">
          <cell r="A46" t="str">
            <v>sugar</v>
          </cell>
          <cell r="B46" t="str">
            <v>luxury</v>
          </cell>
          <cell r="C46">
            <v>30</v>
          </cell>
        </row>
        <row r="47">
          <cell r="A47" t="str">
            <v>tobacco</v>
          </cell>
          <cell r="B47" t="str">
            <v>luxury</v>
          </cell>
          <cell r="C47">
            <v>40</v>
          </cell>
        </row>
        <row r="48">
          <cell r="A48" t="str">
            <v>opium</v>
          </cell>
          <cell r="B48" t="str">
            <v>luxury</v>
          </cell>
          <cell r="C48">
            <v>50</v>
          </cell>
        </row>
        <row r="49">
          <cell r="A49" t="str">
            <v>automobiles</v>
          </cell>
          <cell r="B49" t="str">
            <v>luxury</v>
          </cell>
          <cell r="C49">
            <v>70</v>
          </cell>
        </row>
        <row r="50">
          <cell r="A50" t="str">
            <v>telephones</v>
          </cell>
          <cell r="B50" t="str">
            <v>luxury</v>
          </cell>
          <cell r="C50">
            <v>70</v>
          </cell>
        </row>
        <row r="51">
          <cell r="A51" t="str">
            <v>radios</v>
          </cell>
          <cell r="B51" t="str">
            <v>luxury</v>
          </cell>
          <cell r="C51">
            <v>80</v>
          </cell>
        </row>
        <row r="52">
          <cell r="A52" t="str">
            <v>luxury_clothes</v>
          </cell>
          <cell r="B52" t="str">
            <v>luxury</v>
          </cell>
          <cell r="C52">
            <v>60</v>
          </cell>
        </row>
        <row r="53">
          <cell r="A53" t="str">
            <v>luxury_furniture</v>
          </cell>
          <cell r="B53" t="str">
            <v>luxury</v>
          </cell>
          <cell r="C53">
            <v>60</v>
          </cell>
        </row>
        <row r="54">
          <cell r="A54" t="str">
            <v>gold</v>
          </cell>
          <cell r="B54" t="str">
            <v>luxury</v>
          </cell>
          <cell r="C54">
            <v>100</v>
          </cell>
        </row>
        <row r="55">
          <cell r="A55" t="str">
            <v>fine_art</v>
          </cell>
          <cell r="B55" t="str">
            <v>luxury</v>
          </cell>
          <cell r="C55">
            <v>200</v>
          </cell>
        </row>
      </sheetData>
      <sheetData sheetId="3">
        <row r="4">
          <cell r="A4" t="str">
            <v>simple_clothing</v>
          </cell>
          <cell r="B4" t="str">
            <v>fabric</v>
          </cell>
          <cell r="C4">
            <v>1</v>
          </cell>
          <cell r="D4">
            <v>4</v>
          </cell>
          <cell r="E4">
            <v>0</v>
          </cell>
          <cell r="F4">
            <v>80</v>
          </cell>
          <cell r="G4">
            <v>1</v>
          </cell>
          <cell r="H4">
            <v>20</v>
          </cell>
          <cell r="I4">
            <v>20</v>
          </cell>
        </row>
        <row r="5">
          <cell r="B5" t="str">
            <v>clothes</v>
          </cell>
          <cell r="C5">
            <v>1</v>
          </cell>
          <cell r="D5">
            <v>4</v>
          </cell>
          <cell r="E5">
            <v>0</v>
          </cell>
          <cell r="F5">
            <v>80</v>
          </cell>
          <cell r="G5">
            <v>1.5</v>
          </cell>
          <cell r="H5">
            <v>20</v>
          </cell>
        </row>
        <row r="6">
          <cell r="A6" t="str">
            <v>crude_items</v>
          </cell>
          <cell r="B6" t="str">
            <v>wood</v>
          </cell>
          <cell r="C6">
            <v>1</v>
          </cell>
          <cell r="D6">
            <v>4</v>
          </cell>
          <cell r="E6">
            <v>0</v>
          </cell>
          <cell r="F6">
            <v>80</v>
          </cell>
          <cell r="G6">
            <v>1</v>
          </cell>
          <cell r="H6">
            <v>20</v>
          </cell>
          <cell r="I6">
            <v>20</v>
          </cell>
        </row>
        <row r="7">
          <cell r="B7" t="str">
            <v>furniture</v>
          </cell>
          <cell r="C7">
            <v>1</v>
          </cell>
          <cell r="D7">
            <v>4</v>
          </cell>
          <cell r="E7">
            <v>0</v>
          </cell>
          <cell r="F7">
            <v>80</v>
          </cell>
          <cell r="G7">
            <v>1.5</v>
          </cell>
          <cell r="H7">
            <v>20</v>
          </cell>
        </row>
        <row r="8">
          <cell r="A8" t="str">
            <v>basic_food</v>
          </cell>
          <cell r="B8" t="str">
            <v>grain</v>
          </cell>
          <cell r="C8">
            <v>1</v>
          </cell>
          <cell r="D8">
            <v>4</v>
          </cell>
          <cell r="E8">
            <v>0</v>
          </cell>
          <cell r="F8">
            <v>80</v>
          </cell>
          <cell r="G8">
            <v>1</v>
          </cell>
          <cell r="H8">
            <v>20</v>
          </cell>
          <cell r="I8">
            <v>20</v>
          </cell>
        </row>
        <row r="9">
          <cell r="B9" t="str">
            <v>fish</v>
          </cell>
          <cell r="C9">
            <v>1</v>
          </cell>
          <cell r="D9">
            <v>4</v>
          </cell>
          <cell r="E9">
            <v>0</v>
          </cell>
          <cell r="F9">
            <v>80</v>
          </cell>
          <cell r="G9">
            <v>1</v>
          </cell>
          <cell r="H9">
            <v>20</v>
          </cell>
        </row>
        <row r="10">
          <cell r="B10" t="str">
            <v>meat</v>
          </cell>
          <cell r="C10">
            <v>0.5</v>
          </cell>
          <cell r="D10">
            <v>2</v>
          </cell>
          <cell r="E10">
            <v>0</v>
          </cell>
          <cell r="F10">
            <v>80</v>
          </cell>
          <cell r="G10">
            <v>1.5</v>
          </cell>
          <cell r="H10">
            <v>20</v>
          </cell>
        </row>
        <row r="11">
          <cell r="B11" t="str">
            <v>fruit</v>
          </cell>
          <cell r="C11">
            <v>0.5</v>
          </cell>
          <cell r="D11">
            <v>2</v>
          </cell>
          <cell r="E11">
            <v>0</v>
          </cell>
          <cell r="F11">
            <v>80</v>
          </cell>
          <cell r="G11">
            <v>1.5</v>
          </cell>
          <cell r="H11">
            <v>20</v>
          </cell>
        </row>
        <row r="12">
          <cell r="B12" t="str">
            <v>groceries</v>
          </cell>
          <cell r="C12">
            <v>0.5</v>
          </cell>
          <cell r="D12">
            <v>2</v>
          </cell>
          <cell r="E12">
            <v>0</v>
          </cell>
          <cell r="F12">
            <v>80</v>
          </cell>
          <cell r="G12">
            <v>1.5</v>
          </cell>
          <cell r="H12">
            <v>20</v>
          </cell>
        </row>
        <row r="13">
          <cell r="A13" t="str">
            <v>heating</v>
          </cell>
          <cell r="B13" t="str">
            <v>wood</v>
          </cell>
          <cell r="C13">
            <v>1</v>
          </cell>
          <cell r="D13">
            <v>3</v>
          </cell>
          <cell r="E13">
            <v>0</v>
          </cell>
          <cell r="F13">
            <v>60</v>
          </cell>
          <cell r="G13">
            <v>1</v>
          </cell>
          <cell r="H13">
            <v>20</v>
          </cell>
          <cell r="I13">
            <v>20</v>
          </cell>
        </row>
        <row r="14">
          <cell r="B14" t="str">
            <v>fabric</v>
          </cell>
          <cell r="C14">
            <v>1</v>
          </cell>
          <cell r="D14">
            <v>3</v>
          </cell>
          <cell r="E14">
            <v>0</v>
          </cell>
          <cell r="F14">
            <v>60</v>
          </cell>
          <cell r="G14">
            <v>1</v>
          </cell>
          <cell r="H14">
            <v>20</v>
          </cell>
        </row>
        <row r="15">
          <cell r="B15" t="str">
            <v>coal</v>
          </cell>
          <cell r="C15">
            <v>1</v>
          </cell>
          <cell r="D15">
            <v>3</v>
          </cell>
          <cell r="E15">
            <v>0</v>
          </cell>
          <cell r="F15">
            <v>60</v>
          </cell>
          <cell r="G15">
            <v>1.5</v>
          </cell>
          <cell r="H15">
            <v>20</v>
          </cell>
        </row>
        <row r="16">
          <cell r="B16" t="str">
            <v>oil</v>
          </cell>
          <cell r="C16">
            <v>1</v>
          </cell>
          <cell r="D16">
            <v>3</v>
          </cell>
          <cell r="E16">
            <v>0</v>
          </cell>
          <cell r="F16">
            <v>60</v>
          </cell>
          <cell r="G16">
            <v>2</v>
          </cell>
          <cell r="H16">
            <v>20</v>
          </cell>
        </row>
        <row r="17">
          <cell r="B17" t="str">
            <v>electricity</v>
          </cell>
          <cell r="C17">
            <v>2</v>
          </cell>
          <cell r="D17">
            <v>10</v>
          </cell>
          <cell r="E17">
            <v>0</v>
          </cell>
          <cell r="F17">
            <v>100</v>
          </cell>
          <cell r="G17">
            <v>1.5</v>
          </cell>
          <cell r="H17">
            <v>20</v>
          </cell>
        </row>
        <row r="18">
          <cell r="A18" t="str">
            <v>household_items</v>
          </cell>
          <cell r="B18" t="str">
            <v>furniture</v>
          </cell>
          <cell r="C18">
            <v>1</v>
          </cell>
          <cell r="D18">
            <v>4</v>
          </cell>
          <cell r="E18">
            <v>0.25</v>
          </cell>
          <cell r="F18">
            <v>80</v>
          </cell>
          <cell r="G18">
            <v>1</v>
          </cell>
          <cell r="H18">
            <v>30</v>
          </cell>
          <cell r="I18">
            <v>30</v>
          </cell>
        </row>
        <row r="19">
          <cell r="B19" t="str">
            <v>glass</v>
          </cell>
          <cell r="C19">
            <v>1</v>
          </cell>
          <cell r="D19">
            <v>2</v>
          </cell>
          <cell r="E19">
            <v>0</v>
          </cell>
          <cell r="F19">
            <v>40</v>
          </cell>
          <cell r="G19">
            <v>1.33</v>
          </cell>
          <cell r="H19">
            <v>30</v>
          </cell>
        </row>
        <row r="20">
          <cell r="A20" t="str">
            <v>standard_clothing</v>
          </cell>
          <cell r="B20" t="str">
            <v>clothes</v>
          </cell>
          <cell r="C20">
            <v>1</v>
          </cell>
        </row>
        <row r="20">
          <cell r="G20">
            <v>1</v>
          </cell>
          <cell r="H20">
            <v>30</v>
          </cell>
          <cell r="I20">
            <v>30</v>
          </cell>
        </row>
        <row r="21">
          <cell r="A21" t="str">
            <v>services</v>
          </cell>
          <cell r="B21" t="str">
            <v>services</v>
          </cell>
          <cell r="C21">
            <v>1</v>
          </cell>
        </row>
        <row r="21">
          <cell r="G21">
            <v>1</v>
          </cell>
          <cell r="H21">
            <v>30</v>
          </cell>
          <cell r="I21">
            <v>30</v>
          </cell>
        </row>
        <row r="22">
          <cell r="A22" t="str">
            <v>intoxicants</v>
          </cell>
          <cell r="B22" t="str">
            <v>liquor</v>
          </cell>
          <cell r="C22">
            <v>1</v>
          </cell>
          <cell r="D22">
            <v>3</v>
          </cell>
          <cell r="E22">
            <v>0</v>
          </cell>
          <cell r="F22">
            <v>60</v>
          </cell>
          <cell r="G22">
            <v>1</v>
          </cell>
          <cell r="H22">
            <v>30</v>
          </cell>
          <cell r="I22">
            <v>30</v>
          </cell>
        </row>
        <row r="23">
          <cell r="B23" t="str">
            <v>tobacco</v>
          </cell>
          <cell r="C23">
            <v>1</v>
          </cell>
          <cell r="D23">
            <v>3</v>
          </cell>
          <cell r="E23">
            <v>0</v>
          </cell>
          <cell r="F23">
            <v>60</v>
          </cell>
          <cell r="G23">
            <v>1.33</v>
          </cell>
          <cell r="H23">
            <v>30</v>
          </cell>
        </row>
        <row r="24">
          <cell r="B24" t="str">
            <v>opium</v>
          </cell>
          <cell r="C24">
            <v>1</v>
          </cell>
          <cell r="D24">
            <v>3</v>
          </cell>
          <cell r="E24">
            <v>0</v>
          </cell>
          <cell r="F24">
            <v>60</v>
          </cell>
          <cell r="G24">
            <v>1.66</v>
          </cell>
          <cell r="H24">
            <v>30</v>
          </cell>
        </row>
        <row r="25">
          <cell r="A25" t="str">
            <v>luxury_drinks</v>
          </cell>
          <cell r="B25" t="str">
            <v>tea</v>
          </cell>
          <cell r="C25">
            <v>1</v>
          </cell>
          <cell r="D25">
            <v>3</v>
          </cell>
          <cell r="E25">
            <v>0</v>
          </cell>
          <cell r="F25">
            <v>60</v>
          </cell>
          <cell r="G25">
            <v>1</v>
          </cell>
          <cell r="H25">
            <v>50</v>
          </cell>
          <cell r="I25">
            <v>50</v>
          </cell>
        </row>
        <row r="26">
          <cell r="B26" t="str">
            <v>coffee</v>
          </cell>
          <cell r="C26">
            <v>1</v>
          </cell>
          <cell r="D26">
            <v>3</v>
          </cell>
          <cell r="E26">
            <v>0</v>
          </cell>
          <cell r="F26">
            <v>60</v>
          </cell>
          <cell r="G26">
            <v>1</v>
          </cell>
          <cell r="H26">
            <v>50</v>
          </cell>
        </row>
        <row r="27">
          <cell r="B27" t="str">
            <v>wine</v>
          </cell>
          <cell r="C27">
            <v>1</v>
          </cell>
          <cell r="D27">
            <v>3</v>
          </cell>
          <cell r="E27">
            <v>0</v>
          </cell>
          <cell r="F27">
            <v>60</v>
          </cell>
          <cell r="G27">
            <v>1</v>
          </cell>
          <cell r="H27">
            <v>50</v>
          </cell>
        </row>
        <row r="28">
          <cell r="A28" t="str">
            <v>free_movement</v>
          </cell>
          <cell r="B28" t="str">
            <v>services</v>
          </cell>
          <cell r="C28">
            <v>0.5</v>
          </cell>
          <cell r="D28">
            <v>2</v>
          </cell>
          <cell r="E28">
            <v>0</v>
          </cell>
          <cell r="F28">
            <v>80</v>
          </cell>
          <cell r="G28">
            <v>1</v>
          </cell>
          <cell r="H28">
            <v>30</v>
          </cell>
          <cell r="I28">
            <v>30</v>
          </cell>
        </row>
        <row r="29">
          <cell r="B29" t="str">
            <v>transportation</v>
          </cell>
          <cell r="C29">
            <v>1</v>
          </cell>
          <cell r="D29">
            <v>3</v>
          </cell>
          <cell r="E29">
            <v>0</v>
          </cell>
          <cell r="F29">
            <v>60</v>
          </cell>
          <cell r="G29">
            <v>1</v>
          </cell>
          <cell r="H29">
            <v>30</v>
          </cell>
        </row>
        <row r="30">
          <cell r="B30" t="str">
            <v>automobiles</v>
          </cell>
          <cell r="C30">
            <v>1</v>
          </cell>
          <cell r="D30">
            <v>3</v>
          </cell>
          <cell r="E30">
            <v>0</v>
          </cell>
          <cell r="F30">
            <v>60</v>
          </cell>
          <cell r="G30">
            <v>2.33</v>
          </cell>
          <cell r="H30">
            <v>30</v>
          </cell>
        </row>
        <row r="31">
          <cell r="A31" t="str">
            <v>communication</v>
          </cell>
          <cell r="B31" t="str">
            <v>services</v>
          </cell>
          <cell r="C31">
            <v>0.5</v>
          </cell>
          <cell r="D31">
            <v>2</v>
          </cell>
          <cell r="E31">
            <v>0</v>
          </cell>
          <cell r="F31">
            <v>80</v>
          </cell>
          <cell r="G31">
            <v>1</v>
          </cell>
          <cell r="H31">
            <v>30</v>
          </cell>
          <cell r="I31">
            <v>30</v>
          </cell>
        </row>
        <row r="32">
          <cell r="B32" t="str">
            <v>transportation</v>
          </cell>
          <cell r="C32">
            <v>1</v>
          </cell>
          <cell r="D32">
            <v>3</v>
          </cell>
          <cell r="E32">
            <v>0</v>
          </cell>
          <cell r="F32">
            <v>60</v>
          </cell>
          <cell r="G32">
            <v>1</v>
          </cell>
          <cell r="H32">
            <v>30</v>
          </cell>
        </row>
        <row r="33">
          <cell r="B33" t="str">
            <v>telephones</v>
          </cell>
          <cell r="C33">
            <v>1</v>
          </cell>
          <cell r="D33">
            <v>3</v>
          </cell>
          <cell r="E33">
            <v>0</v>
          </cell>
          <cell r="F33">
            <v>60</v>
          </cell>
          <cell r="G33">
            <v>2.33</v>
          </cell>
          <cell r="H33">
            <v>30</v>
          </cell>
        </row>
        <row r="34">
          <cell r="A34" t="str">
            <v>luxury_food</v>
          </cell>
          <cell r="B34" t="str">
            <v>meat</v>
          </cell>
          <cell r="C34">
            <v>1</v>
          </cell>
          <cell r="D34">
            <v>2</v>
          </cell>
          <cell r="E34">
            <v>0</v>
          </cell>
          <cell r="F34">
            <v>40</v>
          </cell>
          <cell r="G34">
            <v>1</v>
          </cell>
          <cell r="H34">
            <v>30</v>
          </cell>
          <cell r="I34">
            <v>30</v>
          </cell>
        </row>
        <row r="35">
          <cell r="B35" t="str">
            <v>fruit</v>
          </cell>
          <cell r="C35">
            <v>1</v>
          </cell>
          <cell r="D35">
            <v>2</v>
          </cell>
          <cell r="E35">
            <v>0</v>
          </cell>
          <cell r="F35">
            <v>40</v>
          </cell>
          <cell r="G35">
            <v>1</v>
          </cell>
          <cell r="H35">
            <v>30</v>
          </cell>
        </row>
        <row r="36">
          <cell r="B36" t="str">
            <v>groceries</v>
          </cell>
          <cell r="C36">
            <v>1</v>
          </cell>
          <cell r="D36">
            <v>2</v>
          </cell>
          <cell r="E36">
            <v>0</v>
          </cell>
          <cell r="F36">
            <v>40</v>
          </cell>
          <cell r="G36">
            <v>1</v>
          </cell>
          <cell r="H36">
            <v>30</v>
          </cell>
        </row>
        <row r="37">
          <cell r="B37" t="str">
            <v>sugar</v>
          </cell>
          <cell r="C37">
            <v>0.5</v>
          </cell>
          <cell r="D37">
            <v>1</v>
          </cell>
          <cell r="E37">
            <v>0</v>
          </cell>
          <cell r="F37">
            <v>40</v>
          </cell>
          <cell r="G37">
            <v>1</v>
          </cell>
          <cell r="H37">
            <v>30</v>
          </cell>
        </row>
        <row r="38">
          <cell r="A38" t="str">
            <v>luxury_items</v>
          </cell>
          <cell r="B38" t="str">
            <v>luxury_clothes</v>
          </cell>
          <cell r="C38">
            <v>1</v>
          </cell>
          <cell r="D38">
            <v>1</v>
          </cell>
          <cell r="E38">
            <v>0.25</v>
          </cell>
          <cell r="F38">
            <v>40</v>
          </cell>
          <cell r="G38">
            <v>1</v>
          </cell>
          <cell r="H38">
            <v>60</v>
          </cell>
          <cell r="I38">
            <v>60</v>
          </cell>
        </row>
        <row r="39">
          <cell r="B39" t="str">
            <v>luxury_furniture</v>
          </cell>
          <cell r="C39">
            <v>1</v>
          </cell>
          <cell r="D39">
            <v>2</v>
          </cell>
          <cell r="E39">
            <v>0.25</v>
          </cell>
          <cell r="F39">
            <v>40</v>
          </cell>
          <cell r="G39">
            <v>1</v>
          </cell>
          <cell r="H39">
            <v>60</v>
          </cell>
        </row>
        <row r="40">
          <cell r="B40" t="str">
            <v>porcelain</v>
          </cell>
          <cell r="C40">
            <v>1</v>
          </cell>
          <cell r="D40">
            <v>2</v>
          </cell>
          <cell r="E40">
            <v>0.25</v>
          </cell>
          <cell r="F40">
            <v>40</v>
          </cell>
          <cell r="G40">
            <v>1.16</v>
          </cell>
          <cell r="H40">
            <v>60</v>
          </cell>
        </row>
        <row r="41">
          <cell r="B41" t="str">
            <v>radios</v>
          </cell>
          <cell r="C41">
            <v>1</v>
          </cell>
          <cell r="D41">
            <v>2</v>
          </cell>
          <cell r="E41">
            <v>0</v>
          </cell>
          <cell r="F41">
            <v>40</v>
          </cell>
          <cell r="G41">
            <v>1.33</v>
          </cell>
          <cell r="H41">
            <v>60</v>
          </cell>
        </row>
        <row r="42">
          <cell r="A42" t="str">
            <v>art</v>
          </cell>
          <cell r="B42" t="str">
            <v>services</v>
          </cell>
          <cell r="C42">
            <v>0.5</v>
          </cell>
          <cell r="D42">
            <v>2</v>
          </cell>
          <cell r="E42">
            <v>0</v>
          </cell>
          <cell r="F42">
            <v>80</v>
          </cell>
          <cell r="G42">
            <v>1</v>
          </cell>
          <cell r="H42">
            <v>30</v>
          </cell>
          <cell r="I42">
            <v>30</v>
          </cell>
        </row>
        <row r="43">
          <cell r="B43" t="str">
            <v>fine_art</v>
          </cell>
          <cell r="C43">
            <v>1</v>
          </cell>
          <cell r="D43">
            <v>3</v>
          </cell>
          <cell r="E43">
            <v>0</v>
          </cell>
          <cell r="F43">
            <v>60</v>
          </cell>
          <cell r="G43">
            <v>6.66</v>
          </cell>
          <cell r="H43">
            <v>30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6"/>
  <sheetViews>
    <sheetView showGridLines="0" zoomScale="90" zoomScaleNormal="90" topLeftCell="A16" workbookViewId="0">
      <selection activeCell="L44" sqref="L44"/>
    </sheetView>
  </sheetViews>
  <sheetFormatPr defaultColWidth="9" defaultRowHeight="20" customHeight="1"/>
  <cols>
    <col min="1" max="1" width="18" style="25" customWidth="1"/>
    <col min="2" max="2" width="21.6666666666667" style="25" customWidth="1"/>
    <col min="3" max="3" width="15.55" style="24" customWidth="1"/>
    <col min="4" max="4" width="21.6666666666667" style="24" customWidth="1"/>
    <col min="5" max="5" width="19.4333333333333" style="24" customWidth="1"/>
    <col min="6" max="6" width="18.6083333333333" style="24" customWidth="1"/>
    <col min="7" max="7" width="9" style="24"/>
    <col min="8" max="8" width="19.375" style="24" customWidth="1"/>
    <col min="9" max="9" width="18.25" style="24" customWidth="1"/>
    <col min="10" max="10" width="7.375" style="24" customWidth="1"/>
    <col min="11" max="12" width="11.5" style="24" customWidth="1"/>
    <col min="13" max="13" width="10.375" style="24" customWidth="1"/>
    <col min="14" max="14" width="14.875" style="24" customWidth="1"/>
    <col min="15" max="15" width="5.375" style="24" customWidth="1"/>
    <col min="16" max="16" width="8.875" style="24" customWidth="1"/>
    <col min="17" max="16384" width="9" style="24"/>
  </cols>
  <sheetData>
    <row r="1" customHeight="1" spans="1:1">
      <c r="A1" s="35" t="s">
        <v>0</v>
      </c>
    </row>
    <row r="2" customHeight="1" spans="1:1">
      <c r="A2" s="35" t="s">
        <v>1</v>
      </c>
    </row>
    <row r="3" customHeight="1" spans="1:1">
      <c r="A3" s="35" t="s">
        <v>2</v>
      </c>
    </row>
    <row r="4" customHeight="1" spans="1:5">
      <c r="A4" s="27" t="s">
        <v>3</v>
      </c>
      <c r="B4" s="27" t="s">
        <v>4</v>
      </c>
      <c r="C4" s="27" t="s">
        <v>5</v>
      </c>
      <c r="D4" s="27" t="s">
        <v>6</v>
      </c>
      <c r="E4" s="27" t="s">
        <v>7</v>
      </c>
    </row>
    <row r="5" customHeight="1" spans="1:5">
      <c r="A5" s="25" t="s">
        <v>8</v>
      </c>
      <c r="B5" s="72" t="s">
        <v>9</v>
      </c>
      <c r="C5" s="25" t="s">
        <v>10</v>
      </c>
      <c r="D5" s="25" t="s">
        <v>11</v>
      </c>
      <c r="E5" s="25" t="s">
        <v>12</v>
      </c>
    </row>
    <row r="6" customHeight="1" spans="1:5">
      <c r="A6" s="73" t="s">
        <v>13</v>
      </c>
      <c r="B6" s="74"/>
      <c r="C6" s="74"/>
      <c r="D6" s="74"/>
      <c r="E6" s="74"/>
    </row>
    <row r="7" customHeight="1" spans="1:1">
      <c r="A7" s="35" t="s">
        <v>14</v>
      </c>
    </row>
    <row r="8" customHeight="1" spans="1:1">
      <c r="A8" s="35" t="s">
        <v>15</v>
      </c>
    </row>
    <row r="9" customHeight="1" spans="1:1">
      <c r="A9" s="35" t="s">
        <v>16</v>
      </c>
    </row>
    <row r="10" customHeight="1" spans="1:1">
      <c r="A10" s="35" t="s">
        <v>17</v>
      </c>
    </row>
    <row r="11" customHeight="1" spans="1:1">
      <c r="A11" s="35" t="s">
        <v>18</v>
      </c>
    </row>
    <row r="12" customHeight="1" spans="1:1">
      <c r="A12" s="35" t="s">
        <v>19</v>
      </c>
    </row>
    <row r="13" customHeight="1" spans="1:1">
      <c r="A13" s="35" t="s">
        <v>20</v>
      </c>
    </row>
    <row r="14" customHeight="1" spans="1:1">
      <c r="A14" s="35" t="s">
        <v>21</v>
      </c>
    </row>
    <row r="15" customHeight="1" spans="1:1">
      <c r="A15" s="35" t="s">
        <v>22</v>
      </c>
    </row>
    <row r="16" customHeight="1" spans="1:1">
      <c r="A16" s="35" t="s">
        <v>23</v>
      </c>
    </row>
    <row r="18" customHeight="1" spans="1:1">
      <c r="A18" s="35" t="s">
        <v>24</v>
      </c>
    </row>
    <row r="19" customHeight="1" spans="1:1">
      <c r="A19" s="35" t="s">
        <v>25</v>
      </c>
    </row>
    <row r="20" customHeight="1" spans="1:1">
      <c r="A20" s="35" t="s">
        <v>26</v>
      </c>
    </row>
    <row r="21" customHeight="1" spans="1:1">
      <c r="A21" s="35" t="s">
        <v>27</v>
      </c>
    </row>
    <row r="22" customHeight="1" spans="1:1">
      <c r="A22" s="35" t="s">
        <v>28</v>
      </c>
    </row>
    <row r="23" customHeight="1" spans="1:1">
      <c r="A23" s="35"/>
    </row>
    <row r="24" customHeight="1" spans="1:1">
      <c r="A24" s="35"/>
    </row>
    <row r="25" customHeight="1" spans="1:1">
      <c r="A25" s="35"/>
    </row>
    <row r="26" customHeight="1" spans="1:16">
      <c r="A26" s="27" t="s">
        <v>3</v>
      </c>
      <c r="B26" s="27" t="s">
        <v>4</v>
      </c>
      <c r="C26" s="27" t="s">
        <v>5</v>
      </c>
      <c r="D26" s="27" t="s">
        <v>6</v>
      </c>
      <c r="E26" s="27" t="s">
        <v>7</v>
      </c>
      <c r="H26" s="75" t="s">
        <v>29</v>
      </c>
      <c r="I26" s="75" t="s">
        <v>30</v>
      </c>
      <c r="J26" s="75" t="s">
        <v>31</v>
      </c>
      <c r="K26" s="75" t="s">
        <v>32</v>
      </c>
      <c r="L26" s="75" t="s">
        <v>33</v>
      </c>
      <c r="M26" s="75" t="s">
        <v>34</v>
      </c>
      <c r="N26" s="75" t="s">
        <v>35</v>
      </c>
      <c r="O26" s="75" t="s">
        <v>36</v>
      </c>
      <c r="P26" s="75" t="s">
        <v>37</v>
      </c>
    </row>
    <row r="27" customHeight="1" spans="1:16">
      <c r="A27" s="25" t="s">
        <v>8</v>
      </c>
      <c r="C27" s="24">
        <v>20</v>
      </c>
      <c r="E27" s="25" t="s">
        <v>12</v>
      </c>
      <c r="H27" s="75" t="s">
        <v>38</v>
      </c>
      <c r="I27" s="75"/>
      <c r="J27" s="75"/>
      <c r="K27" s="75"/>
      <c r="L27" s="75"/>
      <c r="M27" s="75"/>
      <c r="N27" s="75" t="s">
        <v>39</v>
      </c>
      <c r="O27" s="75" t="s">
        <v>40</v>
      </c>
      <c r="P27" s="75"/>
    </row>
    <row r="28" customHeight="1" spans="1:16">
      <c r="A28" s="25" t="s">
        <v>41</v>
      </c>
      <c r="C28" s="24">
        <v>40</v>
      </c>
      <c r="E28" s="25" t="s">
        <v>12</v>
      </c>
      <c r="H28" s="76" t="s">
        <v>42</v>
      </c>
      <c r="I28" s="57" t="s">
        <v>43</v>
      </c>
      <c r="J28">
        <v>1</v>
      </c>
      <c r="K28">
        <v>4</v>
      </c>
      <c r="L28">
        <v>0</v>
      </c>
      <c r="M28">
        <v>80</v>
      </c>
      <c r="N28">
        <v>1</v>
      </c>
      <c r="O28">
        <f>ROUND(VLOOKUP(I28,[1]Good!$A$4:$C$55,3,FALSE)/N28,0)</f>
        <v>20</v>
      </c>
      <c r="P28" s="76">
        <v>20</v>
      </c>
    </row>
    <row r="29" customHeight="1" spans="1:16">
      <c r="A29" s="25" t="s">
        <v>44</v>
      </c>
      <c r="C29" s="24">
        <v>60</v>
      </c>
      <c r="E29" s="25" t="s">
        <v>12</v>
      </c>
      <c r="H29" s="77"/>
      <c r="I29" s="55" t="s">
        <v>45</v>
      </c>
      <c r="J29">
        <v>1</v>
      </c>
      <c r="K29">
        <v>4</v>
      </c>
      <c r="L29">
        <v>0</v>
      </c>
      <c r="M29">
        <v>80</v>
      </c>
      <c r="N29">
        <v>1.5</v>
      </c>
      <c r="O29">
        <f>ROUND(VLOOKUP(I29,[1]Good!$A$4:$C$55,3,FALSE)/N29,0)</f>
        <v>20</v>
      </c>
      <c r="P29" s="77"/>
    </row>
    <row r="30" customHeight="1" spans="5:16">
      <c r="E30" s="25"/>
      <c r="H30" s="76" t="s">
        <v>46</v>
      </c>
      <c r="I30" s="57" t="s">
        <v>47</v>
      </c>
      <c r="J30">
        <v>1</v>
      </c>
      <c r="K30">
        <v>4</v>
      </c>
      <c r="L30">
        <v>0</v>
      </c>
      <c r="M30">
        <v>80</v>
      </c>
      <c r="N30">
        <v>1</v>
      </c>
      <c r="O30">
        <f>ROUND(VLOOKUP(I30,[1]Good!$A$4:$C$55,3,FALSE)/N30,0)</f>
        <v>20</v>
      </c>
      <c r="P30" s="76">
        <v>20</v>
      </c>
    </row>
    <row r="31" customHeight="1" spans="1:16">
      <c r="A31" s="25" t="s">
        <v>48</v>
      </c>
      <c r="C31" s="24">
        <v>20</v>
      </c>
      <c r="E31" s="25" t="s">
        <v>12</v>
      </c>
      <c r="H31" s="77"/>
      <c r="I31" s="55" t="s">
        <v>49</v>
      </c>
      <c r="J31">
        <v>1</v>
      </c>
      <c r="K31">
        <v>4</v>
      </c>
      <c r="L31">
        <v>0</v>
      </c>
      <c r="M31">
        <v>80</v>
      </c>
      <c r="N31">
        <v>1.5</v>
      </c>
      <c r="O31">
        <f>ROUND(VLOOKUP(I31,[1]Good!$A$4:$C$55,3,FALSE)/N31,0)</f>
        <v>20</v>
      </c>
      <c r="P31" s="77"/>
    </row>
    <row r="32" customHeight="1" spans="1:16">
      <c r="A32" s="25" t="s">
        <v>50</v>
      </c>
      <c r="C32" s="24">
        <v>40</v>
      </c>
      <c r="H32" s="76" t="s">
        <v>51</v>
      </c>
      <c r="I32" s="57" t="s">
        <v>52</v>
      </c>
      <c r="J32">
        <v>1</v>
      </c>
      <c r="K32">
        <v>4</v>
      </c>
      <c r="L32">
        <v>0</v>
      </c>
      <c r="M32">
        <v>80</v>
      </c>
      <c r="N32">
        <v>1</v>
      </c>
      <c r="O32">
        <f>ROUND(VLOOKUP(I32,[1]Good!$A$4:$C$55,3,FALSE)/N32,0)</f>
        <v>20</v>
      </c>
      <c r="P32" s="76">
        <v>20</v>
      </c>
    </row>
    <row r="33" customHeight="1" spans="1:16">
      <c r="A33" s="25" t="s">
        <v>53</v>
      </c>
      <c r="C33" s="24">
        <v>60</v>
      </c>
      <c r="H33" s="78"/>
      <c r="I33" s="55" t="s">
        <v>54</v>
      </c>
      <c r="J33">
        <v>1</v>
      </c>
      <c r="K33">
        <v>4</v>
      </c>
      <c r="L33">
        <v>0</v>
      </c>
      <c r="M33">
        <v>80</v>
      </c>
      <c r="N33">
        <v>1</v>
      </c>
      <c r="O33">
        <f>ROUND(VLOOKUP(I33,[1]Good!$A$4:$C$55,3,FALSE)/N33,0)</f>
        <v>20</v>
      </c>
      <c r="P33" s="78"/>
    </row>
    <row r="34" customHeight="1" spans="8:16">
      <c r="H34" s="78"/>
      <c r="I34" s="57" t="s">
        <v>55</v>
      </c>
      <c r="J34">
        <v>0.5</v>
      </c>
      <c r="K34">
        <v>2</v>
      </c>
      <c r="L34">
        <v>0</v>
      </c>
      <c r="M34">
        <v>80</v>
      </c>
      <c r="N34">
        <v>1.5</v>
      </c>
      <c r="O34">
        <f>ROUND(VLOOKUP(I34,[1]Good!$A$4:$C$55,3,FALSE)/N34,0)</f>
        <v>20</v>
      </c>
      <c r="P34" s="78"/>
    </row>
    <row r="35" customHeight="1" spans="1:16">
      <c r="A35" s="25" t="s">
        <v>56</v>
      </c>
      <c r="C35" s="24">
        <v>40</v>
      </c>
      <c r="H35" s="78"/>
      <c r="I35" s="55" t="s">
        <v>57</v>
      </c>
      <c r="J35">
        <v>0.5</v>
      </c>
      <c r="K35">
        <v>2</v>
      </c>
      <c r="L35">
        <v>0</v>
      </c>
      <c r="M35">
        <v>80</v>
      </c>
      <c r="N35">
        <v>1.5</v>
      </c>
      <c r="O35">
        <f>ROUND(VLOOKUP(I35,[1]Good!$A$4:$C$55,3,FALSE)/N35,0)</f>
        <v>20</v>
      </c>
      <c r="P35" s="78"/>
    </row>
    <row r="36" customHeight="1" spans="1:16">
      <c r="A36" s="25" t="s">
        <v>58</v>
      </c>
      <c r="C36" s="24">
        <v>60</v>
      </c>
      <c r="H36" s="77"/>
      <c r="I36" s="57" t="s">
        <v>59</v>
      </c>
      <c r="J36">
        <v>0.5</v>
      </c>
      <c r="K36">
        <v>2</v>
      </c>
      <c r="L36">
        <v>0</v>
      </c>
      <c r="M36">
        <v>80</v>
      </c>
      <c r="N36">
        <v>1.5</v>
      </c>
      <c r="O36">
        <f>ROUND(VLOOKUP(I36,[1]Good!$A$4:$C$55,3,FALSE)/N36,0)</f>
        <v>20</v>
      </c>
      <c r="P36" s="77"/>
    </row>
    <row r="37" customHeight="1" spans="1:16">
      <c r="A37" s="25" t="s">
        <v>60</v>
      </c>
      <c r="C37" s="24">
        <v>80</v>
      </c>
      <c r="H37" s="76" t="s">
        <v>61</v>
      </c>
      <c r="I37" s="55" t="s">
        <v>47</v>
      </c>
      <c r="J37">
        <v>1</v>
      </c>
      <c r="K37">
        <v>3</v>
      </c>
      <c r="L37">
        <v>0</v>
      </c>
      <c r="M37">
        <v>60</v>
      </c>
      <c r="N37">
        <v>1</v>
      </c>
      <c r="O37">
        <f>ROUND(VLOOKUP(I37,[1]Good!$A$4:$C$55,3,FALSE)/N37,0)</f>
        <v>20</v>
      </c>
      <c r="P37" s="76">
        <v>20</v>
      </c>
    </row>
    <row r="38" customHeight="1" spans="8:16">
      <c r="H38" s="78"/>
      <c r="I38" s="57" t="s">
        <v>43</v>
      </c>
      <c r="J38">
        <v>1</v>
      </c>
      <c r="K38">
        <v>3</v>
      </c>
      <c r="L38">
        <v>0</v>
      </c>
      <c r="M38">
        <v>60</v>
      </c>
      <c r="N38">
        <v>1</v>
      </c>
      <c r="O38">
        <f>ROUND(VLOOKUP(I38,[1]Good!$A$4:$C$55,3,FALSE)/N38,0)</f>
        <v>20</v>
      </c>
      <c r="P38" s="78"/>
    </row>
    <row r="39" customHeight="1" spans="1:16">
      <c r="A39" s="25" t="s">
        <v>62</v>
      </c>
      <c r="C39" s="24">
        <v>30</v>
      </c>
      <c r="H39" s="78"/>
      <c r="I39" s="55" t="s">
        <v>63</v>
      </c>
      <c r="J39">
        <v>1</v>
      </c>
      <c r="K39">
        <v>3</v>
      </c>
      <c r="L39">
        <v>0</v>
      </c>
      <c r="M39">
        <v>60</v>
      </c>
      <c r="N39">
        <v>1.5</v>
      </c>
      <c r="O39">
        <f>ROUND(VLOOKUP(I39,[1]Good!$A$4:$C$55,3,FALSE)/N39,0)</f>
        <v>20</v>
      </c>
      <c r="P39" s="78"/>
    </row>
    <row r="40" customHeight="1" spans="1:16">
      <c r="A40" s="25" t="s">
        <v>64</v>
      </c>
      <c r="C40" s="24">
        <v>50</v>
      </c>
      <c r="H40" s="78"/>
      <c r="I40" s="57" t="s">
        <v>65</v>
      </c>
      <c r="J40">
        <v>1</v>
      </c>
      <c r="K40">
        <v>3</v>
      </c>
      <c r="L40">
        <v>0</v>
      </c>
      <c r="M40">
        <v>60</v>
      </c>
      <c r="N40">
        <v>2</v>
      </c>
      <c r="O40">
        <f>ROUND(VLOOKUP(I40,[1]Good!$A$4:$C$55,3,FALSE)/N40,0)</f>
        <v>20</v>
      </c>
      <c r="P40" s="78"/>
    </row>
    <row r="41" customHeight="1" spans="1:16">
      <c r="A41" s="25" t="s">
        <v>66</v>
      </c>
      <c r="C41" s="24">
        <v>70</v>
      </c>
      <c r="H41" s="77"/>
      <c r="I41" s="55" t="s">
        <v>67</v>
      </c>
      <c r="J41">
        <v>2</v>
      </c>
      <c r="K41">
        <v>10</v>
      </c>
      <c r="L41">
        <v>0</v>
      </c>
      <c r="M41">
        <v>100</v>
      </c>
      <c r="N41">
        <v>1.5</v>
      </c>
      <c r="O41">
        <f>ROUND(VLOOKUP(I41,[1]Good!$A$4:$C$55,3,FALSE)/N41,0)</f>
        <v>20</v>
      </c>
      <c r="P41" s="77"/>
    </row>
    <row r="42" customHeight="1" spans="8:16">
      <c r="H42" s="76" t="s">
        <v>68</v>
      </c>
      <c r="I42" s="57" t="s">
        <v>49</v>
      </c>
      <c r="J42">
        <v>1</v>
      </c>
      <c r="K42">
        <v>4</v>
      </c>
      <c r="L42">
        <v>0.25</v>
      </c>
      <c r="M42">
        <v>80</v>
      </c>
      <c r="N42">
        <v>1</v>
      </c>
      <c r="O42">
        <f>ROUND(VLOOKUP(I42,[1]Good!$A$4:$C$55,3,FALSE)/N42,0)</f>
        <v>30</v>
      </c>
      <c r="P42" s="76">
        <v>30</v>
      </c>
    </row>
    <row r="43" customHeight="1" spans="1:16">
      <c r="A43" s="25" t="s">
        <v>69</v>
      </c>
      <c r="C43" s="24">
        <v>40</v>
      </c>
      <c r="H43" s="77"/>
      <c r="I43" s="55" t="s">
        <v>70</v>
      </c>
      <c r="J43">
        <v>1</v>
      </c>
      <c r="K43">
        <v>2</v>
      </c>
      <c r="L43">
        <v>0</v>
      </c>
      <c r="M43">
        <v>40</v>
      </c>
      <c r="N43">
        <v>1.33</v>
      </c>
      <c r="O43">
        <f>ROUND(VLOOKUP(I43,[1]Good!$A$4:$C$55,3,FALSE)/N43,0)</f>
        <v>30</v>
      </c>
      <c r="P43" s="77"/>
    </row>
    <row r="44" customHeight="1" spans="1:16">
      <c r="A44" s="25" t="s">
        <v>71</v>
      </c>
      <c r="C44" s="24">
        <v>60</v>
      </c>
      <c r="H44" s="49" t="s">
        <v>72</v>
      </c>
      <c r="I44" s="57" t="s">
        <v>45</v>
      </c>
      <c r="J44">
        <v>1</v>
      </c>
      <c r="K44"/>
      <c r="L44"/>
      <c r="M44"/>
      <c r="N44">
        <v>1</v>
      </c>
      <c r="O44">
        <f>ROUND(VLOOKUP(I44,[1]Good!$A$4:$C$55,3,FALSE)/N44,0)</f>
        <v>30</v>
      </c>
      <c r="P44" s="49">
        <v>30</v>
      </c>
    </row>
    <row r="45" customHeight="1" spans="1:16">
      <c r="A45" s="25" t="s">
        <v>73</v>
      </c>
      <c r="C45" s="24">
        <v>80</v>
      </c>
      <c r="H45" s="49" t="s">
        <v>74</v>
      </c>
      <c r="I45" s="55" t="s">
        <v>74</v>
      </c>
      <c r="J45">
        <v>1</v>
      </c>
      <c r="K45"/>
      <c r="L45"/>
      <c r="M45"/>
      <c r="N45">
        <v>1</v>
      </c>
      <c r="O45">
        <f>ROUND(VLOOKUP(I45,[1]Good!$A$4:$C$55,3,FALSE)/N45,0)</f>
        <v>30</v>
      </c>
      <c r="P45" s="49">
        <v>30</v>
      </c>
    </row>
    <row r="46" customHeight="1" spans="8:16">
      <c r="H46" s="76" t="s">
        <v>75</v>
      </c>
      <c r="I46" s="57" t="s">
        <v>76</v>
      </c>
      <c r="J46">
        <v>1</v>
      </c>
      <c r="K46">
        <v>3</v>
      </c>
      <c r="L46">
        <v>0</v>
      </c>
      <c r="M46">
        <v>60</v>
      </c>
      <c r="N46">
        <v>1</v>
      </c>
      <c r="O46">
        <f>ROUND(VLOOKUP(I46,[1]Good!$A$4:$C$55,3,FALSE)/N46,0)</f>
        <v>30</v>
      </c>
      <c r="P46" s="76">
        <v>30</v>
      </c>
    </row>
    <row r="47" customHeight="1" spans="1:16">
      <c r="A47" s="25" t="s">
        <v>77</v>
      </c>
      <c r="C47" s="24">
        <v>60</v>
      </c>
      <c r="H47" s="78"/>
      <c r="I47" s="55" t="s">
        <v>78</v>
      </c>
      <c r="J47">
        <v>1</v>
      </c>
      <c r="K47">
        <v>3</v>
      </c>
      <c r="L47">
        <v>0</v>
      </c>
      <c r="M47">
        <v>60</v>
      </c>
      <c r="N47">
        <v>1.33</v>
      </c>
      <c r="O47">
        <f>ROUND(VLOOKUP(I47,[1]Good!$A$4:$C$55,3,FALSE)/N47,0)</f>
        <v>30</v>
      </c>
      <c r="P47" s="78"/>
    </row>
    <row r="48" customHeight="1" spans="1:16">
      <c r="A48" s="25" t="s">
        <v>79</v>
      </c>
      <c r="C48" s="24">
        <v>80</v>
      </c>
      <c r="H48" s="77"/>
      <c r="I48" s="57" t="s">
        <v>80</v>
      </c>
      <c r="J48">
        <v>1</v>
      </c>
      <c r="K48">
        <v>3</v>
      </c>
      <c r="L48">
        <v>0</v>
      </c>
      <c r="M48">
        <v>60</v>
      </c>
      <c r="N48">
        <v>1.66</v>
      </c>
      <c r="O48">
        <f>ROUND(VLOOKUP(I48,[1]Good!$A$4:$C$55,3,FALSE)/N48,0)</f>
        <v>30</v>
      </c>
      <c r="P48" s="77"/>
    </row>
    <row r="49" customHeight="1" spans="1:16">
      <c r="A49" s="25" t="s">
        <v>81</v>
      </c>
      <c r="C49" s="24">
        <v>100</v>
      </c>
      <c r="H49" s="76" t="s">
        <v>82</v>
      </c>
      <c r="I49" s="55" t="s">
        <v>83</v>
      </c>
      <c r="J49">
        <v>1</v>
      </c>
      <c r="K49">
        <v>3</v>
      </c>
      <c r="L49">
        <v>0</v>
      </c>
      <c r="M49">
        <v>60</v>
      </c>
      <c r="N49">
        <v>1</v>
      </c>
      <c r="O49">
        <f>ROUND(VLOOKUP(I49,[1]Good!$A$4:$C$55,3,FALSE)/N49,0)</f>
        <v>50</v>
      </c>
      <c r="P49" s="76">
        <v>50</v>
      </c>
    </row>
    <row r="50" customHeight="1" spans="1:16">
      <c r="A50" s="24"/>
      <c r="B50" s="24"/>
      <c r="H50" s="78"/>
      <c r="I50" s="57" t="s">
        <v>84</v>
      </c>
      <c r="J50">
        <v>1</v>
      </c>
      <c r="K50">
        <v>3</v>
      </c>
      <c r="L50">
        <v>0</v>
      </c>
      <c r="M50">
        <v>60</v>
      </c>
      <c r="N50">
        <v>1</v>
      </c>
      <c r="O50">
        <f>ROUND(VLOOKUP(I50,[1]Good!$A$4:$C$55,3,FALSE)/N50,0)</f>
        <v>50</v>
      </c>
      <c r="P50" s="78"/>
    </row>
    <row r="51" customHeight="1" spans="1:16">
      <c r="A51" s="25" t="s">
        <v>85</v>
      </c>
      <c r="C51" s="24">
        <v>30</v>
      </c>
      <c r="H51" s="77"/>
      <c r="I51" s="55" t="s">
        <v>86</v>
      </c>
      <c r="J51">
        <v>1</v>
      </c>
      <c r="K51">
        <v>3</v>
      </c>
      <c r="L51">
        <v>0</v>
      </c>
      <c r="M51">
        <v>60</v>
      </c>
      <c r="N51">
        <v>1</v>
      </c>
      <c r="O51">
        <f>ROUND(VLOOKUP(I51,[1]Good!$A$4:$C$55,3,FALSE)/N51,0)</f>
        <v>50</v>
      </c>
      <c r="P51" s="77"/>
    </row>
    <row r="52" customHeight="1" spans="1:16">
      <c r="A52" s="24"/>
      <c r="B52" s="24"/>
      <c r="H52" s="76" t="s">
        <v>87</v>
      </c>
      <c r="I52" s="57" t="s">
        <v>74</v>
      </c>
      <c r="J52">
        <v>0.5</v>
      </c>
      <c r="K52">
        <v>2</v>
      </c>
      <c r="L52">
        <v>0</v>
      </c>
      <c r="M52">
        <v>80</v>
      </c>
      <c r="N52">
        <v>1</v>
      </c>
      <c r="O52">
        <f>ROUND(VLOOKUP(I52,[1]Good!$A$4:$C$55,3,FALSE)/N52,0)</f>
        <v>30</v>
      </c>
      <c r="P52" s="76">
        <v>30</v>
      </c>
    </row>
    <row r="53" customHeight="1" spans="1:16">
      <c r="A53" s="24"/>
      <c r="B53" s="24"/>
      <c r="H53" s="78"/>
      <c r="I53" s="55" t="s">
        <v>88</v>
      </c>
      <c r="J53">
        <v>1</v>
      </c>
      <c r="K53">
        <v>3</v>
      </c>
      <c r="L53">
        <v>0</v>
      </c>
      <c r="M53">
        <v>60</v>
      </c>
      <c r="N53">
        <v>1</v>
      </c>
      <c r="O53">
        <f>ROUND(VLOOKUP(I53,[1]Good!$A$4:$C$55,3,FALSE)/N53,0)</f>
        <v>30</v>
      </c>
      <c r="P53" s="78"/>
    </row>
    <row r="54" customHeight="1" spans="1:16">
      <c r="A54" s="24"/>
      <c r="B54" s="24"/>
      <c r="H54" s="77"/>
      <c r="I54" s="57" t="s">
        <v>89</v>
      </c>
      <c r="J54">
        <v>1</v>
      </c>
      <c r="K54">
        <v>3</v>
      </c>
      <c r="L54">
        <v>0</v>
      </c>
      <c r="M54">
        <v>60</v>
      </c>
      <c r="N54">
        <v>2.33</v>
      </c>
      <c r="O54">
        <f>ROUND(VLOOKUP(I54,[1]Good!$A$4:$C$55,3,FALSE)/N54,0)</f>
        <v>30</v>
      </c>
      <c r="P54" s="77"/>
    </row>
    <row r="55" customHeight="1" spans="1:16">
      <c r="A55" s="24"/>
      <c r="B55" s="24"/>
      <c r="H55" s="76" t="s">
        <v>90</v>
      </c>
      <c r="I55" s="55" t="s">
        <v>74</v>
      </c>
      <c r="J55">
        <v>0.5</v>
      </c>
      <c r="K55">
        <v>2</v>
      </c>
      <c r="L55">
        <v>0</v>
      </c>
      <c r="M55">
        <v>80</v>
      </c>
      <c r="N55">
        <v>1</v>
      </c>
      <c r="O55">
        <f>ROUND(VLOOKUP(I55,[1]Good!$A$4:$C$55,3,FALSE)/N55,0)</f>
        <v>30</v>
      </c>
      <c r="P55" s="76">
        <v>30</v>
      </c>
    </row>
    <row r="56" customHeight="1" spans="1:16">
      <c r="A56" s="24"/>
      <c r="B56" s="24"/>
      <c r="H56" s="78"/>
      <c r="I56" s="57" t="s">
        <v>88</v>
      </c>
      <c r="J56">
        <v>1</v>
      </c>
      <c r="K56">
        <v>3</v>
      </c>
      <c r="L56">
        <v>0</v>
      </c>
      <c r="M56">
        <v>60</v>
      </c>
      <c r="N56">
        <v>1</v>
      </c>
      <c r="O56">
        <f>ROUND(VLOOKUP(I56,[1]Good!$A$4:$C$55,3,FALSE)/N56,0)</f>
        <v>30</v>
      </c>
      <c r="P56" s="78"/>
    </row>
    <row r="57" customHeight="1" spans="1:16">
      <c r="A57" s="24"/>
      <c r="B57" s="24"/>
      <c r="H57" s="77"/>
      <c r="I57" s="55" t="s">
        <v>91</v>
      </c>
      <c r="J57">
        <v>1</v>
      </c>
      <c r="K57">
        <v>3</v>
      </c>
      <c r="L57">
        <v>0</v>
      </c>
      <c r="M57">
        <v>60</v>
      </c>
      <c r="N57">
        <v>2.33</v>
      </c>
      <c r="O57">
        <f>ROUND(VLOOKUP(I57,[1]Good!$A$4:$C$55,3,FALSE)/N57,0)</f>
        <v>30</v>
      </c>
      <c r="P57" s="77"/>
    </row>
    <row r="58" customHeight="1" spans="1:16">
      <c r="A58" s="24"/>
      <c r="B58" s="24"/>
      <c r="H58" s="76" t="s">
        <v>92</v>
      </c>
      <c r="I58" s="57" t="s">
        <v>55</v>
      </c>
      <c r="J58">
        <v>1</v>
      </c>
      <c r="K58">
        <v>2</v>
      </c>
      <c r="L58">
        <v>0</v>
      </c>
      <c r="M58">
        <v>40</v>
      </c>
      <c r="N58">
        <v>1</v>
      </c>
      <c r="O58">
        <f>ROUND(VLOOKUP(I58,[1]Good!$A$4:$C$55,3,FALSE)/N58,0)</f>
        <v>30</v>
      </c>
      <c r="P58" s="76">
        <v>30</v>
      </c>
    </row>
    <row r="59" customHeight="1" spans="1:16">
      <c r="A59" s="24"/>
      <c r="B59" s="24"/>
      <c r="H59" s="78"/>
      <c r="I59" s="55" t="s">
        <v>57</v>
      </c>
      <c r="J59">
        <v>1</v>
      </c>
      <c r="K59">
        <v>2</v>
      </c>
      <c r="L59">
        <v>0</v>
      </c>
      <c r="M59">
        <v>40</v>
      </c>
      <c r="N59">
        <v>1</v>
      </c>
      <c r="O59">
        <f>ROUND(VLOOKUP(I59,[1]Good!$A$4:$C$55,3,FALSE)/N59,0)</f>
        <v>30</v>
      </c>
      <c r="P59" s="78"/>
    </row>
    <row r="60" customHeight="1" spans="1:16">
      <c r="A60" s="24"/>
      <c r="B60" s="24"/>
      <c r="H60" s="78"/>
      <c r="I60" s="57" t="s">
        <v>59</v>
      </c>
      <c r="J60">
        <v>1</v>
      </c>
      <c r="K60">
        <v>2</v>
      </c>
      <c r="L60">
        <v>0</v>
      </c>
      <c r="M60">
        <v>40</v>
      </c>
      <c r="N60">
        <v>1</v>
      </c>
      <c r="O60">
        <f>ROUND(VLOOKUP(I60,[1]Good!$A$4:$C$55,3,FALSE)/N60,0)</f>
        <v>30</v>
      </c>
      <c r="P60" s="78"/>
    </row>
    <row r="61" customHeight="1" spans="1:16">
      <c r="A61" s="24"/>
      <c r="B61" s="24"/>
      <c r="H61" s="77"/>
      <c r="I61" s="55" t="s">
        <v>93</v>
      </c>
      <c r="J61">
        <v>0.5</v>
      </c>
      <c r="K61">
        <v>1</v>
      </c>
      <c r="L61">
        <v>0</v>
      </c>
      <c r="M61">
        <v>40</v>
      </c>
      <c r="N61">
        <v>1</v>
      </c>
      <c r="O61">
        <f>ROUND(VLOOKUP(I61,[1]Good!$A$4:$C$55,3,FALSE)/N61,0)</f>
        <v>30</v>
      </c>
      <c r="P61" s="77"/>
    </row>
    <row r="62" customHeight="1" spans="1:16">
      <c r="A62" s="24"/>
      <c r="B62" s="24"/>
      <c r="H62" s="76" t="s">
        <v>94</v>
      </c>
      <c r="I62" s="57" t="s">
        <v>95</v>
      </c>
      <c r="J62">
        <v>1</v>
      </c>
      <c r="K62">
        <v>1</v>
      </c>
      <c r="L62">
        <v>0.25</v>
      </c>
      <c r="M62">
        <v>40</v>
      </c>
      <c r="N62">
        <v>1</v>
      </c>
      <c r="O62">
        <f>ROUND(VLOOKUP(I62,[1]Good!$A$4:$C$55,3,FALSE)/N62,0)</f>
        <v>60</v>
      </c>
      <c r="P62" s="76">
        <v>60</v>
      </c>
    </row>
    <row r="63" customHeight="1" spans="1:16">
      <c r="A63" s="24"/>
      <c r="B63" s="24"/>
      <c r="H63" s="78"/>
      <c r="I63" s="55" t="s">
        <v>96</v>
      </c>
      <c r="J63">
        <v>1</v>
      </c>
      <c r="K63">
        <v>2</v>
      </c>
      <c r="L63">
        <v>0.25</v>
      </c>
      <c r="M63">
        <v>40</v>
      </c>
      <c r="N63">
        <v>1</v>
      </c>
      <c r="O63">
        <f>ROUND(VLOOKUP(I63,[1]Good!$A$4:$C$55,3,FALSE)/N63,0)</f>
        <v>60</v>
      </c>
      <c r="P63" s="78"/>
    </row>
    <row r="64" customHeight="1" spans="1:16">
      <c r="A64" s="24"/>
      <c r="B64" s="24"/>
      <c r="H64" s="78"/>
      <c r="I64" s="57" t="s">
        <v>97</v>
      </c>
      <c r="J64">
        <v>1</v>
      </c>
      <c r="K64">
        <v>2</v>
      </c>
      <c r="L64">
        <v>0.25</v>
      </c>
      <c r="M64">
        <v>40</v>
      </c>
      <c r="N64">
        <v>1.16</v>
      </c>
      <c r="O64">
        <f>ROUND(VLOOKUP(I64,[1]Good!$A$4:$C$55,3,FALSE)/N64,0)</f>
        <v>60</v>
      </c>
      <c r="P64" s="78"/>
    </row>
    <row r="65" customHeight="1" spans="1:16">
      <c r="A65" s="24"/>
      <c r="B65" s="24"/>
      <c r="H65" s="77"/>
      <c r="I65" s="55" t="s">
        <v>98</v>
      </c>
      <c r="J65">
        <v>1</v>
      </c>
      <c r="K65">
        <v>2</v>
      </c>
      <c r="L65">
        <v>0</v>
      </c>
      <c r="M65">
        <v>40</v>
      </c>
      <c r="N65">
        <v>1.33</v>
      </c>
      <c r="O65">
        <f>ROUND(VLOOKUP(I65,[1]Good!$A$4:$C$55,3,FALSE)/N65,0)</f>
        <v>60</v>
      </c>
      <c r="P65" s="77"/>
    </row>
    <row r="66" customHeight="1" spans="1:16">
      <c r="A66" s="24"/>
      <c r="B66" s="24"/>
      <c r="H66" s="76" t="s">
        <v>99</v>
      </c>
      <c r="I66" s="57" t="s">
        <v>74</v>
      </c>
      <c r="J66">
        <v>0.5</v>
      </c>
      <c r="K66">
        <v>2</v>
      </c>
      <c r="L66">
        <v>0</v>
      </c>
      <c r="M66">
        <v>80</v>
      </c>
      <c r="N66">
        <v>1</v>
      </c>
      <c r="O66">
        <f>ROUND(VLOOKUP(I66,[1]Good!$A$4:$C$55,3,FALSE)/N66,0)</f>
        <v>30</v>
      </c>
      <c r="P66" s="76">
        <v>30</v>
      </c>
    </row>
    <row r="67" customHeight="1" spans="1:16">
      <c r="A67" s="24"/>
      <c r="B67" s="24"/>
      <c r="H67" s="77"/>
      <c r="I67" s="55" t="s">
        <v>100</v>
      </c>
      <c r="J67">
        <v>1</v>
      </c>
      <c r="K67">
        <v>3</v>
      </c>
      <c r="L67">
        <v>0</v>
      </c>
      <c r="M67">
        <v>60</v>
      </c>
      <c r="N67">
        <v>6.66</v>
      </c>
      <c r="O67">
        <f>ROUND(VLOOKUP(I67,[1]Good!$A$4:$C$55,3,FALSE)/N67,0)</f>
        <v>30</v>
      </c>
      <c r="P67" s="77"/>
    </row>
    <row r="68" customHeight="1" spans="1:2">
      <c r="A68" s="24"/>
      <c r="B68" s="24"/>
    </row>
    <row r="69" customHeight="1" spans="1:2">
      <c r="A69" s="24"/>
      <c r="B69" s="24"/>
    </row>
    <row r="70" customHeight="1" spans="1:2">
      <c r="A70" s="24"/>
      <c r="B70" s="24"/>
    </row>
    <row r="71" customHeight="1" spans="1:2">
      <c r="A71" s="24"/>
      <c r="B71" s="24"/>
    </row>
    <row r="72" customHeight="1" spans="1:2">
      <c r="A72" s="24"/>
      <c r="B72" s="24"/>
    </row>
    <row r="73" customHeight="1" spans="1:2">
      <c r="A73" s="24"/>
      <c r="B73" s="24"/>
    </row>
    <row r="74" customHeight="1" spans="1:2">
      <c r="A74" s="24"/>
      <c r="B74" s="24"/>
    </row>
    <row r="75" customHeight="1" spans="1:2">
      <c r="A75" s="24"/>
      <c r="B75" s="24"/>
    </row>
    <row r="76" customHeight="1" spans="1:2">
      <c r="A76" s="24"/>
      <c r="B76" s="24"/>
    </row>
    <row r="77" customHeight="1" spans="1:2">
      <c r="A77" s="24"/>
      <c r="B77" s="24"/>
    </row>
    <row r="78" customHeight="1" spans="1:2">
      <c r="A78" s="24"/>
      <c r="B78" s="24"/>
    </row>
    <row r="79" customHeight="1" spans="1:2">
      <c r="A79" s="24"/>
      <c r="B79" s="24"/>
    </row>
    <row r="80" customHeight="1" spans="1:2">
      <c r="A80" s="24"/>
      <c r="B80" s="24"/>
    </row>
    <row r="81" customHeight="1" spans="1:2">
      <c r="A81" s="24"/>
      <c r="B81" s="24"/>
    </row>
    <row r="82" customHeight="1" spans="1:2">
      <c r="A82" s="24"/>
      <c r="B82" s="24"/>
    </row>
    <row r="83" customHeight="1" spans="1:2">
      <c r="A83" s="24"/>
      <c r="B83" s="24"/>
    </row>
    <row r="84" customHeight="1" spans="1:2">
      <c r="A84" s="24"/>
      <c r="B84" s="24"/>
    </row>
    <row r="85" customHeight="1" spans="1:2">
      <c r="A85" s="24"/>
      <c r="B85" s="24"/>
    </row>
    <row r="86" customHeight="1" spans="1:2">
      <c r="A86" s="24"/>
      <c r="B86" s="24"/>
    </row>
    <row r="87" customHeight="1" spans="1:2">
      <c r="A87" s="24"/>
      <c r="B87" s="24"/>
    </row>
    <row r="88" customHeight="1" spans="1:2">
      <c r="A88" s="24"/>
      <c r="B88" s="24"/>
    </row>
    <row r="89" customHeight="1" spans="1:2">
      <c r="A89" s="24"/>
      <c r="B89" s="24"/>
    </row>
    <row r="90" customHeight="1" spans="1:2">
      <c r="A90" s="24"/>
      <c r="B90" s="24"/>
    </row>
    <row r="91" customHeight="1" spans="1:2">
      <c r="A91" s="24"/>
      <c r="B91" s="24"/>
    </row>
    <row r="92" customHeight="1" spans="1:2">
      <c r="A92" s="24"/>
      <c r="B92" s="24"/>
    </row>
    <row r="93" customHeight="1" spans="1:2">
      <c r="A93" s="24"/>
      <c r="B93" s="24"/>
    </row>
    <row r="94" customHeight="1" spans="1:2">
      <c r="A94" s="24"/>
      <c r="B94" s="24"/>
    </row>
    <row r="95" customHeight="1" spans="1:2">
      <c r="A95" s="24"/>
      <c r="B95" s="24"/>
    </row>
    <row r="96" customHeight="1" spans="1:2">
      <c r="A96" s="24"/>
      <c r="B96" s="24"/>
    </row>
  </sheetData>
  <mergeCells count="25">
    <mergeCell ref="A6:E6"/>
    <mergeCell ref="H28:H29"/>
    <mergeCell ref="H30:H31"/>
    <mergeCell ref="H32:H36"/>
    <mergeCell ref="H37:H41"/>
    <mergeCell ref="H42:H43"/>
    <mergeCell ref="H46:H48"/>
    <mergeCell ref="H49:H51"/>
    <mergeCell ref="H52:H54"/>
    <mergeCell ref="H55:H57"/>
    <mergeCell ref="H58:H61"/>
    <mergeCell ref="H62:H65"/>
    <mergeCell ref="H66:H67"/>
    <mergeCell ref="P28:P29"/>
    <mergeCell ref="P30:P31"/>
    <mergeCell ref="P32:P36"/>
    <mergeCell ref="P37:P41"/>
    <mergeCell ref="P42:P43"/>
    <mergeCell ref="P46:P48"/>
    <mergeCell ref="P49:P51"/>
    <mergeCell ref="P52:P54"/>
    <mergeCell ref="P55:P57"/>
    <mergeCell ref="P58:P61"/>
    <mergeCell ref="P62:P65"/>
    <mergeCell ref="P66:P67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G67"/>
  <sheetViews>
    <sheetView showGridLines="0" zoomScale="90" zoomScaleNormal="90" workbookViewId="0">
      <pane ySplit="3" topLeftCell="A4" activePane="bottomLeft" state="frozen"/>
      <selection/>
      <selection pane="bottomLeft" activeCell="C51" sqref="C51"/>
    </sheetView>
  </sheetViews>
  <sheetFormatPr defaultColWidth="9" defaultRowHeight="20" customHeight="1" outlineLevelCol="6"/>
  <cols>
    <col min="1" max="1" width="17.35" style="25" customWidth="1"/>
    <col min="2" max="2" width="13.3333333333333" style="25" customWidth="1"/>
    <col min="3" max="3" width="31.8" style="25" customWidth="1"/>
    <col min="4" max="4" width="16.25" style="25" customWidth="1"/>
    <col min="5" max="5" width="58.6083333333333" style="25" customWidth="1"/>
    <col min="6" max="6" width="61.2416666666667" style="24" customWidth="1"/>
    <col min="7" max="7" width="13.875" style="24" customWidth="1"/>
    <col min="8" max="8" width="14.025" style="24" customWidth="1"/>
    <col min="9" max="9" width="14.5833333333333" style="24" customWidth="1"/>
    <col min="10" max="10" width="14.7166666666667" style="24" customWidth="1"/>
    <col min="11" max="16384" width="9" style="24"/>
  </cols>
  <sheetData>
    <row r="3" ht="58" customHeight="1" spans="1:6">
      <c r="A3" s="27" t="s">
        <v>101</v>
      </c>
      <c r="B3" s="30" t="s">
        <v>102</v>
      </c>
      <c r="C3" s="30" t="s">
        <v>103</v>
      </c>
      <c r="D3" s="30" t="s">
        <v>5</v>
      </c>
      <c r="E3" s="70" t="s">
        <v>104</v>
      </c>
      <c r="F3" s="70" t="s">
        <v>105</v>
      </c>
    </row>
    <row r="4" customHeight="1" spans="1:4">
      <c r="A4" s="25" t="s">
        <v>106</v>
      </c>
      <c r="C4" s="25" t="s">
        <v>8</v>
      </c>
      <c r="D4" s="25">
        <f>VLOOKUP(C4,商品定位!$A$27:$C$51,3,FALSE)</f>
        <v>20</v>
      </c>
    </row>
    <row r="5" customHeight="1" spans="1:4">
      <c r="A5" s="25" t="s">
        <v>107</v>
      </c>
      <c r="C5" s="25" t="s">
        <v>8</v>
      </c>
      <c r="D5" s="25">
        <f>VLOOKUP(C5,商品定位!$A$27:$C$51,3,FALSE)</f>
        <v>20</v>
      </c>
    </row>
    <row r="6" customHeight="1" spans="1:4">
      <c r="A6" s="25" t="s">
        <v>108</v>
      </c>
      <c r="C6" s="25" t="s">
        <v>48</v>
      </c>
      <c r="D6" s="25">
        <f>VLOOKUP(C6,商品定位!$A$27:$C$51,3,FALSE)</f>
        <v>20</v>
      </c>
    </row>
    <row r="7" customHeight="1" spans="1:4">
      <c r="A7" s="25" t="s">
        <v>109</v>
      </c>
      <c r="C7" s="25" t="s">
        <v>48</v>
      </c>
      <c r="D7" s="25">
        <f>VLOOKUP(C7,商品定位!$A$27:$C$51,3,FALSE)</f>
        <v>20</v>
      </c>
    </row>
    <row r="8" customHeight="1" spans="1:4">
      <c r="A8" s="25" t="s">
        <v>110</v>
      </c>
      <c r="C8" s="25" t="s">
        <v>50</v>
      </c>
      <c r="D8" s="25">
        <f>VLOOKUP(C8,商品定位!$A$27:$C$51,3,FALSE)</f>
        <v>40</v>
      </c>
    </row>
    <row r="9" customHeight="1" spans="1:4">
      <c r="A9" s="25" t="s">
        <v>111</v>
      </c>
      <c r="C9" s="25" t="s">
        <v>48</v>
      </c>
      <c r="D9" s="25">
        <f>VLOOKUP(C9,商品定位!$A$27:$C$51,3,FALSE)</f>
        <v>20</v>
      </c>
    </row>
    <row r="10" customHeight="1" spans="1:4">
      <c r="A10" s="25" t="s">
        <v>112</v>
      </c>
      <c r="C10" s="25" t="s">
        <v>50</v>
      </c>
      <c r="D10" s="25">
        <f>VLOOKUP(C10,商品定位!$A$27:$C$51,3,FALSE)</f>
        <v>40</v>
      </c>
    </row>
    <row r="12" customHeight="1" spans="1:7">
      <c r="A12" s="25" t="s">
        <v>113</v>
      </c>
      <c r="C12" s="25" t="s">
        <v>41</v>
      </c>
      <c r="D12" s="25">
        <f>VLOOKUP(C12,商品定位!$A$27:$C$51,3,FALSE)</f>
        <v>40</v>
      </c>
      <c r="G12" s="25"/>
    </row>
    <row r="13" customHeight="1" spans="1:7">
      <c r="A13" s="25" t="s">
        <v>114</v>
      </c>
      <c r="C13" s="25" t="s">
        <v>41</v>
      </c>
      <c r="D13" s="25">
        <f>VLOOKUP(C13,商品定位!$A$27:$C$51,3,FALSE)</f>
        <v>40</v>
      </c>
      <c r="G13" s="25"/>
    </row>
    <row r="14" customHeight="1" spans="1:4">
      <c r="A14" s="25" t="s">
        <v>115</v>
      </c>
      <c r="C14" s="25" t="s">
        <v>41</v>
      </c>
      <c r="D14" s="25">
        <f>VLOOKUP(C14,商品定位!$A$27:$C$51,3,FALSE)</f>
        <v>40</v>
      </c>
    </row>
    <row r="16" customHeight="1" spans="1:4">
      <c r="A16" s="25" t="s">
        <v>116</v>
      </c>
      <c r="C16" s="25" t="s">
        <v>44</v>
      </c>
      <c r="D16" s="25">
        <f>VLOOKUP(C16,商品定位!$A$27:$C$51,3,FALSE)</f>
        <v>60</v>
      </c>
    </row>
    <row r="17" customHeight="1" spans="1:4">
      <c r="A17" s="25" t="s">
        <v>117</v>
      </c>
      <c r="C17" s="25" t="s">
        <v>44</v>
      </c>
      <c r="D17" s="25">
        <f>VLOOKUP(C17,商品定位!$A$27:$C$51,3,FALSE)</f>
        <v>60</v>
      </c>
    </row>
    <row r="18" customHeight="1" spans="1:4">
      <c r="A18" s="25" t="s">
        <v>118</v>
      </c>
      <c r="B18" s="25" t="s">
        <v>119</v>
      </c>
      <c r="C18" s="25" t="s">
        <v>44</v>
      </c>
      <c r="D18" s="25">
        <f>VLOOKUP(C18,商品定位!$A$27:$C$51,3,FALSE)</f>
        <v>60</v>
      </c>
    </row>
    <row r="19" customHeight="1" spans="1:4">
      <c r="A19" s="25" t="s">
        <v>120</v>
      </c>
      <c r="C19" s="25" t="s">
        <v>121</v>
      </c>
      <c r="D19" s="71">
        <v>60</v>
      </c>
    </row>
    <row r="21" customHeight="1" spans="1:4">
      <c r="A21" s="25" t="s">
        <v>122</v>
      </c>
      <c r="C21" s="25" t="s">
        <v>85</v>
      </c>
      <c r="D21" s="25">
        <f>VLOOKUP(C21,商品定位!$A$27:$C$51,3,FALSE)</f>
        <v>30</v>
      </c>
    </row>
    <row r="22" customHeight="1" spans="1:4">
      <c r="A22" s="25" t="s">
        <v>123</v>
      </c>
      <c r="C22" s="25" t="s">
        <v>50</v>
      </c>
      <c r="D22" s="25">
        <f>VLOOKUP(C22,商品定位!$A$27:$C$51,3,FALSE)</f>
        <v>40</v>
      </c>
    </row>
    <row r="23" customHeight="1" spans="1:4">
      <c r="A23" s="25" t="s">
        <v>124</v>
      </c>
      <c r="C23" s="25" t="s">
        <v>53</v>
      </c>
      <c r="D23" s="25">
        <f>VLOOKUP(C23,商品定位!$A$27:$C$51,3,FALSE)</f>
        <v>60</v>
      </c>
    </row>
    <row r="24" customHeight="1" spans="1:4">
      <c r="A24" s="25" t="s">
        <v>125</v>
      </c>
      <c r="C24" s="25" t="s">
        <v>53</v>
      </c>
      <c r="D24" s="25">
        <f>VLOOKUP(C24,商品定位!$A$27:$C$51,3,FALSE)</f>
        <v>60</v>
      </c>
    </row>
    <row r="26" customHeight="1" spans="1:4">
      <c r="A26" s="25" t="s">
        <v>126</v>
      </c>
      <c r="C26" s="25" t="s">
        <v>62</v>
      </c>
      <c r="D26" s="25">
        <f>VLOOKUP(C26,商品定位!$A$27:$C$51,3,FALSE)</f>
        <v>30</v>
      </c>
    </row>
    <row r="27" customHeight="1" spans="1:4">
      <c r="A27" s="25" t="s">
        <v>127</v>
      </c>
      <c r="C27" s="25" t="s">
        <v>56</v>
      </c>
      <c r="D27" s="25">
        <f>VLOOKUP(C27,商品定位!$A$27:$C$51,3,FALSE)</f>
        <v>40</v>
      </c>
    </row>
    <row r="28" customHeight="1" spans="1:4">
      <c r="A28" s="25" t="s">
        <v>128</v>
      </c>
      <c r="C28" s="25" t="s">
        <v>58</v>
      </c>
      <c r="D28" s="25">
        <f>VLOOKUP(C28,商品定位!$A$27:$C$51,3,FALSE)</f>
        <v>60</v>
      </c>
    </row>
    <row r="29" customHeight="1" spans="1:4">
      <c r="A29" s="25" t="s">
        <v>129</v>
      </c>
      <c r="C29" s="25" t="s">
        <v>58</v>
      </c>
      <c r="D29" s="25">
        <f>VLOOKUP(C29,商品定位!$A$27:$C$51,3,FALSE)</f>
        <v>60</v>
      </c>
    </row>
    <row r="31" customHeight="1" spans="1:4">
      <c r="A31" s="25" t="s">
        <v>130</v>
      </c>
      <c r="C31" s="25" t="s">
        <v>62</v>
      </c>
      <c r="D31" s="25">
        <f>VLOOKUP(C31,商品定位!$A$27:$C$51,3,FALSE)</f>
        <v>30</v>
      </c>
    </row>
    <row r="32" customHeight="1" spans="1:4">
      <c r="A32" s="25" t="s">
        <v>131</v>
      </c>
      <c r="C32" s="25" t="s">
        <v>132</v>
      </c>
      <c r="D32" s="71">
        <v>40</v>
      </c>
    </row>
    <row r="33" customHeight="1" spans="1:4">
      <c r="A33" s="25" t="s">
        <v>133</v>
      </c>
      <c r="B33" s="25" t="s">
        <v>134</v>
      </c>
      <c r="C33" s="25" t="s">
        <v>64</v>
      </c>
      <c r="D33" s="25">
        <f>VLOOKUP(C33,商品定位!$A$27:$C$51,3,FALSE)</f>
        <v>50</v>
      </c>
    </row>
    <row r="34" customHeight="1" spans="1:4">
      <c r="A34" s="25" t="s">
        <v>135</v>
      </c>
      <c r="C34" s="25" t="s">
        <v>62</v>
      </c>
      <c r="D34" s="25">
        <f>VLOOKUP(C34,商品定位!$A$27:$C$51,3,FALSE)</f>
        <v>30</v>
      </c>
    </row>
    <row r="35" customHeight="1" spans="1:4">
      <c r="A35" s="25" t="s">
        <v>136</v>
      </c>
      <c r="C35" s="25" t="s">
        <v>64</v>
      </c>
      <c r="D35" s="25">
        <f>VLOOKUP(C35,商品定位!$A$27:$C$51,3,FALSE)</f>
        <v>50</v>
      </c>
    </row>
    <row r="36" customHeight="1" spans="1:4">
      <c r="A36" s="25" t="s">
        <v>137</v>
      </c>
      <c r="C36" s="25" t="s">
        <v>62</v>
      </c>
      <c r="D36" s="25">
        <f>VLOOKUP(C36,商品定位!$A$27:$C$51,3,FALSE)</f>
        <v>30</v>
      </c>
    </row>
    <row r="37" customHeight="1" spans="1:4">
      <c r="A37" s="25" t="s">
        <v>138</v>
      </c>
      <c r="C37" s="25" t="s">
        <v>64</v>
      </c>
      <c r="D37" s="25">
        <f>VLOOKUP(C37,商品定位!$A$27:$C$51,3,FALSE)</f>
        <v>50</v>
      </c>
    </row>
    <row r="38" customHeight="1" spans="1:4">
      <c r="A38" s="25" t="s">
        <v>139</v>
      </c>
      <c r="B38" s="25" t="s">
        <v>140</v>
      </c>
      <c r="C38" s="25" t="s">
        <v>62</v>
      </c>
      <c r="D38" s="25">
        <f>VLOOKUP(C38,商品定位!$A$27:$C$51,3,FALSE)</f>
        <v>30</v>
      </c>
    </row>
    <row r="39" customHeight="1" spans="1:4">
      <c r="A39" s="25" t="s">
        <v>141</v>
      </c>
      <c r="C39" s="25" t="s">
        <v>64</v>
      </c>
      <c r="D39" s="25">
        <f>VLOOKUP(C39,商品定位!$A$27:$C$51,3,FALSE)</f>
        <v>50</v>
      </c>
    </row>
    <row r="40" customHeight="1" spans="1:4">
      <c r="A40" s="25" t="s">
        <v>142</v>
      </c>
      <c r="C40" s="25" t="s">
        <v>66</v>
      </c>
      <c r="D40" s="25">
        <f>VLOOKUP(C40,商品定位!$A$27:$C$51,3,FALSE)</f>
        <v>70</v>
      </c>
    </row>
    <row r="41" customHeight="1" spans="1:4">
      <c r="A41" s="25" t="s">
        <v>143</v>
      </c>
      <c r="C41" s="25" t="s">
        <v>66</v>
      </c>
      <c r="D41" s="25">
        <f>VLOOKUP(C41,商品定位!$A$27:$C$51,3,FALSE)</f>
        <v>70</v>
      </c>
    </row>
    <row r="42" customHeight="1" spans="1:4">
      <c r="A42" s="25" t="s">
        <v>144</v>
      </c>
      <c r="C42" s="25" t="s">
        <v>66</v>
      </c>
      <c r="D42" s="25">
        <f>VLOOKUP(C42,商品定位!$A$27:$C$51,3,FALSE)</f>
        <v>70</v>
      </c>
    </row>
    <row r="44" customHeight="1" spans="1:4">
      <c r="A44" s="25" t="s">
        <v>145</v>
      </c>
      <c r="C44" s="25" t="s">
        <v>69</v>
      </c>
      <c r="D44" s="25">
        <f>VLOOKUP(C44,商品定位!$A$27:$C$51,3,FALSE)</f>
        <v>40</v>
      </c>
    </row>
    <row r="45" customHeight="1" spans="1:4">
      <c r="A45" s="25" t="s">
        <v>146</v>
      </c>
      <c r="C45" s="25" t="s">
        <v>69</v>
      </c>
      <c r="D45" s="25">
        <f>VLOOKUP(C45,商品定位!$A$27:$C$51,3,FALSE)</f>
        <v>40</v>
      </c>
    </row>
    <row r="46" customHeight="1" spans="1:4">
      <c r="A46" s="25" t="s">
        <v>147</v>
      </c>
      <c r="C46" s="25" t="s">
        <v>71</v>
      </c>
      <c r="D46" s="25">
        <f>VLOOKUP(C46,商品定位!$A$27:$C$51,3,FALSE)</f>
        <v>60</v>
      </c>
    </row>
    <row r="47" customHeight="1" spans="1:4">
      <c r="A47" s="25" t="s">
        <v>148</v>
      </c>
      <c r="C47" s="25" t="s">
        <v>71</v>
      </c>
      <c r="D47" s="25">
        <f>VLOOKUP(C47,商品定位!$A$27:$C$51,3,FALSE)</f>
        <v>60</v>
      </c>
    </row>
    <row r="48" customHeight="1" spans="1:4">
      <c r="A48" s="25" t="s">
        <v>149</v>
      </c>
      <c r="C48" s="25" t="s">
        <v>73</v>
      </c>
      <c r="D48" s="25">
        <f>VLOOKUP(C48,商品定位!$A$27:$C$51,3,FALSE)</f>
        <v>80</v>
      </c>
    </row>
    <row r="49" customHeight="1" spans="1:4">
      <c r="A49" s="25" t="s">
        <v>150</v>
      </c>
      <c r="C49" s="25" t="s">
        <v>73</v>
      </c>
      <c r="D49" s="25">
        <f>VLOOKUP(C49,商品定位!$A$27:$C$51,3,FALSE)</f>
        <v>80</v>
      </c>
    </row>
    <row r="51" customHeight="1" spans="1:4">
      <c r="A51" s="25" t="s">
        <v>151</v>
      </c>
      <c r="C51" s="25" t="s">
        <v>85</v>
      </c>
      <c r="D51" s="71">
        <v>60</v>
      </c>
    </row>
    <row r="52" customHeight="1" spans="1:4">
      <c r="A52" s="25" t="s">
        <v>152</v>
      </c>
      <c r="C52" s="25" t="s">
        <v>153</v>
      </c>
      <c r="D52" s="71">
        <v>100</v>
      </c>
    </row>
    <row r="53" customHeight="1" spans="1:4">
      <c r="A53" s="25" t="s">
        <v>154</v>
      </c>
      <c r="C53" s="25" t="s">
        <v>60</v>
      </c>
      <c r="D53" s="25">
        <f>VLOOKUP(C53,商品定位!$A$27:$C$51,3,FALSE)</f>
        <v>80</v>
      </c>
    </row>
    <row r="55" customHeight="1" spans="1:4">
      <c r="A55" s="25" t="s">
        <v>155</v>
      </c>
      <c r="C55" s="25" t="s">
        <v>77</v>
      </c>
      <c r="D55" s="25">
        <f>VLOOKUP(C55,商品定位!$A$27:$C$51,3,FALSE)</f>
        <v>60</v>
      </c>
    </row>
    <row r="56" customHeight="1" spans="1:4">
      <c r="A56" s="25" t="s">
        <v>156</v>
      </c>
      <c r="C56" s="25" t="s">
        <v>77</v>
      </c>
      <c r="D56" s="25">
        <f>VLOOKUP(C56,商品定位!$A$27:$C$51,3,FALSE)</f>
        <v>60</v>
      </c>
    </row>
    <row r="57" customHeight="1" spans="1:4">
      <c r="A57" s="25" t="s">
        <v>157</v>
      </c>
      <c r="C57" s="25" t="s">
        <v>77</v>
      </c>
      <c r="D57" s="25">
        <f>VLOOKUP(C57,商品定位!$A$27:$C$51,3,FALSE)</f>
        <v>60</v>
      </c>
    </row>
    <row r="58" customHeight="1" spans="1:4">
      <c r="A58" s="25" t="s">
        <v>158</v>
      </c>
      <c r="C58" s="25" t="s">
        <v>79</v>
      </c>
      <c r="D58" s="25">
        <f>VLOOKUP(C58,商品定位!$A$27:$C$51,3,FALSE)</f>
        <v>80</v>
      </c>
    </row>
    <row r="59" customHeight="1" spans="1:4">
      <c r="A59" s="25" t="s">
        <v>159</v>
      </c>
      <c r="C59" s="25" t="s">
        <v>79</v>
      </c>
      <c r="D59" s="25">
        <f>VLOOKUP(C59,商品定位!$A$27:$C$51,3,FALSE)</f>
        <v>80</v>
      </c>
    </row>
    <row r="60" customHeight="1" spans="1:4">
      <c r="A60" s="25" t="s">
        <v>160</v>
      </c>
      <c r="C60" s="25" t="s">
        <v>79</v>
      </c>
      <c r="D60" s="25">
        <f>VLOOKUP(C60,商品定位!$A$27:$C$51,3,FALSE)</f>
        <v>80</v>
      </c>
    </row>
    <row r="61" customHeight="1" spans="1:4">
      <c r="A61" s="25" t="s">
        <v>161</v>
      </c>
      <c r="C61" s="25" t="s">
        <v>79</v>
      </c>
      <c r="D61" s="25">
        <f>VLOOKUP(C61,商品定位!$A$27:$C$51,3,FALSE)</f>
        <v>80</v>
      </c>
    </row>
    <row r="62" customHeight="1" spans="1:4">
      <c r="A62" s="25" t="s">
        <v>162</v>
      </c>
      <c r="C62" s="25" t="s">
        <v>81</v>
      </c>
      <c r="D62" s="25">
        <f>VLOOKUP(C62,商品定位!$A$27:$C$51,3,FALSE)</f>
        <v>100</v>
      </c>
    </row>
    <row r="63" customHeight="1" spans="1:4">
      <c r="A63" s="25" t="s">
        <v>163</v>
      </c>
      <c r="C63" s="25" t="s">
        <v>81</v>
      </c>
      <c r="D63" s="25">
        <f>VLOOKUP(C63,商品定位!$A$27:$C$51,3,FALSE)</f>
        <v>100</v>
      </c>
    </row>
    <row r="64" customHeight="1" spans="1:4">
      <c r="A64" s="25" t="s">
        <v>164</v>
      </c>
      <c r="C64" s="25" t="s">
        <v>81</v>
      </c>
      <c r="D64" s="25">
        <f>VLOOKUP(C64,商品定位!$A$27:$C$51,3,FALSE)</f>
        <v>100</v>
      </c>
    </row>
    <row r="65" customHeight="1" spans="1:4">
      <c r="A65" s="25" t="s">
        <v>165</v>
      </c>
      <c r="C65" s="25" t="s">
        <v>56</v>
      </c>
      <c r="D65" s="25">
        <f>VLOOKUP(C65,商品定位!$A$27:$C$51,3,FALSE)</f>
        <v>40</v>
      </c>
    </row>
    <row r="67" customHeight="1" spans="1:3">
      <c r="A67" s="25" t="s">
        <v>166</v>
      </c>
      <c r="C67" s="25" t="s">
        <v>167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E138"/>
  <sheetViews>
    <sheetView workbookViewId="0">
      <selection activeCell="F99" sqref="F99"/>
    </sheetView>
  </sheetViews>
  <sheetFormatPr defaultColWidth="9" defaultRowHeight="20" customHeight="1"/>
  <cols>
    <col min="2" max="2" width="9.625" style="2" customWidth="1"/>
    <col min="3" max="3" width="11.5" style="45" customWidth="1"/>
    <col min="4" max="4" width="17.125" customWidth="1"/>
    <col min="5" max="5" width="12.625" customWidth="1"/>
    <col min="6" max="6" width="11.5" customWidth="1"/>
    <col min="7" max="7" width="19.375" customWidth="1"/>
    <col min="8" max="8" width="17.125" customWidth="1"/>
    <col min="9" max="9" width="8.375" customWidth="1"/>
    <col min="10" max="10" width="12.625" customWidth="1"/>
    <col min="11" max="11" width="9.375" customWidth="1"/>
    <col min="12" max="14" width="14.875" customWidth="1"/>
    <col min="15" max="15" width="12.625" customWidth="1"/>
    <col min="16" max="16" width="13.75" customWidth="1"/>
    <col min="17" max="17" width="7.375" customWidth="1"/>
    <col min="18" max="18" width="17.125" customWidth="1"/>
    <col min="19" max="20" width="13.75" customWidth="1"/>
    <col min="21" max="21" width="19.375" customWidth="1"/>
    <col min="22" max="22" width="17.125" customWidth="1"/>
    <col min="23" max="23" width="9.375" customWidth="1"/>
    <col min="24" max="24" width="12.625" customWidth="1"/>
    <col min="25" max="25" width="9.375" customWidth="1"/>
    <col min="26" max="28" width="14.875" customWidth="1"/>
    <col min="29" max="30" width="13.75" customWidth="1"/>
    <col min="31" max="31" width="9.375" customWidth="1"/>
  </cols>
  <sheetData>
    <row r="1" customFormat="1" customHeight="1" spans="2:3">
      <c r="B1" s="2"/>
      <c r="C1" s="46"/>
    </row>
    <row r="2" s="44" customFormat="1" ht="34" customHeight="1" spans="1:31">
      <c r="A2" s="47" t="s">
        <v>168</v>
      </c>
      <c r="B2" s="48" t="s">
        <v>169</v>
      </c>
      <c r="C2" s="47" t="s">
        <v>170</v>
      </c>
      <c r="D2" s="47" t="s">
        <v>42</v>
      </c>
      <c r="E2" s="47" t="s">
        <v>46</v>
      </c>
      <c r="F2" s="47" t="s">
        <v>51</v>
      </c>
      <c r="G2" s="47" t="s">
        <v>72</v>
      </c>
      <c r="H2" s="47" t="s">
        <v>68</v>
      </c>
      <c r="I2" s="47" t="s">
        <v>61</v>
      </c>
      <c r="J2" s="47" t="s">
        <v>75</v>
      </c>
      <c r="K2" s="47" t="s">
        <v>74</v>
      </c>
      <c r="L2" s="47" t="s">
        <v>82</v>
      </c>
      <c r="M2" s="47" t="s">
        <v>87</v>
      </c>
      <c r="N2" s="47" t="s">
        <v>90</v>
      </c>
      <c r="O2" s="47" t="s">
        <v>92</v>
      </c>
      <c r="P2" s="47" t="s">
        <v>94</v>
      </c>
      <c r="Q2" s="66" t="s">
        <v>99</v>
      </c>
      <c r="R2" s="67" t="s">
        <v>42</v>
      </c>
      <c r="S2" s="68" t="s">
        <v>46</v>
      </c>
      <c r="T2" s="68" t="s">
        <v>51</v>
      </c>
      <c r="U2" s="68" t="s">
        <v>72</v>
      </c>
      <c r="V2" s="68" t="s">
        <v>68</v>
      </c>
      <c r="W2" s="68" t="s">
        <v>61</v>
      </c>
      <c r="X2" s="68" t="s">
        <v>75</v>
      </c>
      <c r="Y2" s="68" t="s">
        <v>74</v>
      </c>
      <c r="Z2" s="68" t="s">
        <v>82</v>
      </c>
      <c r="AA2" s="68" t="s">
        <v>87</v>
      </c>
      <c r="AB2" s="68" t="s">
        <v>90</v>
      </c>
      <c r="AC2" s="68" t="s">
        <v>92</v>
      </c>
      <c r="AD2" s="68" t="s">
        <v>94</v>
      </c>
      <c r="AE2" s="68" t="s">
        <v>99</v>
      </c>
    </row>
    <row r="3" s="44" customFormat="1" customHeight="1" spans="1:31">
      <c r="A3" s="47" t="s">
        <v>171</v>
      </c>
      <c r="B3" s="47" t="s">
        <v>172</v>
      </c>
      <c r="C3" s="47" t="s">
        <v>173</v>
      </c>
      <c r="D3" s="47" t="s">
        <v>174</v>
      </c>
      <c r="E3" s="47" t="s">
        <v>175</v>
      </c>
      <c r="F3" s="47" t="s">
        <v>176</v>
      </c>
      <c r="G3" s="47" t="s">
        <v>177</v>
      </c>
      <c r="H3" s="47" t="s">
        <v>178</v>
      </c>
      <c r="I3" s="47" t="s">
        <v>179</v>
      </c>
      <c r="J3" s="47" t="s">
        <v>139</v>
      </c>
      <c r="K3" s="47" t="s">
        <v>130</v>
      </c>
      <c r="L3" s="47" t="s">
        <v>141</v>
      </c>
      <c r="M3" s="47" t="s">
        <v>180</v>
      </c>
      <c r="N3" s="47" t="s">
        <v>181</v>
      </c>
      <c r="O3" s="47" t="s">
        <v>182</v>
      </c>
      <c r="P3" s="47" t="s">
        <v>183</v>
      </c>
      <c r="Q3" s="66" t="s">
        <v>184</v>
      </c>
      <c r="R3" s="67" t="str">
        <f t="shared" ref="R3:AE3" si="0">D3&amp;"价值"</f>
        <v>简单衣物价值</v>
      </c>
      <c r="S3" s="67" t="str">
        <f t="shared" si="0"/>
        <v>简单物品价值</v>
      </c>
      <c r="T3" s="67" t="str">
        <f t="shared" si="0"/>
        <v>基础食物价值</v>
      </c>
      <c r="U3" s="67" t="str">
        <f t="shared" si="0"/>
        <v>标准衣物价值</v>
      </c>
      <c r="V3" s="67" t="str">
        <f t="shared" si="0"/>
        <v>家庭物品价值</v>
      </c>
      <c r="W3" s="67" t="str">
        <f t="shared" si="0"/>
        <v>取暖价值</v>
      </c>
      <c r="X3" s="67" t="str">
        <f t="shared" si="0"/>
        <v>饮品价值</v>
      </c>
      <c r="Y3" s="67" t="str">
        <f t="shared" si="0"/>
        <v>服务价值</v>
      </c>
      <c r="Z3" s="67" t="str">
        <f t="shared" si="0"/>
        <v>奢侈饮品价值</v>
      </c>
      <c r="AA3" s="67" t="str">
        <f t="shared" si="0"/>
        <v>自由出行价值</v>
      </c>
      <c r="AB3" s="67" t="str">
        <f t="shared" si="0"/>
        <v>交流价值</v>
      </c>
      <c r="AC3" s="67" t="str">
        <f t="shared" si="0"/>
        <v>奢侈食物价值</v>
      </c>
      <c r="AD3" s="67" t="str">
        <f t="shared" si="0"/>
        <v>奢侈物品价值</v>
      </c>
      <c r="AE3" s="67" t="str">
        <f t="shared" si="0"/>
        <v>艺术价值</v>
      </c>
    </row>
    <row r="4" customHeight="1" spans="1:31">
      <c r="A4" s="49">
        <v>1</v>
      </c>
      <c r="B4" s="49">
        <v>0.03</v>
      </c>
      <c r="C4" s="49">
        <f t="shared" ref="C4:C67" si="1">SUM(R4:AE4)</f>
        <v>3250</v>
      </c>
      <c r="D4" s="50">
        <v>23</v>
      </c>
      <c r="E4" s="50"/>
      <c r="F4" s="50">
        <v>90</v>
      </c>
      <c r="G4" s="50"/>
      <c r="H4" s="50"/>
      <c r="I4" s="50">
        <v>15</v>
      </c>
      <c r="J4" s="50">
        <v>23</v>
      </c>
      <c r="K4" s="50"/>
      <c r="L4" s="50"/>
      <c r="M4" s="50"/>
      <c r="N4" s="50"/>
      <c r="O4" s="50"/>
      <c r="P4" s="50"/>
      <c r="Q4" s="50"/>
      <c r="R4">
        <f>IF(D4=0,"",D4*VLOOKUP(R$2,[1]Needs!$A$4:$I$43,9,FALSE))</f>
        <v>460</v>
      </c>
      <c r="S4" t="str">
        <f>IF(E4=0,"",E4*VLOOKUP(S$2,[1]Needs!$A$4:$I$43,9,FALSE))</f>
        <v/>
      </c>
      <c r="T4">
        <f>IF(F4=0,"",F4*VLOOKUP(T$2,[1]Needs!$A$4:$I$43,9,FALSE))</f>
        <v>1800</v>
      </c>
      <c r="U4" t="str">
        <f>IF(G4=0,"",G4*VLOOKUP(U$2,[1]Needs!$A$4:$I$43,9,FALSE))</f>
        <v/>
      </c>
      <c r="V4" t="str">
        <f>IF(H4=0,"",H4*VLOOKUP(V$2,[1]Needs!$A$4:$I$43,9,FALSE))</f>
        <v/>
      </c>
      <c r="W4">
        <f>IF(I4=0,"",I4*VLOOKUP(W$2,[1]Needs!$A$4:$I$43,9,FALSE))</f>
        <v>300</v>
      </c>
      <c r="X4">
        <f>IF(J4=0,"",J4*VLOOKUP(X$2,[1]Needs!$A$4:$I$43,9,FALSE))</f>
        <v>690</v>
      </c>
      <c r="Y4" t="str">
        <f>IF(K4=0,"",K4*VLOOKUP(Y$2,[1]Needs!$A$4:$I$43,9,FALSE))</f>
        <v/>
      </c>
      <c r="Z4" t="str">
        <f>IF(L4=0,"",L4*VLOOKUP(Z$2,[1]Needs!$A$4:$I$43,9,FALSE))</f>
        <v/>
      </c>
      <c r="AA4" t="str">
        <f>IF(M4=0,"",M4*VLOOKUP(AA$2,[1]Needs!$A$4:$I$43,9,FALSE))</f>
        <v/>
      </c>
      <c r="AB4" t="str">
        <f>IF(N4=0,"",N4*VLOOKUP(AB$2,[1]Needs!$A$4:$I$43,9,FALSE))</f>
        <v/>
      </c>
      <c r="AC4" t="str">
        <f>IF(O4=0,"",O4*VLOOKUP(AC$2,[1]Needs!$A$4:$I$43,9,FALSE))</f>
        <v/>
      </c>
      <c r="AD4" t="str">
        <f>IF(P4=0,"",P4*VLOOKUP(AD$2,[1]Needs!$A$4:$I$43,9,FALSE))</f>
        <v/>
      </c>
      <c r="AE4" t="str">
        <f>IF(Q4=0,"",Q4*VLOOKUP(AE$2,[1]Needs!$A$4:$I$43,9,FALSE))</f>
        <v/>
      </c>
    </row>
    <row r="5" customHeight="1" spans="1:31">
      <c r="A5" s="49">
        <v>2</v>
      </c>
      <c r="B5" s="49">
        <v>0.04</v>
      </c>
      <c r="C5" s="49">
        <f t="shared" si="1"/>
        <v>3530</v>
      </c>
      <c r="D5" s="50">
        <v>26</v>
      </c>
      <c r="E5" s="50"/>
      <c r="F5" s="50">
        <v>99</v>
      </c>
      <c r="G5" s="50"/>
      <c r="H5" s="50"/>
      <c r="I5" s="50">
        <v>17</v>
      </c>
      <c r="J5" s="50">
        <v>23</v>
      </c>
      <c r="K5" s="50"/>
      <c r="L5" s="50"/>
      <c r="M5" s="50"/>
      <c r="N5" s="50"/>
      <c r="O5" s="50"/>
      <c r="P5" s="50"/>
      <c r="Q5" s="50"/>
      <c r="R5">
        <f>IF(D5=0,"",D5*VLOOKUP(R$2,[1]Needs!$A$4:$I$43,9,FALSE))</f>
        <v>520</v>
      </c>
      <c r="S5" t="str">
        <f>IF(E5=0,"",E5*VLOOKUP(S$2,[1]Needs!$A$4:$I$43,9,FALSE))</f>
        <v/>
      </c>
      <c r="T5">
        <f>IF(F5=0,"",F5*VLOOKUP(T$2,[1]Needs!$A$4:$I$43,9,FALSE))</f>
        <v>1980</v>
      </c>
      <c r="U5" t="str">
        <f>IF(G5=0,"",G5*VLOOKUP(U$2,[1]Needs!$A$4:$I$43,9,FALSE))</f>
        <v/>
      </c>
      <c r="V5" t="str">
        <f>IF(H5=0,"",H5*VLOOKUP(V$2,[1]Needs!$A$4:$I$43,9,FALSE))</f>
        <v/>
      </c>
      <c r="W5">
        <f>IF(I5=0,"",I5*VLOOKUP(W$2,[1]Needs!$A$4:$I$43,9,FALSE))</f>
        <v>340</v>
      </c>
      <c r="X5">
        <f>IF(J5=0,"",J5*VLOOKUP(X$2,[1]Needs!$A$4:$I$43,9,FALSE))</f>
        <v>690</v>
      </c>
      <c r="Y5" t="str">
        <f>IF(K5=0,"",K5*VLOOKUP(Y$2,[1]Needs!$A$4:$I$43,9,FALSE))</f>
        <v/>
      </c>
      <c r="Z5" t="str">
        <f>IF(L5=0,"",L5*VLOOKUP(Z$2,[1]Needs!$A$4:$I$43,9,FALSE))</f>
        <v/>
      </c>
      <c r="AA5" t="str">
        <f>IF(M5=0,"",M5*VLOOKUP(AA$2,[1]Needs!$A$4:$I$43,9,FALSE))</f>
        <v/>
      </c>
      <c r="AB5" t="str">
        <f>IF(N5=0,"",N5*VLOOKUP(AB$2,[1]Needs!$A$4:$I$43,9,FALSE))</f>
        <v/>
      </c>
      <c r="AC5" t="str">
        <f>IF(O5=0,"",O5*VLOOKUP(AC$2,[1]Needs!$A$4:$I$43,9,FALSE))</f>
        <v/>
      </c>
      <c r="AD5" t="str">
        <f>IF(P5=0,"",P5*VLOOKUP(AD$2,[1]Needs!$A$4:$I$43,9,FALSE))</f>
        <v/>
      </c>
      <c r="AE5" t="str">
        <f>IF(Q5=0,"",Q5*VLOOKUP(AE$2,[1]Needs!$A$4:$I$43,9,FALSE))</f>
        <v/>
      </c>
    </row>
    <row r="6" customHeight="1" spans="1:31">
      <c r="A6" s="49">
        <v>3</v>
      </c>
      <c r="B6" s="49">
        <v>0.05</v>
      </c>
      <c r="C6" s="49">
        <f t="shared" si="1"/>
        <v>3870</v>
      </c>
      <c r="D6" s="50">
        <v>33</v>
      </c>
      <c r="E6" s="50"/>
      <c r="F6" s="50">
        <v>108</v>
      </c>
      <c r="G6" s="50"/>
      <c r="H6" s="50"/>
      <c r="I6" s="50">
        <v>18</v>
      </c>
      <c r="J6" s="50">
        <v>23</v>
      </c>
      <c r="K6" s="50"/>
      <c r="L6" s="50"/>
      <c r="M6" s="50"/>
      <c r="N6" s="50"/>
      <c r="O6" s="50"/>
      <c r="P6" s="50"/>
      <c r="Q6" s="50"/>
      <c r="R6">
        <f>IF(D6=0,"",D6*VLOOKUP(R$2,[1]Needs!$A$4:$I$43,9,FALSE))</f>
        <v>660</v>
      </c>
      <c r="S6" t="str">
        <f>IF(E6=0,"",E6*VLOOKUP(S$2,[1]Needs!$A$4:$I$43,9,FALSE))</f>
        <v/>
      </c>
      <c r="T6">
        <f>IF(F6=0,"",F6*VLOOKUP(T$2,[1]Needs!$A$4:$I$43,9,FALSE))</f>
        <v>2160</v>
      </c>
      <c r="U6" t="str">
        <f>IF(G6=0,"",G6*VLOOKUP(U$2,[1]Needs!$A$4:$I$43,9,FALSE))</f>
        <v/>
      </c>
      <c r="V6" t="str">
        <f>IF(H6=0,"",H6*VLOOKUP(V$2,[1]Needs!$A$4:$I$43,9,FALSE))</f>
        <v/>
      </c>
      <c r="W6">
        <f>IF(I6=0,"",I6*VLOOKUP(W$2,[1]Needs!$A$4:$I$43,9,FALSE))</f>
        <v>360</v>
      </c>
      <c r="X6">
        <f>IF(J6=0,"",J6*VLOOKUP(X$2,[1]Needs!$A$4:$I$43,9,FALSE))</f>
        <v>690</v>
      </c>
      <c r="Y6" t="str">
        <f>IF(K6=0,"",K6*VLOOKUP(Y$2,[1]Needs!$A$4:$I$43,9,FALSE))</f>
        <v/>
      </c>
      <c r="Z6" t="str">
        <f>IF(L6=0,"",L6*VLOOKUP(Z$2,[1]Needs!$A$4:$I$43,9,FALSE))</f>
        <v/>
      </c>
      <c r="AA6" t="str">
        <f>IF(M6=0,"",M6*VLOOKUP(AA$2,[1]Needs!$A$4:$I$43,9,FALSE))</f>
        <v/>
      </c>
      <c r="AB6" t="str">
        <f>IF(N6=0,"",N6*VLOOKUP(AB$2,[1]Needs!$A$4:$I$43,9,FALSE))</f>
        <v/>
      </c>
      <c r="AC6" t="str">
        <f>IF(O6=0,"",O6*VLOOKUP(AC$2,[1]Needs!$A$4:$I$43,9,FALSE))</f>
        <v/>
      </c>
      <c r="AD6" t="str">
        <f>IF(P6=0,"",P6*VLOOKUP(AD$2,[1]Needs!$A$4:$I$43,9,FALSE))</f>
        <v/>
      </c>
      <c r="AE6" t="str">
        <f>IF(Q6=0,"",Q6*VLOOKUP(AE$2,[1]Needs!$A$4:$I$43,9,FALSE))</f>
        <v/>
      </c>
    </row>
    <row r="7" customHeight="1" spans="1:31">
      <c r="A7" s="49">
        <v>4</v>
      </c>
      <c r="B7" s="49">
        <v>0.1</v>
      </c>
      <c r="C7" s="49">
        <f t="shared" si="1"/>
        <v>4230</v>
      </c>
      <c r="D7" s="50">
        <v>36</v>
      </c>
      <c r="E7" s="50"/>
      <c r="F7" s="50">
        <v>121</v>
      </c>
      <c r="G7" s="50"/>
      <c r="H7" s="50"/>
      <c r="I7" s="50">
        <v>20</v>
      </c>
      <c r="J7" s="50">
        <v>23</v>
      </c>
      <c r="K7" s="50"/>
      <c r="L7" s="50"/>
      <c r="M7" s="50"/>
      <c r="N7" s="50"/>
      <c r="O7" s="50"/>
      <c r="P7" s="50"/>
      <c r="Q7" s="50"/>
      <c r="R7">
        <f>IF(D7=0,"",D7*VLOOKUP(R$2,[1]Needs!$A$4:$I$43,9,FALSE))</f>
        <v>720</v>
      </c>
      <c r="S7" t="str">
        <f>IF(E7=0,"",E7*VLOOKUP(S$2,[1]Needs!$A$4:$I$43,9,FALSE))</f>
        <v/>
      </c>
      <c r="T7">
        <f>IF(F7=0,"",F7*VLOOKUP(T$2,[1]Needs!$A$4:$I$43,9,FALSE))</f>
        <v>2420</v>
      </c>
      <c r="U7" t="str">
        <f>IF(G7=0,"",G7*VLOOKUP(U$2,[1]Needs!$A$4:$I$43,9,FALSE))</f>
        <v/>
      </c>
      <c r="V7" t="str">
        <f>IF(H7=0,"",H7*VLOOKUP(V$2,[1]Needs!$A$4:$I$43,9,FALSE))</f>
        <v/>
      </c>
      <c r="W7">
        <f>IF(I7=0,"",I7*VLOOKUP(W$2,[1]Needs!$A$4:$I$43,9,FALSE))</f>
        <v>400</v>
      </c>
      <c r="X7">
        <f>IF(J7=0,"",J7*VLOOKUP(X$2,[1]Needs!$A$4:$I$43,9,FALSE))</f>
        <v>690</v>
      </c>
      <c r="Y7" t="str">
        <f>IF(K7=0,"",K7*VLOOKUP(Y$2,[1]Needs!$A$4:$I$43,9,FALSE))</f>
        <v/>
      </c>
      <c r="Z7" t="str">
        <f>IF(L7=0,"",L7*VLOOKUP(Z$2,[1]Needs!$A$4:$I$43,9,FALSE))</f>
        <v/>
      </c>
      <c r="AA7" t="str">
        <f>IF(M7=0,"",M7*VLOOKUP(AA$2,[1]Needs!$A$4:$I$43,9,FALSE))</f>
        <v/>
      </c>
      <c r="AB7" t="str">
        <f>IF(N7=0,"",N7*VLOOKUP(AB$2,[1]Needs!$A$4:$I$43,9,FALSE))</f>
        <v/>
      </c>
      <c r="AC7" t="str">
        <f>IF(O7=0,"",O7*VLOOKUP(AC$2,[1]Needs!$A$4:$I$43,9,FALSE))</f>
        <v/>
      </c>
      <c r="AD7" t="str">
        <f>IF(P7=0,"",P7*VLOOKUP(AD$2,[1]Needs!$A$4:$I$43,9,FALSE))</f>
        <v/>
      </c>
      <c r="AE7" t="str">
        <f>IF(Q7=0,"",Q7*VLOOKUP(AE$2,[1]Needs!$A$4:$I$43,9,FALSE))</f>
        <v/>
      </c>
    </row>
    <row r="8" customHeight="1" spans="1:31">
      <c r="A8" s="51">
        <v>5</v>
      </c>
      <c r="B8" s="51">
        <v>0.15</v>
      </c>
      <c r="C8" s="51">
        <f t="shared" si="1"/>
        <v>4650</v>
      </c>
      <c r="D8" s="38">
        <v>38</v>
      </c>
      <c r="E8" s="38">
        <v>13</v>
      </c>
      <c r="F8" s="38">
        <v>126</v>
      </c>
      <c r="G8" s="38"/>
      <c r="H8" s="38"/>
      <c r="I8" s="38">
        <v>21</v>
      </c>
      <c r="J8" s="38">
        <v>23</v>
      </c>
      <c r="K8" s="38"/>
      <c r="L8" s="38"/>
      <c r="M8" s="38"/>
      <c r="N8" s="38"/>
      <c r="O8" s="38"/>
      <c r="P8" s="38"/>
      <c r="Q8" s="38"/>
      <c r="R8">
        <f>IF(D8=0,"",D8*VLOOKUP(R$2,[1]Needs!$A$4:$I$43,9,FALSE))</f>
        <v>760</v>
      </c>
      <c r="S8">
        <f>IF(E8=0,"",E8*VLOOKUP(S$2,[1]Needs!$A$4:$I$43,9,FALSE))</f>
        <v>260</v>
      </c>
      <c r="T8">
        <f>IF(F8=0,"",F8*VLOOKUP(T$2,[1]Needs!$A$4:$I$43,9,FALSE))</f>
        <v>2520</v>
      </c>
      <c r="U8" t="str">
        <f>IF(G8=0,"",G8*VLOOKUP(U$2,[1]Needs!$A$4:$I$43,9,FALSE))</f>
        <v/>
      </c>
      <c r="V8" t="str">
        <f>IF(H8=0,"",H8*VLOOKUP(V$2,[1]Needs!$A$4:$I$43,9,FALSE))</f>
        <v/>
      </c>
      <c r="W8">
        <f>IF(I8=0,"",I8*VLOOKUP(W$2,[1]Needs!$A$4:$I$43,9,FALSE))</f>
        <v>420</v>
      </c>
      <c r="X8">
        <f>IF(J8=0,"",J8*VLOOKUP(X$2,[1]Needs!$A$4:$I$43,9,FALSE))</f>
        <v>690</v>
      </c>
      <c r="Y8" t="str">
        <f>IF(K8=0,"",K8*VLOOKUP(Y$2,[1]Needs!$A$4:$I$43,9,FALSE))</f>
        <v/>
      </c>
      <c r="Z8" t="str">
        <f>IF(L8=0,"",L8*VLOOKUP(Z$2,[1]Needs!$A$4:$I$43,9,FALSE))</f>
        <v/>
      </c>
      <c r="AA8" t="str">
        <f>IF(M8=0,"",M8*VLOOKUP(AA$2,[1]Needs!$A$4:$I$43,9,FALSE))</f>
        <v/>
      </c>
      <c r="AB8" t="str">
        <f>IF(N8=0,"",N8*VLOOKUP(AB$2,[1]Needs!$A$4:$I$43,9,FALSE))</f>
        <v/>
      </c>
      <c r="AC8" t="str">
        <f>IF(O8=0,"",O8*VLOOKUP(AC$2,[1]Needs!$A$4:$I$43,9,FALSE))</f>
        <v/>
      </c>
      <c r="AD8" t="str">
        <f>IF(P8=0,"",P8*VLOOKUP(AD$2,[1]Needs!$A$4:$I$43,9,FALSE))</f>
        <v/>
      </c>
      <c r="AE8" t="str">
        <f>IF(Q8=0,"",Q8*VLOOKUP(AE$2,[1]Needs!$A$4:$I$43,9,FALSE))</f>
        <v/>
      </c>
    </row>
    <row r="9" customHeight="1" spans="1:31">
      <c r="A9" s="51">
        <v>6</v>
      </c>
      <c r="B9" s="51">
        <v>0.25</v>
      </c>
      <c r="C9" s="51">
        <f t="shared" si="1"/>
        <v>5050</v>
      </c>
      <c r="D9" s="38">
        <v>43</v>
      </c>
      <c r="E9" s="38">
        <v>19</v>
      </c>
      <c r="F9" s="38">
        <v>132</v>
      </c>
      <c r="G9" s="38"/>
      <c r="H9" s="38"/>
      <c r="I9" s="38">
        <v>24</v>
      </c>
      <c r="J9" s="38">
        <v>23</v>
      </c>
      <c r="K9" s="38"/>
      <c r="L9" s="38"/>
      <c r="M9" s="38"/>
      <c r="N9" s="38"/>
      <c r="O9" s="38"/>
      <c r="P9" s="38"/>
      <c r="Q9" s="38"/>
      <c r="R9">
        <f>IF(D9=0,"",D9*VLOOKUP(R$2,[1]Needs!$A$4:$I$43,9,FALSE))</f>
        <v>860</v>
      </c>
      <c r="S9">
        <f>IF(E9=0,"",E9*VLOOKUP(S$2,[1]Needs!$A$4:$I$43,9,FALSE))</f>
        <v>380</v>
      </c>
      <c r="T9">
        <f>IF(F9=0,"",F9*VLOOKUP(T$2,[1]Needs!$A$4:$I$43,9,FALSE))</f>
        <v>2640</v>
      </c>
      <c r="U9" t="str">
        <f>IF(G9=0,"",G9*VLOOKUP(U$2,[1]Needs!$A$4:$I$43,9,FALSE))</f>
        <v/>
      </c>
      <c r="V9" t="str">
        <f>IF(H9=0,"",H9*VLOOKUP(V$2,[1]Needs!$A$4:$I$43,9,FALSE))</f>
        <v/>
      </c>
      <c r="W9">
        <f>IF(I9=0,"",I9*VLOOKUP(W$2,[1]Needs!$A$4:$I$43,9,FALSE))</f>
        <v>480</v>
      </c>
      <c r="X9">
        <f>IF(J9=0,"",J9*VLOOKUP(X$2,[1]Needs!$A$4:$I$43,9,FALSE))</f>
        <v>690</v>
      </c>
      <c r="Y9" t="str">
        <f>IF(K9=0,"",K9*VLOOKUP(Y$2,[1]Needs!$A$4:$I$43,9,FALSE))</f>
        <v/>
      </c>
      <c r="Z9" t="str">
        <f>IF(L9=0,"",L9*VLOOKUP(Z$2,[1]Needs!$A$4:$I$43,9,FALSE))</f>
        <v/>
      </c>
      <c r="AA9" t="str">
        <f>IF(M9=0,"",M9*VLOOKUP(AA$2,[1]Needs!$A$4:$I$43,9,FALSE))</f>
        <v/>
      </c>
      <c r="AB9" t="str">
        <f>IF(N9=0,"",N9*VLOOKUP(AB$2,[1]Needs!$A$4:$I$43,9,FALSE))</f>
        <v/>
      </c>
      <c r="AC9" t="str">
        <f>IF(O9=0,"",O9*VLOOKUP(AC$2,[1]Needs!$A$4:$I$43,9,FALSE))</f>
        <v/>
      </c>
      <c r="AD9" t="str">
        <f>IF(P9=0,"",P9*VLOOKUP(AD$2,[1]Needs!$A$4:$I$43,9,FALSE))</f>
        <v/>
      </c>
      <c r="AE9" t="str">
        <f>IF(Q9=0,"",Q9*VLOOKUP(AE$2,[1]Needs!$A$4:$I$43,9,FALSE))</f>
        <v/>
      </c>
    </row>
    <row r="10" customHeight="1" spans="1:31">
      <c r="A10" s="51">
        <v>7</v>
      </c>
      <c r="B10" s="51">
        <v>0.35</v>
      </c>
      <c r="C10" s="51">
        <f t="shared" si="1"/>
        <v>5490</v>
      </c>
      <c r="D10" s="38">
        <v>43</v>
      </c>
      <c r="E10" s="38">
        <v>27</v>
      </c>
      <c r="F10" s="38">
        <v>143</v>
      </c>
      <c r="G10" s="38"/>
      <c r="H10" s="38"/>
      <c r="I10" s="38">
        <v>27</v>
      </c>
      <c r="J10" s="38">
        <v>23</v>
      </c>
      <c r="K10" s="38"/>
      <c r="L10" s="38"/>
      <c r="M10" s="38"/>
      <c r="N10" s="38"/>
      <c r="O10" s="38"/>
      <c r="P10" s="38"/>
      <c r="Q10" s="38"/>
      <c r="R10">
        <f>IF(D10=0,"",D10*VLOOKUP(R$2,[1]Needs!$A$4:$I$43,9,FALSE))</f>
        <v>860</v>
      </c>
      <c r="S10">
        <f>IF(E10=0,"",E10*VLOOKUP(S$2,[1]Needs!$A$4:$I$43,9,FALSE))</f>
        <v>540</v>
      </c>
      <c r="T10">
        <f>IF(F10=0,"",F10*VLOOKUP(T$2,[1]Needs!$A$4:$I$43,9,FALSE))</f>
        <v>2860</v>
      </c>
      <c r="U10" t="str">
        <f>IF(G10=0,"",G10*VLOOKUP(U$2,[1]Needs!$A$4:$I$43,9,FALSE))</f>
        <v/>
      </c>
      <c r="V10" t="str">
        <f>IF(H10=0,"",H10*VLOOKUP(V$2,[1]Needs!$A$4:$I$43,9,FALSE))</f>
        <v/>
      </c>
      <c r="W10">
        <f>IF(I10=0,"",I10*VLOOKUP(W$2,[1]Needs!$A$4:$I$43,9,FALSE))</f>
        <v>540</v>
      </c>
      <c r="X10">
        <f>IF(J10=0,"",J10*VLOOKUP(X$2,[1]Needs!$A$4:$I$43,9,FALSE))</f>
        <v>690</v>
      </c>
      <c r="Y10" t="str">
        <f>IF(K10=0,"",K10*VLOOKUP(Y$2,[1]Needs!$A$4:$I$43,9,FALSE))</f>
        <v/>
      </c>
      <c r="Z10" t="str">
        <f>IF(L10=0,"",L10*VLOOKUP(Z$2,[1]Needs!$A$4:$I$43,9,FALSE))</f>
        <v/>
      </c>
      <c r="AA10" t="str">
        <f>IF(M10=0,"",M10*VLOOKUP(AA$2,[1]Needs!$A$4:$I$43,9,FALSE))</f>
        <v/>
      </c>
      <c r="AB10" t="str">
        <f>IF(N10=0,"",N10*VLOOKUP(AB$2,[1]Needs!$A$4:$I$43,9,FALSE))</f>
        <v/>
      </c>
      <c r="AC10" t="str">
        <f>IF(O10=0,"",O10*VLOOKUP(AC$2,[1]Needs!$A$4:$I$43,9,FALSE))</f>
        <v/>
      </c>
      <c r="AD10" t="str">
        <f>IF(P10=0,"",P10*VLOOKUP(AD$2,[1]Needs!$A$4:$I$43,9,FALSE))</f>
        <v/>
      </c>
      <c r="AE10" t="str">
        <f>IF(Q10=0,"",Q10*VLOOKUP(AE$2,[1]Needs!$A$4:$I$43,9,FALSE))</f>
        <v/>
      </c>
    </row>
    <row r="11" customHeight="1" spans="1:31">
      <c r="A11" s="51">
        <v>8</v>
      </c>
      <c r="B11" s="51">
        <v>0.45</v>
      </c>
      <c r="C11" s="51">
        <f t="shared" si="1"/>
        <v>5990</v>
      </c>
      <c r="D11" s="38">
        <v>43</v>
      </c>
      <c r="E11" s="38">
        <v>41</v>
      </c>
      <c r="F11" s="38">
        <v>150</v>
      </c>
      <c r="G11" s="38"/>
      <c r="H11" s="38"/>
      <c r="I11" s="38">
        <v>31</v>
      </c>
      <c r="J11" s="38">
        <v>23</v>
      </c>
      <c r="K11" s="38"/>
      <c r="L11" s="38"/>
      <c r="M11" s="38"/>
      <c r="N11" s="38"/>
      <c r="O11" s="38"/>
      <c r="P11" s="38"/>
      <c r="Q11" s="38"/>
      <c r="R11">
        <f>IF(D11=0,"",D11*VLOOKUP(R$2,[1]Needs!$A$4:$I$43,9,FALSE))</f>
        <v>860</v>
      </c>
      <c r="S11">
        <f>IF(E11=0,"",E11*VLOOKUP(S$2,[1]Needs!$A$4:$I$43,9,FALSE))</f>
        <v>820</v>
      </c>
      <c r="T11">
        <f>IF(F11=0,"",F11*VLOOKUP(T$2,[1]Needs!$A$4:$I$43,9,FALSE))</f>
        <v>3000</v>
      </c>
      <c r="U11" t="str">
        <f>IF(G11=0,"",G11*VLOOKUP(U$2,[1]Needs!$A$4:$I$43,9,FALSE))</f>
        <v/>
      </c>
      <c r="V11" t="str">
        <f>IF(H11=0,"",H11*VLOOKUP(V$2,[1]Needs!$A$4:$I$43,9,FALSE))</f>
        <v/>
      </c>
      <c r="W11">
        <f>IF(I11=0,"",I11*VLOOKUP(W$2,[1]Needs!$A$4:$I$43,9,FALSE))</f>
        <v>620</v>
      </c>
      <c r="X11">
        <f>IF(J11=0,"",J11*VLOOKUP(X$2,[1]Needs!$A$4:$I$43,9,FALSE))</f>
        <v>690</v>
      </c>
      <c r="Y11" t="str">
        <f>IF(K11=0,"",K11*VLOOKUP(Y$2,[1]Needs!$A$4:$I$43,9,FALSE))</f>
        <v/>
      </c>
      <c r="Z11" t="str">
        <f>IF(L11=0,"",L11*VLOOKUP(Z$2,[1]Needs!$A$4:$I$43,9,FALSE))</f>
        <v/>
      </c>
      <c r="AA11" t="str">
        <f>IF(M11=0,"",M11*VLOOKUP(AA$2,[1]Needs!$A$4:$I$43,9,FALSE))</f>
        <v/>
      </c>
      <c r="AB11" t="str">
        <f>IF(N11=0,"",N11*VLOOKUP(AB$2,[1]Needs!$A$4:$I$43,9,FALSE))</f>
        <v/>
      </c>
      <c r="AC11" t="str">
        <f>IF(O11=0,"",O11*VLOOKUP(AC$2,[1]Needs!$A$4:$I$43,9,FALSE))</f>
        <v/>
      </c>
      <c r="AD11" t="str">
        <f>IF(P11=0,"",P11*VLOOKUP(AD$2,[1]Needs!$A$4:$I$43,9,FALSE))</f>
        <v/>
      </c>
      <c r="AE11" t="str">
        <f>IF(Q11=0,"",Q11*VLOOKUP(AE$2,[1]Needs!$A$4:$I$43,9,FALSE))</f>
        <v/>
      </c>
    </row>
    <row r="12" customHeight="1" spans="1:31">
      <c r="A12" s="51">
        <v>9</v>
      </c>
      <c r="B12" s="51">
        <v>0.6</v>
      </c>
      <c r="C12" s="51">
        <f t="shared" si="1"/>
        <v>6330</v>
      </c>
      <c r="D12" s="38">
        <v>43</v>
      </c>
      <c r="E12" s="38">
        <v>53</v>
      </c>
      <c r="F12" s="38">
        <v>150</v>
      </c>
      <c r="G12" s="38"/>
      <c r="H12" s="38"/>
      <c r="I12" s="38">
        <v>36</v>
      </c>
      <c r="J12" s="38">
        <v>23</v>
      </c>
      <c r="K12" s="38"/>
      <c r="L12" s="38"/>
      <c r="M12" s="38"/>
      <c r="N12" s="38"/>
      <c r="O12" s="38"/>
      <c r="P12" s="38"/>
      <c r="Q12" s="38"/>
      <c r="R12">
        <f>IF(D12=0,"",D12*VLOOKUP(R$2,[1]Needs!$A$4:$I$43,9,FALSE))</f>
        <v>860</v>
      </c>
      <c r="S12">
        <f>IF(E12=0,"",E12*VLOOKUP(S$2,[1]Needs!$A$4:$I$43,9,FALSE))</f>
        <v>1060</v>
      </c>
      <c r="T12">
        <f>IF(F12=0,"",F12*VLOOKUP(T$2,[1]Needs!$A$4:$I$43,9,FALSE))</f>
        <v>3000</v>
      </c>
      <c r="U12" t="str">
        <f>IF(G12=0,"",G12*VLOOKUP(U$2,[1]Needs!$A$4:$I$43,9,FALSE))</f>
        <v/>
      </c>
      <c r="V12" t="str">
        <f>IF(H12=0,"",H12*VLOOKUP(V$2,[1]Needs!$A$4:$I$43,9,FALSE))</f>
        <v/>
      </c>
      <c r="W12">
        <f>IF(I12=0,"",I12*VLOOKUP(W$2,[1]Needs!$A$4:$I$43,9,FALSE))</f>
        <v>720</v>
      </c>
      <c r="X12">
        <f>IF(J12=0,"",J12*VLOOKUP(X$2,[1]Needs!$A$4:$I$43,9,FALSE))</f>
        <v>690</v>
      </c>
      <c r="Y12" t="str">
        <f>IF(K12=0,"",K12*VLOOKUP(Y$2,[1]Needs!$A$4:$I$43,9,FALSE))</f>
        <v/>
      </c>
      <c r="Z12" t="str">
        <f>IF(L12=0,"",L12*VLOOKUP(Z$2,[1]Needs!$A$4:$I$43,9,FALSE))</f>
        <v/>
      </c>
      <c r="AA12" t="str">
        <f>IF(M12=0,"",M12*VLOOKUP(AA$2,[1]Needs!$A$4:$I$43,9,FALSE))</f>
        <v/>
      </c>
      <c r="AB12" t="str">
        <f>IF(N12=0,"",N12*VLOOKUP(AB$2,[1]Needs!$A$4:$I$43,9,FALSE))</f>
        <v/>
      </c>
      <c r="AC12" t="str">
        <f>IF(O12=0,"",O12*VLOOKUP(AC$2,[1]Needs!$A$4:$I$43,9,FALSE))</f>
        <v/>
      </c>
      <c r="AD12" t="str">
        <f>IF(P12=0,"",P12*VLOOKUP(AD$2,[1]Needs!$A$4:$I$43,9,FALSE))</f>
        <v/>
      </c>
      <c r="AE12" t="str">
        <f>IF(Q12=0,"",Q12*VLOOKUP(AE$2,[1]Needs!$A$4:$I$43,9,FALSE))</f>
        <v/>
      </c>
    </row>
    <row r="13" customHeight="1" spans="1:31">
      <c r="A13" s="52">
        <v>10</v>
      </c>
      <c r="B13" s="52">
        <v>0.75</v>
      </c>
      <c r="C13" s="52">
        <f t="shared" si="1"/>
        <v>7830</v>
      </c>
      <c r="D13" s="53">
        <v>51</v>
      </c>
      <c r="E13" s="53">
        <v>45</v>
      </c>
      <c r="F13" s="53">
        <v>154</v>
      </c>
      <c r="G13" s="53">
        <v>10</v>
      </c>
      <c r="H13" s="53">
        <v>7</v>
      </c>
      <c r="I13" s="53">
        <v>29</v>
      </c>
      <c r="J13" s="53">
        <v>34</v>
      </c>
      <c r="K13" s="53">
        <v>24</v>
      </c>
      <c r="L13" s="53"/>
      <c r="M13" s="53"/>
      <c r="N13" s="53"/>
      <c r="O13" s="53"/>
      <c r="P13" s="53"/>
      <c r="Q13" s="53"/>
      <c r="R13">
        <f>IF(D13=0,"",D13*VLOOKUP(R$2,[1]Needs!$A$4:$I$43,9,FALSE))</f>
        <v>1020</v>
      </c>
      <c r="S13">
        <f>IF(E13=0,"",E13*VLOOKUP(S$2,[1]Needs!$A$4:$I$43,9,FALSE))</f>
        <v>900</v>
      </c>
      <c r="T13">
        <f>IF(F13=0,"",F13*VLOOKUP(T$2,[1]Needs!$A$4:$I$43,9,FALSE))</f>
        <v>3080</v>
      </c>
      <c r="U13">
        <f>IF(G13=0,"",G13*VLOOKUP(U$2,[1]Needs!$A$4:$I$43,9,FALSE))</f>
        <v>300</v>
      </c>
      <c r="V13">
        <f>IF(H13=0,"",H13*VLOOKUP(V$2,[1]Needs!$A$4:$I$43,9,FALSE))</f>
        <v>210</v>
      </c>
      <c r="W13">
        <f>IF(I13=0,"",I13*VLOOKUP(W$2,[1]Needs!$A$4:$I$43,9,FALSE))</f>
        <v>580</v>
      </c>
      <c r="X13">
        <f>IF(J13=0,"",J13*VLOOKUP(X$2,[1]Needs!$A$4:$I$43,9,FALSE))</f>
        <v>1020</v>
      </c>
      <c r="Y13">
        <f>IF(K13=0,"",K13*VLOOKUP(Y$2,[1]Needs!$A$4:$I$43,9,FALSE))</f>
        <v>720</v>
      </c>
      <c r="Z13" t="str">
        <f>IF(L13=0,"",L13*VLOOKUP(Z$2,[1]Needs!$A$4:$I$43,9,FALSE))</f>
        <v/>
      </c>
      <c r="AA13" t="str">
        <f>IF(M13=0,"",M13*VLOOKUP(AA$2,[1]Needs!$A$4:$I$43,9,FALSE))</f>
        <v/>
      </c>
      <c r="AB13" t="str">
        <f>IF(N13=0,"",N13*VLOOKUP(AB$2,[1]Needs!$A$4:$I$43,9,FALSE))</f>
        <v/>
      </c>
      <c r="AC13" t="str">
        <f>IF(O13=0,"",O13*VLOOKUP(AC$2,[1]Needs!$A$4:$I$43,9,FALSE))</f>
        <v/>
      </c>
      <c r="AD13" t="str">
        <f>IF(P13=0,"",P13*VLOOKUP(AD$2,[1]Needs!$A$4:$I$43,9,FALSE))</f>
        <v/>
      </c>
      <c r="AE13" t="str">
        <f>IF(Q13=0,"",Q13*VLOOKUP(AE$2,[1]Needs!$A$4:$I$43,9,FALSE))</f>
        <v/>
      </c>
    </row>
    <row r="14" customHeight="1" spans="1:31">
      <c r="A14" s="52">
        <v>11</v>
      </c>
      <c r="B14" s="52">
        <v>0.9</v>
      </c>
      <c r="C14" s="52">
        <f t="shared" si="1"/>
        <v>8910</v>
      </c>
      <c r="D14" s="53">
        <v>47</v>
      </c>
      <c r="E14" s="53">
        <v>43</v>
      </c>
      <c r="F14" s="53">
        <v>157</v>
      </c>
      <c r="G14" s="53">
        <v>23</v>
      </c>
      <c r="H14" s="53">
        <v>20</v>
      </c>
      <c r="I14" s="53">
        <v>29</v>
      </c>
      <c r="J14" s="53">
        <v>39</v>
      </c>
      <c r="K14" s="53">
        <v>31</v>
      </c>
      <c r="L14" s="53"/>
      <c r="M14" s="53"/>
      <c r="N14" s="53"/>
      <c r="O14" s="53"/>
      <c r="P14" s="53"/>
      <c r="Q14" s="53"/>
      <c r="R14">
        <f>IF(D14=0,"",D14*VLOOKUP(R$2,[1]Needs!$A$4:$I$43,9,FALSE))</f>
        <v>940</v>
      </c>
      <c r="S14">
        <f>IF(E14=0,"",E14*VLOOKUP(S$2,[1]Needs!$A$4:$I$43,9,FALSE))</f>
        <v>860</v>
      </c>
      <c r="T14">
        <f>IF(F14=0,"",F14*VLOOKUP(T$2,[1]Needs!$A$4:$I$43,9,FALSE))</f>
        <v>3140</v>
      </c>
      <c r="U14">
        <f>IF(G14=0,"",G14*VLOOKUP(U$2,[1]Needs!$A$4:$I$43,9,FALSE))</f>
        <v>690</v>
      </c>
      <c r="V14">
        <f>IF(H14=0,"",H14*VLOOKUP(V$2,[1]Needs!$A$4:$I$43,9,FALSE))</f>
        <v>600</v>
      </c>
      <c r="W14">
        <f>IF(I14=0,"",I14*VLOOKUP(W$2,[1]Needs!$A$4:$I$43,9,FALSE))</f>
        <v>580</v>
      </c>
      <c r="X14">
        <f>IF(J14=0,"",J14*VLOOKUP(X$2,[1]Needs!$A$4:$I$43,9,FALSE))</f>
        <v>1170</v>
      </c>
      <c r="Y14">
        <f>IF(K14=0,"",K14*VLOOKUP(Y$2,[1]Needs!$A$4:$I$43,9,FALSE))</f>
        <v>930</v>
      </c>
      <c r="Z14" t="str">
        <f>IF(L14=0,"",L14*VLOOKUP(Z$2,[1]Needs!$A$4:$I$43,9,FALSE))</f>
        <v/>
      </c>
      <c r="AA14" t="str">
        <f>IF(M14=0,"",M14*VLOOKUP(AA$2,[1]Needs!$A$4:$I$43,9,FALSE))</f>
        <v/>
      </c>
      <c r="AB14" t="str">
        <f>IF(N14=0,"",N14*VLOOKUP(AB$2,[1]Needs!$A$4:$I$43,9,FALSE))</f>
        <v/>
      </c>
      <c r="AC14" t="str">
        <f>IF(O14=0,"",O14*VLOOKUP(AC$2,[1]Needs!$A$4:$I$43,9,FALSE))</f>
        <v/>
      </c>
      <c r="AD14" t="str">
        <f>IF(P14=0,"",P14*VLOOKUP(AD$2,[1]Needs!$A$4:$I$43,9,FALSE))</f>
        <v/>
      </c>
      <c r="AE14" t="str">
        <f>IF(Q14=0,"",Q14*VLOOKUP(AE$2,[1]Needs!$A$4:$I$43,9,FALSE))</f>
        <v/>
      </c>
    </row>
    <row r="15" customHeight="1" spans="1:31">
      <c r="A15" s="52">
        <v>12</v>
      </c>
      <c r="B15" s="52">
        <v>1.4</v>
      </c>
      <c r="C15" s="52">
        <f t="shared" si="1"/>
        <v>10170</v>
      </c>
      <c r="D15" s="53">
        <v>37</v>
      </c>
      <c r="E15" s="53">
        <v>37</v>
      </c>
      <c r="F15" s="53">
        <v>164</v>
      </c>
      <c r="G15" s="53">
        <v>37</v>
      </c>
      <c r="H15" s="53">
        <v>37</v>
      </c>
      <c r="I15" s="53">
        <v>29</v>
      </c>
      <c r="J15" s="53">
        <v>46</v>
      </c>
      <c r="K15" s="53">
        <v>41</v>
      </c>
      <c r="L15" s="53"/>
      <c r="M15" s="53"/>
      <c r="N15" s="53"/>
      <c r="O15" s="53"/>
      <c r="P15" s="53"/>
      <c r="Q15" s="53"/>
      <c r="R15">
        <f>IF(D15=0,"",D15*VLOOKUP(R$2,[1]Needs!$A$4:$I$43,9,FALSE))</f>
        <v>740</v>
      </c>
      <c r="S15">
        <f>IF(E15=0,"",E15*VLOOKUP(S$2,[1]Needs!$A$4:$I$43,9,FALSE))</f>
        <v>740</v>
      </c>
      <c r="T15">
        <f>IF(F15=0,"",F15*VLOOKUP(T$2,[1]Needs!$A$4:$I$43,9,FALSE))</f>
        <v>3280</v>
      </c>
      <c r="U15">
        <f>IF(G15=0,"",G15*VLOOKUP(U$2,[1]Needs!$A$4:$I$43,9,FALSE))</f>
        <v>1110</v>
      </c>
      <c r="V15">
        <f>IF(H15=0,"",H15*VLOOKUP(V$2,[1]Needs!$A$4:$I$43,9,FALSE))</f>
        <v>1110</v>
      </c>
      <c r="W15">
        <f>IF(I15=0,"",I15*VLOOKUP(W$2,[1]Needs!$A$4:$I$43,9,FALSE))</f>
        <v>580</v>
      </c>
      <c r="X15">
        <f>IF(J15=0,"",J15*VLOOKUP(X$2,[1]Needs!$A$4:$I$43,9,FALSE))</f>
        <v>1380</v>
      </c>
      <c r="Y15">
        <f>IF(K15=0,"",K15*VLOOKUP(Y$2,[1]Needs!$A$4:$I$43,9,FALSE))</f>
        <v>1230</v>
      </c>
      <c r="Z15" t="str">
        <f>IF(L15=0,"",L15*VLOOKUP(Z$2,[1]Needs!$A$4:$I$43,9,FALSE))</f>
        <v/>
      </c>
      <c r="AA15" t="str">
        <f>IF(M15=0,"",M15*VLOOKUP(AA$2,[1]Needs!$A$4:$I$43,9,FALSE))</f>
        <v/>
      </c>
      <c r="AB15" t="str">
        <f>IF(N15=0,"",N15*VLOOKUP(AB$2,[1]Needs!$A$4:$I$43,9,FALSE))</f>
        <v/>
      </c>
      <c r="AC15" t="str">
        <f>IF(O15=0,"",O15*VLOOKUP(AC$2,[1]Needs!$A$4:$I$43,9,FALSE))</f>
        <v/>
      </c>
      <c r="AD15" t="str">
        <f>IF(P15=0,"",P15*VLOOKUP(AD$2,[1]Needs!$A$4:$I$43,9,FALSE))</f>
        <v/>
      </c>
      <c r="AE15" t="str">
        <f>IF(Q15=0,"",Q15*VLOOKUP(AE$2,[1]Needs!$A$4:$I$43,9,FALSE))</f>
        <v/>
      </c>
    </row>
    <row r="16" customHeight="1" spans="1:31">
      <c r="A16" s="52">
        <v>13</v>
      </c>
      <c r="B16" s="52">
        <v>1.9</v>
      </c>
      <c r="C16" s="52">
        <f t="shared" si="1"/>
        <v>11620</v>
      </c>
      <c r="D16" s="53">
        <v>20</v>
      </c>
      <c r="E16" s="53">
        <v>20</v>
      </c>
      <c r="F16" s="53">
        <v>173</v>
      </c>
      <c r="G16" s="53">
        <v>69</v>
      </c>
      <c r="H16" s="53">
        <v>59</v>
      </c>
      <c r="I16" s="53">
        <v>29</v>
      </c>
      <c r="J16" s="53">
        <v>49</v>
      </c>
      <c r="K16" s="53">
        <v>49</v>
      </c>
      <c r="L16" s="53"/>
      <c r="M16" s="53"/>
      <c r="N16" s="53"/>
      <c r="O16" s="53"/>
      <c r="P16" s="53"/>
      <c r="Q16" s="53"/>
      <c r="R16">
        <f>IF(D16=0,"",D16*VLOOKUP(R$2,[1]Needs!$A$4:$I$43,9,FALSE))</f>
        <v>400</v>
      </c>
      <c r="S16">
        <f>IF(E16=0,"",E16*VLOOKUP(S$2,[1]Needs!$A$4:$I$43,9,FALSE))</f>
        <v>400</v>
      </c>
      <c r="T16">
        <f>IF(F16=0,"",F16*VLOOKUP(T$2,[1]Needs!$A$4:$I$43,9,FALSE))</f>
        <v>3460</v>
      </c>
      <c r="U16">
        <f>IF(G16=0,"",G16*VLOOKUP(U$2,[1]Needs!$A$4:$I$43,9,FALSE))</f>
        <v>2070</v>
      </c>
      <c r="V16">
        <f>IF(H16=0,"",H16*VLOOKUP(V$2,[1]Needs!$A$4:$I$43,9,FALSE))</f>
        <v>1770</v>
      </c>
      <c r="W16">
        <f>IF(I16=0,"",I16*VLOOKUP(W$2,[1]Needs!$A$4:$I$43,9,FALSE))</f>
        <v>580</v>
      </c>
      <c r="X16">
        <f>IF(J16=0,"",J16*VLOOKUP(X$2,[1]Needs!$A$4:$I$43,9,FALSE))</f>
        <v>1470</v>
      </c>
      <c r="Y16">
        <f>IF(K16=0,"",K16*VLOOKUP(Y$2,[1]Needs!$A$4:$I$43,9,FALSE))</f>
        <v>1470</v>
      </c>
      <c r="Z16" t="str">
        <f>IF(L16=0,"",L16*VLOOKUP(Z$2,[1]Needs!$A$4:$I$43,9,FALSE))</f>
        <v/>
      </c>
      <c r="AA16" t="str">
        <f>IF(M16=0,"",M16*VLOOKUP(AA$2,[1]Needs!$A$4:$I$43,9,FALSE))</f>
        <v/>
      </c>
      <c r="AB16" t="str">
        <f>IF(N16=0,"",N16*VLOOKUP(AB$2,[1]Needs!$A$4:$I$43,9,FALSE))</f>
        <v/>
      </c>
      <c r="AC16" t="str">
        <f>IF(O16=0,"",O16*VLOOKUP(AC$2,[1]Needs!$A$4:$I$43,9,FALSE))</f>
        <v/>
      </c>
      <c r="AD16" t="str">
        <f>IF(P16=0,"",P16*VLOOKUP(AD$2,[1]Needs!$A$4:$I$43,9,FALSE))</f>
        <v/>
      </c>
      <c r="AE16" t="str">
        <f>IF(Q16=0,"",Q16*VLOOKUP(AE$2,[1]Needs!$A$4:$I$43,9,FALSE))</f>
        <v/>
      </c>
    </row>
    <row r="17" customHeight="1" spans="1:31">
      <c r="A17" s="52">
        <v>14</v>
      </c>
      <c r="B17" s="52">
        <v>2.4</v>
      </c>
      <c r="C17" s="52">
        <f t="shared" si="1"/>
        <v>13140</v>
      </c>
      <c r="D17" s="53">
        <v>11</v>
      </c>
      <c r="E17" s="53">
        <v>11</v>
      </c>
      <c r="F17" s="53">
        <v>183</v>
      </c>
      <c r="G17" s="53">
        <v>89</v>
      </c>
      <c r="H17" s="53">
        <v>77</v>
      </c>
      <c r="I17" s="53">
        <v>29</v>
      </c>
      <c r="J17" s="53">
        <v>55</v>
      </c>
      <c r="K17" s="53">
        <v>61</v>
      </c>
      <c r="L17" s="53"/>
      <c r="M17" s="53"/>
      <c r="N17" s="53"/>
      <c r="O17" s="53"/>
      <c r="P17" s="53"/>
      <c r="Q17" s="53"/>
      <c r="R17">
        <f>IF(D17=0,"",D17*VLOOKUP(R$2,[1]Needs!$A$4:$I$43,9,FALSE))</f>
        <v>220</v>
      </c>
      <c r="S17">
        <f>IF(E17=0,"",E17*VLOOKUP(S$2,[1]Needs!$A$4:$I$43,9,FALSE))</f>
        <v>220</v>
      </c>
      <c r="T17">
        <f>IF(F17=0,"",F17*VLOOKUP(T$2,[1]Needs!$A$4:$I$43,9,FALSE))</f>
        <v>3660</v>
      </c>
      <c r="U17">
        <f>IF(G17=0,"",G17*VLOOKUP(U$2,[1]Needs!$A$4:$I$43,9,FALSE))</f>
        <v>2670</v>
      </c>
      <c r="V17">
        <f>IF(H17=0,"",H17*VLOOKUP(V$2,[1]Needs!$A$4:$I$43,9,FALSE))</f>
        <v>2310</v>
      </c>
      <c r="W17">
        <f>IF(I17=0,"",I17*VLOOKUP(W$2,[1]Needs!$A$4:$I$43,9,FALSE))</f>
        <v>580</v>
      </c>
      <c r="X17">
        <f>IF(J17=0,"",J17*VLOOKUP(X$2,[1]Needs!$A$4:$I$43,9,FALSE))</f>
        <v>1650</v>
      </c>
      <c r="Y17">
        <f>IF(K17=0,"",K17*VLOOKUP(Y$2,[1]Needs!$A$4:$I$43,9,FALSE))</f>
        <v>1830</v>
      </c>
      <c r="Z17" t="str">
        <f>IF(L17=0,"",L17*VLOOKUP(Z$2,[1]Needs!$A$4:$I$43,9,FALSE))</f>
        <v/>
      </c>
      <c r="AA17" t="str">
        <f>IF(M17=0,"",M17*VLOOKUP(AA$2,[1]Needs!$A$4:$I$43,9,FALSE))</f>
        <v/>
      </c>
      <c r="AB17" t="str">
        <f>IF(N17=0,"",N17*VLOOKUP(AB$2,[1]Needs!$A$4:$I$43,9,FALSE))</f>
        <v/>
      </c>
      <c r="AC17" t="str">
        <f>IF(O17=0,"",O17*VLOOKUP(AC$2,[1]Needs!$A$4:$I$43,9,FALSE))</f>
        <v/>
      </c>
      <c r="AD17" t="str">
        <f>IF(P17=0,"",P17*VLOOKUP(AD$2,[1]Needs!$A$4:$I$43,9,FALSE))</f>
        <v/>
      </c>
      <c r="AE17" t="str">
        <f>IF(Q17=0,"",Q17*VLOOKUP(AE$2,[1]Needs!$A$4:$I$43,9,FALSE))</f>
        <v/>
      </c>
    </row>
    <row r="18" customHeight="1" spans="1:31">
      <c r="A18" s="54">
        <v>15</v>
      </c>
      <c r="B18" s="54">
        <v>4.6</v>
      </c>
      <c r="C18" s="54">
        <f t="shared" si="1"/>
        <v>15720</v>
      </c>
      <c r="D18" s="55"/>
      <c r="E18" s="55"/>
      <c r="F18" s="55">
        <v>179</v>
      </c>
      <c r="G18" s="55">
        <v>106</v>
      </c>
      <c r="H18" s="55">
        <v>89</v>
      </c>
      <c r="I18" s="55">
        <v>29</v>
      </c>
      <c r="J18" s="55">
        <v>56</v>
      </c>
      <c r="K18" s="55">
        <v>67</v>
      </c>
      <c r="L18" s="55">
        <v>17</v>
      </c>
      <c r="M18" s="55">
        <v>17</v>
      </c>
      <c r="N18" s="55"/>
      <c r="O18" s="55"/>
      <c r="P18" s="55">
        <v>11</v>
      </c>
      <c r="Q18" s="55"/>
      <c r="R18" t="str">
        <f>IF(D18=0,"",D18*VLOOKUP(R$2,[1]Needs!$A$4:$I$43,9,FALSE))</f>
        <v/>
      </c>
      <c r="S18" t="str">
        <f>IF(E18=0,"",E18*VLOOKUP(S$2,[1]Needs!$A$4:$I$43,9,FALSE))</f>
        <v/>
      </c>
      <c r="T18">
        <f>IF(F18=0,"",F18*VLOOKUP(T$2,[1]Needs!$A$4:$I$43,9,FALSE))</f>
        <v>3580</v>
      </c>
      <c r="U18">
        <f>IF(G18=0,"",G18*VLOOKUP(U$2,[1]Needs!$A$4:$I$43,9,FALSE))</f>
        <v>3180</v>
      </c>
      <c r="V18">
        <f>IF(H18=0,"",H18*VLOOKUP(V$2,[1]Needs!$A$4:$I$43,9,FALSE))</f>
        <v>2670</v>
      </c>
      <c r="W18">
        <f>IF(I18=0,"",I18*VLOOKUP(W$2,[1]Needs!$A$4:$I$43,9,FALSE))</f>
        <v>580</v>
      </c>
      <c r="X18">
        <f>IF(J18=0,"",J18*VLOOKUP(X$2,[1]Needs!$A$4:$I$43,9,FALSE))</f>
        <v>1680</v>
      </c>
      <c r="Y18">
        <f>IF(K18=0,"",K18*VLOOKUP(Y$2,[1]Needs!$A$4:$I$43,9,FALSE))</f>
        <v>2010</v>
      </c>
      <c r="Z18">
        <f>IF(L18=0,"",L18*VLOOKUP(Z$2,[1]Needs!$A$4:$I$43,9,FALSE))</f>
        <v>850</v>
      </c>
      <c r="AA18">
        <f>IF(M18=0,"",M18*VLOOKUP(AA$2,[1]Needs!$A$4:$I$43,9,FALSE))</f>
        <v>510</v>
      </c>
      <c r="AB18" t="str">
        <f>IF(N18=0,"",N18*VLOOKUP(AB$2,[1]Needs!$A$4:$I$43,9,FALSE))</f>
        <v/>
      </c>
      <c r="AC18" t="str">
        <f>IF(O18=0,"",O18*VLOOKUP(AC$2,[1]Needs!$A$4:$I$43,9,FALSE))</f>
        <v/>
      </c>
      <c r="AD18">
        <f>IF(P18=0,"",P18*VLOOKUP(AD$2,[1]Needs!$A$4:$I$43,9,FALSE))</f>
        <v>660</v>
      </c>
      <c r="AE18" t="str">
        <f>IF(Q18=0,"",Q18*VLOOKUP(AE$2,[1]Needs!$A$4:$I$43,9,FALSE))</f>
        <v/>
      </c>
    </row>
    <row r="19" customHeight="1" spans="1:31">
      <c r="A19" s="54">
        <v>16</v>
      </c>
      <c r="B19" s="54">
        <v>6.8</v>
      </c>
      <c r="C19" s="54">
        <f t="shared" si="1"/>
        <v>17960</v>
      </c>
      <c r="D19" s="55"/>
      <c r="E19" s="55"/>
      <c r="F19" s="55">
        <v>182</v>
      </c>
      <c r="G19" s="55">
        <v>110</v>
      </c>
      <c r="H19" s="55">
        <v>98</v>
      </c>
      <c r="I19" s="55">
        <v>29</v>
      </c>
      <c r="J19" s="55">
        <v>61</v>
      </c>
      <c r="K19" s="55">
        <v>77</v>
      </c>
      <c r="L19" s="55">
        <v>24</v>
      </c>
      <c r="M19" s="55">
        <v>24</v>
      </c>
      <c r="N19" s="55"/>
      <c r="O19" s="55"/>
      <c r="P19" s="55">
        <v>24</v>
      </c>
      <c r="Q19" s="55"/>
      <c r="R19" t="str">
        <f>IF(D19=0,"",D19*VLOOKUP(R$2,[1]Needs!$A$4:$I$43,9,FALSE))</f>
        <v/>
      </c>
      <c r="S19" t="str">
        <f>IF(E19=0,"",E19*VLOOKUP(S$2,[1]Needs!$A$4:$I$43,9,FALSE))</f>
        <v/>
      </c>
      <c r="T19">
        <f>IF(F19=0,"",F19*VLOOKUP(T$2,[1]Needs!$A$4:$I$43,9,FALSE))</f>
        <v>3640</v>
      </c>
      <c r="U19">
        <f>IF(G19=0,"",G19*VLOOKUP(U$2,[1]Needs!$A$4:$I$43,9,FALSE))</f>
        <v>3300</v>
      </c>
      <c r="V19">
        <f>IF(H19=0,"",H19*VLOOKUP(V$2,[1]Needs!$A$4:$I$43,9,FALSE))</f>
        <v>2940</v>
      </c>
      <c r="W19">
        <f>IF(I19=0,"",I19*VLOOKUP(W$2,[1]Needs!$A$4:$I$43,9,FALSE))</f>
        <v>580</v>
      </c>
      <c r="X19">
        <f>IF(J19=0,"",J19*VLOOKUP(X$2,[1]Needs!$A$4:$I$43,9,FALSE))</f>
        <v>1830</v>
      </c>
      <c r="Y19">
        <f>IF(K19=0,"",K19*VLOOKUP(Y$2,[1]Needs!$A$4:$I$43,9,FALSE))</f>
        <v>2310</v>
      </c>
      <c r="Z19">
        <f>IF(L19=0,"",L19*VLOOKUP(Z$2,[1]Needs!$A$4:$I$43,9,FALSE))</f>
        <v>1200</v>
      </c>
      <c r="AA19">
        <f>IF(M19=0,"",M19*VLOOKUP(AA$2,[1]Needs!$A$4:$I$43,9,FALSE))</f>
        <v>720</v>
      </c>
      <c r="AB19" t="str">
        <f>IF(N19=0,"",N19*VLOOKUP(AB$2,[1]Needs!$A$4:$I$43,9,FALSE))</f>
        <v/>
      </c>
      <c r="AC19" t="str">
        <f>IF(O19=0,"",O19*VLOOKUP(AC$2,[1]Needs!$A$4:$I$43,9,FALSE))</f>
        <v/>
      </c>
      <c r="AD19">
        <f>IF(P19=0,"",P19*VLOOKUP(AD$2,[1]Needs!$A$4:$I$43,9,FALSE))</f>
        <v>1440</v>
      </c>
      <c r="AE19" t="str">
        <f>IF(Q19=0,"",Q19*VLOOKUP(AE$2,[1]Needs!$A$4:$I$43,9,FALSE))</f>
        <v/>
      </c>
    </row>
    <row r="20" customHeight="1" spans="1:31">
      <c r="A20" s="54">
        <v>17</v>
      </c>
      <c r="B20" s="54">
        <v>9</v>
      </c>
      <c r="C20" s="54">
        <f t="shared" si="1"/>
        <v>20710</v>
      </c>
      <c r="D20" s="55"/>
      <c r="E20" s="55"/>
      <c r="F20" s="55">
        <v>182</v>
      </c>
      <c r="G20" s="55">
        <v>114</v>
      </c>
      <c r="H20" s="55">
        <v>107</v>
      </c>
      <c r="I20" s="55">
        <v>29</v>
      </c>
      <c r="J20" s="55">
        <v>67</v>
      </c>
      <c r="K20" s="55">
        <v>88</v>
      </c>
      <c r="L20" s="55">
        <v>40</v>
      </c>
      <c r="M20" s="55">
        <v>27</v>
      </c>
      <c r="N20" s="55"/>
      <c r="O20" s="55"/>
      <c r="P20" s="55">
        <v>40</v>
      </c>
      <c r="Q20" s="55"/>
      <c r="R20" t="str">
        <f>IF(D20=0,"",D20*VLOOKUP(R$2,[1]Needs!$A$4:$I$43,9,FALSE))</f>
        <v/>
      </c>
      <c r="S20" t="str">
        <f>IF(E20=0,"",E20*VLOOKUP(S$2,[1]Needs!$A$4:$I$43,9,FALSE))</f>
        <v/>
      </c>
      <c r="T20">
        <f>IF(F20=0,"",F20*VLOOKUP(T$2,[1]Needs!$A$4:$I$43,9,FALSE))</f>
        <v>3640</v>
      </c>
      <c r="U20">
        <f>IF(G20=0,"",G20*VLOOKUP(U$2,[1]Needs!$A$4:$I$43,9,FALSE))</f>
        <v>3420</v>
      </c>
      <c r="V20">
        <f>IF(H20=0,"",H20*VLOOKUP(V$2,[1]Needs!$A$4:$I$43,9,FALSE))</f>
        <v>3210</v>
      </c>
      <c r="W20">
        <f>IF(I20=0,"",I20*VLOOKUP(W$2,[1]Needs!$A$4:$I$43,9,FALSE))</f>
        <v>580</v>
      </c>
      <c r="X20">
        <f>IF(J20=0,"",J20*VLOOKUP(X$2,[1]Needs!$A$4:$I$43,9,FALSE))</f>
        <v>2010</v>
      </c>
      <c r="Y20">
        <f>IF(K20=0,"",K20*VLOOKUP(Y$2,[1]Needs!$A$4:$I$43,9,FALSE))</f>
        <v>2640</v>
      </c>
      <c r="Z20">
        <f>IF(L20=0,"",L20*VLOOKUP(Z$2,[1]Needs!$A$4:$I$43,9,FALSE))</f>
        <v>2000</v>
      </c>
      <c r="AA20">
        <f>IF(M20=0,"",M20*VLOOKUP(AA$2,[1]Needs!$A$4:$I$43,9,FALSE))</f>
        <v>810</v>
      </c>
      <c r="AB20" t="str">
        <f>IF(N20=0,"",N20*VLOOKUP(AB$2,[1]Needs!$A$4:$I$43,9,FALSE))</f>
        <v/>
      </c>
      <c r="AC20" t="str">
        <f>IF(O20=0,"",O20*VLOOKUP(AC$2,[1]Needs!$A$4:$I$43,9,FALSE))</f>
        <v/>
      </c>
      <c r="AD20">
        <f>IF(P20=0,"",P20*VLOOKUP(AD$2,[1]Needs!$A$4:$I$43,9,FALSE))</f>
        <v>2400</v>
      </c>
      <c r="AE20" t="str">
        <f>IF(Q20=0,"",Q20*VLOOKUP(AE$2,[1]Needs!$A$4:$I$43,9,FALSE))</f>
        <v/>
      </c>
    </row>
    <row r="21" customHeight="1" spans="1:31">
      <c r="A21" s="54">
        <v>18</v>
      </c>
      <c r="B21" s="54">
        <v>12</v>
      </c>
      <c r="C21" s="54">
        <f t="shared" si="1"/>
        <v>23760</v>
      </c>
      <c r="D21" s="55"/>
      <c r="E21" s="55"/>
      <c r="F21" s="55">
        <v>182</v>
      </c>
      <c r="G21" s="55">
        <v>117</v>
      </c>
      <c r="H21" s="55">
        <v>117</v>
      </c>
      <c r="I21" s="55">
        <v>29</v>
      </c>
      <c r="J21" s="55">
        <v>73</v>
      </c>
      <c r="K21" s="55">
        <v>99</v>
      </c>
      <c r="L21" s="55">
        <v>59</v>
      </c>
      <c r="M21" s="55">
        <v>29</v>
      </c>
      <c r="N21" s="55"/>
      <c r="O21" s="55"/>
      <c r="P21" s="55">
        <v>59</v>
      </c>
      <c r="Q21" s="55"/>
      <c r="R21" t="str">
        <f>IF(D21=0,"",D21*VLOOKUP(R$2,[1]Needs!$A$4:$I$43,9,FALSE))</f>
        <v/>
      </c>
      <c r="S21" t="str">
        <f>IF(E21=0,"",E21*VLOOKUP(S$2,[1]Needs!$A$4:$I$43,9,FALSE))</f>
        <v/>
      </c>
      <c r="T21">
        <f>IF(F21=0,"",F21*VLOOKUP(T$2,[1]Needs!$A$4:$I$43,9,FALSE))</f>
        <v>3640</v>
      </c>
      <c r="U21">
        <f>IF(G21=0,"",G21*VLOOKUP(U$2,[1]Needs!$A$4:$I$43,9,FALSE))</f>
        <v>3510</v>
      </c>
      <c r="V21">
        <f>IF(H21=0,"",H21*VLOOKUP(V$2,[1]Needs!$A$4:$I$43,9,FALSE))</f>
        <v>3510</v>
      </c>
      <c r="W21">
        <f>IF(I21=0,"",I21*VLOOKUP(W$2,[1]Needs!$A$4:$I$43,9,FALSE))</f>
        <v>580</v>
      </c>
      <c r="X21">
        <f>IF(J21=0,"",J21*VLOOKUP(X$2,[1]Needs!$A$4:$I$43,9,FALSE))</f>
        <v>2190</v>
      </c>
      <c r="Y21">
        <f>IF(K21=0,"",K21*VLOOKUP(Y$2,[1]Needs!$A$4:$I$43,9,FALSE))</f>
        <v>2970</v>
      </c>
      <c r="Z21">
        <f>IF(L21=0,"",L21*VLOOKUP(Z$2,[1]Needs!$A$4:$I$43,9,FALSE))</f>
        <v>2950</v>
      </c>
      <c r="AA21">
        <f>IF(M21=0,"",M21*VLOOKUP(AA$2,[1]Needs!$A$4:$I$43,9,FALSE))</f>
        <v>870</v>
      </c>
      <c r="AB21" t="str">
        <f>IF(N21=0,"",N21*VLOOKUP(AB$2,[1]Needs!$A$4:$I$43,9,FALSE))</f>
        <v/>
      </c>
      <c r="AC21" t="str">
        <f>IF(O21=0,"",O21*VLOOKUP(AC$2,[1]Needs!$A$4:$I$43,9,FALSE))</f>
        <v/>
      </c>
      <c r="AD21">
        <f>IF(P21=0,"",P21*VLOOKUP(AD$2,[1]Needs!$A$4:$I$43,9,FALSE))</f>
        <v>3540</v>
      </c>
      <c r="AE21" t="str">
        <f>IF(Q21=0,"",Q21*VLOOKUP(AE$2,[1]Needs!$A$4:$I$43,9,FALSE))</f>
        <v/>
      </c>
    </row>
    <row r="22" customHeight="1" spans="1:31">
      <c r="A22" s="54">
        <v>19</v>
      </c>
      <c r="B22" s="54">
        <v>15</v>
      </c>
      <c r="C22" s="54">
        <f t="shared" si="1"/>
        <v>27190</v>
      </c>
      <c r="D22" s="55"/>
      <c r="E22" s="55"/>
      <c r="F22" s="55">
        <v>182</v>
      </c>
      <c r="G22" s="55">
        <v>119</v>
      </c>
      <c r="H22" s="55">
        <v>127</v>
      </c>
      <c r="I22" s="55">
        <v>29</v>
      </c>
      <c r="J22" s="55">
        <v>79</v>
      </c>
      <c r="K22" s="55">
        <v>111</v>
      </c>
      <c r="L22" s="55">
        <v>79</v>
      </c>
      <c r="M22" s="55">
        <v>40</v>
      </c>
      <c r="N22" s="55"/>
      <c r="O22" s="55"/>
      <c r="P22" s="55">
        <v>79</v>
      </c>
      <c r="Q22" s="55"/>
      <c r="R22" t="str">
        <f>IF(D22=0,"",D22*VLOOKUP(R$2,[1]Needs!$A$4:$I$43,9,FALSE))</f>
        <v/>
      </c>
      <c r="S22" t="str">
        <f>IF(E22=0,"",E22*VLOOKUP(S$2,[1]Needs!$A$4:$I$43,9,FALSE))</f>
        <v/>
      </c>
      <c r="T22">
        <f>IF(F22=0,"",F22*VLOOKUP(T$2,[1]Needs!$A$4:$I$43,9,FALSE))</f>
        <v>3640</v>
      </c>
      <c r="U22">
        <f>IF(G22=0,"",G22*VLOOKUP(U$2,[1]Needs!$A$4:$I$43,9,FALSE))</f>
        <v>3570</v>
      </c>
      <c r="V22">
        <f>IF(H22=0,"",H22*VLOOKUP(V$2,[1]Needs!$A$4:$I$43,9,FALSE))</f>
        <v>3810</v>
      </c>
      <c r="W22">
        <f>IF(I22=0,"",I22*VLOOKUP(W$2,[1]Needs!$A$4:$I$43,9,FALSE))</f>
        <v>580</v>
      </c>
      <c r="X22">
        <f>IF(J22=0,"",J22*VLOOKUP(X$2,[1]Needs!$A$4:$I$43,9,FALSE))</f>
        <v>2370</v>
      </c>
      <c r="Y22">
        <f>IF(K22=0,"",K22*VLOOKUP(Y$2,[1]Needs!$A$4:$I$43,9,FALSE))</f>
        <v>3330</v>
      </c>
      <c r="Z22">
        <f>IF(L22=0,"",L22*VLOOKUP(Z$2,[1]Needs!$A$4:$I$43,9,FALSE))</f>
        <v>3950</v>
      </c>
      <c r="AA22">
        <f>IF(M22=0,"",M22*VLOOKUP(AA$2,[1]Needs!$A$4:$I$43,9,FALSE))</f>
        <v>1200</v>
      </c>
      <c r="AB22" t="str">
        <f>IF(N22=0,"",N22*VLOOKUP(AB$2,[1]Needs!$A$4:$I$43,9,FALSE))</f>
        <v/>
      </c>
      <c r="AC22" t="str">
        <f>IF(O22=0,"",O22*VLOOKUP(AC$2,[1]Needs!$A$4:$I$43,9,FALSE))</f>
        <v/>
      </c>
      <c r="AD22">
        <f>IF(P22=0,"",P22*VLOOKUP(AD$2,[1]Needs!$A$4:$I$43,9,FALSE))</f>
        <v>4740</v>
      </c>
      <c r="AE22" t="str">
        <f>IF(Q22=0,"",Q22*VLOOKUP(AE$2,[1]Needs!$A$4:$I$43,9,FALSE))</f>
        <v/>
      </c>
    </row>
    <row r="23" customHeight="1" spans="1:31">
      <c r="A23" s="56">
        <v>20</v>
      </c>
      <c r="B23" s="56">
        <v>18</v>
      </c>
      <c r="C23" s="56">
        <f t="shared" si="1"/>
        <v>30670</v>
      </c>
      <c r="D23" s="57"/>
      <c r="E23" s="57"/>
      <c r="F23" s="57">
        <v>182</v>
      </c>
      <c r="G23" s="57">
        <v>127</v>
      </c>
      <c r="H23" s="57">
        <v>135</v>
      </c>
      <c r="I23" s="57">
        <v>29</v>
      </c>
      <c r="J23" s="57">
        <v>85</v>
      </c>
      <c r="K23" s="57">
        <v>122</v>
      </c>
      <c r="L23" s="57">
        <v>85</v>
      </c>
      <c r="M23" s="57">
        <v>42</v>
      </c>
      <c r="N23" s="57">
        <v>17</v>
      </c>
      <c r="O23" s="57">
        <v>8</v>
      </c>
      <c r="P23" s="57">
        <v>102</v>
      </c>
      <c r="Q23" s="57"/>
      <c r="R23" t="str">
        <f>IF(D23=0,"",D23*VLOOKUP(R$2,[1]Needs!$A$4:$I$43,9,FALSE))</f>
        <v/>
      </c>
      <c r="S23" t="str">
        <f>IF(E23=0,"",E23*VLOOKUP(S$2,[1]Needs!$A$4:$I$43,9,FALSE))</f>
        <v/>
      </c>
      <c r="T23">
        <f>IF(F23=0,"",F23*VLOOKUP(T$2,[1]Needs!$A$4:$I$43,9,FALSE))</f>
        <v>3640</v>
      </c>
      <c r="U23">
        <f>IF(G23=0,"",G23*VLOOKUP(U$2,[1]Needs!$A$4:$I$43,9,FALSE))</f>
        <v>3810</v>
      </c>
      <c r="V23">
        <f>IF(H23=0,"",H23*VLOOKUP(V$2,[1]Needs!$A$4:$I$43,9,FALSE))</f>
        <v>4050</v>
      </c>
      <c r="W23">
        <f>IF(I23=0,"",I23*VLOOKUP(W$2,[1]Needs!$A$4:$I$43,9,FALSE))</f>
        <v>580</v>
      </c>
      <c r="X23">
        <f>IF(J23=0,"",J23*VLOOKUP(X$2,[1]Needs!$A$4:$I$43,9,FALSE))</f>
        <v>2550</v>
      </c>
      <c r="Y23">
        <f>IF(K23=0,"",K23*VLOOKUP(Y$2,[1]Needs!$A$4:$I$43,9,FALSE))</f>
        <v>3660</v>
      </c>
      <c r="Z23">
        <f>IF(L23=0,"",L23*VLOOKUP(Z$2,[1]Needs!$A$4:$I$43,9,FALSE))</f>
        <v>4250</v>
      </c>
      <c r="AA23">
        <f>IF(M23=0,"",M23*VLOOKUP(AA$2,[1]Needs!$A$4:$I$43,9,FALSE))</f>
        <v>1260</v>
      </c>
      <c r="AB23">
        <f>IF(N23=0,"",N23*VLOOKUP(AB$2,[1]Needs!$A$4:$I$43,9,FALSE))</f>
        <v>510</v>
      </c>
      <c r="AC23">
        <f>IF(O23=0,"",O23*VLOOKUP(AC$2,[1]Needs!$A$4:$I$43,9,FALSE))</f>
        <v>240</v>
      </c>
      <c r="AD23">
        <f>IF(P23=0,"",P23*VLOOKUP(AD$2,[1]Needs!$A$4:$I$43,9,FALSE))</f>
        <v>6120</v>
      </c>
      <c r="AE23" t="str">
        <f>IF(Q23=0,"",Q23*VLOOKUP(AE$2,[1]Needs!$A$4:$I$43,9,FALSE))</f>
        <v/>
      </c>
    </row>
    <row r="24" customHeight="1" spans="1:31">
      <c r="A24" s="56">
        <v>21</v>
      </c>
      <c r="B24" s="56">
        <v>23</v>
      </c>
      <c r="C24" s="56">
        <f t="shared" si="1"/>
        <v>34450</v>
      </c>
      <c r="D24" s="57"/>
      <c r="E24" s="57"/>
      <c r="F24" s="57">
        <v>182</v>
      </c>
      <c r="G24" s="57">
        <v>140</v>
      </c>
      <c r="H24" s="57">
        <v>131</v>
      </c>
      <c r="I24" s="57">
        <v>29</v>
      </c>
      <c r="J24" s="57">
        <v>94</v>
      </c>
      <c r="K24" s="57">
        <v>139</v>
      </c>
      <c r="L24" s="57">
        <v>94</v>
      </c>
      <c r="M24" s="57">
        <v>47</v>
      </c>
      <c r="N24" s="57">
        <v>19</v>
      </c>
      <c r="O24" s="57">
        <v>19</v>
      </c>
      <c r="P24" s="57">
        <v>131</v>
      </c>
      <c r="Q24" s="57"/>
      <c r="R24" t="str">
        <f>IF(D24=0,"",D24*VLOOKUP(R$2,[1]Needs!$A$4:$I$43,9,FALSE))</f>
        <v/>
      </c>
      <c r="S24" t="str">
        <f>IF(E24=0,"",E24*VLOOKUP(S$2,[1]Needs!$A$4:$I$43,9,FALSE))</f>
        <v/>
      </c>
      <c r="T24">
        <f>IF(F24=0,"",F24*VLOOKUP(T$2,[1]Needs!$A$4:$I$43,9,FALSE))</f>
        <v>3640</v>
      </c>
      <c r="U24">
        <f>IF(G24=0,"",G24*VLOOKUP(U$2,[1]Needs!$A$4:$I$43,9,FALSE))</f>
        <v>4200</v>
      </c>
      <c r="V24">
        <f>IF(H24=0,"",H24*VLOOKUP(V$2,[1]Needs!$A$4:$I$43,9,FALSE))</f>
        <v>3930</v>
      </c>
      <c r="W24">
        <f>IF(I24=0,"",I24*VLOOKUP(W$2,[1]Needs!$A$4:$I$43,9,FALSE))</f>
        <v>580</v>
      </c>
      <c r="X24">
        <f>IF(J24=0,"",J24*VLOOKUP(X$2,[1]Needs!$A$4:$I$43,9,FALSE))</f>
        <v>2820</v>
      </c>
      <c r="Y24">
        <f>IF(K24=0,"",K24*VLOOKUP(Y$2,[1]Needs!$A$4:$I$43,9,FALSE))</f>
        <v>4170</v>
      </c>
      <c r="Z24">
        <f>IF(L24=0,"",L24*VLOOKUP(Z$2,[1]Needs!$A$4:$I$43,9,FALSE))</f>
        <v>4700</v>
      </c>
      <c r="AA24">
        <f>IF(M24=0,"",M24*VLOOKUP(AA$2,[1]Needs!$A$4:$I$43,9,FALSE))</f>
        <v>1410</v>
      </c>
      <c r="AB24">
        <f>IF(N24=0,"",N24*VLOOKUP(AB$2,[1]Needs!$A$4:$I$43,9,FALSE))</f>
        <v>570</v>
      </c>
      <c r="AC24">
        <f>IF(O24=0,"",O24*VLOOKUP(AC$2,[1]Needs!$A$4:$I$43,9,FALSE))</f>
        <v>570</v>
      </c>
      <c r="AD24">
        <f>IF(P24=0,"",P24*VLOOKUP(AD$2,[1]Needs!$A$4:$I$43,9,FALSE))</f>
        <v>7860</v>
      </c>
      <c r="AE24" t="str">
        <f>IF(Q24=0,"",Q24*VLOOKUP(AE$2,[1]Needs!$A$4:$I$43,9,FALSE))</f>
        <v/>
      </c>
    </row>
    <row r="25" customHeight="1" spans="1:31">
      <c r="A25" s="56">
        <v>22</v>
      </c>
      <c r="B25" s="56">
        <v>28</v>
      </c>
      <c r="C25" s="56">
        <f t="shared" si="1"/>
        <v>38590</v>
      </c>
      <c r="D25" s="57"/>
      <c r="E25" s="57"/>
      <c r="F25" s="57">
        <v>182</v>
      </c>
      <c r="G25" s="57">
        <v>145</v>
      </c>
      <c r="H25" s="57">
        <v>134</v>
      </c>
      <c r="I25" s="57">
        <v>29</v>
      </c>
      <c r="J25" s="57">
        <v>103</v>
      </c>
      <c r="K25" s="57">
        <v>158</v>
      </c>
      <c r="L25" s="57">
        <v>103</v>
      </c>
      <c r="M25" s="57">
        <v>52</v>
      </c>
      <c r="N25" s="57">
        <v>21</v>
      </c>
      <c r="O25" s="57">
        <v>31</v>
      </c>
      <c r="P25" s="57">
        <v>165</v>
      </c>
      <c r="Q25" s="57"/>
      <c r="R25" t="str">
        <f>IF(D25=0,"",D25*VLOOKUP(R$2,[1]Needs!$A$4:$I$43,9,FALSE))</f>
        <v/>
      </c>
      <c r="S25" t="str">
        <f>IF(E25=0,"",E25*VLOOKUP(S$2,[1]Needs!$A$4:$I$43,9,FALSE))</f>
        <v/>
      </c>
      <c r="T25">
        <f>IF(F25=0,"",F25*VLOOKUP(T$2,[1]Needs!$A$4:$I$43,9,FALSE))</f>
        <v>3640</v>
      </c>
      <c r="U25">
        <f>IF(G25=0,"",G25*VLOOKUP(U$2,[1]Needs!$A$4:$I$43,9,FALSE))</f>
        <v>4350</v>
      </c>
      <c r="V25">
        <f>IF(H25=0,"",H25*VLOOKUP(V$2,[1]Needs!$A$4:$I$43,9,FALSE))</f>
        <v>4020</v>
      </c>
      <c r="W25">
        <f>IF(I25=0,"",I25*VLOOKUP(W$2,[1]Needs!$A$4:$I$43,9,FALSE))</f>
        <v>580</v>
      </c>
      <c r="X25">
        <f>IF(J25=0,"",J25*VLOOKUP(X$2,[1]Needs!$A$4:$I$43,9,FALSE))</f>
        <v>3090</v>
      </c>
      <c r="Y25">
        <f>IF(K25=0,"",K25*VLOOKUP(Y$2,[1]Needs!$A$4:$I$43,9,FALSE))</f>
        <v>4740</v>
      </c>
      <c r="Z25">
        <f>IF(L25=0,"",L25*VLOOKUP(Z$2,[1]Needs!$A$4:$I$43,9,FALSE))</f>
        <v>5150</v>
      </c>
      <c r="AA25">
        <f>IF(M25=0,"",M25*VLOOKUP(AA$2,[1]Needs!$A$4:$I$43,9,FALSE))</f>
        <v>1560</v>
      </c>
      <c r="AB25">
        <f>IF(N25=0,"",N25*VLOOKUP(AB$2,[1]Needs!$A$4:$I$43,9,FALSE))</f>
        <v>630</v>
      </c>
      <c r="AC25">
        <f>IF(O25=0,"",O25*VLOOKUP(AC$2,[1]Needs!$A$4:$I$43,9,FALSE))</f>
        <v>930</v>
      </c>
      <c r="AD25">
        <f>IF(P25=0,"",P25*VLOOKUP(AD$2,[1]Needs!$A$4:$I$43,9,FALSE))</f>
        <v>9900</v>
      </c>
      <c r="AE25" t="str">
        <f>IF(Q25=0,"",Q25*VLOOKUP(AE$2,[1]Needs!$A$4:$I$43,9,FALSE))</f>
        <v/>
      </c>
    </row>
    <row r="26" customHeight="1" spans="1:31">
      <c r="A26" s="56">
        <v>23</v>
      </c>
      <c r="B26" s="56">
        <v>33</v>
      </c>
      <c r="C26" s="56">
        <f t="shared" si="1"/>
        <v>43540</v>
      </c>
      <c r="D26" s="57"/>
      <c r="E26" s="57"/>
      <c r="F26" s="57">
        <v>182</v>
      </c>
      <c r="G26" s="57">
        <v>147</v>
      </c>
      <c r="H26" s="57">
        <v>136</v>
      </c>
      <c r="I26" s="57">
        <v>29</v>
      </c>
      <c r="J26" s="57">
        <v>113</v>
      </c>
      <c r="K26" s="57">
        <v>178</v>
      </c>
      <c r="L26" s="57">
        <v>124</v>
      </c>
      <c r="M26" s="57">
        <v>56</v>
      </c>
      <c r="N26" s="57">
        <v>23</v>
      </c>
      <c r="O26" s="57">
        <v>45</v>
      </c>
      <c r="P26" s="57">
        <v>203</v>
      </c>
      <c r="Q26" s="57"/>
      <c r="R26" t="str">
        <f>IF(D26=0,"",D26*VLOOKUP(R$2,[1]Needs!$A$4:$I$43,9,FALSE))</f>
        <v/>
      </c>
      <c r="S26" t="str">
        <f>IF(E26=0,"",E26*VLOOKUP(S$2,[1]Needs!$A$4:$I$43,9,FALSE))</f>
        <v/>
      </c>
      <c r="T26">
        <f>IF(F26=0,"",F26*VLOOKUP(T$2,[1]Needs!$A$4:$I$43,9,FALSE))</f>
        <v>3640</v>
      </c>
      <c r="U26">
        <f>IF(G26=0,"",G26*VLOOKUP(U$2,[1]Needs!$A$4:$I$43,9,FALSE))</f>
        <v>4410</v>
      </c>
      <c r="V26">
        <f>IF(H26=0,"",H26*VLOOKUP(V$2,[1]Needs!$A$4:$I$43,9,FALSE))</f>
        <v>4080</v>
      </c>
      <c r="W26">
        <f>IF(I26=0,"",I26*VLOOKUP(W$2,[1]Needs!$A$4:$I$43,9,FALSE))</f>
        <v>580</v>
      </c>
      <c r="X26">
        <f>IF(J26=0,"",J26*VLOOKUP(X$2,[1]Needs!$A$4:$I$43,9,FALSE))</f>
        <v>3390</v>
      </c>
      <c r="Y26">
        <f>IF(K26=0,"",K26*VLOOKUP(Y$2,[1]Needs!$A$4:$I$43,9,FALSE))</f>
        <v>5340</v>
      </c>
      <c r="Z26">
        <f>IF(L26=0,"",L26*VLOOKUP(Z$2,[1]Needs!$A$4:$I$43,9,FALSE))</f>
        <v>6200</v>
      </c>
      <c r="AA26">
        <f>IF(M26=0,"",M26*VLOOKUP(AA$2,[1]Needs!$A$4:$I$43,9,FALSE))</f>
        <v>1680</v>
      </c>
      <c r="AB26">
        <f>IF(N26=0,"",N26*VLOOKUP(AB$2,[1]Needs!$A$4:$I$43,9,FALSE))</f>
        <v>690</v>
      </c>
      <c r="AC26">
        <f>IF(O26=0,"",O26*VLOOKUP(AC$2,[1]Needs!$A$4:$I$43,9,FALSE))</f>
        <v>1350</v>
      </c>
      <c r="AD26">
        <f>IF(P26=0,"",P26*VLOOKUP(AD$2,[1]Needs!$A$4:$I$43,9,FALSE))</f>
        <v>12180</v>
      </c>
      <c r="AE26" t="str">
        <f>IF(Q26=0,"",Q26*VLOOKUP(AE$2,[1]Needs!$A$4:$I$43,9,FALSE))</f>
        <v/>
      </c>
    </row>
    <row r="27" customHeight="1" spans="1:31">
      <c r="A27" s="56">
        <v>24</v>
      </c>
      <c r="B27" s="56">
        <v>40</v>
      </c>
      <c r="C27" s="56">
        <f t="shared" si="1"/>
        <v>48690</v>
      </c>
      <c r="D27" s="57"/>
      <c r="E27" s="57"/>
      <c r="F27" s="57">
        <v>182</v>
      </c>
      <c r="G27" s="57">
        <v>146</v>
      </c>
      <c r="H27" s="57">
        <v>146</v>
      </c>
      <c r="I27" s="57">
        <v>29</v>
      </c>
      <c r="J27" s="57">
        <v>122</v>
      </c>
      <c r="K27" s="57">
        <v>199</v>
      </c>
      <c r="L27" s="57">
        <v>134</v>
      </c>
      <c r="M27" s="57">
        <v>73</v>
      </c>
      <c r="N27" s="57">
        <v>24</v>
      </c>
      <c r="O27" s="57">
        <v>61</v>
      </c>
      <c r="P27" s="57">
        <v>244</v>
      </c>
      <c r="Q27" s="57"/>
      <c r="R27" t="str">
        <f>IF(D27=0,"",D27*VLOOKUP(R$2,[1]Needs!$A$4:$I$43,9,FALSE))</f>
        <v/>
      </c>
      <c r="S27" t="str">
        <f>IF(E27=0,"",E27*VLOOKUP(S$2,[1]Needs!$A$4:$I$43,9,FALSE))</f>
        <v/>
      </c>
      <c r="T27">
        <f>IF(F27=0,"",F27*VLOOKUP(T$2,[1]Needs!$A$4:$I$43,9,FALSE))</f>
        <v>3640</v>
      </c>
      <c r="U27">
        <f>IF(G27=0,"",G27*VLOOKUP(U$2,[1]Needs!$A$4:$I$43,9,FALSE))</f>
        <v>4380</v>
      </c>
      <c r="V27">
        <f>IF(H27=0,"",H27*VLOOKUP(V$2,[1]Needs!$A$4:$I$43,9,FALSE))</f>
        <v>4380</v>
      </c>
      <c r="W27">
        <f>IF(I27=0,"",I27*VLOOKUP(W$2,[1]Needs!$A$4:$I$43,9,FALSE))</f>
        <v>580</v>
      </c>
      <c r="X27">
        <f>IF(J27=0,"",J27*VLOOKUP(X$2,[1]Needs!$A$4:$I$43,9,FALSE))</f>
        <v>3660</v>
      </c>
      <c r="Y27">
        <f>IF(K27=0,"",K27*VLOOKUP(Y$2,[1]Needs!$A$4:$I$43,9,FALSE))</f>
        <v>5970</v>
      </c>
      <c r="Z27">
        <f>IF(L27=0,"",L27*VLOOKUP(Z$2,[1]Needs!$A$4:$I$43,9,FALSE))</f>
        <v>6700</v>
      </c>
      <c r="AA27">
        <f>IF(M27=0,"",M27*VLOOKUP(AA$2,[1]Needs!$A$4:$I$43,9,FALSE))</f>
        <v>2190</v>
      </c>
      <c r="AB27">
        <f>IF(N27=0,"",N27*VLOOKUP(AB$2,[1]Needs!$A$4:$I$43,9,FALSE))</f>
        <v>720</v>
      </c>
      <c r="AC27">
        <f>IF(O27=0,"",O27*VLOOKUP(AC$2,[1]Needs!$A$4:$I$43,9,FALSE))</f>
        <v>1830</v>
      </c>
      <c r="AD27">
        <f>IF(P27=0,"",P27*VLOOKUP(AD$2,[1]Needs!$A$4:$I$43,9,FALSE))</f>
        <v>14640</v>
      </c>
      <c r="AE27" t="str">
        <f>IF(Q27=0,"",Q27*VLOOKUP(AE$2,[1]Needs!$A$4:$I$43,9,FALSE))</f>
        <v/>
      </c>
    </row>
    <row r="28" customHeight="1" spans="1:31">
      <c r="A28" s="56">
        <v>25</v>
      </c>
      <c r="B28" s="56">
        <v>47</v>
      </c>
      <c r="C28" s="56">
        <f t="shared" si="1"/>
        <v>54580</v>
      </c>
      <c r="D28" s="57"/>
      <c r="E28" s="57"/>
      <c r="F28" s="57">
        <v>181</v>
      </c>
      <c r="G28" s="57">
        <v>161</v>
      </c>
      <c r="H28" s="57">
        <v>155</v>
      </c>
      <c r="I28" s="57">
        <v>29</v>
      </c>
      <c r="J28" s="57">
        <v>129</v>
      </c>
      <c r="K28" s="57">
        <v>215</v>
      </c>
      <c r="L28" s="57">
        <v>155</v>
      </c>
      <c r="M28" s="57">
        <v>90</v>
      </c>
      <c r="N28" s="57">
        <v>26</v>
      </c>
      <c r="O28" s="57">
        <v>77</v>
      </c>
      <c r="P28" s="57">
        <v>284</v>
      </c>
      <c r="Q28" s="57"/>
      <c r="R28" t="str">
        <f>IF(D28=0,"",D28*VLOOKUP(R$2,[1]Needs!$A$4:$I$43,9,FALSE))</f>
        <v/>
      </c>
      <c r="S28" t="str">
        <f>IF(E28=0,"",E28*VLOOKUP(S$2,[1]Needs!$A$4:$I$43,9,FALSE))</f>
        <v/>
      </c>
      <c r="T28">
        <f>IF(F28=0,"",F28*VLOOKUP(T$2,[1]Needs!$A$4:$I$43,9,FALSE))</f>
        <v>3620</v>
      </c>
      <c r="U28">
        <f>IF(G28=0,"",G28*VLOOKUP(U$2,[1]Needs!$A$4:$I$43,9,FALSE))</f>
        <v>4830</v>
      </c>
      <c r="V28">
        <f>IF(H28=0,"",H28*VLOOKUP(V$2,[1]Needs!$A$4:$I$43,9,FALSE))</f>
        <v>4650</v>
      </c>
      <c r="W28">
        <f>IF(I28=0,"",I28*VLOOKUP(W$2,[1]Needs!$A$4:$I$43,9,FALSE))</f>
        <v>580</v>
      </c>
      <c r="X28">
        <f>IF(J28=0,"",J28*VLOOKUP(X$2,[1]Needs!$A$4:$I$43,9,FALSE))</f>
        <v>3870</v>
      </c>
      <c r="Y28">
        <f>IF(K28=0,"",K28*VLOOKUP(Y$2,[1]Needs!$A$4:$I$43,9,FALSE))</f>
        <v>6450</v>
      </c>
      <c r="Z28">
        <f>IF(L28=0,"",L28*VLOOKUP(Z$2,[1]Needs!$A$4:$I$43,9,FALSE))</f>
        <v>7750</v>
      </c>
      <c r="AA28">
        <f>IF(M28=0,"",M28*VLOOKUP(AA$2,[1]Needs!$A$4:$I$43,9,FALSE))</f>
        <v>2700</v>
      </c>
      <c r="AB28">
        <f>IF(N28=0,"",N28*VLOOKUP(AB$2,[1]Needs!$A$4:$I$43,9,FALSE))</f>
        <v>780</v>
      </c>
      <c r="AC28">
        <f>IF(O28=0,"",O28*VLOOKUP(AC$2,[1]Needs!$A$4:$I$43,9,FALSE))</f>
        <v>2310</v>
      </c>
      <c r="AD28">
        <f>IF(P28=0,"",P28*VLOOKUP(AD$2,[1]Needs!$A$4:$I$43,9,FALSE))</f>
        <v>17040</v>
      </c>
      <c r="AE28" t="str">
        <f>IF(Q28=0,"",Q28*VLOOKUP(AE$2,[1]Needs!$A$4:$I$43,9,FALSE))</f>
        <v/>
      </c>
    </row>
    <row r="29" customHeight="1" spans="1:31">
      <c r="A29" s="56">
        <v>26</v>
      </c>
      <c r="B29" s="56">
        <v>52</v>
      </c>
      <c r="C29" s="56">
        <f t="shared" si="1"/>
        <v>61050</v>
      </c>
      <c r="D29" s="57"/>
      <c r="E29" s="57"/>
      <c r="F29" s="57">
        <v>170</v>
      </c>
      <c r="G29" s="57">
        <v>161</v>
      </c>
      <c r="H29" s="57">
        <v>170</v>
      </c>
      <c r="I29" s="57">
        <v>29</v>
      </c>
      <c r="J29" s="57">
        <v>141</v>
      </c>
      <c r="K29" s="57">
        <v>243</v>
      </c>
      <c r="L29" s="57">
        <v>170</v>
      </c>
      <c r="M29" s="57">
        <v>113</v>
      </c>
      <c r="N29" s="57">
        <v>28</v>
      </c>
      <c r="O29" s="57">
        <v>85</v>
      </c>
      <c r="P29" s="57">
        <v>339</v>
      </c>
      <c r="Q29" s="57"/>
      <c r="R29" t="str">
        <f>IF(D29=0,"",D29*VLOOKUP(R$2,[1]Needs!$A$4:$I$43,9,FALSE))</f>
        <v/>
      </c>
      <c r="S29" t="str">
        <f>IF(E29=0,"",E29*VLOOKUP(S$2,[1]Needs!$A$4:$I$43,9,FALSE))</f>
        <v/>
      </c>
      <c r="T29">
        <f>IF(F29=0,"",F29*VLOOKUP(T$2,[1]Needs!$A$4:$I$43,9,FALSE))</f>
        <v>3400</v>
      </c>
      <c r="U29">
        <f>IF(G29=0,"",G29*VLOOKUP(U$2,[1]Needs!$A$4:$I$43,9,FALSE))</f>
        <v>4830</v>
      </c>
      <c r="V29">
        <f>IF(H29=0,"",H29*VLOOKUP(V$2,[1]Needs!$A$4:$I$43,9,FALSE))</f>
        <v>5100</v>
      </c>
      <c r="W29">
        <f>IF(I29=0,"",I29*VLOOKUP(W$2,[1]Needs!$A$4:$I$43,9,FALSE))</f>
        <v>580</v>
      </c>
      <c r="X29">
        <f>IF(J29=0,"",J29*VLOOKUP(X$2,[1]Needs!$A$4:$I$43,9,FALSE))</f>
        <v>4230</v>
      </c>
      <c r="Y29">
        <f>IF(K29=0,"",K29*VLOOKUP(Y$2,[1]Needs!$A$4:$I$43,9,FALSE))</f>
        <v>7290</v>
      </c>
      <c r="Z29">
        <f>IF(L29=0,"",L29*VLOOKUP(Z$2,[1]Needs!$A$4:$I$43,9,FALSE))</f>
        <v>8500</v>
      </c>
      <c r="AA29">
        <f>IF(M29=0,"",M29*VLOOKUP(AA$2,[1]Needs!$A$4:$I$43,9,FALSE))</f>
        <v>3390</v>
      </c>
      <c r="AB29">
        <f>IF(N29=0,"",N29*VLOOKUP(AB$2,[1]Needs!$A$4:$I$43,9,FALSE))</f>
        <v>840</v>
      </c>
      <c r="AC29">
        <f>IF(O29=0,"",O29*VLOOKUP(AC$2,[1]Needs!$A$4:$I$43,9,FALSE))</f>
        <v>2550</v>
      </c>
      <c r="AD29">
        <f>IF(P29=0,"",P29*VLOOKUP(AD$2,[1]Needs!$A$4:$I$43,9,FALSE))</f>
        <v>20340</v>
      </c>
      <c r="AE29" t="str">
        <f>IF(Q29=0,"",Q29*VLOOKUP(AE$2,[1]Needs!$A$4:$I$43,9,FALSE))</f>
        <v/>
      </c>
    </row>
    <row r="30" customHeight="1" spans="1:31">
      <c r="A30" s="56">
        <v>27</v>
      </c>
      <c r="B30" s="56">
        <v>60</v>
      </c>
      <c r="C30" s="56">
        <f t="shared" si="1"/>
        <v>68350</v>
      </c>
      <c r="D30" s="57"/>
      <c r="E30" s="57"/>
      <c r="F30" s="57">
        <v>154</v>
      </c>
      <c r="G30" s="57">
        <v>161</v>
      </c>
      <c r="H30" s="57">
        <v>185</v>
      </c>
      <c r="I30" s="57">
        <v>29</v>
      </c>
      <c r="J30" s="57">
        <v>154</v>
      </c>
      <c r="K30" s="57">
        <v>271</v>
      </c>
      <c r="L30" s="57">
        <v>185</v>
      </c>
      <c r="M30" s="57">
        <v>138</v>
      </c>
      <c r="N30" s="57">
        <v>31</v>
      </c>
      <c r="O30" s="57">
        <v>108</v>
      </c>
      <c r="P30" s="57">
        <v>400</v>
      </c>
      <c r="Q30" s="57"/>
      <c r="R30" t="str">
        <f>IF(D30=0,"",D30*VLOOKUP(R$2,[1]Needs!$A$4:$I$43,9,FALSE))</f>
        <v/>
      </c>
      <c r="S30" t="str">
        <f>IF(E30=0,"",E30*VLOOKUP(S$2,[1]Needs!$A$4:$I$43,9,FALSE))</f>
        <v/>
      </c>
      <c r="T30">
        <f>IF(F30=0,"",F30*VLOOKUP(T$2,[1]Needs!$A$4:$I$43,9,FALSE))</f>
        <v>3080</v>
      </c>
      <c r="U30">
        <f>IF(G30=0,"",G30*VLOOKUP(U$2,[1]Needs!$A$4:$I$43,9,FALSE))</f>
        <v>4830</v>
      </c>
      <c r="V30">
        <f>IF(H30=0,"",H30*VLOOKUP(V$2,[1]Needs!$A$4:$I$43,9,FALSE))</f>
        <v>5550</v>
      </c>
      <c r="W30">
        <f>IF(I30=0,"",I30*VLOOKUP(W$2,[1]Needs!$A$4:$I$43,9,FALSE))</f>
        <v>580</v>
      </c>
      <c r="X30">
        <f>IF(J30=0,"",J30*VLOOKUP(X$2,[1]Needs!$A$4:$I$43,9,FALSE))</f>
        <v>4620</v>
      </c>
      <c r="Y30">
        <f>IF(K30=0,"",K30*VLOOKUP(Y$2,[1]Needs!$A$4:$I$43,9,FALSE))</f>
        <v>8130</v>
      </c>
      <c r="Z30">
        <f>IF(L30=0,"",L30*VLOOKUP(Z$2,[1]Needs!$A$4:$I$43,9,FALSE))</f>
        <v>9250</v>
      </c>
      <c r="AA30">
        <f>IF(M30=0,"",M30*VLOOKUP(AA$2,[1]Needs!$A$4:$I$43,9,FALSE))</f>
        <v>4140</v>
      </c>
      <c r="AB30">
        <f>IF(N30=0,"",N30*VLOOKUP(AB$2,[1]Needs!$A$4:$I$43,9,FALSE))</f>
        <v>930</v>
      </c>
      <c r="AC30">
        <f>IF(O30=0,"",O30*VLOOKUP(AC$2,[1]Needs!$A$4:$I$43,9,FALSE))</f>
        <v>3240</v>
      </c>
      <c r="AD30">
        <f>IF(P30=0,"",P30*VLOOKUP(AD$2,[1]Needs!$A$4:$I$43,9,FALSE))</f>
        <v>24000</v>
      </c>
      <c r="AE30" t="str">
        <f>IF(Q30=0,"",Q30*VLOOKUP(AE$2,[1]Needs!$A$4:$I$43,9,FALSE))</f>
        <v/>
      </c>
    </row>
    <row r="31" customHeight="1" spans="1:31">
      <c r="A31" s="56">
        <v>28</v>
      </c>
      <c r="B31" s="56">
        <v>68</v>
      </c>
      <c r="C31" s="56">
        <f t="shared" si="1"/>
        <v>76230</v>
      </c>
      <c r="D31" s="57"/>
      <c r="E31" s="57"/>
      <c r="F31" s="57">
        <v>132</v>
      </c>
      <c r="G31" s="57">
        <v>161</v>
      </c>
      <c r="H31" s="57">
        <v>199</v>
      </c>
      <c r="I31" s="57">
        <v>29</v>
      </c>
      <c r="J31" s="57">
        <v>166</v>
      </c>
      <c r="K31" s="57">
        <v>300</v>
      </c>
      <c r="L31" s="57">
        <v>199</v>
      </c>
      <c r="M31" s="57">
        <v>166</v>
      </c>
      <c r="N31" s="57">
        <v>33</v>
      </c>
      <c r="O31" s="57">
        <v>149</v>
      </c>
      <c r="P31" s="57">
        <v>464</v>
      </c>
      <c r="Q31" s="57"/>
      <c r="R31" t="str">
        <f>IF(D31=0,"",D31*VLOOKUP(R$2,[1]Needs!$A$4:$I$43,9,FALSE))</f>
        <v/>
      </c>
      <c r="S31" t="str">
        <f>IF(E31=0,"",E31*VLOOKUP(S$2,[1]Needs!$A$4:$I$43,9,FALSE))</f>
        <v/>
      </c>
      <c r="T31">
        <f>IF(F31=0,"",F31*VLOOKUP(T$2,[1]Needs!$A$4:$I$43,9,FALSE))</f>
        <v>2640</v>
      </c>
      <c r="U31">
        <f>IF(G31=0,"",G31*VLOOKUP(U$2,[1]Needs!$A$4:$I$43,9,FALSE))</f>
        <v>4830</v>
      </c>
      <c r="V31">
        <f>IF(H31=0,"",H31*VLOOKUP(V$2,[1]Needs!$A$4:$I$43,9,FALSE))</f>
        <v>5970</v>
      </c>
      <c r="W31">
        <f>IF(I31=0,"",I31*VLOOKUP(W$2,[1]Needs!$A$4:$I$43,9,FALSE))</f>
        <v>580</v>
      </c>
      <c r="X31">
        <f>IF(J31=0,"",J31*VLOOKUP(X$2,[1]Needs!$A$4:$I$43,9,FALSE))</f>
        <v>4980</v>
      </c>
      <c r="Y31">
        <f>IF(K31=0,"",K31*VLOOKUP(Y$2,[1]Needs!$A$4:$I$43,9,FALSE))</f>
        <v>9000</v>
      </c>
      <c r="Z31">
        <f>IF(L31=0,"",L31*VLOOKUP(Z$2,[1]Needs!$A$4:$I$43,9,FALSE))</f>
        <v>9950</v>
      </c>
      <c r="AA31">
        <f>IF(M31=0,"",M31*VLOOKUP(AA$2,[1]Needs!$A$4:$I$43,9,FALSE))</f>
        <v>4980</v>
      </c>
      <c r="AB31">
        <f>IF(N31=0,"",N31*VLOOKUP(AB$2,[1]Needs!$A$4:$I$43,9,FALSE))</f>
        <v>990</v>
      </c>
      <c r="AC31">
        <f>IF(O31=0,"",O31*VLOOKUP(AC$2,[1]Needs!$A$4:$I$43,9,FALSE))</f>
        <v>4470</v>
      </c>
      <c r="AD31">
        <f>IF(P31=0,"",P31*VLOOKUP(AD$2,[1]Needs!$A$4:$I$43,9,FALSE))</f>
        <v>27840</v>
      </c>
      <c r="AE31" t="str">
        <f>IF(Q31=0,"",Q31*VLOOKUP(AE$2,[1]Needs!$A$4:$I$43,9,FALSE))</f>
        <v/>
      </c>
    </row>
    <row r="32" customHeight="1" spans="1:31">
      <c r="A32" s="56">
        <v>29</v>
      </c>
      <c r="B32" s="56">
        <v>76</v>
      </c>
      <c r="C32" s="56">
        <f t="shared" si="1"/>
        <v>85320</v>
      </c>
      <c r="D32" s="57"/>
      <c r="E32" s="57"/>
      <c r="F32" s="57">
        <v>107</v>
      </c>
      <c r="G32" s="57">
        <v>161</v>
      </c>
      <c r="H32" s="57">
        <v>215</v>
      </c>
      <c r="I32" s="57">
        <v>29</v>
      </c>
      <c r="J32" s="57">
        <v>179</v>
      </c>
      <c r="K32" s="57">
        <v>324</v>
      </c>
      <c r="L32" s="57">
        <v>233</v>
      </c>
      <c r="M32" s="57">
        <v>179</v>
      </c>
      <c r="N32" s="57">
        <v>36</v>
      </c>
      <c r="O32" s="57">
        <v>197</v>
      </c>
      <c r="P32" s="57">
        <v>537</v>
      </c>
      <c r="Q32" s="57"/>
      <c r="R32" t="str">
        <f>IF(D32=0,"",D32*VLOOKUP(R$2,[1]Needs!$A$4:$I$43,9,FALSE))</f>
        <v/>
      </c>
      <c r="S32" t="str">
        <f>IF(E32=0,"",E32*VLOOKUP(S$2,[1]Needs!$A$4:$I$43,9,FALSE))</f>
        <v/>
      </c>
      <c r="T32">
        <f>IF(F32=0,"",F32*VLOOKUP(T$2,[1]Needs!$A$4:$I$43,9,FALSE))</f>
        <v>2140</v>
      </c>
      <c r="U32">
        <f>IF(G32=0,"",G32*VLOOKUP(U$2,[1]Needs!$A$4:$I$43,9,FALSE))</f>
        <v>4830</v>
      </c>
      <c r="V32">
        <f>IF(H32=0,"",H32*VLOOKUP(V$2,[1]Needs!$A$4:$I$43,9,FALSE))</f>
        <v>6450</v>
      </c>
      <c r="W32">
        <f>IF(I32=0,"",I32*VLOOKUP(W$2,[1]Needs!$A$4:$I$43,9,FALSE))</f>
        <v>580</v>
      </c>
      <c r="X32">
        <f>IF(J32=0,"",J32*VLOOKUP(X$2,[1]Needs!$A$4:$I$43,9,FALSE))</f>
        <v>5370</v>
      </c>
      <c r="Y32">
        <f>IF(K32=0,"",K32*VLOOKUP(Y$2,[1]Needs!$A$4:$I$43,9,FALSE))</f>
        <v>9720</v>
      </c>
      <c r="Z32">
        <f>IF(L32=0,"",L32*VLOOKUP(Z$2,[1]Needs!$A$4:$I$43,9,FALSE))</f>
        <v>11650</v>
      </c>
      <c r="AA32">
        <f>IF(M32=0,"",M32*VLOOKUP(AA$2,[1]Needs!$A$4:$I$43,9,FALSE))</f>
        <v>5370</v>
      </c>
      <c r="AB32">
        <f>IF(N32=0,"",N32*VLOOKUP(AB$2,[1]Needs!$A$4:$I$43,9,FALSE))</f>
        <v>1080</v>
      </c>
      <c r="AC32">
        <f>IF(O32=0,"",O32*VLOOKUP(AC$2,[1]Needs!$A$4:$I$43,9,FALSE))</f>
        <v>5910</v>
      </c>
      <c r="AD32">
        <f>IF(P32=0,"",P32*VLOOKUP(AD$2,[1]Needs!$A$4:$I$43,9,FALSE))</f>
        <v>32220</v>
      </c>
      <c r="AE32" t="str">
        <f>IF(Q32=0,"",Q32*VLOOKUP(AE$2,[1]Needs!$A$4:$I$43,9,FALSE))</f>
        <v/>
      </c>
    </row>
    <row r="33" customHeight="1" spans="1:31">
      <c r="A33" s="58">
        <v>30</v>
      </c>
      <c r="B33" s="58">
        <v>88</v>
      </c>
      <c r="C33" s="58">
        <f t="shared" si="1"/>
        <v>97310</v>
      </c>
      <c r="D33" s="59"/>
      <c r="E33" s="59"/>
      <c r="F33" s="59"/>
      <c r="G33" s="59">
        <v>161</v>
      </c>
      <c r="H33" s="59">
        <v>207</v>
      </c>
      <c r="I33" s="59">
        <v>29</v>
      </c>
      <c r="J33" s="59">
        <v>216</v>
      </c>
      <c r="K33" s="59">
        <v>374</v>
      </c>
      <c r="L33" s="59">
        <v>269</v>
      </c>
      <c r="M33" s="59">
        <v>207</v>
      </c>
      <c r="N33" s="59">
        <v>62</v>
      </c>
      <c r="O33" s="59">
        <v>269</v>
      </c>
      <c r="P33" s="59">
        <v>640</v>
      </c>
      <c r="Q33" s="59"/>
      <c r="R33" t="str">
        <f>IF(D33=0,"",D33*VLOOKUP(R$2,[1]Needs!$A$4:$I$43,9,FALSE))</f>
        <v/>
      </c>
      <c r="S33" t="str">
        <f>IF(E33=0,"",E33*VLOOKUP(S$2,[1]Needs!$A$4:$I$43,9,FALSE))</f>
        <v/>
      </c>
      <c r="T33" t="str">
        <f>IF(F33=0,"",F33*VLOOKUP(T$2,[1]Needs!$A$4:$I$43,9,FALSE))</f>
        <v/>
      </c>
      <c r="U33">
        <f>IF(G33=0,"",G33*VLOOKUP(U$2,[1]Needs!$A$4:$I$43,9,FALSE))</f>
        <v>4830</v>
      </c>
      <c r="V33">
        <f>IF(H33=0,"",H33*VLOOKUP(V$2,[1]Needs!$A$4:$I$43,9,FALSE))</f>
        <v>6210</v>
      </c>
      <c r="W33">
        <f>IF(I33=0,"",I33*VLOOKUP(W$2,[1]Needs!$A$4:$I$43,9,FALSE))</f>
        <v>580</v>
      </c>
      <c r="X33">
        <f>IF(J33=0,"",J33*VLOOKUP(X$2,[1]Needs!$A$4:$I$43,9,FALSE))</f>
        <v>6480</v>
      </c>
      <c r="Y33">
        <f>IF(K33=0,"",K33*VLOOKUP(Y$2,[1]Needs!$A$4:$I$43,9,FALSE))</f>
        <v>11220</v>
      </c>
      <c r="Z33">
        <f>IF(L33=0,"",L33*VLOOKUP(Z$2,[1]Needs!$A$4:$I$43,9,FALSE))</f>
        <v>13450</v>
      </c>
      <c r="AA33">
        <f>IF(M33=0,"",M33*VLOOKUP(AA$2,[1]Needs!$A$4:$I$43,9,FALSE))</f>
        <v>6210</v>
      </c>
      <c r="AB33">
        <f>IF(N33=0,"",N33*VLOOKUP(AB$2,[1]Needs!$A$4:$I$43,9,FALSE))</f>
        <v>1860</v>
      </c>
      <c r="AC33">
        <f>IF(O33=0,"",O33*VLOOKUP(AC$2,[1]Needs!$A$4:$I$43,9,FALSE))</f>
        <v>8070</v>
      </c>
      <c r="AD33">
        <f>IF(P33=0,"",P33*VLOOKUP(AD$2,[1]Needs!$A$4:$I$43,9,FALSE))</f>
        <v>38400</v>
      </c>
      <c r="AE33" t="str">
        <f>IF(Q33=0,"",Q33*VLOOKUP(AE$2,[1]Needs!$A$4:$I$43,9,FALSE))</f>
        <v/>
      </c>
    </row>
    <row r="34" customHeight="1" spans="1:31">
      <c r="A34" s="58">
        <v>31</v>
      </c>
      <c r="B34" s="58">
        <v>110</v>
      </c>
      <c r="C34" s="58">
        <f t="shared" si="1"/>
        <v>108830</v>
      </c>
      <c r="D34" s="59"/>
      <c r="E34" s="59"/>
      <c r="F34" s="59"/>
      <c r="G34" s="59">
        <v>161</v>
      </c>
      <c r="H34" s="59">
        <v>238</v>
      </c>
      <c r="I34" s="59">
        <v>29</v>
      </c>
      <c r="J34" s="59">
        <v>216</v>
      </c>
      <c r="K34" s="59">
        <v>406</v>
      </c>
      <c r="L34" s="59">
        <v>314</v>
      </c>
      <c r="M34" s="59">
        <v>224</v>
      </c>
      <c r="N34" s="59">
        <v>90</v>
      </c>
      <c r="O34" s="59">
        <v>314</v>
      </c>
      <c r="P34" s="59">
        <v>718</v>
      </c>
      <c r="Q34" s="59"/>
      <c r="R34" t="str">
        <f>IF(D34=0,"",D34*VLOOKUP(R$2,[1]Needs!$A$4:$I$43,9,FALSE))</f>
        <v/>
      </c>
      <c r="S34" t="str">
        <f>IF(E34=0,"",E34*VLOOKUP(S$2,[1]Needs!$A$4:$I$43,9,FALSE))</f>
        <v/>
      </c>
      <c r="T34" t="str">
        <f>IF(F34=0,"",F34*VLOOKUP(T$2,[1]Needs!$A$4:$I$43,9,FALSE))</f>
        <v/>
      </c>
      <c r="U34">
        <f>IF(G34=0,"",G34*VLOOKUP(U$2,[1]Needs!$A$4:$I$43,9,FALSE))</f>
        <v>4830</v>
      </c>
      <c r="V34">
        <f>IF(H34=0,"",H34*VLOOKUP(V$2,[1]Needs!$A$4:$I$43,9,FALSE))</f>
        <v>7140</v>
      </c>
      <c r="W34">
        <f>IF(I34=0,"",I34*VLOOKUP(W$2,[1]Needs!$A$4:$I$43,9,FALSE))</f>
        <v>580</v>
      </c>
      <c r="X34">
        <f>IF(J34=0,"",J34*VLOOKUP(X$2,[1]Needs!$A$4:$I$43,9,FALSE))</f>
        <v>6480</v>
      </c>
      <c r="Y34">
        <f>IF(K34=0,"",K34*VLOOKUP(Y$2,[1]Needs!$A$4:$I$43,9,FALSE))</f>
        <v>12180</v>
      </c>
      <c r="Z34">
        <f>IF(L34=0,"",L34*VLOOKUP(Z$2,[1]Needs!$A$4:$I$43,9,FALSE))</f>
        <v>15700</v>
      </c>
      <c r="AA34">
        <f>IF(M34=0,"",M34*VLOOKUP(AA$2,[1]Needs!$A$4:$I$43,9,FALSE))</f>
        <v>6720</v>
      </c>
      <c r="AB34">
        <f>IF(N34=0,"",N34*VLOOKUP(AB$2,[1]Needs!$A$4:$I$43,9,FALSE))</f>
        <v>2700</v>
      </c>
      <c r="AC34">
        <f>IF(O34=0,"",O34*VLOOKUP(AC$2,[1]Needs!$A$4:$I$43,9,FALSE))</f>
        <v>9420</v>
      </c>
      <c r="AD34">
        <f>IF(P34=0,"",P34*VLOOKUP(AD$2,[1]Needs!$A$4:$I$43,9,FALSE))</f>
        <v>43080</v>
      </c>
      <c r="AE34" t="str">
        <f>IF(Q34=0,"",Q34*VLOOKUP(AE$2,[1]Needs!$A$4:$I$43,9,FALSE))</f>
        <v/>
      </c>
    </row>
    <row r="35" customHeight="1" spans="1:31">
      <c r="A35" s="58">
        <v>32</v>
      </c>
      <c r="B35" s="58">
        <v>120</v>
      </c>
      <c r="C35" s="58">
        <f t="shared" si="1"/>
        <v>120210</v>
      </c>
      <c r="D35" s="59"/>
      <c r="E35" s="59"/>
      <c r="F35" s="59"/>
      <c r="G35" s="59">
        <v>161</v>
      </c>
      <c r="H35" s="59">
        <v>238</v>
      </c>
      <c r="I35" s="59">
        <v>29</v>
      </c>
      <c r="J35" s="59">
        <v>216</v>
      </c>
      <c r="K35" s="59">
        <v>447</v>
      </c>
      <c r="L35" s="59">
        <v>346</v>
      </c>
      <c r="M35" s="59">
        <v>247</v>
      </c>
      <c r="N35" s="59">
        <v>124</v>
      </c>
      <c r="O35" s="59">
        <v>346</v>
      </c>
      <c r="P35" s="59">
        <v>816</v>
      </c>
      <c r="Q35" s="59"/>
      <c r="R35" t="str">
        <f>IF(D35=0,"",D35*VLOOKUP(R$2,[1]Needs!$A$4:$I$43,9,FALSE))</f>
        <v/>
      </c>
      <c r="S35" t="str">
        <f>IF(E35=0,"",E35*VLOOKUP(S$2,[1]Needs!$A$4:$I$43,9,FALSE))</f>
        <v/>
      </c>
      <c r="T35" t="str">
        <f>IF(F35=0,"",F35*VLOOKUP(T$2,[1]Needs!$A$4:$I$43,9,FALSE))</f>
        <v/>
      </c>
      <c r="U35">
        <f>IF(G35=0,"",G35*VLOOKUP(U$2,[1]Needs!$A$4:$I$43,9,FALSE))</f>
        <v>4830</v>
      </c>
      <c r="V35">
        <f>IF(H35=0,"",H35*VLOOKUP(V$2,[1]Needs!$A$4:$I$43,9,FALSE))</f>
        <v>7140</v>
      </c>
      <c r="W35">
        <f>IF(I35=0,"",I35*VLOOKUP(W$2,[1]Needs!$A$4:$I$43,9,FALSE))</f>
        <v>580</v>
      </c>
      <c r="X35">
        <f>IF(J35=0,"",J35*VLOOKUP(X$2,[1]Needs!$A$4:$I$43,9,FALSE))</f>
        <v>6480</v>
      </c>
      <c r="Y35">
        <f>IF(K35=0,"",K35*VLOOKUP(Y$2,[1]Needs!$A$4:$I$43,9,FALSE))</f>
        <v>13410</v>
      </c>
      <c r="Z35">
        <f>IF(L35=0,"",L35*VLOOKUP(Z$2,[1]Needs!$A$4:$I$43,9,FALSE))</f>
        <v>17300</v>
      </c>
      <c r="AA35">
        <f>IF(M35=0,"",M35*VLOOKUP(AA$2,[1]Needs!$A$4:$I$43,9,FALSE))</f>
        <v>7410</v>
      </c>
      <c r="AB35">
        <f>IF(N35=0,"",N35*VLOOKUP(AB$2,[1]Needs!$A$4:$I$43,9,FALSE))</f>
        <v>3720</v>
      </c>
      <c r="AC35">
        <f>IF(O35=0,"",O35*VLOOKUP(AC$2,[1]Needs!$A$4:$I$43,9,FALSE))</f>
        <v>10380</v>
      </c>
      <c r="AD35">
        <f>IF(P35=0,"",P35*VLOOKUP(AD$2,[1]Needs!$A$4:$I$43,9,FALSE))</f>
        <v>48960</v>
      </c>
      <c r="AE35" t="str">
        <f>IF(Q35=0,"",Q35*VLOOKUP(AE$2,[1]Needs!$A$4:$I$43,9,FALSE))</f>
        <v/>
      </c>
    </row>
    <row r="36" customHeight="1" spans="1:31">
      <c r="A36" s="58">
        <v>33</v>
      </c>
      <c r="B36" s="58">
        <v>130</v>
      </c>
      <c r="C36" s="58">
        <f t="shared" si="1"/>
        <v>132970</v>
      </c>
      <c r="D36" s="59"/>
      <c r="E36" s="59"/>
      <c r="F36" s="59"/>
      <c r="G36" s="59">
        <v>161</v>
      </c>
      <c r="H36" s="59">
        <v>238</v>
      </c>
      <c r="I36" s="59">
        <v>29</v>
      </c>
      <c r="J36" s="59">
        <v>216</v>
      </c>
      <c r="K36" s="59">
        <v>497</v>
      </c>
      <c r="L36" s="59">
        <v>384</v>
      </c>
      <c r="M36" s="59">
        <v>274</v>
      </c>
      <c r="N36" s="59">
        <v>137</v>
      </c>
      <c r="O36" s="59">
        <v>384</v>
      </c>
      <c r="P36" s="59">
        <v>933</v>
      </c>
      <c r="Q36" s="59"/>
      <c r="R36" t="str">
        <f>IF(D36=0,"",D36*VLOOKUP(R$2,[1]Needs!$A$4:$I$43,9,FALSE))</f>
        <v/>
      </c>
      <c r="S36" t="str">
        <f>IF(E36=0,"",E36*VLOOKUP(S$2,[1]Needs!$A$4:$I$43,9,FALSE))</f>
        <v/>
      </c>
      <c r="T36" t="str">
        <f>IF(F36=0,"",F36*VLOOKUP(T$2,[1]Needs!$A$4:$I$43,9,FALSE))</f>
        <v/>
      </c>
      <c r="U36">
        <f>IF(G36=0,"",G36*VLOOKUP(U$2,[1]Needs!$A$4:$I$43,9,FALSE))</f>
        <v>4830</v>
      </c>
      <c r="V36">
        <f>IF(H36=0,"",H36*VLOOKUP(V$2,[1]Needs!$A$4:$I$43,9,FALSE))</f>
        <v>7140</v>
      </c>
      <c r="W36">
        <f>IF(I36=0,"",I36*VLOOKUP(W$2,[1]Needs!$A$4:$I$43,9,FALSE))</f>
        <v>580</v>
      </c>
      <c r="X36">
        <f>IF(J36=0,"",J36*VLOOKUP(X$2,[1]Needs!$A$4:$I$43,9,FALSE))</f>
        <v>6480</v>
      </c>
      <c r="Y36">
        <f>IF(K36=0,"",K36*VLOOKUP(Y$2,[1]Needs!$A$4:$I$43,9,FALSE))</f>
        <v>14910</v>
      </c>
      <c r="Z36">
        <f>IF(L36=0,"",L36*VLOOKUP(Z$2,[1]Needs!$A$4:$I$43,9,FALSE))</f>
        <v>19200</v>
      </c>
      <c r="AA36">
        <f>IF(M36=0,"",M36*VLOOKUP(AA$2,[1]Needs!$A$4:$I$43,9,FALSE))</f>
        <v>8220</v>
      </c>
      <c r="AB36">
        <f>IF(N36=0,"",N36*VLOOKUP(AB$2,[1]Needs!$A$4:$I$43,9,FALSE))</f>
        <v>4110</v>
      </c>
      <c r="AC36">
        <f>IF(O36=0,"",O36*VLOOKUP(AC$2,[1]Needs!$A$4:$I$43,9,FALSE))</f>
        <v>11520</v>
      </c>
      <c r="AD36">
        <f>IF(P36=0,"",P36*VLOOKUP(AD$2,[1]Needs!$A$4:$I$43,9,FALSE))</f>
        <v>55980</v>
      </c>
      <c r="AE36" t="str">
        <f>IF(Q36=0,"",Q36*VLOOKUP(AE$2,[1]Needs!$A$4:$I$43,9,FALSE))</f>
        <v/>
      </c>
    </row>
    <row r="37" customHeight="1" spans="1:31">
      <c r="A37" s="58">
        <v>34</v>
      </c>
      <c r="B37" s="58">
        <v>145</v>
      </c>
      <c r="C37" s="58">
        <f t="shared" si="1"/>
        <v>147130</v>
      </c>
      <c r="D37" s="59"/>
      <c r="E37" s="59"/>
      <c r="F37" s="59"/>
      <c r="G37" s="59">
        <v>161</v>
      </c>
      <c r="H37" s="59">
        <v>238</v>
      </c>
      <c r="I37" s="59">
        <v>29</v>
      </c>
      <c r="J37" s="59">
        <v>216</v>
      </c>
      <c r="K37" s="59">
        <v>550</v>
      </c>
      <c r="L37" s="59">
        <v>426</v>
      </c>
      <c r="M37" s="59">
        <v>304</v>
      </c>
      <c r="N37" s="59">
        <v>152</v>
      </c>
      <c r="O37" s="59">
        <v>426</v>
      </c>
      <c r="P37" s="59">
        <v>1064</v>
      </c>
      <c r="Q37" s="59"/>
      <c r="R37" t="str">
        <f>IF(D37=0,"",D37*VLOOKUP(R$2,[1]Needs!$A$4:$I$43,9,FALSE))</f>
        <v/>
      </c>
      <c r="S37" t="str">
        <f>IF(E37=0,"",E37*VLOOKUP(S$2,[1]Needs!$A$4:$I$43,9,FALSE))</f>
        <v/>
      </c>
      <c r="T37" t="str">
        <f>IF(F37=0,"",F37*VLOOKUP(T$2,[1]Needs!$A$4:$I$43,9,FALSE))</f>
        <v/>
      </c>
      <c r="U37">
        <f>IF(G37=0,"",G37*VLOOKUP(U$2,[1]Needs!$A$4:$I$43,9,FALSE))</f>
        <v>4830</v>
      </c>
      <c r="V37">
        <f>IF(H37=0,"",H37*VLOOKUP(V$2,[1]Needs!$A$4:$I$43,9,FALSE))</f>
        <v>7140</v>
      </c>
      <c r="W37">
        <f>IF(I37=0,"",I37*VLOOKUP(W$2,[1]Needs!$A$4:$I$43,9,FALSE))</f>
        <v>580</v>
      </c>
      <c r="X37">
        <f>IF(J37=0,"",J37*VLOOKUP(X$2,[1]Needs!$A$4:$I$43,9,FALSE))</f>
        <v>6480</v>
      </c>
      <c r="Y37">
        <f>IF(K37=0,"",K37*VLOOKUP(Y$2,[1]Needs!$A$4:$I$43,9,FALSE))</f>
        <v>16500</v>
      </c>
      <c r="Z37">
        <f>IF(L37=0,"",L37*VLOOKUP(Z$2,[1]Needs!$A$4:$I$43,9,FALSE))</f>
        <v>21300</v>
      </c>
      <c r="AA37">
        <f>IF(M37=0,"",M37*VLOOKUP(AA$2,[1]Needs!$A$4:$I$43,9,FALSE))</f>
        <v>9120</v>
      </c>
      <c r="AB37">
        <f>IF(N37=0,"",N37*VLOOKUP(AB$2,[1]Needs!$A$4:$I$43,9,FALSE))</f>
        <v>4560</v>
      </c>
      <c r="AC37">
        <f>IF(O37=0,"",O37*VLOOKUP(AC$2,[1]Needs!$A$4:$I$43,9,FALSE))</f>
        <v>12780</v>
      </c>
      <c r="AD37">
        <f>IF(P37=0,"",P37*VLOOKUP(AD$2,[1]Needs!$A$4:$I$43,9,FALSE))</f>
        <v>63840</v>
      </c>
      <c r="AE37" t="str">
        <f>IF(Q37=0,"",Q37*VLOOKUP(AE$2,[1]Needs!$A$4:$I$43,9,FALSE))</f>
        <v/>
      </c>
    </row>
    <row r="38" customHeight="1" spans="1:31">
      <c r="A38" s="58">
        <v>35</v>
      </c>
      <c r="B38" s="58">
        <v>160</v>
      </c>
      <c r="C38" s="58">
        <f t="shared" si="1"/>
        <v>161320</v>
      </c>
      <c r="D38" s="59"/>
      <c r="E38" s="59"/>
      <c r="F38" s="59"/>
      <c r="G38" s="59">
        <v>161</v>
      </c>
      <c r="H38" s="59">
        <v>238</v>
      </c>
      <c r="I38" s="59">
        <v>29</v>
      </c>
      <c r="J38" s="59">
        <v>216</v>
      </c>
      <c r="K38" s="59">
        <v>614</v>
      </c>
      <c r="L38" s="59">
        <v>441</v>
      </c>
      <c r="M38" s="59">
        <v>339</v>
      </c>
      <c r="N38" s="59">
        <v>204</v>
      </c>
      <c r="O38" s="59">
        <v>475</v>
      </c>
      <c r="P38" s="59">
        <v>1188</v>
      </c>
      <c r="Q38" s="59"/>
      <c r="R38" t="str">
        <f>IF(D38=0,"",D38*VLOOKUP(R$2,[1]Needs!$A$4:$I$43,9,FALSE))</f>
        <v/>
      </c>
      <c r="S38" t="str">
        <f>IF(E38=0,"",E38*VLOOKUP(S$2,[1]Needs!$A$4:$I$43,9,FALSE))</f>
        <v/>
      </c>
      <c r="T38" t="str">
        <f>IF(F38=0,"",F38*VLOOKUP(T$2,[1]Needs!$A$4:$I$43,9,FALSE))</f>
        <v/>
      </c>
      <c r="U38">
        <f>IF(G38=0,"",G38*VLOOKUP(U$2,[1]Needs!$A$4:$I$43,9,FALSE))</f>
        <v>4830</v>
      </c>
      <c r="V38">
        <f>IF(H38=0,"",H38*VLOOKUP(V$2,[1]Needs!$A$4:$I$43,9,FALSE))</f>
        <v>7140</v>
      </c>
      <c r="W38">
        <f>IF(I38=0,"",I38*VLOOKUP(W$2,[1]Needs!$A$4:$I$43,9,FALSE))</f>
        <v>580</v>
      </c>
      <c r="X38">
        <f>IF(J38=0,"",J38*VLOOKUP(X$2,[1]Needs!$A$4:$I$43,9,FALSE))</f>
        <v>6480</v>
      </c>
      <c r="Y38">
        <f>IF(K38=0,"",K38*VLOOKUP(Y$2,[1]Needs!$A$4:$I$43,9,FALSE))</f>
        <v>18420</v>
      </c>
      <c r="Z38">
        <f>IF(L38=0,"",L38*VLOOKUP(Z$2,[1]Needs!$A$4:$I$43,9,FALSE))</f>
        <v>22050</v>
      </c>
      <c r="AA38">
        <f>IF(M38=0,"",M38*VLOOKUP(AA$2,[1]Needs!$A$4:$I$43,9,FALSE))</f>
        <v>10170</v>
      </c>
      <c r="AB38">
        <f>IF(N38=0,"",N38*VLOOKUP(AB$2,[1]Needs!$A$4:$I$43,9,FALSE))</f>
        <v>6120</v>
      </c>
      <c r="AC38">
        <f>IF(O38=0,"",O38*VLOOKUP(AC$2,[1]Needs!$A$4:$I$43,9,FALSE))</f>
        <v>14250</v>
      </c>
      <c r="AD38">
        <f>IF(P38=0,"",P38*VLOOKUP(AD$2,[1]Needs!$A$4:$I$43,9,FALSE))</f>
        <v>71280</v>
      </c>
      <c r="AE38" t="str">
        <f>IF(Q38=0,"",Q38*VLOOKUP(AE$2,[1]Needs!$A$4:$I$43,9,FALSE))</f>
        <v/>
      </c>
    </row>
    <row r="39" customHeight="1" spans="1:31">
      <c r="A39" s="58">
        <v>36</v>
      </c>
      <c r="B39" s="58">
        <v>175</v>
      </c>
      <c r="C39" s="58">
        <f t="shared" si="1"/>
        <v>177470</v>
      </c>
      <c r="D39" s="59"/>
      <c r="E39" s="59"/>
      <c r="F39" s="59"/>
      <c r="G39" s="59">
        <v>161</v>
      </c>
      <c r="H39" s="59">
        <v>238</v>
      </c>
      <c r="I39" s="59">
        <v>29</v>
      </c>
      <c r="J39" s="59">
        <v>216</v>
      </c>
      <c r="K39" s="59">
        <v>679</v>
      </c>
      <c r="L39" s="59">
        <v>488</v>
      </c>
      <c r="M39" s="59">
        <v>375</v>
      </c>
      <c r="N39" s="59">
        <v>225</v>
      </c>
      <c r="O39" s="59">
        <v>563</v>
      </c>
      <c r="P39" s="59">
        <v>1313</v>
      </c>
      <c r="Q39" s="59"/>
      <c r="R39" t="str">
        <f>IF(D39=0,"",D39*VLOOKUP(R$2,[1]Needs!$A$4:$I$43,9,FALSE))</f>
        <v/>
      </c>
      <c r="S39" t="str">
        <f>IF(E39=0,"",E39*VLOOKUP(S$2,[1]Needs!$A$4:$I$43,9,FALSE))</f>
        <v/>
      </c>
      <c r="T39" t="str">
        <f>IF(F39=0,"",F39*VLOOKUP(T$2,[1]Needs!$A$4:$I$43,9,FALSE))</f>
        <v/>
      </c>
      <c r="U39">
        <f>IF(G39=0,"",G39*VLOOKUP(U$2,[1]Needs!$A$4:$I$43,9,FALSE))</f>
        <v>4830</v>
      </c>
      <c r="V39">
        <f>IF(H39=0,"",H39*VLOOKUP(V$2,[1]Needs!$A$4:$I$43,9,FALSE))</f>
        <v>7140</v>
      </c>
      <c r="W39">
        <f>IF(I39=0,"",I39*VLOOKUP(W$2,[1]Needs!$A$4:$I$43,9,FALSE))</f>
        <v>580</v>
      </c>
      <c r="X39">
        <f>IF(J39=0,"",J39*VLOOKUP(X$2,[1]Needs!$A$4:$I$43,9,FALSE))</f>
        <v>6480</v>
      </c>
      <c r="Y39">
        <f>IF(K39=0,"",K39*VLOOKUP(Y$2,[1]Needs!$A$4:$I$43,9,FALSE))</f>
        <v>20370</v>
      </c>
      <c r="Z39">
        <f>IF(L39=0,"",L39*VLOOKUP(Z$2,[1]Needs!$A$4:$I$43,9,FALSE))</f>
        <v>24400</v>
      </c>
      <c r="AA39">
        <f>IF(M39=0,"",M39*VLOOKUP(AA$2,[1]Needs!$A$4:$I$43,9,FALSE))</f>
        <v>11250</v>
      </c>
      <c r="AB39">
        <f>IF(N39=0,"",N39*VLOOKUP(AB$2,[1]Needs!$A$4:$I$43,9,FALSE))</f>
        <v>6750</v>
      </c>
      <c r="AC39">
        <f>IF(O39=0,"",O39*VLOOKUP(AC$2,[1]Needs!$A$4:$I$43,9,FALSE))</f>
        <v>16890</v>
      </c>
      <c r="AD39">
        <f>IF(P39=0,"",P39*VLOOKUP(AD$2,[1]Needs!$A$4:$I$43,9,FALSE))</f>
        <v>78780</v>
      </c>
      <c r="AE39" t="str">
        <f>IF(Q39=0,"",Q39*VLOOKUP(AE$2,[1]Needs!$A$4:$I$43,9,FALSE))</f>
        <v/>
      </c>
    </row>
    <row r="40" customHeight="1" spans="1:31">
      <c r="A40" s="58">
        <v>37</v>
      </c>
      <c r="B40" s="58">
        <v>190</v>
      </c>
      <c r="C40" s="58">
        <f t="shared" si="1"/>
        <v>195460</v>
      </c>
      <c r="D40" s="59"/>
      <c r="E40" s="59"/>
      <c r="F40" s="59"/>
      <c r="G40" s="59">
        <v>161</v>
      </c>
      <c r="H40" s="59">
        <v>238</v>
      </c>
      <c r="I40" s="59">
        <v>29</v>
      </c>
      <c r="J40" s="59">
        <v>216</v>
      </c>
      <c r="K40" s="59">
        <v>756</v>
      </c>
      <c r="L40" s="59">
        <v>543</v>
      </c>
      <c r="M40" s="59">
        <v>418</v>
      </c>
      <c r="N40" s="59">
        <v>251</v>
      </c>
      <c r="O40" s="59">
        <v>627</v>
      </c>
      <c r="P40" s="59">
        <v>1462</v>
      </c>
      <c r="Q40" s="59"/>
      <c r="R40" t="str">
        <f>IF(D40=0,"",D40*VLOOKUP(R$2,[1]Needs!$A$4:$I$43,9,FALSE))</f>
        <v/>
      </c>
      <c r="S40" t="str">
        <f>IF(E40=0,"",E40*VLOOKUP(S$2,[1]Needs!$A$4:$I$43,9,FALSE))</f>
        <v/>
      </c>
      <c r="T40" t="str">
        <f>IF(F40=0,"",F40*VLOOKUP(T$2,[1]Needs!$A$4:$I$43,9,FALSE))</f>
        <v/>
      </c>
      <c r="U40">
        <f>IF(G40=0,"",G40*VLOOKUP(U$2,[1]Needs!$A$4:$I$43,9,FALSE))</f>
        <v>4830</v>
      </c>
      <c r="V40">
        <f>IF(H40=0,"",H40*VLOOKUP(V$2,[1]Needs!$A$4:$I$43,9,FALSE))</f>
        <v>7140</v>
      </c>
      <c r="W40">
        <f>IF(I40=0,"",I40*VLOOKUP(W$2,[1]Needs!$A$4:$I$43,9,FALSE))</f>
        <v>580</v>
      </c>
      <c r="X40">
        <f>IF(J40=0,"",J40*VLOOKUP(X$2,[1]Needs!$A$4:$I$43,9,FALSE))</f>
        <v>6480</v>
      </c>
      <c r="Y40">
        <f>IF(K40=0,"",K40*VLOOKUP(Y$2,[1]Needs!$A$4:$I$43,9,FALSE))</f>
        <v>22680</v>
      </c>
      <c r="Z40">
        <f>IF(L40=0,"",L40*VLOOKUP(Z$2,[1]Needs!$A$4:$I$43,9,FALSE))</f>
        <v>27150</v>
      </c>
      <c r="AA40">
        <f>IF(M40=0,"",M40*VLOOKUP(AA$2,[1]Needs!$A$4:$I$43,9,FALSE))</f>
        <v>12540</v>
      </c>
      <c r="AB40">
        <f>IF(N40=0,"",N40*VLOOKUP(AB$2,[1]Needs!$A$4:$I$43,9,FALSE))</f>
        <v>7530</v>
      </c>
      <c r="AC40">
        <f>IF(O40=0,"",O40*VLOOKUP(AC$2,[1]Needs!$A$4:$I$43,9,FALSE))</f>
        <v>18810</v>
      </c>
      <c r="AD40">
        <f>IF(P40=0,"",P40*VLOOKUP(AD$2,[1]Needs!$A$4:$I$43,9,FALSE))</f>
        <v>87720</v>
      </c>
      <c r="AE40" t="str">
        <f>IF(Q40=0,"",Q40*VLOOKUP(AE$2,[1]Needs!$A$4:$I$43,9,FALSE))</f>
        <v/>
      </c>
    </row>
    <row r="41" customHeight="1" spans="1:31">
      <c r="A41" s="58">
        <v>38</v>
      </c>
      <c r="B41" s="58">
        <v>205</v>
      </c>
      <c r="C41" s="58">
        <f t="shared" si="1"/>
        <v>215310</v>
      </c>
      <c r="D41" s="59"/>
      <c r="E41" s="59"/>
      <c r="F41" s="59"/>
      <c r="G41" s="59">
        <v>161</v>
      </c>
      <c r="H41" s="59">
        <v>238</v>
      </c>
      <c r="I41" s="59">
        <v>29</v>
      </c>
      <c r="J41" s="59">
        <v>216</v>
      </c>
      <c r="K41" s="59">
        <v>841</v>
      </c>
      <c r="L41" s="59">
        <v>604</v>
      </c>
      <c r="M41" s="59">
        <v>465</v>
      </c>
      <c r="N41" s="59">
        <v>279</v>
      </c>
      <c r="O41" s="59">
        <v>697</v>
      </c>
      <c r="P41" s="59">
        <v>1627</v>
      </c>
      <c r="Q41" s="59"/>
      <c r="R41" t="str">
        <f>IF(D41=0,"",D41*VLOOKUP(R$2,[1]Needs!$A$4:$I$43,9,FALSE))</f>
        <v/>
      </c>
      <c r="S41" t="str">
        <f>IF(E41=0,"",E41*VLOOKUP(S$2,[1]Needs!$A$4:$I$43,9,FALSE))</f>
        <v/>
      </c>
      <c r="T41" t="str">
        <f>IF(F41=0,"",F41*VLOOKUP(T$2,[1]Needs!$A$4:$I$43,9,FALSE))</f>
        <v/>
      </c>
      <c r="U41">
        <f>IF(G41=0,"",G41*VLOOKUP(U$2,[1]Needs!$A$4:$I$43,9,FALSE))</f>
        <v>4830</v>
      </c>
      <c r="V41">
        <f>IF(H41=0,"",H41*VLOOKUP(V$2,[1]Needs!$A$4:$I$43,9,FALSE))</f>
        <v>7140</v>
      </c>
      <c r="W41">
        <f>IF(I41=0,"",I41*VLOOKUP(W$2,[1]Needs!$A$4:$I$43,9,FALSE))</f>
        <v>580</v>
      </c>
      <c r="X41">
        <f>IF(J41=0,"",J41*VLOOKUP(X$2,[1]Needs!$A$4:$I$43,9,FALSE))</f>
        <v>6480</v>
      </c>
      <c r="Y41">
        <f>IF(K41=0,"",K41*VLOOKUP(Y$2,[1]Needs!$A$4:$I$43,9,FALSE))</f>
        <v>25230</v>
      </c>
      <c r="Z41">
        <f>IF(L41=0,"",L41*VLOOKUP(Z$2,[1]Needs!$A$4:$I$43,9,FALSE))</f>
        <v>30200</v>
      </c>
      <c r="AA41">
        <f>IF(M41=0,"",M41*VLOOKUP(AA$2,[1]Needs!$A$4:$I$43,9,FALSE))</f>
        <v>13950</v>
      </c>
      <c r="AB41">
        <f>IF(N41=0,"",N41*VLOOKUP(AB$2,[1]Needs!$A$4:$I$43,9,FALSE))</f>
        <v>8370</v>
      </c>
      <c r="AC41">
        <f>IF(O41=0,"",O41*VLOOKUP(AC$2,[1]Needs!$A$4:$I$43,9,FALSE))</f>
        <v>20910</v>
      </c>
      <c r="AD41">
        <f>IF(P41=0,"",P41*VLOOKUP(AD$2,[1]Needs!$A$4:$I$43,9,FALSE))</f>
        <v>97620</v>
      </c>
      <c r="AE41" t="str">
        <f>IF(Q41=0,"",Q41*VLOOKUP(AE$2,[1]Needs!$A$4:$I$43,9,FALSE))</f>
        <v/>
      </c>
    </row>
    <row r="42" customHeight="1" spans="1:31">
      <c r="A42" s="58">
        <v>39</v>
      </c>
      <c r="B42" s="58">
        <v>225</v>
      </c>
      <c r="C42" s="58">
        <f t="shared" si="1"/>
        <v>236800</v>
      </c>
      <c r="D42" s="59"/>
      <c r="E42" s="59"/>
      <c r="F42" s="59"/>
      <c r="G42" s="59">
        <v>161</v>
      </c>
      <c r="H42" s="59">
        <v>238</v>
      </c>
      <c r="I42" s="59">
        <v>29</v>
      </c>
      <c r="J42" s="59">
        <v>216</v>
      </c>
      <c r="K42" s="59">
        <v>927</v>
      </c>
      <c r="L42" s="59">
        <v>666</v>
      </c>
      <c r="M42" s="59">
        <v>512</v>
      </c>
      <c r="N42" s="59">
        <v>358</v>
      </c>
      <c r="O42" s="59">
        <v>768</v>
      </c>
      <c r="P42" s="59">
        <v>1792</v>
      </c>
      <c r="Q42" s="59"/>
      <c r="R42" t="str">
        <f>IF(D42=0,"",D42*VLOOKUP(R$2,[1]Needs!$A$4:$I$43,9,FALSE))</f>
        <v/>
      </c>
      <c r="S42" t="str">
        <f>IF(E42=0,"",E42*VLOOKUP(S$2,[1]Needs!$A$4:$I$43,9,FALSE))</f>
        <v/>
      </c>
      <c r="T42" t="str">
        <f>IF(F42=0,"",F42*VLOOKUP(T$2,[1]Needs!$A$4:$I$43,9,FALSE))</f>
        <v/>
      </c>
      <c r="U42">
        <f>IF(G42=0,"",G42*VLOOKUP(U$2,[1]Needs!$A$4:$I$43,9,FALSE))</f>
        <v>4830</v>
      </c>
      <c r="V42">
        <f>IF(H42=0,"",H42*VLOOKUP(V$2,[1]Needs!$A$4:$I$43,9,FALSE))</f>
        <v>7140</v>
      </c>
      <c r="W42">
        <f>IF(I42=0,"",I42*VLOOKUP(W$2,[1]Needs!$A$4:$I$43,9,FALSE))</f>
        <v>580</v>
      </c>
      <c r="X42">
        <f>IF(J42=0,"",J42*VLOOKUP(X$2,[1]Needs!$A$4:$I$43,9,FALSE))</f>
        <v>6480</v>
      </c>
      <c r="Y42">
        <f>IF(K42=0,"",K42*VLOOKUP(Y$2,[1]Needs!$A$4:$I$43,9,FALSE))</f>
        <v>27810</v>
      </c>
      <c r="Z42">
        <f>IF(L42=0,"",L42*VLOOKUP(Z$2,[1]Needs!$A$4:$I$43,9,FALSE))</f>
        <v>33300</v>
      </c>
      <c r="AA42">
        <f>IF(M42=0,"",M42*VLOOKUP(AA$2,[1]Needs!$A$4:$I$43,9,FALSE))</f>
        <v>15360</v>
      </c>
      <c r="AB42">
        <f>IF(N42=0,"",N42*VLOOKUP(AB$2,[1]Needs!$A$4:$I$43,9,FALSE))</f>
        <v>10740</v>
      </c>
      <c r="AC42">
        <f>IF(O42=0,"",O42*VLOOKUP(AC$2,[1]Needs!$A$4:$I$43,9,FALSE))</f>
        <v>23040</v>
      </c>
      <c r="AD42">
        <f>IF(P42=0,"",P42*VLOOKUP(AD$2,[1]Needs!$A$4:$I$43,9,FALSE))</f>
        <v>107520</v>
      </c>
      <c r="AE42" t="str">
        <f>IF(Q42=0,"",Q42*VLOOKUP(AE$2,[1]Needs!$A$4:$I$43,9,FALSE))</f>
        <v/>
      </c>
    </row>
    <row r="43" customHeight="1" spans="1:31">
      <c r="A43" s="60">
        <v>40</v>
      </c>
      <c r="B43" s="60">
        <v>245</v>
      </c>
      <c r="C43" s="60">
        <f t="shared" si="1"/>
        <v>262600</v>
      </c>
      <c r="D43" s="61"/>
      <c r="E43" s="61"/>
      <c r="F43" s="61"/>
      <c r="G43" s="61"/>
      <c r="H43" s="61">
        <v>238</v>
      </c>
      <c r="I43" s="61">
        <v>29</v>
      </c>
      <c r="J43" s="61">
        <v>216</v>
      </c>
      <c r="K43" s="61">
        <v>964</v>
      </c>
      <c r="L43" s="61">
        <v>681</v>
      </c>
      <c r="M43" s="61">
        <v>567</v>
      </c>
      <c r="N43" s="61">
        <v>454</v>
      </c>
      <c r="O43" s="61">
        <v>851</v>
      </c>
      <c r="P43" s="61">
        <v>2098</v>
      </c>
      <c r="Q43" s="61">
        <v>113</v>
      </c>
      <c r="R43" t="str">
        <f>IF(D43=0,"",D43*VLOOKUP(R$2,[1]Needs!$A$4:$I$43,9,FALSE))</f>
        <v/>
      </c>
      <c r="S43" t="str">
        <f>IF(E43=0,"",E43*VLOOKUP(S$2,[1]Needs!$A$4:$I$43,9,FALSE))</f>
        <v/>
      </c>
      <c r="T43" t="str">
        <f>IF(F43=0,"",F43*VLOOKUP(T$2,[1]Needs!$A$4:$I$43,9,FALSE))</f>
        <v/>
      </c>
      <c r="U43" t="str">
        <f>IF(G43=0,"",G43*VLOOKUP(U$2,[1]Needs!$A$4:$I$43,9,FALSE))</f>
        <v/>
      </c>
      <c r="V43">
        <f>IF(H43=0,"",H43*VLOOKUP(V$2,[1]Needs!$A$4:$I$43,9,FALSE))</f>
        <v>7140</v>
      </c>
      <c r="W43">
        <f>IF(I43=0,"",I43*VLOOKUP(W$2,[1]Needs!$A$4:$I$43,9,FALSE))</f>
        <v>580</v>
      </c>
      <c r="X43">
        <f>IF(J43=0,"",J43*VLOOKUP(X$2,[1]Needs!$A$4:$I$43,9,FALSE))</f>
        <v>6480</v>
      </c>
      <c r="Y43">
        <f>IF(K43=0,"",K43*VLOOKUP(Y$2,[1]Needs!$A$4:$I$43,9,FALSE))</f>
        <v>28920</v>
      </c>
      <c r="Z43">
        <f>IF(L43=0,"",L43*VLOOKUP(Z$2,[1]Needs!$A$4:$I$43,9,FALSE))</f>
        <v>34050</v>
      </c>
      <c r="AA43">
        <f>IF(M43=0,"",M43*VLOOKUP(AA$2,[1]Needs!$A$4:$I$43,9,FALSE))</f>
        <v>17010</v>
      </c>
      <c r="AB43">
        <f>IF(N43=0,"",N43*VLOOKUP(AB$2,[1]Needs!$A$4:$I$43,9,FALSE))</f>
        <v>13620</v>
      </c>
      <c r="AC43">
        <f>IF(O43=0,"",O43*VLOOKUP(AC$2,[1]Needs!$A$4:$I$43,9,FALSE))</f>
        <v>25530</v>
      </c>
      <c r="AD43">
        <f>IF(P43=0,"",P43*VLOOKUP(AD$2,[1]Needs!$A$4:$I$43,9,FALSE))</f>
        <v>125880</v>
      </c>
      <c r="AE43">
        <f>IF(Q43=0,"",Q43*VLOOKUP(AE$2,[1]Needs!$A$4:$I$43,9,FALSE))</f>
        <v>3390</v>
      </c>
    </row>
    <row r="44" customHeight="1" spans="1:31">
      <c r="A44" s="60">
        <v>41</v>
      </c>
      <c r="B44" s="60">
        <v>265</v>
      </c>
      <c r="C44" s="60">
        <f t="shared" si="1"/>
        <v>290440</v>
      </c>
      <c r="D44" s="61"/>
      <c r="E44" s="61"/>
      <c r="F44" s="61"/>
      <c r="G44" s="61"/>
      <c r="H44" s="61">
        <v>238</v>
      </c>
      <c r="I44" s="61">
        <v>29</v>
      </c>
      <c r="J44" s="61">
        <v>216</v>
      </c>
      <c r="K44" s="61">
        <v>995</v>
      </c>
      <c r="L44" s="61">
        <v>747</v>
      </c>
      <c r="M44" s="61">
        <v>622</v>
      </c>
      <c r="N44" s="61">
        <v>560</v>
      </c>
      <c r="O44" s="61">
        <v>871</v>
      </c>
      <c r="P44" s="61">
        <v>2364</v>
      </c>
      <c r="Q44" s="61">
        <v>187</v>
      </c>
      <c r="R44" t="str">
        <f>IF(D44=0,"",D44*VLOOKUP(R$2,[1]Needs!$A$4:$I$43,9,FALSE))</f>
        <v/>
      </c>
      <c r="S44" t="str">
        <f>IF(E44=0,"",E44*VLOOKUP(S$2,[1]Needs!$A$4:$I$43,9,FALSE))</f>
        <v/>
      </c>
      <c r="T44" t="str">
        <f>IF(F44=0,"",F44*VLOOKUP(T$2,[1]Needs!$A$4:$I$43,9,FALSE))</f>
        <v/>
      </c>
      <c r="U44" t="str">
        <f>IF(G44=0,"",G44*VLOOKUP(U$2,[1]Needs!$A$4:$I$43,9,FALSE))</f>
        <v/>
      </c>
      <c r="V44">
        <f>IF(H44=0,"",H44*VLOOKUP(V$2,[1]Needs!$A$4:$I$43,9,FALSE))</f>
        <v>7140</v>
      </c>
      <c r="W44">
        <f>IF(I44=0,"",I44*VLOOKUP(W$2,[1]Needs!$A$4:$I$43,9,FALSE))</f>
        <v>580</v>
      </c>
      <c r="X44">
        <f>IF(J44=0,"",J44*VLOOKUP(X$2,[1]Needs!$A$4:$I$43,9,FALSE))</f>
        <v>6480</v>
      </c>
      <c r="Y44">
        <f>IF(K44=0,"",K44*VLOOKUP(Y$2,[1]Needs!$A$4:$I$43,9,FALSE))</f>
        <v>29850</v>
      </c>
      <c r="Z44">
        <f>IF(L44=0,"",L44*VLOOKUP(Z$2,[1]Needs!$A$4:$I$43,9,FALSE))</f>
        <v>37350</v>
      </c>
      <c r="AA44">
        <f>IF(M44=0,"",M44*VLOOKUP(AA$2,[1]Needs!$A$4:$I$43,9,FALSE))</f>
        <v>18660</v>
      </c>
      <c r="AB44">
        <f>IF(N44=0,"",N44*VLOOKUP(AB$2,[1]Needs!$A$4:$I$43,9,FALSE))</f>
        <v>16800</v>
      </c>
      <c r="AC44">
        <f>IF(O44=0,"",O44*VLOOKUP(AC$2,[1]Needs!$A$4:$I$43,9,FALSE))</f>
        <v>26130</v>
      </c>
      <c r="AD44">
        <f>IF(P44=0,"",P44*VLOOKUP(AD$2,[1]Needs!$A$4:$I$43,9,FALSE))</f>
        <v>141840</v>
      </c>
      <c r="AE44">
        <f>IF(Q44=0,"",Q44*VLOOKUP(AE$2,[1]Needs!$A$4:$I$43,9,FALSE))</f>
        <v>5610</v>
      </c>
    </row>
    <row r="45" customHeight="1" spans="1:31">
      <c r="A45" s="60">
        <v>42</v>
      </c>
      <c r="B45" s="60">
        <v>285</v>
      </c>
      <c r="C45" s="60">
        <f t="shared" si="1"/>
        <v>321160</v>
      </c>
      <c r="D45" s="61"/>
      <c r="E45" s="61"/>
      <c r="F45" s="61"/>
      <c r="G45" s="61"/>
      <c r="H45" s="61">
        <v>238</v>
      </c>
      <c r="I45" s="61">
        <v>29</v>
      </c>
      <c r="J45" s="61">
        <v>216</v>
      </c>
      <c r="K45" s="61">
        <v>1023</v>
      </c>
      <c r="L45" s="61">
        <v>819</v>
      </c>
      <c r="M45" s="61">
        <v>682</v>
      </c>
      <c r="N45" s="61">
        <v>682</v>
      </c>
      <c r="O45" s="61">
        <v>887</v>
      </c>
      <c r="P45" s="61">
        <v>2660</v>
      </c>
      <c r="Q45" s="61">
        <v>273</v>
      </c>
      <c r="R45" t="str">
        <f>IF(D45=0,"",D45*VLOOKUP(R$2,[1]Needs!$A$4:$I$43,9,FALSE))</f>
        <v/>
      </c>
      <c r="S45" t="str">
        <f>IF(E45=0,"",E45*VLOOKUP(S$2,[1]Needs!$A$4:$I$43,9,FALSE))</f>
        <v/>
      </c>
      <c r="T45" t="str">
        <f>IF(F45=0,"",F45*VLOOKUP(T$2,[1]Needs!$A$4:$I$43,9,FALSE))</f>
        <v/>
      </c>
      <c r="U45" t="str">
        <f>IF(G45=0,"",G45*VLOOKUP(U$2,[1]Needs!$A$4:$I$43,9,FALSE))</f>
        <v/>
      </c>
      <c r="V45">
        <f>IF(H45=0,"",H45*VLOOKUP(V$2,[1]Needs!$A$4:$I$43,9,FALSE))</f>
        <v>7140</v>
      </c>
      <c r="W45">
        <f>IF(I45=0,"",I45*VLOOKUP(W$2,[1]Needs!$A$4:$I$43,9,FALSE))</f>
        <v>580</v>
      </c>
      <c r="X45">
        <f>IF(J45=0,"",J45*VLOOKUP(X$2,[1]Needs!$A$4:$I$43,9,FALSE))</f>
        <v>6480</v>
      </c>
      <c r="Y45">
        <f>IF(K45=0,"",K45*VLOOKUP(Y$2,[1]Needs!$A$4:$I$43,9,FALSE))</f>
        <v>30690</v>
      </c>
      <c r="Z45">
        <f>IF(L45=0,"",L45*VLOOKUP(Z$2,[1]Needs!$A$4:$I$43,9,FALSE))</f>
        <v>40950</v>
      </c>
      <c r="AA45">
        <f>IF(M45=0,"",M45*VLOOKUP(AA$2,[1]Needs!$A$4:$I$43,9,FALSE))</f>
        <v>20460</v>
      </c>
      <c r="AB45">
        <f>IF(N45=0,"",N45*VLOOKUP(AB$2,[1]Needs!$A$4:$I$43,9,FALSE))</f>
        <v>20460</v>
      </c>
      <c r="AC45">
        <f>IF(O45=0,"",O45*VLOOKUP(AC$2,[1]Needs!$A$4:$I$43,9,FALSE))</f>
        <v>26610</v>
      </c>
      <c r="AD45">
        <f>IF(P45=0,"",P45*VLOOKUP(AD$2,[1]Needs!$A$4:$I$43,9,FALSE))</f>
        <v>159600</v>
      </c>
      <c r="AE45">
        <f>IF(Q45=0,"",Q45*VLOOKUP(AE$2,[1]Needs!$A$4:$I$43,9,FALSE))</f>
        <v>8190</v>
      </c>
    </row>
    <row r="46" customHeight="1" spans="1:31">
      <c r="A46" s="60">
        <v>43</v>
      </c>
      <c r="B46" s="60">
        <v>305</v>
      </c>
      <c r="C46" s="60">
        <f t="shared" si="1"/>
        <v>354210</v>
      </c>
      <c r="D46" s="61"/>
      <c r="E46" s="61"/>
      <c r="F46" s="61"/>
      <c r="G46" s="61"/>
      <c r="H46" s="61">
        <v>238</v>
      </c>
      <c r="I46" s="61">
        <v>29</v>
      </c>
      <c r="J46" s="61">
        <v>216</v>
      </c>
      <c r="K46" s="61">
        <v>1111</v>
      </c>
      <c r="L46" s="61">
        <v>889</v>
      </c>
      <c r="M46" s="61">
        <v>741</v>
      </c>
      <c r="N46" s="61">
        <v>741</v>
      </c>
      <c r="O46" s="61">
        <v>963</v>
      </c>
      <c r="P46" s="61">
        <v>2963</v>
      </c>
      <c r="Q46" s="61">
        <v>370</v>
      </c>
      <c r="R46" t="str">
        <f>IF(D46=0,"",D46*VLOOKUP(R$2,[1]Needs!$A$4:$I$43,9,FALSE))</f>
        <v/>
      </c>
      <c r="S46" t="str">
        <f>IF(E46=0,"",E46*VLOOKUP(S$2,[1]Needs!$A$4:$I$43,9,FALSE))</f>
        <v/>
      </c>
      <c r="T46" t="str">
        <f>IF(F46=0,"",F46*VLOOKUP(T$2,[1]Needs!$A$4:$I$43,9,FALSE))</f>
        <v/>
      </c>
      <c r="U46" t="str">
        <f>IF(G46=0,"",G46*VLOOKUP(U$2,[1]Needs!$A$4:$I$43,9,FALSE))</f>
        <v/>
      </c>
      <c r="V46">
        <f>IF(H46=0,"",H46*VLOOKUP(V$2,[1]Needs!$A$4:$I$43,9,FALSE))</f>
        <v>7140</v>
      </c>
      <c r="W46">
        <f>IF(I46=0,"",I46*VLOOKUP(W$2,[1]Needs!$A$4:$I$43,9,FALSE))</f>
        <v>580</v>
      </c>
      <c r="X46">
        <f>IF(J46=0,"",J46*VLOOKUP(X$2,[1]Needs!$A$4:$I$43,9,FALSE))</f>
        <v>6480</v>
      </c>
      <c r="Y46">
        <f>IF(K46=0,"",K46*VLOOKUP(Y$2,[1]Needs!$A$4:$I$43,9,FALSE))</f>
        <v>33330</v>
      </c>
      <c r="Z46">
        <f>IF(L46=0,"",L46*VLOOKUP(Z$2,[1]Needs!$A$4:$I$43,9,FALSE))</f>
        <v>44450</v>
      </c>
      <c r="AA46">
        <f>IF(M46=0,"",M46*VLOOKUP(AA$2,[1]Needs!$A$4:$I$43,9,FALSE))</f>
        <v>22230</v>
      </c>
      <c r="AB46">
        <f>IF(N46=0,"",N46*VLOOKUP(AB$2,[1]Needs!$A$4:$I$43,9,FALSE))</f>
        <v>22230</v>
      </c>
      <c r="AC46">
        <f>IF(O46=0,"",O46*VLOOKUP(AC$2,[1]Needs!$A$4:$I$43,9,FALSE))</f>
        <v>28890</v>
      </c>
      <c r="AD46">
        <f>IF(P46=0,"",P46*VLOOKUP(AD$2,[1]Needs!$A$4:$I$43,9,FALSE))</f>
        <v>177780</v>
      </c>
      <c r="AE46">
        <f>IF(Q46=0,"",Q46*VLOOKUP(AE$2,[1]Needs!$A$4:$I$43,9,FALSE))</f>
        <v>11100</v>
      </c>
    </row>
    <row r="47" customHeight="1" spans="1:31">
      <c r="A47" s="60">
        <v>44</v>
      </c>
      <c r="B47" s="60">
        <v>325</v>
      </c>
      <c r="C47" s="60">
        <f t="shared" si="1"/>
        <v>390050</v>
      </c>
      <c r="D47" s="61"/>
      <c r="E47" s="61"/>
      <c r="F47" s="61"/>
      <c r="G47" s="61"/>
      <c r="H47" s="61">
        <v>238</v>
      </c>
      <c r="I47" s="61">
        <v>29</v>
      </c>
      <c r="J47" s="61">
        <v>216</v>
      </c>
      <c r="K47" s="61">
        <v>1228</v>
      </c>
      <c r="L47" s="61">
        <v>983</v>
      </c>
      <c r="M47" s="61">
        <v>819</v>
      </c>
      <c r="N47" s="61">
        <v>819</v>
      </c>
      <c r="O47" s="61">
        <v>1065</v>
      </c>
      <c r="P47" s="61">
        <v>3275</v>
      </c>
      <c r="Q47" s="61">
        <v>409</v>
      </c>
      <c r="R47" t="str">
        <f>IF(D47=0,"",D47*VLOOKUP(R$2,[1]Needs!$A$4:$I$43,9,FALSE))</f>
        <v/>
      </c>
      <c r="S47" t="str">
        <f>IF(E47=0,"",E47*VLOOKUP(S$2,[1]Needs!$A$4:$I$43,9,FALSE))</f>
        <v/>
      </c>
      <c r="T47" t="str">
        <f>IF(F47=0,"",F47*VLOOKUP(T$2,[1]Needs!$A$4:$I$43,9,FALSE))</f>
        <v/>
      </c>
      <c r="U47" t="str">
        <f>IF(G47=0,"",G47*VLOOKUP(U$2,[1]Needs!$A$4:$I$43,9,FALSE))</f>
        <v/>
      </c>
      <c r="V47">
        <f>IF(H47=0,"",H47*VLOOKUP(V$2,[1]Needs!$A$4:$I$43,9,FALSE))</f>
        <v>7140</v>
      </c>
      <c r="W47">
        <f>IF(I47=0,"",I47*VLOOKUP(W$2,[1]Needs!$A$4:$I$43,9,FALSE))</f>
        <v>580</v>
      </c>
      <c r="X47">
        <f>IF(J47=0,"",J47*VLOOKUP(X$2,[1]Needs!$A$4:$I$43,9,FALSE))</f>
        <v>6480</v>
      </c>
      <c r="Y47">
        <f>IF(K47=0,"",K47*VLOOKUP(Y$2,[1]Needs!$A$4:$I$43,9,FALSE))</f>
        <v>36840</v>
      </c>
      <c r="Z47">
        <f>IF(L47=0,"",L47*VLOOKUP(Z$2,[1]Needs!$A$4:$I$43,9,FALSE))</f>
        <v>49150</v>
      </c>
      <c r="AA47">
        <f>IF(M47=0,"",M47*VLOOKUP(AA$2,[1]Needs!$A$4:$I$43,9,FALSE))</f>
        <v>24570</v>
      </c>
      <c r="AB47">
        <f>IF(N47=0,"",N47*VLOOKUP(AB$2,[1]Needs!$A$4:$I$43,9,FALSE))</f>
        <v>24570</v>
      </c>
      <c r="AC47">
        <f>IF(O47=0,"",O47*VLOOKUP(AC$2,[1]Needs!$A$4:$I$43,9,FALSE))</f>
        <v>31950</v>
      </c>
      <c r="AD47">
        <f>IF(P47=0,"",P47*VLOOKUP(AD$2,[1]Needs!$A$4:$I$43,9,FALSE))</f>
        <v>196500</v>
      </c>
      <c r="AE47">
        <f>IF(Q47=0,"",Q47*VLOOKUP(AE$2,[1]Needs!$A$4:$I$43,9,FALSE))</f>
        <v>12270</v>
      </c>
    </row>
    <row r="48" customHeight="1" spans="1:31">
      <c r="A48" s="62">
        <v>45</v>
      </c>
      <c r="B48" s="62">
        <v>350</v>
      </c>
      <c r="C48" s="62">
        <f t="shared" si="1"/>
        <v>430920</v>
      </c>
      <c r="D48" s="63"/>
      <c r="E48" s="63"/>
      <c r="F48" s="63"/>
      <c r="G48" s="63"/>
      <c r="H48" s="63"/>
      <c r="I48" s="63">
        <v>29</v>
      </c>
      <c r="J48" s="63">
        <v>216</v>
      </c>
      <c r="K48" s="63">
        <v>1400</v>
      </c>
      <c r="L48" s="63">
        <v>1027</v>
      </c>
      <c r="M48" s="63">
        <v>934</v>
      </c>
      <c r="N48" s="63">
        <v>934</v>
      </c>
      <c r="O48" s="63">
        <v>1214</v>
      </c>
      <c r="P48" s="63">
        <v>3734</v>
      </c>
      <c r="Q48" s="63">
        <v>467</v>
      </c>
      <c r="R48" t="str">
        <f>IF(D48=0,"",D48*VLOOKUP(R$2,[1]Needs!$A$4:$I$43,9,FALSE))</f>
        <v/>
      </c>
      <c r="S48" t="str">
        <f>IF(E48=0,"",E48*VLOOKUP(S$2,[1]Needs!$A$4:$I$43,9,FALSE))</f>
        <v/>
      </c>
      <c r="T48" t="str">
        <f>IF(F48=0,"",F48*VLOOKUP(T$2,[1]Needs!$A$4:$I$43,9,FALSE))</f>
        <v/>
      </c>
      <c r="U48" t="str">
        <f>IF(G48=0,"",G48*VLOOKUP(U$2,[1]Needs!$A$4:$I$43,9,FALSE))</f>
        <v/>
      </c>
      <c r="V48" t="str">
        <f>IF(H48=0,"",H48*VLOOKUP(V$2,[1]Needs!$A$4:$I$43,9,FALSE))</f>
        <v/>
      </c>
      <c r="W48">
        <f>IF(I48=0,"",I48*VLOOKUP(W$2,[1]Needs!$A$4:$I$43,9,FALSE))</f>
        <v>580</v>
      </c>
      <c r="X48">
        <f>IF(J48=0,"",J48*VLOOKUP(X$2,[1]Needs!$A$4:$I$43,9,FALSE))</f>
        <v>6480</v>
      </c>
      <c r="Y48">
        <f>IF(K48=0,"",K48*VLOOKUP(Y$2,[1]Needs!$A$4:$I$43,9,FALSE))</f>
        <v>42000</v>
      </c>
      <c r="Z48">
        <f>IF(L48=0,"",L48*VLOOKUP(Z$2,[1]Needs!$A$4:$I$43,9,FALSE))</f>
        <v>51350</v>
      </c>
      <c r="AA48">
        <f>IF(M48=0,"",M48*VLOOKUP(AA$2,[1]Needs!$A$4:$I$43,9,FALSE))</f>
        <v>28020</v>
      </c>
      <c r="AB48">
        <f>IF(N48=0,"",N48*VLOOKUP(AB$2,[1]Needs!$A$4:$I$43,9,FALSE))</f>
        <v>28020</v>
      </c>
      <c r="AC48">
        <f>IF(O48=0,"",O48*VLOOKUP(AC$2,[1]Needs!$A$4:$I$43,9,FALSE))</f>
        <v>36420</v>
      </c>
      <c r="AD48">
        <f>IF(P48=0,"",P48*VLOOKUP(AD$2,[1]Needs!$A$4:$I$43,9,FALSE))</f>
        <v>224040</v>
      </c>
      <c r="AE48">
        <f>IF(Q48=0,"",Q48*VLOOKUP(AE$2,[1]Needs!$A$4:$I$43,9,FALSE))</f>
        <v>14010</v>
      </c>
    </row>
    <row r="49" customHeight="1" spans="1:31">
      <c r="A49" s="62">
        <v>46</v>
      </c>
      <c r="B49" s="62">
        <v>375</v>
      </c>
      <c r="C49" s="62">
        <f t="shared" si="1"/>
        <v>474270</v>
      </c>
      <c r="D49" s="63"/>
      <c r="E49" s="63"/>
      <c r="F49" s="63"/>
      <c r="G49" s="63"/>
      <c r="H49" s="63"/>
      <c r="I49" s="63">
        <v>29</v>
      </c>
      <c r="J49" s="63">
        <v>216</v>
      </c>
      <c r="K49" s="63">
        <v>1544</v>
      </c>
      <c r="L49" s="63">
        <v>1132</v>
      </c>
      <c r="M49" s="63">
        <v>1029</v>
      </c>
      <c r="N49" s="63">
        <v>1029</v>
      </c>
      <c r="O49" s="63">
        <v>1338</v>
      </c>
      <c r="P49" s="63">
        <v>4116</v>
      </c>
      <c r="Q49" s="63">
        <v>515</v>
      </c>
      <c r="R49" t="str">
        <f>IF(D49=0,"",D49*VLOOKUP(R$2,[1]Needs!$A$4:$I$43,9,FALSE))</f>
        <v/>
      </c>
      <c r="S49" t="str">
        <f>IF(E49=0,"",E49*VLOOKUP(S$2,[1]Needs!$A$4:$I$43,9,FALSE))</f>
        <v/>
      </c>
      <c r="T49" t="str">
        <f>IF(F49=0,"",F49*VLOOKUP(T$2,[1]Needs!$A$4:$I$43,9,FALSE))</f>
        <v/>
      </c>
      <c r="U49" t="str">
        <f>IF(G49=0,"",G49*VLOOKUP(U$2,[1]Needs!$A$4:$I$43,9,FALSE))</f>
        <v/>
      </c>
      <c r="V49" t="str">
        <f>IF(H49=0,"",H49*VLOOKUP(V$2,[1]Needs!$A$4:$I$43,9,FALSE))</f>
        <v/>
      </c>
      <c r="W49">
        <f>IF(I49=0,"",I49*VLOOKUP(W$2,[1]Needs!$A$4:$I$43,9,FALSE))</f>
        <v>580</v>
      </c>
      <c r="X49">
        <f>IF(J49=0,"",J49*VLOOKUP(X$2,[1]Needs!$A$4:$I$43,9,FALSE))</f>
        <v>6480</v>
      </c>
      <c r="Y49">
        <f>IF(K49=0,"",K49*VLOOKUP(Y$2,[1]Needs!$A$4:$I$43,9,FALSE))</f>
        <v>46320</v>
      </c>
      <c r="Z49">
        <f>IF(L49=0,"",L49*VLOOKUP(Z$2,[1]Needs!$A$4:$I$43,9,FALSE))</f>
        <v>56600</v>
      </c>
      <c r="AA49">
        <f>IF(M49=0,"",M49*VLOOKUP(AA$2,[1]Needs!$A$4:$I$43,9,FALSE))</f>
        <v>30870</v>
      </c>
      <c r="AB49">
        <f>IF(N49=0,"",N49*VLOOKUP(AB$2,[1]Needs!$A$4:$I$43,9,FALSE))</f>
        <v>30870</v>
      </c>
      <c r="AC49">
        <f>IF(O49=0,"",O49*VLOOKUP(AC$2,[1]Needs!$A$4:$I$43,9,FALSE))</f>
        <v>40140</v>
      </c>
      <c r="AD49">
        <f>IF(P49=0,"",P49*VLOOKUP(AD$2,[1]Needs!$A$4:$I$43,9,FALSE))</f>
        <v>246960</v>
      </c>
      <c r="AE49">
        <f>IF(Q49=0,"",Q49*VLOOKUP(AE$2,[1]Needs!$A$4:$I$43,9,FALSE))</f>
        <v>15450</v>
      </c>
    </row>
    <row r="50" customHeight="1" spans="1:31">
      <c r="A50" s="62">
        <v>47</v>
      </c>
      <c r="B50" s="62">
        <v>400</v>
      </c>
      <c r="C50" s="62">
        <f t="shared" si="1"/>
        <v>521980</v>
      </c>
      <c r="D50" s="63"/>
      <c r="E50" s="63"/>
      <c r="F50" s="63"/>
      <c r="G50" s="63"/>
      <c r="H50" s="63"/>
      <c r="I50" s="63">
        <v>29</v>
      </c>
      <c r="J50" s="63">
        <v>216</v>
      </c>
      <c r="K50" s="63">
        <v>1701</v>
      </c>
      <c r="L50" s="63">
        <v>1248</v>
      </c>
      <c r="M50" s="63">
        <v>1134</v>
      </c>
      <c r="N50" s="63">
        <v>1134</v>
      </c>
      <c r="O50" s="63">
        <v>1474</v>
      </c>
      <c r="P50" s="63">
        <v>4537</v>
      </c>
      <c r="Q50" s="63">
        <v>567</v>
      </c>
      <c r="R50" t="str">
        <f>IF(D50=0,"",D50*VLOOKUP(R$2,[1]Needs!$A$4:$I$43,9,FALSE))</f>
        <v/>
      </c>
      <c r="S50" t="str">
        <f>IF(E50=0,"",E50*VLOOKUP(S$2,[1]Needs!$A$4:$I$43,9,FALSE))</f>
        <v/>
      </c>
      <c r="T50" t="str">
        <f>IF(F50=0,"",F50*VLOOKUP(T$2,[1]Needs!$A$4:$I$43,9,FALSE))</f>
        <v/>
      </c>
      <c r="U50" t="str">
        <f>IF(G50=0,"",G50*VLOOKUP(U$2,[1]Needs!$A$4:$I$43,9,FALSE))</f>
        <v/>
      </c>
      <c r="V50" t="str">
        <f>IF(H50=0,"",H50*VLOOKUP(V$2,[1]Needs!$A$4:$I$43,9,FALSE))</f>
        <v/>
      </c>
      <c r="W50">
        <f>IF(I50=0,"",I50*VLOOKUP(W$2,[1]Needs!$A$4:$I$43,9,FALSE))</f>
        <v>580</v>
      </c>
      <c r="X50">
        <f>IF(J50=0,"",J50*VLOOKUP(X$2,[1]Needs!$A$4:$I$43,9,FALSE))</f>
        <v>6480</v>
      </c>
      <c r="Y50">
        <f>IF(K50=0,"",K50*VLOOKUP(Y$2,[1]Needs!$A$4:$I$43,9,FALSE))</f>
        <v>51030</v>
      </c>
      <c r="Z50">
        <f>IF(L50=0,"",L50*VLOOKUP(Z$2,[1]Needs!$A$4:$I$43,9,FALSE))</f>
        <v>62400</v>
      </c>
      <c r="AA50">
        <f>IF(M50=0,"",M50*VLOOKUP(AA$2,[1]Needs!$A$4:$I$43,9,FALSE))</f>
        <v>34020</v>
      </c>
      <c r="AB50">
        <f>IF(N50=0,"",N50*VLOOKUP(AB$2,[1]Needs!$A$4:$I$43,9,FALSE))</f>
        <v>34020</v>
      </c>
      <c r="AC50">
        <f>IF(O50=0,"",O50*VLOOKUP(AC$2,[1]Needs!$A$4:$I$43,9,FALSE))</f>
        <v>44220</v>
      </c>
      <c r="AD50">
        <f>IF(P50=0,"",P50*VLOOKUP(AD$2,[1]Needs!$A$4:$I$43,9,FALSE))</f>
        <v>272220</v>
      </c>
      <c r="AE50">
        <f>IF(Q50=0,"",Q50*VLOOKUP(AE$2,[1]Needs!$A$4:$I$43,9,FALSE))</f>
        <v>17010</v>
      </c>
    </row>
    <row r="51" customHeight="1" spans="1:31">
      <c r="A51" s="62">
        <v>48</v>
      </c>
      <c r="B51" s="62">
        <v>425</v>
      </c>
      <c r="C51" s="62">
        <f t="shared" si="1"/>
        <v>574500</v>
      </c>
      <c r="D51" s="63"/>
      <c r="E51" s="63"/>
      <c r="F51" s="63"/>
      <c r="G51" s="63"/>
      <c r="H51" s="63"/>
      <c r="I51" s="63">
        <v>29</v>
      </c>
      <c r="J51" s="63">
        <v>216</v>
      </c>
      <c r="K51" s="63">
        <v>1875</v>
      </c>
      <c r="L51" s="63">
        <v>1375</v>
      </c>
      <c r="M51" s="63">
        <v>1250</v>
      </c>
      <c r="N51" s="63">
        <v>1250</v>
      </c>
      <c r="O51" s="63">
        <v>1625</v>
      </c>
      <c r="P51" s="63">
        <v>4999</v>
      </c>
      <c r="Q51" s="63">
        <v>625</v>
      </c>
      <c r="R51" t="str">
        <f>IF(D51=0,"",D51*VLOOKUP(R$2,[1]Needs!$A$4:$I$43,9,FALSE))</f>
        <v/>
      </c>
      <c r="S51" t="str">
        <f>IF(E51=0,"",E51*VLOOKUP(S$2,[1]Needs!$A$4:$I$43,9,FALSE))</f>
        <v/>
      </c>
      <c r="T51" t="str">
        <f>IF(F51=0,"",F51*VLOOKUP(T$2,[1]Needs!$A$4:$I$43,9,FALSE))</f>
        <v/>
      </c>
      <c r="U51" t="str">
        <f>IF(G51=0,"",G51*VLOOKUP(U$2,[1]Needs!$A$4:$I$43,9,FALSE))</f>
        <v/>
      </c>
      <c r="V51" t="str">
        <f>IF(H51=0,"",H51*VLOOKUP(V$2,[1]Needs!$A$4:$I$43,9,FALSE))</f>
        <v/>
      </c>
      <c r="W51">
        <f>IF(I51=0,"",I51*VLOOKUP(W$2,[1]Needs!$A$4:$I$43,9,FALSE))</f>
        <v>580</v>
      </c>
      <c r="X51">
        <f>IF(J51=0,"",J51*VLOOKUP(X$2,[1]Needs!$A$4:$I$43,9,FALSE))</f>
        <v>6480</v>
      </c>
      <c r="Y51">
        <f>IF(K51=0,"",K51*VLOOKUP(Y$2,[1]Needs!$A$4:$I$43,9,FALSE))</f>
        <v>56250</v>
      </c>
      <c r="Z51">
        <f>IF(L51=0,"",L51*VLOOKUP(Z$2,[1]Needs!$A$4:$I$43,9,FALSE))</f>
        <v>68750</v>
      </c>
      <c r="AA51">
        <f>IF(M51=0,"",M51*VLOOKUP(AA$2,[1]Needs!$A$4:$I$43,9,FALSE))</f>
        <v>37500</v>
      </c>
      <c r="AB51">
        <f>IF(N51=0,"",N51*VLOOKUP(AB$2,[1]Needs!$A$4:$I$43,9,FALSE))</f>
        <v>37500</v>
      </c>
      <c r="AC51">
        <f>IF(O51=0,"",O51*VLOOKUP(AC$2,[1]Needs!$A$4:$I$43,9,FALSE))</f>
        <v>48750</v>
      </c>
      <c r="AD51">
        <f>IF(P51=0,"",P51*VLOOKUP(AD$2,[1]Needs!$A$4:$I$43,9,FALSE))</f>
        <v>299940</v>
      </c>
      <c r="AE51">
        <f>IF(Q51=0,"",Q51*VLOOKUP(AE$2,[1]Needs!$A$4:$I$43,9,FALSE))</f>
        <v>18750</v>
      </c>
    </row>
    <row r="52" customHeight="1" spans="1:31">
      <c r="A52" s="62">
        <v>49</v>
      </c>
      <c r="B52" s="62">
        <v>450</v>
      </c>
      <c r="C52" s="62">
        <f t="shared" si="1"/>
        <v>630370</v>
      </c>
      <c r="D52" s="63"/>
      <c r="E52" s="63"/>
      <c r="F52" s="63"/>
      <c r="G52" s="63"/>
      <c r="H52" s="63"/>
      <c r="I52" s="63">
        <v>29</v>
      </c>
      <c r="J52" s="63">
        <v>216</v>
      </c>
      <c r="K52" s="63">
        <v>2046</v>
      </c>
      <c r="L52" s="63">
        <v>1500</v>
      </c>
      <c r="M52" s="63">
        <v>1364</v>
      </c>
      <c r="N52" s="63">
        <v>1364</v>
      </c>
      <c r="O52" s="63">
        <v>1773</v>
      </c>
      <c r="P52" s="63">
        <v>5456</v>
      </c>
      <c r="Q52" s="63">
        <v>818</v>
      </c>
      <c r="R52" t="str">
        <f>IF(D52=0,"",D52*VLOOKUP(R$2,[1]Needs!$A$4:$I$43,9,FALSE))</f>
        <v/>
      </c>
      <c r="S52" t="str">
        <f>IF(E52=0,"",E52*VLOOKUP(S$2,[1]Needs!$A$4:$I$43,9,FALSE))</f>
        <v/>
      </c>
      <c r="T52" t="str">
        <f>IF(F52=0,"",F52*VLOOKUP(T$2,[1]Needs!$A$4:$I$43,9,FALSE))</f>
        <v/>
      </c>
      <c r="U52" t="str">
        <f>IF(G52=0,"",G52*VLOOKUP(U$2,[1]Needs!$A$4:$I$43,9,FALSE))</f>
        <v/>
      </c>
      <c r="V52" t="str">
        <f>IF(H52=0,"",H52*VLOOKUP(V$2,[1]Needs!$A$4:$I$43,9,FALSE))</f>
        <v/>
      </c>
      <c r="W52">
        <f>IF(I52=0,"",I52*VLOOKUP(W$2,[1]Needs!$A$4:$I$43,9,FALSE))</f>
        <v>580</v>
      </c>
      <c r="X52">
        <f>IF(J52=0,"",J52*VLOOKUP(X$2,[1]Needs!$A$4:$I$43,9,FALSE))</f>
        <v>6480</v>
      </c>
      <c r="Y52">
        <f>IF(K52=0,"",K52*VLOOKUP(Y$2,[1]Needs!$A$4:$I$43,9,FALSE))</f>
        <v>61380</v>
      </c>
      <c r="Z52">
        <f>IF(L52=0,"",L52*VLOOKUP(Z$2,[1]Needs!$A$4:$I$43,9,FALSE))</f>
        <v>75000</v>
      </c>
      <c r="AA52">
        <f>IF(M52=0,"",M52*VLOOKUP(AA$2,[1]Needs!$A$4:$I$43,9,FALSE))</f>
        <v>40920</v>
      </c>
      <c r="AB52">
        <f>IF(N52=0,"",N52*VLOOKUP(AB$2,[1]Needs!$A$4:$I$43,9,FALSE))</f>
        <v>40920</v>
      </c>
      <c r="AC52">
        <f>IF(O52=0,"",O52*VLOOKUP(AC$2,[1]Needs!$A$4:$I$43,9,FALSE))</f>
        <v>53190</v>
      </c>
      <c r="AD52">
        <f>IF(P52=0,"",P52*VLOOKUP(AD$2,[1]Needs!$A$4:$I$43,9,FALSE))</f>
        <v>327360</v>
      </c>
      <c r="AE52">
        <f>IF(Q52=0,"",Q52*VLOOKUP(AE$2,[1]Needs!$A$4:$I$43,9,FALSE))</f>
        <v>24540</v>
      </c>
    </row>
    <row r="53" customHeight="1" spans="1:31">
      <c r="A53" s="62">
        <v>50</v>
      </c>
      <c r="B53" s="62">
        <v>475</v>
      </c>
      <c r="C53" s="62">
        <f t="shared" si="1"/>
        <v>690820</v>
      </c>
      <c r="D53" s="63"/>
      <c r="E53" s="63"/>
      <c r="F53" s="63"/>
      <c r="G53" s="63"/>
      <c r="H53" s="63"/>
      <c r="I53" s="63">
        <v>29</v>
      </c>
      <c r="J53" s="63">
        <v>216</v>
      </c>
      <c r="K53" s="63">
        <v>2254</v>
      </c>
      <c r="L53" s="63">
        <v>1503</v>
      </c>
      <c r="M53" s="63">
        <v>1503</v>
      </c>
      <c r="N53" s="63">
        <v>1503</v>
      </c>
      <c r="O53" s="63">
        <v>1953</v>
      </c>
      <c r="P53" s="63">
        <v>6011</v>
      </c>
      <c r="Q53" s="63">
        <v>1052</v>
      </c>
      <c r="R53" t="str">
        <f>IF(D53=0,"",D53*VLOOKUP(R$2,[1]Needs!$A$4:$I$43,9,FALSE))</f>
        <v/>
      </c>
      <c r="S53" t="str">
        <f>IF(E53=0,"",E53*VLOOKUP(S$2,[1]Needs!$A$4:$I$43,9,FALSE))</f>
        <v/>
      </c>
      <c r="T53" t="str">
        <f>IF(F53=0,"",F53*VLOOKUP(T$2,[1]Needs!$A$4:$I$43,9,FALSE))</f>
        <v/>
      </c>
      <c r="U53" t="str">
        <f>IF(G53=0,"",G53*VLOOKUP(U$2,[1]Needs!$A$4:$I$43,9,FALSE))</f>
        <v/>
      </c>
      <c r="V53" t="str">
        <f>IF(H53=0,"",H53*VLOOKUP(V$2,[1]Needs!$A$4:$I$43,9,FALSE))</f>
        <v/>
      </c>
      <c r="W53">
        <f>IF(I53=0,"",I53*VLOOKUP(W$2,[1]Needs!$A$4:$I$43,9,FALSE))</f>
        <v>580</v>
      </c>
      <c r="X53">
        <f>IF(J53=0,"",J53*VLOOKUP(X$2,[1]Needs!$A$4:$I$43,9,FALSE))</f>
        <v>6480</v>
      </c>
      <c r="Y53">
        <f>IF(K53=0,"",K53*VLOOKUP(Y$2,[1]Needs!$A$4:$I$43,9,FALSE))</f>
        <v>67620</v>
      </c>
      <c r="Z53">
        <f>IF(L53=0,"",L53*VLOOKUP(Z$2,[1]Needs!$A$4:$I$43,9,FALSE))</f>
        <v>75150</v>
      </c>
      <c r="AA53">
        <f>IF(M53=0,"",M53*VLOOKUP(AA$2,[1]Needs!$A$4:$I$43,9,FALSE))</f>
        <v>45090</v>
      </c>
      <c r="AB53">
        <f>IF(N53=0,"",N53*VLOOKUP(AB$2,[1]Needs!$A$4:$I$43,9,FALSE))</f>
        <v>45090</v>
      </c>
      <c r="AC53">
        <f>IF(O53=0,"",O53*VLOOKUP(AC$2,[1]Needs!$A$4:$I$43,9,FALSE))</f>
        <v>58590</v>
      </c>
      <c r="AD53">
        <f>IF(P53=0,"",P53*VLOOKUP(AD$2,[1]Needs!$A$4:$I$43,9,FALSE))</f>
        <v>360660</v>
      </c>
      <c r="AE53">
        <f>IF(Q53=0,"",Q53*VLOOKUP(AE$2,[1]Needs!$A$4:$I$43,9,FALSE))</f>
        <v>31560</v>
      </c>
    </row>
    <row r="54" customHeight="1" spans="1:31">
      <c r="A54" s="62">
        <v>51</v>
      </c>
      <c r="B54" s="62">
        <v>500</v>
      </c>
      <c r="C54" s="62">
        <f t="shared" si="1"/>
        <v>758090</v>
      </c>
      <c r="D54" s="63"/>
      <c r="E54" s="63"/>
      <c r="F54" s="63"/>
      <c r="G54" s="63"/>
      <c r="H54" s="63"/>
      <c r="I54" s="63">
        <v>29</v>
      </c>
      <c r="J54" s="63">
        <v>216</v>
      </c>
      <c r="K54" s="63">
        <v>2459</v>
      </c>
      <c r="L54" s="63">
        <v>1640</v>
      </c>
      <c r="M54" s="63">
        <v>1640</v>
      </c>
      <c r="N54" s="63">
        <v>1640</v>
      </c>
      <c r="O54" s="63">
        <v>1968</v>
      </c>
      <c r="P54" s="63">
        <v>6559</v>
      </c>
      <c r="Q54" s="63">
        <v>1476</v>
      </c>
      <c r="R54" t="str">
        <f>IF(D54=0,"",D54*VLOOKUP(R$2,[1]Needs!$A$4:$I$43,9,FALSE))</f>
        <v/>
      </c>
      <c r="S54" t="str">
        <f>IF(E54=0,"",E54*VLOOKUP(S$2,[1]Needs!$A$4:$I$43,9,FALSE))</f>
        <v/>
      </c>
      <c r="T54" t="str">
        <f>IF(F54=0,"",F54*VLOOKUP(T$2,[1]Needs!$A$4:$I$43,9,FALSE))</f>
        <v/>
      </c>
      <c r="U54" t="str">
        <f>IF(G54=0,"",G54*VLOOKUP(U$2,[1]Needs!$A$4:$I$43,9,FALSE))</f>
        <v/>
      </c>
      <c r="V54" t="str">
        <f>IF(H54=0,"",H54*VLOOKUP(V$2,[1]Needs!$A$4:$I$43,9,FALSE))</f>
        <v/>
      </c>
      <c r="W54">
        <f>IF(I54=0,"",I54*VLOOKUP(W$2,[1]Needs!$A$4:$I$43,9,FALSE))</f>
        <v>580</v>
      </c>
      <c r="X54">
        <f>IF(J54=0,"",J54*VLOOKUP(X$2,[1]Needs!$A$4:$I$43,9,FALSE))</f>
        <v>6480</v>
      </c>
      <c r="Y54">
        <f>IF(K54=0,"",K54*VLOOKUP(Y$2,[1]Needs!$A$4:$I$43,9,FALSE))</f>
        <v>73770</v>
      </c>
      <c r="Z54">
        <f>IF(L54=0,"",L54*VLOOKUP(Z$2,[1]Needs!$A$4:$I$43,9,FALSE))</f>
        <v>82000</v>
      </c>
      <c r="AA54">
        <f>IF(M54=0,"",M54*VLOOKUP(AA$2,[1]Needs!$A$4:$I$43,9,FALSE))</f>
        <v>49200</v>
      </c>
      <c r="AB54">
        <f>IF(N54=0,"",N54*VLOOKUP(AB$2,[1]Needs!$A$4:$I$43,9,FALSE))</f>
        <v>49200</v>
      </c>
      <c r="AC54">
        <f>IF(O54=0,"",O54*VLOOKUP(AC$2,[1]Needs!$A$4:$I$43,9,FALSE))</f>
        <v>59040</v>
      </c>
      <c r="AD54">
        <f>IF(P54=0,"",P54*VLOOKUP(AD$2,[1]Needs!$A$4:$I$43,9,FALSE))</f>
        <v>393540</v>
      </c>
      <c r="AE54">
        <f>IF(Q54=0,"",Q54*VLOOKUP(AE$2,[1]Needs!$A$4:$I$43,9,FALSE))</f>
        <v>44280</v>
      </c>
    </row>
    <row r="55" customHeight="1" spans="1:31">
      <c r="A55" s="62">
        <v>52</v>
      </c>
      <c r="B55" s="62">
        <v>525</v>
      </c>
      <c r="C55" s="62">
        <f t="shared" si="1"/>
        <v>829630</v>
      </c>
      <c r="D55" s="63"/>
      <c r="E55" s="63"/>
      <c r="F55" s="63"/>
      <c r="G55" s="63"/>
      <c r="H55" s="63"/>
      <c r="I55" s="63">
        <v>29</v>
      </c>
      <c r="J55" s="63">
        <v>216</v>
      </c>
      <c r="K55" s="63">
        <v>2659</v>
      </c>
      <c r="L55" s="63">
        <v>1773</v>
      </c>
      <c r="M55" s="63">
        <v>1773</v>
      </c>
      <c r="N55" s="63">
        <v>1773</v>
      </c>
      <c r="O55" s="63">
        <v>2127</v>
      </c>
      <c r="P55" s="63">
        <v>7091</v>
      </c>
      <c r="Q55" s="63">
        <v>1950</v>
      </c>
      <c r="R55" t="str">
        <f>IF(D55=0,"",D55*VLOOKUP(R$2,[1]Needs!$A$4:$I$43,9,FALSE))</f>
        <v/>
      </c>
      <c r="S55" t="str">
        <f>IF(E55=0,"",E55*VLOOKUP(S$2,[1]Needs!$A$4:$I$43,9,FALSE))</f>
        <v/>
      </c>
      <c r="T55" t="str">
        <f>IF(F55=0,"",F55*VLOOKUP(T$2,[1]Needs!$A$4:$I$43,9,FALSE))</f>
        <v/>
      </c>
      <c r="U55" t="str">
        <f>IF(G55=0,"",G55*VLOOKUP(U$2,[1]Needs!$A$4:$I$43,9,FALSE))</f>
        <v/>
      </c>
      <c r="V55" t="str">
        <f>IF(H55=0,"",H55*VLOOKUP(V$2,[1]Needs!$A$4:$I$43,9,FALSE))</f>
        <v/>
      </c>
      <c r="W55">
        <f>IF(I55=0,"",I55*VLOOKUP(W$2,[1]Needs!$A$4:$I$43,9,FALSE))</f>
        <v>580</v>
      </c>
      <c r="X55">
        <f>IF(J55=0,"",J55*VLOOKUP(X$2,[1]Needs!$A$4:$I$43,9,FALSE))</f>
        <v>6480</v>
      </c>
      <c r="Y55">
        <f>IF(K55=0,"",K55*VLOOKUP(Y$2,[1]Needs!$A$4:$I$43,9,FALSE))</f>
        <v>79770</v>
      </c>
      <c r="Z55">
        <f>IF(L55=0,"",L55*VLOOKUP(Z$2,[1]Needs!$A$4:$I$43,9,FALSE))</f>
        <v>88650</v>
      </c>
      <c r="AA55">
        <f>IF(M55=0,"",M55*VLOOKUP(AA$2,[1]Needs!$A$4:$I$43,9,FALSE))</f>
        <v>53190</v>
      </c>
      <c r="AB55">
        <f>IF(N55=0,"",N55*VLOOKUP(AB$2,[1]Needs!$A$4:$I$43,9,FALSE))</f>
        <v>53190</v>
      </c>
      <c r="AC55">
        <f>IF(O55=0,"",O55*VLOOKUP(AC$2,[1]Needs!$A$4:$I$43,9,FALSE))</f>
        <v>63810</v>
      </c>
      <c r="AD55">
        <f>IF(P55=0,"",P55*VLOOKUP(AD$2,[1]Needs!$A$4:$I$43,9,FALSE))</f>
        <v>425460</v>
      </c>
      <c r="AE55">
        <f>IF(Q55=0,"",Q55*VLOOKUP(AE$2,[1]Needs!$A$4:$I$43,9,FALSE))</f>
        <v>58500</v>
      </c>
    </row>
    <row r="56" customHeight="1" spans="1:31">
      <c r="A56" s="62">
        <v>53</v>
      </c>
      <c r="B56" s="62">
        <v>550</v>
      </c>
      <c r="C56" s="62">
        <f t="shared" si="1"/>
        <v>908020</v>
      </c>
      <c r="D56" s="63"/>
      <c r="E56" s="63"/>
      <c r="F56" s="63"/>
      <c r="G56" s="63"/>
      <c r="H56" s="63"/>
      <c r="I56" s="63">
        <v>29</v>
      </c>
      <c r="J56" s="63">
        <v>216</v>
      </c>
      <c r="K56" s="63">
        <v>2875</v>
      </c>
      <c r="L56" s="63">
        <v>1917</v>
      </c>
      <c r="M56" s="63">
        <v>1917</v>
      </c>
      <c r="N56" s="63">
        <v>1917</v>
      </c>
      <c r="O56" s="63">
        <v>2300</v>
      </c>
      <c r="P56" s="63">
        <v>7668</v>
      </c>
      <c r="Q56" s="63">
        <v>2492</v>
      </c>
      <c r="R56" t="str">
        <f>IF(D56=0,"",D56*VLOOKUP(R$2,[1]Needs!$A$4:$I$43,9,FALSE))</f>
        <v/>
      </c>
      <c r="S56" t="str">
        <f>IF(E56=0,"",E56*VLOOKUP(S$2,[1]Needs!$A$4:$I$43,9,FALSE))</f>
        <v/>
      </c>
      <c r="T56" t="str">
        <f>IF(F56=0,"",F56*VLOOKUP(T$2,[1]Needs!$A$4:$I$43,9,FALSE))</f>
        <v/>
      </c>
      <c r="U56" t="str">
        <f>IF(G56=0,"",G56*VLOOKUP(U$2,[1]Needs!$A$4:$I$43,9,FALSE))</f>
        <v/>
      </c>
      <c r="V56" t="str">
        <f>IF(H56=0,"",H56*VLOOKUP(V$2,[1]Needs!$A$4:$I$43,9,FALSE))</f>
        <v/>
      </c>
      <c r="W56">
        <f>IF(I56=0,"",I56*VLOOKUP(W$2,[1]Needs!$A$4:$I$43,9,FALSE))</f>
        <v>580</v>
      </c>
      <c r="X56">
        <f>IF(J56=0,"",J56*VLOOKUP(X$2,[1]Needs!$A$4:$I$43,9,FALSE))</f>
        <v>6480</v>
      </c>
      <c r="Y56">
        <f>IF(K56=0,"",K56*VLOOKUP(Y$2,[1]Needs!$A$4:$I$43,9,FALSE))</f>
        <v>86250</v>
      </c>
      <c r="Z56">
        <f>IF(L56=0,"",L56*VLOOKUP(Z$2,[1]Needs!$A$4:$I$43,9,FALSE))</f>
        <v>95850</v>
      </c>
      <c r="AA56">
        <f>IF(M56=0,"",M56*VLOOKUP(AA$2,[1]Needs!$A$4:$I$43,9,FALSE))</f>
        <v>57510</v>
      </c>
      <c r="AB56">
        <f>IF(N56=0,"",N56*VLOOKUP(AB$2,[1]Needs!$A$4:$I$43,9,FALSE))</f>
        <v>57510</v>
      </c>
      <c r="AC56">
        <f>IF(O56=0,"",O56*VLOOKUP(AC$2,[1]Needs!$A$4:$I$43,9,FALSE))</f>
        <v>69000</v>
      </c>
      <c r="AD56">
        <f>IF(P56=0,"",P56*VLOOKUP(AD$2,[1]Needs!$A$4:$I$43,9,FALSE))</f>
        <v>460080</v>
      </c>
      <c r="AE56">
        <f>IF(Q56=0,"",Q56*VLOOKUP(AE$2,[1]Needs!$A$4:$I$43,9,FALSE))</f>
        <v>74760</v>
      </c>
    </row>
    <row r="57" customHeight="1" spans="1:31">
      <c r="A57" s="62">
        <v>54</v>
      </c>
      <c r="B57" s="62">
        <v>575</v>
      </c>
      <c r="C57" s="62">
        <f t="shared" si="1"/>
        <v>993910</v>
      </c>
      <c r="D57" s="63"/>
      <c r="E57" s="63"/>
      <c r="F57" s="63"/>
      <c r="G57" s="63"/>
      <c r="H57" s="63"/>
      <c r="I57" s="63">
        <v>29</v>
      </c>
      <c r="J57" s="63">
        <v>216</v>
      </c>
      <c r="K57" s="63">
        <v>3110</v>
      </c>
      <c r="L57" s="63">
        <v>2073</v>
      </c>
      <c r="M57" s="63">
        <v>2073</v>
      </c>
      <c r="N57" s="63">
        <v>2073</v>
      </c>
      <c r="O57" s="63">
        <v>2488</v>
      </c>
      <c r="P57" s="63">
        <v>8293</v>
      </c>
      <c r="Q57" s="63">
        <v>3110</v>
      </c>
      <c r="R57" t="str">
        <f>IF(D57=0,"",D57*VLOOKUP(R$2,[1]Needs!$A$4:$I$43,9,FALSE))</f>
        <v/>
      </c>
      <c r="S57" t="str">
        <f>IF(E57=0,"",E57*VLOOKUP(S$2,[1]Needs!$A$4:$I$43,9,FALSE))</f>
        <v/>
      </c>
      <c r="T57" t="str">
        <f>IF(F57=0,"",F57*VLOOKUP(T$2,[1]Needs!$A$4:$I$43,9,FALSE))</f>
        <v/>
      </c>
      <c r="U57" t="str">
        <f>IF(G57=0,"",G57*VLOOKUP(U$2,[1]Needs!$A$4:$I$43,9,FALSE))</f>
        <v/>
      </c>
      <c r="V57" t="str">
        <f>IF(H57=0,"",H57*VLOOKUP(V$2,[1]Needs!$A$4:$I$43,9,FALSE))</f>
        <v/>
      </c>
      <c r="W57">
        <f>IF(I57=0,"",I57*VLOOKUP(W$2,[1]Needs!$A$4:$I$43,9,FALSE))</f>
        <v>580</v>
      </c>
      <c r="X57">
        <f>IF(J57=0,"",J57*VLOOKUP(X$2,[1]Needs!$A$4:$I$43,9,FALSE))</f>
        <v>6480</v>
      </c>
      <c r="Y57">
        <f>IF(K57=0,"",K57*VLOOKUP(Y$2,[1]Needs!$A$4:$I$43,9,FALSE))</f>
        <v>93300</v>
      </c>
      <c r="Z57">
        <f>IF(L57=0,"",L57*VLOOKUP(Z$2,[1]Needs!$A$4:$I$43,9,FALSE))</f>
        <v>103650</v>
      </c>
      <c r="AA57">
        <f>IF(M57=0,"",M57*VLOOKUP(AA$2,[1]Needs!$A$4:$I$43,9,FALSE))</f>
        <v>62190</v>
      </c>
      <c r="AB57">
        <f>IF(N57=0,"",N57*VLOOKUP(AB$2,[1]Needs!$A$4:$I$43,9,FALSE))</f>
        <v>62190</v>
      </c>
      <c r="AC57">
        <f>IF(O57=0,"",O57*VLOOKUP(AC$2,[1]Needs!$A$4:$I$43,9,FALSE))</f>
        <v>74640</v>
      </c>
      <c r="AD57">
        <f>IF(P57=0,"",P57*VLOOKUP(AD$2,[1]Needs!$A$4:$I$43,9,FALSE))</f>
        <v>497580</v>
      </c>
      <c r="AE57">
        <f>IF(Q57=0,"",Q57*VLOOKUP(AE$2,[1]Needs!$A$4:$I$43,9,FALSE))</f>
        <v>93300</v>
      </c>
    </row>
    <row r="58" customHeight="1" spans="1:31">
      <c r="A58" s="64">
        <v>55</v>
      </c>
      <c r="B58" s="64">
        <v>600</v>
      </c>
      <c r="C58" s="64">
        <f t="shared" si="1"/>
        <v>1090750</v>
      </c>
      <c r="D58" s="65"/>
      <c r="E58" s="65"/>
      <c r="F58" s="65"/>
      <c r="G58" s="65"/>
      <c r="H58" s="65"/>
      <c r="I58" s="65">
        <v>29</v>
      </c>
      <c r="J58" s="65">
        <v>216</v>
      </c>
      <c r="K58" s="65">
        <v>3394</v>
      </c>
      <c r="L58" s="65">
        <v>2262</v>
      </c>
      <c r="M58" s="65">
        <v>2262</v>
      </c>
      <c r="N58" s="65">
        <v>2262</v>
      </c>
      <c r="O58" s="65">
        <v>2489</v>
      </c>
      <c r="P58" s="65">
        <v>9050</v>
      </c>
      <c r="Q58" s="65">
        <v>3846</v>
      </c>
      <c r="S58" t="str">
        <f>IF(E58=0,"",E58*VLOOKUP(S$2,[1]Needs!$A$4:$I$43,9,FALSE))</f>
        <v/>
      </c>
      <c r="T58" t="str">
        <f>IF(F58=0,"",F58*VLOOKUP(T$2,[1]Needs!$A$4:$I$43,9,FALSE))</f>
        <v/>
      </c>
      <c r="U58" t="str">
        <f>IF(G58=0,"",G58*VLOOKUP(U$2,[1]Needs!$A$4:$I$43,9,FALSE))</f>
        <v/>
      </c>
      <c r="V58" t="str">
        <f>IF(H58=0,"",H58*VLOOKUP(V$2,[1]Needs!$A$4:$I$43,9,FALSE))</f>
        <v/>
      </c>
      <c r="W58">
        <f>IF(I58=0,"",I58*VLOOKUP(W$2,[1]Needs!$A$4:$I$43,9,FALSE))</f>
        <v>580</v>
      </c>
      <c r="X58">
        <f>IF(J58=0,"",J58*VLOOKUP(X$2,[1]Needs!$A$4:$I$43,9,FALSE))</f>
        <v>6480</v>
      </c>
      <c r="Y58">
        <f>IF(K58=0,"",K58*VLOOKUP(Y$2,[1]Needs!$A$4:$I$43,9,FALSE))</f>
        <v>101820</v>
      </c>
      <c r="Z58">
        <f>IF(L58=0,"",L58*VLOOKUP(Z$2,[1]Needs!$A$4:$I$43,9,FALSE))</f>
        <v>113100</v>
      </c>
      <c r="AA58">
        <f>IF(M58=0,"",M58*VLOOKUP(AA$2,[1]Needs!$A$4:$I$43,9,FALSE))</f>
        <v>67860</v>
      </c>
      <c r="AB58">
        <f>IF(N58=0,"",N58*VLOOKUP(AB$2,[1]Needs!$A$4:$I$43,9,FALSE))</f>
        <v>67860</v>
      </c>
      <c r="AC58">
        <f>IF(O58=0,"",O58*VLOOKUP(AC$2,[1]Needs!$A$4:$I$43,9,FALSE))</f>
        <v>74670</v>
      </c>
      <c r="AD58">
        <f>IF(P58=0,"",P58*VLOOKUP(AD$2,[1]Needs!$A$4:$I$43,9,FALSE))</f>
        <v>543000</v>
      </c>
      <c r="AE58">
        <f>IF(Q58=0,"",Q58*VLOOKUP(AE$2,[1]Needs!$A$4:$I$43,9,FALSE))</f>
        <v>115380</v>
      </c>
    </row>
    <row r="59" customHeight="1" spans="1:31">
      <c r="A59" s="64">
        <v>56</v>
      </c>
      <c r="B59" s="64">
        <v>620</v>
      </c>
      <c r="C59" s="64">
        <f t="shared" si="1"/>
        <v>1194130</v>
      </c>
      <c r="D59" s="65"/>
      <c r="E59" s="65"/>
      <c r="F59" s="65"/>
      <c r="G59" s="65"/>
      <c r="H59" s="65"/>
      <c r="I59" s="65">
        <v>29</v>
      </c>
      <c r="J59" s="65">
        <v>216</v>
      </c>
      <c r="K59" s="65">
        <v>3671</v>
      </c>
      <c r="L59" s="65">
        <v>2448</v>
      </c>
      <c r="M59" s="65">
        <v>2448</v>
      </c>
      <c r="N59" s="65">
        <v>2448</v>
      </c>
      <c r="O59" s="65">
        <v>2692</v>
      </c>
      <c r="P59" s="65">
        <v>9790</v>
      </c>
      <c r="Q59" s="65">
        <v>4650</v>
      </c>
      <c r="R59" t="str">
        <f>IF(D59=0,"",D59*VLOOKUP(R$2,[1]Needs!$A$4:$I$43,9,FALSE))</f>
        <v/>
      </c>
      <c r="S59" t="str">
        <f>IF(E59=0,"",E59*VLOOKUP(S$2,[1]Needs!$A$4:$I$43,9,FALSE))</f>
        <v/>
      </c>
      <c r="T59" t="str">
        <f>IF(F59=0,"",F59*VLOOKUP(T$2,[1]Needs!$A$4:$I$43,9,FALSE))</f>
        <v/>
      </c>
      <c r="U59" t="str">
        <f>IF(G59=0,"",G59*VLOOKUP(U$2,[1]Needs!$A$4:$I$43,9,FALSE))</f>
        <v/>
      </c>
      <c r="V59" t="str">
        <f>IF(H59=0,"",H59*VLOOKUP(V$2,[1]Needs!$A$4:$I$43,9,FALSE))</f>
        <v/>
      </c>
      <c r="W59">
        <f>IF(I59=0,"",I59*VLOOKUP(W$2,[1]Needs!$A$4:$I$43,9,FALSE))</f>
        <v>580</v>
      </c>
      <c r="X59">
        <f>IF(J59=0,"",J59*VLOOKUP(X$2,[1]Needs!$A$4:$I$43,9,FALSE))</f>
        <v>6480</v>
      </c>
      <c r="Y59">
        <f>IF(K59=0,"",K59*VLOOKUP(Y$2,[1]Needs!$A$4:$I$43,9,FALSE))</f>
        <v>110130</v>
      </c>
      <c r="Z59">
        <f>IF(L59=0,"",L59*VLOOKUP(Z$2,[1]Needs!$A$4:$I$43,9,FALSE))</f>
        <v>122400</v>
      </c>
      <c r="AA59">
        <f>IF(M59=0,"",M59*VLOOKUP(AA$2,[1]Needs!$A$4:$I$43,9,FALSE))</f>
        <v>73440</v>
      </c>
      <c r="AB59">
        <f>IF(N59=0,"",N59*VLOOKUP(AB$2,[1]Needs!$A$4:$I$43,9,FALSE))</f>
        <v>73440</v>
      </c>
      <c r="AC59">
        <f>IF(O59=0,"",O59*VLOOKUP(AC$2,[1]Needs!$A$4:$I$43,9,FALSE))</f>
        <v>80760</v>
      </c>
      <c r="AD59">
        <f>IF(P59=0,"",P59*VLOOKUP(AD$2,[1]Needs!$A$4:$I$43,9,FALSE))</f>
        <v>587400</v>
      </c>
      <c r="AE59">
        <f>IF(Q59=0,"",Q59*VLOOKUP(AE$2,[1]Needs!$A$4:$I$43,9,FALSE))</f>
        <v>139500</v>
      </c>
    </row>
    <row r="60" customHeight="1" spans="1:31">
      <c r="A60" s="64">
        <v>57</v>
      </c>
      <c r="B60" s="64">
        <v>640</v>
      </c>
      <c r="C60" s="64">
        <f t="shared" si="1"/>
        <v>1307420</v>
      </c>
      <c r="D60" s="65"/>
      <c r="E60" s="65"/>
      <c r="F60" s="65"/>
      <c r="G60" s="65"/>
      <c r="H60" s="65"/>
      <c r="I60" s="65">
        <v>29</v>
      </c>
      <c r="J60" s="65">
        <v>216</v>
      </c>
      <c r="K60" s="65">
        <v>3973</v>
      </c>
      <c r="L60" s="65">
        <v>2648</v>
      </c>
      <c r="M60" s="65">
        <v>2648</v>
      </c>
      <c r="N60" s="65">
        <v>2648</v>
      </c>
      <c r="O60" s="65">
        <v>2913</v>
      </c>
      <c r="P60" s="65">
        <v>10594</v>
      </c>
      <c r="Q60" s="65">
        <v>5562</v>
      </c>
      <c r="R60" t="str">
        <f>IF(D60=0,"",D60*VLOOKUP(R$2,[1]Needs!$A$4:$I$43,9,FALSE))</f>
        <v/>
      </c>
      <c r="S60" t="str">
        <f>IF(E60=0,"",E60*VLOOKUP(S$2,[1]Needs!$A$4:$I$43,9,FALSE))</f>
        <v/>
      </c>
      <c r="T60" t="str">
        <f>IF(F60=0,"",F60*VLOOKUP(T$2,[1]Needs!$A$4:$I$43,9,FALSE))</f>
        <v/>
      </c>
      <c r="U60" t="str">
        <f>IF(G60=0,"",G60*VLOOKUP(U$2,[1]Needs!$A$4:$I$43,9,FALSE))</f>
        <v/>
      </c>
      <c r="V60" t="str">
        <f>IF(H60=0,"",H60*VLOOKUP(V$2,[1]Needs!$A$4:$I$43,9,FALSE))</f>
        <v/>
      </c>
      <c r="W60">
        <f>IF(I60=0,"",I60*VLOOKUP(W$2,[1]Needs!$A$4:$I$43,9,FALSE))</f>
        <v>580</v>
      </c>
      <c r="X60">
        <f>IF(J60=0,"",J60*VLOOKUP(X$2,[1]Needs!$A$4:$I$43,9,FALSE))</f>
        <v>6480</v>
      </c>
      <c r="Y60">
        <f>IF(K60=0,"",K60*VLOOKUP(Y$2,[1]Needs!$A$4:$I$43,9,FALSE))</f>
        <v>119190</v>
      </c>
      <c r="Z60">
        <f>IF(L60=0,"",L60*VLOOKUP(Z$2,[1]Needs!$A$4:$I$43,9,FALSE))</f>
        <v>132400</v>
      </c>
      <c r="AA60">
        <f>IF(M60=0,"",M60*VLOOKUP(AA$2,[1]Needs!$A$4:$I$43,9,FALSE))</f>
        <v>79440</v>
      </c>
      <c r="AB60">
        <f>IF(N60=0,"",N60*VLOOKUP(AB$2,[1]Needs!$A$4:$I$43,9,FALSE))</f>
        <v>79440</v>
      </c>
      <c r="AC60">
        <f>IF(O60=0,"",O60*VLOOKUP(AC$2,[1]Needs!$A$4:$I$43,9,FALSE))</f>
        <v>87390</v>
      </c>
      <c r="AD60">
        <f>IF(P60=0,"",P60*VLOOKUP(AD$2,[1]Needs!$A$4:$I$43,9,FALSE))</f>
        <v>635640</v>
      </c>
      <c r="AE60">
        <f>IF(Q60=0,"",Q60*VLOOKUP(AE$2,[1]Needs!$A$4:$I$43,9,FALSE))</f>
        <v>166860</v>
      </c>
    </row>
    <row r="61" customHeight="1" spans="1:31">
      <c r="A61" s="64">
        <v>58</v>
      </c>
      <c r="B61" s="64">
        <v>660</v>
      </c>
      <c r="C61" s="64">
        <f t="shared" si="1"/>
        <v>1431600</v>
      </c>
      <c r="D61" s="65"/>
      <c r="E61" s="65"/>
      <c r="F61" s="65"/>
      <c r="G61" s="65"/>
      <c r="H61" s="65"/>
      <c r="I61" s="65">
        <v>29</v>
      </c>
      <c r="J61" s="65">
        <v>216</v>
      </c>
      <c r="K61" s="65">
        <v>4300</v>
      </c>
      <c r="L61" s="65">
        <v>2866</v>
      </c>
      <c r="M61" s="65">
        <v>2866</v>
      </c>
      <c r="N61" s="65">
        <v>2866</v>
      </c>
      <c r="O61" s="65">
        <v>3153</v>
      </c>
      <c r="P61" s="65">
        <v>11465</v>
      </c>
      <c r="Q61" s="65">
        <v>6593</v>
      </c>
      <c r="R61" t="str">
        <f>IF(D61=0,"",D61*VLOOKUP(R$2,[1]Needs!$A$4:$I$43,9,FALSE))</f>
        <v/>
      </c>
      <c r="S61" t="str">
        <f>IF(E61=0,"",E61*VLOOKUP(S$2,[1]Needs!$A$4:$I$43,9,FALSE))</f>
        <v/>
      </c>
      <c r="T61" t="str">
        <f>IF(F61=0,"",F61*VLOOKUP(T$2,[1]Needs!$A$4:$I$43,9,FALSE))</f>
        <v/>
      </c>
      <c r="U61" t="str">
        <f>IF(G61=0,"",G61*VLOOKUP(U$2,[1]Needs!$A$4:$I$43,9,FALSE))</f>
        <v/>
      </c>
      <c r="V61" t="str">
        <f>IF(H61=0,"",H61*VLOOKUP(V$2,[1]Needs!$A$4:$I$43,9,FALSE))</f>
        <v/>
      </c>
      <c r="W61">
        <f>IF(I61=0,"",I61*VLOOKUP(W$2,[1]Needs!$A$4:$I$43,9,FALSE))</f>
        <v>580</v>
      </c>
      <c r="X61">
        <f>IF(J61=0,"",J61*VLOOKUP(X$2,[1]Needs!$A$4:$I$43,9,FALSE))</f>
        <v>6480</v>
      </c>
      <c r="Y61">
        <f>IF(K61=0,"",K61*VLOOKUP(Y$2,[1]Needs!$A$4:$I$43,9,FALSE))</f>
        <v>129000</v>
      </c>
      <c r="Z61">
        <f>IF(L61=0,"",L61*VLOOKUP(Z$2,[1]Needs!$A$4:$I$43,9,FALSE))</f>
        <v>143300</v>
      </c>
      <c r="AA61">
        <f>IF(M61=0,"",M61*VLOOKUP(AA$2,[1]Needs!$A$4:$I$43,9,FALSE))</f>
        <v>85980</v>
      </c>
      <c r="AB61">
        <f>IF(N61=0,"",N61*VLOOKUP(AB$2,[1]Needs!$A$4:$I$43,9,FALSE))</f>
        <v>85980</v>
      </c>
      <c r="AC61">
        <f>IF(O61=0,"",O61*VLOOKUP(AC$2,[1]Needs!$A$4:$I$43,9,FALSE))</f>
        <v>94590</v>
      </c>
      <c r="AD61">
        <f>IF(P61=0,"",P61*VLOOKUP(AD$2,[1]Needs!$A$4:$I$43,9,FALSE))</f>
        <v>687900</v>
      </c>
      <c r="AE61">
        <f>IF(Q61=0,"",Q61*VLOOKUP(AE$2,[1]Needs!$A$4:$I$43,9,FALSE))</f>
        <v>197790</v>
      </c>
    </row>
    <row r="62" customHeight="1" spans="1:31">
      <c r="A62" s="64">
        <v>59</v>
      </c>
      <c r="B62" s="64">
        <v>680</v>
      </c>
      <c r="C62" s="64">
        <f t="shared" si="1"/>
        <v>1567770</v>
      </c>
      <c r="D62" s="65"/>
      <c r="E62" s="65"/>
      <c r="F62" s="65"/>
      <c r="G62" s="65"/>
      <c r="H62" s="65"/>
      <c r="I62" s="65">
        <v>29</v>
      </c>
      <c r="J62" s="65">
        <v>216</v>
      </c>
      <c r="K62" s="65">
        <v>4654</v>
      </c>
      <c r="L62" s="65">
        <v>3103</v>
      </c>
      <c r="M62" s="65">
        <v>3103</v>
      </c>
      <c r="N62" s="65">
        <v>3103</v>
      </c>
      <c r="O62" s="65">
        <v>3413</v>
      </c>
      <c r="P62" s="65">
        <v>12411</v>
      </c>
      <c r="Q62" s="65">
        <v>7757</v>
      </c>
      <c r="R62" t="str">
        <f>IF(D62=0,"",D62*VLOOKUP(R$2,[1]Needs!$A$4:$I$43,9,FALSE))</f>
        <v/>
      </c>
      <c r="S62" t="str">
        <f>IF(E62=0,"",E62*VLOOKUP(S$2,[1]Needs!$A$4:$I$43,9,FALSE))</f>
        <v/>
      </c>
      <c r="T62" t="str">
        <f>IF(F62=0,"",F62*VLOOKUP(T$2,[1]Needs!$A$4:$I$43,9,FALSE))</f>
        <v/>
      </c>
      <c r="U62" t="str">
        <f>IF(G62=0,"",G62*VLOOKUP(U$2,[1]Needs!$A$4:$I$43,9,FALSE))</f>
        <v/>
      </c>
      <c r="V62" t="str">
        <f>IF(H62=0,"",H62*VLOOKUP(V$2,[1]Needs!$A$4:$I$43,9,FALSE))</f>
        <v/>
      </c>
      <c r="W62">
        <f>IF(I62=0,"",I62*VLOOKUP(W$2,[1]Needs!$A$4:$I$43,9,FALSE))</f>
        <v>580</v>
      </c>
      <c r="X62">
        <f>IF(J62=0,"",J62*VLOOKUP(X$2,[1]Needs!$A$4:$I$43,9,FALSE))</f>
        <v>6480</v>
      </c>
      <c r="Y62">
        <f>IF(K62=0,"",K62*VLOOKUP(Y$2,[1]Needs!$A$4:$I$43,9,FALSE))</f>
        <v>139620</v>
      </c>
      <c r="Z62">
        <f>IF(L62=0,"",L62*VLOOKUP(Z$2,[1]Needs!$A$4:$I$43,9,FALSE))</f>
        <v>155150</v>
      </c>
      <c r="AA62">
        <f>IF(M62=0,"",M62*VLOOKUP(AA$2,[1]Needs!$A$4:$I$43,9,FALSE))</f>
        <v>93090</v>
      </c>
      <c r="AB62">
        <f>IF(N62=0,"",N62*VLOOKUP(AB$2,[1]Needs!$A$4:$I$43,9,FALSE))</f>
        <v>93090</v>
      </c>
      <c r="AC62">
        <f>IF(O62=0,"",O62*VLOOKUP(AC$2,[1]Needs!$A$4:$I$43,9,FALSE))</f>
        <v>102390</v>
      </c>
      <c r="AD62">
        <f>IF(P62=0,"",P62*VLOOKUP(AD$2,[1]Needs!$A$4:$I$43,9,FALSE))</f>
        <v>744660</v>
      </c>
      <c r="AE62">
        <f>IF(Q62=0,"",Q62*VLOOKUP(AE$2,[1]Needs!$A$4:$I$43,9,FALSE))</f>
        <v>232710</v>
      </c>
    </row>
    <row r="63" customHeight="1" spans="1:31">
      <c r="A63" s="64">
        <v>60</v>
      </c>
      <c r="B63" s="64">
        <v>700</v>
      </c>
      <c r="C63" s="64">
        <f t="shared" si="1"/>
        <v>1720870</v>
      </c>
      <c r="D63" s="65"/>
      <c r="E63" s="65"/>
      <c r="F63" s="65"/>
      <c r="G63" s="65"/>
      <c r="H63" s="65"/>
      <c r="I63" s="65">
        <v>29</v>
      </c>
      <c r="J63" s="65">
        <v>216</v>
      </c>
      <c r="K63" s="65">
        <v>5080</v>
      </c>
      <c r="L63" s="65">
        <v>3387</v>
      </c>
      <c r="M63" s="65">
        <v>3387</v>
      </c>
      <c r="N63" s="65">
        <v>3387</v>
      </c>
      <c r="O63" s="65">
        <v>3387</v>
      </c>
      <c r="P63" s="65">
        <v>13548</v>
      </c>
      <c r="Q63" s="65">
        <v>9145</v>
      </c>
      <c r="R63" t="str">
        <f>IF(D63=0,"",D63*VLOOKUP(R$2,[1]Needs!$A$4:$I$43,9,FALSE))</f>
        <v/>
      </c>
      <c r="S63" t="str">
        <f>IF(E63=0,"",E63*VLOOKUP(S$2,[1]Needs!$A$4:$I$43,9,FALSE))</f>
        <v/>
      </c>
      <c r="T63" t="str">
        <f>IF(F63=0,"",F63*VLOOKUP(T$2,[1]Needs!$A$4:$I$43,9,FALSE))</f>
        <v/>
      </c>
      <c r="U63" t="str">
        <f>IF(G63=0,"",G63*VLOOKUP(U$2,[1]Needs!$A$4:$I$43,9,FALSE))</f>
        <v/>
      </c>
      <c r="V63" t="str">
        <f>IF(H63=0,"",H63*VLOOKUP(V$2,[1]Needs!$A$4:$I$43,9,FALSE))</f>
        <v/>
      </c>
      <c r="W63">
        <f>IF(I63=0,"",I63*VLOOKUP(W$2,[1]Needs!$A$4:$I$43,9,FALSE))</f>
        <v>580</v>
      </c>
      <c r="X63">
        <f>IF(J63=0,"",J63*VLOOKUP(X$2,[1]Needs!$A$4:$I$43,9,FALSE))</f>
        <v>6480</v>
      </c>
      <c r="Y63">
        <f>IF(K63=0,"",K63*VLOOKUP(Y$2,[1]Needs!$A$4:$I$43,9,FALSE))</f>
        <v>152400</v>
      </c>
      <c r="Z63">
        <f>IF(L63=0,"",L63*VLOOKUP(Z$2,[1]Needs!$A$4:$I$43,9,FALSE))</f>
        <v>169350</v>
      </c>
      <c r="AA63">
        <f>IF(M63=0,"",M63*VLOOKUP(AA$2,[1]Needs!$A$4:$I$43,9,FALSE))</f>
        <v>101610</v>
      </c>
      <c r="AB63">
        <f>IF(N63=0,"",N63*VLOOKUP(AB$2,[1]Needs!$A$4:$I$43,9,FALSE))</f>
        <v>101610</v>
      </c>
      <c r="AC63">
        <f>IF(O63=0,"",O63*VLOOKUP(AC$2,[1]Needs!$A$4:$I$43,9,FALSE))</f>
        <v>101610</v>
      </c>
      <c r="AD63">
        <f>IF(P63=0,"",P63*VLOOKUP(AD$2,[1]Needs!$A$4:$I$43,9,FALSE))</f>
        <v>812880</v>
      </c>
      <c r="AE63">
        <f>IF(Q63=0,"",Q63*VLOOKUP(AE$2,[1]Needs!$A$4:$I$43,9,FALSE))</f>
        <v>274350</v>
      </c>
    </row>
    <row r="64" customHeight="1" spans="1:31">
      <c r="A64" s="64">
        <v>61</v>
      </c>
      <c r="B64" s="64">
        <v>720</v>
      </c>
      <c r="C64" s="64">
        <f t="shared" si="1"/>
        <v>1880690</v>
      </c>
      <c r="D64" s="65"/>
      <c r="E64" s="65"/>
      <c r="F64" s="65"/>
      <c r="G64" s="65"/>
      <c r="H64" s="65"/>
      <c r="I64" s="65">
        <v>29</v>
      </c>
      <c r="J64" s="65">
        <v>216</v>
      </c>
      <c r="K64" s="65">
        <v>5457</v>
      </c>
      <c r="L64" s="65">
        <v>3638</v>
      </c>
      <c r="M64" s="65">
        <v>3638</v>
      </c>
      <c r="N64" s="65">
        <v>3638</v>
      </c>
      <c r="O64" s="65">
        <v>3638</v>
      </c>
      <c r="P64" s="65">
        <v>14553</v>
      </c>
      <c r="Q64" s="65">
        <v>10914</v>
      </c>
      <c r="R64" t="str">
        <f>IF(D64=0,"",D64*VLOOKUP(R$2,[1]Needs!$A$4:$I$43,9,FALSE))</f>
        <v/>
      </c>
      <c r="S64" t="str">
        <f>IF(E64=0,"",E64*VLOOKUP(S$2,[1]Needs!$A$4:$I$43,9,FALSE))</f>
        <v/>
      </c>
      <c r="T64" t="str">
        <f>IF(F64=0,"",F64*VLOOKUP(T$2,[1]Needs!$A$4:$I$43,9,FALSE))</f>
        <v/>
      </c>
      <c r="U64" t="str">
        <f>IF(G64=0,"",G64*VLOOKUP(U$2,[1]Needs!$A$4:$I$43,9,FALSE))</f>
        <v/>
      </c>
      <c r="V64" t="str">
        <f>IF(H64=0,"",H64*VLOOKUP(V$2,[1]Needs!$A$4:$I$43,9,FALSE))</f>
        <v/>
      </c>
      <c r="W64">
        <f>IF(I64=0,"",I64*VLOOKUP(W$2,[1]Needs!$A$4:$I$43,9,FALSE))</f>
        <v>580</v>
      </c>
      <c r="X64">
        <f>IF(J64=0,"",J64*VLOOKUP(X$2,[1]Needs!$A$4:$I$43,9,FALSE))</f>
        <v>6480</v>
      </c>
      <c r="Y64">
        <f>IF(K64=0,"",K64*VLOOKUP(Y$2,[1]Needs!$A$4:$I$43,9,FALSE))</f>
        <v>163710</v>
      </c>
      <c r="Z64">
        <f>IF(L64=0,"",L64*VLOOKUP(Z$2,[1]Needs!$A$4:$I$43,9,FALSE))</f>
        <v>181900</v>
      </c>
      <c r="AA64">
        <f>IF(M64=0,"",M64*VLOOKUP(AA$2,[1]Needs!$A$4:$I$43,9,FALSE))</f>
        <v>109140</v>
      </c>
      <c r="AB64">
        <f>IF(N64=0,"",N64*VLOOKUP(AB$2,[1]Needs!$A$4:$I$43,9,FALSE))</f>
        <v>109140</v>
      </c>
      <c r="AC64">
        <f>IF(O64=0,"",O64*VLOOKUP(AC$2,[1]Needs!$A$4:$I$43,9,FALSE))</f>
        <v>109140</v>
      </c>
      <c r="AD64">
        <f>IF(P64=0,"",P64*VLOOKUP(AD$2,[1]Needs!$A$4:$I$43,9,FALSE))</f>
        <v>873180</v>
      </c>
      <c r="AE64">
        <f>IF(Q64=0,"",Q64*VLOOKUP(AE$2,[1]Needs!$A$4:$I$43,9,FALSE))</f>
        <v>327420</v>
      </c>
    </row>
    <row r="65" customHeight="1" spans="1:31">
      <c r="A65" s="64">
        <v>62</v>
      </c>
      <c r="B65" s="64">
        <v>740</v>
      </c>
      <c r="C65" s="64">
        <f t="shared" si="1"/>
        <v>2064490</v>
      </c>
      <c r="D65" s="65"/>
      <c r="E65" s="65"/>
      <c r="F65" s="65"/>
      <c r="G65" s="65"/>
      <c r="H65" s="65"/>
      <c r="I65" s="65">
        <v>29</v>
      </c>
      <c r="J65" s="65">
        <v>216</v>
      </c>
      <c r="K65" s="65">
        <v>5958</v>
      </c>
      <c r="L65" s="65">
        <v>3972</v>
      </c>
      <c r="M65" s="65">
        <v>3972</v>
      </c>
      <c r="N65" s="65">
        <v>3972</v>
      </c>
      <c r="O65" s="65">
        <v>3972</v>
      </c>
      <c r="P65" s="65">
        <v>15887</v>
      </c>
      <c r="Q65" s="65">
        <v>12313</v>
      </c>
      <c r="R65" t="str">
        <f>IF(D65=0,"",D65*VLOOKUP(R$2,[1]Needs!$A$4:$I$43,9,FALSE))</f>
        <v/>
      </c>
      <c r="S65" t="str">
        <f>IF(E65=0,"",E65*VLOOKUP(S$2,[1]Needs!$A$4:$I$43,9,FALSE))</f>
        <v/>
      </c>
      <c r="T65" t="str">
        <f>IF(F65=0,"",F65*VLOOKUP(T$2,[1]Needs!$A$4:$I$43,9,FALSE))</f>
        <v/>
      </c>
      <c r="U65" t="str">
        <f>IF(G65=0,"",G65*VLOOKUP(U$2,[1]Needs!$A$4:$I$43,9,FALSE))</f>
        <v/>
      </c>
      <c r="V65" t="str">
        <f>IF(H65=0,"",H65*VLOOKUP(V$2,[1]Needs!$A$4:$I$43,9,FALSE))</f>
        <v/>
      </c>
      <c r="W65">
        <f>IF(I65=0,"",I65*VLOOKUP(W$2,[1]Needs!$A$4:$I$43,9,FALSE))</f>
        <v>580</v>
      </c>
      <c r="X65">
        <f>IF(J65=0,"",J65*VLOOKUP(X$2,[1]Needs!$A$4:$I$43,9,FALSE))</f>
        <v>6480</v>
      </c>
      <c r="Y65">
        <f>IF(K65=0,"",K65*VLOOKUP(Y$2,[1]Needs!$A$4:$I$43,9,FALSE))</f>
        <v>178740</v>
      </c>
      <c r="Z65">
        <f>IF(L65=0,"",L65*VLOOKUP(Z$2,[1]Needs!$A$4:$I$43,9,FALSE))</f>
        <v>198600</v>
      </c>
      <c r="AA65">
        <f>IF(M65=0,"",M65*VLOOKUP(AA$2,[1]Needs!$A$4:$I$43,9,FALSE))</f>
        <v>119160</v>
      </c>
      <c r="AB65">
        <f>IF(N65=0,"",N65*VLOOKUP(AB$2,[1]Needs!$A$4:$I$43,9,FALSE))</f>
        <v>119160</v>
      </c>
      <c r="AC65">
        <f>IF(O65=0,"",O65*VLOOKUP(AC$2,[1]Needs!$A$4:$I$43,9,FALSE))</f>
        <v>119160</v>
      </c>
      <c r="AD65">
        <f>IF(P65=0,"",P65*VLOOKUP(AD$2,[1]Needs!$A$4:$I$43,9,FALSE))</f>
        <v>953220</v>
      </c>
      <c r="AE65">
        <f>IF(Q65=0,"",Q65*VLOOKUP(AE$2,[1]Needs!$A$4:$I$43,9,FALSE))</f>
        <v>369390</v>
      </c>
    </row>
    <row r="66" customHeight="1" spans="1:31">
      <c r="A66" s="64">
        <v>63</v>
      </c>
      <c r="B66" s="64">
        <v>760</v>
      </c>
      <c r="C66" s="64">
        <f t="shared" si="1"/>
        <v>2266200</v>
      </c>
      <c r="D66" s="65"/>
      <c r="E66" s="65"/>
      <c r="F66" s="65"/>
      <c r="G66" s="65"/>
      <c r="H66" s="65"/>
      <c r="I66" s="65">
        <v>29</v>
      </c>
      <c r="J66" s="65">
        <v>216</v>
      </c>
      <c r="K66" s="65">
        <v>6504</v>
      </c>
      <c r="L66" s="65">
        <v>4336</v>
      </c>
      <c r="M66" s="65">
        <v>4336</v>
      </c>
      <c r="N66" s="65">
        <v>4336</v>
      </c>
      <c r="O66" s="65">
        <v>4336</v>
      </c>
      <c r="P66" s="65">
        <v>17345</v>
      </c>
      <c r="Q66" s="65">
        <v>13876</v>
      </c>
      <c r="R66" t="str">
        <f>IF(D66=0,"",D66*VLOOKUP(R$2,[1]Needs!$A$4:$I$43,9,FALSE))</f>
        <v/>
      </c>
      <c r="S66" t="str">
        <f>IF(E66=0,"",E66*VLOOKUP(S$2,[1]Needs!$A$4:$I$43,9,FALSE))</f>
        <v/>
      </c>
      <c r="T66" t="str">
        <f>IF(F66=0,"",F66*VLOOKUP(T$2,[1]Needs!$A$4:$I$43,9,FALSE))</f>
        <v/>
      </c>
      <c r="U66" t="str">
        <f>IF(G66=0,"",G66*VLOOKUP(U$2,[1]Needs!$A$4:$I$43,9,FALSE))</f>
        <v/>
      </c>
      <c r="V66" t="str">
        <f>IF(H66=0,"",H66*VLOOKUP(V$2,[1]Needs!$A$4:$I$43,9,FALSE))</f>
        <v/>
      </c>
      <c r="W66">
        <f>IF(I66=0,"",I66*VLOOKUP(W$2,[1]Needs!$A$4:$I$43,9,FALSE))</f>
        <v>580</v>
      </c>
      <c r="X66">
        <f>IF(J66=0,"",J66*VLOOKUP(X$2,[1]Needs!$A$4:$I$43,9,FALSE))</f>
        <v>6480</v>
      </c>
      <c r="Y66">
        <f>IF(K66=0,"",K66*VLOOKUP(Y$2,[1]Needs!$A$4:$I$43,9,FALSE))</f>
        <v>195120</v>
      </c>
      <c r="Z66">
        <f>IF(L66=0,"",L66*VLOOKUP(Z$2,[1]Needs!$A$4:$I$43,9,FALSE))</f>
        <v>216800</v>
      </c>
      <c r="AA66">
        <f>IF(M66=0,"",M66*VLOOKUP(AA$2,[1]Needs!$A$4:$I$43,9,FALSE))</f>
        <v>130080</v>
      </c>
      <c r="AB66">
        <f>IF(N66=0,"",N66*VLOOKUP(AB$2,[1]Needs!$A$4:$I$43,9,FALSE))</f>
        <v>130080</v>
      </c>
      <c r="AC66">
        <f>IF(O66=0,"",O66*VLOOKUP(AC$2,[1]Needs!$A$4:$I$43,9,FALSE))</f>
        <v>130080</v>
      </c>
      <c r="AD66">
        <f>IF(P66=0,"",P66*VLOOKUP(AD$2,[1]Needs!$A$4:$I$43,9,FALSE))</f>
        <v>1040700</v>
      </c>
      <c r="AE66">
        <f>IF(Q66=0,"",Q66*VLOOKUP(AE$2,[1]Needs!$A$4:$I$43,9,FALSE))</f>
        <v>416280</v>
      </c>
    </row>
    <row r="67" customHeight="1" spans="1:31">
      <c r="A67" s="64">
        <v>64</v>
      </c>
      <c r="B67" s="64">
        <v>780</v>
      </c>
      <c r="C67" s="64">
        <f t="shared" si="1"/>
        <v>2487760</v>
      </c>
      <c r="D67" s="65"/>
      <c r="E67" s="65"/>
      <c r="F67" s="65"/>
      <c r="G67" s="65"/>
      <c r="H67" s="65"/>
      <c r="I67" s="65">
        <v>29</v>
      </c>
      <c r="J67" s="65">
        <v>216</v>
      </c>
      <c r="K67" s="65">
        <v>7101</v>
      </c>
      <c r="L67" s="65">
        <v>4734</v>
      </c>
      <c r="M67" s="65">
        <v>4734</v>
      </c>
      <c r="N67" s="65">
        <v>4734</v>
      </c>
      <c r="O67" s="65">
        <v>4734</v>
      </c>
      <c r="P67" s="65">
        <v>18937</v>
      </c>
      <c r="Q67" s="65">
        <v>15623</v>
      </c>
      <c r="R67" t="str">
        <f>IF(D67=0,"",D67*VLOOKUP(R$2,[1]Needs!$A$4:$I$43,9,FALSE))</f>
        <v/>
      </c>
      <c r="S67" t="str">
        <f>IF(E67=0,"",E67*VLOOKUP(S$2,[1]Needs!$A$4:$I$43,9,FALSE))</f>
        <v/>
      </c>
      <c r="T67" t="str">
        <f>IF(F67=0,"",F67*VLOOKUP(T$2,[1]Needs!$A$4:$I$43,9,FALSE))</f>
        <v/>
      </c>
      <c r="U67" t="str">
        <f>IF(G67=0,"",G67*VLOOKUP(U$2,[1]Needs!$A$4:$I$43,9,FALSE))</f>
        <v/>
      </c>
      <c r="V67" t="str">
        <f>IF(H67=0,"",H67*VLOOKUP(V$2,[1]Needs!$A$4:$I$43,9,FALSE))</f>
        <v/>
      </c>
      <c r="W67">
        <f>IF(I67=0,"",I67*VLOOKUP(W$2,[1]Needs!$A$4:$I$43,9,FALSE))</f>
        <v>580</v>
      </c>
      <c r="X67">
        <f>IF(J67=0,"",J67*VLOOKUP(X$2,[1]Needs!$A$4:$I$43,9,FALSE))</f>
        <v>6480</v>
      </c>
      <c r="Y67">
        <f>IF(K67=0,"",K67*VLOOKUP(Y$2,[1]Needs!$A$4:$I$43,9,FALSE))</f>
        <v>213030</v>
      </c>
      <c r="Z67">
        <f>IF(L67=0,"",L67*VLOOKUP(Z$2,[1]Needs!$A$4:$I$43,9,FALSE))</f>
        <v>236700</v>
      </c>
      <c r="AA67">
        <f>IF(M67=0,"",M67*VLOOKUP(AA$2,[1]Needs!$A$4:$I$43,9,FALSE))</f>
        <v>142020</v>
      </c>
      <c r="AB67">
        <f>IF(N67=0,"",N67*VLOOKUP(AB$2,[1]Needs!$A$4:$I$43,9,FALSE))</f>
        <v>142020</v>
      </c>
      <c r="AC67">
        <f>IF(O67=0,"",O67*VLOOKUP(AC$2,[1]Needs!$A$4:$I$43,9,FALSE))</f>
        <v>142020</v>
      </c>
      <c r="AD67">
        <f>IF(P67=0,"",P67*VLOOKUP(AD$2,[1]Needs!$A$4:$I$43,9,FALSE))</f>
        <v>1136220</v>
      </c>
      <c r="AE67">
        <f>IF(Q67=0,"",Q67*VLOOKUP(AE$2,[1]Needs!$A$4:$I$43,9,FALSE))</f>
        <v>468690</v>
      </c>
    </row>
    <row r="68" customHeight="1" spans="1:31">
      <c r="A68" s="64">
        <v>65</v>
      </c>
      <c r="B68" s="64">
        <v>800</v>
      </c>
      <c r="C68" s="64">
        <f t="shared" ref="C68:C102" si="2">SUM(R68:AE68)</f>
        <v>2731090</v>
      </c>
      <c r="D68" s="65"/>
      <c r="E68" s="65"/>
      <c r="F68" s="65"/>
      <c r="G68" s="65"/>
      <c r="H68" s="65"/>
      <c r="I68" s="65">
        <v>29</v>
      </c>
      <c r="J68" s="65">
        <v>216</v>
      </c>
      <c r="K68" s="65">
        <v>7753</v>
      </c>
      <c r="L68" s="65">
        <v>5169</v>
      </c>
      <c r="M68" s="65">
        <v>5169</v>
      </c>
      <c r="N68" s="65">
        <v>5169</v>
      </c>
      <c r="O68" s="65">
        <v>5169</v>
      </c>
      <c r="P68" s="65">
        <v>20676</v>
      </c>
      <c r="Q68" s="65">
        <v>17574</v>
      </c>
      <c r="R68" t="str">
        <f>IF(D68=0,"",D68*VLOOKUP(R$2,[1]Needs!$A$4:$I$43,9,FALSE))</f>
        <v/>
      </c>
      <c r="S68" t="str">
        <f>IF(E68=0,"",E68*VLOOKUP(S$2,[1]Needs!$A$4:$I$43,9,FALSE))</f>
        <v/>
      </c>
      <c r="T68" t="str">
        <f>IF(F68=0,"",F68*VLOOKUP(T$2,[1]Needs!$A$4:$I$43,9,FALSE))</f>
        <v/>
      </c>
      <c r="U68" t="str">
        <f>IF(G68=0,"",G68*VLOOKUP(U$2,[1]Needs!$A$4:$I$43,9,FALSE))</f>
        <v/>
      </c>
      <c r="V68" t="str">
        <f>IF(H68=0,"",H68*VLOOKUP(V$2,[1]Needs!$A$4:$I$43,9,FALSE))</f>
        <v/>
      </c>
      <c r="W68">
        <f>IF(I68=0,"",I68*VLOOKUP(W$2,[1]Needs!$A$4:$I$43,9,FALSE))</f>
        <v>580</v>
      </c>
      <c r="X68">
        <f>IF(J68=0,"",J68*VLOOKUP(X$2,[1]Needs!$A$4:$I$43,9,FALSE))</f>
        <v>6480</v>
      </c>
      <c r="Y68">
        <f>IF(K68=0,"",K68*VLOOKUP(Y$2,[1]Needs!$A$4:$I$43,9,FALSE))</f>
        <v>232590</v>
      </c>
      <c r="Z68">
        <f>IF(L68=0,"",L68*VLOOKUP(Z$2,[1]Needs!$A$4:$I$43,9,FALSE))</f>
        <v>258450</v>
      </c>
      <c r="AA68">
        <f>IF(M68=0,"",M68*VLOOKUP(AA$2,[1]Needs!$A$4:$I$43,9,FALSE))</f>
        <v>155070</v>
      </c>
      <c r="AB68">
        <f>IF(N68=0,"",N68*VLOOKUP(AB$2,[1]Needs!$A$4:$I$43,9,FALSE))</f>
        <v>155070</v>
      </c>
      <c r="AC68">
        <f>IF(O68=0,"",O68*VLOOKUP(AC$2,[1]Needs!$A$4:$I$43,9,FALSE))</f>
        <v>155070</v>
      </c>
      <c r="AD68">
        <f>IF(P68=0,"",P68*VLOOKUP(AD$2,[1]Needs!$A$4:$I$43,9,FALSE))</f>
        <v>1240560</v>
      </c>
      <c r="AE68">
        <f>IF(Q68=0,"",Q68*VLOOKUP(AE$2,[1]Needs!$A$4:$I$43,9,FALSE))</f>
        <v>527220</v>
      </c>
    </row>
    <row r="69" customHeight="1" spans="1:31">
      <c r="A69" s="64">
        <v>66</v>
      </c>
      <c r="B69" s="64">
        <v>820</v>
      </c>
      <c r="C69" s="64">
        <f t="shared" si="2"/>
        <v>2998260</v>
      </c>
      <c r="D69" s="65"/>
      <c r="E69" s="65"/>
      <c r="F69" s="65"/>
      <c r="G69" s="65"/>
      <c r="H69" s="65"/>
      <c r="I69" s="65">
        <v>29</v>
      </c>
      <c r="J69" s="65">
        <v>216</v>
      </c>
      <c r="K69" s="65">
        <v>8465</v>
      </c>
      <c r="L69" s="65">
        <v>5644</v>
      </c>
      <c r="M69" s="65">
        <v>5644</v>
      </c>
      <c r="N69" s="65">
        <v>5644</v>
      </c>
      <c r="O69" s="65">
        <v>5644</v>
      </c>
      <c r="P69" s="65">
        <v>22575</v>
      </c>
      <c r="Q69" s="65">
        <v>19753</v>
      </c>
      <c r="R69" t="str">
        <f>IF(D69=0,"",D69*VLOOKUP(R$2,[1]Needs!$A$4:$I$43,9,FALSE))</f>
        <v/>
      </c>
      <c r="S69" t="str">
        <f>IF(E69=0,"",E69*VLOOKUP(S$2,[1]Needs!$A$4:$I$43,9,FALSE))</f>
        <v/>
      </c>
      <c r="T69" t="str">
        <f>IF(F69=0,"",F69*VLOOKUP(T$2,[1]Needs!$A$4:$I$43,9,FALSE))</f>
        <v/>
      </c>
      <c r="U69" t="str">
        <f>IF(G69=0,"",G69*VLOOKUP(U$2,[1]Needs!$A$4:$I$43,9,FALSE))</f>
        <v/>
      </c>
      <c r="V69" t="str">
        <f>IF(H69=0,"",H69*VLOOKUP(V$2,[1]Needs!$A$4:$I$43,9,FALSE))</f>
        <v/>
      </c>
      <c r="W69">
        <f>IF(I69=0,"",I69*VLOOKUP(W$2,[1]Needs!$A$4:$I$43,9,FALSE))</f>
        <v>580</v>
      </c>
      <c r="X69">
        <f>IF(J69=0,"",J69*VLOOKUP(X$2,[1]Needs!$A$4:$I$43,9,FALSE))</f>
        <v>6480</v>
      </c>
      <c r="Y69">
        <f>IF(K69=0,"",K69*VLOOKUP(Y$2,[1]Needs!$A$4:$I$43,9,FALSE))</f>
        <v>253950</v>
      </c>
      <c r="Z69">
        <f>IF(L69=0,"",L69*VLOOKUP(Z$2,[1]Needs!$A$4:$I$43,9,FALSE))</f>
        <v>282200</v>
      </c>
      <c r="AA69">
        <f>IF(M69=0,"",M69*VLOOKUP(AA$2,[1]Needs!$A$4:$I$43,9,FALSE))</f>
        <v>169320</v>
      </c>
      <c r="AB69">
        <f>IF(N69=0,"",N69*VLOOKUP(AB$2,[1]Needs!$A$4:$I$43,9,FALSE))</f>
        <v>169320</v>
      </c>
      <c r="AC69">
        <f>IF(O69=0,"",O69*VLOOKUP(AC$2,[1]Needs!$A$4:$I$43,9,FALSE))</f>
        <v>169320</v>
      </c>
      <c r="AD69">
        <f>IF(P69=0,"",P69*VLOOKUP(AD$2,[1]Needs!$A$4:$I$43,9,FALSE))</f>
        <v>1354500</v>
      </c>
      <c r="AE69">
        <f>IF(Q69=0,"",Q69*VLOOKUP(AE$2,[1]Needs!$A$4:$I$43,9,FALSE))</f>
        <v>592590</v>
      </c>
    </row>
    <row r="70" customHeight="1" spans="1:31">
      <c r="A70" s="64">
        <v>67</v>
      </c>
      <c r="B70" s="64">
        <v>840</v>
      </c>
      <c r="C70" s="64">
        <f t="shared" si="2"/>
        <v>3291490</v>
      </c>
      <c r="D70" s="65"/>
      <c r="E70" s="65"/>
      <c r="F70" s="65"/>
      <c r="G70" s="65"/>
      <c r="H70" s="65"/>
      <c r="I70" s="65">
        <v>29</v>
      </c>
      <c r="J70" s="65">
        <v>216</v>
      </c>
      <c r="K70" s="65">
        <v>9243</v>
      </c>
      <c r="L70" s="65">
        <v>6162</v>
      </c>
      <c r="M70" s="65">
        <v>6162</v>
      </c>
      <c r="N70" s="65">
        <v>6162</v>
      </c>
      <c r="O70" s="65">
        <v>6162</v>
      </c>
      <c r="P70" s="65">
        <v>24649</v>
      </c>
      <c r="Q70" s="65">
        <v>22184</v>
      </c>
      <c r="R70" t="str">
        <f>IF(D70=0,"",D70*VLOOKUP(R$2,[1]Needs!$A$4:$I$43,9,FALSE))</f>
        <v/>
      </c>
      <c r="S70" t="str">
        <f>IF(E70=0,"",E70*VLOOKUP(S$2,[1]Needs!$A$4:$I$43,9,FALSE))</f>
        <v/>
      </c>
      <c r="T70" t="str">
        <f>IF(F70=0,"",F70*VLOOKUP(T$2,[1]Needs!$A$4:$I$43,9,FALSE))</f>
        <v/>
      </c>
      <c r="U70" t="str">
        <f>IF(G70=0,"",G70*VLOOKUP(U$2,[1]Needs!$A$4:$I$43,9,FALSE))</f>
        <v/>
      </c>
      <c r="V70" t="str">
        <f>IF(H70=0,"",H70*VLOOKUP(V$2,[1]Needs!$A$4:$I$43,9,FALSE))</f>
        <v/>
      </c>
      <c r="W70">
        <f>IF(I70=0,"",I70*VLOOKUP(W$2,[1]Needs!$A$4:$I$43,9,FALSE))</f>
        <v>580</v>
      </c>
      <c r="X70">
        <f>IF(J70=0,"",J70*VLOOKUP(X$2,[1]Needs!$A$4:$I$43,9,FALSE))</f>
        <v>6480</v>
      </c>
      <c r="Y70">
        <f>IF(K70=0,"",K70*VLOOKUP(Y$2,[1]Needs!$A$4:$I$43,9,FALSE))</f>
        <v>277290</v>
      </c>
      <c r="Z70">
        <f>IF(L70=0,"",L70*VLOOKUP(Z$2,[1]Needs!$A$4:$I$43,9,FALSE))</f>
        <v>308100</v>
      </c>
      <c r="AA70">
        <f>IF(M70=0,"",M70*VLOOKUP(AA$2,[1]Needs!$A$4:$I$43,9,FALSE))</f>
        <v>184860</v>
      </c>
      <c r="AB70">
        <f>IF(N70=0,"",N70*VLOOKUP(AB$2,[1]Needs!$A$4:$I$43,9,FALSE))</f>
        <v>184860</v>
      </c>
      <c r="AC70">
        <f>IF(O70=0,"",O70*VLOOKUP(AC$2,[1]Needs!$A$4:$I$43,9,FALSE))</f>
        <v>184860</v>
      </c>
      <c r="AD70">
        <f>IF(P70=0,"",P70*VLOOKUP(AD$2,[1]Needs!$A$4:$I$43,9,FALSE))</f>
        <v>1478940</v>
      </c>
      <c r="AE70">
        <f>IF(Q70=0,"",Q70*VLOOKUP(AE$2,[1]Needs!$A$4:$I$43,9,FALSE))</f>
        <v>665520</v>
      </c>
    </row>
    <row r="71" customHeight="1" spans="1:31">
      <c r="A71" s="64">
        <v>68</v>
      </c>
      <c r="B71" s="64">
        <v>860</v>
      </c>
      <c r="C71" s="64">
        <f t="shared" si="2"/>
        <v>3613630</v>
      </c>
      <c r="D71" s="65"/>
      <c r="E71" s="65"/>
      <c r="F71" s="65"/>
      <c r="G71" s="65"/>
      <c r="H71" s="65"/>
      <c r="I71" s="65">
        <v>29</v>
      </c>
      <c r="J71" s="65">
        <v>216</v>
      </c>
      <c r="K71" s="65">
        <v>10093</v>
      </c>
      <c r="L71" s="65">
        <v>6729</v>
      </c>
      <c r="M71" s="65">
        <v>6729</v>
      </c>
      <c r="N71" s="65">
        <v>6729</v>
      </c>
      <c r="O71" s="65">
        <v>6729</v>
      </c>
      <c r="P71" s="65">
        <v>26914</v>
      </c>
      <c r="Q71" s="65">
        <v>24896</v>
      </c>
      <c r="R71" t="str">
        <f>IF(D71=0,"",D71*VLOOKUP(R$2,[1]Needs!$A$4:$I$43,9,FALSE))</f>
        <v/>
      </c>
      <c r="S71" t="str">
        <f>IF(E71=0,"",E71*VLOOKUP(S$2,[1]Needs!$A$4:$I$43,9,FALSE))</f>
        <v/>
      </c>
      <c r="T71" t="str">
        <f>IF(F71=0,"",F71*VLOOKUP(T$2,[1]Needs!$A$4:$I$43,9,FALSE))</f>
        <v/>
      </c>
      <c r="U71" t="str">
        <f>IF(G71=0,"",G71*VLOOKUP(U$2,[1]Needs!$A$4:$I$43,9,FALSE))</f>
        <v/>
      </c>
      <c r="V71" t="str">
        <f>IF(H71=0,"",H71*VLOOKUP(V$2,[1]Needs!$A$4:$I$43,9,FALSE))</f>
        <v/>
      </c>
      <c r="W71">
        <f>IF(I71=0,"",I71*VLOOKUP(W$2,[1]Needs!$A$4:$I$43,9,FALSE))</f>
        <v>580</v>
      </c>
      <c r="X71">
        <f>IF(J71=0,"",J71*VLOOKUP(X$2,[1]Needs!$A$4:$I$43,9,FALSE))</f>
        <v>6480</v>
      </c>
      <c r="Y71">
        <f>IF(K71=0,"",K71*VLOOKUP(Y$2,[1]Needs!$A$4:$I$43,9,FALSE))</f>
        <v>302790</v>
      </c>
      <c r="Z71">
        <f>IF(L71=0,"",L71*VLOOKUP(Z$2,[1]Needs!$A$4:$I$43,9,FALSE))</f>
        <v>336450</v>
      </c>
      <c r="AA71">
        <f>IF(M71=0,"",M71*VLOOKUP(AA$2,[1]Needs!$A$4:$I$43,9,FALSE))</f>
        <v>201870</v>
      </c>
      <c r="AB71">
        <f>IF(N71=0,"",N71*VLOOKUP(AB$2,[1]Needs!$A$4:$I$43,9,FALSE))</f>
        <v>201870</v>
      </c>
      <c r="AC71">
        <f>IF(O71=0,"",O71*VLOOKUP(AC$2,[1]Needs!$A$4:$I$43,9,FALSE))</f>
        <v>201870</v>
      </c>
      <c r="AD71">
        <f>IF(P71=0,"",P71*VLOOKUP(AD$2,[1]Needs!$A$4:$I$43,9,FALSE))</f>
        <v>1614840</v>
      </c>
      <c r="AE71">
        <f>IF(Q71=0,"",Q71*VLOOKUP(AE$2,[1]Needs!$A$4:$I$43,9,FALSE))</f>
        <v>746880</v>
      </c>
    </row>
    <row r="72" customHeight="1" spans="1:31">
      <c r="A72" s="64">
        <v>69</v>
      </c>
      <c r="B72" s="64">
        <v>880</v>
      </c>
      <c r="C72" s="64">
        <f t="shared" si="2"/>
        <v>3967210</v>
      </c>
      <c r="D72" s="65"/>
      <c r="E72" s="65"/>
      <c r="F72" s="65"/>
      <c r="G72" s="65"/>
      <c r="H72" s="65"/>
      <c r="I72" s="65">
        <v>29</v>
      </c>
      <c r="J72" s="65">
        <v>216</v>
      </c>
      <c r="K72" s="65">
        <v>11021</v>
      </c>
      <c r="L72" s="65">
        <v>7347</v>
      </c>
      <c r="M72" s="65">
        <v>7347</v>
      </c>
      <c r="N72" s="65">
        <v>7347</v>
      </c>
      <c r="O72" s="65">
        <v>7347</v>
      </c>
      <c r="P72" s="65">
        <v>29389</v>
      </c>
      <c r="Q72" s="65">
        <v>27920</v>
      </c>
      <c r="R72" t="str">
        <f>IF(D72=0,"",D72*VLOOKUP(R$2,[1]Needs!$A$4:$I$43,9,FALSE))</f>
        <v/>
      </c>
      <c r="S72" t="str">
        <f>IF(E72=0,"",E72*VLOOKUP(S$2,[1]Needs!$A$4:$I$43,9,FALSE))</f>
        <v/>
      </c>
      <c r="T72" t="str">
        <f>IF(F72=0,"",F72*VLOOKUP(T$2,[1]Needs!$A$4:$I$43,9,FALSE))</f>
        <v/>
      </c>
      <c r="U72" t="str">
        <f>IF(G72=0,"",G72*VLOOKUP(U$2,[1]Needs!$A$4:$I$43,9,FALSE))</f>
        <v/>
      </c>
      <c r="V72" t="str">
        <f>IF(H72=0,"",H72*VLOOKUP(V$2,[1]Needs!$A$4:$I$43,9,FALSE))</f>
        <v/>
      </c>
      <c r="W72">
        <f>IF(I72=0,"",I72*VLOOKUP(W$2,[1]Needs!$A$4:$I$43,9,FALSE))</f>
        <v>580</v>
      </c>
      <c r="X72">
        <f>IF(J72=0,"",J72*VLOOKUP(X$2,[1]Needs!$A$4:$I$43,9,FALSE))</f>
        <v>6480</v>
      </c>
      <c r="Y72">
        <f>IF(K72=0,"",K72*VLOOKUP(Y$2,[1]Needs!$A$4:$I$43,9,FALSE))</f>
        <v>330630</v>
      </c>
      <c r="Z72">
        <f>IF(L72=0,"",L72*VLOOKUP(Z$2,[1]Needs!$A$4:$I$43,9,FALSE))</f>
        <v>367350</v>
      </c>
      <c r="AA72">
        <f>IF(M72=0,"",M72*VLOOKUP(AA$2,[1]Needs!$A$4:$I$43,9,FALSE))</f>
        <v>220410</v>
      </c>
      <c r="AB72">
        <f>IF(N72=0,"",N72*VLOOKUP(AB$2,[1]Needs!$A$4:$I$43,9,FALSE))</f>
        <v>220410</v>
      </c>
      <c r="AC72">
        <f>IF(O72=0,"",O72*VLOOKUP(AC$2,[1]Needs!$A$4:$I$43,9,FALSE))</f>
        <v>220410</v>
      </c>
      <c r="AD72">
        <f>IF(P72=0,"",P72*VLOOKUP(AD$2,[1]Needs!$A$4:$I$43,9,FALSE))</f>
        <v>1763340</v>
      </c>
      <c r="AE72">
        <f>IF(Q72=0,"",Q72*VLOOKUP(AE$2,[1]Needs!$A$4:$I$43,9,FALSE))</f>
        <v>837600</v>
      </c>
    </row>
    <row r="73" customHeight="1" spans="1:31">
      <c r="A73" s="64">
        <v>70</v>
      </c>
      <c r="B73" s="64">
        <v>900</v>
      </c>
      <c r="C73" s="64">
        <f t="shared" si="2"/>
        <v>4347350</v>
      </c>
      <c r="D73" s="65"/>
      <c r="E73" s="65"/>
      <c r="F73" s="65"/>
      <c r="G73" s="65"/>
      <c r="H73" s="65"/>
      <c r="I73" s="65">
        <v>29</v>
      </c>
      <c r="J73" s="65">
        <v>216</v>
      </c>
      <c r="K73" s="65">
        <v>11946</v>
      </c>
      <c r="L73" s="65">
        <v>7964</v>
      </c>
      <c r="M73" s="65">
        <v>7964</v>
      </c>
      <c r="N73" s="65">
        <v>7964</v>
      </c>
      <c r="O73" s="65">
        <v>7964</v>
      </c>
      <c r="P73" s="65">
        <v>31855</v>
      </c>
      <c r="Q73" s="65">
        <v>31855</v>
      </c>
      <c r="R73" t="str">
        <f>IF(D73=0,"",D73*VLOOKUP(R$2,[1]Needs!$A$4:$I$43,9,FALSE))</f>
        <v/>
      </c>
      <c r="S73" t="str">
        <f>IF(E73=0,"",E73*VLOOKUP(S$2,[1]Needs!$A$4:$I$43,9,FALSE))</f>
        <v/>
      </c>
      <c r="T73" t="str">
        <f>IF(F73=0,"",F73*VLOOKUP(T$2,[1]Needs!$A$4:$I$43,9,FALSE))</f>
        <v/>
      </c>
      <c r="U73" t="str">
        <f>IF(G73=0,"",G73*VLOOKUP(U$2,[1]Needs!$A$4:$I$43,9,FALSE))</f>
        <v/>
      </c>
      <c r="V73" t="str">
        <f>IF(H73=0,"",H73*VLOOKUP(V$2,[1]Needs!$A$4:$I$43,9,FALSE))</f>
        <v/>
      </c>
      <c r="W73">
        <f>IF(I73=0,"",I73*VLOOKUP(W$2,[1]Needs!$A$4:$I$43,9,FALSE))</f>
        <v>580</v>
      </c>
      <c r="X73">
        <f>IF(J73=0,"",J73*VLOOKUP(X$2,[1]Needs!$A$4:$I$43,9,FALSE))</f>
        <v>6480</v>
      </c>
      <c r="Y73">
        <f>IF(K73=0,"",K73*VLOOKUP(Y$2,[1]Needs!$A$4:$I$43,9,FALSE))</f>
        <v>358380</v>
      </c>
      <c r="Z73">
        <f>IF(L73=0,"",L73*VLOOKUP(Z$2,[1]Needs!$A$4:$I$43,9,FALSE))</f>
        <v>398200</v>
      </c>
      <c r="AA73">
        <f>IF(M73=0,"",M73*VLOOKUP(AA$2,[1]Needs!$A$4:$I$43,9,FALSE))</f>
        <v>238920</v>
      </c>
      <c r="AB73">
        <f>IF(N73=0,"",N73*VLOOKUP(AB$2,[1]Needs!$A$4:$I$43,9,FALSE))</f>
        <v>238920</v>
      </c>
      <c r="AC73">
        <f>IF(O73=0,"",O73*VLOOKUP(AC$2,[1]Needs!$A$4:$I$43,9,FALSE))</f>
        <v>238920</v>
      </c>
      <c r="AD73">
        <f>IF(P73=0,"",P73*VLOOKUP(AD$2,[1]Needs!$A$4:$I$43,9,FALSE))</f>
        <v>1911300</v>
      </c>
      <c r="AE73">
        <f>IF(Q73=0,"",Q73*VLOOKUP(AE$2,[1]Needs!$A$4:$I$43,9,FALSE))</f>
        <v>955650</v>
      </c>
    </row>
    <row r="74" customHeight="1" spans="1:31">
      <c r="A74" s="64">
        <v>71</v>
      </c>
      <c r="B74" s="64">
        <v>920</v>
      </c>
      <c r="C74" s="64">
        <f t="shared" si="2"/>
        <v>4782140</v>
      </c>
      <c r="D74" s="65"/>
      <c r="E74" s="65"/>
      <c r="F74" s="65"/>
      <c r="G74" s="65"/>
      <c r="H74" s="65"/>
      <c r="I74" s="65">
        <v>29</v>
      </c>
      <c r="J74" s="65">
        <v>216</v>
      </c>
      <c r="K74" s="65">
        <v>13142</v>
      </c>
      <c r="L74" s="65">
        <v>8762</v>
      </c>
      <c r="M74" s="65">
        <v>8762</v>
      </c>
      <c r="N74" s="65">
        <v>8762</v>
      </c>
      <c r="O74" s="65">
        <v>8762</v>
      </c>
      <c r="P74" s="65">
        <v>35046</v>
      </c>
      <c r="Q74" s="65">
        <v>35046</v>
      </c>
      <c r="R74" t="str">
        <f>IF(D74=0,"",D74*VLOOKUP(R$2,[1]Needs!$A$4:$I$43,9,FALSE))</f>
        <v/>
      </c>
      <c r="S74" t="str">
        <f>IF(E74=0,"",E74*VLOOKUP(S$2,[1]Needs!$A$4:$I$43,9,FALSE))</f>
        <v/>
      </c>
      <c r="T74" t="str">
        <f>IF(F74=0,"",F74*VLOOKUP(T$2,[1]Needs!$A$4:$I$43,9,FALSE))</f>
        <v/>
      </c>
      <c r="U74" t="str">
        <f>IF(G74=0,"",G74*VLOOKUP(U$2,[1]Needs!$A$4:$I$43,9,FALSE))</f>
        <v/>
      </c>
      <c r="V74" t="str">
        <f>IF(H74=0,"",H74*VLOOKUP(V$2,[1]Needs!$A$4:$I$43,9,FALSE))</f>
        <v/>
      </c>
      <c r="W74">
        <f>IF(I74=0,"",I74*VLOOKUP(W$2,[1]Needs!$A$4:$I$43,9,FALSE))</f>
        <v>580</v>
      </c>
      <c r="X74">
        <f>IF(J74=0,"",J74*VLOOKUP(X$2,[1]Needs!$A$4:$I$43,9,FALSE))</f>
        <v>6480</v>
      </c>
      <c r="Y74">
        <f>IF(K74=0,"",K74*VLOOKUP(Y$2,[1]Needs!$A$4:$I$43,9,FALSE))</f>
        <v>394260</v>
      </c>
      <c r="Z74">
        <f>IF(L74=0,"",L74*VLOOKUP(Z$2,[1]Needs!$A$4:$I$43,9,FALSE))</f>
        <v>438100</v>
      </c>
      <c r="AA74">
        <f>IF(M74=0,"",M74*VLOOKUP(AA$2,[1]Needs!$A$4:$I$43,9,FALSE))</f>
        <v>262860</v>
      </c>
      <c r="AB74">
        <f>IF(N74=0,"",N74*VLOOKUP(AB$2,[1]Needs!$A$4:$I$43,9,FALSE))</f>
        <v>262860</v>
      </c>
      <c r="AC74">
        <f>IF(O74=0,"",O74*VLOOKUP(AC$2,[1]Needs!$A$4:$I$43,9,FALSE))</f>
        <v>262860</v>
      </c>
      <c r="AD74">
        <f>IF(P74=0,"",P74*VLOOKUP(AD$2,[1]Needs!$A$4:$I$43,9,FALSE))</f>
        <v>2102760</v>
      </c>
      <c r="AE74">
        <f>IF(Q74=0,"",Q74*VLOOKUP(AE$2,[1]Needs!$A$4:$I$43,9,FALSE))</f>
        <v>1051380</v>
      </c>
    </row>
    <row r="75" customHeight="1" spans="1:31">
      <c r="A75" s="64">
        <v>72</v>
      </c>
      <c r="B75" s="64">
        <v>940</v>
      </c>
      <c r="C75" s="64">
        <f t="shared" si="2"/>
        <v>5260330</v>
      </c>
      <c r="D75" s="65"/>
      <c r="E75" s="65"/>
      <c r="F75" s="65"/>
      <c r="G75" s="65"/>
      <c r="H75" s="65"/>
      <c r="I75" s="65">
        <v>29</v>
      </c>
      <c r="J75" s="65">
        <v>216</v>
      </c>
      <c r="K75" s="65">
        <v>14459</v>
      </c>
      <c r="L75" s="65">
        <v>9639</v>
      </c>
      <c r="M75" s="65">
        <v>9639</v>
      </c>
      <c r="N75" s="65">
        <v>9639</v>
      </c>
      <c r="O75" s="65">
        <v>9639</v>
      </c>
      <c r="P75" s="65">
        <v>38556</v>
      </c>
      <c r="Q75" s="65">
        <v>38556</v>
      </c>
      <c r="R75" t="str">
        <f>IF(D75=0,"",D75*VLOOKUP(R$2,[1]Needs!$A$4:$I$43,9,FALSE))</f>
        <v/>
      </c>
      <c r="S75" t="str">
        <f>IF(E75=0,"",E75*VLOOKUP(S$2,[1]Needs!$A$4:$I$43,9,FALSE))</f>
        <v/>
      </c>
      <c r="T75" t="str">
        <f>IF(F75=0,"",F75*VLOOKUP(T$2,[1]Needs!$A$4:$I$43,9,FALSE))</f>
        <v/>
      </c>
      <c r="U75" t="str">
        <f>IF(G75=0,"",G75*VLOOKUP(U$2,[1]Needs!$A$4:$I$43,9,FALSE))</f>
        <v/>
      </c>
      <c r="V75" t="str">
        <f>IF(H75=0,"",H75*VLOOKUP(V$2,[1]Needs!$A$4:$I$43,9,FALSE))</f>
        <v/>
      </c>
      <c r="W75">
        <f>IF(I75=0,"",I75*VLOOKUP(W$2,[1]Needs!$A$4:$I$43,9,FALSE))</f>
        <v>580</v>
      </c>
      <c r="X75">
        <f>IF(J75=0,"",J75*VLOOKUP(X$2,[1]Needs!$A$4:$I$43,9,FALSE))</f>
        <v>6480</v>
      </c>
      <c r="Y75">
        <f>IF(K75=0,"",K75*VLOOKUP(Y$2,[1]Needs!$A$4:$I$43,9,FALSE))</f>
        <v>433770</v>
      </c>
      <c r="Z75">
        <f>IF(L75=0,"",L75*VLOOKUP(Z$2,[1]Needs!$A$4:$I$43,9,FALSE))</f>
        <v>481950</v>
      </c>
      <c r="AA75">
        <f>IF(M75=0,"",M75*VLOOKUP(AA$2,[1]Needs!$A$4:$I$43,9,FALSE))</f>
        <v>289170</v>
      </c>
      <c r="AB75">
        <f>IF(N75=0,"",N75*VLOOKUP(AB$2,[1]Needs!$A$4:$I$43,9,FALSE))</f>
        <v>289170</v>
      </c>
      <c r="AC75">
        <f>IF(O75=0,"",O75*VLOOKUP(AC$2,[1]Needs!$A$4:$I$43,9,FALSE))</f>
        <v>289170</v>
      </c>
      <c r="AD75">
        <f>IF(P75=0,"",P75*VLOOKUP(AD$2,[1]Needs!$A$4:$I$43,9,FALSE))</f>
        <v>2313360</v>
      </c>
      <c r="AE75">
        <f>IF(Q75=0,"",Q75*VLOOKUP(AE$2,[1]Needs!$A$4:$I$43,9,FALSE))</f>
        <v>1156680</v>
      </c>
    </row>
    <row r="76" customHeight="1" spans="1:31">
      <c r="A76" s="64">
        <v>73</v>
      </c>
      <c r="B76" s="64">
        <v>960</v>
      </c>
      <c r="C76" s="64">
        <f t="shared" si="2"/>
        <v>5786330</v>
      </c>
      <c r="D76" s="65"/>
      <c r="E76" s="65"/>
      <c r="F76" s="65"/>
      <c r="G76" s="65"/>
      <c r="H76" s="65"/>
      <c r="I76" s="65">
        <v>29</v>
      </c>
      <c r="J76" s="65">
        <v>216</v>
      </c>
      <c r="K76" s="65">
        <v>15906</v>
      </c>
      <c r="L76" s="65">
        <v>10604</v>
      </c>
      <c r="M76" s="65">
        <v>10604</v>
      </c>
      <c r="N76" s="65">
        <v>10604</v>
      </c>
      <c r="O76" s="65">
        <v>10604</v>
      </c>
      <c r="P76" s="65">
        <v>42417</v>
      </c>
      <c r="Q76" s="65">
        <v>42417</v>
      </c>
      <c r="R76" t="str">
        <f>IF(D76=0,"",D76*VLOOKUP(R$2,[1]Needs!$A$4:$I$43,9,FALSE))</f>
        <v/>
      </c>
      <c r="S76" t="str">
        <f>IF(E76=0,"",E76*VLOOKUP(S$2,[1]Needs!$A$4:$I$43,9,FALSE))</f>
        <v/>
      </c>
      <c r="T76" t="str">
        <f>IF(F76=0,"",F76*VLOOKUP(T$2,[1]Needs!$A$4:$I$43,9,FALSE))</f>
        <v/>
      </c>
      <c r="U76" t="str">
        <f>IF(G76=0,"",G76*VLOOKUP(U$2,[1]Needs!$A$4:$I$43,9,FALSE))</f>
        <v/>
      </c>
      <c r="V76" t="str">
        <f>IF(H76=0,"",H76*VLOOKUP(V$2,[1]Needs!$A$4:$I$43,9,FALSE))</f>
        <v/>
      </c>
      <c r="W76">
        <f>IF(I76=0,"",I76*VLOOKUP(W$2,[1]Needs!$A$4:$I$43,9,FALSE))</f>
        <v>580</v>
      </c>
      <c r="X76">
        <f>IF(J76=0,"",J76*VLOOKUP(X$2,[1]Needs!$A$4:$I$43,9,FALSE))</f>
        <v>6480</v>
      </c>
      <c r="Y76">
        <f>IF(K76=0,"",K76*VLOOKUP(Y$2,[1]Needs!$A$4:$I$43,9,FALSE))</f>
        <v>477180</v>
      </c>
      <c r="Z76">
        <f>IF(L76=0,"",L76*VLOOKUP(Z$2,[1]Needs!$A$4:$I$43,9,FALSE))</f>
        <v>530200</v>
      </c>
      <c r="AA76">
        <f>IF(M76=0,"",M76*VLOOKUP(AA$2,[1]Needs!$A$4:$I$43,9,FALSE))</f>
        <v>318120</v>
      </c>
      <c r="AB76">
        <f>IF(N76=0,"",N76*VLOOKUP(AB$2,[1]Needs!$A$4:$I$43,9,FALSE))</f>
        <v>318120</v>
      </c>
      <c r="AC76">
        <f>IF(O76=0,"",O76*VLOOKUP(AC$2,[1]Needs!$A$4:$I$43,9,FALSE))</f>
        <v>318120</v>
      </c>
      <c r="AD76">
        <f>IF(P76=0,"",P76*VLOOKUP(AD$2,[1]Needs!$A$4:$I$43,9,FALSE))</f>
        <v>2545020</v>
      </c>
      <c r="AE76">
        <f>IF(Q76=0,"",Q76*VLOOKUP(AE$2,[1]Needs!$A$4:$I$43,9,FALSE))</f>
        <v>1272510</v>
      </c>
    </row>
    <row r="77" customHeight="1" spans="1:31">
      <c r="A77" s="64">
        <v>74</v>
      </c>
      <c r="B77" s="64">
        <v>980</v>
      </c>
      <c r="C77" s="64">
        <f t="shared" si="2"/>
        <v>6365030</v>
      </c>
      <c r="D77" s="65"/>
      <c r="E77" s="65"/>
      <c r="F77" s="65"/>
      <c r="G77" s="65"/>
      <c r="H77" s="65"/>
      <c r="I77" s="65">
        <v>29</v>
      </c>
      <c r="J77" s="65">
        <v>216</v>
      </c>
      <c r="K77" s="65">
        <v>17499</v>
      </c>
      <c r="L77" s="65">
        <v>11666</v>
      </c>
      <c r="M77" s="65">
        <v>11666</v>
      </c>
      <c r="N77" s="65">
        <v>11666</v>
      </c>
      <c r="O77" s="65">
        <v>11666</v>
      </c>
      <c r="P77" s="65">
        <v>46664</v>
      </c>
      <c r="Q77" s="65">
        <v>46664</v>
      </c>
      <c r="R77" t="str">
        <f>IF(D77=0,"",D77*VLOOKUP(R$2,[1]Needs!$A$4:$I$43,9,FALSE))</f>
        <v/>
      </c>
      <c r="S77" t="str">
        <f>IF(E77=0,"",E77*VLOOKUP(S$2,[1]Needs!$A$4:$I$43,9,FALSE))</f>
        <v/>
      </c>
      <c r="T77" t="str">
        <f>IF(F77=0,"",F77*VLOOKUP(T$2,[1]Needs!$A$4:$I$43,9,FALSE))</f>
        <v/>
      </c>
      <c r="U77" t="str">
        <f>IF(G77=0,"",G77*VLOOKUP(U$2,[1]Needs!$A$4:$I$43,9,FALSE))</f>
        <v/>
      </c>
      <c r="V77" t="str">
        <f>IF(H77=0,"",H77*VLOOKUP(V$2,[1]Needs!$A$4:$I$43,9,FALSE))</f>
        <v/>
      </c>
      <c r="W77">
        <f>IF(I77=0,"",I77*VLOOKUP(W$2,[1]Needs!$A$4:$I$43,9,FALSE))</f>
        <v>580</v>
      </c>
      <c r="X77">
        <f>IF(J77=0,"",J77*VLOOKUP(X$2,[1]Needs!$A$4:$I$43,9,FALSE))</f>
        <v>6480</v>
      </c>
      <c r="Y77">
        <f>IF(K77=0,"",K77*VLOOKUP(Y$2,[1]Needs!$A$4:$I$43,9,FALSE))</f>
        <v>524970</v>
      </c>
      <c r="Z77">
        <f>IF(L77=0,"",L77*VLOOKUP(Z$2,[1]Needs!$A$4:$I$43,9,FALSE))</f>
        <v>583300</v>
      </c>
      <c r="AA77">
        <f>IF(M77=0,"",M77*VLOOKUP(AA$2,[1]Needs!$A$4:$I$43,9,FALSE))</f>
        <v>349980</v>
      </c>
      <c r="AB77">
        <f>IF(N77=0,"",N77*VLOOKUP(AB$2,[1]Needs!$A$4:$I$43,9,FALSE))</f>
        <v>349980</v>
      </c>
      <c r="AC77">
        <f>IF(O77=0,"",O77*VLOOKUP(AC$2,[1]Needs!$A$4:$I$43,9,FALSE))</f>
        <v>349980</v>
      </c>
      <c r="AD77">
        <f>IF(P77=0,"",P77*VLOOKUP(AD$2,[1]Needs!$A$4:$I$43,9,FALSE))</f>
        <v>2799840</v>
      </c>
      <c r="AE77">
        <f>IF(Q77=0,"",Q77*VLOOKUP(AE$2,[1]Needs!$A$4:$I$43,9,FALSE))</f>
        <v>1399920</v>
      </c>
    </row>
    <row r="78" customHeight="1" spans="1:31">
      <c r="A78" s="64">
        <v>75</v>
      </c>
      <c r="B78" s="64">
        <v>1000</v>
      </c>
      <c r="C78" s="64">
        <f t="shared" si="2"/>
        <v>7001590</v>
      </c>
      <c r="D78" s="65"/>
      <c r="E78" s="65"/>
      <c r="F78" s="65"/>
      <c r="G78" s="65"/>
      <c r="H78" s="65"/>
      <c r="I78" s="65">
        <v>29</v>
      </c>
      <c r="J78" s="65">
        <v>216</v>
      </c>
      <c r="K78" s="65">
        <v>19251</v>
      </c>
      <c r="L78" s="65">
        <v>12834</v>
      </c>
      <c r="M78" s="65">
        <v>12834</v>
      </c>
      <c r="N78" s="65">
        <v>12834</v>
      </c>
      <c r="O78" s="65">
        <v>12834</v>
      </c>
      <c r="P78" s="65">
        <v>51336</v>
      </c>
      <c r="Q78" s="65">
        <v>51336</v>
      </c>
      <c r="R78" t="str">
        <f>IF(D78=0,"",D78*VLOOKUP(R$2,[1]Needs!$A$4:$I$43,9,FALSE))</f>
        <v/>
      </c>
      <c r="S78" t="str">
        <f>IF(E78=0,"",E78*VLOOKUP(S$2,[1]Needs!$A$4:$I$43,9,FALSE))</f>
        <v/>
      </c>
      <c r="T78" t="str">
        <f>IF(F78=0,"",F78*VLOOKUP(T$2,[1]Needs!$A$4:$I$43,9,FALSE))</f>
        <v/>
      </c>
      <c r="U78" t="str">
        <f>IF(G78=0,"",G78*VLOOKUP(U$2,[1]Needs!$A$4:$I$43,9,FALSE))</f>
        <v/>
      </c>
      <c r="V78" t="str">
        <f>IF(H78=0,"",H78*VLOOKUP(V$2,[1]Needs!$A$4:$I$43,9,FALSE))</f>
        <v/>
      </c>
      <c r="W78">
        <f>IF(I78=0,"",I78*VLOOKUP(W$2,[1]Needs!$A$4:$I$43,9,FALSE))</f>
        <v>580</v>
      </c>
      <c r="X78">
        <f>IF(J78=0,"",J78*VLOOKUP(X$2,[1]Needs!$A$4:$I$43,9,FALSE))</f>
        <v>6480</v>
      </c>
      <c r="Y78">
        <f>IF(K78=0,"",K78*VLOOKUP(Y$2,[1]Needs!$A$4:$I$43,9,FALSE))</f>
        <v>577530</v>
      </c>
      <c r="Z78">
        <f>IF(L78=0,"",L78*VLOOKUP(Z$2,[1]Needs!$A$4:$I$43,9,FALSE))</f>
        <v>641700</v>
      </c>
      <c r="AA78">
        <f>IF(M78=0,"",M78*VLOOKUP(AA$2,[1]Needs!$A$4:$I$43,9,FALSE))</f>
        <v>385020</v>
      </c>
      <c r="AB78">
        <f>IF(N78=0,"",N78*VLOOKUP(AB$2,[1]Needs!$A$4:$I$43,9,FALSE))</f>
        <v>385020</v>
      </c>
      <c r="AC78">
        <f>IF(O78=0,"",O78*VLOOKUP(AC$2,[1]Needs!$A$4:$I$43,9,FALSE))</f>
        <v>385020</v>
      </c>
      <c r="AD78">
        <f>IF(P78=0,"",P78*VLOOKUP(AD$2,[1]Needs!$A$4:$I$43,9,FALSE))</f>
        <v>3080160</v>
      </c>
      <c r="AE78">
        <f>IF(Q78=0,"",Q78*VLOOKUP(AE$2,[1]Needs!$A$4:$I$43,9,FALSE))</f>
        <v>1540080</v>
      </c>
    </row>
    <row r="79" customHeight="1" spans="1:31">
      <c r="A79" s="64">
        <v>76</v>
      </c>
      <c r="B79" s="64">
        <v>1020</v>
      </c>
      <c r="C79" s="64">
        <f t="shared" si="2"/>
        <v>7701810</v>
      </c>
      <c r="D79" s="65"/>
      <c r="E79" s="65"/>
      <c r="F79" s="65"/>
      <c r="G79" s="65"/>
      <c r="H79" s="65"/>
      <c r="I79" s="65">
        <v>29</v>
      </c>
      <c r="J79" s="65">
        <v>216</v>
      </c>
      <c r="K79" s="65">
        <v>21178</v>
      </c>
      <c r="L79" s="65">
        <v>14119</v>
      </c>
      <c r="M79" s="65">
        <v>14119</v>
      </c>
      <c r="N79" s="65">
        <v>14119</v>
      </c>
      <c r="O79" s="65">
        <v>14119</v>
      </c>
      <c r="P79" s="65">
        <v>56475</v>
      </c>
      <c r="Q79" s="65">
        <v>56475</v>
      </c>
      <c r="R79" t="str">
        <f>IF(D79=0,"",D79*VLOOKUP(R$2,[1]Needs!$A$4:$I$43,9,FALSE))</f>
        <v/>
      </c>
      <c r="S79" t="str">
        <f>IF(E79=0,"",E79*VLOOKUP(S$2,[1]Needs!$A$4:$I$43,9,FALSE))</f>
        <v/>
      </c>
      <c r="T79" t="str">
        <f>IF(F79=0,"",F79*VLOOKUP(T$2,[1]Needs!$A$4:$I$43,9,FALSE))</f>
        <v/>
      </c>
      <c r="U79" t="str">
        <f>IF(G79=0,"",G79*VLOOKUP(U$2,[1]Needs!$A$4:$I$43,9,FALSE))</f>
        <v/>
      </c>
      <c r="V79" t="str">
        <f>IF(H79=0,"",H79*VLOOKUP(V$2,[1]Needs!$A$4:$I$43,9,FALSE))</f>
        <v/>
      </c>
      <c r="W79">
        <f>IF(I79=0,"",I79*VLOOKUP(W$2,[1]Needs!$A$4:$I$43,9,FALSE))</f>
        <v>580</v>
      </c>
      <c r="X79">
        <f>IF(J79=0,"",J79*VLOOKUP(X$2,[1]Needs!$A$4:$I$43,9,FALSE))</f>
        <v>6480</v>
      </c>
      <c r="Y79">
        <f>IF(K79=0,"",K79*VLOOKUP(Y$2,[1]Needs!$A$4:$I$43,9,FALSE))</f>
        <v>635340</v>
      </c>
      <c r="Z79">
        <f>IF(L79=0,"",L79*VLOOKUP(Z$2,[1]Needs!$A$4:$I$43,9,FALSE))</f>
        <v>705950</v>
      </c>
      <c r="AA79">
        <f>IF(M79=0,"",M79*VLOOKUP(AA$2,[1]Needs!$A$4:$I$43,9,FALSE))</f>
        <v>423570</v>
      </c>
      <c r="AB79">
        <f>IF(N79=0,"",N79*VLOOKUP(AB$2,[1]Needs!$A$4:$I$43,9,FALSE))</f>
        <v>423570</v>
      </c>
      <c r="AC79">
        <f>IF(O79=0,"",O79*VLOOKUP(AC$2,[1]Needs!$A$4:$I$43,9,FALSE))</f>
        <v>423570</v>
      </c>
      <c r="AD79">
        <f>IF(P79=0,"",P79*VLOOKUP(AD$2,[1]Needs!$A$4:$I$43,9,FALSE))</f>
        <v>3388500</v>
      </c>
      <c r="AE79">
        <f>IF(Q79=0,"",Q79*VLOOKUP(AE$2,[1]Needs!$A$4:$I$43,9,FALSE))</f>
        <v>1694250</v>
      </c>
    </row>
    <row r="80" customHeight="1" spans="1:31">
      <c r="A80" s="64">
        <v>77</v>
      </c>
      <c r="B80" s="64">
        <v>1040</v>
      </c>
      <c r="C80" s="64">
        <f t="shared" si="2"/>
        <v>8472000</v>
      </c>
      <c r="D80" s="65"/>
      <c r="E80" s="65"/>
      <c r="F80" s="65"/>
      <c r="G80" s="65"/>
      <c r="H80" s="65"/>
      <c r="I80" s="65">
        <v>29</v>
      </c>
      <c r="J80" s="65">
        <v>216</v>
      </c>
      <c r="K80" s="65">
        <v>23298</v>
      </c>
      <c r="L80" s="65">
        <v>15532</v>
      </c>
      <c r="M80" s="65">
        <v>15532</v>
      </c>
      <c r="N80" s="65">
        <v>15532</v>
      </c>
      <c r="O80" s="65">
        <v>15532</v>
      </c>
      <c r="P80" s="65">
        <v>62128</v>
      </c>
      <c r="Q80" s="65">
        <v>62128</v>
      </c>
      <c r="R80" t="str">
        <f>IF(D80=0,"",D80*VLOOKUP(R$2,[1]Needs!$A$4:$I$43,9,FALSE))</f>
        <v/>
      </c>
      <c r="S80" t="str">
        <f>IF(E80=0,"",E80*VLOOKUP(S$2,[1]Needs!$A$4:$I$43,9,FALSE))</f>
        <v/>
      </c>
      <c r="T80" t="str">
        <f>IF(F80=0,"",F80*VLOOKUP(T$2,[1]Needs!$A$4:$I$43,9,FALSE))</f>
        <v/>
      </c>
      <c r="U80" t="str">
        <f>IF(G80=0,"",G80*VLOOKUP(U$2,[1]Needs!$A$4:$I$43,9,FALSE))</f>
        <v/>
      </c>
      <c r="V80" t="str">
        <f>IF(H80=0,"",H80*VLOOKUP(V$2,[1]Needs!$A$4:$I$43,9,FALSE))</f>
        <v/>
      </c>
      <c r="W80">
        <f>IF(I80=0,"",I80*VLOOKUP(W$2,[1]Needs!$A$4:$I$43,9,FALSE))</f>
        <v>580</v>
      </c>
      <c r="X80">
        <f>IF(J80=0,"",J80*VLOOKUP(X$2,[1]Needs!$A$4:$I$43,9,FALSE))</f>
        <v>6480</v>
      </c>
      <c r="Y80">
        <f>IF(K80=0,"",K80*VLOOKUP(Y$2,[1]Needs!$A$4:$I$43,9,FALSE))</f>
        <v>698940</v>
      </c>
      <c r="Z80">
        <f>IF(L80=0,"",L80*VLOOKUP(Z$2,[1]Needs!$A$4:$I$43,9,FALSE))</f>
        <v>776600</v>
      </c>
      <c r="AA80">
        <f>IF(M80=0,"",M80*VLOOKUP(AA$2,[1]Needs!$A$4:$I$43,9,FALSE))</f>
        <v>465960</v>
      </c>
      <c r="AB80">
        <f>IF(N80=0,"",N80*VLOOKUP(AB$2,[1]Needs!$A$4:$I$43,9,FALSE))</f>
        <v>465960</v>
      </c>
      <c r="AC80">
        <f>IF(O80=0,"",O80*VLOOKUP(AC$2,[1]Needs!$A$4:$I$43,9,FALSE))</f>
        <v>465960</v>
      </c>
      <c r="AD80">
        <f>IF(P80=0,"",P80*VLOOKUP(AD$2,[1]Needs!$A$4:$I$43,9,FALSE))</f>
        <v>3727680</v>
      </c>
      <c r="AE80">
        <f>IF(Q80=0,"",Q80*VLOOKUP(AE$2,[1]Needs!$A$4:$I$43,9,FALSE))</f>
        <v>1863840</v>
      </c>
    </row>
    <row r="81" customHeight="1" spans="1:31">
      <c r="A81" s="64">
        <v>78</v>
      </c>
      <c r="B81" s="64">
        <v>1060</v>
      </c>
      <c r="C81" s="64">
        <f t="shared" si="2"/>
        <v>9319140</v>
      </c>
      <c r="D81" s="65"/>
      <c r="E81" s="65"/>
      <c r="F81" s="65"/>
      <c r="G81" s="65"/>
      <c r="H81" s="65"/>
      <c r="I81" s="65">
        <v>29</v>
      </c>
      <c r="J81" s="65">
        <v>216</v>
      </c>
      <c r="K81" s="65">
        <v>25630</v>
      </c>
      <c r="L81" s="65">
        <v>17086</v>
      </c>
      <c r="M81" s="65">
        <v>17086</v>
      </c>
      <c r="N81" s="65">
        <v>17086</v>
      </c>
      <c r="O81" s="65">
        <v>17086</v>
      </c>
      <c r="P81" s="65">
        <v>68346</v>
      </c>
      <c r="Q81" s="65">
        <v>68346</v>
      </c>
      <c r="R81" t="str">
        <f>IF(D81=0,"",D81*VLOOKUP(R$2,[1]Needs!$A$4:$I$43,9,FALSE))</f>
        <v/>
      </c>
      <c r="S81" t="str">
        <f>IF(E81=0,"",E81*VLOOKUP(S$2,[1]Needs!$A$4:$I$43,9,FALSE))</f>
        <v/>
      </c>
      <c r="T81" t="str">
        <f>IF(F81=0,"",F81*VLOOKUP(T$2,[1]Needs!$A$4:$I$43,9,FALSE))</f>
        <v/>
      </c>
      <c r="U81" t="str">
        <f>IF(G81=0,"",G81*VLOOKUP(U$2,[1]Needs!$A$4:$I$43,9,FALSE))</f>
        <v/>
      </c>
      <c r="V81" t="str">
        <f>IF(H81=0,"",H81*VLOOKUP(V$2,[1]Needs!$A$4:$I$43,9,FALSE))</f>
        <v/>
      </c>
      <c r="W81">
        <f>IF(I81=0,"",I81*VLOOKUP(W$2,[1]Needs!$A$4:$I$43,9,FALSE))</f>
        <v>580</v>
      </c>
      <c r="X81">
        <f>IF(J81=0,"",J81*VLOOKUP(X$2,[1]Needs!$A$4:$I$43,9,FALSE))</f>
        <v>6480</v>
      </c>
      <c r="Y81">
        <f>IF(K81=0,"",K81*VLOOKUP(Y$2,[1]Needs!$A$4:$I$43,9,FALSE))</f>
        <v>768900</v>
      </c>
      <c r="Z81">
        <f>IF(L81=0,"",L81*VLOOKUP(Z$2,[1]Needs!$A$4:$I$43,9,FALSE))</f>
        <v>854300</v>
      </c>
      <c r="AA81">
        <f>IF(M81=0,"",M81*VLOOKUP(AA$2,[1]Needs!$A$4:$I$43,9,FALSE))</f>
        <v>512580</v>
      </c>
      <c r="AB81">
        <f>IF(N81=0,"",N81*VLOOKUP(AB$2,[1]Needs!$A$4:$I$43,9,FALSE))</f>
        <v>512580</v>
      </c>
      <c r="AC81">
        <f>IF(O81=0,"",O81*VLOOKUP(AC$2,[1]Needs!$A$4:$I$43,9,FALSE))</f>
        <v>512580</v>
      </c>
      <c r="AD81">
        <f>IF(P81=0,"",P81*VLOOKUP(AD$2,[1]Needs!$A$4:$I$43,9,FALSE))</f>
        <v>4100760</v>
      </c>
      <c r="AE81">
        <f>IF(Q81=0,"",Q81*VLOOKUP(AE$2,[1]Needs!$A$4:$I$43,9,FALSE))</f>
        <v>2050380</v>
      </c>
    </row>
    <row r="82" customHeight="1" spans="1:31">
      <c r="A82" s="64">
        <v>79</v>
      </c>
      <c r="B82" s="64">
        <v>1080</v>
      </c>
      <c r="C82" s="64">
        <f t="shared" si="2"/>
        <v>10251090</v>
      </c>
      <c r="D82" s="65"/>
      <c r="E82" s="65"/>
      <c r="F82" s="65"/>
      <c r="G82" s="65"/>
      <c r="H82" s="65"/>
      <c r="I82" s="65">
        <v>29</v>
      </c>
      <c r="J82" s="65">
        <v>216</v>
      </c>
      <c r="K82" s="65">
        <v>28195</v>
      </c>
      <c r="L82" s="65">
        <v>18796</v>
      </c>
      <c r="M82" s="65">
        <v>18796</v>
      </c>
      <c r="N82" s="65">
        <v>18796</v>
      </c>
      <c r="O82" s="65">
        <v>18796</v>
      </c>
      <c r="P82" s="65">
        <v>75186</v>
      </c>
      <c r="Q82" s="65">
        <v>75186</v>
      </c>
      <c r="R82" t="str">
        <f>IF(D82=0,"",D82*VLOOKUP(R$2,[1]Needs!$A$4:$I$43,9,FALSE))</f>
        <v/>
      </c>
      <c r="S82" t="str">
        <f>IF(E82=0,"",E82*VLOOKUP(S$2,[1]Needs!$A$4:$I$43,9,FALSE))</f>
        <v/>
      </c>
      <c r="T82" t="str">
        <f>IF(F82=0,"",F82*VLOOKUP(T$2,[1]Needs!$A$4:$I$43,9,FALSE))</f>
        <v/>
      </c>
      <c r="U82" t="str">
        <f>IF(G82=0,"",G82*VLOOKUP(U$2,[1]Needs!$A$4:$I$43,9,FALSE))</f>
        <v/>
      </c>
      <c r="V82" t="str">
        <f>IF(H82=0,"",H82*VLOOKUP(V$2,[1]Needs!$A$4:$I$43,9,FALSE))</f>
        <v/>
      </c>
      <c r="W82">
        <f>IF(I82=0,"",I82*VLOOKUP(W$2,[1]Needs!$A$4:$I$43,9,FALSE))</f>
        <v>580</v>
      </c>
      <c r="X82">
        <f>IF(J82=0,"",J82*VLOOKUP(X$2,[1]Needs!$A$4:$I$43,9,FALSE))</f>
        <v>6480</v>
      </c>
      <c r="Y82">
        <f>IF(K82=0,"",K82*VLOOKUP(Y$2,[1]Needs!$A$4:$I$43,9,FALSE))</f>
        <v>845850</v>
      </c>
      <c r="Z82">
        <f>IF(L82=0,"",L82*VLOOKUP(Z$2,[1]Needs!$A$4:$I$43,9,FALSE))</f>
        <v>939800</v>
      </c>
      <c r="AA82">
        <f>IF(M82=0,"",M82*VLOOKUP(AA$2,[1]Needs!$A$4:$I$43,9,FALSE))</f>
        <v>563880</v>
      </c>
      <c r="AB82">
        <f>IF(N82=0,"",N82*VLOOKUP(AB$2,[1]Needs!$A$4:$I$43,9,FALSE))</f>
        <v>563880</v>
      </c>
      <c r="AC82">
        <f>IF(O82=0,"",O82*VLOOKUP(AC$2,[1]Needs!$A$4:$I$43,9,FALSE))</f>
        <v>563880</v>
      </c>
      <c r="AD82">
        <f>IF(P82=0,"",P82*VLOOKUP(AD$2,[1]Needs!$A$4:$I$43,9,FALSE))</f>
        <v>4511160</v>
      </c>
      <c r="AE82">
        <f>IF(Q82=0,"",Q82*VLOOKUP(AE$2,[1]Needs!$A$4:$I$43,9,FALSE))</f>
        <v>2255580</v>
      </c>
    </row>
    <row r="83" customHeight="1" spans="1:31">
      <c r="A83" s="64">
        <v>80</v>
      </c>
      <c r="B83" s="64">
        <v>1100</v>
      </c>
      <c r="C83" s="64">
        <f t="shared" si="2"/>
        <v>11276220</v>
      </c>
      <c r="D83" s="65"/>
      <c r="E83" s="65"/>
      <c r="F83" s="65"/>
      <c r="G83" s="65"/>
      <c r="H83" s="65"/>
      <c r="I83" s="65">
        <v>29</v>
      </c>
      <c r="J83" s="65">
        <v>216</v>
      </c>
      <c r="K83" s="65">
        <v>31016</v>
      </c>
      <c r="L83" s="65">
        <v>20677</v>
      </c>
      <c r="M83" s="65">
        <v>20677</v>
      </c>
      <c r="N83" s="65">
        <v>20677</v>
      </c>
      <c r="O83" s="65">
        <v>20677</v>
      </c>
      <c r="P83" s="65">
        <v>82710</v>
      </c>
      <c r="Q83" s="65">
        <v>82710</v>
      </c>
      <c r="R83" t="str">
        <f>IF(D83=0,"",D83*VLOOKUP(R$2,[1]Needs!$A$4:$I$43,9,FALSE))</f>
        <v/>
      </c>
      <c r="S83" t="str">
        <f>IF(E83=0,"",E83*VLOOKUP(S$2,[1]Needs!$A$4:$I$43,9,FALSE))</f>
        <v/>
      </c>
      <c r="T83" t="str">
        <f>IF(F83=0,"",F83*VLOOKUP(T$2,[1]Needs!$A$4:$I$43,9,FALSE))</f>
        <v/>
      </c>
      <c r="U83" t="str">
        <f>IF(G83=0,"",G83*VLOOKUP(U$2,[1]Needs!$A$4:$I$43,9,FALSE))</f>
        <v/>
      </c>
      <c r="V83" t="str">
        <f>IF(H83=0,"",H83*VLOOKUP(V$2,[1]Needs!$A$4:$I$43,9,FALSE))</f>
        <v/>
      </c>
      <c r="W83">
        <f>IF(I83=0,"",I83*VLOOKUP(W$2,[1]Needs!$A$4:$I$43,9,FALSE))</f>
        <v>580</v>
      </c>
      <c r="X83">
        <f>IF(J83=0,"",J83*VLOOKUP(X$2,[1]Needs!$A$4:$I$43,9,FALSE))</f>
        <v>6480</v>
      </c>
      <c r="Y83">
        <f>IF(K83=0,"",K83*VLOOKUP(Y$2,[1]Needs!$A$4:$I$43,9,FALSE))</f>
        <v>930480</v>
      </c>
      <c r="Z83">
        <f>IF(L83=0,"",L83*VLOOKUP(Z$2,[1]Needs!$A$4:$I$43,9,FALSE))</f>
        <v>1033850</v>
      </c>
      <c r="AA83">
        <f>IF(M83=0,"",M83*VLOOKUP(AA$2,[1]Needs!$A$4:$I$43,9,FALSE))</f>
        <v>620310</v>
      </c>
      <c r="AB83">
        <f>IF(N83=0,"",N83*VLOOKUP(AB$2,[1]Needs!$A$4:$I$43,9,FALSE))</f>
        <v>620310</v>
      </c>
      <c r="AC83">
        <f>IF(O83=0,"",O83*VLOOKUP(AC$2,[1]Needs!$A$4:$I$43,9,FALSE))</f>
        <v>620310</v>
      </c>
      <c r="AD83">
        <f>IF(P83=0,"",P83*VLOOKUP(AD$2,[1]Needs!$A$4:$I$43,9,FALSE))</f>
        <v>4962600</v>
      </c>
      <c r="AE83">
        <f>IF(Q83=0,"",Q83*VLOOKUP(AE$2,[1]Needs!$A$4:$I$43,9,FALSE))</f>
        <v>2481300</v>
      </c>
    </row>
    <row r="84" customHeight="1" spans="1:31">
      <c r="A84" s="64">
        <v>81</v>
      </c>
      <c r="B84" s="64">
        <v>1120</v>
      </c>
      <c r="C84" s="64">
        <f t="shared" si="2"/>
        <v>12403980</v>
      </c>
      <c r="D84" s="65"/>
      <c r="E84" s="65"/>
      <c r="F84" s="65"/>
      <c r="G84" s="65"/>
      <c r="H84" s="65"/>
      <c r="I84" s="65">
        <v>29</v>
      </c>
      <c r="J84" s="65">
        <v>216</v>
      </c>
      <c r="K84" s="65">
        <v>34120</v>
      </c>
      <c r="L84" s="65">
        <v>22747</v>
      </c>
      <c r="M84" s="65">
        <v>22747</v>
      </c>
      <c r="N84" s="65">
        <v>22747</v>
      </c>
      <c r="O84" s="65">
        <v>22747</v>
      </c>
      <c r="P84" s="65">
        <v>90986</v>
      </c>
      <c r="Q84" s="65">
        <v>90986</v>
      </c>
      <c r="R84" t="str">
        <f>IF(D84=0,"",D84*VLOOKUP(R$2,[1]Needs!$A$4:$I$43,9,FALSE))</f>
        <v/>
      </c>
      <c r="S84" t="str">
        <f>IF(E84=0,"",E84*VLOOKUP(S$2,[1]Needs!$A$4:$I$43,9,FALSE))</f>
        <v/>
      </c>
      <c r="T84" t="str">
        <f>IF(F84=0,"",F84*VLOOKUP(T$2,[1]Needs!$A$4:$I$43,9,FALSE))</f>
        <v/>
      </c>
      <c r="U84" t="str">
        <f>IF(G84=0,"",G84*VLOOKUP(U$2,[1]Needs!$A$4:$I$43,9,FALSE))</f>
        <v/>
      </c>
      <c r="V84" t="str">
        <f>IF(H84=0,"",H84*VLOOKUP(V$2,[1]Needs!$A$4:$I$43,9,FALSE))</f>
        <v/>
      </c>
      <c r="W84">
        <f>IF(I84=0,"",I84*VLOOKUP(W$2,[1]Needs!$A$4:$I$43,9,FALSE))</f>
        <v>580</v>
      </c>
      <c r="X84">
        <f>IF(J84=0,"",J84*VLOOKUP(X$2,[1]Needs!$A$4:$I$43,9,FALSE))</f>
        <v>6480</v>
      </c>
      <c r="Y84">
        <f>IF(K84=0,"",K84*VLOOKUP(Y$2,[1]Needs!$A$4:$I$43,9,FALSE))</f>
        <v>1023600</v>
      </c>
      <c r="Z84">
        <f>IF(L84=0,"",L84*VLOOKUP(Z$2,[1]Needs!$A$4:$I$43,9,FALSE))</f>
        <v>1137350</v>
      </c>
      <c r="AA84">
        <f>IF(M84=0,"",M84*VLOOKUP(AA$2,[1]Needs!$A$4:$I$43,9,FALSE))</f>
        <v>682410</v>
      </c>
      <c r="AB84">
        <f>IF(N84=0,"",N84*VLOOKUP(AB$2,[1]Needs!$A$4:$I$43,9,FALSE))</f>
        <v>682410</v>
      </c>
      <c r="AC84">
        <f>IF(O84=0,"",O84*VLOOKUP(AC$2,[1]Needs!$A$4:$I$43,9,FALSE))</f>
        <v>682410</v>
      </c>
      <c r="AD84">
        <f>IF(P84=0,"",P84*VLOOKUP(AD$2,[1]Needs!$A$4:$I$43,9,FALSE))</f>
        <v>5459160</v>
      </c>
      <c r="AE84">
        <f>IF(Q84=0,"",Q84*VLOOKUP(AE$2,[1]Needs!$A$4:$I$43,9,FALSE))</f>
        <v>2729580</v>
      </c>
    </row>
    <row r="85" customHeight="1" spans="1:31">
      <c r="A85" s="64">
        <v>82</v>
      </c>
      <c r="B85" s="64">
        <v>1140</v>
      </c>
      <c r="C85" s="64">
        <f t="shared" si="2"/>
        <v>13644400</v>
      </c>
      <c r="D85" s="65"/>
      <c r="E85" s="65"/>
      <c r="F85" s="65"/>
      <c r="G85" s="65"/>
      <c r="H85" s="65"/>
      <c r="I85" s="65">
        <v>29</v>
      </c>
      <c r="J85" s="65">
        <v>216</v>
      </c>
      <c r="K85" s="65">
        <v>37534</v>
      </c>
      <c r="L85" s="65">
        <v>25023</v>
      </c>
      <c r="M85" s="65">
        <v>25023</v>
      </c>
      <c r="N85" s="65">
        <v>25023</v>
      </c>
      <c r="O85" s="65">
        <v>25023</v>
      </c>
      <c r="P85" s="65">
        <v>100090</v>
      </c>
      <c r="Q85" s="65">
        <v>100090</v>
      </c>
      <c r="R85" t="str">
        <f>IF(D85=0,"",D85*VLOOKUP(R$2,[1]Needs!$A$4:$I$43,9,FALSE))</f>
        <v/>
      </c>
      <c r="S85" t="str">
        <f>IF(E85=0,"",E85*VLOOKUP(S$2,[1]Needs!$A$4:$I$43,9,FALSE))</f>
        <v/>
      </c>
      <c r="T85" t="str">
        <f>IF(F85=0,"",F85*VLOOKUP(T$2,[1]Needs!$A$4:$I$43,9,FALSE))</f>
        <v/>
      </c>
      <c r="U85" t="str">
        <f>IF(G85=0,"",G85*VLOOKUP(U$2,[1]Needs!$A$4:$I$43,9,FALSE))</f>
        <v/>
      </c>
      <c r="V85" t="str">
        <f>IF(H85=0,"",H85*VLOOKUP(V$2,[1]Needs!$A$4:$I$43,9,FALSE))</f>
        <v/>
      </c>
      <c r="W85">
        <f>IF(I85=0,"",I85*VLOOKUP(W$2,[1]Needs!$A$4:$I$43,9,FALSE))</f>
        <v>580</v>
      </c>
      <c r="X85">
        <f>IF(J85=0,"",J85*VLOOKUP(X$2,[1]Needs!$A$4:$I$43,9,FALSE))</f>
        <v>6480</v>
      </c>
      <c r="Y85">
        <f>IF(K85=0,"",K85*VLOOKUP(Y$2,[1]Needs!$A$4:$I$43,9,FALSE))</f>
        <v>1126020</v>
      </c>
      <c r="Z85">
        <f>IF(L85=0,"",L85*VLOOKUP(Z$2,[1]Needs!$A$4:$I$43,9,FALSE))</f>
        <v>1251150</v>
      </c>
      <c r="AA85">
        <f>IF(M85=0,"",M85*VLOOKUP(AA$2,[1]Needs!$A$4:$I$43,9,FALSE))</f>
        <v>750690</v>
      </c>
      <c r="AB85">
        <f>IF(N85=0,"",N85*VLOOKUP(AB$2,[1]Needs!$A$4:$I$43,9,FALSE))</f>
        <v>750690</v>
      </c>
      <c r="AC85">
        <f>IF(O85=0,"",O85*VLOOKUP(AC$2,[1]Needs!$A$4:$I$43,9,FALSE))</f>
        <v>750690</v>
      </c>
      <c r="AD85">
        <f>IF(P85=0,"",P85*VLOOKUP(AD$2,[1]Needs!$A$4:$I$43,9,FALSE))</f>
        <v>6005400</v>
      </c>
      <c r="AE85">
        <f>IF(Q85=0,"",Q85*VLOOKUP(AE$2,[1]Needs!$A$4:$I$43,9,FALSE))</f>
        <v>3002700</v>
      </c>
    </row>
    <row r="86" customHeight="1" spans="1:31">
      <c r="A86" s="64">
        <v>83</v>
      </c>
      <c r="B86" s="64">
        <v>1160</v>
      </c>
      <c r="C86" s="64">
        <f t="shared" si="2"/>
        <v>15008820</v>
      </c>
      <c r="D86" s="65"/>
      <c r="E86" s="65"/>
      <c r="F86" s="65"/>
      <c r="G86" s="65"/>
      <c r="H86" s="65"/>
      <c r="I86" s="65">
        <v>29</v>
      </c>
      <c r="J86" s="65">
        <v>216</v>
      </c>
      <c r="K86" s="65">
        <v>41289</v>
      </c>
      <c r="L86" s="65">
        <v>27526</v>
      </c>
      <c r="M86" s="65">
        <v>27526</v>
      </c>
      <c r="N86" s="65">
        <v>27526</v>
      </c>
      <c r="O86" s="65">
        <v>27526</v>
      </c>
      <c r="P86" s="65">
        <v>110105</v>
      </c>
      <c r="Q86" s="65">
        <v>110105</v>
      </c>
      <c r="R86" t="str">
        <f>IF(D86=0,"",D86*VLOOKUP(R$2,[1]Needs!$A$4:$I$43,9,FALSE))</f>
        <v/>
      </c>
      <c r="S86" t="str">
        <f>IF(E86=0,"",E86*VLOOKUP(S$2,[1]Needs!$A$4:$I$43,9,FALSE))</f>
        <v/>
      </c>
      <c r="T86" t="str">
        <f>IF(F86=0,"",F86*VLOOKUP(T$2,[1]Needs!$A$4:$I$43,9,FALSE))</f>
        <v/>
      </c>
      <c r="U86" t="str">
        <f>IF(G86=0,"",G86*VLOOKUP(U$2,[1]Needs!$A$4:$I$43,9,FALSE))</f>
        <v/>
      </c>
      <c r="V86" t="str">
        <f>IF(H86=0,"",H86*VLOOKUP(V$2,[1]Needs!$A$4:$I$43,9,FALSE))</f>
        <v/>
      </c>
      <c r="W86">
        <f>IF(I86=0,"",I86*VLOOKUP(W$2,[1]Needs!$A$4:$I$43,9,FALSE))</f>
        <v>580</v>
      </c>
      <c r="X86">
        <f>IF(J86=0,"",J86*VLOOKUP(X$2,[1]Needs!$A$4:$I$43,9,FALSE))</f>
        <v>6480</v>
      </c>
      <c r="Y86">
        <f>IF(K86=0,"",K86*VLOOKUP(Y$2,[1]Needs!$A$4:$I$43,9,FALSE))</f>
        <v>1238670</v>
      </c>
      <c r="Z86">
        <f>IF(L86=0,"",L86*VLOOKUP(Z$2,[1]Needs!$A$4:$I$43,9,FALSE))</f>
        <v>1376300</v>
      </c>
      <c r="AA86">
        <f>IF(M86=0,"",M86*VLOOKUP(AA$2,[1]Needs!$A$4:$I$43,9,FALSE))</f>
        <v>825780</v>
      </c>
      <c r="AB86">
        <f>IF(N86=0,"",N86*VLOOKUP(AB$2,[1]Needs!$A$4:$I$43,9,FALSE))</f>
        <v>825780</v>
      </c>
      <c r="AC86">
        <f>IF(O86=0,"",O86*VLOOKUP(AC$2,[1]Needs!$A$4:$I$43,9,FALSE))</f>
        <v>825780</v>
      </c>
      <c r="AD86">
        <f>IF(P86=0,"",P86*VLOOKUP(AD$2,[1]Needs!$A$4:$I$43,9,FALSE))</f>
        <v>6606300</v>
      </c>
      <c r="AE86">
        <f>IF(Q86=0,"",Q86*VLOOKUP(AE$2,[1]Needs!$A$4:$I$43,9,FALSE))</f>
        <v>3303150</v>
      </c>
    </row>
    <row r="87" customHeight="1" spans="1:31">
      <c r="A87" s="64">
        <v>84</v>
      </c>
      <c r="B87" s="64">
        <v>1180</v>
      </c>
      <c r="C87" s="64">
        <f t="shared" si="2"/>
        <v>16509660</v>
      </c>
      <c r="D87" s="65"/>
      <c r="E87" s="65"/>
      <c r="F87" s="65"/>
      <c r="G87" s="65"/>
      <c r="H87" s="65"/>
      <c r="I87" s="65">
        <v>29</v>
      </c>
      <c r="J87" s="65">
        <v>216</v>
      </c>
      <c r="K87" s="65">
        <v>45420</v>
      </c>
      <c r="L87" s="65">
        <v>30280</v>
      </c>
      <c r="M87" s="65">
        <v>30280</v>
      </c>
      <c r="N87" s="65">
        <v>30280</v>
      </c>
      <c r="O87" s="65">
        <v>30280</v>
      </c>
      <c r="P87" s="65">
        <v>121120</v>
      </c>
      <c r="Q87" s="65">
        <v>121120</v>
      </c>
      <c r="R87" t="str">
        <f>IF(D87=0,"",D87*VLOOKUP(R$2,[1]Needs!$A$4:$I$43,9,FALSE))</f>
        <v/>
      </c>
      <c r="S87" t="str">
        <f>IF(E87=0,"",E87*VLOOKUP(S$2,[1]Needs!$A$4:$I$43,9,FALSE))</f>
        <v/>
      </c>
      <c r="T87" t="str">
        <f>IF(F87=0,"",F87*VLOOKUP(T$2,[1]Needs!$A$4:$I$43,9,FALSE))</f>
        <v/>
      </c>
      <c r="U87" t="str">
        <f>IF(G87=0,"",G87*VLOOKUP(U$2,[1]Needs!$A$4:$I$43,9,FALSE))</f>
        <v/>
      </c>
      <c r="V87" t="str">
        <f>IF(H87=0,"",H87*VLOOKUP(V$2,[1]Needs!$A$4:$I$43,9,FALSE))</f>
        <v/>
      </c>
      <c r="W87">
        <f>IF(I87=0,"",I87*VLOOKUP(W$2,[1]Needs!$A$4:$I$43,9,FALSE))</f>
        <v>580</v>
      </c>
      <c r="X87">
        <f>IF(J87=0,"",J87*VLOOKUP(X$2,[1]Needs!$A$4:$I$43,9,FALSE))</f>
        <v>6480</v>
      </c>
      <c r="Y87">
        <f>IF(K87=0,"",K87*VLOOKUP(Y$2,[1]Needs!$A$4:$I$43,9,FALSE))</f>
        <v>1362600</v>
      </c>
      <c r="Z87">
        <f>IF(L87=0,"",L87*VLOOKUP(Z$2,[1]Needs!$A$4:$I$43,9,FALSE))</f>
        <v>1514000</v>
      </c>
      <c r="AA87">
        <f>IF(M87=0,"",M87*VLOOKUP(AA$2,[1]Needs!$A$4:$I$43,9,FALSE))</f>
        <v>908400</v>
      </c>
      <c r="AB87">
        <f>IF(N87=0,"",N87*VLOOKUP(AB$2,[1]Needs!$A$4:$I$43,9,FALSE))</f>
        <v>908400</v>
      </c>
      <c r="AC87">
        <f>IF(O87=0,"",O87*VLOOKUP(AC$2,[1]Needs!$A$4:$I$43,9,FALSE))</f>
        <v>908400</v>
      </c>
      <c r="AD87">
        <f>IF(P87=0,"",P87*VLOOKUP(AD$2,[1]Needs!$A$4:$I$43,9,FALSE))</f>
        <v>7267200</v>
      </c>
      <c r="AE87">
        <f>IF(Q87=0,"",Q87*VLOOKUP(AE$2,[1]Needs!$A$4:$I$43,9,FALSE))</f>
        <v>3633600</v>
      </c>
    </row>
    <row r="88" customHeight="1" spans="1:31">
      <c r="A88" s="64">
        <v>85</v>
      </c>
      <c r="B88" s="64">
        <v>1200</v>
      </c>
      <c r="C88" s="64">
        <f t="shared" si="2"/>
        <v>18160660</v>
      </c>
      <c r="D88" s="65"/>
      <c r="E88" s="65"/>
      <c r="F88" s="65"/>
      <c r="G88" s="65"/>
      <c r="H88" s="65"/>
      <c r="I88" s="65">
        <v>29</v>
      </c>
      <c r="J88" s="65">
        <v>216</v>
      </c>
      <c r="K88" s="65">
        <v>49964</v>
      </c>
      <c r="L88" s="65">
        <v>33309</v>
      </c>
      <c r="M88" s="65">
        <v>33309</v>
      </c>
      <c r="N88" s="65">
        <v>33309</v>
      </c>
      <c r="O88" s="65">
        <v>33309</v>
      </c>
      <c r="P88" s="65">
        <v>133238</v>
      </c>
      <c r="Q88" s="65">
        <v>133238</v>
      </c>
      <c r="R88" t="str">
        <f>IF(D88=0,"",D88*VLOOKUP(R$2,[1]Needs!$A$4:$I$43,9,FALSE))</f>
        <v/>
      </c>
      <c r="S88" t="str">
        <f>IF(E88=0,"",E88*VLOOKUP(S$2,[1]Needs!$A$4:$I$43,9,FALSE))</f>
        <v/>
      </c>
      <c r="T88" t="str">
        <f>IF(F88=0,"",F88*VLOOKUP(T$2,[1]Needs!$A$4:$I$43,9,FALSE))</f>
        <v/>
      </c>
      <c r="U88" t="str">
        <f>IF(G88=0,"",G88*VLOOKUP(U$2,[1]Needs!$A$4:$I$43,9,FALSE))</f>
        <v/>
      </c>
      <c r="V88" t="str">
        <f>IF(H88=0,"",H88*VLOOKUP(V$2,[1]Needs!$A$4:$I$43,9,FALSE))</f>
        <v/>
      </c>
      <c r="W88">
        <f>IF(I88=0,"",I88*VLOOKUP(W$2,[1]Needs!$A$4:$I$43,9,FALSE))</f>
        <v>580</v>
      </c>
      <c r="X88">
        <f>IF(J88=0,"",J88*VLOOKUP(X$2,[1]Needs!$A$4:$I$43,9,FALSE))</f>
        <v>6480</v>
      </c>
      <c r="Y88">
        <f>IF(K88=0,"",K88*VLOOKUP(Y$2,[1]Needs!$A$4:$I$43,9,FALSE))</f>
        <v>1498920</v>
      </c>
      <c r="Z88">
        <f>IF(L88=0,"",L88*VLOOKUP(Z$2,[1]Needs!$A$4:$I$43,9,FALSE))</f>
        <v>1665450</v>
      </c>
      <c r="AA88">
        <f>IF(M88=0,"",M88*VLOOKUP(AA$2,[1]Needs!$A$4:$I$43,9,FALSE))</f>
        <v>999270</v>
      </c>
      <c r="AB88">
        <f>IF(N88=0,"",N88*VLOOKUP(AB$2,[1]Needs!$A$4:$I$43,9,FALSE))</f>
        <v>999270</v>
      </c>
      <c r="AC88">
        <f>IF(O88=0,"",O88*VLOOKUP(AC$2,[1]Needs!$A$4:$I$43,9,FALSE))</f>
        <v>999270</v>
      </c>
      <c r="AD88">
        <f>IF(P88=0,"",P88*VLOOKUP(AD$2,[1]Needs!$A$4:$I$43,9,FALSE))</f>
        <v>7994280</v>
      </c>
      <c r="AE88">
        <f>IF(Q88=0,"",Q88*VLOOKUP(AE$2,[1]Needs!$A$4:$I$43,9,FALSE))</f>
        <v>3997140</v>
      </c>
    </row>
    <row r="89" customHeight="1" spans="1:31">
      <c r="A89" s="64">
        <v>86</v>
      </c>
      <c r="B89" s="64">
        <v>1220</v>
      </c>
      <c r="C89" s="64">
        <f t="shared" si="2"/>
        <v>19976860</v>
      </c>
      <c r="D89" s="65"/>
      <c r="E89" s="65"/>
      <c r="F89" s="65"/>
      <c r="G89" s="65"/>
      <c r="H89" s="65"/>
      <c r="I89" s="65">
        <v>29</v>
      </c>
      <c r="J89" s="65">
        <v>216</v>
      </c>
      <c r="K89" s="65">
        <v>54963</v>
      </c>
      <c r="L89" s="65">
        <v>36642</v>
      </c>
      <c r="M89" s="65">
        <v>36642</v>
      </c>
      <c r="N89" s="65">
        <v>36642</v>
      </c>
      <c r="O89" s="65">
        <v>36642</v>
      </c>
      <c r="P89" s="65">
        <v>146567</v>
      </c>
      <c r="Q89" s="65">
        <v>146567</v>
      </c>
      <c r="R89" t="str">
        <f>IF(D89=0,"",D89*VLOOKUP(R$2,[1]Needs!$A$4:$I$43,9,FALSE))</f>
        <v/>
      </c>
      <c r="S89" t="str">
        <f>IF(E89=0,"",E89*VLOOKUP(S$2,[1]Needs!$A$4:$I$43,9,FALSE))</f>
        <v/>
      </c>
      <c r="T89" t="str">
        <f>IF(F89=0,"",F89*VLOOKUP(T$2,[1]Needs!$A$4:$I$43,9,FALSE))</f>
        <v/>
      </c>
      <c r="U89" t="str">
        <f>IF(G89=0,"",G89*VLOOKUP(U$2,[1]Needs!$A$4:$I$43,9,FALSE))</f>
        <v/>
      </c>
      <c r="V89" t="str">
        <f>IF(H89=0,"",H89*VLOOKUP(V$2,[1]Needs!$A$4:$I$43,9,FALSE))</f>
        <v/>
      </c>
      <c r="W89">
        <f>IF(I89=0,"",I89*VLOOKUP(W$2,[1]Needs!$A$4:$I$43,9,FALSE))</f>
        <v>580</v>
      </c>
      <c r="X89">
        <f>IF(J89=0,"",J89*VLOOKUP(X$2,[1]Needs!$A$4:$I$43,9,FALSE))</f>
        <v>6480</v>
      </c>
      <c r="Y89">
        <f>IF(K89=0,"",K89*VLOOKUP(Y$2,[1]Needs!$A$4:$I$43,9,FALSE))</f>
        <v>1648890</v>
      </c>
      <c r="Z89">
        <f>IF(L89=0,"",L89*VLOOKUP(Z$2,[1]Needs!$A$4:$I$43,9,FALSE))</f>
        <v>1832100</v>
      </c>
      <c r="AA89">
        <f>IF(M89=0,"",M89*VLOOKUP(AA$2,[1]Needs!$A$4:$I$43,9,FALSE))</f>
        <v>1099260</v>
      </c>
      <c r="AB89">
        <f>IF(N89=0,"",N89*VLOOKUP(AB$2,[1]Needs!$A$4:$I$43,9,FALSE))</f>
        <v>1099260</v>
      </c>
      <c r="AC89">
        <f>IF(O89=0,"",O89*VLOOKUP(AC$2,[1]Needs!$A$4:$I$43,9,FALSE))</f>
        <v>1099260</v>
      </c>
      <c r="AD89">
        <f>IF(P89=0,"",P89*VLOOKUP(AD$2,[1]Needs!$A$4:$I$43,9,FALSE))</f>
        <v>8794020</v>
      </c>
      <c r="AE89">
        <f>IF(Q89=0,"",Q89*VLOOKUP(AE$2,[1]Needs!$A$4:$I$43,9,FALSE))</f>
        <v>4397010</v>
      </c>
    </row>
    <row r="90" customHeight="1" spans="1:31">
      <c r="A90" s="64">
        <v>87</v>
      </c>
      <c r="B90" s="64">
        <v>1240</v>
      </c>
      <c r="C90" s="64">
        <f t="shared" si="2"/>
        <v>21974480</v>
      </c>
      <c r="D90" s="65"/>
      <c r="E90" s="65"/>
      <c r="F90" s="65"/>
      <c r="G90" s="65"/>
      <c r="H90" s="65"/>
      <c r="I90" s="65">
        <v>29</v>
      </c>
      <c r="J90" s="65">
        <v>216</v>
      </c>
      <c r="K90" s="65">
        <v>60461</v>
      </c>
      <c r="L90" s="65">
        <v>40307</v>
      </c>
      <c r="M90" s="65">
        <v>40307</v>
      </c>
      <c r="N90" s="65">
        <v>40307</v>
      </c>
      <c r="O90" s="65">
        <v>40307</v>
      </c>
      <c r="P90" s="65">
        <v>161229</v>
      </c>
      <c r="Q90" s="65">
        <v>161229</v>
      </c>
      <c r="R90" t="str">
        <f>IF(D90=0,"",D90*VLOOKUP(R$2,[1]Needs!$A$4:$I$43,9,FALSE))</f>
        <v/>
      </c>
      <c r="S90" t="str">
        <f>IF(E90=0,"",E90*VLOOKUP(S$2,[1]Needs!$A$4:$I$43,9,FALSE))</f>
        <v/>
      </c>
      <c r="T90" t="str">
        <f>IF(F90=0,"",F90*VLOOKUP(T$2,[1]Needs!$A$4:$I$43,9,FALSE))</f>
        <v/>
      </c>
      <c r="U90" t="str">
        <f>IF(G90=0,"",G90*VLOOKUP(U$2,[1]Needs!$A$4:$I$43,9,FALSE))</f>
        <v/>
      </c>
      <c r="V90" t="str">
        <f>IF(H90=0,"",H90*VLOOKUP(V$2,[1]Needs!$A$4:$I$43,9,FALSE))</f>
        <v/>
      </c>
      <c r="W90">
        <f>IF(I90=0,"",I90*VLOOKUP(W$2,[1]Needs!$A$4:$I$43,9,FALSE))</f>
        <v>580</v>
      </c>
      <c r="X90">
        <f>IF(J90=0,"",J90*VLOOKUP(X$2,[1]Needs!$A$4:$I$43,9,FALSE))</f>
        <v>6480</v>
      </c>
      <c r="Y90">
        <f>IF(K90=0,"",K90*VLOOKUP(Y$2,[1]Needs!$A$4:$I$43,9,FALSE))</f>
        <v>1813830</v>
      </c>
      <c r="Z90">
        <f>IF(L90=0,"",L90*VLOOKUP(Z$2,[1]Needs!$A$4:$I$43,9,FALSE))</f>
        <v>2015350</v>
      </c>
      <c r="AA90">
        <f>IF(M90=0,"",M90*VLOOKUP(AA$2,[1]Needs!$A$4:$I$43,9,FALSE))</f>
        <v>1209210</v>
      </c>
      <c r="AB90">
        <f>IF(N90=0,"",N90*VLOOKUP(AB$2,[1]Needs!$A$4:$I$43,9,FALSE))</f>
        <v>1209210</v>
      </c>
      <c r="AC90">
        <f>IF(O90=0,"",O90*VLOOKUP(AC$2,[1]Needs!$A$4:$I$43,9,FALSE))</f>
        <v>1209210</v>
      </c>
      <c r="AD90">
        <f>IF(P90=0,"",P90*VLOOKUP(AD$2,[1]Needs!$A$4:$I$43,9,FALSE))</f>
        <v>9673740</v>
      </c>
      <c r="AE90">
        <f>IF(Q90=0,"",Q90*VLOOKUP(AE$2,[1]Needs!$A$4:$I$43,9,FALSE))</f>
        <v>4836870</v>
      </c>
    </row>
    <row r="91" customHeight="1" spans="1:31">
      <c r="A91" s="64">
        <v>88</v>
      </c>
      <c r="B91" s="64">
        <v>1260</v>
      </c>
      <c r="C91" s="64">
        <f t="shared" si="2"/>
        <v>24171920</v>
      </c>
      <c r="D91" s="65"/>
      <c r="E91" s="65"/>
      <c r="F91" s="65"/>
      <c r="G91" s="65"/>
      <c r="H91" s="65"/>
      <c r="I91" s="65">
        <v>29</v>
      </c>
      <c r="J91" s="65">
        <v>216</v>
      </c>
      <c r="K91" s="65">
        <v>66509</v>
      </c>
      <c r="L91" s="65">
        <v>44339</v>
      </c>
      <c r="M91" s="65">
        <v>44339</v>
      </c>
      <c r="N91" s="65">
        <v>44339</v>
      </c>
      <c r="O91" s="65">
        <v>44339</v>
      </c>
      <c r="P91" s="65">
        <v>177357</v>
      </c>
      <c r="Q91" s="65">
        <v>177357</v>
      </c>
      <c r="R91" t="str">
        <f>IF(D91=0,"",D91*VLOOKUP(R$2,[1]Needs!$A$4:$I$43,9,FALSE))</f>
        <v/>
      </c>
      <c r="S91" t="str">
        <f>IF(E91=0,"",E91*VLOOKUP(S$2,[1]Needs!$A$4:$I$43,9,FALSE))</f>
        <v/>
      </c>
      <c r="T91" t="str">
        <f>IF(F91=0,"",F91*VLOOKUP(T$2,[1]Needs!$A$4:$I$43,9,FALSE))</f>
        <v/>
      </c>
      <c r="U91" t="str">
        <f>IF(G91=0,"",G91*VLOOKUP(U$2,[1]Needs!$A$4:$I$43,9,FALSE))</f>
        <v/>
      </c>
      <c r="V91" t="str">
        <f>IF(H91=0,"",H91*VLOOKUP(V$2,[1]Needs!$A$4:$I$43,9,FALSE))</f>
        <v/>
      </c>
      <c r="W91">
        <f>IF(I91=0,"",I91*VLOOKUP(W$2,[1]Needs!$A$4:$I$43,9,FALSE))</f>
        <v>580</v>
      </c>
      <c r="X91">
        <f>IF(J91=0,"",J91*VLOOKUP(X$2,[1]Needs!$A$4:$I$43,9,FALSE))</f>
        <v>6480</v>
      </c>
      <c r="Y91">
        <f>IF(K91=0,"",K91*VLOOKUP(Y$2,[1]Needs!$A$4:$I$43,9,FALSE))</f>
        <v>1995270</v>
      </c>
      <c r="Z91">
        <f>IF(L91=0,"",L91*VLOOKUP(Z$2,[1]Needs!$A$4:$I$43,9,FALSE))</f>
        <v>2216950</v>
      </c>
      <c r="AA91">
        <f>IF(M91=0,"",M91*VLOOKUP(AA$2,[1]Needs!$A$4:$I$43,9,FALSE))</f>
        <v>1330170</v>
      </c>
      <c r="AB91">
        <f>IF(N91=0,"",N91*VLOOKUP(AB$2,[1]Needs!$A$4:$I$43,9,FALSE))</f>
        <v>1330170</v>
      </c>
      <c r="AC91">
        <f>IF(O91=0,"",O91*VLOOKUP(AC$2,[1]Needs!$A$4:$I$43,9,FALSE))</f>
        <v>1330170</v>
      </c>
      <c r="AD91">
        <f>IF(P91=0,"",P91*VLOOKUP(AD$2,[1]Needs!$A$4:$I$43,9,FALSE))</f>
        <v>10641420</v>
      </c>
      <c r="AE91">
        <f>IF(Q91=0,"",Q91*VLOOKUP(AE$2,[1]Needs!$A$4:$I$43,9,FALSE))</f>
        <v>5320710</v>
      </c>
    </row>
    <row r="92" customHeight="1" spans="1:31">
      <c r="A92" s="64">
        <v>89</v>
      </c>
      <c r="B92" s="64">
        <v>1280</v>
      </c>
      <c r="C92" s="64">
        <f t="shared" si="2"/>
        <v>26589330</v>
      </c>
      <c r="D92" s="65"/>
      <c r="E92" s="65"/>
      <c r="F92" s="65"/>
      <c r="G92" s="65"/>
      <c r="H92" s="65"/>
      <c r="I92" s="65">
        <v>29</v>
      </c>
      <c r="J92" s="65">
        <v>216</v>
      </c>
      <c r="K92" s="65">
        <v>73162</v>
      </c>
      <c r="L92" s="65">
        <v>48775</v>
      </c>
      <c r="M92" s="65">
        <v>48775</v>
      </c>
      <c r="N92" s="65">
        <v>48775</v>
      </c>
      <c r="O92" s="65">
        <v>48775</v>
      </c>
      <c r="P92" s="65">
        <v>195099</v>
      </c>
      <c r="Q92" s="65">
        <v>195099</v>
      </c>
      <c r="R92" t="str">
        <f>IF(D92=0,"",D92*VLOOKUP(R$2,[1]Needs!$A$4:$I$43,9,FALSE))</f>
        <v/>
      </c>
      <c r="S92" t="str">
        <f>IF(E92=0,"",E92*VLOOKUP(S$2,[1]Needs!$A$4:$I$43,9,FALSE))</f>
        <v/>
      </c>
      <c r="T92" t="str">
        <f>IF(F92=0,"",F92*VLOOKUP(T$2,[1]Needs!$A$4:$I$43,9,FALSE))</f>
        <v/>
      </c>
      <c r="U92" t="str">
        <f>IF(G92=0,"",G92*VLOOKUP(U$2,[1]Needs!$A$4:$I$43,9,FALSE))</f>
        <v/>
      </c>
      <c r="V92" t="str">
        <f>IF(H92=0,"",H92*VLOOKUP(V$2,[1]Needs!$A$4:$I$43,9,FALSE))</f>
        <v/>
      </c>
      <c r="W92">
        <f>IF(I92=0,"",I92*VLOOKUP(W$2,[1]Needs!$A$4:$I$43,9,FALSE))</f>
        <v>580</v>
      </c>
      <c r="X92">
        <f>IF(J92=0,"",J92*VLOOKUP(X$2,[1]Needs!$A$4:$I$43,9,FALSE))</f>
        <v>6480</v>
      </c>
      <c r="Y92">
        <f>IF(K92=0,"",K92*VLOOKUP(Y$2,[1]Needs!$A$4:$I$43,9,FALSE))</f>
        <v>2194860</v>
      </c>
      <c r="Z92">
        <f>IF(L92=0,"",L92*VLOOKUP(Z$2,[1]Needs!$A$4:$I$43,9,FALSE))</f>
        <v>2438750</v>
      </c>
      <c r="AA92">
        <f>IF(M92=0,"",M92*VLOOKUP(AA$2,[1]Needs!$A$4:$I$43,9,FALSE))</f>
        <v>1463250</v>
      </c>
      <c r="AB92">
        <f>IF(N92=0,"",N92*VLOOKUP(AB$2,[1]Needs!$A$4:$I$43,9,FALSE))</f>
        <v>1463250</v>
      </c>
      <c r="AC92">
        <f>IF(O92=0,"",O92*VLOOKUP(AC$2,[1]Needs!$A$4:$I$43,9,FALSE))</f>
        <v>1463250</v>
      </c>
      <c r="AD92">
        <f>IF(P92=0,"",P92*VLOOKUP(AD$2,[1]Needs!$A$4:$I$43,9,FALSE))</f>
        <v>11705940</v>
      </c>
      <c r="AE92">
        <f>IF(Q92=0,"",Q92*VLOOKUP(AE$2,[1]Needs!$A$4:$I$43,9,FALSE))</f>
        <v>5852970</v>
      </c>
    </row>
    <row r="93" customHeight="1" spans="1:31">
      <c r="A93" s="64">
        <v>90</v>
      </c>
      <c r="B93" s="64">
        <v>1300</v>
      </c>
      <c r="C93" s="64">
        <f t="shared" si="2"/>
        <v>29248140</v>
      </c>
      <c r="D93" s="65"/>
      <c r="E93" s="65"/>
      <c r="F93" s="65"/>
      <c r="G93" s="65"/>
      <c r="H93" s="65"/>
      <c r="I93" s="65">
        <v>29</v>
      </c>
      <c r="J93" s="65">
        <v>216</v>
      </c>
      <c r="K93" s="65">
        <v>80480</v>
      </c>
      <c r="L93" s="65">
        <v>53653</v>
      </c>
      <c r="M93" s="65">
        <v>53653</v>
      </c>
      <c r="N93" s="65">
        <v>53653</v>
      </c>
      <c r="O93" s="65">
        <v>53653</v>
      </c>
      <c r="P93" s="65">
        <v>214614</v>
      </c>
      <c r="Q93" s="65">
        <v>214614</v>
      </c>
      <c r="R93" t="str">
        <f>IF(D93=0,"",D93*VLOOKUP(R$2,[1]Needs!$A$4:$I$43,9,FALSE))</f>
        <v/>
      </c>
      <c r="S93" t="str">
        <f>IF(E93=0,"",E93*VLOOKUP(S$2,[1]Needs!$A$4:$I$43,9,FALSE))</f>
        <v/>
      </c>
      <c r="T93" t="str">
        <f>IF(F93=0,"",F93*VLOOKUP(T$2,[1]Needs!$A$4:$I$43,9,FALSE))</f>
        <v/>
      </c>
      <c r="U93" t="str">
        <f>IF(G93=0,"",G93*VLOOKUP(U$2,[1]Needs!$A$4:$I$43,9,FALSE))</f>
        <v/>
      </c>
      <c r="V93" t="str">
        <f>IF(H93=0,"",H93*VLOOKUP(V$2,[1]Needs!$A$4:$I$43,9,FALSE))</f>
        <v/>
      </c>
      <c r="W93">
        <f>IF(I93=0,"",I93*VLOOKUP(W$2,[1]Needs!$A$4:$I$43,9,FALSE))</f>
        <v>580</v>
      </c>
      <c r="X93">
        <f>IF(J93=0,"",J93*VLOOKUP(X$2,[1]Needs!$A$4:$I$43,9,FALSE))</f>
        <v>6480</v>
      </c>
      <c r="Y93">
        <f>IF(K93=0,"",K93*VLOOKUP(Y$2,[1]Needs!$A$4:$I$43,9,FALSE))</f>
        <v>2414400</v>
      </c>
      <c r="Z93">
        <f>IF(L93=0,"",L93*VLOOKUP(Z$2,[1]Needs!$A$4:$I$43,9,FALSE))</f>
        <v>2682650</v>
      </c>
      <c r="AA93">
        <f>IF(M93=0,"",M93*VLOOKUP(AA$2,[1]Needs!$A$4:$I$43,9,FALSE))</f>
        <v>1609590</v>
      </c>
      <c r="AB93">
        <f>IF(N93=0,"",N93*VLOOKUP(AB$2,[1]Needs!$A$4:$I$43,9,FALSE))</f>
        <v>1609590</v>
      </c>
      <c r="AC93">
        <f>IF(O93=0,"",O93*VLOOKUP(AC$2,[1]Needs!$A$4:$I$43,9,FALSE))</f>
        <v>1609590</v>
      </c>
      <c r="AD93">
        <f>IF(P93=0,"",P93*VLOOKUP(AD$2,[1]Needs!$A$4:$I$43,9,FALSE))</f>
        <v>12876840</v>
      </c>
      <c r="AE93">
        <f>IF(Q93=0,"",Q93*VLOOKUP(AE$2,[1]Needs!$A$4:$I$43,9,FALSE))</f>
        <v>6438420</v>
      </c>
    </row>
    <row r="94" customHeight="1" spans="1:31">
      <c r="A94" s="64">
        <v>91</v>
      </c>
      <c r="B94" s="64">
        <v>1320</v>
      </c>
      <c r="C94" s="64">
        <f t="shared" si="2"/>
        <v>32173050</v>
      </c>
      <c r="D94" s="65"/>
      <c r="E94" s="65"/>
      <c r="F94" s="65"/>
      <c r="G94" s="65"/>
      <c r="H94" s="65"/>
      <c r="I94" s="65">
        <v>29</v>
      </c>
      <c r="J94" s="65">
        <v>216</v>
      </c>
      <c r="K94" s="65">
        <v>88530</v>
      </c>
      <c r="L94" s="65">
        <v>59020</v>
      </c>
      <c r="M94" s="65">
        <v>59020</v>
      </c>
      <c r="N94" s="65">
        <v>59020</v>
      </c>
      <c r="O94" s="65">
        <v>59020</v>
      </c>
      <c r="P94" s="65">
        <v>236081</v>
      </c>
      <c r="Q94" s="65">
        <v>236081</v>
      </c>
      <c r="R94" t="str">
        <f>IF(D94=0,"",D94*VLOOKUP(R$2,[1]Needs!$A$4:$I$43,9,FALSE))</f>
        <v/>
      </c>
      <c r="S94" t="str">
        <f>IF(E94=0,"",E94*VLOOKUP(S$2,[1]Needs!$A$4:$I$43,9,FALSE))</f>
        <v/>
      </c>
      <c r="T94" t="str">
        <f>IF(F94=0,"",F94*VLOOKUP(T$2,[1]Needs!$A$4:$I$43,9,FALSE))</f>
        <v/>
      </c>
      <c r="U94" t="str">
        <f>IF(G94=0,"",G94*VLOOKUP(U$2,[1]Needs!$A$4:$I$43,9,FALSE))</f>
        <v/>
      </c>
      <c r="V94" t="str">
        <f>IF(H94=0,"",H94*VLOOKUP(V$2,[1]Needs!$A$4:$I$43,9,FALSE))</f>
        <v/>
      </c>
      <c r="W94">
        <f>IF(I94=0,"",I94*VLOOKUP(W$2,[1]Needs!$A$4:$I$43,9,FALSE))</f>
        <v>580</v>
      </c>
      <c r="X94">
        <f>IF(J94=0,"",J94*VLOOKUP(X$2,[1]Needs!$A$4:$I$43,9,FALSE))</f>
        <v>6480</v>
      </c>
      <c r="Y94">
        <f>IF(K94=0,"",K94*VLOOKUP(Y$2,[1]Needs!$A$4:$I$43,9,FALSE))</f>
        <v>2655900</v>
      </c>
      <c r="Z94">
        <f>IF(L94=0,"",L94*VLOOKUP(Z$2,[1]Needs!$A$4:$I$43,9,FALSE))</f>
        <v>2951000</v>
      </c>
      <c r="AA94">
        <f>IF(M94=0,"",M94*VLOOKUP(AA$2,[1]Needs!$A$4:$I$43,9,FALSE))</f>
        <v>1770600</v>
      </c>
      <c r="AB94">
        <f>IF(N94=0,"",N94*VLOOKUP(AB$2,[1]Needs!$A$4:$I$43,9,FALSE))</f>
        <v>1770600</v>
      </c>
      <c r="AC94">
        <f>IF(O94=0,"",O94*VLOOKUP(AC$2,[1]Needs!$A$4:$I$43,9,FALSE))</f>
        <v>1770600</v>
      </c>
      <c r="AD94">
        <f>IF(P94=0,"",P94*VLOOKUP(AD$2,[1]Needs!$A$4:$I$43,9,FALSE))</f>
        <v>14164860</v>
      </c>
      <c r="AE94">
        <f>IF(Q94=0,"",Q94*VLOOKUP(AE$2,[1]Needs!$A$4:$I$43,9,FALSE))</f>
        <v>7082430</v>
      </c>
    </row>
    <row r="95" customHeight="1" spans="1:31">
      <c r="A95" s="64">
        <v>92</v>
      </c>
      <c r="B95" s="64">
        <v>1340</v>
      </c>
      <c r="C95" s="64">
        <f t="shared" si="2"/>
        <v>35390290</v>
      </c>
      <c r="D95" s="65"/>
      <c r="E95" s="65"/>
      <c r="F95" s="65"/>
      <c r="G95" s="65"/>
      <c r="H95" s="65"/>
      <c r="I95" s="65">
        <v>29</v>
      </c>
      <c r="J95" s="65">
        <v>216</v>
      </c>
      <c r="K95" s="65">
        <v>97385</v>
      </c>
      <c r="L95" s="65">
        <v>64923</v>
      </c>
      <c r="M95" s="65">
        <v>64923</v>
      </c>
      <c r="N95" s="65">
        <v>64923</v>
      </c>
      <c r="O95" s="65">
        <v>64923</v>
      </c>
      <c r="P95" s="65">
        <v>259694</v>
      </c>
      <c r="Q95" s="65">
        <v>259694</v>
      </c>
      <c r="R95" t="str">
        <f>IF(D95=0,"",D95*VLOOKUP(R$2,[1]Needs!$A$4:$I$43,9,FALSE))</f>
        <v/>
      </c>
      <c r="S95" t="str">
        <f>IF(E95=0,"",E95*VLOOKUP(S$2,[1]Needs!$A$4:$I$43,9,FALSE))</f>
        <v/>
      </c>
      <c r="T95" t="str">
        <f>IF(F95=0,"",F95*VLOOKUP(T$2,[1]Needs!$A$4:$I$43,9,FALSE))</f>
        <v/>
      </c>
      <c r="U95" t="str">
        <f>IF(G95=0,"",G95*VLOOKUP(U$2,[1]Needs!$A$4:$I$43,9,FALSE))</f>
        <v/>
      </c>
      <c r="V95" t="str">
        <f>IF(H95=0,"",H95*VLOOKUP(V$2,[1]Needs!$A$4:$I$43,9,FALSE))</f>
        <v/>
      </c>
      <c r="W95">
        <f>IF(I95=0,"",I95*VLOOKUP(W$2,[1]Needs!$A$4:$I$43,9,FALSE))</f>
        <v>580</v>
      </c>
      <c r="X95">
        <f>IF(J95=0,"",J95*VLOOKUP(X$2,[1]Needs!$A$4:$I$43,9,FALSE))</f>
        <v>6480</v>
      </c>
      <c r="Y95">
        <f>IF(K95=0,"",K95*VLOOKUP(Y$2,[1]Needs!$A$4:$I$43,9,FALSE))</f>
        <v>2921550</v>
      </c>
      <c r="Z95">
        <f>IF(L95=0,"",L95*VLOOKUP(Z$2,[1]Needs!$A$4:$I$43,9,FALSE))</f>
        <v>3246150</v>
      </c>
      <c r="AA95">
        <f>IF(M95=0,"",M95*VLOOKUP(AA$2,[1]Needs!$A$4:$I$43,9,FALSE))</f>
        <v>1947690</v>
      </c>
      <c r="AB95">
        <f>IF(N95=0,"",N95*VLOOKUP(AB$2,[1]Needs!$A$4:$I$43,9,FALSE))</f>
        <v>1947690</v>
      </c>
      <c r="AC95">
        <f>IF(O95=0,"",O95*VLOOKUP(AC$2,[1]Needs!$A$4:$I$43,9,FALSE))</f>
        <v>1947690</v>
      </c>
      <c r="AD95">
        <f>IF(P95=0,"",P95*VLOOKUP(AD$2,[1]Needs!$A$4:$I$43,9,FALSE))</f>
        <v>15581640</v>
      </c>
      <c r="AE95">
        <f>IF(Q95=0,"",Q95*VLOOKUP(AE$2,[1]Needs!$A$4:$I$43,9,FALSE))</f>
        <v>7790820</v>
      </c>
    </row>
    <row r="96" customHeight="1" spans="1:31">
      <c r="A96" s="64">
        <v>93</v>
      </c>
      <c r="B96" s="64">
        <v>1360</v>
      </c>
      <c r="C96" s="64">
        <f t="shared" si="2"/>
        <v>38929430</v>
      </c>
      <c r="D96" s="65"/>
      <c r="E96" s="65"/>
      <c r="F96" s="65"/>
      <c r="G96" s="65"/>
      <c r="H96" s="65"/>
      <c r="I96" s="65">
        <v>29</v>
      </c>
      <c r="J96" s="65">
        <v>216</v>
      </c>
      <c r="K96" s="65">
        <v>107126</v>
      </c>
      <c r="L96" s="65">
        <v>71417</v>
      </c>
      <c r="M96" s="65">
        <v>71417</v>
      </c>
      <c r="N96" s="65">
        <v>71417</v>
      </c>
      <c r="O96" s="65">
        <v>71417</v>
      </c>
      <c r="P96" s="65">
        <v>285669</v>
      </c>
      <c r="Q96" s="65">
        <v>285669</v>
      </c>
      <c r="R96" t="str">
        <f>IF(D96=0,"",D96*VLOOKUP(R$2,[1]Needs!$A$4:$I$43,9,FALSE))</f>
        <v/>
      </c>
      <c r="S96" t="str">
        <f>IF(E96=0,"",E96*VLOOKUP(S$2,[1]Needs!$A$4:$I$43,9,FALSE))</f>
        <v/>
      </c>
      <c r="T96" t="str">
        <f>IF(F96=0,"",F96*VLOOKUP(T$2,[1]Needs!$A$4:$I$43,9,FALSE))</f>
        <v/>
      </c>
      <c r="U96" t="str">
        <f>IF(G96=0,"",G96*VLOOKUP(U$2,[1]Needs!$A$4:$I$43,9,FALSE))</f>
        <v/>
      </c>
      <c r="V96" t="str">
        <f>IF(H96=0,"",H96*VLOOKUP(V$2,[1]Needs!$A$4:$I$43,9,FALSE))</f>
        <v/>
      </c>
      <c r="W96">
        <f>IF(I96=0,"",I96*VLOOKUP(W$2,[1]Needs!$A$4:$I$43,9,FALSE))</f>
        <v>580</v>
      </c>
      <c r="X96">
        <f>IF(J96=0,"",J96*VLOOKUP(X$2,[1]Needs!$A$4:$I$43,9,FALSE))</f>
        <v>6480</v>
      </c>
      <c r="Y96">
        <f>IF(K96=0,"",K96*VLOOKUP(Y$2,[1]Needs!$A$4:$I$43,9,FALSE))</f>
        <v>3213780</v>
      </c>
      <c r="Z96">
        <f>IF(L96=0,"",L96*VLOOKUP(Z$2,[1]Needs!$A$4:$I$43,9,FALSE))</f>
        <v>3570850</v>
      </c>
      <c r="AA96">
        <f>IF(M96=0,"",M96*VLOOKUP(AA$2,[1]Needs!$A$4:$I$43,9,FALSE))</f>
        <v>2142510</v>
      </c>
      <c r="AB96">
        <f>IF(N96=0,"",N96*VLOOKUP(AB$2,[1]Needs!$A$4:$I$43,9,FALSE))</f>
        <v>2142510</v>
      </c>
      <c r="AC96">
        <f>IF(O96=0,"",O96*VLOOKUP(AC$2,[1]Needs!$A$4:$I$43,9,FALSE))</f>
        <v>2142510</v>
      </c>
      <c r="AD96">
        <f>IF(P96=0,"",P96*VLOOKUP(AD$2,[1]Needs!$A$4:$I$43,9,FALSE))</f>
        <v>17140140</v>
      </c>
      <c r="AE96">
        <f>IF(Q96=0,"",Q96*VLOOKUP(AE$2,[1]Needs!$A$4:$I$43,9,FALSE))</f>
        <v>8570070</v>
      </c>
    </row>
    <row r="97" customHeight="1" spans="1:31">
      <c r="A97" s="64">
        <v>94</v>
      </c>
      <c r="B97" s="64">
        <v>1380</v>
      </c>
      <c r="C97" s="64">
        <f t="shared" si="2"/>
        <v>42822350</v>
      </c>
      <c r="D97" s="65"/>
      <c r="E97" s="65"/>
      <c r="F97" s="65"/>
      <c r="G97" s="65"/>
      <c r="H97" s="65"/>
      <c r="I97" s="65">
        <v>29</v>
      </c>
      <c r="J97" s="65">
        <v>216</v>
      </c>
      <c r="K97" s="65">
        <v>117840</v>
      </c>
      <c r="L97" s="65">
        <v>78560</v>
      </c>
      <c r="M97" s="65">
        <v>78560</v>
      </c>
      <c r="N97" s="65">
        <v>78560</v>
      </c>
      <c r="O97" s="65">
        <v>78560</v>
      </c>
      <c r="P97" s="65">
        <v>314241</v>
      </c>
      <c r="Q97" s="65">
        <v>314241</v>
      </c>
      <c r="R97" t="str">
        <f>IF(D97=0,"",D97*VLOOKUP(R$2,[1]Needs!$A$4:$I$43,9,FALSE))</f>
        <v/>
      </c>
      <c r="S97" t="str">
        <f>IF(E97=0,"",E97*VLOOKUP(S$2,[1]Needs!$A$4:$I$43,9,FALSE))</f>
        <v/>
      </c>
      <c r="T97" t="str">
        <f>IF(F97=0,"",F97*VLOOKUP(T$2,[1]Needs!$A$4:$I$43,9,FALSE))</f>
        <v/>
      </c>
      <c r="U97" t="str">
        <f>IF(G97=0,"",G97*VLOOKUP(U$2,[1]Needs!$A$4:$I$43,9,FALSE))</f>
        <v/>
      </c>
      <c r="V97" t="str">
        <f>IF(H97=0,"",H97*VLOOKUP(V$2,[1]Needs!$A$4:$I$43,9,FALSE))</f>
        <v/>
      </c>
      <c r="W97">
        <f>IF(I97=0,"",I97*VLOOKUP(W$2,[1]Needs!$A$4:$I$43,9,FALSE))</f>
        <v>580</v>
      </c>
      <c r="X97">
        <f>IF(J97=0,"",J97*VLOOKUP(X$2,[1]Needs!$A$4:$I$43,9,FALSE))</f>
        <v>6480</v>
      </c>
      <c r="Y97">
        <f>IF(K97=0,"",K97*VLOOKUP(Y$2,[1]Needs!$A$4:$I$43,9,FALSE))</f>
        <v>3535200</v>
      </c>
      <c r="Z97">
        <f>IF(L97=0,"",L97*VLOOKUP(Z$2,[1]Needs!$A$4:$I$43,9,FALSE))</f>
        <v>3928000</v>
      </c>
      <c r="AA97">
        <f>IF(M97=0,"",M97*VLOOKUP(AA$2,[1]Needs!$A$4:$I$43,9,FALSE))</f>
        <v>2356800</v>
      </c>
      <c r="AB97">
        <f>IF(N97=0,"",N97*VLOOKUP(AB$2,[1]Needs!$A$4:$I$43,9,FALSE))</f>
        <v>2356800</v>
      </c>
      <c r="AC97">
        <f>IF(O97=0,"",O97*VLOOKUP(AC$2,[1]Needs!$A$4:$I$43,9,FALSE))</f>
        <v>2356800</v>
      </c>
      <c r="AD97">
        <f>IF(P97=0,"",P97*VLOOKUP(AD$2,[1]Needs!$A$4:$I$43,9,FALSE))</f>
        <v>18854460</v>
      </c>
      <c r="AE97">
        <f>IF(Q97=0,"",Q97*VLOOKUP(AE$2,[1]Needs!$A$4:$I$43,9,FALSE))</f>
        <v>9427230</v>
      </c>
    </row>
    <row r="98" customHeight="1" spans="1:31">
      <c r="A98" s="64">
        <v>95</v>
      </c>
      <c r="B98" s="64">
        <v>1400</v>
      </c>
      <c r="C98" s="64">
        <f t="shared" si="2"/>
        <v>47104660</v>
      </c>
      <c r="D98" s="65"/>
      <c r="E98" s="65"/>
      <c r="F98" s="65"/>
      <c r="G98" s="65"/>
      <c r="H98" s="65"/>
      <c r="I98" s="65">
        <v>29</v>
      </c>
      <c r="J98" s="65">
        <v>216</v>
      </c>
      <c r="K98" s="65">
        <v>129626</v>
      </c>
      <c r="L98" s="65">
        <v>86418</v>
      </c>
      <c r="M98" s="65">
        <v>86418</v>
      </c>
      <c r="N98" s="65">
        <v>86418</v>
      </c>
      <c r="O98" s="65">
        <v>86418</v>
      </c>
      <c r="P98" s="65">
        <v>345670</v>
      </c>
      <c r="Q98" s="65">
        <v>345670</v>
      </c>
      <c r="R98" t="str">
        <f>IF(D98=0,"",D98*VLOOKUP(R$2,[1]Needs!$A$4:$I$43,9,FALSE))</f>
        <v/>
      </c>
      <c r="S98" t="str">
        <f>IF(E98=0,"",E98*VLOOKUP(S$2,[1]Needs!$A$4:$I$43,9,FALSE))</f>
        <v/>
      </c>
      <c r="T98" t="str">
        <f>IF(F98=0,"",F98*VLOOKUP(T$2,[1]Needs!$A$4:$I$43,9,FALSE))</f>
        <v/>
      </c>
      <c r="U98" t="str">
        <f>IF(G98=0,"",G98*VLOOKUP(U$2,[1]Needs!$A$4:$I$43,9,FALSE))</f>
        <v/>
      </c>
      <c r="V98" t="str">
        <f>IF(H98=0,"",H98*VLOOKUP(V$2,[1]Needs!$A$4:$I$43,9,FALSE))</f>
        <v/>
      </c>
      <c r="W98">
        <f>IF(I98=0,"",I98*VLOOKUP(W$2,[1]Needs!$A$4:$I$43,9,FALSE))</f>
        <v>580</v>
      </c>
      <c r="X98">
        <f>IF(J98=0,"",J98*VLOOKUP(X$2,[1]Needs!$A$4:$I$43,9,FALSE))</f>
        <v>6480</v>
      </c>
      <c r="Y98">
        <f>IF(K98=0,"",K98*VLOOKUP(Y$2,[1]Needs!$A$4:$I$43,9,FALSE))</f>
        <v>3888780</v>
      </c>
      <c r="Z98">
        <f>IF(L98=0,"",L98*VLOOKUP(Z$2,[1]Needs!$A$4:$I$43,9,FALSE))</f>
        <v>4320900</v>
      </c>
      <c r="AA98">
        <f>IF(M98=0,"",M98*VLOOKUP(AA$2,[1]Needs!$A$4:$I$43,9,FALSE))</f>
        <v>2592540</v>
      </c>
      <c r="AB98">
        <f>IF(N98=0,"",N98*VLOOKUP(AB$2,[1]Needs!$A$4:$I$43,9,FALSE))</f>
        <v>2592540</v>
      </c>
      <c r="AC98">
        <f>IF(O98=0,"",O98*VLOOKUP(AC$2,[1]Needs!$A$4:$I$43,9,FALSE))</f>
        <v>2592540</v>
      </c>
      <c r="AD98">
        <f>IF(P98=0,"",P98*VLOOKUP(AD$2,[1]Needs!$A$4:$I$43,9,FALSE))</f>
        <v>20740200</v>
      </c>
      <c r="AE98">
        <f>IF(Q98=0,"",Q98*VLOOKUP(AE$2,[1]Needs!$A$4:$I$43,9,FALSE))</f>
        <v>10370100</v>
      </c>
    </row>
    <row r="99" customHeight="1" spans="1:31">
      <c r="A99" s="64">
        <v>96</v>
      </c>
      <c r="B99" s="64">
        <v>1420</v>
      </c>
      <c r="C99" s="64">
        <f t="shared" si="2"/>
        <v>51815200</v>
      </c>
      <c r="D99" s="65"/>
      <c r="E99" s="65"/>
      <c r="F99" s="65"/>
      <c r="G99" s="65"/>
      <c r="H99" s="65"/>
      <c r="I99" s="65">
        <v>29</v>
      </c>
      <c r="J99" s="65">
        <v>216</v>
      </c>
      <c r="K99" s="65">
        <v>142591</v>
      </c>
      <c r="L99" s="65">
        <v>95061</v>
      </c>
      <c r="M99" s="65">
        <v>95061</v>
      </c>
      <c r="N99" s="65">
        <v>95061</v>
      </c>
      <c r="O99" s="65">
        <v>95061</v>
      </c>
      <c r="P99" s="65">
        <v>380243</v>
      </c>
      <c r="Q99" s="65">
        <v>380243</v>
      </c>
      <c r="R99" t="str">
        <f>IF(D99=0,"",D99*VLOOKUP(R$2,[1]Needs!$A$4:$I$43,9,FALSE))</f>
        <v/>
      </c>
      <c r="S99" t="str">
        <f>IF(E99=0,"",E99*VLOOKUP(S$2,[1]Needs!$A$4:$I$43,9,FALSE))</f>
        <v/>
      </c>
      <c r="T99" t="str">
        <f>IF(F99=0,"",F99*VLOOKUP(T$2,[1]Needs!$A$4:$I$43,9,FALSE))</f>
        <v/>
      </c>
      <c r="U99" t="str">
        <f>IF(G99=0,"",G99*VLOOKUP(U$2,[1]Needs!$A$4:$I$43,9,FALSE))</f>
        <v/>
      </c>
      <c r="V99" t="str">
        <f>IF(H99=0,"",H99*VLOOKUP(V$2,[1]Needs!$A$4:$I$43,9,FALSE))</f>
        <v/>
      </c>
      <c r="W99">
        <f>IF(I99=0,"",I99*VLOOKUP(W$2,[1]Needs!$A$4:$I$43,9,FALSE))</f>
        <v>580</v>
      </c>
      <c r="X99">
        <f>IF(J99=0,"",J99*VLOOKUP(X$2,[1]Needs!$A$4:$I$43,9,FALSE))</f>
        <v>6480</v>
      </c>
      <c r="Y99">
        <f>IF(K99=0,"",K99*VLOOKUP(Y$2,[1]Needs!$A$4:$I$43,9,FALSE))</f>
        <v>4277730</v>
      </c>
      <c r="Z99">
        <f>IF(L99=0,"",L99*VLOOKUP(Z$2,[1]Needs!$A$4:$I$43,9,FALSE))</f>
        <v>4753050</v>
      </c>
      <c r="AA99">
        <f>IF(M99=0,"",M99*VLOOKUP(AA$2,[1]Needs!$A$4:$I$43,9,FALSE))</f>
        <v>2851830</v>
      </c>
      <c r="AB99">
        <f>IF(N99=0,"",N99*VLOOKUP(AB$2,[1]Needs!$A$4:$I$43,9,FALSE))</f>
        <v>2851830</v>
      </c>
      <c r="AC99">
        <f>IF(O99=0,"",O99*VLOOKUP(AC$2,[1]Needs!$A$4:$I$43,9,FALSE))</f>
        <v>2851830</v>
      </c>
      <c r="AD99">
        <f>IF(P99=0,"",P99*VLOOKUP(AD$2,[1]Needs!$A$4:$I$43,9,FALSE))</f>
        <v>22814580</v>
      </c>
      <c r="AE99">
        <f>IF(Q99=0,"",Q99*VLOOKUP(AE$2,[1]Needs!$A$4:$I$43,9,FALSE))</f>
        <v>11407290</v>
      </c>
    </row>
    <row r="100" customHeight="1" spans="1:31">
      <c r="A100" s="64">
        <v>97</v>
      </c>
      <c r="B100" s="64">
        <v>1440</v>
      </c>
      <c r="C100" s="64">
        <f t="shared" si="2"/>
        <v>56996710</v>
      </c>
      <c r="D100" s="65"/>
      <c r="E100" s="65"/>
      <c r="F100" s="65"/>
      <c r="G100" s="65"/>
      <c r="H100" s="65"/>
      <c r="I100" s="65">
        <v>29</v>
      </c>
      <c r="J100" s="65">
        <v>216</v>
      </c>
      <c r="K100" s="65">
        <v>156852</v>
      </c>
      <c r="L100" s="65">
        <v>104568</v>
      </c>
      <c r="M100" s="65">
        <v>104568</v>
      </c>
      <c r="N100" s="65">
        <v>104568</v>
      </c>
      <c r="O100" s="65">
        <v>104568</v>
      </c>
      <c r="P100" s="65">
        <v>418273</v>
      </c>
      <c r="Q100" s="65">
        <v>418273</v>
      </c>
      <c r="R100" t="str">
        <f>IF(D100=0,"",D100*VLOOKUP(R$2,[1]Needs!$A$4:$I$43,9,FALSE))</f>
        <v/>
      </c>
      <c r="S100" t="str">
        <f>IF(E100=0,"",E100*VLOOKUP(S$2,[1]Needs!$A$4:$I$43,9,FALSE))</f>
        <v/>
      </c>
      <c r="T100" t="str">
        <f>IF(F100=0,"",F100*VLOOKUP(T$2,[1]Needs!$A$4:$I$43,9,FALSE))</f>
        <v/>
      </c>
      <c r="U100" t="str">
        <f>IF(G100=0,"",G100*VLOOKUP(U$2,[1]Needs!$A$4:$I$43,9,FALSE))</f>
        <v/>
      </c>
      <c r="V100" t="str">
        <f>IF(H100=0,"",H100*VLOOKUP(V$2,[1]Needs!$A$4:$I$43,9,FALSE))</f>
        <v/>
      </c>
      <c r="W100">
        <f>IF(I100=0,"",I100*VLOOKUP(W$2,[1]Needs!$A$4:$I$43,9,FALSE))</f>
        <v>580</v>
      </c>
      <c r="X100">
        <f>IF(J100=0,"",J100*VLOOKUP(X$2,[1]Needs!$A$4:$I$43,9,FALSE))</f>
        <v>6480</v>
      </c>
      <c r="Y100">
        <f>IF(K100=0,"",K100*VLOOKUP(Y$2,[1]Needs!$A$4:$I$43,9,FALSE))</f>
        <v>4705560</v>
      </c>
      <c r="Z100">
        <f>IF(L100=0,"",L100*VLOOKUP(Z$2,[1]Needs!$A$4:$I$43,9,FALSE))</f>
        <v>5228400</v>
      </c>
      <c r="AA100">
        <f>IF(M100=0,"",M100*VLOOKUP(AA$2,[1]Needs!$A$4:$I$43,9,FALSE))</f>
        <v>3137040</v>
      </c>
      <c r="AB100">
        <f>IF(N100=0,"",N100*VLOOKUP(AB$2,[1]Needs!$A$4:$I$43,9,FALSE))</f>
        <v>3137040</v>
      </c>
      <c r="AC100">
        <f>IF(O100=0,"",O100*VLOOKUP(AC$2,[1]Needs!$A$4:$I$43,9,FALSE))</f>
        <v>3137040</v>
      </c>
      <c r="AD100">
        <f>IF(P100=0,"",P100*VLOOKUP(AD$2,[1]Needs!$A$4:$I$43,9,FALSE))</f>
        <v>25096380</v>
      </c>
      <c r="AE100">
        <f>IF(Q100=0,"",Q100*VLOOKUP(AE$2,[1]Needs!$A$4:$I$43,9,FALSE))</f>
        <v>12548190</v>
      </c>
    </row>
    <row r="101" customHeight="1" spans="1:31">
      <c r="A101" s="64">
        <v>98</v>
      </c>
      <c r="B101" s="64">
        <v>1460</v>
      </c>
      <c r="C101" s="64">
        <f t="shared" si="2"/>
        <v>62696320</v>
      </c>
      <c r="D101" s="65"/>
      <c r="E101" s="65"/>
      <c r="F101" s="65"/>
      <c r="G101" s="65"/>
      <c r="H101" s="65"/>
      <c r="I101" s="65">
        <v>29</v>
      </c>
      <c r="J101" s="65">
        <v>216</v>
      </c>
      <c r="K101" s="65">
        <v>172539</v>
      </c>
      <c r="L101" s="65">
        <v>115026</v>
      </c>
      <c r="M101" s="65">
        <v>115026</v>
      </c>
      <c r="N101" s="65">
        <v>115026</v>
      </c>
      <c r="O101" s="65">
        <v>115026</v>
      </c>
      <c r="P101" s="65">
        <v>460105</v>
      </c>
      <c r="Q101" s="65">
        <v>460105</v>
      </c>
      <c r="R101" t="str">
        <f>IF(D101=0,"",D101*VLOOKUP(R$2,[1]Needs!$A$4:$I$43,9,FALSE))</f>
        <v/>
      </c>
      <c r="S101" t="str">
        <f>IF(E101=0,"",E101*VLOOKUP(S$2,[1]Needs!$A$4:$I$43,9,FALSE))</f>
        <v/>
      </c>
      <c r="T101" t="str">
        <f>IF(F101=0,"",F101*VLOOKUP(T$2,[1]Needs!$A$4:$I$43,9,FALSE))</f>
        <v/>
      </c>
      <c r="U101" t="str">
        <f>IF(G101=0,"",G101*VLOOKUP(U$2,[1]Needs!$A$4:$I$43,9,FALSE))</f>
        <v/>
      </c>
      <c r="V101" t="str">
        <f>IF(H101=0,"",H101*VLOOKUP(V$2,[1]Needs!$A$4:$I$43,9,FALSE))</f>
        <v/>
      </c>
      <c r="W101">
        <f>IF(I101=0,"",I101*VLOOKUP(W$2,[1]Needs!$A$4:$I$43,9,FALSE))</f>
        <v>580</v>
      </c>
      <c r="X101">
        <f>IF(J101=0,"",J101*VLOOKUP(X$2,[1]Needs!$A$4:$I$43,9,FALSE))</f>
        <v>6480</v>
      </c>
      <c r="Y101">
        <f>IF(K101=0,"",K101*VLOOKUP(Y$2,[1]Needs!$A$4:$I$43,9,FALSE))</f>
        <v>5176170</v>
      </c>
      <c r="Z101">
        <f>IF(L101=0,"",L101*VLOOKUP(Z$2,[1]Needs!$A$4:$I$43,9,FALSE))</f>
        <v>5751300</v>
      </c>
      <c r="AA101">
        <f>IF(M101=0,"",M101*VLOOKUP(AA$2,[1]Needs!$A$4:$I$43,9,FALSE))</f>
        <v>3450780</v>
      </c>
      <c r="AB101">
        <f>IF(N101=0,"",N101*VLOOKUP(AB$2,[1]Needs!$A$4:$I$43,9,FALSE))</f>
        <v>3450780</v>
      </c>
      <c r="AC101">
        <f>IF(O101=0,"",O101*VLOOKUP(AC$2,[1]Needs!$A$4:$I$43,9,FALSE))</f>
        <v>3450780</v>
      </c>
      <c r="AD101">
        <f>IF(P101=0,"",P101*VLOOKUP(AD$2,[1]Needs!$A$4:$I$43,9,FALSE))</f>
        <v>27606300</v>
      </c>
      <c r="AE101">
        <f>IF(Q101=0,"",Q101*VLOOKUP(AE$2,[1]Needs!$A$4:$I$43,9,FALSE))</f>
        <v>13803150</v>
      </c>
    </row>
    <row r="102" customHeight="1" spans="1:31">
      <c r="A102" s="64">
        <v>99</v>
      </c>
      <c r="B102" s="64">
        <v>1480</v>
      </c>
      <c r="C102" s="64">
        <f t="shared" si="2"/>
        <v>68966000</v>
      </c>
      <c r="D102" s="65"/>
      <c r="E102" s="65"/>
      <c r="F102" s="65"/>
      <c r="G102" s="65"/>
      <c r="H102" s="65"/>
      <c r="I102" s="65">
        <v>29</v>
      </c>
      <c r="J102" s="65">
        <v>216</v>
      </c>
      <c r="K102" s="65">
        <v>189795</v>
      </c>
      <c r="L102" s="65">
        <v>126530</v>
      </c>
      <c r="M102" s="65">
        <v>126530</v>
      </c>
      <c r="N102" s="65">
        <v>126530</v>
      </c>
      <c r="O102" s="65">
        <v>126530</v>
      </c>
      <c r="P102" s="65">
        <v>506121</v>
      </c>
      <c r="Q102" s="65">
        <v>506121</v>
      </c>
      <c r="R102" t="str">
        <f>IF(D102=0,"",D102*VLOOKUP(R$2,[1]Needs!$A$4:$I$43,9,FALSE))</f>
        <v/>
      </c>
      <c r="S102" t="str">
        <f>IF(E102=0,"",E102*VLOOKUP(S$2,[1]Needs!$A$4:$I$43,9,FALSE))</f>
        <v/>
      </c>
      <c r="T102" t="str">
        <f>IF(F102=0,"",F102*VLOOKUP(T$2,[1]Needs!$A$4:$I$43,9,FALSE))</f>
        <v/>
      </c>
      <c r="U102" t="str">
        <f>IF(G102=0,"",G102*VLOOKUP(U$2,[1]Needs!$A$4:$I$43,9,FALSE))</f>
        <v/>
      </c>
      <c r="V102" t="str">
        <f>IF(H102=0,"",H102*VLOOKUP(V$2,[1]Needs!$A$4:$I$43,9,FALSE))</f>
        <v/>
      </c>
      <c r="W102">
        <f>IF(I102=0,"",I102*VLOOKUP(W$2,[1]Needs!$A$4:$I$43,9,FALSE))</f>
        <v>580</v>
      </c>
      <c r="X102">
        <f>IF(J102=0,"",J102*VLOOKUP(X$2,[1]Needs!$A$4:$I$43,9,FALSE))</f>
        <v>6480</v>
      </c>
      <c r="Y102">
        <f>IF(K102=0,"",K102*VLOOKUP(Y$2,[1]Needs!$A$4:$I$43,9,FALSE))</f>
        <v>5693850</v>
      </c>
      <c r="Z102">
        <f>IF(L102=0,"",L102*VLOOKUP(Z$2,[1]Needs!$A$4:$I$43,9,FALSE))</f>
        <v>6326500</v>
      </c>
      <c r="AA102">
        <f>IF(M102=0,"",M102*VLOOKUP(AA$2,[1]Needs!$A$4:$I$43,9,FALSE))</f>
        <v>3795900</v>
      </c>
      <c r="AB102">
        <f>IF(N102=0,"",N102*VLOOKUP(AB$2,[1]Needs!$A$4:$I$43,9,FALSE))</f>
        <v>3795900</v>
      </c>
      <c r="AC102">
        <f>IF(O102=0,"",O102*VLOOKUP(AC$2,[1]Needs!$A$4:$I$43,9,FALSE))</f>
        <v>3795900</v>
      </c>
      <c r="AD102">
        <f>IF(P102=0,"",P102*VLOOKUP(AD$2,[1]Needs!$A$4:$I$43,9,FALSE))</f>
        <v>30367260</v>
      </c>
      <c r="AE102">
        <f>IF(Q102=0,"",Q102*VLOOKUP(AE$2,[1]Needs!$A$4:$I$43,9,FALSE))</f>
        <v>15183630</v>
      </c>
    </row>
    <row r="103" customFormat="1" customHeight="1" spans="2:3">
      <c r="B103" s="2"/>
      <c r="C103" s="46"/>
    </row>
    <row r="104" customFormat="1" customHeight="1" spans="2:3">
      <c r="B104" s="2"/>
      <c r="C104" s="46"/>
    </row>
    <row r="105" customFormat="1" customHeight="1" spans="2:3">
      <c r="B105" s="2"/>
      <c r="C105" s="46"/>
    </row>
    <row r="106" customFormat="1" customHeight="1" spans="2:3">
      <c r="B106" s="2"/>
      <c r="C106" s="46"/>
    </row>
    <row r="107" customFormat="1" customHeight="1" spans="2:3">
      <c r="B107" s="2"/>
      <c r="C107" s="46"/>
    </row>
    <row r="108" customFormat="1" customHeight="1" spans="2:3">
      <c r="B108" s="2"/>
      <c r="C108" s="46"/>
    </row>
    <row r="109" customFormat="1" customHeight="1" spans="2:3">
      <c r="B109" s="2"/>
      <c r="C109" s="46"/>
    </row>
    <row r="110" customFormat="1" customHeight="1" spans="2:3">
      <c r="B110" s="2"/>
      <c r="C110" s="46"/>
    </row>
    <row r="111" customFormat="1" customHeight="1" spans="2:3">
      <c r="B111" s="2"/>
      <c r="C111" s="46"/>
    </row>
    <row r="112" customFormat="1" customHeight="1" spans="2:3">
      <c r="B112" s="2"/>
      <c r="C112" s="46"/>
    </row>
    <row r="113" customFormat="1" customHeight="1" spans="2:3">
      <c r="B113" s="2"/>
      <c r="C113" s="46"/>
    </row>
    <row r="114" customFormat="1" customHeight="1" spans="2:3">
      <c r="B114" s="2"/>
      <c r="C114" s="46"/>
    </row>
    <row r="115" customFormat="1" customHeight="1" spans="2:3">
      <c r="B115" s="2"/>
      <c r="C115" s="46"/>
    </row>
    <row r="116" customFormat="1" customHeight="1" spans="2:3">
      <c r="B116" s="2"/>
      <c r="C116" s="46"/>
    </row>
    <row r="117" customFormat="1" customHeight="1" spans="2:3">
      <c r="B117" s="2"/>
      <c r="C117" s="46"/>
    </row>
    <row r="118" customFormat="1" customHeight="1" spans="2:3">
      <c r="B118" s="2"/>
      <c r="C118" s="46"/>
    </row>
    <row r="119" customFormat="1" customHeight="1" spans="2:3">
      <c r="B119" s="2"/>
      <c r="C119" s="46"/>
    </row>
    <row r="120" customFormat="1" customHeight="1" spans="2:3">
      <c r="B120" s="2"/>
      <c r="C120" s="46"/>
    </row>
    <row r="121" customFormat="1" customHeight="1" spans="2:3">
      <c r="B121" s="2"/>
      <c r="C121" s="46"/>
    </row>
    <row r="122" customFormat="1" customHeight="1" spans="2:3">
      <c r="B122" s="2"/>
      <c r="C122" s="46"/>
    </row>
    <row r="123" customFormat="1" customHeight="1" spans="2:3">
      <c r="B123" s="2"/>
      <c r="C123" s="46"/>
    </row>
    <row r="124" customFormat="1" customHeight="1" spans="2:3">
      <c r="B124" s="2"/>
      <c r="C124" s="46"/>
    </row>
    <row r="125" customFormat="1" customHeight="1" spans="2:3">
      <c r="B125" s="2"/>
      <c r="C125" s="46"/>
    </row>
    <row r="126" customFormat="1" customHeight="1" spans="2:3">
      <c r="B126" s="2"/>
      <c r="C126" s="46"/>
    </row>
    <row r="127" customFormat="1" customHeight="1" spans="2:3">
      <c r="B127" s="2"/>
      <c r="C127" s="46"/>
    </row>
    <row r="128" customFormat="1" customHeight="1" spans="2:3">
      <c r="B128" s="2"/>
      <c r="C128" s="46"/>
    </row>
    <row r="129" customFormat="1" customHeight="1" spans="2:3">
      <c r="B129" s="2"/>
      <c r="C129" s="46"/>
    </row>
    <row r="130" customFormat="1" customHeight="1" spans="2:3">
      <c r="B130" s="2"/>
      <c r="C130" s="46"/>
    </row>
    <row r="131" customFormat="1" customHeight="1" spans="2:3">
      <c r="B131" s="2"/>
      <c r="C131" s="46"/>
    </row>
    <row r="132" customFormat="1" customHeight="1" spans="2:3">
      <c r="B132" s="2"/>
      <c r="C132" s="46"/>
    </row>
    <row r="133" customFormat="1" customHeight="1" spans="2:3">
      <c r="B133" s="2"/>
      <c r="C133" s="46"/>
    </row>
    <row r="134" customFormat="1" customHeight="1" spans="2:3">
      <c r="B134" s="2"/>
      <c r="C134" s="46"/>
    </row>
    <row r="135" customFormat="1" customHeight="1" spans="2:3">
      <c r="B135" s="2"/>
      <c r="C135" s="46"/>
    </row>
    <row r="136" customFormat="1" customHeight="1" spans="2:3">
      <c r="B136" s="2"/>
      <c r="C136" s="46"/>
    </row>
    <row r="137" customFormat="1" customHeight="1" spans="2:3">
      <c r="B137" s="2"/>
      <c r="C137" s="46"/>
    </row>
    <row r="138" customFormat="1" customHeight="1" spans="2:3">
      <c r="B138" s="2"/>
      <c r="C138" s="69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H19"/>
  <sheetViews>
    <sheetView showGridLines="0" workbookViewId="0">
      <selection activeCell="D12" sqref="D12"/>
    </sheetView>
  </sheetViews>
  <sheetFormatPr defaultColWidth="9" defaultRowHeight="20" customHeight="1" outlineLevelCol="7"/>
  <cols>
    <col min="1" max="1" width="14.75" customWidth="1"/>
    <col min="2" max="2" width="9.625" customWidth="1"/>
    <col min="3" max="5" width="14.625" customWidth="1"/>
    <col min="6" max="7" width="9.875" customWidth="1"/>
    <col min="8" max="8" width="38.25" customWidth="1"/>
    <col min="9" max="9" width="11.75" customWidth="1"/>
  </cols>
  <sheetData>
    <row r="2" ht="36" customHeight="1" spans="1:8">
      <c r="A2" s="9" t="s">
        <v>185</v>
      </c>
      <c r="B2" s="9" t="s">
        <v>186</v>
      </c>
      <c r="C2" s="9" t="s">
        <v>187</v>
      </c>
      <c r="D2" s="16" t="s">
        <v>188</v>
      </c>
      <c r="E2" s="9" t="s">
        <v>189</v>
      </c>
      <c r="F2" s="9" t="s">
        <v>190</v>
      </c>
      <c r="G2" s="9" t="s">
        <v>191</v>
      </c>
      <c r="H2" s="9" t="s">
        <v>192</v>
      </c>
    </row>
    <row r="3" customHeight="1" spans="1:6">
      <c r="A3" t="s">
        <v>193</v>
      </c>
      <c r="B3" t="s">
        <v>194</v>
      </c>
      <c r="C3">
        <v>20</v>
      </c>
      <c r="D3">
        <f t="shared" ref="D3:D16" si="0">E3/10000</f>
        <v>3.067</v>
      </c>
      <c r="E3">
        <f>VLOOKUP(C3,生活水平!$A$4:$C$102,3,FALSE)</f>
        <v>30670</v>
      </c>
      <c r="F3">
        <v>20</v>
      </c>
    </row>
    <row r="4" customHeight="1" spans="1:6">
      <c r="A4" t="s">
        <v>195</v>
      </c>
      <c r="B4" t="s">
        <v>194</v>
      </c>
      <c r="C4">
        <v>20</v>
      </c>
      <c r="D4">
        <f t="shared" si="0"/>
        <v>3.067</v>
      </c>
      <c r="E4">
        <f>VLOOKUP(C4,生活水平!$A$4:$C$102,3,FALSE)</f>
        <v>30670</v>
      </c>
      <c r="F4">
        <v>6</v>
      </c>
    </row>
    <row r="5" customHeight="1" spans="1:6">
      <c r="A5" t="s">
        <v>196</v>
      </c>
      <c r="B5" t="s">
        <v>194</v>
      </c>
      <c r="C5">
        <v>20</v>
      </c>
      <c r="D5">
        <f t="shared" si="0"/>
        <v>3.067</v>
      </c>
      <c r="E5">
        <f>VLOOKUP(C5,生活水平!$A$4:$C$102,3,FALSE)</f>
        <v>30670</v>
      </c>
      <c r="F5">
        <v>18</v>
      </c>
    </row>
    <row r="6" customHeight="1" spans="1:6">
      <c r="A6" t="s">
        <v>197</v>
      </c>
      <c r="B6" t="s">
        <v>198</v>
      </c>
      <c r="C6">
        <v>10</v>
      </c>
      <c r="D6">
        <f t="shared" si="0"/>
        <v>0.783</v>
      </c>
      <c r="E6">
        <f>VLOOKUP(C6,生活水平!$A$4:$C$102,3,FALSE)</f>
        <v>7830</v>
      </c>
      <c r="F6">
        <v>3</v>
      </c>
    </row>
    <row r="7" customHeight="1" spans="1:6">
      <c r="A7" t="s">
        <v>199</v>
      </c>
      <c r="B7" t="s">
        <v>198</v>
      </c>
      <c r="C7">
        <v>10</v>
      </c>
      <c r="D7">
        <f t="shared" si="0"/>
        <v>0.783</v>
      </c>
      <c r="E7">
        <f>VLOOKUP(C7,生活水平!$A$4:$C$102,3,FALSE)</f>
        <v>7830</v>
      </c>
      <c r="F7">
        <v>3</v>
      </c>
    </row>
    <row r="8" customHeight="1" spans="1:6">
      <c r="A8" t="s">
        <v>200</v>
      </c>
      <c r="B8" t="s">
        <v>198</v>
      </c>
      <c r="C8">
        <v>10</v>
      </c>
      <c r="D8">
        <f t="shared" si="0"/>
        <v>0.783</v>
      </c>
      <c r="E8">
        <f>VLOOKUP(C8,生活水平!$A$4:$C$102,3,FALSE)</f>
        <v>7830</v>
      </c>
      <c r="F8">
        <v>3</v>
      </c>
    </row>
    <row r="9" customHeight="1" spans="1:6">
      <c r="A9" t="s">
        <v>201</v>
      </c>
      <c r="B9" t="s">
        <v>198</v>
      </c>
      <c r="C9">
        <v>10</v>
      </c>
      <c r="D9">
        <f t="shared" si="0"/>
        <v>0.783</v>
      </c>
      <c r="E9">
        <f>VLOOKUP(C9,生活水平!$A$4:$C$102,3,FALSE)</f>
        <v>7830</v>
      </c>
      <c r="F9">
        <v>4</v>
      </c>
    </row>
    <row r="10" customHeight="1" spans="1:6">
      <c r="A10" t="s">
        <v>202</v>
      </c>
      <c r="B10" t="s">
        <v>198</v>
      </c>
      <c r="C10">
        <v>10</v>
      </c>
      <c r="D10">
        <f t="shared" si="0"/>
        <v>0.783</v>
      </c>
      <c r="E10">
        <f>VLOOKUP(C10,生活水平!$A$4:$C$102,3,FALSE)</f>
        <v>7830</v>
      </c>
      <c r="F10">
        <v>5</v>
      </c>
    </row>
    <row r="11" customHeight="1" spans="1:6">
      <c r="A11" t="s">
        <v>203</v>
      </c>
      <c r="B11" t="s">
        <v>198</v>
      </c>
      <c r="C11">
        <v>10</v>
      </c>
      <c r="D11">
        <f t="shared" si="0"/>
        <v>0.783</v>
      </c>
      <c r="E11">
        <f>VLOOKUP(C11,生活水平!$A$4:$C$102,3,FALSE)</f>
        <v>7830</v>
      </c>
      <c r="F11">
        <v>3</v>
      </c>
    </row>
    <row r="12" customHeight="1" spans="1:6">
      <c r="A12" t="s">
        <v>204</v>
      </c>
      <c r="B12" t="s">
        <v>205</v>
      </c>
      <c r="C12">
        <v>7</v>
      </c>
      <c r="D12">
        <f t="shared" si="0"/>
        <v>0.549</v>
      </c>
      <c r="E12">
        <f>VLOOKUP(C12,生活水平!$A$4:$C$102,3,FALSE)</f>
        <v>5490</v>
      </c>
      <c r="F12">
        <v>2</v>
      </c>
    </row>
    <row r="13" customHeight="1" spans="1:6">
      <c r="A13" t="s">
        <v>206</v>
      </c>
      <c r="B13" t="s">
        <v>205</v>
      </c>
      <c r="C13">
        <v>5</v>
      </c>
      <c r="D13">
        <f t="shared" si="0"/>
        <v>0.465</v>
      </c>
      <c r="E13">
        <f>VLOOKUP(C13,生活水平!$A$4:$C$102,3,FALSE)</f>
        <v>4650</v>
      </c>
      <c r="F13">
        <v>0.2</v>
      </c>
    </row>
    <row r="14" customHeight="1" spans="1:6">
      <c r="A14" t="s">
        <v>207</v>
      </c>
      <c r="B14" t="s">
        <v>205</v>
      </c>
      <c r="C14">
        <v>5</v>
      </c>
      <c r="D14">
        <f t="shared" si="0"/>
        <v>0.465</v>
      </c>
      <c r="E14">
        <f>VLOOKUP(C14,生活水平!$A$4:$C$102,3,FALSE)</f>
        <v>4650</v>
      </c>
      <c r="F14">
        <v>1</v>
      </c>
    </row>
    <row r="15" customHeight="1" spans="1:6">
      <c r="A15" t="s">
        <v>208</v>
      </c>
      <c r="B15" t="s">
        <v>205</v>
      </c>
      <c r="C15">
        <v>1</v>
      </c>
      <c r="D15">
        <f t="shared" si="0"/>
        <v>0.325</v>
      </c>
      <c r="E15">
        <f>VLOOKUP(C15,生活水平!$A$4:$C$102,3,FALSE)</f>
        <v>3250</v>
      </c>
      <c r="F15">
        <v>0</v>
      </c>
    </row>
    <row r="16" customHeight="1" spans="1:6">
      <c r="A16" t="s">
        <v>209</v>
      </c>
      <c r="B16" t="s">
        <v>205</v>
      </c>
      <c r="C16">
        <v>10</v>
      </c>
      <c r="D16">
        <f t="shared" si="0"/>
        <v>0.783</v>
      </c>
      <c r="E16">
        <f>VLOOKUP(C16,生活水平!$A$4:$C$102,3,FALSE)</f>
        <v>7830</v>
      </c>
      <c r="F16">
        <v>3</v>
      </c>
    </row>
    <row r="19" customHeight="1" spans="1:8">
      <c r="A19" t="s">
        <v>210</v>
      </c>
      <c r="B19" t="s">
        <v>198</v>
      </c>
      <c r="H19" t="s">
        <v>211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68"/>
  <sheetViews>
    <sheetView showGridLines="0" workbookViewId="0">
      <selection activeCell="C3" sqref="C3"/>
    </sheetView>
  </sheetViews>
  <sheetFormatPr defaultColWidth="9" defaultRowHeight="20" customHeight="1"/>
  <cols>
    <col min="1" max="1" width="14.625" customWidth="1"/>
    <col min="2" max="2" width="15.6916666666667" customWidth="1"/>
    <col min="3" max="3" width="17" customWidth="1"/>
    <col min="4" max="4" width="5.625" customWidth="1"/>
    <col min="5" max="5" width="17" customWidth="1"/>
    <col min="6" max="6" width="5.625" customWidth="1"/>
    <col min="7" max="7" width="17" customWidth="1"/>
    <col min="8" max="8" width="5.625" customWidth="1"/>
    <col min="9" max="9" width="17" customWidth="1"/>
    <col min="10" max="10" width="5.625" customWidth="1"/>
    <col min="11" max="11" width="17" customWidth="1"/>
    <col min="12" max="12" width="5.625" customWidth="1"/>
    <col min="13" max="13" width="8.875" style="2" customWidth="1"/>
    <col min="15" max="15" width="13.625" customWidth="1"/>
    <col min="16" max="16" width="16.875" customWidth="1"/>
  </cols>
  <sheetData>
    <row r="1" ht="40" customHeight="1" spans="1:4">
      <c r="A1" s="41"/>
      <c r="B1" s="10"/>
      <c r="C1" s="16" t="s">
        <v>212</v>
      </c>
      <c r="D1" s="9">
        <v>68</v>
      </c>
    </row>
    <row r="2" customHeight="1" spans="1:15">
      <c r="A2" s="9" t="s">
        <v>213</v>
      </c>
      <c r="B2" s="9" t="s">
        <v>214</v>
      </c>
      <c r="C2" s="9" t="s">
        <v>215</v>
      </c>
      <c r="D2" s="9" t="s">
        <v>216</v>
      </c>
      <c r="E2" s="9" t="s">
        <v>215</v>
      </c>
      <c r="F2" s="9" t="s">
        <v>216</v>
      </c>
      <c r="G2" s="9" t="s">
        <v>215</v>
      </c>
      <c r="H2" s="9" t="s">
        <v>216</v>
      </c>
      <c r="I2" s="9" t="s">
        <v>215</v>
      </c>
      <c r="J2" s="9" t="s">
        <v>216</v>
      </c>
      <c r="K2" s="9" t="s">
        <v>215</v>
      </c>
      <c r="L2" s="9" t="s">
        <v>216</v>
      </c>
      <c r="M2" s="9" t="s">
        <v>217</v>
      </c>
      <c r="N2" s="9" t="s">
        <v>218</v>
      </c>
      <c r="O2" s="9" t="s">
        <v>219</v>
      </c>
    </row>
    <row r="3" customHeight="1" spans="1:16">
      <c r="A3" t="s">
        <v>220</v>
      </c>
      <c r="B3" s="37" t="s">
        <v>221</v>
      </c>
      <c r="C3" s="42" t="s">
        <v>222</v>
      </c>
      <c r="D3" s="43">
        <v>5</v>
      </c>
      <c r="E3" s="42" t="s">
        <v>223</v>
      </c>
      <c r="F3" s="43">
        <v>5</v>
      </c>
      <c r="G3" s="42" t="s">
        <v>224</v>
      </c>
      <c r="H3" s="43">
        <v>5</v>
      </c>
      <c r="I3" s="42" t="s">
        <v>224</v>
      </c>
      <c r="J3" s="43">
        <v>5</v>
      </c>
      <c r="K3" s="42" t="s">
        <v>225</v>
      </c>
      <c r="L3" s="43">
        <v>8</v>
      </c>
      <c r="M3" s="2" t="s">
        <v>126</v>
      </c>
      <c r="N3" s="2"/>
      <c r="P3" t="str">
        <f t="shared" ref="P3:P11" si="0">"building_"&amp;B3</f>
        <v>building_食品厂</v>
      </c>
    </row>
    <row r="4" customHeight="1" spans="1:16">
      <c r="A4" t="s">
        <v>220</v>
      </c>
      <c r="B4" s="37" t="s">
        <v>226</v>
      </c>
      <c r="C4" s="42" t="s">
        <v>222</v>
      </c>
      <c r="D4" s="43">
        <v>5</v>
      </c>
      <c r="E4" s="42" t="s">
        <v>223</v>
      </c>
      <c r="F4" s="43">
        <v>5</v>
      </c>
      <c r="G4" s="42" t="s">
        <v>224</v>
      </c>
      <c r="H4" s="43">
        <v>5</v>
      </c>
      <c r="I4" s="42" t="s">
        <v>224</v>
      </c>
      <c r="J4" s="43">
        <v>5</v>
      </c>
      <c r="K4" s="42" t="s">
        <v>225</v>
      </c>
      <c r="L4" s="43">
        <v>8</v>
      </c>
      <c r="M4" s="2" t="s">
        <v>140</v>
      </c>
      <c r="N4" s="2"/>
      <c r="P4" t="str">
        <f t="shared" si="0"/>
        <v>building_酿酒厂</v>
      </c>
    </row>
    <row r="5" customHeight="1" spans="1:16">
      <c r="A5" t="s">
        <v>220</v>
      </c>
      <c r="B5" s="37" t="s">
        <v>227</v>
      </c>
      <c r="C5" s="42" t="s">
        <v>222</v>
      </c>
      <c r="D5" s="43">
        <v>5</v>
      </c>
      <c r="E5" s="42" t="s">
        <v>224</v>
      </c>
      <c r="F5" s="43">
        <v>5</v>
      </c>
      <c r="G5" s="42" t="s">
        <v>224</v>
      </c>
      <c r="H5" s="43">
        <v>5</v>
      </c>
      <c r="I5" s="42" t="s">
        <v>225</v>
      </c>
      <c r="J5" s="43">
        <v>8</v>
      </c>
      <c r="K5" s="42"/>
      <c r="L5" s="43"/>
      <c r="M5" s="2" t="s">
        <v>127</v>
      </c>
      <c r="N5" s="2"/>
      <c r="P5" t="str">
        <f t="shared" si="0"/>
        <v>building_造纸厂</v>
      </c>
    </row>
    <row r="6" customHeight="1" spans="1:16">
      <c r="A6" t="s">
        <v>220</v>
      </c>
      <c r="B6" s="37" t="s">
        <v>228</v>
      </c>
      <c r="C6" s="42" t="s">
        <v>222</v>
      </c>
      <c r="D6" s="43">
        <v>5</v>
      </c>
      <c r="E6" s="42" t="s">
        <v>223</v>
      </c>
      <c r="F6" s="43">
        <v>5</v>
      </c>
      <c r="G6" s="42" t="s">
        <v>224</v>
      </c>
      <c r="H6" s="43">
        <v>5</v>
      </c>
      <c r="I6" s="42" t="s">
        <v>224</v>
      </c>
      <c r="J6" s="43">
        <v>5</v>
      </c>
      <c r="K6" s="42" t="s">
        <v>225</v>
      </c>
      <c r="L6" s="43">
        <v>8</v>
      </c>
      <c r="M6" s="2" t="s">
        <v>135</v>
      </c>
      <c r="N6" s="2" t="s">
        <v>229</v>
      </c>
      <c r="P6" t="str">
        <f t="shared" si="0"/>
        <v>building_纺织厂</v>
      </c>
    </row>
    <row r="7" customHeight="1" spans="1:16">
      <c r="A7" t="s">
        <v>220</v>
      </c>
      <c r="B7" s="37" t="s">
        <v>230</v>
      </c>
      <c r="C7" s="42" t="s">
        <v>222</v>
      </c>
      <c r="D7" s="43">
        <v>5</v>
      </c>
      <c r="E7" s="42" t="s">
        <v>223</v>
      </c>
      <c r="F7" s="43">
        <v>5</v>
      </c>
      <c r="G7" s="42" t="s">
        <v>224</v>
      </c>
      <c r="H7" s="43">
        <v>5</v>
      </c>
      <c r="I7" s="42" t="s">
        <v>224</v>
      </c>
      <c r="J7" s="43">
        <v>5</v>
      </c>
      <c r="K7" s="42" t="s">
        <v>225</v>
      </c>
      <c r="L7" s="43">
        <v>8</v>
      </c>
      <c r="M7" s="2" t="s">
        <v>137</v>
      </c>
      <c r="N7" s="2" t="s">
        <v>138</v>
      </c>
      <c r="P7" t="str">
        <f t="shared" si="0"/>
        <v>building_家具厂</v>
      </c>
    </row>
    <row r="8" customHeight="1" spans="1:16">
      <c r="A8" t="s">
        <v>220</v>
      </c>
      <c r="B8" s="37" t="s">
        <v>231</v>
      </c>
      <c r="C8" s="42" t="s">
        <v>222</v>
      </c>
      <c r="D8" s="43">
        <v>5</v>
      </c>
      <c r="E8" s="42" t="s">
        <v>223</v>
      </c>
      <c r="F8" s="43">
        <v>5</v>
      </c>
      <c r="G8" s="42" t="s">
        <v>224</v>
      </c>
      <c r="H8" s="43">
        <v>5</v>
      </c>
      <c r="I8" s="42" t="s">
        <v>224</v>
      </c>
      <c r="J8" s="43">
        <v>5</v>
      </c>
      <c r="K8" s="42" t="s">
        <v>225</v>
      </c>
      <c r="L8" s="43">
        <v>8</v>
      </c>
      <c r="M8" s="2" t="s">
        <v>131</v>
      </c>
      <c r="N8" s="2" t="s">
        <v>232</v>
      </c>
      <c r="P8" t="str">
        <f t="shared" si="0"/>
        <v>building_玻璃厂</v>
      </c>
    </row>
    <row r="9" customHeight="1" spans="1:16">
      <c r="A9" t="s">
        <v>220</v>
      </c>
      <c r="B9" s="37" t="s">
        <v>233</v>
      </c>
      <c r="C9" s="42" t="s">
        <v>222</v>
      </c>
      <c r="D9" s="43">
        <v>5</v>
      </c>
      <c r="E9" s="42" t="s">
        <v>223</v>
      </c>
      <c r="F9" s="43">
        <v>5</v>
      </c>
      <c r="G9" s="42" t="s">
        <v>224</v>
      </c>
      <c r="H9" s="43">
        <v>5</v>
      </c>
      <c r="I9" s="42" t="s">
        <v>224</v>
      </c>
      <c r="J9" s="43">
        <v>5</v>
      </c>
      <c r="K9" s="42" t="s">
        <v>225</v>
      </c>
      <c r="L9" s="43">
        <v>8</v>
      </c>
      <c r="M9" s="2" t="s">
        <v>128</v>
      </c>
      <c r="N9" s="2" t="s">
        <v>148</v>
      </c>
      <c r="P9" t="str">
        <f t="shared" si="0"/>
        <v>building_化工厂</v>
      </c>
    </row>
    <row r="10" customHeight="1" spans="1:16">
      <c r="A10" t="s">
        <v>220</v>
      </c>
      <c r="B10" s="37" t="s">
        <v>234</v>
      </c>
      <c r="C10" s="42" t="s">
        <v>222</v>
      </c>
      <c r="D10" s="43">
        <v>5</v>
      </c>
      <c r="E10" s="42" t="s">
        <v>224</v>
      </c>
      <c r="F10" s="43">
        <v>5</v>
      </c>
      <c r="G10" s="42" t="s">
        <v>224</v>
      </c>
      <c r="H10" s="43">
        <v>5</v>
      </c>
      <c r="I10" s="42" t="s">
        <v>225</v>
      </c>
      <c r="J10" s="43">
        <v>8</v>
      </c>
      <c r="K10" s="42"/>
      <c r="L10" s="43"/>
      <c r="M10" s="2" t="s">
        <v>145</v>
      </c>
      <c r="N10" s="2"/>
      <c r="P10" t="str">
        <f t="shared" si="0"/>
        <v>building_工具作坊</v>
      </c>
    </row>
    <row r="11" customHeight="1" spans="1:16">
      <c r="A11" t="s">
        <v>220</v>
      </c>
      <c r="B11" s="37" t="s">
        <v>235</v>
      </c>
      <c r="C11" s="42" t="s">
        <v>222</v>
      </c>
      <c r="D11" s="43">
        <v>5</v>
      </c>
      <c r="E11" s="42" t="s">
        <v>224</v>
      </c>
      <c r="F11" s="43">
        <v>5</v>
      </c>
      <c r="G11" s="42" t="s">
        <v>224</v>
      </c>
      <c r="H11" s="43">
        <v>5</v>
      </c>
      <c r="I11" s="42" t="s">
        <v>225</v>
      </c>
      <c r="J11" s="43">
        <v>8</v>
      </c>
      <c r="K11" s="42"/>
      <c r="L11" s="43"/>
      <c r="M11" s="2" t="s">
        <v>146</v>
      </c>
      <c r="N11" s="2"/>
      <c r="P11" t="str">
        <f t="shared" si="0"/>
        <v>building_魔偶工厂</v>
      </c>
    </row>
    <row r="12" customHeight="1" spans="1:16">
      <c r="A12" t="s">
        <v>220</v>
      </c>
      <c r="B12" s="37" t="s">
        <v>236</v>
      </c>
      <c r="C12" s="42" t="s">
        <v>222</v>
      </c>
      <c r="D12" s="43">
        <v>5</v>
      </c>
      <c r="E12" s="42" t="s">
        <v>223</v>
      </c>
      <c r="F12" s="43">
        <v>5</v>
      </c>
      <c r="G12" s="42" t="s">
        <v>224</v>
      </c>
      <c r="H12" s="43">
        <v>5</v>
      </c>
      <c r="I12" s="42" t="s">
        <v>224</v>
      </c>
      <c r="J12" s="43">
        <v>5</v>
      </c>
      <c r="K12" s="42" t="s">
        <v>225</v>
      </c>
      <c r="L12" s="43">
        <v>8</v>
      </c>
      <c r="P12" t="str">
        <f t="shared" ref="P12:P34" si="1">"building_"&amp;B12</f>
        <v>building_科学武器厂</v>
      </c>
    </row>
    <row r="13" customHeight="1" spans="1:16">
      <c r="A13" t="s">
        <v>220</v>
      </c>
      <c r="B13" s="37" t="s">
        <v>237</v>
      </c>
      <c r="C13" s="42" t="s">
        <v>222</v>
      </c>
      <c r="D13" s="43">
        <v>5</v>
      </c>
      <c r="E13" s="42" t="s">
        <v>223</v>
      </c>
      <c r="F13" s="43">
        <v>5</v>
      </c>
      <c r="G13" s="42" t="s">
        <v>224</v>
      </c>
      <c r="H13" s="43">
        <v>5</v>
      </c>
      <c r="I13" s="42" t="s">
        <v>224</v>
      </c>
      <c r="J13" s="43">
        <v>5</v>
      </c>
      <c r="K13" s="42" t="s">
        <v>225</v>
      </c>
      <c r="L13" s="43">
        <v>8</v>
      </c>
      <c r="P13" t="str">
        <f t="shared" si="1"/>
        <v>building_魔导武器厂</v>
      </c>
    </row>
    <row r="14" customHeight="1" spans="13:13">
      <c r="M14"/>
    </row>
    <row r="15" customHeight="1" spans="1:16">
      <c r="A15" t="s">
        <v>238</v>
      </c>
      <c r="B15" s="37" t="s">
        <v>239</v>
      </c>
      <c r="C15" s="42" t="s">
        <v>222</v>
      </c>
      <c r="D15" s="43">
        <v>5</v>
      </c>
      <c r="E15" s="42" t="s">
        <v>224</v>
      </c>
      <c r="F15" s="43">
        <v>5</v>
      </c>
      <c r="G15" s="42" t="s">
        <v>224</v>
      </c>
      <c r="H15" s="43">
        <v>5</v>
      </c>
      <c r="I15" s="42" t="s">
        <v>225</v>
      </c>
      <c r="J15" s="43">
        <v>8</v>
      </c>
      <c r="K15" s="42"/>
      <c r="L15" s="43"/>
      <c r="P15" t="str">
        <f t="shared" si="1"/>
        <v>building_合成材料工厂</v>
      </c>
    </row>
    <row r="16" customHeight="1" spans="1:16">
      <c r="A16" t="s">
        <v>238</v>
      </c>
      <c r="B16" s="37" t="s">
        <v>240</v>
      </c>
      <c r="C16" s="42" t="s">
        <v>222</v>
      </c>
      <c r="D16" s="43">
        <v>5</v>
      </c>
      <c r="E16" s="42" t="s">
        <v>224</v>
      </c>
      <c r="F16" s="43">
        <v>5</v>
      </c>
      <c r="G16" s="42" t="s">
        <v>224</v>
      </c>
      <c r="H16" s="43">
        <v>5</v>
      </c>
      <c r="I16" s="42" t="s">
        <v>225</v>
      </c>
      <c r="J16" s="43">
        <v>8</v>
      </c>
      <c r="K16" s="42"/>
      <c r="L16" s="43"/>
      <c r="M16" s="2" t="s">
        <v>129</v>
      </c>
      <c r="N16" s="2"/>
      <c r="P16" t="str">
        <f t="shared" si="1"/>
        <v>building_钢铁厂</v>
      </c>
    </row>
    <row r="17" customHeight="1" spans="1:16">
      <c r="A17" t="s">
        <v>238</v>
      </c>
      <c r="B17" s="37" t="s">
        <v>241</v>
      </c>
      <c r="C17" s="42" t="s">
        <v>222</v>
      </c>
      <c r="D17" s="43">
        <v>5</v>
      </c>
      <c r="E17" s="42" t="s">
        <v>224</v>
      </c>
      <c r="F17" s="43">
        <v>5</v>
      </c>
      <c r="G17" s="42" t="s">
        <v>224</v>
      </c>
      <c r="H17" s="43">
        <v>5</v>
      </c>
      <c r="I17" s="42" t="s">
        <v>225</v>
      </c>
      <c r="J17" s="43">
        <v>8</v>
      </c>
      <c r="K17" s="42"/>
      <c r="L17" s="43"/>
      <c r="M17" s="2" t="s">
        <v>154</v>
      </c>
      <c r="N17" s="2"/>
      <c r="P17" t="str">
        <f t="shared" si="1"/>
        <v>building_炼金厂</v>
      </c>
    </row>
    <row r="18" customHeight="1" spans="1:16">
      <c r="A18" t="s">
        <v>238</v>
      </c>
      <c r="B18" s="37" t="s">
        <v>242</v>
      </c>
      <c r="C18" s="42" t="s">
        <v>222</v>
      </c>
      <c r="D18" s="43">
        <v>5</v>
      </c>
      <c r="E18" s="42" t="s">
        <v>224</v>
      </c>
      <c r="F18" s="43">
        <v>5</v>
      </c>
      <c r="G18" s="42" t="s">
        <v>224</v>
      </c>
      <c r="H18" s="43">
        <v>5</v>
      </c>
      <c r="I18" s="42" t="s">
        <v>225</v>
      </c>
      <c r="J18" s="43">
        <v>8</v>
      </c>
      <c r="K18" s="42"/>
      <c r="L18" s="43"/>
      <c r="M18" s="2" t="s">
        <v>151</v>
      </c>
      <c r="N18" s="2"/>
      <c r="P18" t="str">
        <f t="shared" si="1"/>
        <v>building_晶体萃取厂</v>
      </c>
    </row>
    <row r="19" customHeight="1" spans="1:16">
      <c r="A19" t="s">
        <v>238</v>
      </c>
      <c r="B19" s="37" t="s">
        <v>243</v>
      </c>
      <c r="C19" s="42" t="s">
        <v>222</v>
      </c>
      <c r="D19" s="43">
        <v>5</v>
      </c>
      <c r="E19" s="42" t="s">
        <v>224</v>
      </c>
      <c r="F19" s="43">
        <v>5</v>
      </c>
      <c r="G19" s="42" t="s">
        <v>224</v>
      </c>
      <c r="H19" s="43">
        <v>5</v>
      </c>
      <c r="I19" s="42" t="s">
        <v>225</v>
      </c>
      <c r="J19" s="43">
        <v>8</v>
      </c>
      <c r="K19" s="42"/>
      <c r="L19" s="43"/>
      <c r="M19" s="2" t="s">
        <v>149</v>
      </c>
      <c r="N19" s="2"/>
      <c r="P19" t="str">
        <f t="shared" si="1"/>
        <v>building_科学动力厂</v>
      </c>
    </row>
    <row r="20" customHeight="1" spans="1:16">
      <c r="A20" t="s">
        <v>238</v>
      </c>
      <c r="B20" s="37" t="s">
        <v>244</v>
      </c>
      <c r="C20" s="42" t="s">
        <v>222</v>
      </c>
      <c r="D20" s="43">
        <v>5</v>
      </c>
      <c r="E20" s="42" t="s">
        <v>224</v>
      </c>
      <c r="F20" s="43">
        <v>5</v>
      </c>
      <c r="G20" s="42" t="s">
        <v>224</v>
      </c>
      <c r="H20" s="43">
        <v>5</v>
      </c>
      <c r="I20" s="42" t="s">
        <v>225</v>
      </c>
      <c r="J20" s="43">
        <v>8</v>
      </c>
      <c r="K20" s="42"/>
      <c r="L20" s="43"/>
      <c r="M20" s="2" t="s">
        <v>150</v>
      </c>
      <c r="N20" s="2"/>
      <c r="P20" t="str">
        <f t="shared" si="1"/>
        <v>building_魔导动力厂</v>
      </c>
    </row>
    <row r="21" customHeight="1" spans="1:16">
      <c r="A21" t="s">
        <v>238</v>
      </c>
      <c r="B21" s="37" t="s">
        <v>245</v>
      </c>
      <c r="C21" s="42" t="s">
        <v>222</v>
      </c>
      <c r="D21" s="43">
        <v>5</v>
      </c>
      <c r="E21" s="42" t="s">
        <v>223</v>
      </c>
      <c r="F21" s="43">
        <v>5</v>
      </c>
      <c r="G21" s="42" t="s">
        <v>224</v>
      </c>
      <c r="H21" s="43">
        <v>5</v>
      </c>
      <c r="I21" s="42" t="s">
        <v>224</v>
      </c>
      <c r="J21" s="43">
        <v>5</v>
      </c>
      <c r="K21" s="42" t="s">
        <v>225</v>
      </c>
      <c r="L21" s="43">
        <v>8</v>
      </c>
      <c r="P21" t="str">
        <f t="shared" si="1"/>
        <v>building_魔能军械厂</v>
      </c>
    </row>
    <row r="22" customHeight="1" spans="1:16">
      <c r="A22" t="s">
        <v>238</v>
      </c>
      <c r="B22" s="37" t="s">
        <v>246</v>
      </c>
      <c r="C22" s="42" t="s">
        <v>222</v>
      </c>
      <c r="D22" s="43">
        <v>5</v>
      </c>
      <c r="E22" s="42" t="s">
        <v>223</v>
      </c>
      <c r="F22" s="43">
        <v>5</v>
      </c>
      <c r="G22" s="42" t="s">
        <v>224</v>
      </c>
      <c r="H22" s="43">
        <v>5</v>
      </c>
      <c r="I22" s="42" t="s">
        <v>224</v>
      </c>
      <c r="J22" s="43">
        <v>5</v>
      </c>
      <c r="K22" s="42" t="s">
        <v>225</v>
      </c>
      <c r="L22" s="43">
        <v>8</v>
      </c>
      <c r="P22" t="str">
        <f t="shared" si="1"/>
        <v>building_科学军械厂</v>
      </c>
    </row>
    <row r="23" customFormat="1" customHeight="1"/>
    <row r="24" customHeight="1" spans="1:16">
      <c r="A24" t="s">
        <v>247</v>
      </c>
      <c r="B24" s="37" t="s">
        <v>248</v>
      </c>
      <c r="C24" s="42" t="s">
        <v>222</v>
      </c>
      <c r="D24" s="43">
        <v>5</v>
      </c>
      <c r="E24" s="42" t="s">
        <v>225</v>
      </c>
      <c r="F24" s="43">
        <v>5</v>
      </c>
      <c r="G24" s="42" t="s">
        <v>249</v>
      </c>
      <c r="H24" s="43"/>
      <c r="I24" s="42"/>
      <c r="J24" s="43"/>
      <c r="K24" s="42"/>
      <c r="L24" s="43"/>
      <c r="M24" s="2" t="s">
        <v>147</v>
      </c>
      <c r="P24" t="str">
        <f t="shared" si="1"/>
        <v>building_道路</v>
      </c>
    </row>
    <row r="25" customHeight="1" spans="1:16">
      <c r="A25" t="s">
        <v>247</v>
      </c>
      <c r="B25" s="37" t="s">
        <v>250</v>
      </c>
      <c r="C25" s="42" t="s">
        <v>222</v>
      </c>
      <c r="D25" s="43">
        <v>5</v>
      </c>
      <c r="E25" s="42" t="s">
        <v>225</v>
      </c>
      <c r="F25" s="43">
        <v>5</v>
      </c>
      <c r="G25" s="42" t="s">
        <v>249</v>
      </c>
      <c r="H25" s="43"/>
      <c r="I25" s="42"/>
      <c r="J25" s="43"/>
      <c r="K25" s="42"/>
      <c r="L25" s="43"/>
      <c r="M25" s="2" t="s">
        <v>147</v>
      </c>
      <c r="P25" t="str">
        <f t="shared" si="1"/>
        <v>building_铁路</v>
      </c>
    </row>
    <row r="26" customHeight="1" spans="1:16">
      <c r="A26" t="s">
        <v>247</v>
      </c>
      <c r="B26" s="37" t="s">
        <v>251</v>
      </c>
      <c r="C26" s="42" t="s">
        <v>222</v>
      </c>
      <c r="D26" s="43">
        <v>5</v>
      </c>
      <c r="E26" s="42" t="s">
        <v>225</v>
      </c>
      <c r="F26" s="43">
        <v>5</v>
      </c>
      <c r="G26" s="42" t="s">
        <v>249</v>
      </c>
      <c r="H26" s="43"/>
      <c r="I26" s="42"/>
      <c r="J26" s="43"/>
      <c r="K26" s="42"/>
      <c r="L26" s="43"/>
      <c r="M26" s="2" t="s">
        <v>147</v>
      </c>
      <c r="P26" t="str">
        <f t="shared" si="1"/>
        <v>building_传送阵</v>
      </c>
    </row>
    <row r="27" customHeight="1" spans="1:16">
      <c r="A27" t="s">
        <v>247</v>
      </c>
      <c r="B27" s="37" t="s">
        <v>252</v>
      </c>
      <c r="C27" s="42"/>
      <c r="D27" s="43"/>
      <c r="E27" s="42"/>
      <c r="F27" s="43"/>
      <c r="G27" s="42"/>
      <c r="H27" s="43"/>
      <c r="I27" s="42"/>
      <c r="J27" s="43"/>
      <c r="K27" s="42"/>
      <c r="L27" s="43"/>
      <c r="P27" t="str">
        <f t="shared" si="1"/>
        <v>building_贸易中心</v>
      </c>
    </row>
    <row r="28" customFormat="1" customHeight="1"/>
    <row r="29" customHeight="1" spans="1:16">
      <c r="A29" t="s">
        <v>247</v>
      </c>
      <c r="B29" s="37" t="s">
        <v>253</v>
      </c>
      <c r="C29" s="42" t="s">
        <v>222</v>
      </c>
      <c r="D29" s="43">
        <v>5</v>
      </c>
      <c r="E29" s="42" t="s">
        <v>225</v>
      </c>
      <c r="F29" s="43">
        <v>8</v>
      </c>
      <c r="G29" s="42" t="s">
        <v>225</v>
      </c>
      <c r="H29" s="43">
        <v>8</v>
      </c>
      <c r="I29" s="42"/>
      <c r="J29" s="43"/>
      <c r="K29" s="42"/>
      <c r="L29" s="43"/>
      <c r="M29" s="2" t="s">
        <v>130</v>
      </c>
      <c r="P29" t="str">
        <f t="shared" si="1"/>
        <v>building_艺术学院</v>
      </c>
    </row>
    <row r="30" customHeight="1" spans="1:16">
      <c r="A30" t="s">
        <v>247</v>
      </c>
      <c r="B30" s="37" t="s">
        <v>254</v>
      </c>
      <c r="C30" s="42" t="s">
        <v>222</v>
      </c>
      <c r="D30" s="43">
        <v>5</v>
      </c>
      <c r="E30" s="42" t="s">
        <v>222</v>
      </c>
      <c r="F30" s="43">
        <v>5</v>
      </c>
      <c r="G30" s="42" t="s">
        <v>255</v>
      </c>
      <c r="H30" s="43">
        <v>5</v>
      </c>
      <c r="I30" s="42" t="s">
        <v>225</v>
      </c>
      <c r="J30" s="43">
        <v>8</v>
      </c>
      <c r="K30" s="42"/>
      <c r="L30" s="43"/>
      <c r="M30" s="2" t="s">
        <v>130</v>
      </c>
      <c r="P30" t="str">
        <f t="shared" si="1"/>
        <v>building_城镇中心</v>
      </c>
    </row>
    <row r="31" customFormat="1" customHeight="1"/>
    <row r="32" customHeight="1" spans="1:16">
      <c r="A32" t="s">
        <v>247</v>
      </c>
      <c r="B32" s="37" t="s">
        <v>256</v>
      </c>
      <c r="C32" s="42" t="s">
        <v>222</v>
      </c>
      <c r="D32" s="43">
        <v>5</v>
      </c>
      <c r="E32" s="42"/>
      <c r="F32" s="43"/>
      <c r="G32" s="42"/>
      <c r="H32" s="43"/>
      <c r="I32" s="42"/>
      <c r="J32" s="43"/>
      <c r="K32" s="42"/>
      <c r="L32" s="43"/>
      <c r="M32" s="2" t="s">
        <v>166</v>
      </c>
      <c r="P32" t="str">
        <f t="shared" si="1"/>
        <v>building_建造部门</v>
      </c>
    </row>
    <row r="33" customFormat="1" customHeight="1"/>
    <row r="34" customHeight="1" spans="1:16">
      <c r="A34" t="s">
        <v>238</v>
      </c>
      <c r="B34" s="37" t="s">
        <v>257</v>
      </c>
      <c r="C34" s="42" t="s">
        <v>222</v>
      </c>
      <c r="D34" s="43">
        <v>5</v>
      </c>
      <c r="E34" s="42" t="s">
        <v>225</v>
      </c>
      <c r="F34" s="43">
        <v>8</v>
      </c>
      <c r="G34" s="42"/>
      <c r="H34" s="43"/>
      <c r="I34" s="42"/>
      <c r="J34" s="43"/>
      <c r="K34" s="42"/>
      <c r="L34" s="43"/>
      <c r="P34" t="str">
        <f t="shared" si="1"/>
        <v>building_港口</v>
      </c>
    </row>
    <row r="35" customHeight="1" spans="1:16">
      <c r="A35" t="s">
        <v>238</v>
      </c>
      <c r="B35" s="37" t="s">
        <v>258</v>
      </c>
      <c r="C35" s="42" t="s">
        <v>222</v>
      </c>
      <c r="D35" s="43">
        <v>5</v>
      </c>
      <c r="E35" s="42" t="s">
        <v>225</v>
      </c>
      <c r="F35" s="43">
        <v>8</v>
      </c>
      <c r="G35" s="42" t="s">
        <v>225</v>
      </c>
      <c r="H35" s="43">
        <v>8</v>
      </c>
      <c r="I35" s="42"/>
      <c r="J35" s="43"/>
      <c r="K35" s="42"/>
      <c r="L35" s="43"/>
      <c r="P35" t="str">
        <f t="shared" ref="P35:P67" si="2">"building_"&amp;B35</f>
        <v>building_行政机构</v>
      </c>
    </row>
    <row r="36" customHeight="1" spans="1:16">
      <c r="A36" t="s">
        <v>238</v>
      </c>
      <c r="B36" s="37" t="s">
        <v>259</v>
      </c>
      <c r="C36" s="42" t="s">
        <v>222</v>
      </c>
      <c r="D36" s="43">
        <v>5</v>
      </c>
      <c r="E36" s="42" t="s">
        <v>225</v>
      </c>
      <c r="F36" s="43">
        <v>8</v>
      </c>
      <c r="G36" s="42" t="s">
        <v>225</v>
      </c>
      <c r="H36" s="43">
        <v>8</v>
      </c>
      <c r="I36" s="42"/>
      <c r="J36" s="43"/>
      <c r="K36" s="42"/>
      <c r="L36" s="43"/>
      <c r="P36" t="str">
        <f t="shared" si="2"/>
        <v>building_大学</v>
      </c>
    </row>
    <row r="37" customFormat="1" customHeight="1"/>
    <row r="38" customHeight="1" spans="1:16">
      <c r="A38" t="s">
        <v>260</v>
      </c>
      <c r="B38" s="37" t="s">
        <v>261</v>
      </c>
      <c r="C38" s="42" t="s">
        <v>222</v>
      </c>
      <c r="D38" s="43">
        <v>5</v>
      </c>
      <c r="E38" s="42" t="s">
        <v>223</v>
      </c>
      <c r="F38" s="43">
        <v>5</v>
      </c>
      <c r="G38" s="42" t="s">
        <v>224</v>
      </c>
      <c r="H38" s="43">
        <v>5</v>
      </c>
      <c r="I38" s="42" t="s">
        <v>224</v>
      </c>
      <c r="J38" s="43">
        <v>5</v>
      </c>
      <c r="K38" s="42" t="s">
        <v>225</v>
      </c>
      <c r="L38" s="43">
        <v>8</v>
      </c>
      <c r="P38" t="str">
        <f t="shared" si="2"/>
        <v>building_煤矿</v>
      </c>
    </row>
    <row r="39" customHeight="1" spans="1:16">
      <c r="A39" t="s">
        <v>260</v>
      </c>
      <c r="B39" s="37" t="s">
        <v>262</v>
      </c>
      <c r="C39" s="42" t="s">
        <v>222</v>
      </c>
      <c r="D39" s="43">
        <v>5</v>
      </c>
      <c r="E39" s="42" t="s">
        <v>223</v>
      </c>
      <c r="F39" s="43">
        <v>5</v>
      </c>
      <c r="G39" s="42" t="s">
        <v>224</v>
      </c>
      <c r="H39" s="43">
        <v>5</v>
      </c>
      <c r="I39" s="42" t="s">
        <v>224</v>
      </c>
      <c r="J39" s="43">
        <v>5</v>
      </c>
      <c r="K39" s="42" t="s">
        <v>225</v>
      </c>
      <c r="L39" s="43">
        <v>8</v>
      </c>
      <c r="P39" t="str">
        <f t="shared" si="2"/>
        <v>building_铁矿</v>
      </c>
    </row>
    <row r="40" customHeight="1" spans="1:16">
      <c r="A40" t="s">
        <v>260</v>
      </c>
      <c r="B40" s="37" t="s">
        <v>263</v>
      </c>
      <c r="C40" s="42" t="s">
        <v>222</v>
      </c>
      <c r="D40" s="43">
        <v>5</v>
      </c>
      <c r="E40" s="42" t="s">
        <v>223</v>
      </c>
      <c r="F40" s="43">
        <v>5</v>
      </c>
      <c r="G40" s="42" t="s">
        <v>224</v>
      </c>
      <c r="H40" s="43">
        <v>5</v>
      </c>
      <c r="I40" s="42" t="s">
        <v>224</v>
      </c>
      <c r="J40" s="43">
        <v>5</v>
      </c>
      <c r="K40" s="42" t="s">
        <v>225</v>
      </c>
      <c r="L40" s="43">
        <v>8</v>
      </c>
      <c r="P40" t="str">
        <f t="shared" si="2"/>
        <v>building_铅矿</v>
      </c>
    </row>
    <row r="41" customHeight="1" spans="1:16">
      <c r="A41" t="s">
        <v>260</v>
      </c>
      <c r="B41" s="37" t="s">
        <v>264</v>
      </c>
      <c r="C41" s="42" t="s">
        <v>222</v>
      </c>
      <c r="D41" s="43">
        <v>5</v>
      </c>
      <c r="E41" s="42" t="s">
        <v>223</v>
      </c>
      <c r="F41" s="43">
        <v>5</v>
      </c>
      <c r="G41" s="42" t="s">
        <v>224</v>
      </c>
      <c r="H41" s="43">
        <v>5</v>
      </c>
      <c r="I41" s="42" t="s">
        <v>224</v>
      </c>
      <c r="J41" s="43">
        <v>5</v>
      </c>
      <c r="K41" s="42" t="s">
        <v>225</v>
      </c>
      <c r="L41" s="43">
        <v>8</v>
      </c>
      <c r="P41" t="str">
        <f t="shared" si="2"/>
        <v>building_硫矿</v>
      </c>
    </row>
    <row r="42" customHeight="1" spans="1:16">
      <c r="A42" t="s">
        <v>260</v>
      </c>
      <c r="B42" s="37" t="s">
        <v>265</v>
      </c>
      <c r="C42" s="42" t="s">
        <v>222</v>
      </c>
      <c r="D42" s="43">
        <v>5</v>
      </c>
      <c r="E42" s="42" t="s">
        <v>223</v>
      </c>
      <c r="F42" s="43">
        <v>5</v>
      </c>
      <c r="G42" s="42" t="s">
        <v>224</v>
      </c>
      <c r="H42" s="43">
        <v>5</v>
      </c>
      <c r="I42" s="42" t="s">
        <v>224</v>
      </c>
      <c r="J42" s="43">
        <v>5</v>
      </c>
      <c r="K42" s="42" t="s">
        <v>225</v>
      </c>
      <c r="L42" s="43">
        <v>8</v>
      </c>
      <c r="P42" t="str">
        <f t="shared" si="2"/>
        <v>building_金矿</v>
      </c>
    </row>
    <row r="43" customHeight="1" spans="1:16">
      <c r="A43" t="s">
        <v>260</v>
      </c>
      <c r="B43" s="37" t="s">
        <v>266</v>
      </c>
      <c r="C43" s="42" t="s">
        <v>222</v>
      </c>
      <c r="D43" s="43">
        <v>5</v>
      </c>
      <c r="E43" s="42" t="s">
        <v>223</v>
      </c>
      <c r="F43" s="43">
        <v>5</v>
      </c>
      <c r="G43" s="42" t="s">
        <v>224</v>
      </c>
      <c r="H43" s="43">
        <v>5</v>
      </c>
      <c r="I43" s="42" t="s">
        <v>224</v>
      </c>
      <c r="J43" s="43">
        <v>5</v>
      </c>
      <c r="K43" s="42" t="s">
        <v>225</v>
      </c>
      <c r="L43" s="43">
        <v>8</v>
      </c>
      <c r="P43" t="str">
        <f t="shared" si="2"/>
        <v>building_油井</v>
      </c>
    </row>
    <row r="44" customFormat="1" customHeight="1"/>
    <row r="45" customHeight="1" spans="1:16">
      <c r="A45" t="s">
        <v>220</v>
      </c>
      <c r="B45" s="37" t="s">
        <v>267</v>
      </c>
      <c r="C45" s="42" t="s">
        <v>222</v>
      </c>
      <c r="D45" s="43">
        <v>5</v>
      </c>
      <c r="E45" s="42" t="s">
        <v>224</v>
      </c>
      <c r="F45" s="43">
        <v>5</v>
      </c>
      <c r="G45" s="42" t="s">
        <v>224</v>
      </c>
      <c r="H45" s="43">
        <v>5</v>
      </c>
      <c r="I45" s="42" t="s">
        <v>255</v>
      </c>
      <c r="J45" s="43">
        <v>5</v>
      </c>
      <c r="K45" s="42" t="s">
        <v>225</v>
      </c>
      <c r="L45" s="43">
        <v>8</v>
      </c>
      <c r="P45" t="str">
        <f t="shared" si="2"/>
        <v>building_棉花</v>
      </c>
    </row>
    <row r="46" customHeight="1" spans="1:16">
      <c r="A46" t="s">
        <v>220</v>
      </c>
      <c r="B46" s="37" t="s">
        <v>111</v>
      </c>
      <c r="C46" s="42" t="s">
        <v>222</v>
      </c>
      <c r="D46" s="43">
        <v>5</v>
      </c>
      <c r="E46" s="42" t="s">
        <v>224</v>
      </c>
      <c r="F46" s="43">
        <v>5</v>
      </c>
      <c r="G46" s="42" t="s">
        <v>224</v>
      </c>
      <c r="H46" s="43">
        <v>5</v>
      </c>
      <c r="I46" s="42" t="s">
        <v>255</v>
      </c>
      <c r="J46" s="43">
        <v>5</v>
      </c>
      <c r="K46" s="42" t="s">
        <v>225</v>
      </c>
      <c r="L46" s="43">
        <v>8</v>
      </c>
      <c r="P46" t="str">
        <f t="shared" si="2"/>
        <v>building_染料</v>
      </c>
    </row>
    <row r="47" customHeight="1" spans="1:16">
      <c r="A47" t="s">
        <v>220</v>
      </c>
      <c r="B47" s="37" t="s">
        <v>268</v>
      </c>
      <c r="C47" s="42" t="s">
        <v>222</v>
      </c>
      <c r="D47" s="43">
        <v>5</v>
      </c>
      <c r="E47" s="42" t="s">
        <v>224</v>
      </c>
      <c r="F47" s="43">
        <v>5</v>
      </c>
      <c r="G47" s="42" t="s">
        <v>224</v>
      </c>
      <c r="H47" s="43">
        <v>5</v>
      </c>
      <c r="I47" s="42" t="s">
        <v>255</v>
      </c>
      <c r="J47" s="43">
        <v>5</v>
      </c>
      <c r="K47" s="42" t="s">
        <v>225</v>
      </c>
      <c r="L47" s="43">
        <v>8</v>
      </c>
      <c r="P47" t="str">
        <f t="shared" si="2"/>
        <v>building_鸦片</v>
      </c>
    </row>
    <row r="48" customHeight="1" spans="1:16">
      <c r="A48" t="s">
        <v>220</v>
      </c>
      <c r="B48" s="37" t="s">
        <v>269</v>
      </c>
      <c r="C48" s="42" t="s">
        <v>222</v>
      </c>
      <c r="D48" s="43">
        <v>5</v>
      </c>
      <c r="E48" s="42" t="s">
        <v>224</v>
      </c>
      <c r="F48" s="43">
        <v>5</v>
      </c>
      <c r="G48" s="42" t="s">
        <v>224</v>
      </c>
      <c r="H48" s="43">
        <v>5</v>
      </c>
      <c r="I48" s="42" t="s">
        <v>255</v>
      </c>
      <c r="J48" s="43">
        <v>5</v>
      </c>
      <c r="K48" s="42" t="s">
        <v>225</v>
      </c>
      <c r="L48" s="43">
        <v>8</v>
      </c>
      <c r="P48" t="str">
        <f t="shared" si="2"/>
        <v>building_茶叶</v>
      </c>
    </row>
    <row r="49" customHeight="1" spans="1:16">
      <c r="A49" t="s">
        <v>220</v>
      </c>
      <c r="B49" s="37" t="s">
        <v>117</v>
      </c>
      <c r="C49" s="42" t="s">
        <v>222</v>
      </c>
      <c r="D49" s="43">
        <v>5</v>
      </c>
      <c r="E49" s="42" t="s">
        <v>224</v>
      </c>
      <c r="F49" s="43">
        <v>5</v>
      </c>
      <c r="G49" s="42" t="s">
        <v>224</v>
      </c>
      <c r="H49" s="43">
        <v>5</v>
      </c>
      <c r="I49" s="42" t="s">
        <v>255</v>
      </c>
      <c r="J49" s="43">
        <v>5</v>
      </c>
      <c r="K49" s="42" t="s">
        <v>225</v>
      </c>
      <c r="L49" s="43">
        <v>8</v>
      </c>
      <c r="P49" t="str">
        <f t="shared" si="2"/>
        <v>building_烟草</v>
      </c>
    </row>
    <row r="50" customHeight="1" spans="1:16">
      <c r="A50" t="s">
        <v>220</v>
      </c>
      <c r="B50" s="37" t="s">
        <v>270</v>
      </c>
      <c r="C50" s="42" t="s">
        <v>222</v>
      </c>
      <c r="D50" s="43">
        <v>5</v>
      </c>
      <c r="E50" s="42" t="s">
        <v>224</v>
      </c>
      <c r="F50" s="43">
        <v>5</v>
      </c>
      <c r="G50" s="42" t="s">
        <v>224</v>
      </c>
      <c r="H50" s="43">
        <v>5</v>
      </c>
      <c r="I50" s="42" t="s">
        <v>255</v>
      </c>
      <c r="J50" s="43">
        <v>5</v>
      </c>
      <c r="K50" s="42" t="s">
        <v>225</v>
      </c>
      <c r="L50" s="43">
        <v>8</v>
      </c>
      <c r="P50" t="str">
        <f t="shared" si="2"/>
        <v>building_香蕉</v>
      </c>
    </row>
    <row r="51" customHeight="1" spans="1:16">
      <c r="A51" t="s">
        <v>220</v>
      </c>
      <c r="B51" s="37" t="s">
        <v>271</v>
      </c>
      <c r="C51" s="42" t="s">
        <v>222</v>
      </c>
      <c r="D51" s="43">
        <v>5</v>
      </c>
      <c r="E51" s="42" t="s">
        <v>224</v>
      </c>
      <c r="F51" s="43">
        <v>5</v>
      </c>
      <c r="G51" s="42" t="s">
        <v>224</v>
      </c>
      <c r="H51" s="43">
        <v>5</v>
      </c>
      <c r="I51" s="42" t="s">
        <v>255</v>
      </c>
      <c r="J51" s="43">
        <v>5</v>
      </c>
      <c r="K51" s="42" t="s">
        <v>225</v>
      </c>
      <c r="L51" s="43">
        <v>8</v>
      </c>
      <c r="P51" t="str">
        <f t="shared" si="2"/>
        <v>building_糖类</v>
      </c>
    </row>
    <row r="52" customHeight="1" spans="1:16">
      <c r="A52" t="s">
        <v>220</v>
      </c>
      <c r="B52" s="37" t="s">
        <v>120</v>
      </c>
      <c r="C52" s="42" t="s">
        <v>222</v>
      </c>
      <c r="D52" s="43">
        <v>5</v>
      </c>
      <c r="E52" s="42" t="s">
        <v>224</v>
      </c>
      <c r="F52" s="43">
        <v>5</v>
      </c>
      <c r="G52" s="42" t="s">
        <v>224</v>
      </c>
      <c r="H52" s="43">
        <v>5</v>
      </c>
      <c r="I52" s="42" t="s">
        <v>255</v>
      </c>
      <c r="J52" s="43">
        <v>5</v>
      </c>
      <c r="K52" s="42" t="s">
        <v>225</v>
      </c>
      <c r="L52" s="43">
        <v>8</v>
      </c>
      <c r="P52" t="str">
        <f t="shared" si="2"/>
        <v>building_丝绸</v>
      </c>
    </row>
    <row r="53" customHeight="1" spans="1:16">
      <c r="A53" t="s">
        <v>220</v>
      </c>
      <c r="B53" s="37" t="s">
        <v>272</v>
      </c>
      <c r="C53" s="42" t="s">
        <v>222</v>
      </c>
      <c r="D53" s="43">
        <v>5</v>
      </c>
      <c r="E53" s="42" t="s">
        <v>224</v>
      </c>
      <c r="F53" s="43">
        <v>5</v>
      </c>
      <c r="G53" s="42" t="s">
        <v>224</v>
      </c>
      <c r="H53" s="43">
        <v>5</v>
      </c>
      <c r="I53" s="42" t="s">
        <v>255</v>
      </c>
      <c r="J53" s="43">
        <v>5</v>
      </c>
      <c r="K53" s="42" t="s">
        <v>225</v>
      </c>
      <c r="L53" s="43">
        <v>8</v>
      </c>
      <c r="P53" t="str">
        <f t="shared" si="2"/>
        <v>building_伐木场</v>
      </c>
    </row>
    <row r="54" customHeight="1" spans="1:16">
      <c r="A54" t="s">
        <v>220</v>
      </c>
      <c r="B54" s="37" t="s">
        <v>112</v>
      </c>
      <c r="C54" s="42" t="s">
        <v>222</v>
      </c>
      <c r="D54" s="43">
        <v>5</v>
      </c>
      <c r="E54" s="42" t="s">
        <v>224</v>
      </c>
      <c r="F54" s="43">
        <v>5</v>
      </c>
      <c r="G54" s="42" t="s">
        <v>224</v>
      </c>
      <c r="H54" s="43">
        <v>5</v>
      </c>
      <c r="I54" s="42" t="s">
        <v>255</v>
      </c>
      <c r="J54" s="43">
        <v>5</v>
      </c>
      <c r="K54" s="42" t="s">
        <v>225</v>
      </c>
      <c r="L54" s="43">
        <v>8</v>
      </c>
      <c r="P54" t="str">
        <f t="shared" si="2"/>
        <v>building_树胶</v>
      </c>
    </row>
    <row r="55" customHeight="1" spans="1:16">
      <c r="A55" t="s">
        <v>220</v>
      </c>
      <c r="B55" s="37" t="s">
        <v>273</v>
      </c>
      <c r="C55" s="42" t="s">
        <v>222</v>
      </c>
      <c r="D55" s="43">
        <v>5</v>
      </c>
      <c r="E55" s="42" t="s">
        <v>224</v>
      </c>
      <c r="F55" s="43">
        <v>5</v>
      </c>
      <c r="G55" s="42" t="s">
        <v>224</v>
      </c>
      <c r="H55" s="43">
        <v>5</v>
      </c>
      <c r="I55" s="42" t="s">
        <v>255</v>
      </c>
      <c r="J55" s="43">
        <v>5</v>
      </c>
      <c r="K55" s="42" t="s">
        <v>225</v>
      </c>
      <c r="L55" s="43">
        <v>8</v>
      </c>
      <c r="P55" t="str">
        <f t="shared" si="2"/>
        <v>building_黑麦</v>
      </c>
    </row>
    <row r="56" customHeight="1" spans="1:16">
      <c r="A56" t="s">
        <v>220</v>
      </c>
      <c r="B56" s="37" t="s">
        <v>274</v>
      </c>
      <c r="C56" s="42" t="s">
        <v>222</v>
      </c>
      <c r="D56" s="43">
        <v>5</v>
      </c>
      <c r="E56" s="42" t="s">
        <v>224</v>
      </c>
      <c r="F56" s="43">
        <v>5</v>
      </c>
      <c r="G56" s="42" t="s">
        <v>224</v>
      </c>
      <c r="H56" s="43">
        <v>5</v>
      </c>
      <c r="I56" s="42" t="s">
        <v>255</v>
      </c>
      <c r="J56" s="43">
        <v>5</v>
      </c>
      <c r="K56" s="42" t="s">
        <v>225</v>
      </c>
      <c r="L56" s="43">
        <v>8</v>
      </c>
      <c r="P56" t="str">
        <f t="shared" si="2"/>
        <v>building_小麦</v>
      </c>
    </row>
    <row r="57" customHeight="1" spans="1:16">
      <c r="A57" t="s">
        <v>220</v>
      </c>
      <c r="B57" s="37" t="s">
        <v>275</v>
      </c>
      <c r="C57" s="42" t="s">
        <v>222</v>
      </c>
      <c r="D57" s="43">
        <v>5</v>
      </c>
      <c r="E57" s="42" t="s">
        <v>224</v>
      </c>
      <c r="F57" s="43">
        <v>5</v>
      </c>
      <c r="G57" s="42" t="s">
        <v>224</v>
      </c>
      <c r="H57" s="43">
        <v>5</v>
      </c>
      <c r="I57" s="42" t="s">
        <v>255</v>
      </c>
      <c r="J57" s="43">
        <v>5</v>
      </c>
      <c r="K57" s="42" t="s">
        <v>225</v>
      </c>
      <c r="L57" s="43">
        <v>8</v>
      </c>
      <c r="P57" t="str">
        <f t="shared" si="2"/>
        <v>building_大米</v>
      </c>
    </row>
    <row r="58" customHeight="1" spans="1:16">
      <c r="A58" t="s">
        <v>220</v>
      </c>
      <c r="B58" s="37" t="s">
        <v>276</v>
      </c>
      <c r="C58" s="42" t="s">
        <v>222</v>
      </c>
      <c r="D58" s="43">
        <v>5</v>
      </c>
      <c r="E58" s="42" t="s">
        <v>224</v>
      </c>
      <c r="F58" s="43">
        <v>5</v>
      </c>
      <c r="G58" s="42" t="s">
        <v>224</v>
      </c>
      <c r="H58" s="43">
        <v>5</v>
      </c>
      <c r="I58" s="42" t="s">
        <v>255</v>
      </c>
      <c r="J58" s="43">
        <v>5</v>
      </c>
      <c r="K58" s="42" t="s">
        <v>225</v>
      </c>
      <c r="L58" s="43">
        <v>8</v>
      </c>
      <c r="P58" t="str">
        <f t="shared" si="2"/>
        <v>building_玉米</v>
      </c>
    </row>
    <row r="59" customHeight="1" spans="1:16">
      <c r="A59" t="s">
        <v>220</v>
      </c>
      <c r="B59" s="37" t="s">
        <v>277</v>
      </c>
      <c r="C59" s="42" t="s">
        <v>222</v>
      </c>
      <c r="D59" s="43">
        <v>5</v>
      </c>
      <c r="E59" s="42" t="s">
        <v>224</v>
      </c>
      <c r="F59" s="43">
        <v>5</v>
      </c>
      <c r="G59" s="42" t="s">
        <v>224</v>
      </c>
      <c r="H59" s="43">
        <v>5</v>
      </c>
      <c r="I59" s="42" t="s">
        <v>255</v>
      </c>
      <c r="J59" s="43">
        <v>5</v>
      </c>
      <c r="K59" s="42" t="s">
        <v>225</v>
      </c>
      <c r="L59" s="43">
        <v>8</v>
      </c>
      <c r="P59" t="str">
        <f t="shared" si="2"/>
        <v>building_小米</v>
      </c>
    </row>
    <row r="60" customHeight="1" spans="1:16">
      <c r="A60" t="s">
        <v>220</v>
      </c>
      <c r="B60" s="37" t="s">
        <v>278</v>
      </c>
      <c r="C60" s="42" t="s">
        <v>222</v>
      </c>
      <c r="D60" s="43">
        <v>5</v>
      </c>
      <c r="E60" s="42" t="s">
        <v>224</v>
      </c>
      <c r="F60" s="43">
        <v>5</v>
      </c>
      <c r="G60" s="42" t="s">
        <v>224</v>
      </c>
      <c r="H60" s="43">
        <v>5</v>
      </c>
      <c r="I60" s="42" t="s">
        <v>255</v>
      </c>
      <c r="J60" s="43">
        <v>5</v>
      </c>
      <c r="K60" s="42" t="s">
        <v>225</v>
      </c>
      <c r="L60" s="43">
        <v>8</v>
      </c>
      <c r="P60" t="str">
        <f t="shared" si="2"/>
        <v>building_牧场</v>
      </c>
    </row>
    <row r="61" customHeight="1" spans="1:16">
      <c r="A61" t="s">
        <v>220</v>
      </c>
      <c r="B61" s="37" t="s">
        <v>279</v>
      </c>
      <c r="C61" s="42" t="s">
        <v>222</v>
      </c>
      <c r="D61" s="43">
        <v>5</v>
      </c>
      <c r="E61" s="42" t="s">
        <v>224</v>
      </c>
      <c r="F61" s="43">
        <v>5</v>
      </c>
      <c r="G61" s="42" t="s">
        <v>224</v>
      </c>
      <c r="H61" s="43">
        <v>5</v>
      </c>
      <c r="I61" s="42" t="s">
        <v>255</v>
      </c>
      <c r="J61" s="43">
        <v>5</v>
      </c>
      <c r="K61" s="42" t="s">
        <v>225</v>
      </c>
      <c r="L61" s="43">
        <v>8</v>
      </c>
      <c r="P61" t="str">
        <f t="shared" si="2"/>
        <v>building_渔船码头</v>
      </c>
    </row>
    <row r="62" customHeight="1" spans="1:16">
      <c r="A62" t="s">
        <v>220</v>
      </c>
      <c r="B62" s="37" t="s">
        <v>280</v>
      </c>
      <c r="C62" s="42" t="s">
        <v>222</v>
      </c>
      <c r="D62" s="43">
        <v>5</v>
      </c>
      <c r="E62" s="42" t="s">
        <v>224</v>
      </c>
      <c r="F62" s="43">
        <v>5</v>
      </c>
      <c r="G62" s="42" t="s">
        <v>224</v>
      </c>
      <c r="H62" s="43">
        <v>5</v>
      </c>
      <c r="I62" s="42" t="s">
        <v>255</v>
      </c>
      <c r="J62" s="43">
        <v>5</v>
      </c>
      <c r="K62" s="42" t="s">
        <v>225</v>
      </c>
      <c r="L62" s="43">
        <v>8</v>
      </c>
      <c r="P62" t="str">
        <f t="shared" si="2"/>
        <v>building_捕鲸站</v>
      </c>
    </row>
    <row r="63" customFormat="1" customHeight="1"/>
    <row r="64" customHeight="1" spans="1:16">
      <c r="A64" t="s">
        <v>238</v>
      </c>
      <c r="B64" s="37" t="s">
        <v>281</v>
      </c>
      <c r="C64" s="42"/>
      <c r="D64" s="43"/>
      <c r="E64" s="42"/>
      <c r="F64" s="43"/>
      <c r="G64" s="42"/>
      <c r="H64" s="43"/>
      <c r="I64" s="42"/>
      <c r="J64" s="43"/>
      <c r="K64" s="42"/>
      <c r="L64" s="43"/>
      <c r="P64" t="str">
        <f>"building_"&amp;B64</f>
        <v>building_常备军营</v>
      </c>
    </row>
    <row r="65" customHeight="1" spans="1:16">
      <c r="A65" t="s">
        <v>238</v>
      </c>
      <c r="B65" s="37" t="s">
        <v>282</v>
      </c>
      <c r="C65" s="42"/>
      <c r="D65" s="43"/>
      <c r="E65" s="42"/>
      <c r="F65" s="43"/>
      <c r="G65" s="42"/>
      <c r="H65" s="43"/>
      <c r="I65" s="42"/>
      <c r="J65" s="43"/>
      <c r="K65" s="42"/>
      <c r="L65" s="43"/>
      <c r="P65" t="str">
        <f>"building_"&amp;B65</f>
        <v>building_动员军营</v>
      </c>
    </row>
    <row r="66" customHeight="1" spans="1:16">
      <c r="A66" t="s">
        <v>238</v>
      </c>
      <c r="B66" s="37" t="s">
        <v>283</v>
      </c>
      <c r="C66" s="42"/>
      <c r="D66" s="43"/>
      <c r="E66" s="42"/>
      <c r="F66" s="43"/>
      <c r="G66" s="42"/>
      <c r="H66" s="43"/>
      <c r="I66" s="42"/>
      <c r="J66" s="43"/>
      <c r="K66" s="42"/>
      <c r="L66" s="43"/>
      <c r="P66" t="str">
        <f>"building_"&amp;B66</f>
        <v>building_军港</v>
      </c>
    </row>
    <row r="67" customFormat="1" customHeight="1"/>
    <row r="68" customHeight="1" spans="1:16">
      <c r="A68" t="s">
        <v>220</v>
      </c>
      <c r="B68" s="37" t="s">
        <v>284</v>
      </c>
      <c r="C68" s="42"/>
      <c r="D68" s="43"/>
      <c r="E68" s="42"/>
      <c r="F68" s="43"/>
      <c r="G68" s="42"/>
      <c r="H68" s="43"/>
      <c r="I68" s="42"/>
      <c r="J68" s="43"/>
      <c r="K68" s="42"/>
      <c r="L68" s="43"/>
      <c r="P68" t="str">
        <f>"building_"&amp;B68</f>
        <v>building_自给农场</v>
      </c>
    </row>
  </sheetData>
  <mergeCells count="1">
    <mergeCell ref="A1:B1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BuildingTransformer">
          <controlPr defaultSize="0" r:id="rId4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1</xdr:col>
                <xdr:colOff>1181100</xdr:colOff>
                <xdr:row>0</xdr:row>
                <xdr:rowOff>485775</xdr:rowOff>
              </to>
            </anchor>
          </controlPr>
        </control>
      </mc:Choice>
      <mc:Fallback>
        <control shapeId="1025" r:id="rId3" name="BuildingTransform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E1295"/>
  <sheetViews>
    <sheetView showGridLines="0" zoomScale="90" zoomScaleNormal="90" topLeftCell="A2" workbookViewId="0">
      <selection activeCell="D1295" sqref="D3:D1295"/>
    </sheetView>
  </sheetViews>
  <sheetFormatPr defaultColWidth="9" defaultRowHeight="21" customHeight="1" outlineLevelCol="4"/>
  <cols>
    <col min="1" max="1" width="14.625" style="36" customWidth="1"/>
    <col min="2" max="2" width="22.875" style="37" customWidth="1"/>
    <col min="3" max="3" width="26.875" style="38" customWidth="1"/>
    <col min="4" max="4" width="23.75" style="2" customWidth="1"/>
    <col min="5" max="5" width="14.625" style="38" customWidth="1"/>
  </cols>
  <sheetData>
    <row r="2" customHeight="1" spans="1:5">
      <c r="A2" s="9" t="s">
        <v>213</v>
      </c>
      <c r="B2" s="9" t="s">
        <v>214</v>
      </c>
      <c r="C2" s="9" t="s">
        <v>285</v>
      </c>
      <c r="D2" s="9" t="s">
        <v>215</v>
      </c>
      <c r="E2" s="9" t="s">
        <v>286</v>
      </c>
    </row>
    <row r="3" customHeight="1" spans="1:5">
      <c r="A3" s="36" t="s">
        <v>220</v>
      </c>
      <c r="B3" s="39" t="s">
        <v>287</v>
      </c>
      <c r="C3" s="14" t="s">
        <v>288</v>
      </c>
      <c r="D3" s="2" t="s">
        <v>222</v>
      </c>
      <c r="E3" s="14">
        <v>1</v>
      </c>
    </row>
    <row r="4" customHeight="1" spans="1:5">
      <c r="A4" s="36" t="s">
        <v>220</v>
      </c>
      <c r="B4" s="39" t="s">
        <v>287</v>
      </c>
      <c r="C4" s="14" t="s">
        <v>288</v>
      </c>
      <c r="D4" s="2" t="s">
        <v>222</v>
      </c>
      <c r="E4" s="14">
        <v>2</v>
      </c>
    </row>
    <row r="5" customHeight="1" spans="1:5">
      <c r="A5" s="36" t="s">
        <v>220</v>
      </c>
      <c r="B5" s="39" t="s">
        <v>287</v>
      </c>
      <c r="C5" s="14" t="s">
        <v>288</v>
      </c>
      <c r="D5" s="2" t="s">
        <v>222</v>
      </c>
      <c r="E5" s="14">
        <v>3</v>
      </c>
    </row>
    <row r="6" customHeight="1" spans="1:5">
      <c r="A6" s="36" t="s">
        <v>220</v>
      </c>
      <c r="B6" s="39" t="s">
        <v>287</v>
      </c>
      <c r="C6" s="14" t="s">
        <v>288</v>
      </c>
      <c r="D6" s="2" t="s">
        <v>222</v>
      </c>
      <c r="E6" s="14">
        <v>4</v>
      </c>
    </row>
    <row r="7" customHeight="1" spans="1:5">
      <c r="A7" s="36" t="s">
        <v>220</v>
      </c>
      <c r="B7" s="39" t="s">
        <v>287</v>
      </c>
      <c r="C7" s="14" t="s">
        <v>288</v>
      </c>
      <c r="D7" s="2" t="s">
        <v>222</v>
      </c>
      <c r="E7" s="14">
        <v>5</v>
      </c>
    </row>
    <row r="8" customHeight="1" spans="1:5">
      <c r="A8" s="36" t="s">
        <v>220</v>
      </c>
      <c r="B8" s="39" t="s">
        <v>287</v>
      </c>
      <c r="C8" s="15" t="s">
        <v>289</v>
      </c>
      <c r="D8" s="2" t="s">
        <v>223</v>
      </c>
      <c r="E8" s="15">
        <v>1</v>
      </c>
    </row>
    <row r="9" customHeight="1" spans="1:5">
      <c r="A9" s="36" t="s">
        <v>220</v>
      </c>
      <c r="B9" s="39" t="s">
        <v>287</v>
      </c>
      <c r="C9" s="15" t="s">
        <v>289</v>
      </c>
      <c r="D9" s="2" t="s">
        <v>223</v>
      </c>
      <c r="E9" s="15">
        <v>2</v>
      </c>
    </row>
    <row r="10" customHeight="1" spans="1:5">
      <c r="A10" s="36" t="s">
        <v>220</v>
      </c>
      <c r="B10" s="39" t="s">
        <v>287</v>
      </c>
      <c r="C10" s="15" t="s">
        <v>289</v>
      </c>
      <c r="D10" s="2" t="s">
        <v>223</v>
      </c>
      <c r="E10" s="15">
        <v>3</v>
      </c>
    </row>
    <row r="11" customHeight="1" spans="1:5">
      <c r="A11" s="36" t="s">
        <v>220</v>
      </c>
      <c r="B11" s="39" t="s">
        <v>287</v>
      </c>
      <c r="C11" s="15" t="s">
        <v>289</v>
      </c>
      <c r="D11" s="2" t="s">
        <v>223</v>
      </c>
      <c r="E11" s="15">
        <v>4</v>
      </c>
    </row>
    <row r="12" customHeight="1" spans="1:5">
      <c r="A12" s="36" t="s">
        <v>220</v>
      </c>
      <c r="B12" s="39" t="s">
        <v>287</v>
      </c>
      <c r="C12" s="15" t="s">
        <v>289</v>
      </c>
      <c r="D12" s="2" t="s">
        <v>223</v>
      </c>
      <c r="E12" s="15">
        <v>5</v>
      </c>
    </row>
    <row r="13" customHeight="1" spans="1:5">
      <c r="A13" s="36" t="s">
        <v>220</v>
      </c>
      <c r="B13" s="39" t="s">
        <v>287</v>
      </c>
      <c r="C13" s="14" t="s">
        <v>290</v>
      </c>
      <c r="D13" s="2" t="s">
        <v>224</v>
      </c>
      <c r="E13" s="14">
        <v>1</v>
      </c>
    </row>
    <row r="14" customHeight="1" spans="1:5">
      <c r="A14" s="36" t="s">
        <v>220</v>
      </c>
      <c r="B14" s="39" t="s">
        <v>287</v>
      </c>
      <c r="C14" s="14" t="s">
        <v>290</v>
      </c>
      <c r="D14" s="2" t="s">
        <v>224</v>
      </c>
      <c r="E14" s="14">
        <v>2</v>
      </c>
    </row>
    <row r="15" customHeight="1" spans="1:5">
      <c r="A15" s="36" t="s">
        <v>220</v>
      </c>
      <c r="B15" s="39" t="s">
        <v>287</v>
      </c>
      <c r="C15" s="14" t="s">
        <v>290</v>
      </c>
      <c r="D15" s="2" t="s">
        <v>224</v>
      </c>
      <c r="E15" s="14">
        <v>3</v>
      </c>
    </row>
    <row r="16" customHeight="1" spans="1:5">
      <c r="A16" s="36" t="s">
        <v>220</v>
      </c>
      <c r="B16" s="39" t="s">
        <v>287</v>
      </c>
      <c r="C16" s="14" t="s">
        <v>290</v>
      </c>
      <c r="D16" s="2" t="s">
        <v>224</v>
      </c>
      <c r="E16" s="14">
        <v>4</v>
      </c>
    </row>
    <row r="17" customHeight="1" spans="1:5">
      <c r="A17" s="36" t="s">
        <v>220</v>
      </c>
      <c r="B17" s="39" t="s">
        <v>287</v>
      </c>
      <c r="C17" s="14" t="s">
        <v>290</v>
      </c>
      <c r="D17" s="2" t="s">
        <v>224</v>
      </c>
      <c r="E17" s="14">
        <v>5</v>
      </c>
    </row>
    <row r="18" customFormat="1" customHeight="1" spans="1:5">
      <c r="A18" s="36" t="s">
        <v>220</v>
      </c>
      <c r="B18" s="39" t="s">
        <v>287</v>
      </c>
      <c r="C18" s="15" t="s">
        <v>290</v>
      </c>
      <c r="D18" s="2" t="s">
        <v>224</v>
      </c>
      <c r="E18" s="15">
        <v>1</v>
      </c>
    </row>
    <row r="19" customFormat="1" customHeight="1" spans="1:5">
      <c r="A19" s="36" t="s">
        <v>220</v>
      </c>
      <c r="B19" s="39" t="s">
        <v>287</v>
      </c>
      <c r="C19" s="15" t="s">
        <v>290</v>
      </c>
      <c r="D19" s="2" t="s">
        <v>224</v>
      </c>
      <c r="E19" s="15">
        <v>2</v>
      </c>
    </row>
    <row r="20" customFormat="1" customHeight="1" spans="1:5">
      <c r="A20" s="36" t="s">
        <v>220</v>
      </c>
      <c r="B20" s="39" t="s">
        <v>287</v>
      </c>
      <c r="C20" s="15" t="s">
        <v>290</v>
      </c>
      <c r="D20" s="2" t="s">
        <v>224</v>
      </c>
      <c r="E20" s="15">
        <v>3</v>
      </c>
    </row>
    <row r="21" customFormat="1" customHeight="1" spans="1:5">
      <c r="A21" s="36" t="s">
        <v>220</v>
      </c>
      <c r="B21" s="39" t="s">
        <v>287</v>
      </c>
      <c r="C21" s="15" t="s">
        <v>290</v>
      </c>
      <c r="D21" s="2" t="s">
        <v>224</v>
      </c>
      <c r="E21" s="15">
        <v>4</v>
      </c>
    </row>
    <row r="22" customFormat="1" customHeight="1" spans="1:5">
      <c r="A22" s="36" t="s">
        <v>220</v>
      </c>
      <c r="B22" s="39" t="s">
        <v>287</v>
      </c>
      <c r="C22" s="15" t="s">
        <v>290</v>
      </c>
      <c r="D22" s="2" t="s">
        <v>224</v>
      </c>
      <c r="E22" s="15">
        <v>5</v>
      </c>
    </row>
    <row r="23" customFormat="1" customHeight="1" spans="1:5">
      <c r="A23" s="36" t="s">
        <v>220</v>
      </c>
      <c r="B23" s="39" t="s">
        <v>287</v>
      </c>
      <c r="C23" s="14" t="s">
        <v>291</v>
      </c>
      <c r="D23" s="2" t="s">
        <v>225</v>
      </c>
      <c r="E23" s="14">
        <v>1</v>
      </c>
    </row>
    <row r="24" customFormat="1" customHeight="1" spans="1:5">
      <c r="A24" s="36" t="s">
        <v>220</v>
      </c>
      <c r="B24" s="39" t="s">
        <v>287</v>
      </c>
      <c r="C24" s="14" t="s">
        <v>291</v>
      </c>
      <c r="D24" s="2" t="s">
        <v>225</v>
      </c>
      <c r="E24" s="14">
        <v>2</v>
      </c>
    </row>
    <row r="25" customFormat="1" customHeight="1" spans="1:5">
      <c r="A25" s="36" t="s">
        <v>220</v>
      </c>
      <c r="B25" s="39" t="s">
        <v>287</v>
      </c>
      <c r="C25" s="14" t="s">
        <v>291</v>
      </c>
      <c r="D25" s="2" t="s">
        <v>225</v>
      </c>
      <c r="E25" s="14">
        <v>3</v>
      </c>
    </row>
    <row r="26" customHeight="1" spans="1:5">
      <c r="A26" s="36" t="s">
        <v>220</v>
      </c>
      <c r="B26" s="39" t="s">
        <v>287</v>
      </c>
      <c r="C26" s="14" t="s">
        <v>291</v>
      </c>
      <c r="D26" s="2" t="s">
        <v>225</v>
      </c>
      <c r="E26" s="14">
        <v>4</v>
      </c>
    </row>
    <row r="27" customHeight="1" spans="1:5">
      <c r="A27" s="36" t="s">
        <v>220</v>
      </c>
      <c r="B27" s="39" t="s">
        <v>287</v>
      </c>
      <c r="C27" s="14" t="s">
        <v>291</v>
      </c>
      <c r="D27" s="2" t="s">
        <v>225</v>
      </c>
      <c r="E27" s="14">
        <v>5</v>
      </c>
    </row>
    <row r="28" customHeight="1" spans="1:5">
      <c r="A28" s="36" t="s">
        <v>220</v>
      </c>
      <c r="B28" s="39" t="s">
        <v>287</v>
      </c>
      <c r="C28" s="14" t="s">
        <v>291</v>
      </c>
      <c r="D28" s="2" t="s">
        <v>225</v>
      </c>
      <c r="E28" s="14">
        <v>6</v>
      </c>
    </row>
    <row r="29" customHeight="1" spans="1:5">
      <c r="A29" s="36" t="s">
        <v>220</v>
      </c>
      <c r="B29" s="39" t="s">
        <v>287</v>
      </c>
      <c r="C29" s="14" t="s">
        <v>291</v>
      </c>
      <c r="D29" s="2" t="s">
        <v>225</v>
      </c>
      <c r="E29" s="14">
        <v>7</v>
      </c>
    </row>
    <row r="30" customHeight="1" spans="1:5">
      <c r="A30" s="36" t="s">
        <v>220</v>
      </c>
      <c r="B30" s="39" t="s">
        <v>287</v>
      </c>
      <c r="C30" s="14" t="s">
        <v>291</v>
      </c>
      <c r="D30" s="2" t="s">
        <v>225</v>
      </c>
      <c r="E30" s="14">
        <v>8</v>
      </c>
    </row>
    <row r="31" customHeight="1" spans="1:5">
      <c r="A31" s="36" t="s">
        <v>220</v>
      </c>
      <c r="B31" s="40" t="s">
        <v>292</v>
      </c>
      <c r="C31" s="15" t="s">
        <v>293</v>
      </c>
      <c r="D31" s="2" t="s">
        <v>222</v>
      </c>
      <c r="E31" s="15">
        <v>1</v>
      </c>
    </row>
    <row r="32" customHeight="1" spans="1:5">
      <c r="A32" s="36" t="s">
        <v>220</v>
      </c>
      <c r="B32" s="40" t="s">
        <v>292</v>
      </c>
      <c r="C32" s="15" t="s">
        <v>293</v>
      </c>
      <c r="D32" s="2" t="s">
        <v>222</v>
      </c>
      <c r="E32" s="15">
        <v>2</v>
      </c>
    </row>
    <row r="33" customHeight="1" spans="1:5">
      <c r="A33" s="36" t="s">
        <v>220</v>
      </c>
      <c r="B33" s="40" t="s">
        <v>292</v>
      </c>
      <c r="C33" s="15" t="s">
        <v>293</v>
      </c>
      <c r="D33" s="2" t="s">
        <v>222</v>
      </c>
      <c r="E33" s="15">
        <v>3</v>
      </c>
    </row>
    <row r="34" customHeight="1" spans="1:5">
      <c r="A34" s="36" t="s">
        <v>220</v>
      </c>
      <c r="B34" s="40" t="s">
        <v>292</v>
      </c>
      <c r="C34" s="15" t="s">
        <v>293</v>
      </c>
      <c r="D34" s="2" t="s">
        <v>222</v>
      </c>
      <c r="E34" s="15">
        <v>4</v>
      </c>
    </row>
    <row r="35" customHeight="1" spans="1:5">
      <c r="A35" s="36" t="s">
        <v>220</v>
      </c>
      <c r="B35" s="40" t="s">
        <v>292</v>
      </c>
      <c r="C35" s="15" t="s">
        <v>293</v>
      </c>
      <c r="D35" s="2" t="s">
        <v>222</v>
      </c>
      <c r="E35" s="15">
        <v>5</v>
      </c>
    </row>
    <row r="36" customHeight="1" spans="1:5">
      <c r="A36" s="36" t="s">
        <v>220</v>
      </c>
      <c r="B36" s="40" t="s">
        <v>292</v>
      </c>
      <c r="C36" s="14" t="s">
        <v>294</v>
      </c>
      <c r="D36" s="2" t="s">
        <v>223</v>
      </c>
      <c r="E36" s="14">
        <v>1</v>
      </c>
    </row>
    <row r="37" customHeight="1" spans="1:5">
      <c r="A37" s="36" t="s">
        <v>220</v>
      </c>
      <c r="B37" s="40" t="s">
        <v>292</v>
      </c>
      <c r="C37" s="14" t="s">
        <v>294</v>
      </c>
      <c r="D37" s="2" t="s">
        <v>223</v>
      </c>
      <c r="E37" s="14">
        <v>2</v>
      </c>
    </row>
    <row r="38" customHeight="1" spans="1:5">
      <c r="A38" s="36" t="s">
        <v>220</v>
      </c>
      <c r="B38" s="40" t="s">
        <v>292</v>
      </c>
      <c r="C38" s="14" t="s">
        <v>294</v>
      </c>
      <c r="D38" s="2" t="s">
        <v>223</v>
      </c>
      <c r="E38" s="14">
        <v>3</v>
      </c>
    </row>
    <row r="39" customHeight="1" spans="1:5">
      <c r="A39" s="36" t="s">
        <v>220</v>
      </c>
      <c r="B39" s="40" t="s">
        <v>292</v>
      </c>
      <c r="C39" s="14" t="s">
        <v>294</v>
      </c>
      <c r="D39" s="2" t="s">
        <v>223</v>
      </c>
      <c r="E39" s="14">
        <v>4</v>
      </c>
    </row>
    <row r="40" customHeight="1" spans="1:5">
      <c r="A40" s="36" t="s">
        <v>220</v>
      </c>
      <c r="B40" s="40" t="s">
        <v>292</v>
      </c>
      <c r="C40" s="14" t="s">
        <v>294</v>
      </c>
      <c r="D40" s="2" t="s">
        <v>223</v>
      </c>
      <c r="E40" s="14">
        <v>5</v>
      </c>
    </row>
    <row r="41" customFormat="1" customHeight="1" spans="1:5">
      <c r="A41" s="36" t="s">
        <v>220</v>
      </c>
      <c r="B41" s="40" t="s">
        <v>292</v>
      </c>
      <c r="C41" s="15" t="s">
        <v>295</v>
      </c>
      <c r="D41" s="2" t="s">
        <v>224</v>
      </c>
      <c r="E41" s="15">
        <v>1</v>
      </c>
    </row>
    <row r="42" customFormat="1" customHeight="1" spans="1:5">
      <c r="A42" s="36" t="s">
        <v>220</v>
      </c>
      <c r="B42" s="40" t="s">
        <v>292</v>
      </c>
      <c r="C42" s="15" t="s">
        <v>295</v>
      </c>
      <c r="D42" s="2" t="s">
        <v>224</v>
      </c>
      <c r="E42" s="15">
        <v>2</v>
      </c>
    </row>
    <row r="43" customFormat="1" customHeight="1" spans="1:5">
      <c r="A43" s="36" t="s">
        <v>220</v>
      </c>
      <c r="B43" s="40" t="s">
        <v>292</v>
      </c>
      <c r="C43" s="15" t="s">
        <v>295</v>
      </c>
      <c r="D43" s="2" t="s">
        <v>224</v>
      </c>
      <c r="E43" s="15">
        <v>3</v>
      </c>
    </row>
    <row r="44" customFormat="1" customHeight="1" spans="1:5">
      <c r="A44" s="36" t="s">
        <v>220</v>
      </c>
      <c r="B44" s="40" t="s">
        <v>292</v>
      </c>
      <c r="C44" s="15" t="s">
        <v>295</v>
      </c>
      <c r="D44" s="2" t="s">
        <v>224</v>
      </c>
      <c r="E44" s="15">
        <v>4</v>
      </c>
    </row>
    <row r="45" customFormat="1" customHeight="1" spans="1:5">
      <c r="A45" s="36" t="s">
        <v>220</v>
      </c>
      <c r="B45" s="40" t="s">
        <v>292</v>
      </c>
      <c r="C45" s="15" t="s">
        <v>295</v>
      </c>
      <c r="D45" s="2" t="s">
        <v>224</v>
      </c>
      <c r="E45" s="15">
        <v>5</v>
      </c>
    </row>
    <row r="46" customFormat="1" customHeight="1" spans="1:5">
      <c r="A46" s="36" t="s">
        <v>220</v>
      </c>
      <c r="B46" s="40" t="s">
        <v>292</v>
      </c>
      <c r="C46" s="14" t="s">
        <v>295</v>
      </c>
      <c r="D46" s="2" t="s">
        <v>224</v>
      </c>
      <c r="E46" s="14">
        <v>1</v>
      </c>
    </row>
    <row r="47" customFormat="1" customHeight="1" spans="1:5">
      <c r="A47" s="36" t="s">
        <v>220</v>
      </c>
      <c r="B47" s="40" t="s">
        <v>292</v>
      </c>
      <c r="C47" s="14" t="s">
        <v>295</v>
      </c>
      <c r="D47" s="2" t="s">
        <v>224</v>
      </c>
      <c r="E47" s="14">
        <v>2</v>
      </c>
    </row>
    <row r="48" customFormat="1" customHeight="1" spans="1:5">
      <c r="A48" s="36" t="s">
        <v>220</v>
      </c>
      <c r="B48" s="40" t="s">
        <v>292</v>
      </c>
      <c r="C48" s="14" t="s">
        <v>295</v>
      </c>
      <c r="D48" s="2" t="s">
        <v>224</v>
      </c>
      <c r="E48" s="14">
        <v>3</v>
      </c>
    </row>
    <row r="49" customHeight="1" spans="1:5">
      <c r="A49" s="36" t="s">
        <v>220</v>
      </c>
      <c r="B49" s="40" t="s">
        <v>292</v>
      </c>
      <c r="C49" s="14" t="s">
        <v>295</v>
      </c>
      <c r="D49" s="2" t="s">
        <v>224</v>
      </c>
      <c r="E49" s="14">
        <v>4</v>
      </c>
    </row>
    <row r="50" customHeight="1" spans="1:5">
      <c r="A50" s="36" t="s">
        <v>220</v>
      </c>
      <c r="B50" s="40" t="s">
        <v>292</v>
      </c>
      <c r="C50" s="14" t="s">
        <v>295</v>
      </c>
      <c r="D50" s="2" t="s">
        <v>224</v>
      </c>
      <c r="E50" s="14">
        <v>5</v>
      </c>
    </row>
    <row r="51" customHeight="1" spans="1:5">
      <c r="A51" s="36" t="s">
        <v>220</v>
      </c>
      <c r="B51" s="40" t="s">
        <v>292</v>
      </c>
      <c r="C51" s="15" t="s">
        <v>296</v>
      </c>
      <c r="D51" s="2" t="s">
        <v>225</v>
      </c>
      <c r="E51" s="15">
        <v>1</v>
      </c>
    </row>
    <row r="52" customHeight="1" spans="1:5">
      <c r="A52" s="36" t="s">
        <v>220</v>
      </c>
      <c r="B52" s="40" t="s">
        <v>292</v>
      </c>
      <c r="C52" s="15" t="s">
        <v>296</v>
      </c>
      <c r="D52" s="2" t="s">
        <v>225</v>
      </c>
      <c r="E52" s="15">
        <v>2</v>
      </c>
    </row>
    <row r="53" customHeight="1" spans="1:5">
      <c r="A53" s="36" t="s">
        <v>220</v>
      </c>
      <c r="B53" s="40" t="s">
        <v>292</v>
      </c>
      <c r="C53" s="15" t="s">
        <v>296</v>
      </c>
      <c r="D53" s="2" t="s">
        <v>225</v>
      </c>
      <c r="E53" s="15">
        <v>3</v>
      </c>
    </row>
    <row r="54" customHeight="1" spans="1:5">
      <c r="A54" s="36" t="s">
        <v>220</v>
      </c>
      <c r="B54" s="40" t="s">
        <v>292</v>
      </c>
      <c r="C54" s="15" t="s">
        <v>296</v>
      </c>
      <c r="D54" s="2" t="s">
        <v>225</v>
      </c>
      <c r="E54" s="15">
        <v>4</v>
      </c>
    </row>
    <row r="55" customHeight="1" spans="1:5">
      <c r="A55" s="36" t="s">
        <v>220</v>
      </c>
      <c r="B55" s="40" t="s">
        <v>292</v>
      </c>
      <c r="C55" s="15" t="s">
        <v>296</v>
      </c>
      <c r="D55" s="2" t="s">
        <v>225</v>
      </c>
      <c r="E55" s="15">
        <v>5</v>
      </c>
    </row>
    <row r="56" customHeight="1" spans="1:5">
      <c r="A56" s="36" t="s">
        <v>220</v>
      </c>
      <c r="B56" s="40" t="s">
        <v>292</v>
      </c>
      <c r="C56" s="15" t="s">
        <v>296</v>
      </c>
      <c r="D56" s="2" t="s">
        <v>225</v>
      </c>
      <c r="E56" s="15">
        <v>6</v>
      </c>
    </row>
    <row r="57" customHeight="1" spans="1:5">
      <c r="A57" s="36" t="s">
        <v>220</v>
      </c>
      <c r="B57" s="40" t="s">
        <v>292</v>
      </c>
      <c r="C57" s="15" t="s">
        <v>296</v>
      </c>
      <c r="D57" s="2" t="s">
        <v>225</v>
      </c>
      <c r="E57" s="15">
        <v>7</v>
      </c>
    </row>
    <row r="58" customHeight="1" spans="1:5">
      <c r="A58" s="36" t="s">
        <v>220</v>
      </c>
      <c r="B58" s="40" t="s">
        <v>292</v>
      </c>
      <c r="C58" s="15" t="s">
        <v>296</v>
      </c>
      <c r="D58" s="2" t="s">
        <v>225</v>
      </c>
      <c r="E58" s="15">
        <v>8</v>
      </c>
    </row>
    <row r="59" customHeight="1" spans="1:5">
      <c r="A59" s="36" t="s">
        <v>220</v>
      </c>
      <c r="B59" s="39" t="s">
        <v>297</v>
      </c>
      <c r="C59" s="14" t="s">
        <v>298</v>
      </c>
      <c r="D59" s="2" t="s">
        <v>222</v>
      </c>
      <c r="E59" s="14">
        <v>1</v>
      </c>
    </row>
    <row r="60" customHeight="1" spans="1:5">
      <c r="A60" s="36" t="s">
        <v>220</v>
      </c>
      <c r="B60" s="39" t="s">
        <v>297</v>
      </c>
      <c r="C60" s="14" t="s">
        <v>298</v>
      </c>
      <c r="D60" s="2" t="s">
        <v>222</v>
      </c>
      <c r="E60" s="14">
        <v>2</v>
      </c>
    </row>
    <row r="61" customHeight="1" spans="1:5">
      <c r="A61" s="36" t="s">
        <v>220</v>
      </c>
      <c r="B61" s="39" t="s">
        <v>297</v>
      </c>
      <c r="C61" s="14" t="s">
        <v>298</v>
      </c>
      <c r="D61" s="2" t="s">
        <v>222</v>
      </c>
      <c r="E61" s="14">
        <v>3</v>
      </c>
    </row>
    <row r="62" customHeight="1" spans="1:5">
      <c r="A62" s="36" t="s">
        <v>220</v>
      </c>
      <c r="B62" s="39" t="s">
        <v>297</v>
      </c>
      <c r="C62" s="14" t="s">
        <v>298</v>
      </c>
      <c r="D62" s="2" t="s">
        <v>222</v>
      </c>
      <c r="E62" s="14">
        <v>4</v>
      </c>
    </row>
    <row r="63" customHeight="1" spans="1:5">
      <c r="A63" s="36" t="s">
        <v>220</v>
      </c>
      <c r="B63" s="39" t="s">
        <v>297</v>
      </c>
      <c r="C63" s="14" t="s">
        <v>298</v>
      </c>
      <c r="D63" s="2" t="s">
        <v>222</v>
      </c>
      <c r="E63" s="14">
        <v>5</v>
      </c>
    </row>
    <row r="64" customHeight="1" spans="1:5">
      <c r="A64" s="36" t="s">
        <v>220</v>
      </c>
      <c r="B64" s="39" t="s">
        <v>297</v>
      </c>
      <c r="C64" s="15" t="s">
        <v>299</v>
      </c>
      <c r="D64" s="2" t="s">
        <v>224</v>
      </c>
      <c r="E64" s="15">
        <v>1</v>
      </c>
    </row>
    <row r="65" customHeight="1" spans="1:5">
      <c r="A65" s="36" t="s">
        <v>220</v>
      </c>
      <c r="B65" s="39" t="s">
        <v>297</v>
      </c>
      <c r="C65" s="15" t="s">
        <v>299</v>
      </c>
      <c r="D65" s="2" t="s">
        <v>224</v>
      </c>
      <c r="E65" s="15">
        <v>2</v>
      </c>
    </row>
    <row r="66" customHeight="1" spans="1:5">
      <c r="A66" s="36" t="s">
        <v>220</v>
      </c>
      <c r="B66" s="39" t="s">
        <v>297</v>
      </c>
      <c r="C66" s="15" t="s">
        <v>299</v>
      </c>
      <c r="D66" s="2" t="s">
        <v>224</v>
      </c>
      <c r="E66" s="15">
        <v>3</v>
      </c>
    </row>
    <row r="67" customHeight="1" spans="1:5">
      <c r="A67" s="36" t="s">
        <v>220</v>
      </c>
      <c r="B67" s="39" t="s">
        <v>297</v>
      </c>
      <c r="C67" s="15" t="s">
        <v>299</v>
      </c>
      <c r="D67" s="2" t="s">
        <v>224</v>
      </c>
      <c r="E67" s="15">
        <v>4</v>
      </c>
    </row>
    <row r="68" customHeight="1" spans="1:5">
      <c r="A68" s="36" t="s">
        <v>220</v>
      </c>
      <c r="B68" s="39" t="s">
        <v>297</v>
      </c>
      <c r="C68" s="15" t="s">
        <v>299</v>
      </c>
      <c r="D68" s="2" t="s">
        <v>224</v>
      </c>
      <c r="E68" s="15">
        <v>5</v>
      </c>
    </row>
    <row r="69" customHeight="1" spans="1:5">
      <c r="A69" s="36" t="s">
        <v>220</v>
      </c>
      <c r="B69" s="39" t="s">
        <v>297</v>
      </c>
      <c r="C69" s="14" t="s">
        <v>299</v>
      </c>
      <c r="D69" s="2" t="s">
        <v>224</v>
      </c>
      <c r="E69" s="14">
        <v>1</v>
      </c>
    </row>
    <row r="70" customHeight="1" spans="1:5">
      <c r="A70" s="36" t="s">
        <v>220</v>
      </c>
      <c r="B70" s="39" t="s">
        <v>297</v>
      </c>
      <c r="C70" s="14" t="s">
        <v>299</v>
      </c>
      <c r="D70" s="2" t="s">
        <v>224</v>
      </c>
      <c r="E70" s="14">
        <v>2</v>
      </c>
    </row>
    <row r="71" customHeight="1" spans="1:5">
      <c r="A71" s="36" t="s">
        <v>220</v>
      </c>
      <c r="B71" s="39" t="s">
        <v>297</v>
      </c>
      <c r="C71" s="14" t="s">
        <v>299</v>
      </c>
      <c r="D71" s="2" t="s">
        <v>224</v>
      </c>
      <c r="E71" s="14">
        <v>3</v>
      </c>
    </row>
    <row r="72" customHeight="1" spans="1:5">
      <c r="A72" s="36" t="s">
        <v>220</v>
      </c>
      <c r="B72" s="39" t="s">
        <v>297</v>
      </c>
      <c r="C72" s="14" t="s">
        <v>299</v>
      </c>
      <c r="D72" s="2" t="s">
        <v>224</v>
      </c>
      <c r="E72" s="14">
        <v>4</v>
      </c>
    </row>
    <row r="73" customHeight="1" spans="1:5">
      <c r="A73" s="36" t="s">
        <v>220</v>
      </c>
      <c r="B73" s="39" t="s">
        <v>297</v>
      </c>
      <c r="C73" s="14" t="s">
        <v>299</v>
      </c>
      <c r="D73" s="2" t="s">
        <v>224</v>
      </c>
      <c r="E73" s="14">
        <v>5</v>
      </c>
    </row>
    <row r="74" customHeight="1" spans="1:5">
      <c r="A74" s="36" t="s">
        <v>220</v>
      </c>
      <c r="B74" s="39" t="s">
        <v>297</v>
      </c>
      <c r="C74" s="15" t="s">
        <v>300</v>
      </c>
      <c r="D74" s="2" t="s">
        <v>225</v>
      </c>
      <c r="E74" s="15">
        <v>1</v>
      </c>
    </row>
    <row r="75" customHeight="1" spans="1:5">
      <c r="A75" s="36" t="s">
        <v>220</v>
      </c>
      <c r="B75" s="39" t="s">
        <v>297</v>
      </c>
      <c r="C75" s="15" t="s">
        <v>300</v>
      </c>
      <c r="D75" s="2" t="s">
        <v>225</v>
      </c>
      <c r="E75" s="15">
        <v>2</v>
      </c>
    </row>
    <row r="76" customHeight="1" spans="1:5">
      <c r="A76" s="36" t="s">
        <v>220</v>
      </c>
      <c r="B76" s="39" t="s">
        <v>297</v>
      </c>
      <c r="C76" s="15" t="s">
        <v>300</v>
      </c>
      <c r="D76" s="2" t="s">
        <v>225</v>
      </c>
      <c r="E76" s="15">
        <v>3</v>
      </c>
    </row>
    <row r="77" customHeight="1" spans="1:5">
      <c r="A77" s="36" t="s">
        <v>220</v>
      </c>
      <c r="B77" s="39" t="s">
        <v>297</v>
      </c>
      <c r="C77" s="15" t="s">
        <v>300</v>
      </c>
      <c r="D77" s="2" t="s">
        <v>225</v>
      </c>
      <c r="E77" s="15">
        <v>4</v>
      </c>
    </row>
    <row r="78" customHeight="1" spans="1:5">
      <c r="A78" s="36" t="s">
        <v>220</v>
      </c>
      <c r="B78" s="39" t="s">
        <v>297</v>
      </c>
      <c r="C78" s="15" t="s">
        <v>300</v>
      </c>
      <c r="D78" s="2" t="s">
        <v>225</v>
      </c>
      <c r="E78" s="15">
        <v>5</v>
      </c>
    </row>
    <row r="79" customHeight="1" spans="1:5">
      <c r="A79" s="36" t="s">
        <v>220</v>
      </c>
      <c r="B79" s="39" t="s">
        <v>297</v>
      </c>
      <c r="C79" s="15" t="s">
        <v>300</v>
      </c>
      <c r="D79" s="2" t="s">
        <v>225</v>
      </c>
      <c r="E79" s="15">
        <v>6</v>
      </c>
    </row>
    <row r="80" customHeight="1" spans="1:5">
      <c r="A80" s="36" t="s">
        <v>220</v>
      </c>
      <c r="B80" s="39" t="s">
        <v>297</v>
      </c>
      <c r="C80" s="15" t="s">
        <v>300</v>
      </c>
      <c r="D80" s="2" t="s">
        <v>225</v>
      </c>
      <c r="E80" s="15">
        <v>7</v>
      </c>
    </row>
    <row r="81" customHeight="1" spans="1:5">
      <c r="A81" s="36" t="s">
        <v>220</v>
      </c>
      <c r="B81" s="39" t="s">
        <v>297</v>
      </c>
      <c r="C81" s="15" t="s">
        <v>300</v>
      </c>
      <c r="D81" s="2" t="s">
        <v>225</v>
      </c>
      <c r="E81" s="15">
        <v>8</v>
      </c>
    </row>
    <row r="82" customHeight="1" spans="1:5">
      <c r="A82" s="36" t="s">
        <v>220</v>
      </c>
      <c r="B82" s="40" t="s">
        <v>301</v>
      </c>
      <c r="C82" s="14" t="s">
        <v>302</v>
      </c>
      <c r="D82" s="2" t="s">
        <v>222</v>
      </c>
      <c r="E82" s="14">
        <v>1</v>
      </c>
    </row>
    <row r="83" customHeight="1" spans="1:5">
      <c r="A83" s="36" t="s">
        <v>220</v>
      </c>
      <c r="B83" s="40" t="s">
        <v>301</v>
      </c>
      <c r="C83" s="14" t="s">
        <v>302</v>
      </c>
      <c r="D83" s="2" t="s">
        <v>222</v>
      </c>
      <c r="E83" s="14">
        <v>2</v>
      </c>
    </row>
    <row r="84" customHeight="1" spans="1:5">
      <c r="A84" s="36" t="s">
        <v>220</v>
      </c>
      <c r="B84" s="40" t="s">
        <v>301</v>
      </c>
      <c r="C84" s="14" t="s">
        <v>302</v>
      </c>
      <c r="D84" s="2" t="s">
        <v>222</v>
      </c>
      <c r="E84" s="14">
        <v>3</v>
      </c>
    </row>
    <row r="85" customHeight="1" spans="1:5">
      <c r="A85" s="36" t="s">
        <v>220</v>
      </c>
      <c r="B85" s="40" t="s">
        <v>301</v>
      </c>
      <c r="C85" s="14" t="s">
        <v>302</v>
      </c>
      <c r="D85" s="2" t="s">
        <v>222</v>
      </c>
      <c r="E85" s="14">
        <v>4</v>
      </c>
    </row>
    <row r="86" customHeight="1" spans="1:5">
      <c r="A86" s="36" t="s">
        <v>220</v>
      </c>
      <c r="B86" s="40" t="s">
        <v>301</v>
      </c>
      <c r="C86" s="14" t="s">
        <v>302</v>
      </c>
      <c r="D86" s="2" t="s">
        <v>222</v>
      </c>
      <c r="E86" s="14">
        <v>5</v>
      </c>
    </row>
    <row r="87" customHeight="1" spans="1:5">
      <c r="A87" s="36" t="s">
        <v>220</v>
      </c>
      <c r="B87" s="40" t="s">
        <v>301</v>
      </c>
      <c r="C87" s="15" t="s">
        <v>303</v>
      </c>
      <c r="D87" s="2" t="s">
        <v>223</v>
      </c>
      <c r="E87" s="15">
        <v>1</v>
      </c>
    </row>
    <row r="88" customHeight="1" spans="1:5">
      <c r="A88" s="36" t="s">
        <v>220</v>
      </c>
      <c r="B88" s="40" t="s">
        <v>301</v>
      </c>
      <c r="C88" s="15" t="s">
        <v>303</v>
      </c>
      <c r="D88" s="2" t="s">
        <v>223</v>
      </c>
      <c r="E88" s="15">
        <v>2</v>
      </c>
    </row>
    <row r="89" customHeight="1" spans="1:5">
      <c r="A89" s="36" t="s">
        <v>220</v>
      </c>
      <c r="B89" s="40" t="s">
        <v>301</v>
      </c>
      <c r="C89" s="15" t="s">
        <v>303</v>
      </c>
      <c r="D89" s="2" t="s">
        <v>223</v>
      </c>
      <c r="E89" s="15">
        <v>3</v>
      </c>
    </row>
    <row r="90" customHeight="1" spans="1:5">
      <c r="A90" s="36" t="s">
        <v>220</v>
      </c>
      <c r="B90" s="40" t="s">
        <v>301</v>
      </c>
      <c r="C90" s="15" t="s">
        <v>303</v>
      </c>
      <c r="D90" s="2" t="s">
        <v>223</v>
      </c>
      <c r="E90" s="15">
        <v>4</v>
      </c>
    </row>
    <row r="91" customHeight="1" spans="1:5">
      <c r="A91" s="36" t="s">
        <v>220</v>
      </c>
      <c r="B91" s="40" t="s">
        <v>301</v>
      </c>
      <c r="C91" s="15" t="s">
        <v>303</v>
      </c>
      <c r="D91" s="2" t="s">
        <v>223</v>
      </c>
      <c r="E91" s="15">
        <v>5</v>
      </c>
    </row>
    <row r="92" customHeight="1" spans="1:5">
      <c r="A92" s="36" t="s">
        <v>220</v>
      </c>
      <c r="B92" s="40" t="s">
        <v>301</v>
      </c>
      <c r="C92" s="14" t="s">
        <v>304</v>
      </c>
      <c r="D92" s="2" t="s">
        <v>224</v>
      </c>
      <c r="E92" s="14">
        <v>1</v>
      </c>
    </row>
    <row r="93" customHeight="1" spans="1:5">
      <c r="A93" s="36" t="s">
        <v>220</v>
      </c>
      <c r="B93" s="40" t="s">
        <v>301</v>
      </c>
      <c r="C93" s="14" t="s">
        <v>304</v>
      </c>
      <c r="D93" s="2" t="s">
        <v>224</v>
      </c>
      <c r="E93" s="14">
        <v>2</v>
      </c>
    </row>
    <row r="94" customHeight="1" spans="1:5">
      <c r="A94" s="36" t="s">
        <v>220</v>
      </c>
      <c r="B94" s="40" t="s">
        <v>301</v>
      </c>
      <c r="C94" s="14" t="s">
        <v>304</v>
      </c>
      <c r="D94" s="2" t="s">
        <v>224</v>
      </c>
      <c r="E94" s="14">
        <v>3</v>
      </c>
    </row>
    <row r="95" customHeight="1" spans="1:5">
      <c r="A95" s="36" t="s">
        <v>220</v>
      </c>
      <c r="B95" s="40" t="s">
        <v>301</v>
      </c>
      <c r="C95" s="14" t="s">
        <v>304</v>
      </c>
      <c r="D95" s="2" t="s">
        <v>224</v>
      </c>
      <c r="E95" s="14">
        <v>4</v>
      </c>
    </row>
    <row r="96" customHeight="1" spans="1:5">
      <c r="A96" s="36" t="s">
        <v>220</v>
      </c>
      <c r="B96" s="40" t="s">
        <v>301</v>
      </c>
      <c r="C96" s="14" t="s">
        <v>304</v>
      </c>
      <c r="D96" s="2" t="s">
        <v>224</v>
      </c>
      <c r="E96" s="14">
        <v>5</v>
      </c>
    </row>
    <row r="97" customHeight="1" spans="1:5">
      <c r="A97" s="36" t="s">
        <v>220</v>
      </c>
      <c r="B97" s="40" t="s">
        <v>301</v>
      </c>
      <c r="C97" s="15" t="s">
        <v>304</v>
      </c>
      <c r="D97" s="2" t="s">
        <v>224</v>
      </c>
      <c r="E97" s="15">
        <v>1</v>
      </c>
    </row>
    <row r="98" customHeight="1" spans="1:5">
      <c r="A98" s="36" t="s">
        <v>220</v>
      </c>
      <c r="B98" s="40" t="s">
        <v>301</v>
      </c>
      <c r="C98" s="15" t="s">
        <v>304</v>
      </c>
      <c r="D98" s="2" t="s">
        <v>224</v>
      </c>
      <c r="E98" s="15">
        <v>2</v>
      </c>
    </row>
    <row r="99" customHeight="1" spans="1:5">
      <c r="A99" s="36" t="s">
        <v>220</v>
      </c>
      <c r="B99" s="40" t="s">
        <v>301</v>
      </c>
      <c r="C99" s="15" t="s">
        <v>304</v>
      </c>
      <c r="D99" s="2" t="s">
        <v>224</v>
      </c>
      <c r="E99" s="15">
        <v>3</v>
      </c>
    </row>
    <row r="100" customHeight="1" spans="1:5">
      <c r="A100" s="36" t="s">
        <v>220</v>
      </c>
      <c r="B100" s="40" t="s">
        <v>301</v>
      </c>
      <c r="C100" s="15" t="s">
        <v>304</v>
      </c>
      <c r="D100" s="2" t="s">
        <v>224</v>
      </c>
      <c r="E100" s="15">
        <v>4</v>
      </c>
    </row>
    <row r="101" customHeight="1" spans="1:5">
      <c r="A101" s="36" t="s">
        <v>220</v>
      </c>
      <c r="B101" s="40" t="s">
        <v>301</v>
      </c>
      <c r="C101" s="15" t="s">
        <v>304</v>
      </c>
      <c r="D101" s="2" t="s">
        <v>224</v>
      </c>
      <c r="E101" s="15">
        <v>5</v>
      </c>
    </row>
    <row r="102" customHeight="1" spans="1:5">
      <c r="A102" s="36" t="s">
        <v>220</v>
      </c>
      <c r="B102" s="40" t="s">
        <v>301</v>
      </c>
      <c r="C102" s="14" t="s">
        <v>305</v>
      </c>
      <c r="D102" s="2" t="s">
        <v>225</v>
      </c>
      <c r="E102" s="14">
        <v>1</v>
      </c>
    </row>
    <row r="103" customHeight="1" spans="1:5">
      <c r="A103" s="36" t="s">
        <v>220</v>
      </c>
      <c r="B103" s="40" t="s">
        <v>301</v>
      </c>
      <c r="C103" s="14" t="s">
        <v>305</v>
      </c>
      <c r="D103" s="2" t="s">
        <v>225</v>
      </c>
      <c r="E103" s="14">
        <v>2</v>
      </c>
    </row>
    <row r="104" customHeight="1" spans="1:5">
      <c r="A104" s="36" t="s">
        <v>220</v>
      </c>
      <c r="B104" s="40" t="s">
        <v>301</v>
      </c>
      <c r="C104" s="14" t="s">
        <v>305</v>
      </c>
      <c r="D104" s="2" t="s">
        <v>225</v>
      </c>
      <c r="E104" s="14">
        <v>3</v>
      </c>
    </row>
    <row r="105" customHeight="1" spans="1:5">
      <c r="A105" s="36" t="s">
        <v>220</v>
      </c>
      <c r="B105" s="40" t="s">
        <v>301</v>
      </c>
      <c r="C105" s="14" t="s">
        <v>305</v>
      </c>
      <c r="D105" s="2" t="s">
        <v>225</v>
      </c>
      <c r="E105" s="14">
        <v>4</v>
      </c>
    </row>
    <row r="106" customHeight="1" spans="1:5">
      <c r="A106" s="36" t="s">
        <v>220</v>
      </c>
      <c r="B106" s="40" t="s">
        <v>301</v>
      </c>
      <c r="C106" s="14" t="s">
        <v>305</v>
      </c>
      <c r="D106" s="2" t="s">
        <v>225</v>
      </c>
      <c r="E106" s="14">
        <v>5</v>
      </c>
    </row>
    <row r="107" customHeight="1" spans="1:5">
      <c r="A107" s="36" t="s">
        <v>220</v>
      </c>
      <c r="B107" s="40" t="s">
        <v>301</v>
      </c>
      <c r="C107" s="14" t="s">
        <v>305</v>
      </c>
      <c r="D107" s="2" t="s">
        <v>225</v>
      </c>
      <c r="E107" s="14">
        <v>6</v>
      </c>
    </row>
    <row r="108" customHeight="1" spans="1:5">
      <c r="A108" s="36" t="s">
        <v>220</v>
      </c>
      <c r="B108" s="40" t="s">
        <v>301</v>
      </c>
      <c r="C108" s="14" t="s">
        <v>305</v>
      </c>
      <c r="D108" s="2" t="s">
        <v>225</v>
      </c>
      <c r="E108" s="14">
        <v>7</v>
      </c>
    </row>
    <row r="109" customHeight="1" spans="1:5">
      <c r="A109" s="36" t="s">
        <v>220</v>
      </c>
      <c r="B109" s="40" t="s">
        <v>301</v>
      </c>
      <c r="C109" s="14" t="s">
        <v>305</v>
      </c>
      <c r="D109" s="2" t="s">
        <v>225</v>
      </c>
      <c r="E109" s="14">
        <v>8</v>
      </c>
    </row>
    <row r="110" customHeight="1" spans="1:5">
      <c r="A110" s="36" t="s">
        <v>220</v>
      </c>
      <c r="B110" s="39" t="s">
        <v>306</v>
      </c>
      <c r="C110" s="15" t="s">
        <v>307</v>
      </c>
      <c r="D110" s="2" t="s">
        <v>222</v>
      </c>
      <c r="E110" s="15">
        <v>1</v>
      </c>
    </row>
    <row r="111" customHeight="1" spans="1:5">
      <c r="A111" s="36" t="s">
        <v>220</v>
      </c>
      <c r="B111" s="39" t="s">
        <v>306</v>
      </c>
      <c r="C111" s="15" t="s">
        <v>307</v>
      </c>
      <c r="D111" s="2" t="s">
        <v>222</v>
      </c>
      <c r="E111" s="15">
        <v>2</v>
      </c>
    </row>
    <row r="112" customHeight="1" spans="1:5">
      <c r="A112" s="36" t="s">
        <v>220</v>
      </c>
      <c r="B112" s="39" t="s">
        <v>306</v>
      </c>
      <c r="C112" s="15" t="s">
        <v>307</v>
      </c>
      <c r="D112" s="2" t="s">
        <v>222</v>
      </c>
      <c r="E112" s="15">
        <v>3</v>
      </c>
    </row>
    <row r="113" customHeight="1" spans="1:5">
      <c r="A113" s="36" t="s">
        <v>220</v>
      </c>
      <c r="B113" s="39" t="s">
        <v>306</v>
      </c>
      <c r="C113" s="15" t="s">
        <v>307</v>
      </c>
      <c r="D113" s="2" t="s">
        <v>222</v>
      </c>
      <c r="E113" s="15">
        <v>4</v>
      </c>
    </row>
    <row r="114" customHeight="1" spans="1:5">
      <c r="A114" s="36" t="s">
        <v>220</v>
      </c>
      <c r="B114" s="39" t="s">
        <v>306</v>
      </c>
      <c r="C114" s="15" t="s">
        <v>307</v>
      </c>
      <c r="D114" s="2" t="s">
        <v>222</v>
      </c>
      <c r="E114" s="15">
        <v>5</v>
      </c>
    </row>
    <row r="115" customHeight="1" spans="1:5">
      <c r="A115" s="36" t="s">
        <v>220</v>
      </c>
      <c r="B115" s="39" t="s">
        <v>306</v>
      </c>
      <c r="C115" s="14" t="s">
        <v>308</v>
      </c>
      <c r="D115" s="2" t="s">
        <v>223</v>
      </c>
      <c r="E115" s="14">
        <v>1</v>
      </c>
    </row>
    <row r="116" customHeight="1" spans="1:5">
      <c r="A116" s="36" t="s">
        <v>220</v>
      </c>
      <c r="B116" s="39" t="s">
        <v>306</v>
      </c>
      <c r="C116" s="14" t="s">
        <v>308</v>
      </c>
      <c r="D116" s="2" t="s">
        <v>223</v>
      </c>
      <c r="E116" s="14">
        <v>2</v>
      </c>
    </row>
    <row r="117" customHeight="1" spans="1:5">
      <c r="A117" s="36" t="s">
        <v>220</v>
      </c>
      <c r="B117" s="39" t="s">
        <v>306</v>
      </c>
      <c r="C117" s="14" t="s">
        <v>308</v>
      </c>
      <c r="D117" s="2" t="s">
        <v>223</v>
      </c>
      <c r="E117" s="14">
        <v>3</v>
      </c>
    </row>
    <row r="118" customHeight="1" spans="1:5">
      <c r="A118" s="36" t="s">
        <v>220</v>
      </c>
      <c r="B118" s="39" t="s">
        <v>306</v>
      </c>
      <c r="C118" s="14" t="s">
        <v>308</v>
      </c>
      <c r="D118" s="2" t="s">
        <v>223</v>
      </c>
      <c r="E118" s="14">
        <v>4</v>
      </c>
    </row>
    <row r="119" customHeight="1" spans="1:5">
      <c r="A119" s="36" t="s">
        <v>220</v>
      </c>
      <c r="B119" s="39" t="s">
        <v>306</v>
      </c>
      <c r="C119" s="14" t="s">
        <v>308</v>
      </c>
      <c r="D119" s="2" t="s">
        <v>223</v>
      </c>
      <c r="E119" s="14">
        <v>5</v>
      </c>
    </row>
    <row r="120" customHeight="1" spans="1:5">
      <c r="A120" s="36" t="s">
        <v>220</v>
      </c>
      <c r="B120" s="39" t="s">
        <v>306</v>
      </c>
      <c r="C120" s="15" t="s">
        <v>309</v>
      </c>
      <c r="D120" s="2" t="s">
        <v>224</v>
      </c>
      <c r="E120" s="15">
        <v>1</v>
      </c>
    </row>
    <row r="121" customHeight="1" spans="1:5">
      <c r="A121" s="36" t="s">
        <v>220</v>
      </c>
      <c r="B121" s="39" t="s">
        <v>306</v>
      </c>
      <c r="C121" s="15" t="s">
        <v>309</v>
      </c>
      <c r="D121" s="2" t="s">
        <v>224</v>
      </c>
      <c r="E121" s="15">
        <v>2</v>
      </c>
    </row>
    <row r="122" customHeight="1" spans="1:5">
      <c r="A122" s="36" t="s">
        <v>220</v>
      </c>
      <c r="B122" s="39" t="s">
        <v>306</v>
      </c>
      <c r="C122" s="15" t="s">
        <v>309</v>
      </c>
      <c r="D122" s="2" t="s">
        <v>224</v>
      </c>
      <c r="E122" s="15">
        <v>3</v>
      </c>
    </row>
    <row r="123" customHeight="1" spans="1:5">
      <c r="A123" s="36" t="s">
        <v>220</v>
      </c>
      <c r="B123" s="39" t="s">
        <v>306</v>
      </c>
      <c r="C123" s="15" t="s">
        <v>309</v>
      </c>
      <c r="D123" s="2" t="s">
        <v>224</v>
      </c>
      <c r="E123" s="15">
        <v>4</v>
      </c>
    </row>
    <row r="124" customHeight="1" spans="1:5">
      <c r="A124" s="36" t="s">
        <v>220</v>
      </c>
      <c r="B124" s="39" t="s">
        <v>306</v>
      </c>
      <c r="C124" s="15" t="s">
        <v>309</v>
      </c>
      <c r="D124" s="2" t="s">
        <v>224</v>
      </c>
      <c r="E124" s="15">
        <v>5</v>
      </c>
    </row>
    <row r="125" customHeight="1" spans="1:5">
      <c r="A125" s="36" t="s">
        <v>220</v>
      </c>
      <c r="B125" s="39" t="s">
        <v>306</v>
      </c>
      <c r="C125" s="14" t="s">
        <v>309</v>
      </c>
      <c r="D125" s="2" t="s">
        <v>224</v>
      </c>
      <c r="E125" s="14">
        <v>1</v>
      </c>
    </row>
    <row r="126" customHeight="1" spans="1:5">
      <c r="A126" s="36" t="s">
        <v>220</v>
      </c>
      <c r="B126" s="39" t="s">
        <v>306</v>
      </c>
      <c r="C126" s="14" t="s">
        <v>309</v>
      </c>
      <c r="D126" s="2" t="s">
        <v>224</v>
      </c>
      <c r="E126" s="14">
        <v>2</v>
      </c>
    </row>
    <row r="127" customHeight="1" spans="1:5">
      <c r="A127" s="36" t="s">
        <v>220</v>
      </c>
      <c r="B127" s="39" t="s">
        <v>306</v>
      </c>
      <c r="C127" s="14" t="s">
        <v>309</v>
      </c>
      <c r="D127" s="2" t="s">
        <v>224</v>
      </c>
      <c r="E127" s="14">
        <v>3</v>
      </c>
    </row>
    <row r="128" customHeight="1" spans="1:5">
      <c r="A128" s="36" t="s">
        <v>220</v>
      </c>
      <c r="B128" s="39" t="s">
        <v>306</v>
      </c>
      <c r="C128" s="14" t="s">
        <v>309</v>
      </c>
      <c r="D128" s="2" t="s">
        <v>224</v>
      </c>
      <c r="E128" s="14">
        <v>4</v>
      </c>
    </row>
    <row r="129" customHeight="1" spans="1:5">
      <c r="A129" s="36" t="s">
        <v>220</v>
      </c>
      <c r="B129" s="39" t="s">
        <v>306</v>
      </c>
      <c r="C129" s="14" t="s">
        <v>309</v>
      </c>
      <c r="D129" s="2" t="s">
        <v>224</v>
      </c>
      <c r="E129" s="14">
        <v>5</v>
      </c>
    </row>
    <row r="130" customHeight="1" spans="1:5">
      <c r="A130" s="36" t="s">
        <v>220</v>
      </c>
      <c r="B130" s="39" t="s">
        <v>306</v>
      </c>
      <c r="C130" s="15" t="s">
        <v>310</v>
      </c>
      <c r="D130" s="2" t="s">
        <v>225</v>
      </c>
      <c r="E130" s="15">
        <v>1</v>
      </c>
    </row>
    <row r="131" customHeight="1" spans="1:5">
      <c r="A131" s="36" t="s">
        <v>220</v>
      </c>
      <c r="B131" s="39" t="s">
        <v>306</v>
      </c>
      <c r="C131" s="15" t="s">
        <v>310</v>
      </c>
      <c r="D131" s="2" t="s">
        <v>225</v>
      </c>
      <c r="E131" s="15">
        <v>2</v>
      </c>
    </row>
    <row r="132" customHeight="1" spans="1:5">
      <c r="A132" s="36" t="s">
        <v>220</v>
      </c>
      <c r="B132" s="39" t="s">
        <v>306</v>
      </c>
      <c r="C132" s="15" t="s">
        <v>310</v>
      </c>
      <c r="D132" s="2" t="s">
        <v>225</v>
      </c>
      <c r="E132" s="15">
        <v>3</v>
      </c>
    </row>
    <row r="133" customHeight="1" spans="1:5">
      <c r="A133" s="36" t="s">
        <v>220</v>
      </c>
      <c r="B133" s="39" t="s">
        <v>306</v>
      </c>
      <c r="C133" s="15" t="s">
        <v>310</v>
      </c>
      <c r="D133" s="2" t="s">
        <v>225</v>
      </c>
      <c r="E133" s="15">
        <v>4</v>
      </c>
    </row>
    <row r="134" customHeight="1" spans="1:5">
      <c r="A134" s="36" t="s">
        <v>220</v>
      </c>
      <c r="B134" s="39" t="s">
        <v>306</v>
      </c>
      <c r="C134" s="15" t="s">
        <v>310</v>
      </c>
      <c r="D134" s="2" t="s">
        <v>225</v>
      </c>
      <c r="E134" s="15">
        <v>5</v>
      </c>
    </row>
    <row r="135" customHeight="1" spans="1:5">
      <c r="A135" s="36" t="s">
        <v>220</v>
      </c>
      <c r="B135" s="39" t="s">
        <v>306</v>
      </c>
      <c r="C135" s="15" t="s">
        <v>310</v>
      </c>
      <c r="D135" s="2" t="s">
        <v>225</v>
      </c>
      <c r="E135" s="15">
        <v>6</v>
      </c>
    </row>
    <row r="136" customHeight="1" spans="1:5">
      <c r="A136" s="36" t="s">
        <v>220</v>
      </c>
      <c r="B136" s="39" t="s">
        <v>306</v>
      </c>
      <c r="C136" s="15" t="s">
        <v>310</v>
      </c>
      <c r="D136" s="2" t="s">
        <v>225</v>
      </c>
      <c r="E136" s="15">
        <v>7</v>
      </c>
    </row>
    <row r="137" customHeight="1" spans="1:5">
      <c r="A137" s="36" t="s">
        <v>220</v>
      </c>
      <c r="B137" s="39" t="s">
        <v>306</v>
      </c>
      <c r="C137" s="15" t="s">
        <v>310</v>
      </c>
      <c r="D137" s="2" t="s">
        <v>225</v>
      </c>
      <c r="E137" s="15">
        <v>8</v>
      </c>
    </row>
    <row r="138" customHeight="1" spans="1:5">
      <c r="A138" s="36" t="s">
        <v>220</v>
      </c>
      <c r="B138" s="40" t="s">
        <v>311</v>
      </c>
      <c r="C138" s="14" t="s">
        <v>312</v>
      </c>
      <c r="D138" s="2" t="s">
        <v>222</v>
      </c>
      <c r="E138" s="14">
        <v>1</v>
      </c>
    </row>
    <row r="139" customHeight="1" spans="1:5">
      <c r="A139" s="36" t="s">
        <v>220</v>
      </c>
      <c r="B139" s="40" t="s">
        <v>311</v>
      </c>
      <c r="C139" s="14" t="s">
        <v>312</v>
      </c>
      <c r="D139" s="2" t="s">
        <v>222</v>
      </c>
      <c r="E139" s="14">
        <v>2</v>
      </c>
    </row>
    <row r="140" customHeight="1" spans="1:5">
      <c r="A140" s="36" t="s">
        <v>220</v>
      </c>
      <c r="B140" s="40" t="s">
        <v>311</v>
      </c>
      <c r="C140" s="14" t="s">
        <v>312</v>
      </c>
      <c r="D140" s="2" t="s">
        <v>222</v>
      </c>
      <c r="E140" s="14">
        <v>3</v>
      </c>
    </row>
    <row r="141" customHeight="1" spans="1:5">
      <c r="A141" s="36" t="s">
        <v>220</v>
      </c>
      <c r="B141" s="40" t="s">
        <v>311</v>
      </c>
      <c r="C141" s="14" t="s">
        <v>312</v>
      </c>
      <c r="D141" s="2" t="s">
        <v>222</v>
      </c>
      <c r="E141" s="14">
        <v>4</v>
      </c>
    </row>
    <row r="142" customHeight="1" spans="1:5">
      <c r="A142" s="36" t="s">
        <v>220</v>
      </c>
      <c r="B142" s="40" t="s">
        <v>311</v>
      </c>
      <c r="C142" s="14" t="s">
        <v>312</v>
      </c>
      <c r="D142" s="2" t="s">
        <v>222</v>
      </c>
      <c r="E142" s="14">
        <v>5</v>
      </c>
    </row>
    <row r="143" customHeight="1" spans="1:5">
      <c r="A143" s="36" t="s">
        <v>220</v>
      </c>
      <c r="B143" s="40" t="s">
        <v>311</v>
      </c>
      <c r="C143" s="15" t="s">
        <v>313</v>
      </c>
      <c r="D143" s="2" t="s">
        <v>223</v>
      </c>
      <c r="E143" s="15">
        <v>1</v>
      </c>
    </row>
    <row r="144" customHeight="1" spans="1:5">
      <c r="A144" s="36" t="s">
        <v>220</v>
      </c>
      <c r="B144" s="40" t="s">
        <v>311</v>
      </c>
      <c r="C144" s="15" t="s">
        <v>313</v>
      </c>
      <c r="D144" s="2" t="s">
        <v>223</v>
      </c>
      <c r="E144" s="15">
        <v>2</v>
      </c>
    </row>
    <row r="145" customHeight="1" spans="1:5">
      <c r="A145" s="36" t="s">
        <v>220</v>
      </c>
      <c r="B145" s="40" t="s">
        <v>311</v>
      </c>
      <c r="C145" s="15" t="s">
        <v>313</v>
      </c>
      <c r="D145" s="2" t="s">
        <v>223</v>
      </c>
      <c r="E145" s="15">
        <v>3</v>
      </c>
    </row>
    <row r="146" customHeight="1" spans="1:5">
      <c r="A146" s="36" t="s">
        <v>220</v>
      </c>
      <c r="B146" s="40" t="s">
        <v>311</v>
      </c>
      <c r="C146" s="15" t="s">
        <v>313</v>
      </c>
      <c r="D146" s="2" t="s">
        <v>223</v>
      </c>
      <c r="E146" s="15">
        <v>4</v>
      </c>
    </row>
    <row r="147" customHeight="1" spans="1:5">
      <c r="A147" s="36" t="s">
        <v>220</v>
      </c>
      <c r="B147" s="40" t="s">
        <v>311</v>
      </c>
      <c r="C147" s="15" t="s">
        <v>313</v>
      </c>
      <c r="D147" s="2" t="s">
        <v>223</v>
      </c>
      <c r="E147" s="15">
        <v>5</v>
      </c>
    </row>
    <row r="148" customHeight="1" spans="1:5">
      <c r="A148" s="36" t="s">
        <v>220</v>
      </c>
      <c r="B148" s="40" t="s">
        <v>311</v>
      </c>
      <c r="C148" s="14" t="s">
        <v>314</v>
      </c>
      <c r="D148" s="2" t="s">
        <v>224</v>
      </c>
      <c r="E148" s="14">
        <v>1</v>
      </c>
    </row>
    <row r="149" customHeight="1" spans="1:5">
      <c r="A149" s="36" t="s">
        <v>220</v>
      </c>
      <c r="B149" s="40" t="s">
        <v>311</v>
      </c>
      <c r="C149" s="14" t="s">
        <v>314</v>
      </c>
      <c r="D149" s="2" t="s">
        <v>224</v>
      </c>
      <c r="E149" s="14">
        <v>2</v>
      </c>
    </row>
    <row r="150" customHeight="1" spans="1:5">
      <c r="A150" s="36" t="s">
        <v>220</v>
      </c>
      <c r="B150" s="40" t="s">
        <v>311</v>
      </c>
      <c r="C150" s="14" t="s">
        <v>314</v>
      </c>
      <c r="D150" s="2" t="s">
        <v>224</v>
      </c>
      <c r="E150" s="14">
        <v>3</v>
      </c>
    </row>
    <row r="151" customHeight="1" spans="1:5">
      <c r="A151" s="36" t="s">
        <v>220</v>
      </c>
      <c r="B151" s="40" t="s">
        <v>311</v>
      </c>
      <c r="C151" s="14" t="s">
        <v>314</v>
      </c>
      <c r="D151" s="2" t="s">
        <v>224</v>
      </c>
      <c r="E151" s="14">
        <v>4</v>
      </c>
    </row>
    <row r="152" customHeight="1" spans="1:5">
      <c r="A152" s="36" t="s">
        <v>220</v>
      </c>
      <c r="B152" s="40" t="s">
        <v>311</v>
      </c>
      <c r="C152" s="14" t="s">
        <v>314</v>
      </c>
      <c r="D152" s="2" t="s">
        <v>224</v>
      </c>
      <c r="E152" s="14">
        <v>5</v>
      </c>
    </row>
    <row r="153" customHeight="1" spans="1:5">
      <c r="A153" s="36" t="s">
        <v>220</v>
      </c>
      <c r="B153" s="40" t="s">
        <v>311</v>
      </c>
      <c r="C153" s="15" t="s">
        <v>314</v>
      </c>
      <c r="D153" s="2" t="s">
        <v>224</v>
      </c>
      <c r="E153" s="15">
        <v>1</v>
      </c>
    </row>
    <row r="154" customHeight="1" spans="1:5">
      <c r="A154" s="36" t="s">
        <v>220</v>
      </c>
      <c r="B154" s="40" t="s">
        <v>311</v>
      </c>
      <c r="C154" s="15" t="s">
        <v>314</v>
      </c>
      <c r="D154" s="2" t="s">
        <v>224</v>
      </c>
      <c r="E154" s="15">
        <v>2</v>
      </c>
    </row>
    <row r="155" customHeight="1" spans="1:5">
      <c r="A155" s="36" t="s">
        <v>220</v>
      </c>
      <c r="B155" s="40" t="s">
        <v>311</v>
      </c>
      <c r="C155" s="15" t="s">
        <v>314</v>
      </c>
      <c r="D155" s="2" t="s">
        <v>224</v>
      </c>
      <c r="E155" s="15">
        <v>3</v>
      </c>
    </row>
    <row r="156" customHeight="1" spans="1:5">
      <c r="A156" s="36" t="s">
        <v>220</v>
      </c>
      <c r="B156" s="40" t="s">
        <v>311</v>
      </c>
      <c r="C156" s="15" t="s">
        <v>314</v>
      </c>
      <c r="D156" s="2" t="s">
        <v>224</v>
      </c>
      <c r="E156" s="15">
        <v>4</v>
      </c>
    </row>
    <row r="157" customHeight="1" spans="1:5">
      <c r="A157" s="36" t="s">
        <v>220</v>
      </c>
      <c r="B157" s="40" t="s">
        <v>311</v>
      </c>
      <c r="C157" s="15" t="s">
        <v>314</v>
      </c>
      <c r="D157" s="2" t="s">
        <v>224</v>
      </c>
      <c r="E157" s="15">
        <v>5</v>
      </c>
    </row>
    <row r="158" customHeight="1" spans="1:5">
      <c r="A158" s="36" t="s">
        <v>220</v>
      </c>
      <c r="B158" s="40" t="s">
        <v>311</v>
      </c>
      <c r="C158" s="14" t="s">
        <v>315</v>
      </c>
      <c r="D158" s="2" t="s">
        <v>225</v>
      </c>
      <c r="E158" s="14">
        <v>1</v>
      </c>
    </row>
    <row r="159" customHeight="1" spans="1:5">
      <c r="A159" s="36" t="s">
        <v>220</v>
      </c>
      <c r="B159" s="40" t="s">
        <v>311</v>
      </c>
      <c r="C159" s="14" t="s">
        <v>315</v>
      </c>
      <c r="D159" s="2" t="s">
        <v>225</v>
      </c>
      <c r="E159" s="14">
        <v>2</v>
      </c>
    </row>
    <row r="160" customHeight="1" spans="1:5">
      <c r="A160" s="36" t="s">
        <v>220</v>
      </c>
      <c r="B160" s="40" t="s">
        <v>311</v>
      </c>
      <c r="C160" s="14" t="s">
        <v>315</v>
      </c>
      <c r="D160" s="2" t="s">
        <v>225</v>
      </c>
      <c r="E160" s="14">
        <v>3</v>
      </c>
    </row>
    <row r="161" customHeight="1" spans="1:5">
      <c r="A161" s="36" t="s">
        <v>220</v>
      </c>
      <c r="B161" s="40" t="s">
        <v>311</v>
      </c>
      <c r="C161" s="14" t="s">
        <v>315</v>
      </c>
      <c r="D161" s="2" t="s">
        <v>225</v>
      </c>
      <c r="E161" s="14">
        <v>4</v>
      </c>
    </row>
    <row r="162" customHeight="1" spans="1:5">
      <c r="A162" s="36" t="s">
        <v>220</v>
      </c>
      <c r="B162" s="40" t="s">
        <v>311</v>
      </c>
      <c r="C162" s="14" t="s">
        <v>315</v>
      </c>
      <c r="D162" s="2" t="s">
        <v>225</v>
      </c>
      <c r="E162" s="14">
        <v>5</v>
      </c>
    </row>
    <row r="163" customHeight="1" spans="1:5">
      <c r="A163" s="36" t="s">
        <v>220</v>
      </c>
      <c r="B163" s="40" t="s">
        <v>311</v>
      </c>
      <c r="C163" s="14" t="s">
        <v>315</v>
      </c>
      <c r="D163" s="2" t="s">
        <v>225</v>
      </c>
      <c r="E163" s="14">
        <v>6</v>
      </c>
    </row>
    <row r="164" customHeight="1" spans="1:5">
      <c r="A164" s="36" t="s">
        <v>220</v>
      </c>
      <c r="B164" s="40" t="s">
        <v>311</v>
      </c>
      <c r="C164" s="14" t="s">
        <v>315</v>
      </c>
      <c r="D164" s="2" t="s">
        <v>225</v>
      </c>
      <c r="E164" s="14">
        <v>7</v>
      </c>
    </row>
    <row r="165" customHeight="1" spans="1:5">
      <c r="A165" s="36" t="s">
        <v>220</v>
      </c>
      <c r="B165" s="40" t="s">
        <v>311</v>
      </c>
      <c r="C165" s="14" t="s">
        <v>315</v>
      </c>
      <c r="D165" s="2" t="s">
        <v>225</v>
      </c>
      <c r="E165" s="14">
        <v>8</v>
      </c>
    </row>
    <row r="166" customHeight="1" spans="1:5">
      <c r="A166" s="36" t="s">
        <v>220</v>
      </c>
      <c r="B166" s="39" t="s">
        <v>316</v>
      </c>
      <c r="C166" s="15" t="s">
        <v>317</v>
      </c>
      <c r="D166" s="2" t="s">
        <v>222</v>
      </c>
      <c r="E166" s="15">
        <v>1</v>
      </c>
    </row>
    <row r="167" customHeight="1" spans="1:5">
      <c r="A167" s="36" t="s">
        <v>220</v>
      </c>
      <c r="B167" s="39" t="s">
        <v>316</v>
      </c>
      <c r="C167" s="15" t="s">
        <v>317</v>
      </c>
      <c r="D167" s="2" t="s">
        <v>222</v>
      </c>
      <c r="E167" s="15">
        <v>2</v>
      </c>
    </row>
    <row r="168" customHeight="1" spans="1:5">
      <c r="A168" s="36" t="s">
        <v>220</v>
      </c>
      <c r="B168" s="39" t="s">
        <v>316</v>
      </c>
      <c r="C168" s="15" t="s">
        <v>317</v>
      </c>
      <c r="D168" s="2" t="s">
        <v>222</v>
      </c>
      <c r="E168" s="15">
        <v>3</v>
      </c>
    </row>
    <row r="169" customHeight="1" spans="1:5">
      <c r="A169" s="36" t="s">
        <v>220</v>
      </c>
      <c r="B169" s="39" t="s">
        <v>316</v>
      </c>
      <c r="C169" s="15" t="s">
        <v>317</v>
      </c>
      <c r="D169" s="2" t="s">
        <v>222</v>
      </c>
      <c r="E169" s="15">
        <v>4</v>
      </c>
    </row>
    <row r="170" customHeight="1" spans="1:5">
      <c r="A170" s="36" t="s">
        <v>220</v>
      </c>
      <c r="B170" s="39" t="s">
        <v>316</v>
      </c>
      <c r="C170" s="15" t="s">
        <v>317</v>
      </c>
      <c r="D170" s="2" t="s">
        <v>222</v>
      </c>
      <c r="E170" s="15">
        <v>5</v>
      </c>
    </row>
    <row r="171" customHeight="1" spans="1:5">
      <c r="A171" s="36" t="s">
        <v>220</v>
      </c>
      <c r="B171" s="39" t="s">
        <v>316</v>
      </c>
      <c r="C171" s="14" t="s">
        <v>318</v>
      </c>
      <c r="D171" s="2" t="s">
        <v>223</v>
      </c>
      <c r="E171" s="14">
        <v>1</v>
      </c>
    </row>
    <row r="172" customHeight="1" spans="1:5">
      <c r="A172" s="36" t="s">
        <v>220</v>
      </c>
      <c r="B172" s="39" t="s">
        <v>316</v>
      </c>
      <c r="C172" s="14" t="s">
        <v>318</v>
      </c>
      <c r="D172" s="2" t="s">
        <v>223</v>
      </c>
      <c r="E172" s="14">
        <v>2</v>
      </c>
    </row>
    <row r="173" customHeight="1" spans="1:5">
      <c r="A173" s="36" t="s">
        <v>220</v>
      </c>
      <c r="B173" s="39" t="s">
        <v>316</v>
      </c>
      <c r="C173" s="14" t="s">
        <v>318</v>
      </c>
      <c r="D173" s="2" t="s">
        <v>223</v>
      </c>
      <c r="E173" s="14">
        <v>3</v>
      </c>
    </row>
    <row r="174" customHeight="1" spans="1:5">
      <c r="A174" s="36" t="s">
        <v>220</v>
      </c>
      <c r="B174" s="39" t="s">
        <v>316</v>
      </c>
      <c r="C174" s="14" t="s">
        <v>318</v>
      </c>
      <c r="D174" s="2" t="s">
        <v>223</v>
      </c>
      <c r="E174" s="14">
        <v>4</v>
      </c>
    </row>
    <row r="175" customHeight="1" spans="1:5">
      <c r="A175" s="36" t="s">
        <v>220</v>
      </c>
      <c r="B175" s="39" t="s">
        <v>316</v>
      </c>
      <c r="C175" s="14" t="s">
        <v>318</v>
      </c>
      <c r="D175" s="2" t="s">
        <v>223</v>
      </c>
      <c r="E175" s="14">
        <v>5</v>
      </c>
    </row>
    <row r="176" customHeight="1" spans="1:5">
      <c r="A176" s="36" t="s">
        <v>220</v>
      </c>
      <c r="B176" s="39" t="s">
        <v>316</v>
      </c>
      <c r="C176" s="15" t="s">
        <v>319</v>
      </c>
      <c r="D176" s="2" t="s">
        <v>224</v>
      </c>
      <c r="E176" s="15">
        <v>1</v>
      </c>
    </row>
    <row r="177" customHeight="1" spans="1:5">
      <c r="A177" s="36" t="s">
        <v>220</v>
      </c>
      <c r="B177" s="39" t="s">
        <v>316</v>
      </c>
      <c r="C177" s="15" t="s">
        <v>319</v>
      </c>
      <c r="D177" s="2" t="s">
        <v>224</v>
      </c>
      <c r="E177" s="15">
        <v>2</v>
      </c>
    </row>
    <row r="178" customHeight="1" spans="1:5">
      <c r="A178" s="36" t="s">
        <v>220</v>
      </c>
      <c r="B178" s="39" t="s">
        <v>316</v>
      </c>
      <c r="C178" s="15" t="s">
        <v>319</v>
      </c>
      <c r="D178" s="2" t="s">
        <v>224</v>
      </c>
      <c r="E178" s="15">
        <v>3</v>
      </c>
    </row>
    <row r="179" customHeight="1" spans="1:5">
      <c r="A179" s="36" t="s">
        <v>220</v>
      </c>
      <c r="B179" s="39" t="s">
        <v>316</v>
      </c>
      <c r="C179" s="15" t="s">
        <v>319</v>
      </c>
      <c r="D179" s="2" t="s">
        <v>224</v>
      </c>
      <c r="E179" s="15">
        <v>4</v>
      </c>
    </row>
    <row r="180" customHeight="1" spans="1:5">
      <c r="A180" s="36" t="s">
        <v>220</v>
      </c>
      <c r="B180" s="39" t="s">
        <v>316</v>
      </c>
      <c r="C180" s="15" t="s">
        <v>319</v>
      </c>
      <c r="D180" s="2" t="s">
        <v>224</v>
      </c>
      <c r="E180" s="15">
        <v>5</v>
      </c>
    </row>
    <row r="181" customHeight="1" spans="1:5">
      <c r="A181" s="36" t="s">
        <v>220</v>
      </c>
      <c r="B181" s="39" t="s">
        <v>316</v>
      </c>
      <c r="C181" s="14" t="s">
        <v>319</v>
      </c>
      <c r="D181" s="2" t="s">
        <v>224</v>
      </c>
      <c r="E181" s="14">
        <v>1</v>
      </c>
    </row>
    <row r="182" customHeight="1" spans="1:5">
      <c r="A182" s="36" t="s">
        <v>220</v>
      </c>
      <c r="B182" s="39" t="s">
        <v>316</v>
      </c>
      <c r="C182" s="14" t="s">
        <v>319</v>
      </c>
      <c r="D182" s="2" t="s">
        <v>224</v>
      </c>
      <c r="E182" s="14">
        <v>2</v>
      </c>
    </row>
    <row r="183" customHeight="1" spans="1:5">
      <c r="A183" s="36" t="s">
        <v>220</v>
      </c>
      <c r="B183" s="39" t="s">
        <v>316</v>
      </c>
      <c r="C183" s="14" t="s">
        <v>319</v>
      </c>
      <c r="D183" s="2" t="s">
        <v>224</v>
      </c>
      <c r="E183" s="14">
        <v>3</v>
      </c>
    </row>
    <row r="184" customHeight="1" spans="1:5">
      <c r="A184" s="36" t="s">
        <v>220</v>
      </c>
      <c r="B184" s="39" t="s">
        <v>316</v>
      </c>
      <c r="C184" s="14" t="s">
        <v>319</v>
      </c>
      <c r="D184" s="2" t="s">
        <v>224</v>
      </c>
      <c r="E184" s="14">
        <v>4</v>
      </c>
    </row>
    <row r="185" customHeight="1" spans="1:5">
      <c r="A185" s="36" t="s">
        <v>220</v>
      </c>
      <c r="B185" s="39" t="s">
        <v>316</v>
      </c>
      <c r="C185" s="14" t="s">
        <v>319</v>
      </c>
      <c r="D185" s="2" t="s">
        <v>224</v>
      </c>
      <c r="E185" s="14">
        <v>5</v>
      </c>
    </row>
    <row r="186" customHeight="1" spans="1:5">
      <c r="A186" s="36" t="s">
        <v>220</v>
      </c>
      <c r="B186" s="39" t="s">
        <v>316</v>
      </c>
      <c r="C186" s="15" t="s">
        <v>320</v>
      </c>
      <c r="D186" s="2" t="s">
        <v>225</v>
      </c>
      <c r="E186" s="15">
        <v>1</v>
      </c>
    </row>
    <row r="187" customHeight="1" spans="1:5">
      <c r="A187" s="36" t="s">
        <v>220</v>
      </c>
      <c r="B187" s="39" t="s">
        <v>316</v>
      </c>
      <c r="C187" s="15" t="s">
        <v>320</v>
      </c>
      <c r="D187" s="2" t="s">
        <v>225</v>
      </c>
      <c r="E187" s="15">
        <v>2</v>
      </c>
    </row>
    <row r="188" customHeight="1" spans="1:5">
      <c r="A188" s="36" t="s">
        <v>220</v>
      </c>
      <c r="B188" s="39" t="s">
        <v>316</v>
      </c>
      <c r="C188" s="15" t="s">
        <v>320</v>
      </c>
      <c r="D188" s="2" t="s">
        <v>225</v>
      </c>
      <c r="E188" s="15">
        <v>3</v>
      </c>
    </row>
    <row r="189" customHeight="1" spans="1:5">
      <c r="A189" s="36" t="s">
        <v>220</v>
      </c>
      <c r="B189" s="39" t="s">
        <v>316</v>
      </c>
      <c r="C189" s="15" t="s">
        <v>320</v>
      </c>
      <c r="D189" s="2" t="s">
        <v>225</v>
      </c>
      <c r="E189" s="15">
        <v>4</v>
      </c>
    </row>
    <row r="190" customHeight="1" spans="1:5">
      <c r="A190" s="36" t="s">
        <v>220</v>
      </c>
      <c r="B190" s="39" t="s">
        <v>316</v>
      </c>
      <c r="C190" s="15" t="s">
        <v>320</v>
      </c>
      <c r="D190" s="2" t="s">
        <v>225</v>
      </c>
      <c r="E190" s="15">
        <v>5</v>
      </c>
    </row>
    <row r="191" customHeight="1" spans="1:5">
      <c r="A191" s="36" t="s">
        <v>220</v>
      </c>
      <c r="B191" s="39" t="s">
        <v>316</v>
      </c>
      <c r="C191" s="15" t="s">
        <v>320</v>
      </c>
      <c r="D191" s="2" t="s">
        <v>225</v>
      </c>
      <c r="E191" s="15">
        <v>6</v>
      </c>
    </row>
    <row r="192" customHeight="1" spans="1:5">
      <c r="A192" s="36" t="s">
        <v>220</v>
      </c>
      <c r="B192" s="39" t="s">
        <v>316</v>
      </c>
      <c r="C192" s="15" t="s">
        <v>320</v>
      </c>
      <c r="D192" s="2" t="s">
        <v>225</v>
      </c>
      <c r="E192" s="15">
        <v>7</v>
      </c>
    </row>
    <row r="193" customHeight="1" spans="1:5">
      <c r="A193" s="36" t="s">
        <v>220</v>
      </c>
      <c r="B193" s="39" t="s">
        <v>316</v>
      </c>
      <c r="C193" s="15" t="s">
        <v>320</v>
      </c>
      <c r="D193" s="2" t="s">
        <v>225</v>
      </c>
      <c r="E193" s="15">
        <v>8</v>
      </c>
    </row>
    <row r="194" customHeight="1" spans="1:5">
      <c r="A194" s="36" t="s">
        <v>220</v>
      </c>
      <c r="B194" s="40" t="s">
        <v>321</v>
      </c>
      <c r="C194" s="14" t="s">
        <v>322</v>
      </c>
      <c r="D194" s="2" t="s">
        <v>222</v>
      </c>
      <c r="E194" s="14">
        <v>1</v>
      </c>
    </row>
    <row r="195" customHeight="1" spans="1:5">
      <c r="A195" s="36" t="s">
        <v>220</v>
      </c>
      <c r="B195" s="40" t="s">
        <v>321</v>
      </c>
      <c r="C195" s="14" t="s">
        <v>322</v>
      </c>
      <c r="D195" s="2" t="s">
        <v>222</v>
      </c>
      <c r="E195" s="14">
        <v>2</v>
      </c>
    </row>
    <row r="196" customHeight="1" spans="1:5">
      <c r="A196" s="36" t="s">
        <v>220</v>
      </c>
      <c r="B196" s="40" t="s">
        <v>321</v>
      </c>
      <c r="C196" s="14" t="s">
        <v>322</v>
      </c>
      <c r="D196" s="2" t="s">
        <v>222</v>
      </c>
      <c r="E196" s="14">
        <v>3</v>
      </c>
    </row>
    <row r="197" customHeight="1" spans="1:5">
      <c r="A197" s="36" t="s">
        <v>220</v>
      </c>
      <c r="B197" s="40" t="s">
        <v>321</v>
      </c>
      <c r="C197" s="14" t="s">
        <v>322</v>
      </c>
      <c r="D197" s="2" t="s">
        <v>222</v>
      </c>
      <c r="E197" s="14">
        <v>4</v>
      </c>
    </row>
    <row r="198" customHeight="1" spans="1:5">
      <c r="A198" s="36" t="s">
        <v>220</v>
      </c>
      <c r="B198" s="40" t="s">
        <v>321</v>
      </c>
      <c r="C198" s="14" t="s">
        <v>322</v>
      </c>
      <c r="D198" s="2" t="s">
        <v>222</v>
      </c>
      <c r="E198" s="14">
        <v>5</v>
      </c>
    </row>
    <row r="199" customHeight="1" spans="1:5">
      <c r="A199" s="36" t="s">
        <v>220</v>
      </c>
      <c r="B199" s="40" t="s">
        <v>321</v>
      </c>
      <c r="C199" s="15" t="s">
        <v>323</v>
      </c>
      <c r="D199" s="2" t="s">
        <v>224</v>
      </c>
      <c r="E199" s="15">
        <v>1</v>
      </c>
    </row>
    <row r="200" customHeight="1" spans="1:5">
      <c r="A200" s="36" t="s">
        <v>220</v>
      </c>
      <c r="B200" s="40" t="s">
        <v>321</v>
      </c>
      <c r="C200" s="15" t="s">
        <v>323</v>
      </c>
      <c r="D200" s="2" t="s">
        <v>224</v>
      </c>
      <c r="E200" s="15">
        <v>2</v>
      </c>
    </row>
    <row r="201" customHeight="1" spans="1:5">
      <c r="A201" s="36" t="s">
        <v>220</v>
      </c>
      <c r="B201" s="40" t="s">
        <v>321</v>
      </c>
      <c r="C201" s="15" t="s">
        <v>323</v>
      </c>
      <c r="D201" s="2" t="s">
        <v>224</v>
      </c>
      <c r="E201" s="15">
        <v>3</v>
      </c>
    </row>
    <row r="202" customHeight="1" spans="1:5">
      <c r="A202" s="36" t="s">
        <v>220</v>
      </c>
      <c r="B202" s="40" t="s">
        <v>321</v>
      </c>
      <c r="C202" s="15" t="s">
        <v>323</v>
      </c>
      <c r="D202" s="2" t="s">
        <v>224</v>
      </c>
      <c r="E202" s="15">
        <v>4</v>
      </c>
    </row>
    <row r="203" customHeight="1" spans="1:5">
      <c r="A203" s="36" t="s">
        <v>220</v>
      </c>
      <c r="B203" s="40" t="s">
        <v>321</v>
      </c>
      <c r="C203" s="15" t="s">
        <v>323</v>
      </c>
      <c r="D203" s="2" t="s">
        <v>224</v>
      </c>
      <c r="E203" s="15">
        <v>5</v>
      </c>
    </row>
    <row r="204" customHeight="1" spans="1:5">
      <c r="A204" s="36" t="s">
        <v>220</v>
      </c>
      <c r="B204" s="40" t="s">
        <v>321</v>
      </c>
      <c r="C204" s="14" t="s">
        <v>323</v>
      </c>
      <c r="D204" s="2" t="s">
        <v>224</v>
      </c>
      <c r="E204" s="14">
        <v>1</v>
      </c>
    </row>
    <row r="205" customHeight="1" spans="1:5">
      <c r="A205" s="36" t="s">
        <v>220</v>
      </c>
      <c r="B205" s="40" t="s">
        <v>321</v>
      </c>
      <c r="C205" s="14" t="s">
        <v>323</v>
      </c>
      <c r="D205" s="2" t="s">
        <v>224</v>
      </c>
      <c r="E205" s="14">
        <v>2</v>
      </c>
    </row>
    <row r="206" customHeight="1" spans="1:5">
      <c r="A206" s="36" t="s">
        <v>220</v>
      </c>
      <c r="B206" s="40" t="s">
        <v>321</v>
      </c>
      <c r="C206" s="14" t="s">
        <v>323</v>
      </c>
      <c r="D206" s="2" t="s">
        <v>224</v>
      </c>
      <c r="E206" s="14">
        <v>3</v>
      </c>
    </row>
    <row r="207" customHeight="1" spans="1:5">
      <c r="A207" s="36" t="s">
        <v>220</v>
      </c>
      <c r="B207" s="40" t="s">
        <v>321</v>
      </c>
      <c r="C207" s="14" t="s">
        <v>323</v>
      </c>
      <c r="D207" s="2" t="s">
        <v>224</v>
      </c>
      <c r="E207" s="14">
        <v>4</v>
      </c>
    </row>
    <row r="208" customHeight="1" spans="1:5">
      <c r="A208" s="36" t="s">
        <v>220</v>
      </c>
      <c r="B208" s="40" t="s">
        <v>321</v>
      </c>
      <c r="C208" s="14" t="s">
        <v>323</v>
      </c>
      <c r="D208" s="2" t="s">
        <v>224</v>
      </c>
      <c r="E208" s="14">
        <v>5</v>
      </c>
    </row>
    <row r="209" customHeight="1" spans="1:5">
      <c r="A209" s="36" t="s">
        <v>220</v>
      </c>
      <c r="B209" s="40" t="s">
        <v>321</v>
      </c>
      <c r="C209" s="15" t="s">
        <v>324</v>
      </c>
      <c r="D209" s="2" t="s">
        <v>225</v>
      </c>
      <c r="E209" s="15">
        <v>1</v>
      </c>
    </row>
    <row r="210" customHeight="1" spans="1:5">
      <c r="A210" s="36" t="s">
        <v>220</v>
      </c>
      <c r="B210" s="40" t="s">
        <v>321</v>
      </c>
      <c r="C210" s="15" t="s">
        <v>324</v>
      </c>
      <c r="D210" s="2" t="s">
        <v>225</v>
      </c>
      <c r="E210" s="15">
        <v>2</v>
      </c>
    </row>
    <row r="211" customHeight="1" spans="1:5">
      <c r="A211" s="36" t="s">
        <v>220</v>
      </c>
      <c r="B211" s="40" t="s">
        <v>321</v>
      </c>
      <c r="C211" s="15" t="s">
        <v>324</v>
      </c>
      <c r="D211" s="2" t="s">
        <v>225</v>
      </c>
      <c r="E211" s="15">
        <v>3</v>
      </c>
    </row>
    <row r="212" customHeight="1" spans="1:5">
      <c r="A212" s="36" t="s">
        <v>220</v>
      </c>
      <c r="B212" s="40" t="s">
        <v>321</v>
      </c>
      <c r="C212" s="15" t="s">
        <v>324</v>
      </c>
      <c r="D212" s="2" t="s">
        <v>225</v>
      </c>
      <c r="E212" s="15">
        <v>4</v>
      </c>
    </row>
    <row r="213" customHeight="1" spans="1:5">
      <c r="A213" s="36" t="s">
        <v>220</v>
      </c>
      <c r="B213" s="40" t="s">
        <v>321</v>
      </c>
      <c r="C213" s="15" t="s">
        <v>324</v>
      </c>
      <c r="D213" s="2" t="s">
        <v>225</v>
      </c>
      <c r="E213" s="15">
        <v>5</v>
      </c>
    </row>
    <row r="214" customHeight="1" spans="1:5">
      <c r="A214" s="36" t="s">
        <v>220</v>
      </c>
      <c r="B214" s="40" t="s">
        <v>321</v>
      </c>
      <c r="C214" s="15" t="s">
        <v>324</v>
      </c>
      <c r="D214" s="2" t="s">
        <v>225</v>
      </c>
      <c r="E214" s="15">
        <v>6</v>
      </c>
    </row>
    <row r="215" customHeight="1" spans="1:5">
      <c r="A215" s="36" t="s">
        <v>220</v>
      </c>
      <c r="B215" s="40" t="s">
        <v>321</v>
      </c>
      <c r="C215" s="15" t="s">
        <v>324</v>
      </c>
      <c r="D215" s="2" t="s">
        <v>225</v>
      </c>
      <c r="E215" s="15">
        <v>7</v>
      </c>
    </row>
    <row r="216" customHeight="1" spans="1:5">
      <c r="A216" s="36" t="s">
        <v>220</v>
      </c>
      <c r="B216" s="40" t="s">
        <v>321</v>
      </c>
      <c r="C216" s="15" t="s">
        <v>324</v>
      </c>
      <c r="D216" s="2" t="s">
        <v>225</v>
      </c>
      <c r="E216" s="15">
        <v>8</v>
      </c>
    </row>
    <row r="217" customHeight="1" spans="1:5">
      <c r="A217" s="36" t="s">
        <v>220</v>
      </c>
      <c r="B217" s="39" t="s">
        <v>325</v>
      </c>
      <c r="C217" s="14" t="s">
        <v>326</v>
      </c>
      <c r="D217" s="2" t="s">
        <v>222</v>
      </c>
      <c r="E217" s="14">
        <v>1</v>
      </c>
    </row>
    <row r="218" customHeight="1" spans="1:5">
      <c r="A218" s="36" t="s">
        <v>220</v>
      </c>
      <c r="B218" s="39" t="s">
        <v>325</v>
      </c>
      <c r="C218" s="14" t="s">
        <v>326</v>
      </c>
      <c r="D218" s="2" t="s">
        <v>222</v>
      </c>
      <c r="E218" s="14">
        <v>2</v>
      </c>
    </row>
    <row r="219" customHeight="1" spans="1:5">
      <c r="A219" s="36" t="s">
        <v>220</v>
      </c>
      <c r="B219" s="39" t="s">
        <v>325</v>
      </c>
      <c r="C219" s="14" t="s">
        <v>326</v>
      </c>
      <c r="D219" s="2" t="s">
        <v>222</v>
      </c>
      <c r="E219" s="14">
        <v>3</v>
      </c>
    </row>
    <row r="220" customHeight="1" spans="1:5">
      <c r="A220" s="36" t="s">
        <v>220</v>
      </c>
      <c r="B220" s="39" t="s">
        <v>325</v>
      </c>
      <c r="C220" s="14" t="s">
        <v>326</v>
      </c>
      <c r="D220" s="2" t="s">
        <v>222</v>
      </c>
      <c r="E220" s="14">
        <v>4</v>
      </c>
    </row>
    <row r="221" customHeight="1" spans="1:5">
      <c r="A221" s="36" t="s">
        <v>220</v>
      </c>
      <c r="B221" s="39" t="s">
        <v>325</v>
      </c>
      <c r="C221" s="14" t="s">
        <v>326</v>
      </c>
      <c r="D221" s="2" t="s">
        <v>222</v>
      </c>
      <c r="E221" s="14">
        <v>5</v>
      </c>
    </row>
    <row r="222" customHeight="1" spans="1:5">
      <c r="A222" s="36" t="s">
        <v>220</v>
      </c>
      <c r="B222" s="39" t="s">
        <v>325</v>
      </c>
      <c r="C222" s="15" t="s">
        <v>327</v>
      </c>
      <c r="D222" s="2" t="s">
        <v>224</v>
      </c>
      <c r="E222" s="15">
        <v>1</v>
      </c>
    </row>
    <row r="223" customHeight="1" spans="1:5">
      <c r="A223" s="36" t="s">
        <v>220</v>
      </c>
      <c r="B223" s="39" t="s">
        <v>325</v>
      </c>
      <c r="C223" s="15" t="s">
        <v>327</v>
      </c>
      <c r="D223" s="2" t="s">
        <v>224</v>
      </c>
      <c r="E223" s="15">
        <v>2</v>
      </c>
    </row>
    <row r="224" customHeight="1" spans="1:5">
      <c r="A224" s="36" t="s">
        <v>220</v>
      </c>
      <c r="B224" s="39" t="s">
        <v>325</v>
      </c>
      <c r="C224" s="15" t="s">
        <v>327</v>
      </c>
      <c r="D224" s="2" t="s">
        <v>224</v>
      </c>
      <c r="E224" s="15">
        <v>3</v>
      </c>
    </row>
    <row r="225" customHeight="1" spans="1:5">
      <c r="A225" s="36" t="s">
        <v>220</v>
      </c>
      <c r="B225" s="39" t="s">
        <v>325</v>
      </c>
      <c r="C225" s="15" t="s">
        <v>327</v>
      </c>
      <c r="D225" s="2" t="s">
        <v>224</v>
      </c>
      <c r="E225" s="15">
        <v>4</v>
      </c>
    </row>
    <row r="226" customHeight="1" spans="1:5">
      <c r="A226" s="36" t="s">
        <v>220</v>
      </c>
      <c r="B226" s="39" t="s">
        <v>325</v>
      </c>
      <c r="C226" s="15" t="s">
        <v>327</v>
      </c>
      <c r="D226" s="2" t="s">
        <v>224</v>
      </c>
      <c r="E226" s="15">
        <v>5</v>
      </c>
    </row>
    <row r="227" customHeight="1" spans="1:5">
      <c r="A227" s="36" t="s">
        <v>220</v>
      </c>
      <c r="B227" s="39" t="s">
        <v>325</v>
      </c>
      <c r="C227" s="14" t="s">
        <v>327</v>
      </c>
      <c r="D227" s="2" t="s">
        <v>224</v>
      </c>
      <c r="E227" s="14">
        <v>1</v>
      </c>
    </row>
    <row r="228" customHeight="1" spans="1:5">
      <c r="A228" s="36" t="s">
        <v>220</v>
      </c>
      <c r="B228" s="39" t="s">
        <v>325</v>
      </c>
      <c r="C228" s="14" t="s">
        <v>327</v>
      </c>
      <c r="D228" s="2" t="s">
        <v>224</v>
      </c>
      <c r="E228" s="14">
        <v>2</v>
      </c>
    </row>
    <row r="229" customHeight="1" spans="1:5">
      <c r="A229" s="36" t="s">
        <v>220</v>
      </c>
      <c r="B229" s="39" t="s">
        <v>325</v>
      </c>
      <c r="C229" s="14" t="s">
        <v>327</v>
      </c>
      <c r="D229" s="2" t="s">
        <v>224</v>
      </c>
      <c r="E229" s="14">
        <v>3</v>
      </c>
    </row>
    <row r="230" customHeight="1" spans="1:5">
      <c r="A230" s="36" t="s">
        <v>220</v>
      </c>
      <c r="B230" s="39" t="s">
        <v>325</v>
      </c>
      <c r="C230" s="14" t="s">
        <v>327</v>
      </c>
      <c r="D230" s="2" t="s">
        <v>224</v>
      </c>
      <c r="E230" s="14">
        <v>4</v>
      </c>
    </row>
    <row r="231" customHeight="1" spans="1:5">
      <c r="A231" s="36" t="s">
        <v>220</v>
      </c>
      <c r="B231" s="39" t="s">
        <v>325</v>
      </c>
      <c r="C231" s="14" t="s">
        <v>327</v>
      </c>
      <c r="D231" s="2" t="s">
        <v>224</v>
      </c>
      <c r="E231" s="14">
        <v>5</v>
      </c>
    </row>
    <row r="232" customHeight="1" spans="1:5">
      <c r="A232" s="36" t="s">
        <v>220</v>
      </c>
      <c r="B232" s="39" t="s">
        <v>325</v>
      </c>
      <c r="C232" s="15" t="s">
        <v>328</v>
      </c>
      <c r="D232" s="2" t="s">
        <v>225</v>
      </c>
      <c r="E232" s="15">
        <v>1</v>
      </c>
    </row>
    <row r="233" customHeight="1" spans="1:5">
      <c r="A233" s="36" t="s">
        <v>220</v>
      </c>
      <c r="B233" s="39" t="s">
        <v>325</v>
      </c>
      <c r="C233" s="15" t="s">
        <v>328</v>
      </c>
      <c r="D233" s="2" t="s">
        <v>225</v>
      </c>
      <c r="E233" s="15">
        <v>2</v>
      </c>
    </row>
    <row r="234" customHeight="1" spans="1:5">
      <c r="A234" s="36" t="s">
        <v>220</v>
      </c>
      <c r="B234" s="39" t="s">
        <v>325</v>
      </c>
      <c r="C234" s="15" t="s">
        <v>328</v>
      </c>
      <c r="D234" s="2" t="s">
        <v>225</v>
      </c>
      <c r="E234" s="15">
        <v>3</v>
      </c>
    </row>
    <row r="235" customHeight="1" spans="1:5">
      <c r="A235" s="36" t="s">
        <v>220</v>
      </c>
      <c r="B235" s="39" t="s">
        <v>325</v>
      </c>
      <c r="C235" s="15" t="s">
        <v>328</v>
      </c>
      <c r="D235" s="2" t="s">
        <v>225</v>
      </c>
      <c r="E235" s="15">
        <v>4</v>
      </c>
    </row>
    <row r="236" customHeight="1" spans="1:5">
      <c r="A236" s="36" t="s">
        <v>220</v>
      </c>
      <c r="B236" s="39" t="s">
        <v>325</v>
      </c>
      <c r="C236" s="15" t="s">
        <v>328</v>
      </c>
      <c r="D236" s="2" t="s">
        <v>225</v>
      </c>
      <c r="E236" s="15">
        <v>5</v>
      </c>
    </row>
    <row r="237" customHeight="1" spans="1:5">
      <c r="A237" s="36" t="s">
        <v>220</v>
      </c>
      <c r="B237" s="39" t="s">
        <v>325</v>
      </c>
      <c r="C237" s="15" t="s">
        <v>328</v>
      </c>
      <c r="D237" s="2" t="s">
        <v>225</v>
      </c>
      <c r="E237" s="15">
        <v>6</v>
      </c>
    </row>
    <row r="238" customHeight="1" spans="1:5">
      <c r="A238" s="36" t="s">
        <v>220</v>
      </c>
      <c r="B238" s="39" t="s">
        <v>325</v>
      </c>
      <c r="C238" s="15" t="s">
        <v>328</v>
      </c>
      <c r="D238" s="2" t="s">
        <v>225</v>
      </c>
      <c r="E238" s="15">
        <v>7</v>
      </c>
    </row>
    <row r="239" customHeight="1" spans="1:5">
      <c r="A239" s="36" t="s">
        <v>220</v>
      </c>
      <c r="B239" s="39" t="s">
        <v>325</v>
      </c>
      <c r="C239" s="15" t="s">
        <v>328</v>
      </c>
      <c r="D239" s="2" t="s">
        <v>225</v>
      </c>
      <c r="E239" s="15">
        <v>8</v>
      </c>
    </row>
    <row r="240" customHeight="1" spans="1:5">
      <c r="A240" s="36" t="s">
        <v>220</v>
      </c>
      <c r="B240" s="40" t="s">
        <v>329</v>
      </c>
      <c r="C240" s="14" t="s">
        <v>330</v>
      </c>
      <c r="D240" s="2" t="s">
        <v>222</v>
      </c>
      <c r="E240" s="14">
        <v>1</v>
      </c>
    </row>
    <row r="241" customHeight="1" spans="1:5">
      <c r="A241" s="36" t="s">
        <v>220</v>
      </c>
      <c r="B241" s="40" t="s">
        <v>329</v>
      </c>
      <c r="C241" s="14" t="s">
        <v>330</v>
      </c>
      <c r="D241" s="2" t="s">
        <v>222</v>
      </c>
      <c r="E241" s="14">
        <v>2</v>
      </c>
    </row>
    <row r="242" customHeight="1" spans="1:5">
      <c r="A242" s="36" t="s">
        <v>220</v>
      </c>
      <c r="B242" s="40" t="s">
        <v>329</v>
      </c>
      <c r="C242" s="14" t="s">
        <v>330</v>
      </c>
      <c r="D242" s="2" t="s">
        <v>222</v>
      </c>
      <c r="E242" s="14">
        <v>3</v>
      </c>
    </row>
    <row r="243" customHeight="1" spans="1:5">
      <c r="A243" s="36" t="s">
        <v>220</v>
      </c>
      <c r="B243" s="40" t="s">
        <v>329</v>
      </c>
      <c r="C243" s="14" t="s">
        <v>330</v>
      </c>
      <c r="D243" s="2" t="s">
        <v>222</v>
      </c>
      <c r="E243" s="14">
        <v>4</v>
      </c>
    </row>
    <row r="244" customHeight="1" spans="1:5">
      <c r="A244" s="36" t="s">
        <v>220</v>
      </c>
      <c r="B244" s="40" t="s">
        <v>329</v>
      </c>
      <c r="C244" s="14" t="s">
        <v>330</v>
      </c>
      <c r="D244" s="2" t="s">
        <v>222</v>
      </c>
      <c r="E244" s="14">
        <v>5</v>
      </c>
    </row>
    <row r="245" customHeight="1" spans="1:5">
      <c r="A245" s="36" t="s">
        <v>220</v>
      </c>
      <c r="B245" s="40" t="s">
        <v>329</v>
      </c>
      <c r="C245" s="15" t="s">
        <v>331</v>
      </c>
      <c r="D245" s="2" t="s">
        <v>223</v>
      </c>
      <c r="E245" s="15">
        <v>1</v>
      </c>
    </row>
    <row r="246" customHeight="1" spans="1:5">
      <c r="A246" s="36" t="s">
        <v>220</v>
      </c>
      <c r="B246" s="40" t="s">
        <v>329</v>
      </c>
      <c r="C246" s="15" t="s">
        <v>331</v>
      </c>
      <c r="D246" s="2" t="s">
        <v>223</v>
      </c>
      <c r="E246" s="15">
        <v>2</v>
      </c>
    </row>
    <row r="247" customHeight="1" spans="1:5">
      <c r="A247" s="36" t="s">
        <v>220</v>
      </c>
      <c r="B247" s="40" t="s">
        <v>329</v>
      </c>
      <c r="C247" s="15" t="s">
        <v>331</v>
      </c>
      <c r="D247" s="2" t="s">
        <v>223</v>
      </c>
      <c r="E247" s="15">
        <v>3</v>
      </c>
    </row>
    <row r="248" customHeight="1" spans="1:5">
      <c r="A248" s="36" t="s">
        <v>220</v>
      </c>
      <c r="B248" s="40" t="s">
        <v>329</v>
      </c>
      <c r="C248" s="15" t="s">
        <v>331</v>
      </c>
      <c r="D248" s="2" t="s">
        <v>223</v>
      </c>
      <c r="E248" s="15">
        <v>4</v>
      </c>
    </row>
    <row r="249" customHeight="1" spans="1:5">
      <c r="A249" s="36" t="s">
        <v>220</v>
      </c>
      <c r="B249" s="40" t="s">
        <v>329</v>
      </c>
      <c r="C249" s="15" t="s">
        <v>331</v>
      </c>
      <c r="D249" s="2" t="s">
        <v>223</v>
      </c>
      <c r="E249" s="15">
        <v>5</v>
      </c>
    </row>
    <row r="250" customHeight="1" spans="1:5">
      <c r="A250" s="36" t="s">
        <v>220</v>
      </c>
      <c r="B250" s="40" t="s">
        <v>329</v>
      </c>
      <c r="C250" s="14" t="s">
        <v>332</v>
      </c>
      <c r="D250" s="2" t="s">
        <v>224</v>
      </c>
      <c r="E250" s="14">
        <v>1</v>
      </c>
    </row>
    <row r="251" customHeight="1" spans="1:5">
      <c r="A251" s="36" t="s">
        <v>220</v>
      </c>
      <c r="B251" s="40" t="s">
        <v>329</v>
      </c>
      <c r="C251" s="14" t="s">
        <v>332</v>
      </c>
      <c r="D251" s="2" t="s">
        <v>224</v>
      </c>
      <c r="E251" s="14">
        <v>2</v>
      </c>
    </row>
    <row r="252" customHeight="1" spans="1:5">
      <c r="A252" s="36" t="s">
        <v>220</v>
      </c>
      <c r="B252" s="40" t="s">
        <v>329</v>
      </c>
      <c r="C252" s="14" t="s">
        <v>332</v>
      </c>
      <c r="D252" s="2" t="s">
        <v>224</v>
      </c>
      <c r="E252" s="14">
        <v>3</v>
      </c>
    </row>
    <row r="253" customHeight="1" spans="1:5">
      <c r="A253" s="36" t="s">
        <v>220</v>
      </c>
      <c r="B253" s="40" t="s">
        <v>329</v>
      </c>
      <c r="C253" s="14" t="s">
        <v>332</v>
      </c>
      <c r="D253" s="2" t="s">
        <v>224</v>
      </c>
      <c r="E253" s="14">
        <v>4</v>
      </c>
    </row>
    <row r="254" customHeight="1" spans="1:5">
      <c r="A254" s="36" t="s">
        <v>220</v>
      </c>
      <c r="B254" s="40" t="s">
        <v>329</v>
      </c>
      <c r="C254" s="14" t="s">
        <v>332</v>
      </c>
      <c r="D254" s="2" t="s">
        <v>224</v>
      </c>
      <c r="E254" s="14">
        <v>5</v>
      </c>
    </row>
    <row r="255" customHeight="1" spans="1:5">
      <c r="A255" s="36" t="s">
        <v>220</v>
      </c>
      <c r="B255" s="40" t="s">
        <v>329</v>
      </c>
      <c r="C255" s="15" t="s">
        <v>332</v>
      </c>
      <c r="D255" s="2" t="s">
        <v>224</v>
      </c>
      <c r="E255" s="15">
        <v>1</v>
      </c>
    </row>
    <row r="256" customHeight="1" spans="1:5">
      <c r="A256" s="36" t="s">
        <v>220</v>
      </c>
      <c r="B256" s="40" t="s">
        <v>329</v>
      </c>
      <c r="C256" s="15" t="s">
        <v>332</v>
      </c>
      <c r="D256" s="2" t="s">
        <v>224</v>
      </c>
      <c r="E256" s="15">
        <v>2</v>
      </c>
    </row>
    <row r="257" customHeight="1" spans="1:5">
      <c r="A257" s="36" t="s">
        <v>220</v>
      </c>
      <c r="B257" s="40" t="s">
        <v>329</v>
      </c>
      <c r="C257" s="15" t="s">
        <v>332</v>
      </c>
      <c r="D257" s="2" t="s">
        <v>224</v>
      </c>
      <c r="E257" s="15">
        <v>3</v>
      </c>
    </row>
    <row r="258" customHeight="1" spans="1:5">
      <c r="A258" s="36" t="s">
        <v>220</v>
      </c>
      <c r="B258" s="40" t="s">
        <v>329</v>
      </c>
      <c r="C258" s="15" t="s">
        <v>332</v>
      </c>
      <c r="D258" s="2" t="s">
        <v>224</v>
      </c>
      <c r="E258" s="15">
        <v>4</v>
      </c>
    </row>
    <row r="259" customHeight="1" spans="1:5">
      <c r="A259" s="36" t="s">
        <v>220</v>
      </c>
      <c r="B259" s="40" t="s">
        <v>329</v>
      </c>
      <c r="C259" s="15" t="s">
        <v>332</v>
      </c>
      <c r="D259" s="2" t="s">
        <v>224</v>
      </c>
      <c r="E259" s="15">
        <v>5</v>
      </c>
    </row>
    <row r="260" customHeight="1" spans="1:5">
      <c r="A260" s="36" t="s">
        <v>220</v>
      </c>
      <c r="B260" s="40" t="s">
        <v>329</v>
      </c>
      <c r="C260" s="14" t="s">
        <v>333</v>
      </c>
      <c r="D260" s="2" t="s">
        <v>225</v>
      </c>
      <c r="E260" s="14">
        <v>1</v>
      </c>
    </row>
    <row r="261" customHeight="1" spans="1:5">
      <c r="A261" s="36" t="s">
        <v>220</v>
      </c>
      <c r="B261" s="40" t="s">
        <v>329</v>
      </c>
      <c r="C261" s="14" t="s">
        <v>333</v>
      </c>
      <c r="D261" s="2" t="s">
        <v>225</v>
      </c>
      <c r="E261" s="14">
        <v>2</v>
      </c>
    </row>
    <row r="262" customHeight="1" spans="1:5">
      <c r="A262" s="36" t="s">
        <v>220</v>
      </c>
      <c r="B262" s="40" t="s">
        <v>329</v>
      </c>
      <c r="C262" s="14" t="s">
        <v>333</v>
      </c>
      <c r="D262" s="2" t="s">
        <v>225</v>
      </c>
      <c r="E262" s="14">
        <v>3</v>
      </c>
    </row>
    <row r="263" customHeight="1" spans="1:5">
      <c r="A263" s="36" t="s">
        <v>220</v>
      </c>
      <c r="B263" s="40" t="s">
        <v>329</v>
      </c>
      <c r="C263" s="14" t="s">
        <v>333</v>
      </c>
      <c r="D263" s="2" t="s">
        <v>225</v>
      </c>
      <c r="E263" s="14">
        <v>4</v>
      </c>
    </row>
    <row r="264" customHeight="1" spans="1:5">
      <c r="A264" s="36" t="s">
        <v>220</v>
      </c>
      <c r="B264" s="40" t="s">
        <v>329</v>
      </c>
      <c r="C264" s="14" t="s">
        <v>333</v>
      </c>
      <c r="D264" s="2" t="s">
        <v>225</v>
      </c>
      <c r="E264" s="14">
        <v>5</v>
      </c>
    </row>
    <row r="265" customHeight="1" spans="1:5">
      <c r="A265" s="36" t="s">
        <v>220</v>
      </c>
      <c r="B265" s="40" t="s">
        <v>329</v>
      </c>
      <c r="C265" s="14" t="s">
        <v>333</v>
      </c>
      <c r="D265" s="2" t="s">
        <v>225</v>
      </c>
      <c r="E265" s="14">
        <v>6</v>
      </c>
    </row>
    <row r="266" customHeight="1" spans="1:5">
      <c r="A266" s="36" t="s">
        <v>220</v>
      </c>
      <c r="B266" s="40" t="s">
        <v>329</v>
      </c>
      <c r="C266" s="14" t="s">
        <v>333</v>
      </c>
      <c r="D266" s="2" t="s">
        <v>225</v>
      </c>
      <c r="E266" s="14">
        <v>7</v>
      </c>
    </row>
    <row r="267" customHeight="1" spans="1:5">
      <c r="A267" s="36" t="s">
        <v>220</v>
      </c>
      <c r="B267" s="40" t="s">
        <v>329</v>
      </c>
      <c r="C267" s="14" t="s">
        <v>333</v>
      </c>
      <c r="D267" s="2" t="s">
        <v>225</v>
      </c>
      <c r="E267" s="14">
        <v>8</v>
      </c>
    </row>
    <row r="268" customHeight="1" spans="1:5">
      <c r="A268" s="36" t="s">
        <v>220</v>
      </c>
      <c r="B268" s="39" t="s">
        <v>334</v>
      </c>
      <c r="C268" s="15" t="s">
        <v>335</v>
      </c>
      <c r="D268" s="2" t="s">
        <v>222</v>
      </c>
      <c r="E268" s="15">
        <v>1</v>
      </c>
    </row>
    <row r="269" customHeight="1" spans="1:5">
      <c r="A269" s="36" t="s">
        <v>220</v>
      </c>
      <c r="B269" s="39" t="s">
        <v>334</v>
      </c>
      <c r="C269" s="15" t="s">
        <v>335</v>
      </c>
      <c r="D269" s="2" t="s">
        <v>222</v>
      </c>
      <c r="E269" s="15">
        <v>2</v>
      </c>
    </row>
    <row r="270" customHeight="1" spans="1:5">
      <c r="A270" s="36" t="s">
        <v>220</v>
      </c>
      <c r="B270" s="39" t="s">
        <v>334</v>
      </c>
      <c r="C270" s="15" t="s">
        <v>335</v>
      </c>
      <c r="D270" s="2" t="s">
        <v>222</v>
      </c>
      <c r="E270" s="15">
        <v>3</v>
      </c>
    </row>
    <row r="271" customHeight="1" spans="1:5">
      <c r="A271" s="36" t="s">
        <v>220</v>
      </c>
      <c r="B271" s="39" t="s">
        <v>334</v>
      </c>
      <c r="C271" s="15" t="s">
        <v>335</v>
      </c>
      <c r="D271" s="2" t="s">
        <v>222</v>
      </c>
      <c r="E271" s="15">
        <v>4</v>
      </c>
    </row>
    <row r="272" customHeight="1" spans="1:5">
      <c r="A272" s="36" t="s">
        <v>220</v>
      </c>
      <c r="B272" s="39" t="s">
        <v>334</v>
      </c>
      <c r="C272" s="15" t="s">
        <v>335</v>
      </c>
      <c r="D272" s="2" t="s">
        <v>222</v>
      </c>
      <c r="E272" s="15">
        <v>5</v>
      </c>
    </row>
    <row r="273" customHeight="1" spans="1:5">
      <c r="A273" s="36" t="s">
        <v>220</v>
      </c>
      <c r="B273" s="39" t="s">
        <v>334</v>
      </c>
      <c r="C273" s="14" t="s">
        <v>336</v>
      </c>
      <c r="D273" s="2" t="s">
        <v>223</v>
      </c>
      <c r="E273" s="14">
        <v>1</v>
      </c>
    </row>
    <row r="274" customHeight="1" spans="1:5">
      <c r="A274" s="36" t="s">
        <v>220</v>
      </c>
      <c r="B274" s="39" t="s">
        <v>334</v>
      </c>
      <c r="C274" s="14" t="s">
        <v>336</v>
      </c>
      <c r="D274" s="2" t="s">
        <v>223</v>
      </c>
      <c r="E274" s="14">
        <v>2</v>
      </c>
    </row>
    <row r="275" customHeight="1" spans="1:5">
      <c r="A275" s="36" t="s">
        <v>220</v>
      </c>
      <c r="B275" s="39" t="s">
        <v>334</v>
      </c>
      <c r="C275" s="14" t="s">
        <v>336</v>
      </c>
      <c r="D275" s="2" t="s">
        <v>223</v>
      </c>
      <c r="E275" s="14">
        <v>3</v>
      </c>
    </row>
    <row r="276" customHeight="1" spans="1:5">
      <c r="A276" s="36" t="s">
        <v>220</v>
      </c>
      <c r="B276" s="39" t="s">
        <v>334</v>
      </c>
      <c r="C276" s="14" t="s">
        <v>336</v>
      </c>
      <c r="D276" s="2" t="s">
        <v>223</v>
      </c>
      <c r="E276" s="14">
        <v>4</v>
      </c>
    </row>
    <row r="277" customHeight="1" spans="1:5">
      <c r="A277" s="36" t="s">
        <v>220</v>
      </c>
      <c r="B277" s="39" t="s">
        <v>334</v>
      </c>
      <c r="C277" s="14" t="s">
        <v>336</v>
      </c>
      <c r="D277" s="2" t="s">
        <v>223</v>
      </c>
      <c r="E277" s="14">
        <v>5</v>
      </c>
    </row>
    <row r="278" customHeight="1" spans="1:5">
      <c r="A278" s="36" t="s">
        <v>220</v>
      </c>
      <c r="B278" s="39" t="s">
        <v>334</v>
      </c>
      <c r="C278" s="15" t="s">
        <v>337</v>
      </c>
      <c r="D278" s="2" t="s">
        <v>224</v>
      </c>
      <c r="E278" s="15">
        <v>1</v>
      </c>
    </row>
    <row r="279" customHeight="1" spans="1:5">
      <c r="A279" s="36" t="s">
        <v>220</v>
      </c>
      <c r="B279" s="39" t="s">
        <v>334</v>
      </c>
      <c r="C279" s="15" t="s">
        <v>337</v>
      </c>
      <c r="D279" s="2" t="s">
        <v>224</v>
      </c>
      <c r="E279" s="15">
        <v>2</v>
      </c>
    </row>
    <row r="280" customHeight="1" spans="1:5">
      <c r="A280" s="36" t="s">
        <v>220</v>
      </c>
      <c r="B280" s="39" t="s">
        <v>334</v>
      </c>
      <c r="C280" s="15" t="s">
        <v>337</v>
      </c>
      <c r="D280" s="2" t="s">
        <v>224</v>
      </c>
      <c r="E280" s="15">
        <v>3</v>
      </c>
    </row>
    <row r="281" customHeight="1" spans="1:5">
      <c r="A281" s="36" t="s">
        <v>220</v>
      </c>
      <c r="B281" s="39" t="s">
        <v>334</v>
      </c>
      <c r="C281" s="15" t="s">
        <v>337</v>
      </c>
      <c r="D281" s="2" t="s">
        <v>224</v>
      </c>
      <c r="E281" s="15">
        <v>4</v>
      </c>
    </row>
    <row r="282" customHeight="1" spans="1:5">
      <c r="A282" s="36" t="s">
        <v>220</v>
      </c>
      <c r="B282" s="39" t="s">
        <v>334</v>
      </c>
      <c r="C282" s="15" t="s">
        <v>337</v>
      </c>
      <c r="D282" s="2" t="s">
        <v>224</v>
      </c>
      <c r="E282" s="15">
        <v>5</v>
      </c>
    </row>
    <row r="283" customHeight="1" spans="1:5">
      <c r="A283" s="36" t="s">
        <v>220</v>
      </c>
      <c r="B283" s="39" t="s">
        <v>334</v>
      </c>
      <c r="C283" s="14" t="s">
        <v>337</v>
      </c>
      <c r="D283" s="2" t="s">
        <v>224</v>
      </c>
      <c r="E283" s="14">
        <v>1</v>
      </c>
    </row>
    <row r="284" customHeight="1" spans="1:5">
      <c r="A284" s="36" t="s">
        <v>220</v>
      </c>
      <c r="B284" s="39" t="s">
        <v>334</v>
      </c>
      <c r="C284" s="14" t="s">
        <v>337</v>
      </c>
      <c r="D284" s="2" t="s">
        <v>224</v>
      </c>
      <c r="E284" s="14">
        <v>2</v>
      </c>
    </row>
    <row r="285" customHeight="1" spans="1:5">
      <c r="A285" s="36" t="s">
        <v>220</v>
      </c>
      <c r="B285" s="39" t="s">
        <v>334</v>
      </c>
      <c r="C285" s="14" t="s">
        <v>337</v>
      </c>
      <c r="D285" s="2" t="s">
        <v>224</v>
      </c>
      <c r="E285" s="14">
        <v>3</v>
      </c>
    </row>
    <row r="286" customHeight="1" spans="1:5">
      <c r="A286" s="36" t="s">
        <v>220</v>
      </c>
      <c r="B286" s="39" t="s">
        <v>334</v>
      </c>
      <c r="C286" s="14" t="s">
        <v>337</v>
      </c>
      <c r="D286" s="2" t="s">
        <v>224</v>
      </c>
      <c r="E286" s="14">
        <v>4</v>
      </c>
    </row>
    <row r="287" customHeight="1" spans="1:5">
      <c r="A287" s="36" t="s">
        <v>220</v>
      </c>
      <c r="B287" s="39" t="s">
        <v>334</v>
      </c>
      <c r="C287" s="14" t="s">
        <v>337</v>
      </c>
      <c r="D287" s="2" t="s">
        <v>224</v>
      </c>
      <c r="E287" s="14">
        <v>5</v>
      </c>
    </row>
    <row r="288" customHeight="1" spans="1:5">
      <c r="A288" s="36" t="s">
        <v>220</v>
      </c>
      <c r="B288" s="39" t="s">
        <v>334</v>
      </c>
      <c r="C288" s="15" t="s">
        <v>338</v>
      </c>
      <c r="D288" s="2" t="s">
        <v>225</v>
      </c>
      <c r="E288" s="15">
        <v>1</v>
      </c>
    </row>
    <row r="289" customHeight="1" spans="1:5">
      <c r="A289" s="36" t="s">
        <v>220</v>
      </c>
      <c r="B289" s="39" t="s">
        <v>334</v>
      </c>
      <c r="C289" s="15" t="s">
        <v>338</v>
      </c>
      <c r="D289" s="2" t="s">
        <v>225</v>
      </c>
      <c r="E289" s="15">
        <v>2</v>
      </c>
    </row>
    <row r="290" customHeight="1" spans="1:5">
      <c r="A290" s="36" t="s">
        <v>220</v>
      </c>
      <c r="B290" s="39" t="s">
        <v>334</v>
      </c>
      <c r="C290" s="15" t="s">
        <v>338</v>
      </c>
      <c r="D290" s="2" t="s">
        <v>225</v>
      </c>
      <c r="E290" s="15">
        <v>3</v>
      </c>
    </row>
    <row r="291" customHeight="1" spans="1:5">
      <c r="A291" s="36" t="s">
        <v>220</v>
      </c>
      <c r="B291" s="39" t="s">
        <v>334</v>
      </c>
      <c r="C291" s="15" t="s">
        <v>338</v>
      </c>
      <c r="D291" s="2" t="s">
        <v>225</v>
      </c>
      <c r="E291" s="15">
        <v>4</v>
      </c>
    </row>
    <row r="292" customHeight="1" spans="1:5">
      <c r="A292" s="36" t="s">
        <v>220</v>
      </c>
      <c r="B292" s="39" t="s">
        <v>334</v>
      </c>
      <c r="C292" s="15" t="s">
        <v>338</v>
      </c>
      <c r="D292" s="2" t="s">
        <v>225</v>
      </c>
      <c r="E292" s="15">
        <v>5</v>
      </c>
    </row>
    <row r="293" customHeight="1" spans="1:5">
      <c r="A293" s="36" t="s">
        <v>220</v>
      </c>
      <c r="B293" s="39" t="s">
        <v>334</v>
      </c>
      <c r="C293" s="15" t="s">
        <v>338</v>
      </c>
      <c r="D293" s="2" t="s">
        <v>225</v>
      </c>
      <c r="E293" s="15">
        <v>6</v>
      </c>
    </row>
    <row r="294" customHeight="1" spans="1:5">
      <c r="A294" s="36" t="s">
        <v>220</v>
      </c>
      <c r="B294" s="39" t="s">
        <v>334</v>
      </c>
      <c r="C294" s="15" t="s">
        <v>338</v>
      </c>
      <c r="D294" s="2" t="s">
        <v>225</v>
      </c>
      <c r="E294" s="15">
        <v>7</v>
      </c>
    </row>
    <row r="295" customHeight="1" spans="1:5">
      <c r="A295" s="36" t="s">
        <v>220</v>
      </c>
      <c r="B295" s="39" t="s">
        <v>334</v>
      </c>
      <c r="C295" s="15" t="s">
        <v>338</v>
      </c>
      <c r="D295" s="2" t="s">
        <v>225</v>
      </c>
      <c r="E295" s="15">
        <v>8</v>
      </c>
    </row>
    <row r="296" customHeight="1" spans="1:5">
      <c r="A296" s="36" t="s">
        <v>238</v>
      </c>
      <c r="B296" s="39" t="s">
        <v>339</v>
      </c>
      <c r="C296" s="14" t="s">
        <v>340</v>
      </c>
      <c r="D296" s="2" t="s">
        <v>222</v>
      </c>
      <c r="E296" s="14">
        <v>1</v>
      </c>
    </row>
    <row r="297" customHeight="1" spans="1:5">
      <c r="A297" s="36" t="s">
        <v>238</v>
      </c>
      <c r="B297" s="39" t="s">
        <v>339</v>
      </c>
      <c r="C297" s="14" t="s">
        <v>340</v>
      </c>
      <c r="D297" s="2" t="s">
        <v>222</v>
      </c>
      <c r="E297" s="14">
        <v>2</v>
      </c>
    </row>
    <row r="298" customHeight="1" spans="1:5">
      <c r="A298" s="36" t="s">
        <v>238</v>
      </c>
      <c r="B298" s="39" t="s">
        <v>339</v>
      </c>
      <c r="C298" s="14" t="s">
        <v>340</v>
      </c>
      <c r="D298" s="2" t="s">
        <v>222</v>
      </c>
      <c r="E298" s="14">
        <v>3</v>
      </c>
    </row>
    <row r="299" customHeight="1" spans="1:5">
      <c r="A299" s="36" t="s">
        <v>238</v>
      </c>
      <c r="B299" s="39" t="s">
        <v>339</v>
      </c>
      <c r="C299" s="14" t="s">
        <v>340</v>
      </c>
      <c r="D299" s="2" t="s">
        <v>222</v>
      </c>
      <c r="E299" s="14">
        <v>4</v>
      </c>
    </row>
    <row r="300" customHeight="1" spans="1:5">
      <c r="A300" s="36" t="s">
        <v>238</v>
      </c>
      <c r="B300" s="39" t="s">
        <v>339</v>
      </c>
      <c r="C300" s="14" t="s">
        <v>340</v>
      </c>
      <c r="D300" s="2" t="s">
        <v>222</v>
      </c>
      <c r="E300" s="14">
        <v>5</v>
      </c>
    </row>
    <row r="301" customHeight="1" spans="1:5">
      <c r="A301" s="36" t="s">
        <v>238</v>
      </c>
      <c r="B301" s="39" t="s">
        <v>339</v>
      </c>
      <c r="C301" s="15" t="s">
        <v>341</v>
      </c>
      <c r="D301" s="2" t="s">
        <v>224</v>
      </c>
      <c r="E301" s="15">
        <v>1</v>
      </c>
    </row>
    <row r="302" customHeight="1" spans="1:5">
      <c r="A302" s="36" t="s">
        <v>238</v>
      </c>
      <c r="B302" s="39" t="s">
        <v>339</v>
      </c>
      <c r="C302" s="15" t="s">
        <v>341</v>
      </c>
      <c r="D302" s="2" t="s">
        <v>224</v>
      </c>
      <c r="E302" s="15">
        <v>2</v>
      </c>
    </row>
    <row r="303" customHeight="1" spans="1:5">
      <c r="A303" s="36" t="s">
        <v>238</v>
      </c>
      <c r="B303" s="39" t="s">
        <v>339</v>
      </c>
      <c r="C303" s="15" t="s">
        <v>341</v>
      </c>
      <c r="D303" s="2" t="s">
        <v>224</v>
      </c>
      <c r="E303" s="15">
        <v>3</v>
      </c>
    </row>
    <row r="304" customHeight="1" spans="1:5">
      <c r="A304" s="36" t="s">
        <v>238</v>
      </c>
      <c r="B304" s="39" t="s">
        <v>339</v>
      </c>
      <c r="C304" s="15" t="s">
        <v>341</v>
      </c>
      <c r="D304" s="2" t="s">
        <v>224</v>
      </c>
      <c r="E304" s="15">
        <v>4</v>
      </c>
    </row>
    <row r="305" customHeight="1" spans="1:5">
      <c r="A305" s="36" t="s">
        <v>238</v>
      </c>
      <c r="B305" s="39" t="s">
        <v>339</v>
      </c>
      <c r="C305" s="15" t="s">
        <v>341</v>
      </c>
      <c r="D305" s="2" t="s">
        <v>224</v>
      </c>
      <c r="E305" s="15">
        <v>5</v>
      </c>
    </row>
    <row r="306" customHeight="1" spans="1:5">
      <c r="A306" s="36" t="s">
        <v>238</v>
      </c>
      <c r="B306" s="39" t="s">
        <v>339</v>
      </c>
      <c r="C306" s="14" t="s">
        <v>341</v>
      </c>
      <c r="D306" s="2" t="s">
        <v>224</v>
      </c>
      <c r="E306" s="14">
        <v>1</v>
      </c>
    </row>
    <row r="307" customHeight="1" spans="1:5">
      <c r="A307" s="36" t="s">
        <v>238</v>
      </c>
      <c r="B307" s="39" t="s">
        <v>339</v>
      </c>
      <c r="C307" s="14" t="s">
        <v>341</v>
      </c>
      <c r="D307" s="2" t="s">
        <v>224</v>
      </c>
      <c r="E307" s="14">
        <v>2</v>
      </c>
    </row>
    <row r="308" customHeight="1" spans="1:5">
      <c r="A308" s="36" t="s">
        <v>238</v>
      </c>
      <c r="B308" s="39" t="s">
        <v>339</v>
      </c>
      <c r="C308" s="14" t="s">
        <v>341</v>
      </c>
      <c r="D308" s="2" t="s">
        <v>224</v>
      </c>
      <c r="E308" s="14">
        <v>3</v>
      </c>
    </row>
    <row r="309" customHeight="1" spans="1:5">
      <c r="A309" s="36" t="s">
        <v>238</v>
      </c>
      <c r="B309" s="39" t="s">
        <v>339</v>
      </c>
      <c r="C309" s="14" t="s">
        <v>341</v>
      </c>
      <c r="D309" s="2" t="s">
        <v>224</v>
      </c>
      <c r="E309" s="14">
        <v>4</v>
      </c>
    </row>
    <row r="310" customHeight="1" spans="1:5">
      <c r="A310" s="36" t="s">
        <v>238</v>
      </c>
      <c r="B310" s="39" t="s">
        <v>339</v>
      </c>
      <c r="C310" s="14" t="s">
        <v>341</v>
      </c>
      <c r="D310" s="2" t="s">
        <v>224</v>
      </c>
      <c r="E310" s="14">
        <v>5</v>
      </c>
    </row>
    <row r="311" customHeight="1" spans="1:5">
      <c r="A311" s="36" t="s">
        <v>238</v>
      </c>
      <c r="B311" s="39" t="s">
        <v>339</v>
      </c>
      <c r="C311" s="15" t="s">
        <v>342</v>
      </c>
      <c r="D311" s="2" t="s">
        <v>225</v>
      </c>
      <c r="E311" s="15">
        <v>1</v>
      </c>
    </row>
    <row r="312" customHeight="1" spans="1:5">
      <c r="A312" s="36" t="s">
        <v>238</v>
      </c>
      <c r="B312" s="39" t="s">
        <v>339</v>
      </c>
      <c r="C312" s="15" t="s">
        <v>342</v>
      </c>
      <c r="D312" s="2" t="s">
        <v>225</v>
      </c>
      <c r="E312" s="15">
        <v>2</v>
      </c>
    </row>
    <row r="313" customHeight="1" spans="1:5">
      <c r="A313" s="36" t="s">
        <v>238</v>
      </c>
      <c r="B313" s="39" t="s">
        <v>339</v>
      </c>
      <c r="C313" s="15" t="s">
        <v>342</v>
      </c>
      <c r="D313" s="2" t="s">
        <v>225</v>
      </c>
      <c r="E313" s="15">
        <v>3</v>
      </c>
    </row>
    <row r="314" customHeight="1" spans="1:5">
      <c r="A314" s="36" t="s">
        <v>238</v>
      </c>
      <c r="B314" s="39" t="s">
        <v>339</v>
      </c>
      <c r="C314" s="15" t="s">
        <v>342</v>
      </c>
      <c r="D314" s="2" t="s">
        <v>225</v>
      </c>
      <c r="E314" s="15">
        <v>4</v>
      </c>
    </row>
    <row r="315" customHeight="1" spans="1:5">
      <c r="A315" s="36" t="s">
        <v>238</v>
      </c>
      <c r="B315" s="39" t="s">
        <v>339</v>
      </c>
      <c r="C315" s="15" t="s">
        <v>342</v>
      </c>
      <c r="D315" s="2" t="s">
        <v>225</v>
      </c>
      <c r="E315" s="15">
        <v>5</v>
      </c>
    </row>
    <row r="316" customHeight="1" spans="1:5">
      <c r="A316" s="36" t="s">
        <v>238</v>
      </c>
      <c r="B316" s="39" t="s">
        <v>339</v>
      </c>
      <c r="C316" s="15" t="s">
        <v>342</v>
      </c>
      <c r="D316" s="2" t="s">
        <v>225</v>
      </c>
      <c r="E316" s="15">
        <v>6</v>
      </c>
    </row>
    <row r="317" customHeight="1" spans="1:5">
      <c r="A317" s="36" t="s">
        <v>238</v>
      </c>
      <c r="B317" s="39" t="s">
        <v>339</v>
      </c>
      <c r="C317" s="15" t="s">
        <v>342</v>
      </c>
      <c r="D317" s="2" t="s">
        <v>225</v>
      </c>
      <c r="E317" s="15">
        <v>7</v>
      </c>
    </row>
    <row r="318" customHeight="1" spans="1:5">
      <c r="A318" s="36" t="s">
        <v>238</v>
      </c>
      <c r="B318" s="39" t="s">
        <v>339</v>
      </c>
      <c r="C318" s="15" t="s">
        <v>342</v>
      </c>
      <c r="D318" s="2" t="s">
        <v>225</v>
      </c>
      <c r="E318" s="15">
        <v>8</v>
      </c>
    </row>
    <row r="319" customHeight="1" spans="1:5">
      <c r="A319" s="36" t="s">
        <v>238</v>
      </c>
      <c r="B319" s="40" t="s">
        <v>343</v>
      </c>
      <c r="C319" s="14" t="s">
        <v>344</v>
      </c>
      <c r="D319" s="2" t="s">
        <v>222</v>
      </c>
      <c r="E319" s="14">
        <v>1</v>
      </c>
    </row>
    <row r="320" customHeight="1" spans="1:5">
      <c r="A320" s="36" t="s">
        <v>238</v>
      </c>
      <c r="B320" s="40" t="s">
        <v>343</v>
      </c>
      <c r="C320" s="14" t="s">
        <v>344</v>
      </c>
      <c r="D320" s="2" t="s">
        <v>222</v>
      </c>
      <c r="E320" s="14">
        <v>2</v>
      </c>
    </row>
    <row r="321" customHeight="1" spans="1:5">
      <c r="A321" s="36" t="s">
        <v>238</v>
      </c>
      <c r="B321" s="40" t="s">
        <v>343</v>
      </c>
      <c r="C321" s="14" t="s">
        <v>344</v>
      </c>
      <c r="D321" s="2" t="s">
        <v>222</v>
      </c>
      <c r="E321" s="14">
        <v>3</v>
      </c>
    </row>
    <row r="322" customHeight="1" spans="1:5">
      <c r="A322" s="36" t="s">
        <v>238</v>
      </c>
      <c r="B322" s="40" t="s">
        <v>343</v>
      </c>
      <c r="C322" s="14" t="s">
        <v>344</v>
      </c>
      <c r="D322" s="2" t="s">
        <v>222</v>
      </c>
      <c r="E322" s="14">
        <v>4</v>
      </c>
    </row>
    <row r="323" customHeight="1" spans="1:5">
      <c r="A323" s="36" t="s">
        <v>238</v>
      </c>
      <c r="B323" s="40" t="s">
        <v>343</v>
      </c>
      <c r="C323" s="14" t="s">
        <v>344</v>
      </c>
      <c r="D323" s="2" t="s">
        <v>222</v>
      </c>
      <c r="E323" s="14">
        <v>5</v>
      </c>
    </row>
    <row r="324" customHeight="1" spans="1:5">
      <c r="A324" s="36" t="s">
        <v>238</v>
      </c>
      <c r="B324" s="40" t="s">
        <v>343</v>
      </c>
      <c r="C324" s="15" t="s">
        <v>345</v>
      </c>
      <c r="D324" s="2" t="s">
        <v>224</v>
      </c>
      <c r="E324" s="15">
        <v>1</v>
      </c>
    </row>
    <row r="325" customHeight="1" spans="1:5">
      <c r="A325" s="36" t="s">
        <v>238</v>
      </c>
      <c r="B325" s="40" t="s">
        <v>343</v>
      </c>
      <c r="C325" s="15" t="s">
        <v>345</v>
      </c>
      <c r="D325" s="2" t="s">
        <v>224</v>
      </c>
      <c r="E325" s="15">
        <v>2</v>
      </c>
    </row>
    <row r="326" customHeight="1" spans="1:5">
      <c r="A326" s="36" t="s">
        <v>238</v>
      </c>
      <c r="B326" s="40" t="s">
        <v>343</v>
      </c>
      <c r="C326" s="15" t="s">
        <v>345</v>
      </c>
      <c r="D326" s="2" t="s">
        <v>224</v>
      </c>
      <c r="E326" s="15">
        <v>3</v>
      </c>
    </row>
    <row r="327" customHeight="1" spans="1:5">
      <c r="A327" s="36" t="s">
        <v>238</v>
      </c>
      <c r="B327" s="40" t="s">
        <v>343</v>
      </c>
      <c r="C327" s="15" t="s">
        <v>345</v>
      </c>
      <c r="D327" s="2" t="s">
        <v>224</v>
      </c>
      <c r="E327" s="15">
        <v>4</v>
      </c>
    </row>
    <row r="328" customHeight="1" spans="1:5">
      <c r="A328" s="36" t="s">
        <v>238</v>
      </c>
      <c r="B328" s="40" t="s">
        <v>343</v>
      </c>
      <c r="C328" s="15" t="s">
        <v>345</v>
      </c>
      <c r="D328" s="2" t="s">
        <v>224</v>
      </c>
      <c r="E328" s="15">
        <v>5</v>
      </c>
    </row>
    <row r="329" customHeight="1" spans="1:5">
      <c r="A329" s="36" t="s">
        <v>238</v>
      </c>
      <c r="B329" s="40" t="s">
        <v>343</v>
      </c>
      <c r="C329" s="14" t="s">
        <v>345</v>
      </c>
      <c r="D329" s="2" t="s">
        <v>224</v>
      </c>
      <c r="E329" s="14">
        <v>1</v>
      </c>
    </row>
    <row r="330" customHeight="1" spans="1:5">
      <c r="A330" s="36" t="s">
        <v>238</v>
      </c>
      <c r="B330" s="40" t="s">
        <v>343</v>
      </c>
      <c r="C330" s="14" t="s">
        <v>345</v>
      </c>
      <c r="D330" s="2" t="s">
        <v>224</v>
      </c>
      <c r="E330" s="14">
        <v>2</v>
      </c>
    </row>
    <row r="331" customHeight="1" spans="1:5">
      <c r="A331" s="36" t="s">
        <v>238</v>
      </c>
      <c r="B331" s="40" t="s">
        <v>343</v>
      </c>
      <c r="C331" s="14" t="s">
        <v>345</v>
      </c>
      <c r="D331" s="2" t="s">
        <v>224</v>
      </c>
      <c r="E331" s="14">
        <v>3</v>
      </c>
    </row>
    <row r="332" customHeight="1" spans="1:5">
      <c r="A332" s="36" t="s">
        <v>238</v>
      </c>
      <c r="B332" s="40" t="s">
        <v>343</v>
      </c>
      <c r="C332" s="14" t="s">
        <v>345</v>
      </c>
      <c r="D332" s="2" t="s">
        <v>224</v>
      </c>
      <c r="E332" s="14">
        <v>4</v>
      </c>
    </row>
    <row r="333" customHeight="1" spans="1:5">
      <c r="A333" s="36" t="s">
        <v>238</v>
      </c>
      <c r="B333" s="40" t="s">
        <v>343</v>
      </c>
      <c r="C333" s="14" t="s">
        <v>345</v>
      </c>
      <c r="D333" s="2" t="s">
        <v>224</v>
      </c>
      <c r="E333" s="14">
        <v>5</v>
      </c>
    </row>
    <row r="334" customHeight="1" spans="1:5">
      <c r="A334" s="36" t="s">
        <v>238</v>
      </c>
      <c r="B334" s="40" t="s">
        <v>343</v>
      </c>
      <c r="C334" s="15" t="s">
        <v>346</v>
      </c>
      <c r="D334" s="2" t="s">
        <v>225</v>
      </c>
      <c r="E334" s="15">
        <v>1</v>
      </c>
    </row>
    <row r="335" customHeight="1" spans="1:5">
      <c r="A335" s="36" t="s">
        <v>238</v>
      </c>
      <c r="B335" s="40" t="s">
        <v>343</v>
      </c>
      <c r="C335" s="15" t="s">
        <v>346</v>
      </c>
      <c r="D335" s="2" t="s">
        <v>225</v>
      </c>
      <c r="E335" s="15">
        <v>2</v>
      </c>
    </row>
    <row r="336" customHeight="1" spans="1:5">
      <c r="A336" s="36" t="s">
        <v>238</v>
      </c>
      <c r="B336" s="40" t="s">
        <v>343</v>
      </c>
      <c r="C336" s="15" t="s">
        <v>346</v>
      </c>
      <c r="D336" s="2" t="s">
        <v>225</v>
      </c>
      <c r="E336" s="15">
        <v>3</v>
      </c>
    </row>
    <row r="337" customHeight="1" spans="1:5">
      <c r="A337" s="36" t="s">
        <v>238</v>
      </c>
      <c r="B337" s="40" t="s">
        <v>343</v>
      </c>
      <c r="C337" s="15" t="s">
        <v>346</v>
      </c>
      <c r="D337" s="2" t="s">
        <v>225</v>
      </c>
      <c r="E337" s="15">
        <v>4</v>
      </c>
    </row>
    <row r="338" customHeight="1" spans="1:5">
      <c r="A338" s="36" t="s">
        <v>238</v>
      </c>
      <c r="B338" s="40" t="s">
        <v>343</v>
      </c>
      <c r="C338" s="15" t="s">
        <v>346</v>
      </c>
      <c r="D338" s="2" t="s">
        <v>225</v>
      </c>
      <c r="E338" s="15">
        <v>5</v>
      </c>
    </row>
    <row r="339" customHeight="1" spans="1:5">
      <c r="A339" s="36" t="s">
        <v>238</v>
      </c>
      <c r="B339" s="40" t="s">
        <v>343</v>
      </c>
      <c r="C339" s="15" t="s">
        <v>346</v>
      </c>
      <c r="D339" s="2" t="s">
        <v>225</v>
      </c>
      <c r="E339" s="15">
        <v>6</v>
      </c>
    </row>
    <row r="340" customHeight="1" spans="1:5">
      <c r="A340" s="36" t="s">
        <v>238</v>
      </c>
      <c r="B340" s="40" t="s">
        <v>343</v>
      </c>
      <c r="C340" s="15" t="s">
        <v>346</v>
      </c>
      <c r="D340" s="2" t="s">
        <v>225</v>
      </c>
      <c r="E340" s="15">
        <v>7</v>
      </c>
    </row>
    <row r="341" customHeight="1" spans="1:5">
      <c r="A341" s="36" t="s">
        <v>238</v>
      </c>
      <c r="B341" s="40" t="s">
        <v>343</v>
      </c>
      <c r="C341" s="15" t="s">
        <v>346</v>
      </c>
      <c r="D341" s="2" t="s">
        <v>225</v>
      </c>
      <c r="E341" s="15">
        <v>8</v>
      </c>
    </row>
    <row r="342" customHeight="1" spans="1:5">
      <c r="A342" s="36" t="s">
        <v>238</v>
      </c>
      <c r="B342" s="39" t="s">
        <v>347</v>
      </c>
      <c r="C342" s="14" t="s">
        <v>348</v>
      </c>
      <c r="D342" s="2" t="s">
        <v>222</v>
      </c>
      <c r="E342" s="14">
        <v>1</v>
      </c>
    </row>
    <row r="343" customHeight="1" spans="1:5">
      <c r="A343" s="36" t="s">
        <v>238</v>
      </c>
      <c r="B343" s="39" t="s">
        <v>347</v>
      </c>
      <c r="C343" s="14" t="s">
        <v>348</v>
      </c>
      <c r="D343" s="2" t="s">
        <v>222</v>
      </c>
      <c r="E343" s="14">
        <v>2</v>
      </c>
    </row>
    <row r="344" customHeight="1" spans="1:5">
      <c r="A344" s="36" t="s">
        <v>238</v>
      </c>
      <c r="B344" s="39" t="s">
        <v>347</v>
      </c>
      <c r="C344" s="14" t="s">
        <v>348</v>
      </c>
      <c r="D344" s="2" t="s">
        <v>222</v>
      </c>
      <c r="E344" s="14">
        <v>3</v>
      </c>
    </row>
    <row r="345" customHeight="1" spans="1:5">
      <c r="A345" s="36" t="s">
        <v>238</v>
      </c>
      <c r="B345" s="39" t="s">
        <v>347</v>
      </c>
      <c r="C345" s="14" t="s">
        <v>348</v>
      </c>
      <c r="D345" s="2" t="s">
        <v>222</v>
      </c>
      <c r="E345" s="14">
        <v>4</v>
      </c>
    </row>
    <row r="346" customHeight="1" spans="1:5">
      <c r="A346" s="36" t="s">
        <v>238</v>
      </c>
      <c r="B346" s="39" t="s">
        <v>347</v>
      </c>
      <c r="C346" s="14" t="s">
        <v>348</v>
      </c>
      <c r="D346" s="2" t="s">
        <v>222</v>
      </c>
      <c r="E346" s="14">
        <v>5</v>
      </c>
    </row>
    <row r="347" customHeight="1" spans="1:5">
      <c r="A347" s="36" t="s">
        <v>238</v>
      </c>
      <c r="B347" s="39" t="s">
        <v>347</v>
      </c>
      <c r="C347" s="15" t="s">
        <v>349</v>
      </c>
      <c r="D347" s="2" t="s">
        <v>224</v>
      </c>
      <c r="E347" s="15">
        <v>1</v>
      </c>
    </row>
    <row r="348" customHeight="1" spans="1:5">
      <c r="A348" s="36" t="s">
        <v>238</v>
      </c>
      <c r="B348" s="39" t="s">
        <v>347</v>
      </c>
      <c r="C348" s="15" t="s">
        <v>349</v>
      </c>
      <c r="D348" s="2" t="s">
        <v>224</v>
      </c>
      <c r="E348" s="15">
        <v>2</v>
      </c>
    </row>
    <row r="349" customHeight="1" spans="1:5">
      <c r="A349" s="36" t="s">
        <v>238</v>
      </c>
      <c r="B349" s="39" t="s">
        <v>347</v>
      </c>
      <c r="C349" s="15" t="s">
        <v>349</v>
      </c>
      <c r="D349" s="2" t="s">
        <v>224</v>
      </c>
      <c r="E349" s="15">
        <v>3</v>
      </c>
    </row>
    <row r="350" customHeight="1" spans="1:5">
      <c r="A350" s="36" t="s">
        <v>238</v>
      </c>
      <c r="B350" s="39" t="s">
        <v>347</v>
      </c>
      <c r="C350" s="15" t="s">
        <v>349</v>
      </c>
      <c r="D350" s="2" t="s">
        <v>224</v>
      </c>
      <c r="E350" s="15">
        <v>4</v>
      </c>
    </row>
    <row r="351" customHeight="1" spans="1:5">
      <c r="A351" s="36" t="s">
        <v>238</v>
      </c>
      <c r="B351" s="39" t="s">
        <v>347</v>
      </c>
      <c r="C351" s="15" t="s">
        <v>349</v>
      </c>
      <c r="D351" s="2" t="s">
        <v>224</v>
      </c>
      <c r="E351" s="15">
        <v>5</v>
      </c>
    </row>
    <row r="352" customHeight="1" spans="1:5">
      <c r="A352" s="36" t="s">
        <v>238</v>
      </c>
      <c r="B352" s="39" t="s">
        <v>347</v>
      </c>
      <c r="C352" s="14" t="s">
        <v>349</v>
      </c>
      <c r="D352" s="2" t="s">
        <v>224</v>
      </c>
      <c r="E352" s="14">
        <v>1</v>
      </c>
    </row>
    <row r="353" customHeight="1" spans="1:5">
      <c r="A353" s="36" t="s">
        <v>238</v>
      </c>
      <c r="B353" s="39" t="s">
        <v>347</v>
      </c>
      <c r="C353" s="14" t="s">
        <v>349</v>
      </c>
      <c r="D353" s="2" t="s">
        <v>224</v>
      </c>
      <c r="E353" s="14">
        <v>2</v>
      </c>
    </row>
    <row r="354" customHeight="1" spans="1:5">
      <c r="A354" s="36" t="s">
        <v>238</v>
      </c>
      <c r="B354" s="39" t="s">
        <v>347</v>
      </c>
      <c r="C354" s="14" t="s">
        <v>349</v>
      </c>
      <c r="D354" s="2" t="s">
        <v>224</v>
      </c>
      <c r="E354" s="14">
        <v>3</v>
      </c>
    </row>
    <row r="355" customHeight="1" spans="1:5">
      <c r="A355" s="36" t="s">
        <v>238</v>
      </c>
      <c r="B355" s="39" t="s">
        <v>347</v>
      </c>
      <c r="C355" s="14" t="s">
        <v>349</v>
      </c>
      <c r="D355" s="2" t="s">
        <v>224</v>
      </c>
      <c r="E355" s="14">
        <v>4</v>
      </c>
    </row>
    <row r="356" customHeight="1" spans="1:5">
      <c r="A356" s="36" t="s">
        <v>238</v>
      </c>
      <c r="B356" s="39" t="s">
        <v>347</v>
      </c>
      <c r="C356" s="14" t="s">
        <v>349</v>
      </c>
      <c r="D356" s="2" t="s">
        <v>224</v>
      </c>
      <c r="E356" s="14">
        <v>5</v>
      </c>
    </row>
    <row r="357" customHeight="1" spans="1:5">
      <c r="A357" s="36" t="s">
        <v>238</v>
      </c>
      <c r="B357" s="39" t="s">
        <v>347</v>
      </c>
      <c r="C357" s="15" t="s">
        <v>350</v>
      </c>
      <c r="D357" s="2" t="s">
        <v>225</v>
      </c>
      <c r="E357" s="15">
        <v>1</v>
      </c>
    </row>
    <row r="358" customHeight="1" spans="1:5">
      <c r="A358" s="36" t="s">
        <v>238</v>
      </c>
      <c r="B358" s="39" t="s">
        <v>347</v>
      </c>
      <c r="C358" s="15" t="s">
        <v>350</v>
      </c>
      <c r="D358" s="2" t="s">
        <v>225</v>
      </c>
      <c r="E358" s="15">
        <v>2</v>
      </c>
    </row>
    <row r="359" customHeight="1" spans="1:5">
      <c r="A359" s="36" t="s">
        <v>238</v>
      </c>
      <c r="B359" s="39" t="s">
        <v>347</v>
      </c>
      <c r="C359" s="15" t="s">
        <v>350</v>
      </c>
      <c r="D359" s="2" t="s">
        <v>225</v>
      </c>
      <c r="E359" s="15">
        <v>3</v>
      </c>
    </row>
    <row r="360" customHeight="1" spans="1:5">
      <c r="A360" s="36" t="s">
        <v>238</v>
      </c>
      <c r="B360" s="39" t="s">
        <v>347</v>
      </c>
      <c r="C360" s="15" t="s">
        <v>350</v>
      </c>
      <c r="D360" s="2" t="s">
        <v>225</v>
      </c>
      <c r="E360" s="15">
        <v>4</v>
      </c>
    </row>
    <row r="361" customHeight="1" spans="1:5">
      <c r="A361" s="36" t="s">
        <v>238</v>
      </c>
      <c r="B361" s="39" t="s">
        <v>347</v>
      </c>
      <c r="C361" s="15" t="s">
        <v>350</v>
      </c>
      <c r="D361" s="2" t="s">
        <v>225</v>
      </c>
      <c r="E361" s="15">
        <v>5</v>
      </c>
    </row>
    <row r="362" customHeight="1" spans="1:5">
      <c r="A362" s="36" t="s">
        <v>238</v>
      </c>
      <c r="B362" s="39" t="s">
        <v>347</v>
      </c>
      <c r="C362" s="15" t="s">
        <v>350</v>
      </c>
      <c r="D362" s="2" t="s">
        <v>225</v>
      </c>
      <c r="E362" s="15">
        <v>6</v>
      </c>
    </row>
    <row r="363" customHeight="1" spans="1:5">
      <c r="A363" s="36" t="s">
        <v>238</v>
      </c>
      <c r="B363" s="39" t="s">
        <v>347</v>
      </c>
      <c r="C363" s="15" t="s">
        <v>350</v>
      </c>
      <c r="D363" s="2" t="s">
        <v>225</v>
      </c>
      <c r="E363" s="15">
        <v>7</v>
      </c>
    </row>
    <row r="364" customHeight="1" spans="1:5">
      <c r="A364" s="36" t="s">
        <v>238</v>
      </c>
      <c r="B364" s="39" t="s">
        <v>347</v>
      </c>
      <c r="C364" s="15" t="s">
        <v>350</v>
      </c>
      <c r="D364" s="2" t="s">
        <v>225</v>
      </c>
      <c r="E364" s="15">
        <v>8</v>
      </c>
    </row>
    <row r="365" customHeight="1" spans="1:5">
      <c r="A365" s="36" t="s">
        <v>238</v>
      </c>
      <c r="B365" s="40" t="s">
        <v>351</v>
      </c>
      <c r="C365" s="14" t="s">
        <v>352</v>
      </c>
      <c r="D365" s="2" t="s">
        <v>222</v>
      </c>
      <c r="E365" s="14">
        <v>1</v>
      </c>
    </row>
    <row r="366" customHeight="1" spans="1:5">
      <c r="A366" s="36" t="s">
        <v>238</v>
      </c>
      <c r="B366" s="40" t="s">
        <v>351</v>
      </c>
      <c r="C366" s="14" t="s">
        <v>352</v>
      </c>
      <c r="D366" s="2" t="s">
        <v>222</v>
      </c>
      <c r="E366" s="14">
        <v>2</v>
      </c>
    </row>
    <row r="367" customHeight="1" spans="1:5">
      <c r="A367" s="36" t="s">
        <v>238</v>
      </c>
      <c r="B367" s="40" t="s">
        <v>351</v>
      </c>
      <c r="C367" s="14" t="s">
        <v>352</v>
      </c>
      <c r="D367" s="2" t="s">
        <v>222</v>
      </c>
      <c r="E367" s="14">
        <v>3</v>
      </c>
    </row>
    <row r="368" customHeight="1" spans="1:5">
      <c r="A368" s="36" t="s">
        <v>238</v>
      </c>
      <c r="B368" s="40" t="s">
        <v>351</v>
      </c>
      <c r="C368" s="14" t="s">
        <v>352</v>
      </c>
      <c r="D368" s="2" t="s">
        <v>222</v>
      </c>
      <c r="E368" s="14">
        <v>4</v>
      </c>
    </row>
    <row r="369" customHeight="1" spans="1:5">
      <c r="A369" s="36" t="s">
        <v>238</v>
      </c>
      <c r="B369" s="40" t="s">
        <v>351</v>
      </c>
      <c r="C369" s="14" t="s">
        <v>352</v>
      </c>
      <c r="D369" s="2" t="s">
        <v>222</v>
      </c>
      <c r="E369" s="14">
        <v>5</v>
      </c>
    </row>
    <row r="370" customHeight="1" spans="1:5">
      <c r="A370" s="36" t="s">
        <v>238</v>
      </c>
      <c r="B370" s="40" t="s">
        <v>351</v>
      </c>
      <c r="C370" s="15" t="s">
        <v>353</v>
      </c>
      <c r="D370" s="2" t="s">
        <v>224</v>
      </c>
      <c r="E370" s="15">
        <v>1</v>
      </c>
    </row>
    <row r="371" customHeight="1" spans="1:5">
      <c r="A371" s="36" t="s">
        <v>238</v>
      </c>
      <c r="B371" s="40" t="s">
        <v>351</v>
      </c>
      <c r="C371" s="15" t="s">
        <v>353</v>
      </c>
      <c r="D371" s="2" t="s">
        <v>224</v>
      </c>
      <c r="E371" s="15">
        <v>2</v>
      </c>
    </row>
    <row r="372" customHeight="1" spans="1:5">
      <c r="A372" s="36" t="s">
        <v>238</v>
      </c>
      <c r="B372" s="40" t="s">
        <v>351</v>
      </c>
      <c r="C372" s="15" t="s">
        <v>353</v>
      </c>
      <c r="D372" s="2" t="s">
        <v>224</v>
      </c>
      <c r="E372" s="15">
        <v>3</v>
      </c>
    </row>
    <row r="373" customHeight="1" spans="1:5">
      <c r="A373" s="36" t="s">
        <v>238</v>
      </c>
      <c r="B373" s="40" t="s">
        <v>351</v>
      </c>
      <c r="C373" s="15" t="s">
        <v>353</v>
      </c>
      <c r="D373" s="2" t="s">
        <v>224</v>
      </c>
      <c r="E373" s="15">
        <v>4</v>
      </c>
    </row>
    <row r="374" customHeight="1" spans="1:5">
      <c r="A374" s="36" t="s">
        <v>238</v>
      </c>
      <c r="B374" s="40" t="s">
        <v>351</v>
      </c>
      <c r="C374" s="15" t="s">
        <v>353</v>
      </c>
      <c r="D374" s="2" t="s">
        <v>224</v>
      </c>
      <c r="E374" s="15">
        <v>5</v>
      </c>
    </row>
    <row r="375" customHeight="1" spans="1:5">
      <c r="A375" s="36" t="s">
        <v>238</v>
      </c>
      <c r="B375" s="40" t="s">
        <v>351</v>
      </c>
      <c r="C375" s="14" t="s">
        <v>353</v>
      </c>
      <c r="D375" s="2" t="s">
        <v>224</v>
      </c>
      <c r="E375" s="14">
        <v>1</v>
      </c>
    </row>
    <row r="376" customHeight="1" spans="1:5">
      <c r="A376" s="36" t="s">
        <v>238</v>
      </c>
      <c r="B376" s="40" t="s">
        <v>351</v>
      </c>
      <c r="C376" s="14" t="s">
        <v>353</v>
      </c>
      <c r="D376" s="2" t="s">
        <v>224</v>
      </c>
      <c r="E376" s="14">
        <v>2</v>
      </c>
    </row>
    <row r="377" customHeight="1" spans="1:5">
      <c r="A377" s="36" t="s">
        <v>238</v>
      </c>
      <c r="B377" s="40" t="s">
        <v>351</v>
      </c>
      <c r="C377" s="14" t="s">
        <v>353</v>
      </c>
      <c r="D377" s="2" t="s">
        <v>224</v>
      </c>
      <c r="E377" s="14">
        <v>3</v>
      </c>
    </row>
    <row r="378" customHeight="1" spans="1:5">
      <c r="A378" s="36" t="s">
        <v>238</v>
      </c>
      <c r="B378" s="40" t="s">
        <v>351</v>
      </c>
      <c r="C378" s="14" t="s">
        <v>353</v>
      </c>
      <c r="D378" s="2" t="s">
        <v>224</v>
      </c>
      <c r="E378" s="14">
        <v>4</v>
      </c>
    </row>
    <row r="379" customHeight="1" spans="1:5">
      <c r="A379" s="36" t="s">
        <v>238</v>
      </c>
      <c r="B379" s="40" t="s">
        <v>351</v>
      </c>
      <c r="C379" s="14" t="s">
        <v>353</v>
      </c>
      <c r="D379" s="2" t="s">
        <v>224</v>
      </c>
      <c r="E379" s="14">
        <v>5</v>
      </c>
    </row>
    <row r="380" customHeight="1" spans="1:5">
      <c r="A380" s="36" t="s">
        <v>238</v>
      </c>
      <c r="B380" s="40" t="s">
        <v>351</v>
      </c>
      <c r="C380" s="15" t="s">
        <v>354</v>
      </c>
      <c r="D380" s="2" t="s">
        <v>225</v>
      </c>
      <c r="E380" s="15">
        <v>1</v>
      </c>
    </row>
    <row r="381" customHeight="1" spans="1:5">
      <c r="A381" s="36" t="s">
        <v>238</v>
      </c>
      <c r="B381" s="40" t="s">
        <v>351</v>
      </c>
      <c r="C381" s="15" t="s">
        <v>354</v>
      </c>
      <c r="D381" s="2" t="s">
        <v>225</v>
      </c>
      <c r="E381" s="15">
        <v>2</v>
      </c>
    </row>
    <row r="382" customHeight="1" spans="1:5">
      <c r="A382" s="36" t="s">
        <v>238</v>
      </c>
      <c r="B382" s="40" t="s">
        <v>351</v>
      </c>
      <c r="C382" s="15" t="s">
        <v>354</v>
      </c>
      <c r="D382" s="2" t="s">
        <v>225</v>
      </c>
      <c r="E382" s="15">
        <v>3</v>
      </c>
    </row>
    <row r="383" customHeight="1" spans="1:5">
      <c r="A383" s="36" t="s">
        <v>238</v>
      </c>
      <c r="B383" s="40" t="s">
        <v>351</v>
      </c>
      <c r="C383" s="15" t="s">
        <v>354</v>
      </c>
      <c r="D383" s="2" t="s">
        <v>225</v>
      </c>
      <c r="E383" s="15">
        <v>4</v>
      </c>
    </row>
    <row r="384" customHeight="1" spans="1:5">
      <c r="A384" s="36" t="s">
        <v>238</v>
      </c>
      <c r="B384" s="40" t="s">
        <v>351</v>
      </c>
      <c r="C384" s="15" t="s">
        <v>354</v>
      </c>
      <c r="D384" s="2" t="s">
        <v>225</v>
      </c>
      <c r="E384" s="15">
        <v>5</v>
      </c>
    </row>
    <row r="385" customHeight="1" spans="1:5">
      <c r="A385" s="36" t="s">
        <v>238</v>
      </c>
      <c r="B385" s="40" t="s">
        <v>351</v>
      </c>
      <c r="C385" s="15" t="s">
        <v>354</v>
      </c>
      <c r="D385" s="2" t="s">
        <v>225</v>
      </c>
      <c r="E385" s="15">
        <v>6</v>
      </c>
    </row>
    <row r="386" customHeight="1" spans="1:5">
      <c r="A386" s="36" t="s">
        <v>238</v>
      </c>
      <c r="B386" s="40" t="s">
        <v>351</v>
      </c>
      <c r="C386" s="15" t="s">
        <v>354</v>
      </c>
      <c r="D386" s="2" t="s">
        <v>225</v>
      </c>
      <c r="E386" s="15">
        <v>7</v>
      </c>
    </row>
    <row r="387" customHeight="1" spans="1:5">
      <c r="A387" s="36" t="s">
        <v>238</v>
      </c>
      <c r="B387" s="40" t="s">
        <v>351</v>
      </c>
      <c r="C387" s="15" t="s">
        <v>354</v>
      </c>
      <c r="D387" s="2" t="s">
        <v>225</v>
      </c>
      <c r="E387" s="15">
        <v>8</v>
      </c>
    </row>
    <row r="388" customHeight="1" spans="1:5">
      <c r="A388" s="36" t="s">
        <v>238</v>
      </c>
      <c r="B388" s="39" t="s">
        <v>355</v>
      </c>
      <c r="C388" s="14" t="s">
        <v>356</v>
      </c>
      <c r="D388" s="2" t="s">
        <v>222</v>
      </c>
      <c r="E388" s="14">
        <v>1</v>
      </c>
    </row>
    <row r="389" customHeight="1" spans="1:5">
      <c r="A389" s="36" t="s">
        <v>238</v>
      </c>
      <c r="B389" s="39" t="s">
        <v>355</v>
      </c>
      <c r="C389" s="14" t="s">
        <v>356</v>
      </c>
      <c r="D389" s="2" t="s">
        <v>222</v>
      </c>
      <c r="E389" s="14">
        <v>2</v>
      </c>
    </row>
    <row r="390" customHeight="1" spans="1:5">
      <c r="A390" s="36" t="s">
        <v>238</v>
      </c>
      <c r="B390" s="39" t="s">
        <v>355</v>
      </c>
      <c r="C390" s="14" t="s">
        <v>356</v>
      </c>
      <c r="D390" s="2" t="s">
        <v>222</v>
      </c>
      <c r="E390" s="14">
        <v>3</v>
      </c>
    </row>
    <row r="391" customHeight="1" spans="1:5">
      <c r="A391" s="36" t="s">
        <v>238</v>
      </c>
      <c r="B391" s="39" t="s">
        <v>355</v>
      </c>
      <c r="C391" s="14" t="s">
        <v>356</v>
      </c>
      <c r="D391" s="2" t="s">
        <v>222</v>
      </c>
      <c r="E391" s="14">
        <v>4</v>
      </c>
    </row>
    <row r="392" customHeight="1" spans="1:5">
      <c r="A392" s="36" t="s">
        <v>238</v>
      </c>
      <c r="B392" s="39" t="s">
        <v>355</v>
      </c>
      <c r="C392" s="14" t="s">
        <v>356</v>
      </c>
      <c r="D392" s="2" t="s">
        <v>222</v>
      </c>
      <c r="E392" s="14">
        <v>5</v>
      </c>
    </row>
    <row r="393" customHeight="1" spans="1:5">
      <c r="A393" s="36" t="s">
        <v>238</v>
      </c>
      <c r="B393" s="39" t="s">
        <v>355</v>
      </c>
      <c r="C393" s="15" t="s">
        <v>357</v>
      </c>
      <c r="D393" s="2" t="s">
        <v>224</v>
      </c>
      <c r="E393" s="15">
        <v>1</v>
      </c>
    </row>
    <row r="394" customHeight="1" spans="1:5">
      <c r="A394" s="36" t="s">
        <v>238</v>
      </c>
      <c r="B394" s="39" t="s">
        <v>355</v>
      </c>
      <c r="C394" s="15" t="s">
        <v>357</v>
      </c>
      <c r="D394" s="2" t="s">
        <v>224</v>
      </c>
      <c r="E394" s="15">
        <v>2</v>
      </c>
    </row>
    <row r="395" customHeight="1" spans="1:5">
      <c r="A395" s="36" t="s">
        <v>238</v>
      </c>
      <c r="B395" s="39" t="s">
        <v>355</v>
      </c>
      <c r="C395" s="15" t="s">
        <v>357</v>
      </c>
      <c r="D395" s="2" t="s">
        <v>224</v>
      </c>
      <c r="E395" s="15">
        <v>3</v>
      </c>
    </row>
    <row r="396" customHeight="1" spans="1:5">
      <c r="A396" s="36" t="s">
        <v>238</v>
      </c>
      <c r="B396" s="39" t="s">
        <v>355</v>
      </c>
      <c r="C396" s="15" t="s">
        <v>357</v>
      </c>
      <c r="D396" s="2" t="s">
        <v>224</v>
      </c>
      <c r="E396" s="15">
        <v>4</v>
      </c>
    </row>
    <row r="397" customHeight="1" spans="1:5">
      <c r="A397" s="36" t="s">
        <v>238</v>
      </c>
      <c r="B397" s="39" t="s">
        <v>355</v>
      </c>
      <c r="C397" s="15" t="s">
        <v>357</v>
      </c>
      <c r="D397" s="2" t="s">
        <v>224</v>
      </c>
      <c r="E397" s="15">
        <v>5</v>
      </c>
    </row>
    <row r="398" customHeight="1" spans="1:5">
      <c r="A398" s="36" t="s">
        <v>238</v>
      </c>
      <c r="B398" s="39" t="s">
        <v>355</v>
      </c>
      <c r="C398" s="14" t="s">
        <v>357</v>
      </c>
      <c r="D398" s="2" t="s">
        <v>224</v>
      </c>
      <c r="E398" s="14">
        <v>1</v>
      </c>
    </row>
    <row r="399" customHeight="1" spans="1:5">
      <c r="A399" s="36" t="s">
        <v>238</v>
      </c>
      <c r="B399" s="39" t="s">
        <v>355</v>
      </c>
      <c r="C399" s="14" t="s">
        <v>357</v>
      </c>
      <c r="D399" s="2" t="s">
        <v>224</v>
      </c>
      <c r="E399" s="14">
        <v>2</v>
      </c>
    </row>
    <row r="400" customHeight="1" spans="1:5">
      <c r="A400" s="36" t="s">
        <v>238</v>
      </c>
      <c r="B400" s="39" t="s">
        <v>355</v>
      </c>
      <c r="C400" s="14" t="s">
        <v>357</v>
      </c>
      <c r="D400" s="2" t="s">
        <v>224</v>
      </c>
      <c r="E400" s="14">
        <v>3</v>
      </c>
    </row>
    <row r="401" customHeight="1" spans="1:5">
      <c r="A401" s="36" t="s">
        <v>238</v>
      </c>
      <c r="B401" s="39" t="s">
        <v>355</v>
      </c>
      <c r="C401" s="14" t="s">
        <v>357</v>
      </c>
      <c r="D401" s="2" t="s">
        <v>224</v>
      </c>
      <c r="E401" s="14">
        <v>4</v>
      </c>
    </row>
    <row r="402" customHeight="1" spans="1:5">
      <c r="A402" s="36" t="s">
        <v>238</v>
      </c>
      <c r="B402" s="39" t="s">
        <v>355</v>
      </c>
      <c r="C402" s="14" t="s">
        <v>357</v>
      </c>
      <c r="D402" s="2" t="s">
        <v>224</v>
      </c>
      <c r="E402" s="14">
        <v>5</v>
      </c>
    </row>
    <row r="403" customHeight="1" spans="1:5">
      <c r="A403" s="36" t="s">
        <v>238</v>
      </c>
      <c r="B403" s="39" t="s">
        <v>355</v>
      </c>
      <c r="C403" s="15" t="s">
        <v>358</v>
      </c>
      <c r="D403" s="2" t="s">
        <v>225</v>
      </c>
      <c r="E403" s="15">
        <v>1</v>
      </c>
    </row>
    <row r="404" customHeight="1" spans="1:5">
      <c r="A404" s="36" t="s">
        <v>238</v>
      </c>
      <c r="B404" s="39" t="s">
        <v>355</v>
      </c>
      <c r="C404" s="15" t="s">
        <v>358</v>
      </c>
      <c r="D404" s="2" t="s">
        <v>225</v>
      </c>
      <c r="E404" s="15">
        <v>2</v>
      </c>
    </row>
    <row r="405" customHeight="1" spans="1:5">
      <c r="A405" s="36" t="s">
        <v>238</v>
      </c>
      <c r="B405" s="39" t="s">
        <v>355</v>
      </c>
      <c r="C405" s="15" t="s">
        <v>358</v>
      </c>
      <c r="D405" s="2" t="s">
        <v>225</v>
      </c>
      <c r="E405" s="15">
        <v>3</v>
      </c>
    </row>
    <row r="406" customHeight="1" spans="1:5">
      <c r="A406" s="36" t="s">
        <v>238</v>
      </c>
      <c r="B406" s="39" t="s">
        <v>355</v>
      </c>
      <c r="C406" s="15" t="s">
        <v>358</v>
      </c>
      <c r="D406" s="2" t="s">
        <v>225</v>
      </c>
      <c r="E406" s="15">
        <v>4</v>
      </c>
    </row>
    <row r="407" customHeight="1" spans="1:5">
      <c r="A407" s="36" t="s">
        <v>238</v>
      </c>
      <c r="B407" s="39" t="s">
        <v>355</v>
      </c>
      <c r="C407" s="15" t="s">
        <v>358</v>
      </c>
      <c r="D407" s="2" t="s">
        <v>225</v>
      </c>
      <c r="E407" s="15">
        <v>5</v>
      </c>
    </row>
    <row r="408" customHeight="1" spans="1:5">
      <c r="A408" s="36" t="s">
        <v>238</v>
      </c>
      <c r="B408" s="39" t="s">
        <v>355</v>
      </c>
      <c r="C408" s="15" t="s">
        <v>358</v>
      </c>
      <c r="D408" s="2" t="s">
        <v>225</v>
      </c>
      <c r="E408" s="15">
        <v>6</v>
      </c>
    </row>
    <row r="409" customHeight="1" spans="1:5">
      <c r="A409" s="36" t="s">
        <v>238</v>
      </c>
      <c r="B409" s="39" t="s">
        <v>355</v>
      </c>
      <c r="C409" s="15" t="s">
        <v>358</v>
      </c>
      <c r="D409" s="2" t="s">
        <v>225</v>
      </c>
      <c r="E409" s="15">
        <v>7</v>
      </c>
    </row>
    <row r="410" customHeight="1" spans="1:5">
      <c r="A410" s="36" t="s">
        <v>238</v>
      </c>
      <c r="B410" s="39" t="s">
        <v>355</v>
      </c>
      <c r="C410" s="15" t="s">
        <v>358</v>
      </c>
      <c r="D410" s="2" t="s">
        <v>225</v>
      </c>
      <c r="E410" s="15">
        <v>8</v>
      </c>
    </row>
    <row r="411" customHeight="1" spans="1:5">
      <c r="A411" s="36" t="s">
        <v>238</v>
      </c>
      <c r="B411" s="40" t="s">
        <v>359</v>
      </c>
      <c r="C411" s="14" t="s">
        <v>360</v>
      </c>
      <c r="D411" s="2" t="s">
        <v>222</v>
      </c>
      <c r="E411" s="14">
        <v>1</v>
      </c>
    </row>
    <row r="412" customHeight="1" spans="1:5">
      <c r="A412" s="36" t="s">
        <v>238</v>
      </c>
      <c r="B412" s="40" t="s">
        <v>359</v>
      </c>
      <c r="C412" s="14" t="s">
        <v>360</v>
      </c>
      <c r="D412" s="2" t="s">
        <v>222</v>
      </c>
      <c r="E412" s="14">
        <v>2</v>
      </c>
    </row>
    <row r="413" customHeight="1" spans="1:5">
      <c r="A413" s="36" t="s">
        <v>238</v>
      </c>
      <c r="B413" s="40" t="s">
        <v>359</v>
      </c>
      <c r="C413" s="14" t="s">
        <v>360</v>
      </c>
      <c r="D413" s="2" t="s">
        <v>222</v>
      </c>
      <c r="E413" s="14">
        <v>3</v>
      </c>
    </row>
    <row r="414" customHeight="1" spans="1:5">
      <c r="A414" s="36" t="s">
        <v>238</v>
      </c>
      <c r="B414" s="40" t="s">
        <v>359</v>
      </c>
      <c r="C414" s="14" t="s">
        <v>360</v>
      </c>
      <c r="D414" s="2" t="s">
        <v>222</v>
      </c>
      <c r="E414" s="14">
        <v>4</v>
      </c>
    </row>
    <row r="415" customHeight="1" spans="1:5">
      <c r="A415" s="36" t="s">
        <v>238</v>
      </c>
      <c r="B415" s="40" t="s">
        <v>359</v>
      </c>
      <c r="C415" s="14" t="s">
        <v>360</v>
      </c>
      <c r="D415" s="2" t="s">
        <v>222</v>
      </c>
      <c r="E415" s="14">
        <v>5</v>
      </c>
    </row>
    <row r="416" customHeight="1" spans="1:5">
      <c r="A416" s="36" t="s">
        <v>238</v>
      </c>
      <c r="B416" s="40" t="s">
        <v>359</v>
      </c>
      <c r="C416" s="15" t="s">
        <v>361</v>
      </c>
      <c r="D416" s="2" t="s">
        <v>224</v>
      </c>
      <c r="E416" s="15">
        <v>1</v>
      </c>
    </row>
    <row r="417" customHeight="1" spans="1:5">
      <c r="A417" s="36" t="s">
        <v>238</v>
      </c>
      <c r="B417" s="40" t="s">
        <v>359</v>
      </c>
      <c r="C417" s="15" t="s">
        <v>361</v>
      </c>
      <c r="D417" s="2" t="s">
        <v>224</v>
      </c>
      <c r="E417" s="15">
        <v>2</v>
      </c>
    </row>
    <row r="418" customHeight="1" spans="1:5">
      <c r="A418" s="36" t="s">
        <v>238</v>
      </c>
      <c r="B418" s="40" t="s">
        <v>359</v>
      </c>
      <c r="C418" s="15" t="s">
        <v>361</v>
      </c>
      <c r="D418" s="2" t="s">
        <v>224</v>
      </c>
      <c r="E418" s="15">
        <v>3</v>
      </c>
    </row>
    <row r="419" customHeight="1" spans="1:5">
      <c r="A419" s="36" t="s">
        <v>238</v>
      </c>
      <c r="B419" s="40" t="s">
        <v>359</v>
      </c>
      <c r="C419" s="15" t="s">
        <v>361</v>
      </c>
      <c r="D419" s="2" t="s">
        <v>224</v>
      </c>
      <c r="E419" s="15">
        <v>4</v>
      </c>
    </row>
    <row r="420" customHeight="1" spans="1:5">
      <c r="A420" s="36" t="s">
        <v>238</v>
      </c>
      <c r="B420" s="40" t="s">
        <v>359</v>
      </c>
      <c r="C420" s="15" t="s">
        <v>361</v>
      </c>
      <c r="D420" s="2" t="s">
        <v>224</v>
      </c>
      <c r="E420" s="15">
        <v>5</v>
      </c>
    </row>
    <row r="421" customHeight="1" spans="1:5">
      <c r="A421" s="36" t="s">
        <v>238</v>
      </c>
      <c r="B421" s="40" t="s">
        <v>359</v>
      </c>
      <c r="C421" s="14" t="s">
        <v>361</v>
      </c>
      <c r="D421" s="2" t="s">
        <v>224</v>
      </c>
      <c r="E421" s="14">
        <v>1</v>
      </c>
    </row>
    <row r="422" customHeight="1" spans="1:5">
      <c r="A422" s="36" t="s">
        <v>238</v>
      </c>
      <c r="B422" s="40" t="s">
        <v>359</v>
      </c>
      <c r="C422" s="14" t="s">
        <v>361</v>
      </c>
      <c r="D422" s="2" t="s">
        <v>224</v>
      </c>
      <c r="E422" s="14">
        <v>2</v>
      </c>
    </row>
    <row r="423" customHeight="1" spans="1:5">
      <c r="A423" s="36" t="s">
        <v>238</v>
      </c>
      <c r="B423" s="40" t="s">
        <v>359</v>
      </c>
      <c r="C423" s="14" t="s">
        <v>361</v>
      </c>
      <c r="D423" s="2" t="s">
        <v>224</v>
      </c>
      <c r="E423" s="14">
        <v>3</v>
      </c>
    </row>
    <row r="424" customHeight="1" spans="1:5">
      <c r="A424" s="36" t="s">
        <v>238</v>
      </c>
      <c r="B424" s="40" t="s">
        <v>359</v>
      </c>
      <c r="C424" s="14" t="s">
        <v>361</v>
      </c>
      <c r="D424" s="2" t="s">
        <v>224</v>
      </c>
      <c r="E424" s="14">
        <v>4</v>
      </c>
    </row>
    <row r="425" customHeight="1" spans="1:5">
      <c r="A425" s="36" t="s">
        <v>238</v>
      </c>
      <c r="B425" s="40" t="s">
        <v>359</v>
      </c>
      <c r="C425" s="14" t="s">
        <v>361</v>
      </c>
      <c r="D425" s="2" t="s">
        <v>224</v>
      </c>
      <c r="E425" s="14">
        <v>5</v>
      </c>
    </row>
    <row r="426" customHeight="1" spans="1:5">
      <c r="A426" s="36" t="s">
        <v>238</v>
      </c>
      <c r="B426" s="40" t="s">
        <v>359</v>
      </c>
      <c r="C426" s="15" t="s">
        <v>362</v>
      </c>
      <c r="D426" s="2" t="s">
        <v>225</v>
      </c>
      <c r="E426" s="15">
        <v>1</v>
      </c>
    </row>
    <row r="427" customHeight="1" spans="1:5">
      <c r="A427" s="36" t="s">
        <v>238</v>
      </c>
      <c r="B427" s="40" t="s">
        <v>359</v>
      </c>
      <c r="C427" s="15" t="s">
        <v>362</v>
      </c>
      <c r="D427" s="2" t="s">
        <v>225</v>
      </c>
      <c r="E427" s="15">
        <v>2</v>
      </c>
    </row>
    <row r="428" customHeight="1" spans="1:5">
      <c r="A428" s="36" t="s">
        <v>238</v>
      </c>
      <c r="B428" s="40" t="s">
        <v>359</v>
      </c>
      <c r="C428" s="15" t="s">
        <v>362</v>
      </c>
      <c r="D428" s="2" t="s">
        <v>225</v>
      </c>
      <c r="E428" s="15">
        <v>3</v>
      </c>
    </row>
    <row r="429" customHeight="1" spans="1:5">
      <c r="A429" s="36" t="s">
        <v>238</v>
      </c>
      <c r="B429" s="40" t="s">
        <v>359</v>
      </c>
      <c r="C429" s="15" t="s">
        <v>362</v>
      </c>
      <c r="D429" s="2" t="s">
        <v>225</v>
      </c>
      <c r="E429" s="15">
        <v>4</v>
      </c>
    </row>
    <row r="430" customHeight="1" spans="1:5">
      <c r="A430" s="36" t="s">
        <v>238</v>
      </c>
      <c r="B430" s="40" t="s">
        <v>359</v>
      </c>
      <c r="C430" s="15" t="s">
        <v>362</v>
      </c>
      <c r="D430" s="2" t="s">
        <v>225</v>
      </c>
      <c r="E430" s="15">
        <v>5</v>
      </c>
    </row>
    <row r="431" customHeight="1" spans="1:5">
      <c r="A431" s="36" t="s">
        <v>238</v>
      </c>
      <c r="B431" s="40" t="s">
        <v>359</v>
      </c>
      <c r="C431" s="15" t="s">
        <v>362</v>
      </c>
      <c r="D431" s="2" t="s">
        <v>225</v>
      </c>
      <c r="E431" s="15">
        <v>6</v>
      </c>
    </row>
    <row r="432" customHeight="1" spans="1:5">
      <c r="A432" s="36" t="s">
        <v>238</v>
      </c>
      <c r="B432" s="40" t="s">
        <v>359</v>
      </c>
      <c r="C432" s="15" t="s">
        <v>362</v>
      </c>
      <c r="D432" s="2" t="s">
        <v>225</v>
      </c>
      <c r="E432" s="15">
        <v>7</v>
      </c>
    </row>
    <row r="433" customHeight="1" spans="1:5">
      <c r="A433" s="36" t="s">
        <v>238</v>
      </c>
      <c r="B433" s="40" t="s">
        <v>359</v>
      </c>
      <c r="C433" s="15" t="s">
        <v>362</v>
      </c>
      <c r="D433" s="2" t="s">
        <v>225</v>
      </c>
      <c r="E433" s="15">
        <v>8</v>
      </c>
    </row>
    <row r="434" customHeight="1" spans="1:5">
      <c r="A434" s="36" t="s">
        <v>238</v>
      </c>
      <c r="B434" s="39" t="s">
        <v>363</v>
      </c>
      <c r="C434" s="14" t="s">
        <v>364</v>
      </c>
      <c r="D434" s="2" t="s">
        <v>222</v>
      </c>
      <c r="E434" s="14">
        <v>1</v>
      </c>
    </row>
    <row r="435" customHeight="1" spans="1:5">
      <c r="A435" s="36" t="s">
        <v>238</v>
      </c>
      <c r="B435" s="39" t="s">
        <v>363</v>
      </c>
      <c r="C435" s="14" t="s">
        <v>364</v>
      </c>
      <c r="D435" s="2" t="s">
        <v>222</v>
      </c>
      <c r="E435" s="14">
        <v>2</v>
      </c>
    </row>
    <row r="436" customHeight="1" spans="1:5">
      <c r="A436" s="36" t="s">
        <v>238</v>
      </c>
      <c r="B436" s="39" t="s">
        <v>363</v>
      </c>
      <c r="C436" s="14" t="s">
        <v>364</v>
      </c>
      <c r="D436" s="2" t="s">
        <v>222</v>
      </c>
      <c r="E436" s="14">
        <v>3</v>
      </c>
    </row>
    <row r="437" customHeight="1" spans="1:5">
      <c r="A437" s="36" t="s">
        <v>238</v>
      </c>
      <c r="B437" s="39" t="s">
        <v>363</v>
      </c>
      <c r="C437" s="14" t="s">
        <v>364</v>
      </c>
      <c r="D437" s="2" t="s">
        <v>222</v>
      </c>
      <c r="E437" s="14">
        <v>4</v>
      </c>
    </row>
    <row r="438" customHeight="1" spans="1:5">
      <c r="A438" s="36" t="s">
        <v>238</v>
      </c>
      <c r="B438" s="39" t="s">
        <v>363</v>
      </c>
      <c r="C438" s="14" t="s">
        <v>364</v>
      </c>
      <c r="D438" s="2" t="s">
        <v>222</v>
      </c>
      <c r="E438" s="14">
        <v>5</v>
      </c>
    </row>
    <row r="439" customHeight="1" spans="1:5">
      <c r="A439" s="36" t="s">
        <v>238</v>
      </c>
      <c r="B439" s="39" t="s">
        <v>363</v>
      </c>
      <c r="C439" s="15" t="s">
        <v>365</v>
      </c>
      <c r="D439" s="2" t="s">
        <v>223</v>
      </c>
      <c r="E439" s="15">
        <v>1</v>
      </c>
    </row>
    <row r="440" customHeight="1" spans="1:5">
      <c r="A440" s="36" t="s">
        <v>238</v>
      </c>
      <c r="B440" s="39" t="s">
        <v>363</v>
      </c>
      <c r="C440" s="15" t="s">
        <v>365</v>
      </c>
      <c r="D440" s="2" t="s">
        <v>223</v>
      </c>
      <c r="E440" s="15">
        <v>2</v>
      </c>
    </row>
    <row r="441" customHeight="1" spans="1:5">
      <c r="A441" s="36" t="s">
        <v>238</v>
      </c>
      <c r="B441" s="39" t="s">
        <v>363</v>
      </c>
      <c r="C441" s="15" t="s">
        <v>365</v>
      </c>
      <c r="D441" s="2" t="s">
        <v>223</v>
      </c>
      <c r="E441" s="15">
        <v>3</v>
      </c>
    </row>
    <row r="442" customHeight="1" spans="1:5">
      <c r="A442" s="36" t="s">
        <v>238</v>
      </c>
      <c r="B442" s="39" t="s">
        <v>363</v>
      </c>
      <c r="C442" s="15" t="s">
        <v>365</v>
      </c>
      <c r="D442" s="2" t="s">
        <v>223</v>
      </c>
      <c r="E442" s="15">
        <v>4</v>
      </c>
    </row>
    <row r="443" customHeight="1" spans="1:5">
      <c r="A443" s="36" t="s">
        <v>238</v>
      </c>
      <c r="B443" s="39" t="s">
        <v>363</v>
      </c>
      <c r="C443" s="15" t="s">
        <v>365</v>
      </c>
      <c r="D443" s="2" t="s">
        <v>223</v>
      </c>
      <c r="E443" s="15">
        <v>5</v>
      </c>
    </row>
    <row r="444" customHeight="1" spans="1:5">
      <c r="A444" s="36" t="s">
        <v>238</v>
      </c>
      <c r="B444" s="39" t="s">
        <v>363</v>
      </c>
      <c r="C444" s="14" t="s">
        <v>366</v>
      </c>
      <c r="D444" s="2" t="s">
        <v>224</v>
      </c>
      <c r="E444" s="14">
        <v>1</v>
      </c>
    </row>
    <row r="445" customHeight="1" spans="1:5">
      <c r="A445" s="36" t="s">
        <v>238</v>
      </c>
      <c r="B445" s="39" t="s">
        <v>363</v>
      </c>
      <c r="C445" s="14" t="s">
        <v>366</v>
      </c>
      <c r="D445" s="2" t="s">
        <v>224</v>
      </c>
      <c r="E445" s="14">
        <v>2</v>
      </c>
    </row>
    <row r="446" customHeight="1" spans="1:5">
      <c r="A446" s="36" t="s">
        <v>238</v>
      </c>
      <c r="B446" s="39" t="s">
        <v>363</v>
      </c>
      <c r="C446" s="14" t="s">
        <v>366</v>
      </c>
      <c r="D446" s="2" t="s">
        <v>224</v>
      </c>
      <c r="E446" s="14">
        <v>3</v>
      </c>
    </row>
    <row r="447" customHeight="1" spans="1:5">
      <c r="A447" s="36" t="s">
        <v>238</v>
      </c>
      <c r="B447" s="39" t="s">
        <v>363</v>
      </c>
      <c r="C447" s="14" t="s">
        <v>366</v>
      </c>
      <c r="D447" s="2" t="s">
        <v>224</v>
      </c>
      <c r="E447" s="14">
        <v>4</v>
      </c>
    </row>
    <row r="448" customHeight="1" spans="1:5">
      <c r="A448" s="36" t="s">
        <v>238</v>
      </c>
      <c r="B448" s="39" t="s">
        <v>363</v>
      </c>
      <c r="C448" s="14" t="s">
        <v>366</v>
      </c>
      <c r="D448" s="2" t="s">
        <v>224</v>
      </c>
      <c r="E448" s="14">
        <v>5</v>
      </c>
    </row>
    <row r="449" customHeight="1" spans="1:5">
      <c r="A449" s="36" t="s">
        <v>238</v>
      </c>
      <c r="B449" s="39" t="s">
        <v>363</v>
      </c>
      <c r="C449" s="15" t="s">
        <v>366</v>
      </c>
      <c r="D449" s="2" t="s">
        <v>224</v>
      </c>
      <c r="E449" s="15">
        <v>1</v>
      </c>
    </row>
    <row r="450" customHeight="1" spans="1:5">
      <c r="A450" s="36" t="s">
        <v>238</v>
      </c>
      <c r="B450" s="39" t="s">
        <v>363</v>
      </c>
      <c r="C450" s="15" t="s">
        <v>366</v>
      </c>
      <c r="D450" s="2" t="s">
        <v>224</v>
      </c>
      <c r="E450" s="15">
        <v>2</v>
      </c>
    </row>
    <row r="451" customHeight="1" spans="1:5">
      <c r="A451" s="36" t="s">
        <v>238</v>
      </c>
      <c r="B451" s="39" t="s">
        <v>363</v>
      </c>
      <c r="C451" s="15" t="s">
        <v>366</v>
      </c>
      <c r="D451" s="2" t="s">
        <v>224</v>
      </c>
      <c r="E451" s="15">
        <v>3</v>
      </c>
    </row>
    <row r="452" customHeight="1" spans="1:5">
      <c r="A452" s="36" t="s">
        <v>238</v>
      </c>
      <c r="B452" s="39" t="s">
        <v>363</v>
      </c>
      <c r="C452" s="15" t="s">
        <v>366</v>
      </c>
      <c r="D452" s="2" t="s">
        <v>224</v>
      </c>
      <c r="E452" s="15">
        <v>4</v>
      </c>
    </row>
    <row r="453" customHeight="1" spans="1:5">
      <c r="A453" s="36" t="s">
        <v>238</v>
      </c>
      <c r="B453" s="39" t="s">
        <v>363</v>
      </c>
      <c r="C453" s="15" t="s">
        <v>366</v>
      </c>
      <c r="D453" s="2" t="s">
        <v>224</v>
      </c>
      <c r="E453" s="15">
        <v>5</v>
      </c>
    </row>
    <row r="454" customHeight="1" spans="1:5">
      <c r="A454" s="36" t="s">
        <v>238</v>
      </c>
      <c r="B454" s="39" t="s">
        <v>363</v>
      </c>
      <c r="C454" s="14" t="s">
        <v>367</v>
      </c>
      <c r="D454" s="2" t="s">
        <v>225</v>
      </c>
      <c r="E454" s="14">
        <v>1</v>
      </c>
    </row>
    <row r="455" customHeight="1" spans="1:5">
      <c r="A455" s="36" t="s">
        <v>238</v>
      </c>
      <c r="B455" s="39" t="s">
        <v>363</v>
      </c>
      <c r="C455" s="14" t="s">
        <v>367</v>
      </c>
      <c r="D455" s="2" t="s">
        <v>225</v>
      </c>
      <c r="E455" s="14">
        <v>2</v>
      </c>
    </row>
    <row r="456" customHeight="1" spans="1:5">
      <c r="A456" s="36" t="s">
        <v>238</v>
      </c>
      <c r="B456" s="39" t="s">
        <v>363</v>
      </c>
      <c r="C456" s="14" t="s">
        <v>367</v>
      </c>
      <c r="D456" s="2" t="s">
        <v>225</v>
      </c>
      <c r="E456" s="14">
        <v>3</v>
      </c>
    </row>
    <row r="457" customHeight="1" spans="1:5">
      <c r="A457" s="36" t="s">
        <v>238</v>
      </c>
      <c r="B457" s="39" t="s">
        <v>363</v>
      </c>
      <c r="C457" s="14" t="s">
        <v>367</v>
      </c>
      <c r="D457" s="2" t="s">
        <v>225</v>
      </c>
      <c r="E457" s="14">
        <v>4</v>
      </c>
    </row>
    <row r="458" customHeight="1" spans="1:5">
      <c r="A458" s="36" t="s">
        <v>238</v>
      </c>
      <c r="B458" s="39" t="s">
        <v>363</v>
      </c>
      <c r="C458" s="14" t="s">
        <v>367</v>
      </c>
      <c r="D458" s="2" t="s">
        <v>225</v>
      </c>
      <c r="E458" s="14">
        <v>5</v>
      </c>
    </row>
    <row r="459" customHeight="1" spans="1:5">
      <c r="A459" s="36" t="s">
        <v>238</v>
      </c>
      <c r="B459" s="39" t="s">
        <v>363</v>
      </c>
      <c r="C459" s="14" t="s">
        <v>367</v>
      </c>
      <c r="D459" s="2" t="s">
        <v>225</v>
      </c>
      <c r="E459" s="14">
        <v>6</v>
      </c>
    </row>
    <row r="460" customHeight="1" spans="1:5">
      <c r="A460" s="36" t="s">
        <v>238</v>
      </c>
      <c r="B460" s="39" t="s">
        <v>363</v>
      </c>
      <c r="C460" s="14" t="s">
        <v>367</v>
      </c>
      <c r="D460" s="2" t="s">
        <v>225</v>
      </c>
      <c r="E460" s="14">
        <v>7</v>
      </c>
    </row>
    <row r="461" customHeight="1" spans="1:5">
      <c r="A461" s="36" t="s">
        <v>238</v>
      </c>
      <c r="B461" s="39" t="s">
        <v>363</v>
      </c>
      <c r="C461" s="14" t="s">
        <v>367</v>
      </c>
      <c r="D461" s="2" t="s">
        <v>225</v>
      </c>
      <c r="E461" s="14">
        <v>8</v>
      </c>
    </row>
    <row r="462" customHeight="1" spans="1:5">
      <c r="A462" s="36" t="s">
        <v>238</v>
      </c>
      <c r="B462" s="40" t="s">
        <v>368</v>
      </c>
      <c r="C462" s="15" t="s">
        <v>369</v>
      </c>
      <c r="D462" s="2" t="s">
        <v>222</v>
      </c>
      <c r="E462" s="15">
        <v>1</v>
      </c>
    </row>
    <row r="463" customHeight="1" spans="1:5">
      <c r="A463" s="36" t="s">
        <v>238</v>
      </c>
      <c r="B463" s="40" t="s">
        <v>368</v>
      </c>
      <c r="C463" s="15" t="s">
        <v>369</v>
      </c>
      <c r="D463" s="2" t="s">
        <v>222</v>
      </c>
      <c r="E463" s="15">
        <v>2</v>
      </c>
    </row>
    <row r="464" customHeight="1" spans="1:5">
      <c r="A464" s="36" t="s">
        <v>238</v>
      </c>
      <c r="B464" s="40" t="s">
        <v>368</v>
      </c>
      <c r="C464" s="15" t="s">
        <v>369</v>
      </c>
      <c r="D464" s="2" t="s">
        <v>222</v>
      </c>
      <c r="E464" s="15">
        <v>3</v>
      </c>
    </row>
    <row r="465" customHeight="1" spans="1:5">
      <c r="A465" s="36" t="s">
        <v>238</v>
      </c>
      <c r="B465" s="40" t="s">
        <v>368</v>
      </c>
      <c r="C465" s="15" t="s">
        <v>369</v>
      </c>
      <c r="D465" s="2" t="s">
        <v>222</v>
      </c>
      <c r="E465" s="15">
        <v>4</v>
      </c>
    </row>
    <row r="466" customHeight="1" spans="1:5">
      <c r="A466" s="36" t="s">
        <v>238</v>
      </c>
      <c r="B466" s="40" t="s">
        <v>368</v>
      </c>
      <c r="C466" s="15" t="s">
        <v>369</v>
      </c>
      <c r="D466" s="2" t="s">
        <v>222</v>
      </c>
      <c r="E466" s="15">
        <v>5</v>
      </c>
    </row>
    <row r="467" customHeight="1" spans="1:5">
      <c r="A467" s="36" t="s">
        <v>238</v>
      </c>
      <c r="B467" s="40" t="s">
        <v>368</v>
      </c>
      <c r="C467" s="14" t="s">
        <v>370</v>
      </c>
      <c r="D467" s="2" t="s">
        <v>223</v>
      </c>
      <c r="E467" s="14">
        <v>1</v>
      </c>
    </row>
    <row r="468" customHeight="1" spans="1:5">
      <c r="A468" s="36" t="s">
        <v>238</v>
      </c>
      <c r="B468" s="40" t="s">
        <v>368</v>
      </c>
      <c r="C468" s="14" t="s">
        <v>370</v>
      </c>
      <c r="D468" s="2" t="s">
        <v>223</v>
      </c>
      <c r="E468" s="14">
        <v>2</v>
      </c>
    </row>
    <row r="469" customHeight="1" spans="1:5">
      <c r="A469" s="36" t="s">
        <v>238</v>
      </c>
      <c r="B469" s="40" t="s">
        <v>368</v>
      </c>
      <c r="C469" s="14" t="s">
        <v>370</v>
      </c>
      <c r="D469" s="2" t="s">
        <v>223</v>
      </c>
      <c r="E469" s="14">
        <v>3</v>
      </c>
    </row>
    <row r="470" customHeight="1" spans="1:5">
      <c r="A470" s="36" t="s">
        <v>238</v>
      </c>
      <c r="B470" s="40" t="s">
        <v>368</v>
      </c>
      <c r="C470" s="14" t="s">
        <v>370</v>
      </c>
      <c r="D470" s="2" t="s">
        <v>223</v>
      </c>
      <c r="E470" s="14">
        <v>4</v>
      </c>
    </row>
    <row r="471" customHeight="1" spans="1:5">
      <c r="A471" s="36" t="s">
        <v>238</v>
      </c>
      <c r="B471" s="40" t="s">
        <v>368</v>
      </c>
      <c r="C471" s="14" t="s">
        <v>370</v>
      </c>
      <c r="D471" s="2" t="s">
        <v>223</v>
      </c>
      <c r="E471" s="14">
        <v>5</v>
      </c>
    </row>
    <row r="472" customHeight="1" spans="1:5">
      <c r="A472" s="36" t="s">
        <v>238</v>
      </c>
      <c r="B472" s="40" t="s">
        <v>368</v>
      </c>
      <c r="C472" s="15" t="s">
        <v>371</v>
      </c>
      <c r="D472" s="2" t="s">
        <v>224</v>
      </c>
      <c r="E472" s="15">
        <v>1</v>
      </c>
    </row>
    <row r="473" customHeight="1" spans="1:5">
      <c r="A473" s="36" t="s">
        <v>238</v>
      </c>
      <c r="B473" s="40" t="s">
        <v>368</v>
      </c>
      <c r="C473" s="15" t="s">
        <v>371</v>
      </c>
      <c r="D473" s="2" t="s">
        <v>224</v>
      </c>
      <c r="E473" s="15">
        <v>2</v>
      </c>
    </row>
    <row r="474" customHeight="1" spans="1:5">
      <c r="A474" s="36" t="s">
        <v>238</v>
      </c>
      <c r="B474" s="40" t="s">
        <v>368</v>
      </c>
      <c r="C474" s="15" t="s">
        <v>371</v>
      </c>
      <c r="D474" s="2" t="s">
        <v>224</v>
      </c>
      <c r="E474" s="15">
        <v>3</v>
      </c>
    </row>
    <row r="475" customHeight="1" spans="1:5">
      <c r="A475" s="36" t="s">
        <v>238</v>
      </c>
      <c r="B475" s="40" t="s">
        <v>368</v>
      </c>
      <c r="C475" s="15" t="s">
        <v>371</v>
      </c>
      <c r="D475" s="2" t="s">
        <v>224</v>
      </c>
      <c r="E475" s="15">
        <v>4</v>
      </c>
    </row>
    <row r="476" customHeight="1" spans="1:5">
      <c r="A476" s="36" t="s">
        <v>238</v>
      </c>
      <c r="B476" s="40" t="s">
        <v>368</v>
      </c>
      <c r="C476" s="15" t="s">
        <v>371</v>
      </c>
      <c r="D476" s="2" t="s">
        <v>224</v>
      </c>
      <c r="E476" s="15">
        <v>5</v>
      </c>
    </row>
    <row r="477" customHeight="1" spans="1:5">
      <c r="A477" s="36" t="s">
        <v>238</v>
      </c>
      <c r="B477" s="40" t="s">
        <v>368</v>
      </c>
      <c r="C477" s="14" t="s">
        <v>371</v>
      </c>
      <c r="D477" s="2" t="s">
        <v>224</v>
      </c>
      <c r="E477" s="14">
        <v>1</v>
      </c>
    </row>
    <row r="478" customHeight="1" spans="1:5">
      <c r="A478" s="36" t="s">
        <v>238</v>
      </c>
      <c r="B478" s="40" t="s">
        <v>368</v>
      </c>
      <c r="C478" s="14" t="s">
        <v>371</v>
      </c>
      <c r="D478" s="2" t="s">
        <v>224</v>
      </c>
      <c r="E478" s="14">
        <v>2</v>
      </c>
    </row>
    <row r="479" customHeight="1" spans="1:5">
      <c r="A479" s="36" t="s">
        <v>238</v>
      </c>
      <c r="B479" s="40" t="s">
        <v>368</v>
      </c>
      <c r="C479" s="14" t="s">
        <v>371</v>
      </c>
      <c r="D479" s="2" t="s">
        <v>224</v>
      </c>
      <c r="E479" s="14">
        <v>3</v>
      </c>
    </row>
    <row r="480" customHeight="1" spans="1:5">
      <c r="A480" s="36" t="s">
        <v>238</v>
      </c>
      <c r="B480" s="40" t="s">
        <v>368</v>
      </c>
      <c r="C480" s="14" t="s">
        <v>371</v>
      </c>
      <c r="D480" s="2" t="s">
        <v>224</v>
      </c>
      <c r="E480" s="14">
        <v>4</v>
      </c>
    </row>
    <row r="481" customHeight="1" spans="1:5">
      <c r="A481" s="36" t="s">
        <v>238</v>
      </c>
      <c r="B481" s="40" t="s">
        <v>368</v>
      </c>
      <c r="C481" s="14" t="s">
        <v>371</v>
      </c>
      <c r="D481" s="2" t="s">
        <v>224</v>
      </c>
      <c r="E481" s="14">
        <v>5</v>
      </c>
    </row>
    <row r="482" customHeight="1" spans="1:5">
      <c r="A482" s="36" t="s">
        <v>238</v>
      </c>
      <c r="B482" s="40" t="s">
        <v>368</v>
      </c>
      <c r="C482" s="15" t="s">
        <v>372</v>
      </c>
      <c r="D482" s="2" t="s">
        <v>225</v>
      </c>
      <c r="E482" s="15">
        <v>1</v>
      </c>
    </row>
    <row r="483" customHeight="1" spans="1:5">
      <c r="A483" s="36" t="s">
        <v>238</v>
      </c>
      <c r="B483" s="40" t="s">
        <v>368</v>
      </c>
      <c r="C483" s="15" t="s">
        <v>372</v>
      </c>
      <c r="D483" s="2" t="s">
        <v>225</v>
      </c>
      <c r="E483" s="15">
        <v>2</v>
      </c>
    </row>
    <row r="484" customHeight="1" spans="1:5">
      <c r="A484" s="36" t="s">
        <v>238</v>
      </c>
      <c r="B484" s="40" t="s">
        <v>368</v>
      </c>
      <c r="C484" s="15" t="s">
        <v>372</v>
      </c>
      <c r="D484" s="2" t="s">
        <v>225</v>
      </c>
      <c r="E484" s="15">
        <v>3</v>
      </c>
    </row>
    <row r="485" customHeight="1" spans="1:5">
      <c r="A485" s="36" t="s">
        <v>238</v>
      </c>
      <c r="B485" s="40" t="s">
        <v>368</v>
      </c>
      <c r="C485" s="15" t="s">
        <v>372</v>
      </c>
      <c r="D485" s="2" t="s">
        <v>225</v>
      </c>
      <c r="E485" s="15">
        <v>4</v>
      </c>
    </row>
    <row r="486" customHeight="1" spans="1:5">
      <c r="A486" s="36" t="s">
        <v>238</v>
      </c>
      <c r="B486" s="40" t="s">
        <v>368</v>
      </c>
      <c r="C486" s="15" t="s">
        <v>372</v>
      </c>
      <c r="D486" s="2" t="s">
        <v>225</v>
      </c>
      <c r="E486" s="15">
        <v>5</v>
      </c>
    </row>
    <row r="487" customHeight="1" spans="1:5">
      <c r="A487" s="36" t="s">
        <v>238</v>
      </c>
      <c r="B487" s="40" t="s">
        <v>368</v>
      </c>
      <c r="C487" s="15" t="s">
        <v>372</v>
      </c>
      <c r="D487" s="2" t="s">
        <v>225</v>
      </c>
      <c r="E487" s="15">
        <v>6</v>
      </c>
    </row>
    <row r="488" customHeight="1" spans="1:5">
      <c r="A488" s="36" t="s">
        <v>238</v>
      </c>
      <c r="B488" s="40" t="s">
        <v>368</v>
      </c>
      <c r="C488" s="15" t="s">
        <v>372</v>
      </c>
      <c r="D488" s="2" t="s">
        <v>225</v>
      </c>
      <c r="E488" s="15">
        <v>7</v>
      </c>
    </row>
    <row r="489" customHeight="1" spans="1:5">
      <c r="A489" s="36" t="s">
        <v>238</v>
      </c>
      <c r="B489" s="40" t="s">
        <v>368</v>
      </c>
      <c r="C489" s="15" t="s">
        <v>372</v>
      </c>
      <c r="D489" s="2" t="s">
        <v>225</v>
      </c>
      <c r="E489" s="15">
        <v>8</v>
      </c>
    </row>
    <row r="490" customHeight="1" spans="1:5">
      <c r="A490" s="36" t="s">
        <v>247</v>
      </c>
      <c r="B490" s="40" t="s">
        <v>373</v>
      </c>
      <c r="C490" s="14" t="s">
        <v>374</v>
      </c>
      <c r="D490" s="2" t="s">
        <v>222</v>
      </c>
      <c r="E490" s="14">
        <v>1</v>
      </c>
    </row>
    <row r="491" customHeight="1" spans="1:5">
      <c r="A491" s="36" t="s">
        <v>247</v>
      </c>
      <c r="B491" s="40" t="s">
        <v>373</v>
      </c>
      <c r="C491" s="14" t="s">
        <v>374</v>
      </c>
      <c r="D491" s="2" t="s">
        <v>222</v>
      </c>
      <c r="E491" s="14">
        <v>2</v>
      </c>
    </row>
    <row r="492" customHeight="1" spans="1:5">
      <c r="A492" s="36" t="s">
        <v>247</v>
      </c>
      <c r="B492" s="40" t="s">
        <v>373</v>
      </c>
      <c r="C492" s="14" t="s">
        <v>374</v>
      </c>
      <c r="D492" s="2" t="s">
        <v>222</v>
      </c>
      <c r="E492" s="14">
        <v>3</v>
      </c>
    </row>
    <row r="493" customHeight="1" spans="1:5">
      <c r="A493" s="36" t="s">
        <v>247</v>
      </c>
      <c r="B493" s="40" t="s">
        <v>373</v>
      </c>
      <c r="C493" s="14" t="s">
        <v>374</v>
      </c>
      <c r="D493" s="2" t="s">
        <v>222</v>
      </c>
      <c r="E493" s="14">
        <v>4</v>
      </c>
    </row>
    <row r="494" customHeight="1" spans="1:5">
      <c r="A494" s="36" t="s">
        <v>247</v>
      </c>
      <c r="B494" s="40" t="s">
        <v>373</v>
      </c>
      <c r="C494" s="14" t="s">
        <v>374</v>
      </c>
      <c r="D494" s="2" t="s">
        <v>222</v>
      </c>
      <c r="E494" s="14">
        <v>5</v>
      </c>
    </row>
    <row r="495" customHeight="1" spans="1:5">
      <c r="A495" s="36" t="s">
        <v>247</v>
      </c>
      <c r="B495" s="40" t="s">
        <v>373</v>
      </c>
      <c r="C495" s="15" t="s">
        <v>375</v>
      </c>
      <c r="D495" s="2" t="s">
        <v>225</v>
      </c>
      <c r="E495" s="15">
        <v>1</v>
      </c>
    </row>
    <row r="496" customHeight="1" spans="1:5">
      <c r="A496" s="36" t="s">
        <v>247</v>
      </c>
      <c r="B496" s="40" t="s">
        <v>373</v>
      </c>
      <c r="C496" s="15" t="s">
        <v>375</v>
      </c>
      <c r="D496" s="2" t="s">
        <v>225</v>
      </c>
      <c r="E496" s="15">
        <v>2</v>
      </c>
    </row>
    <row r="497" customHeight="1" spans="1:5">
      <c r="A497" s="36" t="s">
        <v>247</v>
      </c>
      <c r="B497" s="40" t="s">
        <v>373</v>
      </c>
      <c r="C497" s="15" t="s">
        <v>375</v>
      </c>
      <c r="D497" s="2" t="s">
        <v>225</v>
      </c>
      <c r="E497" s="15">
        <v>3</v>
      </c>
    </row>
    <row r="498" customHeight="1" spans="1:5">
      <c r="A498" s="36" t="s">
        <v>247</v>
      </c>
      <c r="B498" s="40" t="s">
        <v>373</v>
      </c>
      <c r="C498" s="15" t="s">
        <v>375</v>
      </c>
      <c r="D498" s="2" t="s">
        <v>225</v>
      </c>
      <c r="E498" s="15">
        <v>4</v>
      </c>
    </row>
    <row r="499" customHeight="1" spans="1:5">
      <c r="A499" s="36" t="s">
        <v>247</v>
      </c>
      <c r="B499" s="40" t="s">
        <v>373</v>
      </c>
      <c r="C499" s="15" t="s">
        <v>375</v>
      </c>
      <c r="D499" s="2" t="s">
        <v>225</v>
      </c>
      <c r="E499" s="15">
        <v>5</v>
      </c>
    </row>
    <row r="500" customHeight="1" spans="1:5">
      <c r="A500" s="36" t="s">
        <v>247</v>
      </c>
      <c r="B500" s="39" t="s">
        <v>376</v>
      </c>
      <c r="C500" s="14" t="s">
        <v>377</v>
      </c>
      <c r="D500" s="2" t="s">
        <v>222</v>
      </c>
      <c r="E500" s="14">
        <v>1</v>
      </c>
    </row>
    <row r="501" customHeight="1" spans="1:5">
      <c r="A501" s="36" t="s">
        <v>247</v>
      </c>
      <c r="B501" s="39" t="s">
        <v>376</v>
      </c>
      <c r="C501" s="14" t="s">
        <v>377</v>
      </c>
      <c r="D501" s="2" t="s">
        <v>222</v>
      </c>
      <c r="E501" s="14">
        <v>2</v>
      </c>
    </row>
    <row r="502" customHeight="1" spans="1:5">
      <c r="A502" s="36" t="s">
        <v>247</v>
      </c>
      <c r="B502" s="39" t="s">
        <v>376</v>
      </c>
      <c r="C502" s="14" t="s">
        <v>377</v>
      </c>
      <c r="D502" s="2" t="s">
        <v>222</v>
      </c>
      <c r="E502" s="14">
        <v>3</v>
      </c>
    </row>
    <row r="503" customHeight="1" spans="1:5">
      <c r="A503" s="36" t="s">
        <v>247</v>
      </c>
      <c r="B503" s="39" t="s">
        <v>376</v>
      </c>
      <c r="C503" s="14" t="s">
        <v>377</v>
      </c>
      <c r="D503" s="2" t="s">
        <v>222</v>
      </c>
      <c r="E503" s="14">
        <v>4</v>
      </c>
    </row>
    <row r="504" customHeight="1" spans="1:5">
      <c r="A504" s="36" t="s">
        <v>247</v>
      </c>
      <c r="B504" s="39" t="s">
        <v>376</v>
      </c>
      <c r="C504" s="14" t="s">
        <v>377</v>
      </c>
      <c r="D504" s="2" t="s">
        <v>222</v>
      </c>
      <c r="E504" s="14">
        <v>5</v>
      </c>
    </row>
    <row r="505" customHeight="1" spans="1:5">
      <c r="A505" s="36" t="s">
        <v>247</v>
      </c>
      <c r="B505" s="39" t="s">
        <v>376</v>
      </c>
      <c r="C505" s="15" t="s">
        <v>378</v>
      </c>
      <c r="D505" s="2" t="s">
        <v>225</v>
      </c>
      <c r="E505" s="15">
        <v>1</v>
      </c>
    </row>
    <row r="506" customHeight="1" spans="1:5">
      <c r="A506" s="36" t="s">
        <v>247</v>
      </c>
      <c r="B506" s="39" t="s">
        <v>376</v>
      </c>
      <c r="C506" s="15" t="s">
        <v>378</v>
      </c>
      <c r="D506" s="2" t="s">
        <v>225</v>
      </c>
      <c r="E506" s="15">
        <v>2</v>
      </c>
    </row>
    <row r="507" customHeight="1" spans="1:5">
      <c r="A507" s="36" t="s">
        <v>247</v>
      </c>
      <c r="B507" s="39" t="s">
        <v>376</v>
      </c>
      <c r="C507" s="15" t="s">
        <v>378</v>
      </c>
      <c r="D507" s="2" t="s">
        <v>225</v>
      </c>
      <c r="E507" s="15">
        <v>3</v>
      </c>
    </row>
    <row r="508" customHeight="1" spans="1:5">
      <c r="A508" s="36" t="s">
        <v>247</v>
      </c>
      <c r="B508" s="39" t="s">
        <v>376</v>
      </c>
      <c r="C508" s="15" t="s">
        <v>378</v>
      </c>
      <c r="D508" s="2" t="s">
        <v>225</v>
      </c>
      <c r="E508" s="15">
        <v>4</v>
      </c>
    </row>
    <row r="509" customHeight="1" spans="1:5">
      <c r="A509" s="36" t="s">
        <v>247</v>
      </c>
      <c r="B509" s="39" t="s">
        <v>376</v>
      </c>
      <c r="C509" s="15" t="s">
        <v>378</v>
      </c>
      <c r="D509" s="2" t="s">
        <v>225</v>
      </c>
      <c r="E509" s="15">
        <v>5</v>
      </c>
    </row>
    <row r="510" customHeight="1" spans="1:5">
      <c r="A510" s="36" t="s">
        <v>247</v>
      </c>
      <c r="B510" s="40" t="s">
        <v>379</v>
      </c>
      <c r="C510" s="14" t="s">
        <v>380</v>
      </c>
      <c r="D510" s="2" t="s">
        <v>222</v>
      </c>
      <c r="E510" s="14">
        <v>1</v>
      </c>
    </row>
    <row r="511" customHeight="1" spans="1:5">
      <c r="A511" s="36" t="s">
        <v>247</v>
      </c>
      <c r="B511" s="40" t="s">
        <v>379</v>
      </c>
      <c r="C511" s="14" t="s">
        <v>380</v>
      </c>
      <c r="D511" s="2" t="s">
        <v>222</v>
      </c>
      <c r="E511" s="14">
        <v>2</v>
      </c>
    </row>
    <row r="512" customHeight="1" spans="1:5">
      <c r="A512" s="36" t="s">
        <v>247</v>
      </c>
      <c r="B512" s="40" t="s">
        <v>379</v>
      </c>
      <c r="C512" s="14" t="s">
        <v>380</v>
      </c>
      <c r="D512" s="2" t="s">
        <v>222</v>
      </c>
      <c r="E512" s="14">
        <v>3</v>
      </c>
    </row>
    <row r="513" customHeight="1" spans="1:5">
      <c r="A513" s="36" t="s">
        <v>247</v>
      </c>
      <c r="B513" s="40" t="s">
        <v>379</v>
      </c>
      <c r="C513" s="14" t="s">
        <v>380</v>
      </c>
      <c r="D513" s="2" t="s">
        <v>222</v>
      </c>
      <c r="E513" s="14">
        <v>4</v>
      </c>
    </row>
    <row r="514" customHeight="1" spans="1:5">
      <c r="A514" s="36" t="s">
        <v>247</v>
      </c>
      <c r="B514" s="40" t="s">
        <v>379</v>
      </c>
      <c r="C514" s="14" t="s">
        <v>380</v>
      </c>
      <c r="D514" s="2" t="s">
        <v>222</v>
      </c>
      <c r="E514" s="14">
        <v>5</v>
      </c>
    </row>
    <row r="515" customHeight="1" spans="1:5">
      <c r="A515" s="36" t="s">
        <v>247</v>
      </c>
      <c r="B515" s="40" t="s">
        <v>379</v>
      </c>
      <c r="C515" s="15" t="s">
        <v>381</v>
      </c>
      <c r="D515" s="2" t="s">
        <v>225</v>
      </c>
      <c r="E515" s="15">
        <v>1</v>
      </c>
    </row>
    <row r="516" customHeight="1" spans="1:5">
      <c r="A516" s="36" t="s">
        <v>247</v>
      </c>
      <c r="B516" s="40" t="s">
        <v>379</v>
      </c>
      <c r="C516" s="15" t="s">
        <v>381</v>
      </c>
      <c r="D516" s="2" t="s">
        <v>225</v>
      </c>
      <c r="E516" s="15">
        <v>2</v>
      </c>
    </row>
    <row r="517" customHeight="1" spans="1:5">
      <c r="A517" s="36" t="s">
        <v>247</v>
      </c>
      <c r="B517" s="40" t="s">
        <v>379</v>
      </c>
      <c r="C517" s="15" t="s">
        <v>381</v>
      </c>
      <c r="D517" s="2" t="s">
        <v>225</v>
      </c>
      <c r="E517" s="15">
        <v>3</v>
      </c>
    </row>
    <row r="518" customHeight="1" spans="1:5">
      <c r="A518" s="36" t="s">
        <v>247</v>
      </c>
      <c r="B518" s="40" t="s">
        <v>379</v>
      </c>
      <c r="C518" s="15" t="s">
        <v>381</v>
      </c>
      <c r="D518" s="2" t="s">
        <v>225</v>
      </c>
      <c r="E518" s="15">
        <v>4</v>
      </c>
    </row>
    <row r="519" customHeight="1" spans="1:5">
      <c r="A519" s="36" t="s">
        <v>247</v>
      </c>
      <c r="B519" s="40" t="s">
        <v>379</v>
      </c>
      <c r="C519" s="15" t="s">
        <v>381</v>
      </c>
      <c r="D519" s="2" t="s">
        <v>225</v>
      </c>
      <c r="E519" s="15">
        <v>5</v>
      </c>
    </row>
    <row r="520" customHeight="1" spans="1:5">
      <c r="A520" s="36" t="s">
        <v>247</v>
      </c>
      <c r="B520" s="39" t="s">
        <v>382</v>
      </c>
      <c r="C520" s="14" t="s">
        <v>383</v>
      </c>
      <c r="D520" s="2" t="s">
        <v>222</v>
      </c>
      <c r="E520" s="14">
        <v>1</v>
      </c>
    </row>
    <row r="521" customHeight="1" spans="1:5">
      <c r="A521" s="36" t="s">
        <v>247</v>
      </c>
      <c r="B521" s="39" t="s">
        <v>382</v>
      </c>
      <c r="C521" s="14" t="s">
        <v>383</v>
      </c>
      <c r="D521" s="2" t="s">
        <v>222</v>
      </c>
      <c r="E521" s="14">
        <v>2</v>
      </c>
    </row>
    <row r="522" customHeight="1" spans="1:5">
      <c r="A522" s="36" t="s">
        <v>247</v>
      </c>
      <c r="B522" s="39" t="s">
        <v>382</v>
      </c>
      <c r="C522" s="14" t="s">
        <v>383</v>
      </c>
      <c r="D522" s="2" t="s">
        <v>222</v>
      </c>
      <c r="E522" s="14">
        <v>3</v>
      </c>
    </row>
    <row r="523" customHeight="1" spans="1:5">
      <c r="A523" s="36" t="s">
        <v>247</v>
      </c>
      <c r="B523" s="39" t="s">
        <v>382</v>
      </c>
      <c r="C523" s="14" t="s">
        <v>383</v>
      </c>
      <c r="D523" s="2" t="s">
        <v>222</v>
      </c>
      <c r="E523" s="14">
        <v>4</v>
      </c>
    </row>
    <row r="524" customHeight="1" spans="1:5">
      <c r="A524" s="36" t="s">
        <v>247</v>
      </c>
      <c r="B524" s="39" t="s">
        <v>382</v>
      </c>
      <c r="C524" s="14" t="s">
        <v>383</v>
      </c>
      <c r="D524" s="2" t="s">
        <v>222</v>
      </c>
      <c r="E524" s="14">
        <v>5</v>
      </c>
    </row>
    <row r="525" customHeight="1" spans="1:5">
      <c r="A525" s="36" t="s">
        <v>247</v>
      </c>
      <c r="B525" s="39" t="s">
        <v>382</v>
      </c>
      <c r="C525" s="15" t="s">
        <v>384</v>
      </c>
      <c r="D525" s="2" t="s">
        <v>225</v>
      </c>
      <c r="E525" s="15">
        <v>1</v>
      </c>
    </row>
    <row r="526" customHeight="1" spans="1:5">
      <c r="A526" s="36" t="s">
        <v>247</v>
      </c>
      <c r="B526" s="39" t="s">
        <v>382</v>
      </c>
      <c r="C526" s="15" t="s">
        <v>384</v>
      </c>
      <c r="D526" s="2" t="s">
        <v>225</v>
      </c>
      <c r="E526" s="15">
        <v>2</v>
      </c>
    </row>
    <row r="527" customHeight="1" spans="1:5">
      <c r="A527" s="36" t="s">
        <v>247</v>
      </c>
      <c r="B527" s="39" t="s">
        <v>382</v>
      </c>
      <c r="C527" s="15" t="s">
        <v>384</v>
      </c>
      <c r="D527" s="2" t="s">
        <v>225</v>
      </c>
      <c r="E527" s="15">
        <v>3</v>
      </c>
    </row>
    <row r="528" customHeight="1" spans="1:5">
      <c r="A528" s="36" t="s">
        <v>247</v>
      </c>
      <c r="B528" s="39" t="s">
        <v>382</v>
      </c>
      <c r="C528" s="15" t="s">
        <v>384</v>
      </c>
      <c r="D528" s="2" t="s">
        <v>225</v>
      </c>
      <c r="E528" s="15">
        <v>4</v>
      </c>
    </row>
    <row r="529" customHeight="1" spans="1:5">
      <c r="A529" s="36" t="s">
        <v>247</v>
      </c>
      <c r="B529" s="39" t="s">
        <v>382</v>
      </c>
      <c r="C529" s="15" t="s">
        <v>384</v>
      </c>
      <c r="D529" s="2" t="s">
        <v>225</v>
      </c>
      <c r="E529" s="15">
        <v>5</v>
      </c>
    </row>
    <row r="530" customHeight="1" spans="1:5">
      <c r="A530" s="36" t="s">
        <v>247</v>
      </c>
      <c r="B530" s="39" t="s">
        <v>382</v>
      </c>
      <c r="C530" s="15" t="s">
        <v>384</v>
      </c>
      <c r="D530" s="2" t="s">
        <v>225</v>
      </c>
      <c r="E530" s="15">
        <v>6</v>
      </c>
    </row>
    <row r="531" customHeight="1" spans="1:5">
      <c r="A531" s="36" t="s">
        <v>247</v>
      </c>
      <c r="B531" s="39" t="s">
        <v>382</v>
      </c>
      <c r="C531" s="15" t="s">
        <v>384</v>
      </c>
      <c r="D531" s="2" t="s">
        <v>225</v>
      </c>
      <c r="E531" s="15">
        <v>7</v>
      </c>
    </row>
    <row r="532" customHeight="1" spans="1:5">
      <c r="A532" s="36" t="s">
        <v>247</v>
      </c>
      <c r="B532" s="39" t="s">
        <v>382</v>
      </c>
      <c r="C532" s="15" t="s">
        <v>384</v>
      </c>
      <c r="D532" s="2" t="s">
        <v>225</v>
      </c>
      <c r="E532" s="15">
        <v>8</v>
      </c>
    </row>
    <row r="533" customHeight="1" spans="1:5">
      <c r="A533" s="36" t="s">
        <v>247</v>
      </c>
      <c r="B533" s="39" t="s">
        <v>382</v>
      </c>
      <c r="C533" s="14" t="s">
        <v>384</v>
      </c>
      <c r="D533" s="2" t="s">
        <v>225</v>
      </c>
      <c r="E533" s="14">
        <v>1</v>
      </c>
    </row>
    <row r="534" customHeight="1" spans="1:5">
      <c r="A534" s="36" t="s">
        <v>247</v>
      </c>
      <c r="B534" s="39" t="s">
        <v>382</v>
      </c>
      <c r="C534" s="14" t="s">
        <v>384</v>
      </c>
      <c r="D534" s="2" t="s">
        <v>225</v>
      </c>
      <c r="E534" s="14">
        <v>2</v>
      </c>
    </row>
    <row r="535" customHeight="1" spans="1:5">
      <c r="A535" s="36" t="s">
        <v>247</v>
      </c>
      <c r="B535" s="39" t="s">
        <v>382</v>
      </c>
      <c r="C535" s="14" t="s">
        <v>384</v>
      </c>
      <c r="D535" s="2" t="s">
        <v>225</v>
      </c>
      <c r="E535" s="14">
        <v>3</v>
      </c>
    </row>
    <row r="536" customHeight="1" spans="1:5">
      <c r="A536" s="36" t="s">
        <v>247</v>
      </c>
      <c r="B536" s="39" t="s">
        <v>382</v>
      </c>
      <c r="C536" s="14" t="s">
        <v>384</v>
      </c>
      <c r="D536" s="2" t="s">
        <v>225</v>
      </c>
      <c r="E536" s="14">
        <v>4</v>
      </c>
    </row>
    <row r="537" customHeight="1" spans="1:5">
      <c r="A537" s="36" t="s">
        <v>247</v>
      </c>
      <c r="B537" s="39" t="s">
        <v>382</v>
      </c>
      <c r="C537" s="14" t="s">
        <v>384</v>
      </c>
      <c r="D537" s="2" t="s">
        <v>225</v>
      </c>
      <c r="E537" s="14">
        <v>5</v>
      </c>
    </row>
    <row r="538" customHeight="1" spans="1:5">
      <c r="A538" s="36" t="s">
        <v>247</v>
      </c>
      <c r="B538" s="39" t="s">
        <v>382</v>
      </c>
      <c r="C538" s="14" t="s">
        <v>384</v>
      </c>
      <c r="D538" s="2" t="s">
        <v>225</v>
      </c>
      <c r="E538" s="14">
        <v>6</v>
      </c>
    </row>
    <row r="539" customHeight="1" spans="1:5">
      <c r="A539" s="36" t="s">
        <v>247</v>
      </c>
      <c r="B539" s="39" t="s">
        <v>382</v>
      </c>
      <c r="C539" s="14" t="s">
        <v>384</v>
      </c>
      <c r="D539" s="2" t="s">
        <v>225</v>
      </c>
      <c r="E539" s="14">
        <v>7</v>
      </c>
    </row>
    <row r="540" customHeight="1" spans="1:5">
      <c r="A540" s="36" t="s">
        <v>247</v>
      </c>
      <c r="B540" s="39" t="s">
        <v>382</v>
      </c>
      <c r="C540" s="14" t="s">
        <v>384</v>
      </c>
      <c r="D540" s="2" t="s">
        <v>225</v>
      </c>
      <c r="E540" s="14">
        <v>8</v>
      </c>
    </row>
    <row r="541" customHeight="1" spans="1:5">
      <c r="A541" s="36" t="s">
        <v>247</v>
      </c>
      <c r="B541" s="40" t="s">
        <v>385</v>
      </c>
      <c r="C541" s="15" t="s">
        <v>386</v>
      </c>
      <c r="D541" s="2" t="s">
        <v>222</v>
      </c>
      <c r="E541" s="15">
        <v>1</v>
      </c>
    </row>
    <row r="542" customHeight="1" spans="1:5">
      <c r="A542" s="36" t="s">
        <v>247</v>
      </c>
      <c r="B542" s="40" t="s">
        <v>385</v>
      </c>
      <c r="C542" s="15" t="s">
        <v>386</v>
      </c>
      <c r="D542" s="2" t="s">
        <v>222</v>
      </c>
      <c r="E542" s="15">
        <v>2</v>
      </c>
    </row>
    <row r="543" customHeight="1" spans="1:5">
      <c r="A543" s="36" t="s">
        <v>247</v>
      </c>
      <c r="B543" s="40" t="s">
        <v>385</v>
      </c>
      <c r="C543" s="15" t="s">
        <v>386</v>
      </c>
      <c r="D543" s="2" t="s">
        <v>222</v>
      </c>
      <c r="E543" s="15">
        <v>3</v>
      </c>
    </row>
    <row r="544" customHeight="1" spans="1:5">
      <c r="A544" s="36" t="s">
        <v>247</v>
      </c>
      <c r="B544" s="40" t="s">
        <v>385</v>
      </c>
      <c r="C544" s="15" t="s">
        <v>386</v>
      </c>
      <c r="D544" s="2" t="s">
        <v>222</v>
      </c>
      <c r="E544" s="15">
        <v>4</v>
      </c>
    </row>
    <row r="545" customHeight="1" spans="1:5">
      <c r="A545" s="36" t="s">
        <v>247</v>
      </c>
      <c r="B545" s="40" t="s">
        <v>385</v>
      </c>
      <c r="C545" s="15" t="s">
        <v>386</v>
      </c>
      <c r="D545" s="2" t="s">
        <v>222</v>
      </c>
      <c r="E545" s="15">
        <v>5</v>
      </c>
    </row>
    <row r="546" customHeight="1" spans="1:5">
      <c r="A546" s="36" t="s">
        <v>247</v>
      </c>
      <c r="B546" s="40" t="s">
        <v>385</v>
      </c>
      <c r="C546" s="14" t="s">
        <v>386</v>
      </c>
      <c r="D546" s="2" t="s">
        <v>222</v>
      </c>
      <c r="E546" s="14">
        <v>1</v>
      </c>
    </row>
    <row r="547" customHeight="1" spans="1:5">
      <c r="A547" s="36" t="s">
        <v>247</v>
      </c>
      <c r="B547" s="40" t="s">
        <v>385</v>
      </c>
      <c r="C547" s="14" t="s">
        <v>386</v>
      </c>
      <c r="D547" s="2" t="s">
        <v>222</v>
      </c>
      <c r="E547" s="14">
        <v>2</v>
      </c>
    </row>
    <row r="548" customHeight="1" spans="1:5">
      <c r="A548" s="36" t="s">
        <v>247</v>
      </c>
      <c r="B548" s="40" t="s">
        <v>385</v>
      </c>
      <c r="C548" s="14" t="s">
        <v>386</v>
      </c>
      <c r="D548" s="2" t="s">
        <v>222</v>
      </c>
      <c r="E548" s="14">
        <v>3</v>
      </c>
    </row>
    <row r="549" customHeight="1" spans="1:5">
      <c r="A549" s="36" t="s">
        <v>247</v>
      </c>
      <c r="B549" s="40" t="s">
        <v>385</v>
      </c>
      <c r="C549" s="14" t="s">
        <v>386</v>
      </c>
      <c r="D549" s="2" t="s">
        <v>222</v>
      </c>
      <c r="E549" s="14">
        <v>4</v>
      </c>
    </row>
    <row r="550" customHeight="1" spans="1:5">
      <c r="A550" s="36" t="s">
        <v>247</v>
      </c>
      <c r="B550" s="40" t="s">
        <v>385</v>
      </c>
      <c r="C550" s="14" t="s">
        <v>386</v>
      </c>
      <c r="D550" s="2" t="s">
        <v>222</v>
      </c>
      <c r="E550" s="14">
        <v>5</v>
      </c>
    </row>
    <row r="551" customHeight="1" spans="1:5">
      <c r="A551" s="36" t="s">
        <v>247</v>
      </c>
      <c r="B551" s="40" t="s">
        <v>385</v>
      </c>
      <c r="C551" s="15" t="s">
        <v>387</v>
      </c>
      <c r="D551" s="2" t="s">
        <v>255</v>
      </c>
      <c r="E551" s="15">
        <v>1</v>
      </c>
    </row>
    <row r="552" customHeight="1" spans="1:5">
      <c r="A552" s="36" t="s">
        <v>247</v>
      </c>
      <c r="B552" s="40" t="s">
        <v>385</v>
      </c>
      <c r="C552" s="15" t="s">
        <v>387</v>
      </c>
      <c r="D552" s="2" t="s">
        <v>255</v>
      </c>
      <c r="E552" s="15">
        <v>2</v>
      </c>
    </row>
    <row r="553" customHeight="1" spans="1:5">
      <c r="A553" s="36" t="s">
        <v>247</v>
      </c>
      <c r="B553" s="40" t="s">
        <v>385</v>
      </c>
      <c r="C553" s="15" t="s">
        <v>387</v>
      </c>
      <c r="D553" s="2" t="s">
        <v>255</v>
      </c>
      <c r="E553" s="15">
        <v>3</v>
      </c>
    </row>
    <row r="554" customHeight="1" spans="1:5">
      <c r="A554" s="36" t="s">
        <v>247</v>
      </c>
      <c r="B554" s="40" t="s">
        <v>385</v>
      </c>
      <c r="C554" s="15" t="s">
        <v>387</v>
      </c>
      <c r="D554" s="2" t="s">
        <v>255</v>
      </c>
      <c r="E554" s="15">
        <v>4</v>
      </c>
    </row>
    <row r="555" customHeight="1" spans="1:5">
      <c r="A555" s="36" t="s">
        <v>247</v>
      </c>
      <c r="B555" s="40" t="s">
        <v>385</v>
      </c>
      <c r="C555" s="15" t="s">
        <v>387</v>
      </c>
      <c r="D555" s="2" t="s">
        <v>255</v>
      </c>
      <c r="E555" s="15">
        <v>5</v>
      </c>
    </row>
    <row r="556" customHeight="1" spans="1:5">
      <c r="A556" s="36" t="s">
        <v>247</v>
      </c>
      <c r="B556" s="40" t="s">
        <v>385</v>
      </c>
      <c r="C556" s="14" t="s">
        <v>388</v>
      </c>
      <c r="D556" s="2" t="s">
        <v>225</v>
      </c>
      <c r="E556" s="14">
        <v>1</v>
      </c>
    </row>
    <row r="557" customHeight="1" spans="1:5">
      <c r="A557" s="36" t="s">
        <v>247</v>
      </c>
      <c r="B557" s="40" t="s">
        <v>385</v>
      </c>
      <c r="C557" s="14" t="s">
        <v>388</v>
      </c>
      <c r="D557" s="2" t="s">
        <v>225</v>
      </c>
      <c r="E557" s="14">
        <v>2</v>
      </c>
    </row>
    <row r="558" customHeight="1" spans="1:5">
      <c r="A558" s="36" t="s">
        <v>247</v>
      </c>
      <c r="B558" s="40" t="s">
        <v>385</v>
      </c>
      <c r="C558" s="14" t="s">
        <v>388</v>
      </c>
      <c r="D558" s="2" t="s">
        <v>225</v>
      </c>
      <c r="E558" s="14">
        <v>3</v>
      </c>
    </row>
    <row r="559" customHeight="1" spans="1:5">
      <c r="A559" s="36" t="s">
        <v>247</v>
      </c>
      <c r="B559" s="40" t="s">
        <v>385</v>
      </c>
      <c r="C559" s="14" t="s">
        <v>388</v>
      </c>
      <c r="D559" s="2" t="s">
        <v>225</v>
      </c>
      <c r="E559" s="14">
        <v>4</v>
      </c>
    </row>
    <row r="560" customHeight="1" spans="1:5">
      <c r="A560" s="36" t="s">
        <v>247</v>
      </c>
      <c r="B560" s="40" t="s">
        <v>385</v>
      </c>
      <c r="C560" s="14" t="s">
        <v>388</v>
      </c>
      <c r="D560" s="2" t="s">
        <v>225</v>
      </c>
      <c r="E560" s="14">
        <v>5</v>
      </c>
    </row>
    <row r="561" customHeight="1" spans="1:5">
      <c r="A561" s="36" t="s">
        <v>247</v>
      </c>
      <c r="B561" s="40" t="s">
        <v>385</v>
      </c>
      <c r="C561" s="14" t="s">
        <v>388</v>
      </c>
      <c r="D561" s="2" t="s">
        <v>225</v>
      </c>
      <c r="E561" s="14">
        <v>6</v>
      </c>
    </row>
    <row r="562" customHeight="1" spans="1:5">
      <c r="A562" s="36" t="s">
        <v>247</v>
      </c>
      <c r="B562" s="40" t="s">
        <v>385</v>
      </c>
      <c r="C562" s="14" t="s">
        <v>388</v>
      </c>
      <c r="D562" s="2" t="s">
        <v>225</v>
      </c>
      <c r="E562" s="14">
        <v>7</v>
      </c>
    </row>
    <row r="563" customHeight="1" spans="1:5">
      <c r="A563" s="36" t="s">
        <v>247</v>
      </c>
      <c r="B563" s="40" t="s">
        <v>385</v>
      </c>
      <c r="C563" s="14" t="s">
        <v>388</v>
      </c>
      <c r="D563" s="2" t="s">
        <v>225</v>
      </c>
      <c r="E563" s="14">
        <v>8</v>
      </c>
    </row>
    <row r="564" customHeight="1" spans="1:5">
      <c r="A564" s="36" t="s">
        <v>247</v>
      </c>
      <c r="B564" s="40" t="s">
        <v>389</v>
      </c>
      <c r="C564" s="15" t="s">
        <v>390</v>
      </c>
      <c r="D564" s="2" t="s">
        <v>222</v>
      </c>
      <c r="E564" s="15">
        <v>1</v>
      </c>
    </row>
    <row r="565" customHeight="1" spans="1:5">
      <c r="A565" s="36" t="s">
        <v>247</v>
      </c>
      <c r="B565" s="40" t="s">
        <v>389</v>
      </c>
      <c r="C565" s="15" t="s">
        <v>390</v>
      </c>
      <c r="D565" s="2" t="s">
        <v>222</v>
      </c>
      <c r="E565" s="15">
        <v>2</v>
      </c>
    </row>
    <row r="566" customHeight="1" spans="1:5">
      <c r="A566" s="36" t="s">
        <v>247</v>
      </c>
      <c r="B566" s="40" t="s">
        <v>389</v>
      </c>
      <c r="C566" s="15" t="s">
        <v>390</v>
      </c>
      <c r="D566" s="2" t="s">
        <v>222</v>
      </c>
      <c r="E566" s="15">
        <v>3</v>
      </c>
    </row>
    <row r="567" customHeight="1" spans="1:5">
      <c r="A567" s="36" t="s">
        <v>247</v>
      </c>
      <c r="B567" s="40" t="s">
        <v>389</v>
      </c>
      <c r="C567" s="15" t="s">
        <v>390</v>
      </c>
      <c r="D567" s="2" t="s">
        <v>222</v>
      </c>
      <c r="E567" s="15">
        <v>4</v>
      </c>
    </row>
    <row r="568" customHeight="1" spans="1:5">
      <c r="A568" s="36" t="s">
        <v>247</v>
      </c>
      <c r="B568" s="40" t="s">
        <v>389</v>
      </c>
      <c r="C568" s="15" t="s">
        <v>390</v>
      </c>
      <c r="D568" s="2" t="s">
        <v>222</v>
      </c>
      <c r="E568" s="15">
        <v>5</v>
      </c>
    </row>
    <row r="569" customHeight="1" spans="1:5">
      <c r="A569" s="36" t="s">
        <v>238</v>
      </c>
      <c r="B569" s="40" t="s">
        <v>391</v>
      </c>
      <c r="C569" s="14" t="s">
        <v>392</v>
      </c>
      <c r="D569" s="2" t="s">
        <v>222</v>
      </c>
      <c r="E569" s="14">
        <v>1</v>
      </c>
    </row>
    <row r="570" customHeight="1" spans="1:5">
      <c r="A570" s="36" t="s">
        <v>238</v>
      </c>
      <c r="B570" s="40" t="s">
        <v>391</v>
      </c>
      <c r="C570" s="14" t="s">
        <v>392</v>
      </c>
      <c r="D570" s="2" t="s">
        <v>222</v>
      </c>
      <c r="E570" s="14">
        <v>2</v>
      </c>
    </row>
    <row r="571" customHeight="1" spans="1:5">
      <c r="A571" s="36" t="s">
        <v>238</v>
      </c>
      <c r="B571" s="40" t="s">
        <v>391</v>
      </c>
      <c r="C571" s="14" t="s">
        <v>392</v>
      </c>
      <c r="D571" s="2" t="s">
        <v>222</v>
      </c>
      <c r="E571" s="14">
        <v>3</v>
      </c>
    </row>
    <row r="572" customHeight="1" spans="1:5">
      <c r="A572" s="36" t="s">
        <v>238</v>
      </c>
      <c r="B572" s="40" t="s">
        <v>391</v>
      </c>
      <c r="C572" s="14" t="s">
        <v>392</v>
      </c>
      <c r="D572" s="2" t="s">
        <v>222</v>
      </c>
      <c r="E572" s="14">
        <v>4</v>
      </c>
    </row>
    <row r="573" customHeight="1" spans="1:5">
      <c r="A573" s="36" t="s">
        <v>238</v>
      </c>
      <c r="B573" s="40" t="s">
        <v>391</v>
      </c>
      <c r="C573" s="14" t="s">
        <v>392</v>
      </c>
      <c r="D573" s="2" t="s">
        <v>222</v>
      </c>
      <c r="E573" s="14">
        <v>5</v>
      </c>
    </row>
    <row r="574" customHeight="1" spans="1:5">
      <c r="A574" s="36" t="s">
        <v>238</v>
      </c>
      <c r="B574" s="40" t="s">
        <v>391</v>
      </c>
      <c r="C574" s="15" t="s">
        <v>393</v>
      </c>
      <c r="D574" s="2" t="s">
        <v>225</v>
      </c>
      <c r="E574" s="15">
        <v>1</v>
      </c>
    </row>
    <row r="575" customHeight="1" spans="1:5">
      <c r="A575" s="36" t="s">
        <v>238</v>
      </c>
      <c r="B575" s="40" t="s">
        <v>391</v>
      </c>
      <c r="C575" s="15" t="s">
        <v>393</v>
      </c>
      <c r="D575" s="2" t="s">
        <v>225</v>
      </c>
      <c r="E575" s="15">
        <v>2</v>
      </c>
    </row>
    <row r="576" customHeight="1" spans="1:5">
      <c r="A576" s="36" t="s">
        <v>238</v>
      </c>
      <c r="B576" s="40" t="s">
        <v>391</v>
      </c>
      <c r="C576" s="15" t="s">
        <v>393</v>
      </c>
      <c r="D576" s="2" t="s">
        <v>225</v>
      </c>
      <c r="E576" s="15">
        <v>3</v>
      </c>
    </row>
    <row r="577" customHeight="1" spans="1:5">
      <c r="A577" s="36" t="s">
        <v>238</v>
      </c>
      <c r="B577" s="40" t="s">
        <v>391</v>
      </c>
      <c r="C577" s="15" t="s">
        <v>393</v>
      </c>
      <c r="D577" s="2" t="s">
        <v>225</v>
      </c>
      <c r="E577" s="15">
        <v>4</v>
      </c>
    </row>
    <row r="578" customHeight="1" spans="1:5">
      <c r="A578" s="36" t="s">
        <v>238</v>
      </c>
      <c r="B578" s="40" t="s">
        <v>391</v>
      </c>
      <c r="C578" s="15" t="s">
        <v>393</v>
      </c>
      <c r="D578" s="2" t="s">
        <v>225</v>
      </c>
      <c r="E578" s="15">
        <v>5</v>
      </c>
    </row>
    <row r="579" customHeight="1" spans="1:5">
      <c r="A579" s="36" t="s">
        <v>238</v>
      </c>
      <c r="B579" s="40" t="s">
        <v>391</v>
      </c>
      <c r="C579" s="15" t="s">
        <v>393</v>
      </c>
      <c r="D579" s="2" t="s">
        <v>225</v>
      </c>
      <c r="E579" s="15">
        <v>6</v>
      </c>
    </row>
    <row r="580" customHeight="1" spans="1:5">
      <c r="A580" s="36" t="s">
        <v>238</v>
      </c>
      <c r="B580" s="40" t="s">
        <v>391</v>
      </c>
      <c r="C580" s="15" t="s">
        <v>393</v>
      </c>
      <c r="D580" s="2" t="s">
        <v>225</v>
      </c>
      <c r="E580" s="15">
        <v>7</v>
      </c>
    </row>
    <row r="581" customHeight="1" spans="1:5">
      <c r="A581" s="36" t="s">
        <v>238</v>
      </c>
      <c r="B581" s="40" t="s">
        <v>391</v>
      </c>
      <c r="C581" s="15" t="s">
        <v>393</v>
      </c>
      <c r="D581" s="2" t="s">
        <v>225</v>
      </c>
      <c r="E581" s="15">
        <v>8</v>
      </c>
    </row>
    <row r="582" customHeight="1" spans="1:5">
      <c r="A582" s="36" t="s">
        <v>238</v>
      </c>
      <c r="B582" s="39" t="s">
        <v>394</v>
      </c>
      <c r="C582" s="14" t="s">
        <v>395</v>
      </c>
      <c r="D582" s="2" t="s">
        <v>222</v>
      </c>
      <c r="E582" s="14">
        <v>1</v>
      </c>
    </row>
    <row r="583" customHeight="1" spans="1:5">
      <c r="A583" s="36" t="s">
        <v>238</v>
      </c>
      <c r="B583" s="39" t="s">
        <v>394</v>
      </c>
      <c r="C583" s="14" t="s">
        <v>395</v>
      </c>
      <c r="D583" s="2" t="s">
        <v>222</v>
      </c>
      <c r="E583" s="14">
        <v>2</v>
      </c>
    </row>
    <row r="584" customHeight="1" spans="1:5">
      <c r="A584" s="36" t="s">
        <v>238</v>
      </c>
      <c r="B584" s="39" t="s">
        <v>394</v>
      </c>
      <c r="C584" s="14" t="s">
        <v>395</v>
      </c>
      <c r="D584" s="2" t="s">
        <v>222</v>
      </c>
      <c r="E584" s="14">
        <v>3</v>
      </c>
    </row>
    <row r="585" customHeight="1" spans="1:5">
      <c r="A585" s="36" t="s">
        <v>238</v>
      </c>
      <c r="B585" s="39" t="s">
        <v>394</v>
      </c>
      <c r="C585" s="14" t="s">
        <v>395</v>
      </c>
      <c r="D585" s="2" t="s">
        <v>222</v>
      </c>
      <c r="E585" s="14">
        <v>4</v>
      </c>
    </row>
    <row r="586" customHeight="1" spans="1:5">
      <c r="A586" s="36" t="s">
        <v>238</v>
      </c>
      <c r="B586" s="39" t="s">
        <v>394</v>
      </c>
      <c r="C586" s="14" t="s">
        <v>395</v>
      </c>
      <c r="D586" s="2" t="s">
        <v>222</v>
      </c>
      <c r="E586" s="14">
        <v>5</v>
      </c>
    </row>
    <row r="587" customHeight="1" spans="1:5">
      <c r="A587" s="36" t="s">
        <v>238</v>
      </c>
      <c r="B587" s="39" t="s">
        <v>394</v>
      </c>
      <c r="C587" s="15" t="s">
        <v>396</v>
      </c>
      <c r="D587" s="2" t="s">
        <v>225</v>
      </c>
      <c r="E587" s="15">
        <v>1</v>
      </c>
    </row>
    <row r="588" customHeight="1" spans="1:5">
      <c r="A588" s="36" t="s">
        <v>238</v>
      </c>
      <c r="B588" s="39" t="s">
        <v>394</v>
      </c>
      <c r="C588" s="15" t="s">
        <v>396</v>
      </c>
      <c r="D588" s="2" t="s">
        <v>225</v>
      </c>
      <c r="E588" s="15">
        <v>2</v>
      </c>
    </row>
    <row r="589" customHeight="1" spans="1:5">
      <c r="A589" s="36" t="s">
        <v>238</v>
      </c>
      <c r="B589" s="39" t="s">
        <v>394</v>
      </c>
      <c r="C589" s="15" t="s">
        <v>396</v>
      </c>
      <c r="D589" s="2" t="s">
        <v>225</v>
      </c>
      <c r="E589" s="15">
        <v>3</v>
      </c>
    </row>
    <row r="590" customHeight="1" spans="1:5">
      <c r="A590" s="36" t="s">
        <v>238</v>
      </c>
      <c r="B590" s="39" t="s">
        <v>394</v>
      </c>
      <c r="C590" s="15" t="s">
        <v>396</v>
      </c>
      <c r="D590" s="2" t="s">
        <v>225</v>
      </c>
      <c r="E590" s="15">
        <v>4</v>
      </c>
    </row>
    <row r="591" customHeight="1" spans="1:5">
      <c r="A591" s="36" t="s">
        <v>238</v>
      </c>
      <c r="B591" s="39" t="s">
        <v>394</v>
      </c>
      <c r="C591" s="15" t="s">
        <v>396</v>
      </c>
      <c r="D591" s="2" t="s">
        <v>225</v>
      </c>
      <c r="E591" s="15">
        <v>5</v>
      </c>
    </row>
    <row r="592" customHeight="1" spans="1:5">
      <c r="A592" s="36" t="s">
        <v>238</v>
      </c>
      <c r="B592" s="39" t="s">
        <v>394</v>
      </c>
      <c r="C592" s="15" t="s">
        <v>396</v>
      </c>
      <c r="D592" s="2" t="s">
        <v>225</v>
      </c>
      <c r="E592" s="15">
        <v>6</v>
      </c>
    </row>
    <row r="593" customHeight="1" spans="1:5">
      <c r="A593" s="36" t="s">
        <v>238</v>
      </c>
      <c r="B593" s="39" t="s">
        <v>394</v>
      </c>
      <c r="C593" s="15" t="s">
        <v>396</v>
      </c>
      <c r="D593" s="2" t="s">
        <v>225</v>
      </c>
      <c r="E593" s="15">
        <v>7</v>
      </c>
    </row>
    <row r="594" customHeight="1" spans="1:5">
      <c r="A594" s="36" t="s">
        <v>238</v>
      </c>
      <c r="B594" s="39" t="s">
        <v>394</v>
      </c>
      <c r="C594" s="15" t="s">
        <v>396</v>
      </c>
      <c r="D594" s="2" t="s">
        <v>225</v>
      </c>
      <c r="E594" s="15">
        <v>8</v>
      </c>
    </row>
    <row r="595" customHeight="1" spans="1:5">
      <c r="A595" s="36" t="s">
        <v>238</v>
      </c>
      <c r="B595" s="39" t="s">
        <v>394</v>
      </c>
      <c r="C595" s="14" t="s">
        <v>396</v>
      </c>
      <c r="D595" s="2" t="s">
        <v>225</v>
      </c>
      <c r="E595" s="14">
        <v>1</v>
      </c>
    </row>
    <row r="596" customHeight="1" spans="1:5">
      <c r="A596" s="36" t="s">
        <v>238</v>
      </c>
      <c r="B596" s="39" t="s">
        <v>394</v>
      </c>
      <c r="C596" s="14" t="s">
        <v>396</v>
      </c>
      <c r="D596" s="2" t="s">
        <v>225</v>
      </c>
      <c r="E596" s="14">
        <v>2</v>
      </c>
    </row>
    <row r="597" customHeight="1" spans="1:5">
      <c r="A597" s="36" t="s">
        <v>238</v>
      </c>
      <c r="B597" s="39" t="s">
        <v>394</v>
      </c>
      <c r="C597" s="14" t="s">
        <v>396</v>
      </c>
      <c r="D597" s="2" t="s">
        <v>225</v>
      </c>
      <c r="E597" s="14">
        <v>3</v>
      </c>
    </row>
    <row r="598" customHeight="1" spans="1:5">
      <c r="A598" s="36" t="s">
        <v>238</v>
      </c>
      <c r="B598" s="39" t="s">
        <v>394</v>
      </c>
      <c r="C598" s="14" t="s">
        <v>396</v>
      </c>
      <c r="D598" s="2" t="s">
        <v>225</v>
      </c>
      <c r="E598" s="14">
        <v>4</v>
      </c>
    </row>
    <row r="599" customHeight="1" spans="1:5">
      <c r="A599" s="36" t="s">
        <v>238</v>
      </c>
      <c r="B599" s="39" t="s">
        <v>394</v>
      </c>
      <c r="C599" s="14" t="s">
        <v>396</v>
      </c>
      <c r="D599" s="2" t="s">
        <v>225</v>
      </c>
      <c r="E599" s="14">
        <v>5</v>
      </c>
    </row>
    <row r="600" customHeight="1" spans="1:5">
      <c r="A600" s="36" t="s">
        <v>238</v>
      </c>
      <c r="B600" s="39" t="s">
        <v>394</v>
      </c>
      <c r="C600" s="14" t="s">
        <v>396</v>
      </c>
      <c r="D600" s="2" t="s">
        <v>225</v>
      </c>
      <c r="E600" s="14">
        <v>6</v>
      </c>
    </row>
    <row r="601" customHeight="1" spans="1:5">
      <c r="A601" s="36" t="s">
        <v>238</v>
      </c>
      <c r="B601" s="39" t="s">
        <v>394</v>
      </c>
      <c r="C601" s="14" t="s">
        <v>396</v>
      </c>
      <c r="D601" s="2" t="s">
        <v>225</v>
      </c>
      <c r="E601" s="14">
        <v>7</v>
      </c>
    </row>
    <row r="602" customHeight="1" spans="1:5">
      <c r="A602" s="36" t="s">
        <v>238</v>
      </c>
      <c r="B602" s="39" t="s">
        <v>394</v>
      </c>
      <c r="C602" s="14" t="s">
        <v>396</v>
      </c>
      <c r="D602" s="2" t="s">
        <v>225</v>
      </c>
      <c r="E602" s="14">
        <v>8</v>
      </c>
    </row>
    <row r="603" customHeight="1" spans="1:5">
      <c r="A603" s="36" t="s">
        <v>238</v>
      </c>
      <c r="B603" s="40" t="s">
        <v>397</v>
      </c>
      <c r="C603" s="15" t="s">
        <v>398</v>
      </c>
      <c r="D603" s="2" t="s">
        <v>222</v>
      </c>
      <c r="E603" s="15">
        <v>1</v>
      </c>
    </row>
    <row r="604" customHeight="1" spans="1:5">
      <c r="A604" s="36" t="s">
        <v>238</v>
      </c>
      <c r="B604" s="40" t="s">
        <v>397</v>
      </c>
      <c r="C604" s="15" t="s">
        <v>398</v>
      </c>
      <c r="D604" s="2" t="s">
        <v>222</v>
      </c>
      <c r="E604" s="15">
        <v>2</v>
      </c>
    </row>
    <row r="605" customHeight="1" spans="1:5">
      <c r="A605" s="36" t="s">
        <v>238</v>
      </c>
      <c r="B605" s="40" t="s">
        <v>397</v>
      </c>
      <c r="C605" s="15" t="s">
        <v>398</v>
      </c>
      <c r="D605" s="2" t="s">
        <v>222</v>
      </c>
      <c r="E605" s="15">
        <v>3</v>
      </c>
    </row>
    <row r="606" customHeight="1" spans="1:5">
      <c r="A606" s="36" t="s">
        <v>238</v>
      </c>
      <c r="B606" s="40" t="s">
        <v>397</v>
      </c>
      <c r="C606" s="15" t="s">
        <v>398</v>
      </c>
      <c r="D606" s="2" t="s">
        <v>222</v>
      </c>
      <c r="E606" s="15">
        <v>4</v>
      </c>
    </row>
    <row r="607" customHeight="1" spans="1:5">
      <c r="A607" s="36" t="s">
        <v>238</v>
      </c>
      <c r="B607" s="40" t="s">
        <v>397</v>
      </c>
      <c r="C607" s="15" t="s">
        <v>398</v>
      </c>
      <c r="D607" s="2" t="s">
        <v>222</v>
      </c>
      <c r="E607" s="15">
        <v>5</v>
      </c>
    </row>
    <row r="608" customHeight="1" spans="1:5">
      <c r="A608" s="36" t="s">
        <v>238</v>
      </c>
      <c r="B608" s="40" t="s">
        <v>397</v>
      </c>
      <c r="C608" s="14" t="s">
        <v>399</v>
      </c>
      <c r="D608" s="2" t="s">
        <v>225</v>
      </c>
      <c r="E608" s="14">
        <v>1</v>
      </c>
    </row>
    <row r="609" customHeight="1" spans="1:5">
      <c r="A609" s="36" t="s">
        <v>238</v>
      </c>
      <c r="B609" s="40" t="s">
        <v>397</v>
      </c>
      <c r="C609" s="14" t="s">
        <v>399</v>
      </c>
      <c r="D609" s="2" t="s">
        <v>225</v>
      </c>
      <c r="E609" s="14">
        <v>2</v>
      </c>
    </row>
    <row r="610" customHeight="1" spans="1:5">
      <c r="A610" s="36" t="s">
        <v>238</v>
      </c>
      <c r="B610" s="40" t="s">
        <v>397</v>
      </c>
      <c r="C610" s="14" t="s">
        <v>399</v>
      </c>
      <c r="D610" s="2" t="s">
        <v>225</v>
      </c>
      <c r="E610" s="14">
        <v>3</v>
      </c>
    </row>
    <row r="611" customHeight="1" spans="1:5">
      <c r="A611" s="36" t="s">
        <v>238</v>
      </c>
      <c r="B611" s="40" t="s">
        <v>397</v>
      </c>
      <c r="C611" s="14" t="s">
        <v>399</v>
      </c>
      <c r="D611" s="2" t="s">
        <v>225</v>
      </c>
      <c r="E611" s="14">
        <v>4</v>
      </c>
    </row>
    <row r="612" customHeight="1" spans="1:5">
      <c r="A612" s="36" t="s">
        <v>238</v>
      </c>
      <c r="B612" s="40" t="s">
        <v>397</v>
      </c>
      <c r="C612" s="14" t="s">
        <v>399</v>
      </c>
      <c r="D612" s="2" t="s">
        <v>225</v>
      </c>
      <c r="E612" s="14">
        <v>5</v>
      </c>
    </row>
    <row r="613" customHeight="1" spans="1:5">
      <c r="A613" s="36" t="s">
        <v>238</v>
      </c>
      <c r="B613" s="40" t="s">
        <v>397</v>
      </c>
      <c r="C613" s="14" t="s">
        <v>399</v>
      </c>
      <c r="D613" s="2" t="s">
        <v>225</v>
      </c>
      <c r="E613" s="14">
        <v>6</v>
      </c>
    </row>
    <row r="614" customHeight="1" spans="1:5">
      <c r="A614" s="36" t="s">
        <v>238</v>
      </c>
      <c r="B614" s="40" t="s">
        <v>397</v>
      </c>
      <c r="C614" s="14" t="s">
        <v>399</v>
      </c>
      <c r="D614" s="2" t="s">
        <v>225</v>
      </c>
      <c r="E614" s="14">
        <v>7</v>
      </c>
    </row>
    <row r="615" customHeight="1" spans="1:5">
      <c r="A615" s="36" t="s">
        <v>238</v>
      </c>
      <c r="B615" s="40" t="s">
        <v>397</v>
      </c>
      <c r="C615" s="14" t="s">
        <v>399</v>
      </c>
      <c r="D615" s="2" t="s">
        <v>225</v>
      </c>
      <c r="E615" s="14">
        <v>8</v>
      </c>
    </row>
    <row r="616" customHeight="1" spans="1:5">
      <c r="A616" s="36" t="s">
        <v>238</v>
      </c>
      <c r="B616" s="40" t="s">
        <v>397</v>
      </c>
      <c r="C616" s="15" t="s">
        <v>399</v>
      </c>
      <c r="D616" s="2" t="s">
        <v>225</v>
      </c>
      <c r="E616" s="15">
        <v>1</v>
      </c>
    </row>
    <row r="617" customHeight="1" spans="1:5">
      <c r="A617" s="36" t="s">
        <v>238</v>
      </c>
      <c r="B617" s="40" t="s">
        <v>397</v>
      </c>
      <c r="C617" s="15" t="s">
        <v>399</v>
      </c>
      <c r="D617" s="2" t="s">
        <v>225</v>
      </c>
      <c r="E617" s="15">
        <v>2</v>
      </c>
    </row>
    <row r="618" customHeight="1" spans="1:5">
      <c r="A618" s="36" t="s">
        <v>238</v>
      </c>
      <c r="B618" s="40" t="s">
        <v>397</v>
      </c>
      <c r="C618" s="15" t="s">
        <v>399</v>
      </c>
      <c r="D618" s="2" t="s">
        <v>225</v>
      </c>
      <c r="E618" s="15">
        <v>3</v>
      </c>
    </row>
    <row r="619" customHeight="1" spans="1:5">
      <c r="A619" s="36" t="s">
        <v>238</v>
      </c>
      <c r="B619" s="40" t="s">
        <v>397</v>
      </c>
      <c r="C619" s="15" t="s">
        <v>399</v>
      </c>
      <c r="D619" s="2" t="s">
        <v>225</v>
      </c>
      <c r="E619" s="15">
        <v>4</v>
      </c>
    </row>
    <row r="620" customHeight="1" spans="1:5">
      <c r="A620" s="36" t="s">
        <v>238</v>
      </c>
      <c r="B620" s="40" t="s">
        <v>397</v>
      </c>
      <c r="C620" s="15" t="s">
        <v>399</v>
      </c>
      <c r="D620" s="2" t="s">
        <v>225</v>
      </c>
      <c r="E620" s="15">
        <v>5</v>
      </c>
    </row>
    <row r="621" customHeight="1" spans="1:5">
      <c r="A621" s="36" t="s">
        <v>238</v>
      </c>
      <c r="B621" s="40" t="s">
        <v>397</v>
      </c>
      <c r="C621" s="15" t="s">
        <v>399</v>
      </c>
      <c r="D621" s="2" t="s">
        <v>225</v>
      </c>
      <c r="E621" s="15">
        <v>6</v>
      </c>
    </row>
    <row r="622" customHeight="1" spans="1:5">
      <c r="A622" s="36" t="s">
        <v>238</v>
      </c>
      <c r="B622" s="40" t="s">
        <v>397</v>
      </c>
      <c r="C622" s="15" t="s">
        <v>399</v>
      </c>
      <c r="D622" s="2" t="s">
        <v>225</v>
      </c>
      <c r="E622" s="15">
        <v>7</v>
      </c>
    </row>
    <row r="623" customHeight="1" spans="1:5">
      <c r="A623" s="36" t="s">
        <v>238</v>
      </c>
      <c r="B623" s="40" t="s">
        <v>397</v>
      </c>
      <c r="C623" s="15" t="s">
        <v>399</v>
      </c>
      <c r="D623" s="2" t="s">
        <v>225</v>
      </c>
      <c r="E623" s="15">
        <v>8</v>
      </c>
    </row>
    <row r="624" customHeight="1" spans="1:5">
      <c r="A624" s="36" t="s">
        <v>260</v>
      </c>
      <c r="B624" s="40" t="s">
        <v>400</v>
      </c>
      <c r="C624" s="14" t="s">
        <v>401</v>
      </c>
      <c r="D624" s="2" t="s">
        <v>222</v>
      </c>
      <c r="E624" s="14">
        <v>1</v>
      </c>
    </row>
    <row r="625" customHeight="1" spans="1:5">
      <c r="A625" s="36" t="s">
        <v>260</v>
      </c>
      <c r="B625" s="40" t="s">
        <v>400</v>
      </c>
      <c r="C625" s="14" t="s">
        <v>401</v>
      </c>
      <c r="D625" s="2" t="s">
        <v>222</v>
      </c>
      <c r="E625" s="14">
        <v>2</v>
      </c>
    </row>
    <row r="626" customHeight="1" spans="1:5">
      <c r="A626" s="36" t="s">
        <v>260</v>
      </c>
      <c r="B626" s="40" t="s">
        <v>400</v>
      </c>
      <c r="C626" s="14" t="s">
        <v>401</v>
      </c>
      <c r="D626" s="2" t="s">
        <v>222</v>
      </c>
      <c r="E626" s="14">
        <v>3</v>
      </c>
    </row>
    <row r="627" customHeight="1" spans="1:5">
      <c r="A627" s="36" t="s">
        <v>260</v>
      </c>
      <c r="B627" s="40" t="s">
        <v>400</v>
      </c>
      <c r="C627" s="14" t="s">
        <v>401</v>
      </c>
      <c r="D627" s="2" t="s">
        <v>222</v>
      </c>
      <c r="E627" s="14">
        <v>4</v>
      </c>
    </row>
    <row r="628" customHeight="1" spans="1:5">
      <c r="A628" s="36" t="s">
        <v>260</v>
      </c>
      <c r="B628" s="40" t="s">
        <v>400</v>
      </c>
      <c r="C628" s="14" t="s">
        <v>401</v>
      </c>
      <c r="D628" s="2" t="s">
        <v>222</v>
      </c>
      <c r="E628" s="14">
        <v>5</v>
      </c>
    </row>
    <row r="629" customHeight="1" spans="1:5">
      <c r="A629" s="36" t="s">
        <v>260</v>
      </c>
      <c r="B629" s="40" t="s">
        <v>400</v>
      </c>
      <c r="C629" s="15" t="s">
        <v>402</v>
      </c>
      <c r="D629" s="2" t="s">
        <v>223</v>
      </c>
      <c r="E629" s="15">
        <v>1</v>
      </c>
    </row>
    <row r="630" customHeight="1" spans="1:5">
      <c r="A630" s="36" t="s">
        <v>260</v>
      </c>
      <c r="B630" s="40" t="s">
        <v>400</v>
      </c>
      <c r="C630" s="15" t="s">
        <v>402</v>
      </c>
      <c r="D630" s="2" t="s">
        <v>223</v>
      </c>
      <c r="E630" s="15">
        <v>2</v>
      </c>
    </row>
    <row r="631" customHeight="1" spans="1:5">
      <c r="A631" s="36" t="s">
        <v>260</v>
      </c>
      <c r="B631" s="40" t="s">
        <v>400</v>
      </c>
      <c r="C631" s="15" t="s">
        <v>402</v>
      </c>
      <c r="D631" s="2" t="s">
        <v>223</v>
      </c>
      <c r="E631" s="15">
        <v>3</v>
      </c>
    </row>
    <row r="632" customHeight="1" spans="1:5">
      <c r="A632" s="36" t="s">
        <v>260</v>
      </c>
      <c r="B632" s="40" t="s">
        <v>400</v>
      </c>
      <c r="C632" s="15" t="s">
        <v>402</v>
      </c>
      <c r="D632" s="2" t="s">
        <v>223</v>
      </c>
      <c r="E632" s="15">
        <v>4</v>
      </c>
    </row>
    <row r="633" customHeight="1" spans="1:5">
      <c r="A633" s="36" t="s">
        <v>260</v>
      </c>
      <c r="B633" s="40" t="s">
        <v>400</v>
      </c>
      <c r="C633" s="15" t="s">
        <v>402</v>
      </c>
      <c r="D633" s="2" t="s">
        <v>223</v>
      </c>
      <c r="E633" s="15">
        <v>5</v>
      </c>
    </row>
    <row r="634" customHeight="1" spans="1:5">
      <c r="A634" s="36" t="s">
        <v>260</v>
      </c>
      <c r="B634" s="40" t="s">
        <v>400</v>
      </c>
      <c r="C634" s="14" t="s">
        <v>403</v>
      </c>
      <c r="D634" s="2" t="s">
        <v>224</v>
      </c>
      <c r="E634" s="14">
        <v>1</v>
      </c>
    </row>
    <row r="635" customHeight="1" spans="1:5">
      <c r="A635" s="36" t="s">
        <v>260</v>
      </c>
      <c r="B635" s="40" t="s">
        <v>400</v>
      </c>
      <c r="C635" s="14" t="s">
        <v>403</v>
      </c>
      <c r="D635" s="2" t="s">
        <v>224</v>
      </c>
      <c r="E635" s="14">
        <v>2</v>
      </c>
    </row>
    <row r="636" customHeight="1" spans="1:5">
      <c r="A636" s="36" t="s">
        <v>260</v>
      </c>
      <c r="B636" s="40" t="s">
        <v>400</v>
      </c>
      <c r="C636" s="14" t="s">
        <v>403</v>
      </c>
      <c r="D636" s="2" t="s">
        <v>224</v>
      </c>
      <c r="E636" s="14">
        <v>3</v>
      </c>
    </row>
    <row r="637" customHeight="1" spans="1:5">
      <c r="A637" s="36" t="s">
        <v>260</v>
      </c>
      <c r="B637" s="40" t="s">
        <v>400</v>
      </c>
      <c r="C637" s="14" t="s">
        <v>403</v>
      </c>
      <c r="D637" s="2" t="s">
        <v>224</v>
      </c>
      <c r="E637" s="14">
        <v>4</v>
      </c>
    </row>
    <row r="638" customHeight="1" spans="1:5">
      <c r="A638" s="36" t="s">
        <v>260</v>
      </c>
      <c r="B638" s="40" t="s">
        <v>400</v>
      </c>
      <c r="C638" s="14" t="s">
        <v>403</v>
      </c>
      <c r="D638" s="2" t="s">
        <v>224</v>
      </c>
      <c r="E638" s="14">
        <v>5</v>
      </c>
    </row>
    <row r="639" customHeight="1" spans="1:5">
      <c r="A639" s="36" t="s">
        <v>260</v>
      </c>
      <c r="B639" s="40" t="s">
        <v>400</v>
      </c>
      <c r="C639" s="15" t="s">
        <v>403</v>
      </c>
      <c r="D639" s="2" t="s">
        <v>224</v>
      </c>
      <c r="E639" s="15">
        <v>1</v>
      </c>
    </row>
    <row r="640" customHeight="1" spans="1:5">
      <c r="A640" s="36" t="s">
        <v>260</v>
      </c>
      <c r="B640" s="40" t="s">
        <v>400</v>
      </c>
      <c r="C640" s="15" t="s">
        <v>403</v>
      </c>
      <c r="D640" s="2" t="s">
        <v>224</v>
      </c>
      <c r="E640" s="15">
        <v>2</v>
      </c>
    </row>
    <row r="641" customHeight="1" spans="1:5">
      <c r="A641" s="36" t="s">
        <v>260</v>
      </c>
      <c r="B641" s="40" t="s">
        <v>400</v>
      </c>
      <c r="C641" s="15" t="s">
        <v>403</v>
      </c>
      <c r="D641" s="2" t="s">
        <v>224</v>
      </c>
      <c r="E641" s="15">
        <v>3</v>
      </c>
    </row>
    <row r="642" customHeight="1" spans="1:5">
      <c r="A642" s="36" t="s">
        <v>260</v>
      </c>
      <c r="B642" s="40" t="s">
        <v>400</v>
      </c>
      <c r="C642" s="15" t="s">
        <v>403</v>
      </c>
      <c r="D642" s="2" t="s">
        <v>224</v>
      </c>
      <c r="E642" s="15">
        <v>4</v>
      </c>
    </row>
    <row r="643" customHeight="1" spans="1:5">
      <c r="A643" s="36" t="s">
        <v>260</v>
      </c>
      <c r="B643" s="40" t="s">
        <v>400</v>
      </c>
      <c r="C643" s="15" t="s">
        <v>403</v>
      </c>
      <c r="D643" s="2" t="s">
        <v>224</v>
      </c>
      <c r="E643" s="15">
        <v>5</v>
      </c>
    </row>
    <row r="644" customHeight="1" spans="1:5">
      <c r="A644" s="36" t="s">
        <v>260</v>
      </c>
      <c r="B644" s="40" t="s">
        <v>400</v>
      </c>
      <c r="C644" s="14" t="s">
        <v>404</v>
      </c>
      <c r="D644" s="2" t="s">
        <v>225</v>
      </c>
      <c r="E644" s="14">
        <v>1</v>
      </c>
    </row>
    <row r="645" customHeight="1" spans="1:5">
      <c r="A645" s="36" t="s">
        <v>260</v>
      </c>
      <c r="B645" s="40" t="s">
        <v>400</v>
      </c>
      <c r="C645" s="14" t="s">
        <v>404</v>
      </c>
      <c r="D645" s="2" t="s">
        <v>225</v>
      </c>
      <c r="E645" s="14">
        <v>2</v>
      </c>
    </row>
    <row r="646" customHeight="1" spans="1:5">
      <c r="A646" s="36" t="s">
        <v>260</v>
      </c>
      <c r="B646" s="40" t="s">
        <v>400</v>
      </c>
      <c r="C646" s="14" t="s">
        <v>404</v>
      </c>
      <c r="D646" s="2" t="s">
        <v>225</v>
      </c>
      <c r="E646" s="14">
        <v>3</v>
      </c>
    </row>
    <row r="647" customHeight="1" spans="1:5">
      <c r="A647" s="36" t="s">
        <v>260</v>
      </c>
      <c r="B647" s="40" t="s">
        <v>400</v>
      </c>
      <c r="C647" s="14" t="s">
        <v>404</v>
      </c>
      <c r="D647" s="2" t="s">
        <v>225</v>
      </c>
      <c r="E647" s="14">
        <v>4</v>
      </c>
    </row>
    <row r="648" customHeight="1" spans="1:5">
      <c r="A648" s="36" t="s">
        <v>260</v>
      </c>
      <c r="B648" s="40" t="s">
        <v>400</v>
      </c>
      <c r="C648" s="14" t="s">
        <v>404</v>
      </c>
      <c r="D648" s="2" t="s">
        <v>225</v>
      </c>
      <c r="E648" s="14">
        <v>5</v>
      </c>
    </row>
    <row r="649" customHeight="1" spans="1:5">
      <c r="A649" s="36" t="s">
        <v>260</v>
      </c>
      <c r="B649" s="40" t="s">
        <v>400</v>
      </c>
      <c r="C649" s="14" t="s">
        <v>404</v>
      </c>
      <c r="D649" s="2" t="s">
        <v>225</v>
      </c>
      <c r="E649" s="14">
        <v>6</v>
      </c>
    </row>
    <row r="650" customHeight="1" spans="1:5">
      <c r="A650" s="36" t="s">
        <v>260</v>
      </c>
      <c r="B650" s="40" t="s">
        <v>400</v>
      </c>
      <c r="C650" s="14" t="s">
        <v>404</v>
      </c>
      <c r="D650" s="2" t="s">
        <v>225</v>
      </c>
      <c r="E650" s="14">
        <v>7</v>
      </c>
    </row>
    <row r="651" customHeight="1" spans="1:5">
      <c r="A651" s="36" t="s">
        <v>260</v>
      </c>
      <c r="B651" s="40" t="s">
        <v>400</v>
      </c>
      <c r="C651" s="14" t="s">
        <v>404</v>
      </c>
      <c r="D651" s="2" t="s">
        <v>225</v>
      </c>
      <c r="E651" s="14">
        <v>8</v>
      </c>
    </row>
    <row r="652" customHeight="1" spans="1:5">
      <c r="A652" s="36" t="s">
        <v>260</v>
      </c>
      <c r="B652" s="39" t="s">
        <v>405</v>
      </c>
      <c r="C652" s="15" t="s">
        <v>406</v>
      </c>
      <c r="D652" s="2" t="s">
        <v>222</v>
      </c>
      <c r="E652" s="15">
        <v>1</v>
      </c>
    </row>
    <row r="653" customHeight="1" spans="1:5">
      <c r="A653" s="36" t="s">
        <v>260</v>
      </c>
      <c r="B653" s="39" t="s">
        <v>405</v>
      </c>
      <c r="C653" s="15" t="s">
        <v>406</v>
      </c>
      <c r="D653" s="2" t="s">
        <v>222</v>
      </c>
      <c r="E653" s="15">
        <v>2</v>
      </c>
    </row>
    <row r="654" customHeight="1" spans="1:5">
      <c r="A654" s="36" t="s">
        <v>260</v>
      </c>
      <c r="B654" s="39" t="s">
        <v>405</v>
      </c>
      <c r="C654" s="15" t="s">
        <v>406</v>
      </c>
      <c r="D654" s="2" t="s">
        <v>222</v>
      </c>
      <c r="E654" s="15">
        <v>3</v>
      </c>
    </row>
    <row r="655" customHeight="1" spans="1:5">
      <c r="A655" s="36" t="s">
        <v>260</v>
      </c>
      <c r="B655" s="39" t="s">
        <v>405</v>
      </c>
      <c r="C655" s="15" t="s">
        <v>406</v>
      </c>
      <c r="D655" s="2" t="s">
        <v>222</v>
      </c>
      <c r="E655" s="15">
        <v>4</v>
      </c>
    </row>
    <row r="656" customHeight="1" spans="1:5">
      <c r="A656" s="36" t="s">
        <v>260</v>
      </c>
      <c r="B656" s="39" t="s">
        <v>405</v>
      </c>
      <c r="C656" s="15" t="s">
        <v>406</v>
      </c>
      <c r="D656" s="2" t="s">
        <v>222</v>
      </c>
      <c r="E656" s="15">
        <v>5</v>
      </c>
    </row>
    <row r="657" customHeight="1" spans="1:5">
      <c r="A657" s="36" t="s">
        <v>260</v>
      </c>
      <c r="B657" s="39" t="s">
        <v>405</v>
      </c>
      <c r="C657" s="14" t="s">
        <v>407</v>
      </c>
      <c r="D657" s="2" t="s">
        <v>223</v>
      </c>
      <c r="E657" s="14">
        <v>1</v>
      </c>
    </row>
    <row r="658" customHeight="1" spans="1:5">
      <c r="A658" s="36" t="s">
        <v>260</v>
      </c>
      <c r="B658" s="39" t="s">
        <v>405</v>
      </c>
      <c r="C658" s="14" t="s">
        <v>407</v>
      </c>
      <c r="D658" s="2" t="s">
        <v>223</v>
      </c>
      <c r="E658" s="14">
        <v>2</v>
      </c>
    </row>
    <row r="659" customHeight="1" spans="1:5">
      <c r="A659" s="36" t="s">
        <v>260</v>
      </c>
      <c r="B659" s="39" t="s">
        <v>405</v>
      </c>
      <c r="C659" s="14" t="s">
        <v>407</v>
      </c>
      <c r="D659" s="2" t="s">
        <v>223</v>
      </c>
      <c r="E659" s="14">
        <v>3</v>
      </c>
    </row>
    <row r="660" customHeight="1" spans="1:5">
      <c r="A660" s="36" t="s">
        <v>260</v>
      </c>
      <c r="B660" s="39" t="s">
        <v>405</v>
      </c>
      <c r="C660" s="14" t="s">
        <v>407</v>
      </c>
      <c r="D660" s="2" t="s">
        <v>223</v>
      </c>
      <c r="E660" s="14">
        <v>4</v>
      </c>
    </row>
    <row r="661" customHeight="1" spans="1:5">
      <c r="A661" s="36" t="s">
        <v>260</v>
      </c>
      <c r="B661" s="39" t="s">
        <v>405</v>
      </c>
      <c r="C661" s="14" t="s">
        <v>407</v>
      </c>
      <c r="D661" s="2" t="s">
        <v>223</v>
      </c>
      <c r="E661" s="14">
        <v>5</v>
      </c>
    </row>
    <row r="662" customHeight="1" spans="1:5">
      <c r="A662" s="36" t="s">
        <v>260</v>
      </c>
      <c r="B662" s="39" t="s">
        <v>405</v>
      </c>
      <c r="C662" s="15" t="s">
        <v>408</v>
      </c>
      <c r="D662" s="2" t="s">
        <v>224</v>
      </c>
      <c r="E662" s="15">
        <v>1</v>
      </c>
    </row>
    <row r="663" customHeight="1" spans="1:5">
      <c r="A663" s="36" t="s">
        <v>260</v>
      </c>
      <c r="B663" s="39" t="s">
        <v>405</v>
      </c>
      <c r="C663" s="15" t="s">
        <v>408</v>
      </c>
      <c r="D663" s="2" t="s">
        <v>224</v>
      </c>
      <c r="E663" s="15">
        <v>2</v>
      </c>
    </row>
    <row r="664" customHeight="1" spans="1:5">
      <c r="A664" s="36" t="s">
        <v>260</v>
      </c>
      <c r="B664" s="39" t="s">
        <v>405</v>
      </c>
      <c r="C664" s="15" t="s">
        <v>408</v>
      </c>
      <c r="D664" s="2" t="s">
        <v>224</v>
      </c>
      <c r="E664" s="15">
        <v>3</v>
      </c>
    </row>
    <row r="665" customHeight="1" spans="1:5">
      <c r="A665" s="36" t="s">
        <v>260</v>
      </c>
      <c r="B665" s="39" t="s">
        <v>405</v>
      </c>
      <c r="C665" s="15" t="s">
        <v>408</v>
      </c>
      <c r="D665" s="2" t="s">
        <v>224</v>
      </c>
      <c r="E665" s="15">
        <v>4</v>
      </c>
    </row>
    <row r="666" customHeight="1" spans="1:5">
      <c r="A666" s="36" t="s">
        <v>260</v>
      </c>
      <c r="B666" s="39" t="s">
        <v>405</v>
      </c>
      <c r="C666" s="15" t="s">
        <v>408</v>
      </c>
      <c r="D666" s="2" t="s">
        <v>224</v>
      </c>
      <c r="E666" s="15">
        <v>5</v>
      </c>
    </row>
    <row r="667" customHeight="1" spans="1:5">
      <c r="A667" s="36" t="s">
        <v>260</v>
      </c>
      <c r="B667" s="39" t="s">
        <v>405</v>
      </c>
      <c r="C667" s="14" t="s">
        <v>408</v>
      </c>
      <c r="D667" s="2" t="s">
        <v>224</v>
      </c>
      <c r="E667" s="14">
        <v>1</v>
      </c>
    </row>
    <row r="668" customHeight="1" spans="1:5">
      <c r="A668" s="36" t="s">
        <v>260</v>
      </c>
      <c r="B668" s="39" t="s">
        <v>405</v>
      </c>
      <c r="C668" s="14" t="s">
        <v>408</v>
      </c>
      <c r="D668" s="2" t="s">
        <v>224</v>
      </c>
      <c r="E668" s="14">
        <v>2</v>
      </c>
    </row>
    <row r="669" customHeight="1" spans="1:5">
      <c r="A669" s="36" t="s">
        <v>260</v>
      </c>
      <c r="B669" s="39" t="s">
        <v>405</v>
      </c>
      <c r="C669" s="14" t="s">
        <v>408</v>
      </c>
      <c r="D669" s="2" t="s">
        <v>224</v>
      </c>
      <c r="E669" s="14">
        <v>3</v>
      </c>
    </row>
    <row r="670" customHeight="1" spans="1:5">
      <c r="A670" s="36" t="s">
        <v>260</v>
      </c>
      <c r="B670" s="39" t="s">
        <v>405</v>
      </c>
      <c r="C670" s="14" t="s">
        <v>408</v>
      </c>
      <c r="D670" s="2" t="s">
        <v>224</v>
      </c>
      <c r="E670" s="14">
        <v>4</v>
      </c>
    </row>
    <row r="671" customHeight="1" spans="1:5">
      <c r="A671" s="36" t="s">
        <v>260</v>
      </c>
      <c r="B671" s="39" t="s">
        <v>405</v>
      </c>
      <c r="C671" s="14" t="s">
        <v>408</v>
      </c>
      <c r="D671" s="2" t="s">
        <v>224</v>
      </c>
      <c r="E671" s="14">
        <v>5</v>
      </c>
    </row>
    <row r="672" customHeight="1" spans="1:5">
      <c r="A672" s="36" t="s">
        <v>260</v>
      </c>
      <c r="B672" s="39" t="s">
        <v>405</v>
      </c>
      <c r="C672" s="15" t="s">
        <v>409</v>
      </c>
      <c r="D672" s="2" t="s">
        <v>225</v>
      </c>
      <c r="E672" s="15">
        <v>1</v>
      </c>
    </row>
    <row r="673" customHeight="1" spans="1:5">
      <c r="A673" s="36" t="s">
        <v>260</v>
      </c>
      <c r="B673" s="39" t="s">
        <v>405</v>
      </c>
      <c r="C673" s="15" t="s">
        <v>409</v>
      </c>
      <c r="D673" s="2" t="s">
        <v>225</v>
      </c>
      <c r="E673" s="15">
        <v>2</v>
      </c>
    </row>
    <row r="674" customHeight="1" spans="1:5">
      <c r="A674" s="36" t="s">
        <v>260</v>
      </c>
      <c r="B674" s="39" t="s">
        <v>405</v>
      </c>
      <c r="C674" s="15" t="s">
        <v>409</v>
      </c>
      <c r="D674" s="2" t="s">
        <v>225</v>
      </c>
      <c r="E674" s="15">
        <v>3</v>
      </c>
    </row>
    <row r="675" customHeight="1" spans="1:5">
      <c r="A675" s="36" t="s">
        <v>260</v>
      </c>
      <c r="B675" s="39" t="s">
        <v>405</v>
      </c>
      <c r="C675" s="15" t="s">
        <v>409</v>
      </c>
      <c r="D675" s="2" t="s">
        <v>225</v>
      </c>
      <c r="E675" s="15">
        <v>4</v>
      </c>
    </row>
    <row r="676" customHeight="1" spans="1:5">
      <c r="A676" s="36" t="s">
        <v>260</v>
      </c>
      <c r="B676" s="39" t="s">
        <v>405</v>
      </c>
      <c r="C676" s="15" t="s">
        <v>409</v>
      </c>
      <c r="D676" s="2" t="s">
        <v>225</v>
      </c>
      <c r="E676" s="15">
        <v>5</v>
      </c>
    </row>
    <row r="677" customHeight="1" spans="1:5">
      <c r="A677" s="36" t="s">
        <v>260</v>
      </c>
      <c r="B677" s="39" t="s">
        <v>405</v>
      </c>
      <c r="C677" s="15" t="s">
        <v>409</v>
      </c>
      <c r="D677" s="2" t="s">
        <v>225</v>
      </c>
      <c r="E677" s="15">
        <v>6</v>
      </c>
    </row>
    <row r="678" customHeight="1" spans="1:5">
      <c r="A678" s="36" t="s">
        <v>260</v>
      </c>
      <c r="B678" s="39" t="s">
        <v>405</v>
      </c>
      <c r="C678" s="15" t="s">
        <v>409</v>
      </c>
      <c r="D678" s="2" t="s">
        <v>225</v>
      </c>
      <c r="E678" s="15">
        <v>7</v>
      </c>
    </row>
    <row r="679" customHeight="1" spans="1:5">
      <c r="A679" s="36" t="s">
        <v>260</v>
      </c>
      <c r="B679" s="39" t="s">
        <v>405</v>
      </c>
      <c r="C679" s="15" t="s">
        <v>409</v>
      </c>
      <c r="D679" s="2" t="s">
        <v>225</v>
      </c>
      <c r="E679" s="15">
        <v>8</v>
      </c>
    </row>
    <row r="680" customHeight="1" spans="1:5">
      <c r="A680" s="36" t="s">
        <v>260</v>
      </c>
      <c r="B680" s="40" t="s">
        <v>410</v>
      </c>
      <c r="C680" s="14" t="s">
        <v>411</v>
      </c>
      <c r="D680" s="2" t="s">
        <v>222</v>
      </c>
      <c r="E680" s="14">
        <v>1</v>
      </c>
    </row>
    <row r="681" customHeight="1" spans="1:5">
      <c r="A681" s="36" t="s">
        <v>260</v>
      </c>
      <c r="B681" s="40" t="s">
        <v>410</v>
      </c>
      <c r="C681" s="14" t="s">
        <v>411</v>
      </c>
      <c r="D681" s="2" t="s">
        <v>222</v>
      </c>
      <c r="E681" s="14">
        <v>2</v>
      </c>
    </row>
    <row r="682" customHeight="1" spans="1:5">
      <c r="A682" s="36" t="s">
        <v>260</v>
      </c>
      <c r="B682" s="40" t="s">
        <v>410</v>
      </c>
      <c r="C682" s="14" t="s">
        <v>411</v>
      </c>
      <c r="D682" s="2" t="s">
        <v>222</v>
      </c>
      <c r="E682" s="14">
        <v>3</v>
      </c>
    </row>
    <row r="683" customHeight="1" spans="1:5">
      <c r="A683" s="36" t="s">
        <v>260</v>
      </c>
      <c r="B683" s="40" t="s">
        <v>410</v>
      </c>
      <c r="C683" s="14" t="s">
        <v>411</v>
      </c>
      <c r="D683" s="2" t="s">
        <v>222</v>
      </c>
      <c r="E683" s="14">
        <v>4</v>
      </c>
    </row>
    <row r="684" customHeight="1" spans="1:5">
      <c r="A684" s="36" t="s">
        <v>260</v>
      </c>
      <c r="B684" s="40" t="s">
        <v>410</v>
      </c>
      <c r="C684" s="14" t="s">
        <v>411</v>
      </c>
      <c r="D684" s="2" t="s">
        <v>222</v>
      </c>
      <c r="E684" s="14">
        <v>5</v>
      </c>
    </row>
    <row r="685" customHeight="1" spans="1:5">
      <c r="A685" s="36" t="s">
        <v>260</v>
      </c>
      <c r="B685" s="40" t="s">
        <v>410</v>
      </c>
      <c r="C685" s="15" t="s">
        <v>412</v>
      </c>
      <c r="D685" s="2" t="s">
        <v>223</v>
      </c>
      <c r="E685" s="15">
        <v>1</v>
      </c>
    </row>
    <row r="686" customHeight="1" spans="1:5">
      <c r="A686" s="36" t="s">
        <v>260</v>
      </c>
      <c r="B686" s="40" t="s">
        <v>410</v>
      </c>
      <c r="C686" s="15" t="s">
        <v>412</v>
      </c>
      <c r="D686" s="2" t="s">
        <v>223</v>
      </c>
      <c r="E686" s="15">
        <v>2</v>
      </c>
    </row>
    <row r="687" customHeight="1" spans="1:5">
      <c r="A687" s="36" t="s">
        <v>260</v>
      </c>
      <c r="B687" s="40" t="s">
        <v>410</v>
      </c>
      <c r="C687" s="15" t="s">
        <v>412</v>
      </c>
      <c r="D687" s="2" t="s">
        <v>223</v>
      </c>
      <c r="E687" s="15">
        <v>3</v>
      </c>
    </row>
    <row r="688" customHeight="1" spans="1:5">
      <c r="A688" s="36" t="s">
        <v>260</v>
      </c>
      <c r="B688" s="40" t="s">
        <v>410</v>
      </c>
      <c r="C688" s="15" t="s">
        <v>412</v>
      </c>
      <c r="D688" s="2" t="s">
        <v>223</v>
      </c>
      <c r="E688" s="15">
        <v>4</v>
      </c>
    </row>
    <row r="689" customHeight="1" spans="1:5">
      <c r="A689" s="36" t="s">
        <v>260</v>
      </c>
      <c r="B689" s="40" t="s">
        <v>410</v>
      </c>
      <c r="C689" s="15" t="s">
        <v>412</v>
      </c>
      <c r="D689" s="2" t="s">
        <v>223</v>
      </c>
      <c r="E689" s="15">
        <v>5</v>
      </c>
    </row>
    <row r="690" customHeight="1" spans="1:5">
      <c r="A690" s="36" t="s">
        <v>260</v>
      </c>
      <c r="B690" s="40" t="s">
        <v>410</v>
      </c>
      <c r="C690" s="14" t="s">
        <v>413</v>
      </c>
      <c r="D690" s="2" t="s">
        <v>224</v>
      </c>
      <c r="E690" s="14">
        <v>1</v>
      </c>
    </row>
    <row r="691" customHeight="1" spans="1:5">
      <c r="A691" s="36" t="s">
        <v>260</v>
      </c>
      <c r="B691" s="40" t="s">
        <v>410</v>
      </c>
      <c r="C691" s="14" t="s">
        <v>413</v>
      </c>
      <c r="D691" s="2" t="s">
        <v>224</v>
      </c>
      <c r="E691" s="14">
        <v>2</v>
      </c>
    </row>
    <row r="692" customHeight="1" spans="1:5">
      <c r="A692" s="36" t="s">
        <v>260</v>
      </c>
      <c r="B692" s="40" t="s">
        <v>410</v>
      </c>
      <c r="C692" s="14" t="s">
        <v>413</v>
      </c>
      <c r="D692" s="2" t="s">
        <v>224</v>
      </c>
      <c r="E692" s="14">
        <v>3</v>
      </c>
    </row>
    <row r="693" customHeight="1" spans="1:5">
      <c r="A693" s="36" t="s">
        <v>260</v>
      </c>
      <c r="B693" s="40" t="s">
        <v>410</v>
      </c>
      <c r="C693" s="14" t="s">
        <v>413</v>
      </c>
      <c r="D693" s="2" t="s">
        <v>224</v>
      </c>
      <c r="E693" s="14">
        <v>4</v>
      </c>
    </row>
    <row r="694" customHeight="1" spans="1:5">
      <c r="A694" s="36" t="s">
        <v>260</v>
      </c>
      <c r="B694" s="40" t="s">
        <v>410</v>
      </c>
      <c r="C694" s="14" t="s">
        <v>413</v>
      </c>
      <c r="D694" s="2" t="s">
        <v>224</v>
      </c>
      <c r="E694" s="14">
        <v>5</v>
      </c>
    </row>
    <row r="695" customHeight="1" spans="1:5">
      <c r="A695" s="36" t="s">
        <v>260</v>
      </c>
      <c r="B695" s="40" t="s">
        <v>410</v>
      </c>
      <c r="C695" s="15" t="s">
        <v>413</v>
      </c>
      <c r="D695" s="2" t="s">
        <v>224</v>
      </c>
      <c r="E695" s="15">
        <v>1</v>
      </c>
    </row>
    <row r="696" customHeight="1" spans="1:5">
      <c r="A696" s="36" t="s">
        <v>260</v>
      </c>
      <c r="B696" s="40" t="s">
        <v>410</v>
      </c>
      <c r="C696" s="15" t="s">
        <v>413</v>
      </c>
      <c r="D696" s="2" t="s">
        <v>224</v>
      </c>
      <c r="E696" s="15">
        <v>2</v>
      </c>
    </row>
    <row r="697" customHeight="1" spans="1:5">
      <c r="A697" s="36" t="s">
        <v>260</v>
      </c>
      <c r="B697" s="40" t="s">
        <v>410</v>
      </c>
      <c r="C697" s="15" t="s">
        <v>413</v>
      </c>
      <c r="D697" s="2" t="s">
        <v>224</v>
      </c>
      <c r="E697" s="15">
        <v>3</v>
      </c>
    </row>
    <row r="698" customHeight="1" spans="1:5">
      <c r="A698" s="36" t="s">
        <v>260</v>
      </c>
      <c r="B698" s="40" t="s">
        <v>410</v>
      </c>
      <c r="C698" s="15" t="s">
        <v>413</v>
      </c>
      <c r="D698" s="2" t="s">
        <v>224</v>
      </c>
      <c r="E698" s="15">
        <v>4</v>
      </c>
    </row>
    <row r="699" customHeight="1" spans="1:5">
      <c r="A699" s="36" t="s">
        <v>260</v>
      </c>
      <c r="B699" s="40" t="s">
        <v>410</v>
      </c>
      <c r="C699" s="15" t="s">
        <v>413</v>
      </c>
      <c r="D699" s="2" t="s">
        <v>224</v>
      </c>
      <c r="E699" s="15">
        <v>5</v>
      </c>
    </row>
    <row r="700" customHeight="1" spans="1:5">
      <c r="A700" s="36" t="s">
        <v>260</v>
      </c>
      <c r="B700" s="40" t="s">
        <v>410</v>
      </c>
      <c r="C700" s="14" t="s">
        <v>414</v>
      </c>
      <c r="D700" s="2" t="s">
        <v>225</v>
      </c>
      <c r="E700" s="14">
        <v>1</v>
      </c>
    </row>
    <row r="701" customHeight="1" spans="1:5">
      <c r="A701" s="36" t="s">
        <v>260</v>
      </c>
      <c r="B701" s="40" t="s">
        <v>410</v>
      </c>
      <c r="C701" s="14" t="s">
        <v>414</v>
      </c>
      <c r="D701" s="2" t="s">
        <v>225</v>
      </c>
      <c r="E701" s="14">
        <v>2</v>
      </c>
    </row>
    <row r="702" customHeight="1" spans="1:5">
      <c r="A702" s="36" t="s">
        <v>260</v>
      </c>
      <c r="B702" s="40" t="s">
        <v>410</v>
      </c>
      <c r="C702" s="14" t="s">
        <v>414</v>
      </c>
      <c r="D702" s="2" t="s">
        <v>225</v>
      </c>
      <c r="E702" s="14">
        <v>3</v>
      </c>
    </row>
    <row r="703" customHeight="1" spans="1:5">
      <c r="A703" s="36" t="s">
        <v>260</v>
      </c>
      <c r="B703" s="40" t="s">
        <v>410</v>
      </c>
      <c r="C703" s="14" t="s">
        <v>414</v>
      </c>
      <c r="D703" s="2" t="s">
        <v>225</v>
      </c>
      <c r="E703" s="14">
        <v>4</v>
      </c>
    </row>
    <row r="704" customHeight="1" spans="1:5">
      <c r="A704" s="36" t="s">
        <v>260</v>
      </c>
      <c r="B704" s="40" t="s">
        <v>410</v>
      </c>
      <c r="C704" s="14" t="s">
        <v>414</v>
      </c>
      <c r="D704" s="2" t="s">
        <v>225</v>
      </c>
      <c r="E704" s="14">
        <v>5</v>
      </c>
    </row>
    <row r="705" customHeight="1" spans="1:5">
      <c r="A705" s="36" t="s">
        <v>260</v>
      </c>
      <c r="B705" s="40" t="s">
        <v>410</v>
      </c>
      <c r="C705" s="14" t="s">
        <v>414</v>
      </c>
      <c r="D705" s="2" t="s">
        <v>225</v>
      </c>
      <c r="E705" s="14">
        <v>6</v>
      </c>
    </row>
    <row r="706" customHeight="1" spans="1:5">
      <c r="A706" s="36" t="s">
        <v>260</v>
      </c>
      <c r="B706" s="40" t="s">
        <v>410</v>
      </c>
      <c r="C706" s="14" t="s">
        <v>414</v>
      </c>
      <c r="D706" s="2" t="s">
        <v>225</v>
      </c>
      <c r="E706" s="14">
        <v>7</v>
      </c>
    </row>
    <row r="707" customHeight="1" spans="1:5">
      <c r="A707" s="36" t="s">
        <v>260</v>
      </c>
      <c r="B707" s="40" t="s">
        <v>410</v>
      </c>
      <c r="C707" s="14" t="s">
        <v>414</v>
      </c>
      <c r="D707" s="2" t="s">
        <v>225</v>
      </c>
      <c r="E707" s="14">
        <v>8</v>
      </c>
    </row>
    <row r="708" customHeight="1" spans="1:5">
      <c r="A708" s="36" t="s">
        <v>260</v>
      </c>
      <c r="B708" s="39" t="s">
        <v>415</v>
      </c>
      <c r="C708" s="15" t="s">
        <v>416</v>
      </c>
      <c r="D708" s="2" t="s">
        <v>222</v>
      </c>
      <c r="E708" s="15">
        <v>1</v>
      </c>
    </row>
    <row r="709" customHeight="1" spans="1:5">
      <c r="A709" s="36" t="s">
        <v>260</v>
      </c>
      <c r="B709" s="39" t="s">
        <v>415</v>
      </c>
      <c r="C709" s="15" t="s">
        <v>416</v>
      </c>
      <c r="D709" s="2" t="s">
        <v>222</v>
      </c>
      <c r="E709" s="15">
        <v>2</v>
      </c>
    </row>
    <row r="710" customHeight="1" spans="1:5">
      <c r="A710" s="36" t="s">
        <v>260</v>
      </c>
      <c r="B710" s="39" t="s">
        <v>415</v>
      </c>
      <c r="C710" s="15" t="s">
        <v>416</v>
      </c>
      <c r="D710" s="2" t="s">
        <v>222</v>
      </c>
      <c r="E710" s="15">
        <v>3</v>
      </c>
    </row>
    <row r="711" customHeight="1" spans="1:5">
      <c r="A711" s="36" t="s">
        <v>260</v>
      </c>
      <c r="B711" s="39" t="s">
        <v>415</v>
      </c>
      <c r="C711" s="15" t="s">
        <v>416</v>
      </c>
      <c r="D711" s="2" t="s">
        <v>222</v>
      </c>
      <c r="E711" s="15">
        <v>4</v>
      </c>
    </row>
    <row r="712" customHeight="1" spans="1:5">
      <c r="A712" s="36" t="s">
        <v>260</v>
      </c>
      <c r="B712" s="39" t="s">
        <v>415</v>
      </c>
      <c r="C712" s="15" t="s">
        <v>416</v>
      </c>
      <c r="D712" s="2" t="s">
        <v>222</v>
      </c>
      <c r="E712" s="15">
        <v>5</v>
      </c>
    </row>
    <row r="713" customHeight="1" spans="1:5">
      <c r="A713" s="36" t="s">
        <v>260</v>
      </c>
      <c r="B713" s="39" t="s">
        <v>415</v>
      </c>
      <c r="C713" s="14" t="s">
        <v>417</v>
      </c>
      <c r="D713" s="2" t="s">
        <v>223</v>
      </c>
      <c r="E713" s="14">
        <v>1</v>
      </c>
    </row>
    <row r="714" customHeight="1" spans="1:5">
      <c r="A714" s="36" t="s">
        <v>260</v>
      </c>
      <c r="B714" s="39" t="s">
        <v>415</v>
      </c>
      <c r="C714" s="14" t="s">
        <v>417</v>
      </c>
      <c r="D714" s="2" t="s">
        <v>223</v>
      </c>
      <c r="E714" s="14">
        <v>2</v>
      </c>
    </row>
    <row r="715" customHeight="1" spans="1:5">
      <c r="A715" s="36" t="s">
        <v>260</v>
      </c>
      <c r="B715" s="39" t="s">
        <v>415</v>
      </c>
      <c r="C715" s="14" t="s">
        <v>417</v>
      </c>
      <c r="D715" s="2" t="s">
        <v>223</v>
      </c>
      <c r="E715" s="14">
        <v>3</v>
      </c>
    </row>
    <row r="716" customHeight="1" spans="1:5">
      <c r="A716" s="36" t="s">
        <v>260</v>
      </c>
      <c r="B716" s="39" t="s">
        <v>415</v>
      </c>
      <c r="C716" s="14" t="s">
        <v>417</v>
      </c>
      <c r="D716" s="2" t="s">
        <v>223</v>
      </c>
      <c r="E716" s="14">
        <v>4</v>
      </c>
    </row>
    <row r="717" customHeight="1" spans="1:5">
      <c r="A717" s="36" t="s">
        <v>260</v>
      </c>
      <c r="B717" s="39" t="s">
        <v>415</v>
      </c>
      <c r="C717" s="14" t="s">
        <v>417</v>
      </c>
      <c r="D717" s="2" t="s">
        <v>223</v>
      </c>
      <c r="E717" s="14">
        <v>5</v>
      </c>
    </row>
    <row r="718" customHeight="1" spans="1:5">
      <c r="A718" s="36" t="s">
        <v>260</v>
      </c>
      <c r="B718" s="39" t="s">
        <v>415</v>
      </c>
      <c r="C718" s="15" t="s">
        <v>418</v>
      </c>
      <c r="D718" s="2" t="s">
        <v>224</v>
      </c>
      <c r="E718" s="15">
        <v>1</v>
      </c>
    </row>
    <row r="719" customHeight="1" spans="1:5">
      <c r="A719" s="36" t="s">
        <v>260</v>
      </c>
      <c r="B719" s="39" t="s">
        <v>415</v>
      </c>
      <c r="C719" s="15" t="s">
        <v>418</v>
      </c>
      <c r="D719" s="2" t="s">
        <v>224</v>
      </c>
      <c r="E719" s="15">
        <v>2</v>
      </c>
    </row>
    <row r="720" customHeight="1" spans="1:5">
      <c r="A720" s="36" t="s">
        <v>260</v>
      </c>
      <c r="B720" s="39" t="s">
        <v>415</v>
      </c>
      <c r="C720" s="15" t="s">
        <v>418</v>
      </c>
      <c r="D720" s="2" t="s">
        <v>224</v>
      </c>
      <c r="E720" s="15">
        <v>3</v>
      </c>
    </row>
    <row r="721" customHeight="1" spans="1:5">
      <c r="A721" s="36" t="s">
        <v>260</v>
      </c>
      <c r="B721" s="39" t="s">
        <v>415</v>
      </c>
      <c r="C721" s="15" t="s">
        <v>418</v>
      </c>
      <c r="D721" s="2" t="s">
        <v>224</v>
      </c>
      <c r="E721" s="15">
        <v>4</v>
      </c>
    </row>
    <row r="722" customHeight="1" spans="1:5">
      <c r="A722" s="36" t="s">
        <v>260</v>
      </c>
      <c r="B722" s="39" t="s">
        <v>415</v>
      </c>
      <c r="C722" s="15" t="s">
        <v>418</v>
      </c>
      <c r="D722" s="2" t="s">
        <v>224</v>
      </c>
      <c r="E722" s="15">
        <v>5</v>
      </c>
    </row>
    <row r="723" customHeight="1" spans="1:5">
      <c r="A723" s="36" t="s">
        <v>260</v>
      </c>
      <c r="B723" s="39" t="s">
        <v>415</v>
      </c>
      <c r="C723" s="14" t="s">
        <v>418</v>
      </c>
      <c r="D723" s="2" t="s">
        <v>224</v>
      </c>
      <c r="E723" s="14">
        <v>1</v>
      </c>
    </row>
    <row r="724" customHeight="1" spans="1:5">
      <c r="A724" s="36" t="s">
        <v>260</v>
      </c>
      <c r="B724" s="39" t="s">
        <v>415</v>
      </c>
      <c r="C724" s="14" t="s">
        <v>418</v>
      </c>
      <c r="D724" s="2" t="s">
        <v>224</v>
      </c>
      <c r="E724" s="14">
        <v>2</v>
      </c>
    </row>
    <row r="725" customHeight="1" spans="1:5">
      <c r="A725" s="36" t="s">
        <v>260</v>
      </c>
      <c r="B725" s="39" t="s">
        <v>415</v>
      </c>
      <c r="C725" s="14" t="s">
        <v>418</v>
      </c>
      <c r="D725" s="2" t="s">
        <v>224</v>
      </c>
      <c r="E725" s="14">
        <v>3</v>
      </c>
    </row>
    <row r="726" customHeight="1" spans="1:5">
      <c r="A726" s="36" t="s">
        <v>260</v>
      </c>
      <c r="B726" s="39" t="s">
        <v>415</v>
      </c>
      <c r="C726" s="14" t="s">
        <v>418</v>
      </c>
      <c r="D726" s="2" t="s">
        <v>224</v>
      </c>
      <c r="E726" s="14">
        <v>4</v>
      </c>
    </row>
    <row r="727" customHeight="1" spans="1:5">
      <c r="A727" s="36" t="s">
        <v>260</v>
      </c>
      <c r="B727" s="39" t="s">
        <v>415</v>
      </c>
      <c r="C727" s="14" t="s">
        <v>418</v>
      </c>
      <c r="D727" s="2" t="s">
        <v>224</v>
      </c>
      <c r="E727" s="14">
        <v>5</v>
      </c>
    </row>
    <row r="728" customHeight="1" spans="1:5">
      <c r="A728" s="36" t="s">
        <v>260</v>
      </c>
      <c r="B728" s="39" t="s">
        <v>415</v>
      </c>
      <c r="C728" s="15" t="s">
        <v>419</v>
      </c>
      <c r="D728" s="2" t="s">
        <v>225</v>
      </c>
      <c r="E728" s="15">
        <v>1</v>
      </c>
    </row>
    <row r="729" customHeight="1" spans="1:5">
      <c r="A729" s="36" t="s">
        <v>260</v>
      </c>
      <c r="B729" s="39" t="s">
        <v>415</v>
      </c>
      <c r="C729" s="15" t="s">
        <v>419</v>
      </c>
      <c r="D729" s="2" t="s">
        <v>225</v>
      </c>
      <c r="E729" s="15">
        <v>2</v>
      </c>
    </row>
    <row r="730" customHeight="1" spans="1:5">
      <c r="A730" s="36" t="s">
        <v>260</v>
      </c>
      <c r="B730" s="39" t="s">
        <v>415</v>
      </c>
      <c r="C730" s="15" t="s">
        <v>419</v>
      </c>
      <c r="D730" s="2" t="s">
        <v>225</v>
      </c>
      <c r="E730" s="15">
        <v>3</v>
      </c>
    </row>
    <row r="731" customHeight="1" spans="1:5">
      <c r="A731" s="36" t="s">
        <v>260</v>
      </c>
      <c r="B731" s="39" t="s">
        <v>415</v>
      </c>
      <c r="C731" s="15" t="s">
        <v>419</v>
      </c>
      <c r="D731" s="2" t="s">
        <v>225</v>
      </c>
      <c r="E731" s="15">
        <v>4</v>
      </c>
    </row>
    <row r="732" customHeight="1" spans="1:5">
      <c r="A732" s="36" t="s">
        <v>260</v>
      </c>
      <c r="B732" s="39" t="s">
        <v>415</v>
      </c>
      <c r="C732" s="15" t="s">
        <v>419</v>
      </c>
      <c r="D732" s="2" t="s">
        <v>225</v>
      </c>
      <c r="E732" s="15">
        <v>5</v>
      </c>
    </row>
    <row r="733" customHeight="1" spans="1:5">
      <c r="A733" s="36" t="s">
        <v>260</v>
      </c>
      <c r="B733" s="39" t="s">
        <v>415</v>
      </c>
      <c r="C733" s="15" t="s">
        <v>419</v>
      </c>
      <c r="D733" s="2" t="s">
        <v>225</v>
      </c>
      <c r="E733" s="15">
        <v>6</v>
      </c>
    </row>
    <row r="734" customHeight="1" spans="1:5">
      <c r="A734" s="36" t="s">
        <v>260</v>
      </c>
      <c r="B734" s="39" t="s">
        <v>415</v>
      </c>
      <c r="C734" s="15" t="s">
        <v>419</v>
      </c>
      <c r="D734" s="2" t="s">
        <v>225</v>
      </c>
      <c r="E734" s="15">
        <v>7</v>
      </c>
    </row>
    <row r="735" customHeight="1" spans="1:5">
      <c r="A735" s="36" t="s">
        <v>260</v>
      </c>
      <c r="B735" s="39" t="s">
        <v>415</v>
      </c>
      <c r="C735" s="15" t="s">
        <v>419</v>
      </c>
      <c r="D735" s="2" t="s">
        <v>225</v>
      </c>
      <c r="E735" s="15">
        <v>8</v>
      </c>
    </row>
    <row r="736" customHeight="1" spans="1:5">
      <c r="A736" s="36" t="s">
        <v>260</v>
      </c>
      <c r="B736" s="40" t="s">
        <v>420</v>
      </c>
      <c r="C736" s="14" t="s">
        <v>421</v>
      </c>
      <c r="D736" s="2" t="s">
        <v>222</v>
      </c>
      <c r="E736" s="14">
        <v>1</v>
      </c>
    </row>
    <row r="737" customHeight="1" spans="1:5">
      <c r="A737" s="36" t="s">
        <v>260</v>
      </c>
      <c r="B737" s="40" t="s">
        <v>420</v>
      </c>
      <c r="C737" s="14" t="s">
        <v>421</v>
      </c>
      <c r="D737" s="2" t="s">
        <v>222</v>
      </c>
      <c r="E737" s="14">
        <v>2</v>
      </c>
    </row>
    <row r="738" customHeight="1" spans="1:5">
      <c r="A738" s="36" t="s">
        <v>260</v>
      </c>
      <c r="B738" s="40" t="s">
        <v>420</v>
      </c>
      <c r="C738" s="14" t="s">
        <v>421</v>
      </c>
      <c r="D738" s="2" t="s">
        <v>222</v>
      </c>
      <c r="E738" s="14">
        <v>3</v>
      </c>
    </row>
    <row r="739" customHeight="1" spans="1:5">
      <c r="A739" s="36" t="s">
        <v>260</v>
      </c>
      <c r="B739" s="40" t="s">
        <v>420</v>
      </c>
      <c r="C739" s="14" t="s">
        <v>421</v>
      </c>
      <c r="D739" s="2" t="s">
        <v>222</v>
      </c>
      <c r="E739" s="14">
        <v>4</v>
      </c>
    </row>
    <row r="740" customHeight="1" spans="1:5">
      <c r="A740" s="36" t="s">
        <v>260</v>
      </c>
      <c r="B740" s="40" t="s">
        <v>420</v>
      </c>
      <c r="C740" s="14" t="s">
        <v>421</v>
      </c>
      <c r="D740" s="2" t="s">
        <v>222</v>
      </c>
      <c r="E740" s="14">
        <v>5</v>
      </c>
    </row>
    <row r="741" customHeight="1" spans="1:5">
      <c r="A741" s="36" t="s">
        <v>260</v>
      </c>
      <c r="B741" s="40" t="s">
        <v>420</v>
      </c>
      <c r="C741" s="15" t="s">
        <v>422</v>
      </c>
      <c r="D741" s="2" t="s">
        <v>223</v>
      </c>
      <c r="E741" s="15">
        <v>1</v>
      </c>
    </row>
    <row r="742" customHeight="1" spans="1:5">
      <c r="A742" s="36" t="s">
        <v>260</v>
      </c>
      <c r="B742" s="40" t="s">
        <v>420</v>
      </c>
      <c r="C742" s="15" t="s">
        <v>422</v>
      </c>
      <c r="D742" s="2" t="s">
        <v>223</v>
      </c>
      <c r="E742" s="15">
        <v>2</v>
      </c>
    </row>
    <row r="743" customHeight="1" spans="1:5">
      <c r="A743" s="36" t="s">
        <v>260</v>
      </c>
      <c r="B743" s="40" t="s">
        <v>420</v>
      </c>
      <c r="C743" s="15" t="s">
        <v>422</v>
      </c>
      <c r="D743" s="2" t="s">
        <v>223</v>
      </c>
      <c r="E743" s="15">
        <v>3</v>
      </c>
    </row>
    <row r="744" customHeight="1" spans="1:5">
      <c r="A744" s="36" t="s">
        <v>260</v>
      </c>
      <c r="B744" s="40" t="s">
        <v>420</v>
      </c>
      <c r="C744" s="15" t="s">
        <v>422</v>
      </c>
      <c r="D744" s="2" t="s">
        <v>223</v>
      </c>
      <c r="E744" s="15">
        <v>4</v>
      </c>
    </row>
    <row r="745" customHeight="1" spans="1:5">
      <c r="A745" s="36" t="s">
        <v>260</v>
      </c>
      <c r="B745" s="40" t="s">
        <v>420</v>
      </c>
      <c r="C745" s="15" t="s">
        <v>422</v>
      </c>
      <c r="D745" s="2" t="s">
        <v>223</v>
      </c>
      <c r="E745" s="15">
        <v>5</v>
      </c>
    </row>
    <row r="746" customHeight="1" spans="1:5">
      <c r="A746" s="36" t="s">
        <v>260</v>
      </c>
      <c r="B746" s="40" t="s">
        <v>420</v>
      </c>
      <c r="C746" s="14" t="s">
        <v>423</v>
      </c>
      <c r="D746" s="2" t="s">
        <v>224</v>
      </c>
      <c r="E746" s="14">
        <v>1</v>
      </c>
    </row>
    <row r="747" customHeight="1" spans="1:5">
      <c r="A747" s="36" t="s">
        <v>260</v>
      </c>
      <c r="B747" s="40" t="s">
        <v>420</v>
      </c>
      <c r="C747" s="14" t="s">
        <v>423</v>
      </c>
      <c r="D747" s="2" t="s">
        <v>224</v>
      </c>
      <c r="E747" s="14">
        <v>2</v>
      </c>
    </row>
    <row r="748" customHeight="1" spans="1:5">
      <c r="A748" s="36" t="s">
        <v>260</v>
      </c>
      <c r="B748" s="40" t="s">
        <v>420</v>
      </c>
      <c r="C748" s="14" t="s">
        <v>423</v>
      </c>
      <c r="D748" s="2" t="s">
        <v>224</v>
      </c>
      <c r="E748" s="14">
        <v>3</v>
      </c>
    </row>
    <row r="749" customHeight="1" spans="1:5">
      <c r="A749" s="36" t="s">
        <v>260</v>
      </c>
      <c r="B749" s="40" t="s">
        <v>420</v>
      </c>
      <c r="C749" s="14" t="s">
        <v>423</v>
      </c>
      <c r="D749" s="2" t="s">
        <v>224</v>
      </c>
      <c r="E749" s="14">
        <v>4</v>
      </c>
    </row>
    <row r="750" customHeight="1" spans="1:5">
      <c r="A750" s="36" t="s">
        <v>260</v>
      </c>
      <c r="B750" s="40" t="s">
        <v>420</v>
      </c>
      <c r="C750" s="14" t="s">
        <v>423</v>
      </c>
      <c r="D750" s="2" t="s">
        <v>224</v>
      </c>
      <c r="E750" s="14">
        <v>5</v>
      </c>
    </row>
    <row r="751" customHeight="1" spans="1:5">
      <c r="A751" s="36" t="s">
        <v>260</v>
      </c>
      <c r="B751" s="40" t="s">
        <v>420</v>
      </c>
      <c r="C751" s="15" t="s">
        <v>423</v>
      </c>
      <c r="D751" s="2" t="s">
        <v>224</v>
      </c>
      <c r="E751" s="15">
        <v>1</v>
      </c>
    </row>
    <row r="752" customHeight="1" spans="1:5">
      <c r="A752" s="36" t="s">
        <v>260</v>
      </c>
      <c r="B752" s="40" t="s">
        <v>420</v>
      </c>
      <c r="C752" s="15" t="s">
        <v>423</v>
      </c>
      <c r="D752" s="2" t="s">
        <v>224</v>
      </c>
      <c r="E752" s="15">
        <v>2</v>
      </c>
    </row>
    <row r="753" customHeight="1" spans="1:5">
      <c r="A753" s="36" t="s">
        <v>260</v>
      </c>
      <c r="B753" s="40" t="s">
        <v>420</v>
      </c>
      <c r="C753" s="15" t="s">
        <v>423</v>
      </c>
      <c r="D753" s="2" t="s">
        <v>224</v>
      </c>
      <c r="E753" s="15">
        <v>3</v>
      </c>
    </row>
    <row r="754" customHeight="1" spans="1:5">
      <c r="A754" s="36" t="s">
        <v>260</v>
      </c>
      <c r="B754" s="40" t="s">
        <v>420</v>
      </c>
      <c r="C754" s="15" t="s">
        <v>423</v>
      </c>
      <c r="D754" s="2" t="s">
        <v>224</v>
      </c>
      <c r="E754" s="15">
        <v>4</v>
      </c>
    </row>
    <row r="755" customHeight="1" spans="1:5">
      <c r="A755" s="36" t="s">
        <v>260</v>
      </c>
      <c r="B755" s="40" t="s">
        <v>420</v>
      </c>
      <c r="C755" s="15" t="s">
        <v>423</v>
      </c>
      <c r="D755" s="2" t="s">
        <v>224</v>
      </c>
      <c r="E755" s="15">
        <v>5</v>
      </c>
    </row>
    <row r="756" customHeight="1" spans="1:5">
      <c r="A756" s="36" t="s">
        <v>260</v>
      </c>
      <c r="B756" s="40" t="s">
        <v>420</v>
      </c>
      <c r="C756" s="14" t="s">
        <v>424</v>
      </c>
      <c r="D756" s="2" t="s">
        <v>225</v>
      </c>
      <c r="E756" s="14">
        <v>1</v>
      </c>
    </row>
    <row r="757" customHeight="1" spans="1:5">
      <c r="A757" s="36" t="s">
        <v>260</v>
      </c>
      <c r="B757" s="40" t="s">
        <v>420</v>
      </c>
      <c r="C757" s="14" t="s">
        <v>424</v>
      </c>
      <c r="D757" s="2" t="s">
        <v>225</v>
      </c>
      <c r="E757" s="14">
        <v>2</v>
      </c>
    </row>
    <row r="758" customHeight="1" spans="1:5">
      <c r="A758" s="36" t="s">
        <v>260</v>
      </c>
      <c r="B758" s="40" t="s">
        <v>420</v>
      </c>
      <c r="C758" s="14" t="s">
        <v>424</v>
      </c>
      <c r="D758" s="2" t="s">
        <v>225</v>
      </c>
      <c r="E758" s="14">
        <v>3</v>
      </c>
    </row>
    <row r="759" customHeight="1" spans="1:5">
      <c r="A759" s="36" t="s">
        <v>260</v>
      </c>
      <c r="B759" s="40" t="s">
        <v>420</v>
      </c>
      <c r="C759" s="14" t="s">
        <v>424</v>
      </c>
      <c r="D759" s="2" t="s">
        <v>225</v>
      </c>
      <c r="E759" s="14">
        <v>4</v>
      </c>
    </row>
    <row r="760" customHeight="1" spans="1:5">
      <c r="A760" s="36" t="s">
        <v>260</v>
      </c>
      <c r="B760" s="40" t="s">
        <v>420</v>
      </c>
      <c r="C760" s="14" t="s">
        <v>424</v>
      </c>
      <c r="D760" s="2" t="s">
        <v>225</v>
      </c>
      <c r="E760" s="14">
        <v>5</v>
      </c>
    </row>
    <row r="761" customHeight="1" spans="1:5">
      <c r="A761" s="36" t="s">
        <v>260</v>
      </c>
      <c r="B761" s="40" t="s">
        <v>420</v>
      </c>
      <c r="C761" s="14" t="s">
        <v>424</v>
      </c>
      <c r="D761" s="2" t="s">
        <v>225</v>
      </c>
      <c r="E761" s="14">
        <v>6</v>
      </c>
    </row>
    <row r="762" customHeight="1" spans="1:5">
      <c r="A762" s="36" t="s">
        <v>260</v>
      </c>
      <c r="B762" s="40" t="s">
        <v>420</v>
      </c>
      <c r="C762" s="14" t="s">
        <v>424</v>
      </c>
      <c r="D762" s="2" t="s">
        <v>225</v>
      </c>
      <c r="E762" s="14">
        <v>7</v>
      </c>
    </row>
    <row r="763" customHeight="1" spans="1:5">
      <c r="A763" s="36" t="s">
        <v>260</v>
      </c>
      <c r="B763" s="40" t="s">
        <v>420</v>
      </c>
      <c r="C763" s="14" t="s">
        <v>424</v>
      </c>
      <c r="D763" s="2" t="s">
        <v>225</v>
      </c>
      <c r="E763" s="14">
        <v>8</v>
      </c>
    </row>
    <row r="764" customHeight="1" spans="1:5">
      <c r="A764" s="36" t="s">
        <v>260</v>
      </c>
      <c r="B764" s="39" t="s">
        <v>425</v>
      </c>
      <c r="C764" s="15" t="s">
        <v>426</v>
      </c>
      <c r="D764" s="2" t="s">
        <v>222</v>
      </c>
      <c r="E764" s="15">
        <v>1</v>
      </c>
    </row>
    <row r="765" customHeight="1" spans="1:5">
      <c r="A765" s="36" t="s">
        <v>260</v>
      </c>
      <c r="B765" s="39" t="s">
        <v>425</v>
      </c>
      <c r="C765" s="15" t="s">
        <v>426</v>
      </c>
      <c r="D765" s="2" t="s">
        <v>222</v>
      </c>
      <c r="E765" s="15">
        <v>2</v>
      </c>
    </row>
    <row r="766" customHeight="1" spans="1:5">
      <c r="A766" s="36" t="s">
        <v>260</v>
      </c>
      <c r="B766" s="39" t="s">
        <v>425</v>
      </c>
      <c r="C766" s="15" t="s">
        <v>426</v>
      </c>
      <c r="D766" s="2" t="s">
        <v>222</v>
      </c>
      <c r="E766" s="15">
        <v>3</v>
      </c>
    </row>
    <row r="767" customHeight="1" spans="1:5">
      <c r="A767" s="36" t="s">
        <v>260</v>
      </c>
      <c r="B767" s="39" t="s">
        <v>425</v>
      </c>
      <c r="C767" s="15" t="s">
        <v>426</v>
      </c>
      <c r="D767" s="2" t="s">
        <v>222</v>
      </c>
      <c r="E767" s="15">
        <v>4</v>
      </c>
    </row>
    <row r="768" customHeight="1" spans="1:5">
      <c r="A768" s="36" t="s">
        <v>260</v>
      </c>
      <c r="B768" s="39" t="s">
        <v>425</v>
      </c>
      <c r="C768" s="15" t="s">
        <v>426</v>
      </c>
      <c r="D768" s="2" t="s">
        <v>222</v>
      </c>
      <c r="E768" s="15">
        <v>5</v>
      </c>
    </row>
    <row r="769" customHeight="1" spans="1:5">
      <c r="A769" s="36" t="s">
        <v>260</v>
      </c>
      <c r="B769" s="39" t="s">
        <v>425</v>
      </c>
      <c r="C769" s="14" t="s">
        <v>427</v>
      </c>
      <c r="D769" s="2" t="s">
        <v>223</v>
      </c>
      <c r="E769" s="14">
        <v>1</v>
      </c>
    </row>
    <row r="770" customHeight="1" spans="1:5">
      <c r="A770" s="36" t="s">
        <v>260</v>
      </c>
      <c r="B770" s="39" t="s">
        <v>425</v>
      </c>
      <c r="C770" s="14" t="s">
        <v>427</v>
      </c>
      <c r="D770" s="2" t="s">
        <v>223</v>
      </c>
      <c r="E770" s="14">
        <v>2</v>
      </c>
    </row>
    <row r="771" customHeight="1" spans="1:5">
      <c r="A771" s="36" t="s">
        <v>260</v>
      </c>
      <c r="B771" s="39" t="s">
        <v>425</v>
      </c>
      <c r="C771" s="14" t="s">
        <v>427</v>
      </c>
      <c r="D771" s="2" t="s">
        <v>223</v>
      </c>
      <c r="E771" s="14">
        <v>3</v>
      </c>
    </row>
    <row r="772" customHeight="1" spans="1:5">
      <c r="A772" s="36" t="s">
        <v>260</v>
      </c>
      <c r="B772" s="39" t="s">
        <v>425</v>
      </c>
      <c r="C772" s="14" t="s">
        <v>427</v>
      </c>
      <c r="D772" s="2" t="s">
        <v>223</v>
      </c>
      <c r="E772" s="14">
        <v>4</v>
      </c>
    </row>
    <row r="773" customHeight="1" spans="1:5">
      <c r="A773" s="36" t="s">
        <v>260</v>
      </c>
      <c r="B773" s="39" t="s">
        <v>425</v>
      </c>
      <c r="C773" s="14" t="s">
        <v>427</v>
      </c>
      <c r="D773" s="2" t="s">
        <v>223</v>
      </c>
      <c r="E773" s="14">
        <v>5</v>
      </c>
    </row>
    <row r="774" customHeight="1" spans="1:5">
      <c r="A774" s="36" t="s">
        <v>260</v>
      </c>
      <c r="B774" s="39" t="s">
        <v>425</v>
      </c>
      <c r="C774" s="15" t="s">
        <v>428</v>
      </c>
      <c r="D774" s="2" t="s">
        <v>224</v>
      </c>
      <c r="E774" s="15">
        <v>1</v>
      </c>
    </row>
    <row r="775" customHeight="1" spans="1:5">
      <c r="A775" s="36" t="s">
        <v>260</v>
      </c>
      <c r="B775" s="39" t="s">
        <v>425</v>
      </c>
      <c r="C775" s="15" t="s">
        <v>428</v>
      </c>
      <c r="D775" s="2" t="s">
        <v>224</v>
      </c>
      <c r="E775" s="15">
        <v>2</v>
      </c>
    </row>
    <row r="776" customHeight="1" spans="1:5">
      <c r="A776" s="36" t="s">
        <v>260</v>
      </c>
      <c r="B776" s="39" t="s">
        <v>425</v>
      </c>
      <c r="C776" s="15" t="s">
        <v>428</v>
      </c>
      <c r="D776" s="2" t="s">
        <v>224</v>
      </c>
      <c r="E776" s="15">
        <v>3</v>
      </c>
    </row>
    <row r="777" customHeight="1" spans="1:5">
      <c r="A777" s="36" t="s">
        <v>260</v>
      </c>
      <c r="B777" s="39" t="s">
        <v>425</v>
      </c>
      <c r="C777" s="15" t="s">
        <v>428</v>
      </c>
      <c r="D777" s="2" t="s">
        <v>224</v>
      </c>
      <c r="E777" s="15">
        <v>4</v>
      </c>
    </row>
    <row r="778" customHeight="1" spans="1:5">
      <c r="A778" s="36" t="s">
        <v>260</v>
      </c>
      <c r="B778" s="39" t="s">
        <v>425</v>
      </c>
      <c r="C778" s="15" t="s">
        <v>428</v>
      </c>
      <c r="D778" s="2" t="s">
        <v>224</v>
      </c>
      <c r="E778" s="15">
        <v>5</v>
      </c>
    </row>
    <row r="779" customHeight="1" spans="1:5">
      <c r="A779" s="36" t="s">
        <v>260</v>
      </c>
      <c r="B779" s="39" t="s">
        <v>425</v>
      </c>
      <c r="C779" s="14" t="s">
        <v>428</v>
      </c>
      <c r="D779" s="2" t="s">
        <v>224</v>
      </c>
      <c r="E779" s="14">
        <v>1</v>
      </c>
    </row>
    <row r="780" customHeight="1" spans="1:5">
      <c r="A780" s="36" t="s">
        <v>260</v>
      </c>
      <c r="B780" s="39" t="s">
        <v>425</v>
      </c>
      <c r="C780" s="14" t="s">
        <v>428</v>
      </c>
      <c r="D780" s="2" t="s">
        <v>224</v>
      </c>
      <c r="E780" s="14">
        <v>2</v>
      </c>
    </row>
    <row r="781" customHeight="1" spans="1:5">
      <c r="A781" s="36" t="s">
        <v>260</v>
      </c>
      <c r="B781" s="39" t="s">
        <v>425</v>
      </c>
      <c r="C781" s="14" t="s">
        <v>428</v>
      </c>
      <c r="D781" s="2" t="s">
        <v>224</v>
      </c>
      <c r="E781" s="14">
        <v>3</v>
      </c>
    </row>
    <row r="782" customHeight="1" spans="1:5">
      <c r="A782" s="36" t="s">
        <v>260</v>
      </c>
      <c r="B782" s="39" t="s">
        <v>425</v>
      </c>
      <c r="C782" s="14" t="s">
        <v>428</v>
      </c>
      <c r="D782" s="2" t="s">
        <v>224</v>
      </c>
      <c r="E782" s="14">
        <v>4</v>
      </c>
    </row>
    <row r="783" customHeight="1" spans="1:5">
      <c r="A783" s="36" t="s">
        <v>260</v>
      </c>
      <c r="B783" s="39" t="s">
        <v>425</v>
      </c>
      <c r="C783" s="14" t="s">
        <v>428</v>
      </c>
      <c r="D783" s="2" t="s">
        <v>224</v>
      </c>
      <c r="E783" s="14">
        <v>5</v>
      </c>
    </row>
    <row r="784" customHeight="1" spans="1:5">
      <c r="A784" s="36" t="s">
        <v>260</v>
      </c>
      <c r="B784" s="39" t="s">
        <v>425</v>
      </c>
      <c r="C784" s="15" t="s">
        <v>429</v>
      </c>
      <c r="D784" s="2" t="s">
        <v>225</v>
      </c>
      <c r="E784" s="15">
        <v>1</v>
      </c>
    </row>
    <row r="785" customHeight="1" spans="1:5">
      <c r="A785" s="36" t="s">
        <v>260</v>
      </c>
      <c r="B785" s="39" t="s">
        <v>425</v>
      </c>
      <c r="C785" s="15" t="s">
        <v>429</v>
      </c>
      <c r="D785" s="2" t="s">
        <v>225</v>
      </c>
      <c r="E785" s="15">
        <v>2</v>
      </c>
    </row>
    <row r="786" customHeight="1" spans="1:5">
      <c r="A786" s="36" t="s">
        <v>260</v>
      </c>
      <c r="B786" s="39" t="s">
        <v>425</v>
      </c>
      <c r="C786" s="15" t="s">
        <v>429</v>
      </c>
      <c r="D786" s="2" t="s">
        <v>225</v>
      </c>
      <c r="E786" s="15">
        <v>3</v>
      </c>
    </row>
    <row r="787" customHeight="1" spans="1:5">
      <c r="A787" s="36" t="s">
        <v>260</v>
      </c>
      <c r="B787" s="39" t="s">
        <v>425</v>
      </c>
      <c r="C787" s="15" t="s">
        <v>429</v>
      </c>
      <c r="D787" s="2" t="s">
        <v>225</v>
      </c>
      <c r="E787" s="15">
        <v>4</v>
      </c>
    </row>
    <row r="788" customHeight="1" spans="1:5">
      <c r="A788" s="36" t="s">
        <v>260</v>
      </c>
      <c r="B788" s="39" t="s">
        <v>425</v>
      </c>
      <c r="C788" s="15" t="s">
        <v>429</v>
      </c>
      <c r="D788" s="2" t="s">
        <v>225</v>
      </c>
      <c r="E788" s="15">
        <v>5</v>
      </c>
    </row>
    <row r="789" customHeight="1" spans="1:5">
      <c r="A789" s="36" t="s">
        <v>260</v>
      </c>
      <c r="B789" s="39" t="s">
        <v>425</v>
      </c>
      <c r="C789" s="15" t="s">
        <v>429</v>
      </c>
      <c r="D789" s="2" t="s">
        <v>225</v>
      </c>
      <c r="E789" s="15">
        <v>6</v>
      </c>
    </row>
    <row r="790" customHeight="1" spans="1:5">
      <c r="A790" s="36" t="s">
        <v>260</v>
      </c>
      <c r="B790" s="39" t="s">
        <v>425</v>
      </c>
      <c r="C790" s="15" t="s">
        <v>429</v>
      </c>
      <c r="D790" s="2" t="s">
        <v>225</v>
      </c>
      <c r="E790" s="15">
        <v>7</v>
      </c>
    </row>
    <row r="791" customHeight="1" spans="1:5">
      <c r="A791" s="36" t="s">
        <v>260</v>
      </c>
      <c r="B791" s="39" t="s">
        <v>425</v>
      </c>
      <c r="C791" s="15" t="s">
        <v>429</v>
      </c>
      <c r="D791" s="2" t="s">
        <v>225</v>
      </c>
      <c r="E791" s="15">
        <v>8</v>
      </c>
    </row>
    <row r="792" customHeight="1" spans="1:5">
      <c r="A792" s="36" t="s">
        <v>220</v>
      </c>
      <c r="B792" s="39" t="s">
        <v>430</v>
      </c>
      <c r="C792" s="14" t="s">
        <v>431</v>
      </c>
      <c r="D792" s="2" t="s">
        <v>222</v>
      </c>
      <c r="E792" s="14">
        <v>1</v>
      </c>
    </row>
    <row r="793" customHeight="1" spans="1:5">
      <c r="A793" s="36" t="s">
        <v>220</v>
      </c>
      <c r="B793" s="39" t="s">
        <v>430</v>
      </c>
      <c r="C793" s="14" t="s">
        <v>431</v>
      </c>
      <c r="D793" s="2" t="s">
        <v>222</v>
      </c>
      <c r="E793" s="14">
        <v>2</v>
      </c>
    </row>
    <row r="794" customHeight="1" spans="1:5">
      <c r="A794" s="36" t="s">
        <v>220</v>
      </c>
      <c r="B794" s="39" t="s">
        <v>430</v>
      </c>
      <c r="C794" s="14" t="s">
        <v>431</v>
      </c>
      <c r="D794" s="2" t="s">
        <v>222</v>
      </c>
      <c r="E794" s="14">
        <v>3</v>
      </c>
    </row>
    <row r="795" customHeight="1" spans="1:5">
      <c r="A795" s="36" t="s">
        <v>220</v>
      </c>
      <c r="B795" s="39" t="s">
        <v>430</v>
      </c>
      <c r="C795" s="14" t="s">
        <v>431</v>
      </c>
      <c r="D795" s="2" t="s">
        <v>222</v>
      </c>
      <c r="E795" s="14">
        <v>4</v>
      </c>
    </row>
    <row r="796" customHeight="1" spans="1:5">
      <c r="A796" s="36" t="s">
        <v>220</v>
      </c>
      <c r="B796" s="39" t="s">
        <v>430</v>
      </c>
      <c r="C796" s="14" t="s">
        <v>431</v>
      </c>
      <c r="D796" s="2" t="s">
        <v>222</v>
      </c>
      <c r="E796" s="14">
        <v>5</v>
      </c>
    </row>
    <row r="797" customHeight="1" spans="1:5">
      <c r="A797" s="36" t="s">
        <v>220</v>
      </c>
      <c r="B797" s="39" t="s">
        <v>430</v>
      </c>
      <c r="C797" s="15" t="s">
        <v>432</v>
      </c>
      <c r="D797" s="2" t="s">
        <v>224</v>
      </c>
      <c r="E797" s="15">
        <v>1</v>
      </c>
    </row>
    <row r="798" customHeight="1" spans="1:5">
      <c r="A798" s="36" t="s">
        <v>220</v>
      </c>
      <c r="B798" s="39" t="s">
        <v>430</v>
      </c>
      <c r="C798" s="15" t="s">
        <v>432</v>
      </c>
      <c r="D798" s="2" t="s">
        <v>224</v>
      </c>
      <c r="E798" s="15">
        <v>2</v>
      </c>
    </row>
    <row r="799" customHeight="1" spans="1:5">
      <c r="A799" s="36" t="s">
        <v>220</v>
      </c>
      <c r="B799" s="39" t="s">
        <v>430</v>
      </c>
      <c r="C799" s="15" t="s">
        <v>432</v>
      </c>
      <c r="D799" s="2" t="s">
        <v>224</v>
      </c>
      <c r="E799" s="15">
        <v>3</v>
      </c>
    </row>
    <row r="800" customHeight="1" spans="1:5">
      <c r="A800" s="36" t="s">
        <v>220</v>
      </c>
      <c r="B800" s="39" t="s">
        <v>430</v>
      </c>
      <c r="C800" s="15" t="s">
        <v>432</v>
      </c>
      <c r="D800" s="2" t="s">
        <v>224</v>
      </c>
      <c r="E800" s="15">
        <v>4</v>
      </c>
    </row>
    <row r="801" customHeight="1" spans="1:5">
      <c r="A801" s="36" t="s">
        <v>220</v>
      </c>
      <c r="B801" s="39" t="s">
        <v>430</v>
      </c>
      <c r="C801" s="15" t="s">
        <v>432</v>
      </c>
      <c r="D801" s="2" t="s">
        <v>224</v>
      </c>
      <c r="E801" s="15">
        <v>5</v>
      </c>
    </row>
    <row r="802" customHeight="1" spans="1:5">
      <c r="A802" s="36" t="s">
        <v>220</v>
      </c>
      <c r="B802" s="39" t="s">
        <v>430</v>
      </c>
      <c r="C802" s="14" t="s">
        <v>432</v>
      </c>
      <c r="D802" s="2" t="s">
        <v>224</v>
      </c>
      <c r="E802" s="14">
        <v>1</v>
      </c>
    </row>
    <row r="803" customHeight="1" spans="1:5">
      <c r="A803" s="36" t="s">
        <v>220</v>
      </c>
      <c r="B803" s="39" t="s">
        <v>430</v>
      </c>
      <c r="C803" s="14" t="s">
        <v>432</v>
      </c>
      <c r="D803" s="2" t="s">
        <v>224</v>
      </c>
      <c r="E803" s="14">
        <v>2</v>
      </c>
    </row>
    <row r="804" customHeight="1" spans="1:5">
      <c r="A804" s="36" t="s">
        <v>220</v>
      </c>
      <c r="B804" s="39" t="s">
        <v>430</v>
      </c>
      <c r="C804" s="14" t="s">
        <v>432</v>
      </c>
      <c r="D804" s="2" t="s">
        <v>224</v>
      </c>
      <c r="E804" s="14">
        <v>3</v>
      </c>
    </row>
    <row r="805" customHeight="1" spans="1:5">
      <c r="A805" s="36" t="s">
        <v>220</v>
      </c>
      <c r="B805" s="39" t="s">
        <v>430</v>
      </c>
      <c r="C805" s="14" t="s">
        <v>432</v>
      </c>
      <c r="D805" s="2" t="s">
        <v>224</v>
      </c>
      <c r="E805" s="14">
        <v>4</v>
      </c>
    </row>
    <row r="806" customHeight="1" spans="1:5">
      <c r="A806" s="36" t="s">
        <v>220</v>
      </c>
      <c r="B806" s="39" t="s">
        <v>430</v>
      </c>
      <c r="C806" s="14" t="s">
        <v>432</v>
      </c>
      <c r="D806" s="2" t="s">
        <v>224</v>
      </c>
      <c r="E806" s="14">
        <v>5</v>
      </c>
    </row>
    <row r="807" customHeight="1" spans="1:5">
      <c r="A807" s="36" t="s">
        <v>220</v>
      </c>
      <c r="B807" s="39" t="s">
        <v>430</v>
      </c>
      <c r="C807" s="15" t="s">
        <v>433</v>
      </c>
      <c r="D807" s="2" t="s">
        <v>255</v>
      </c>
      <c r="E807" s="15">
        <v>1</v>
      </c>
    </row>
    <row r="808" customHeight="1" spans="1:5">
      <c r="A808" s="36" t="s">
        <v>220</v>
      </c>
      <c r="B808" s="39" t="s">
        <v>430</v>
      </c>
      <c r="C808" s="15" t="s">
        <v>433</v>
      </c>
      <c r="D808" s="2" t="s">
        <v>255</v>
      </c>
      <c r="E808" s="15">
        <v>2</v>
      </c>
    </row>
    <row r="809" customHeight="1" spans="1:5">
      <c r="A809" s="36" t="s">
        <v>220</v>
      </c>
      <c r="B809" s="39" t="s">
        <v>430</v>
      </c>
      <c r="C809" s="15" t="s">
        <v>433</v>
      </c>
      <c r="D809" s="2" t="s">
        <v>255</v>
      </c>
      <c r="E809" s="15">
        <v>3</v>
      </c>
    </row>
    <row r="810" customHeight="1" spans="1:5">
      <c r="A810" s="36" t="s">
        <v>220</v>
      </c>
      <c r="B810" s="39" t="s">
        <v>430</v>
      </c>
      <c r="C810" s="15" t="s">
        <v>433</v>
      </c>
      <c r="D810" s="2" t="s">
        <v>255</v>
      </c>
      <c r="E810" s="15">
        <v>4</v>
      </c>
    </row>
    <row r="811" customHeight="1" spans="1:5">
      <c r="A811" s="36" t="s">
        <v>220</v>
      </c>
      <c r="B811" s="39" t="s">
        <v>430</v>
      </c>
      <c r="C811" s="15" t="s">
        <v>433</v>
      </c>
      <c r="D811" s="2" t="s">
        <v>255</v>
      </c>
      <c r="E811" s="15">
        <v>5</v>
      </c>
    </row>
    <row r="812" customHeight="1" spans="1:5">
      <c r="A812" s="36" t="s">
        <v>220</v>
      </c>
      <c r="B812" s="39" t="s">
        <v>430</v>
      </c>
      <c r="C812" s="14" t="s">
        <v>434</v>
      </c>
      <c r="D812" s="2" t="s">
        <v>225</v>
      </c>
      <c r="E812" s="14">
        <v>1</v>
      </c>
    </row>
    <row r="813" customHeight="1" spans="1:5">
      <c r="A813" s="36" t="s">
        <v>220</v>
      </c>
      <c r="B813" s="39" t="s">
        <v>430</v>
      </c>
      <c r="C813" s="14" t="s">
        <v>434</v>
      </c>
      <c r="D813" s="2" t="s">
        <v>225</v>
      </c>
      <c r="E813" s="14">
        <v>2</v>
      </c>
    </row>
    <row r="814" customHeight="1" spans="1:5">
      <c r="A814" s="36" t="s">
        <v>220</v>
      </c>
      <c r="B814" s="39" t="s">
        <v>430</v>
      </c>
      <c r="C814" s="14" t="s">
        <v>434</v>
      </c>
      <c r="D814" s="2" t="s">
        <v>225</v>
      </c>
      <c r="E814" s="14">
        <v>3</v>
      </c>
    </row>
    <row r="815" customHeight="1" spans="1:5">
      <c r="A815" s="36" t="s">
        <v>220</v>
      </c>
      <c r="B815" s="39" t="s">
        <v>430</v>
      </c>
      <c r="C815" s="14" t="s">
        <v>434</v>
      </c>
      <c r="D815" s="2" t="s">
        <v>225</v>
      </c>
      <c r="E815" s="14">
        <v>4</v>
      </c>
    </row>
    <row r="816" customHeight="1" spans="1:5">
      <c r="A816" s="36" t="s">
        <v>220</v>
      </c>
      <c r="B816" s="39" t="s">
        <v>430</v>
      </c>
      <c r="C816" s="14" t="s">
        <v>434</v>
      </c>
      <c r="D816" s="2" t="s">
        <v>225</v>
      </c>
      <c r="E816" s="14">
        <v>5</v>
      </c>
    </row>
    <row r="817" customHeight="1" spans="1:5">
      <c r="A817" s="36" t="s">
        <v>220</v>
      </c>
      <c r="B817" s="39" t="s">
        <v>430</v>
      </c>
      <c r="C817" s="14" t="s">
        <v>434</v>
      </c>
      <c r="D817" s="2" t="s">
        <v>225</v>
      </c>
      <c r="E817" s="14">
        <v>6</v>
      </c>
    </row>
    <row r="818" customHeight="1" spans="1:5">
      <c r="A818" s="36" t="s">
        <v>220</v>
      </c>
      <c r="B818" s="39" t="s">
        <v>430</v>
      </c>
      <c r="C818" s="14" t="s">
        <v>434</v>
      </c>
      <c r="D818" s="2" t="s">
        <v>225</v>
      </c>
      <c r="E818" s="14">
        <v>7</v>
      </c>
    </row>
    <row r="819" customHeight="1" spans="1:5">
      <c r="A819" s="36" t="s">
        <v>220</v>
      </c>
      <c r="B819" s="39" t="s">
        <v>430</v>
      </c>
      <c r="C819" s="14" t="s">
        <v>434</v>
      </c>
      <c r="D819" s="2" t="s">
        <v>225</v>
      </c>
      <c r="E819" s="14">
        <v>8</v>
      </c>
    </row>
    <row r="820" customHeight="1" spans="1:5">
      <c r="A820" s="36" t="s">
        <v>220</v>
      </c>
      <c r="B820" s="40" t="s">
        <v>435</v>
      </c>
      <c r="C820" s="15" t="s">
        <v>436</v>
      </c>
      <c r="D820" s="2" t="s">
        <v>222</v>
      </c>
      <c r="E820" s="15">
        <v>1</v>
      </c>
    </row>
    <row r="821" customHeight="1" spans="1:5">
      <c r="A821" s="36" t="s">
        <v>220</v>
      </c>
      <c r="B821" s="40" t="s">
        <v>435</v>
      </c>
      <c r="C821" s="15" t="s">
        <v>436</v>
      </c>
      <c r="D821" s="2" t="s">
        <v>222</v>
      </c>
      <c r="E821" s="15">
        <v>2</v>
      </c>
    </row>
    <row r="822" customHeight="1" spans="1:5">
      <c r="A822" s="36" t="s">
        <v>220</v>
      </c>
      <c r="B822" s="40" t="s">
        <v>435</v>
      </c>
      <c r="C822" s="15" t="s">
        <v>436</v>
      </c>
      <c r="D822" s="2" t="s">
        <v>222</v>
      </c>
      <c r="E822" s="15">
        <v>3</v>
      </c>
    </row>
    <row r="823" customHeight="1" spans="1:5">
      <c r="A823" s="36" t="s">
        <v>220</v>
      </c>
      <c r="B823" s="40" t="s">
        <v>435</v>
      </c>
      <c r="C823" s="15" t="s">
        <v>436</v>
      </c>
      <c r="D823" s="2" t="s">
        <v>222</v>
      </c>
      <c r="E823" s="15">
        <v>4</v>
      </c>
    </row>
    <row r="824" customHeight="1" spans="1:5">
      <c r="A824" s="36" t="s">
        <v>220</v>
      </c>
      <c r="B824" s="40" t="s">
        <v>435</v>
      </c>
      <c r="C824" s="15" t="s">
        <v>436</v>
      </c>
      <c r="D824" s="2" t="s">
        <v>222</v>
      </c>
      <c r="E824" s="15">
        <v>5</v>
      </c>
    </row>
    <row r="825" customHeight="1" spans="1:5">
      <c r="A825" s="36" t="s">
        <v>220</v>
      </c>
      <c r="B825" s="40" t="s">
        <v>435</v>
      </c>
      <c r="C825" s="14" t="s">
        <v>437</v>
      </c>
      <c r="D825" s="2" t="s">
        <v>224</v>
      </c>
      <c r="E825" s="14">
        <v>1</v>
      </c>
    </row>
    <row r="826" customHeight="1" spans="1:5">
      <c r="A826" s="36" t="s">
        <v>220</v>
      </c>
      <c r="B826" s="40" t="s">
        <v>435</v>
      </c>
      <c r="C826" s="14" t="s">
        <v>437</v>
      </c>
      <c r="D826" s="2" t="s">
        <v>224</v>
      </c>
      <c r="E826" s="14">
        <v>2</v>
      </c>
    </row>
    <row r="827" customHeight="1" spans="1:5">
      <c r="A827" s="36" t="s">
        <v>220</v>
      </c>
      <c r="B827" s="40" t="s">
        <v>435</v>
      </c>
      <c r="C827" s="14" t="s">
        <v>437</v>
      </c>
      <c r="D827" s="2" t="s">
        <v>224</v>
      </c>
      <c r="E827" s="14">
        <v>3</v>
      </c>
    </row>
    <row r="828" customHeight="1" spans="1:5">
      <c r="A828" s="36" t="s">
        <v>220</v>
      </c>
      <c r="B828" s="40" t="s">
        <v>435</v>
      </c>
      <c r="C828" s="14" t="s">
        <v>437</v>
      </c>
      <c r="D828" s="2" t="s">
        <v>224</v>
      </c>
      <c r="E828" s="14">
        <v>4</v>
      </c>
    </row>
    <row r="829" customHeight="1" spans="1:5">
      <c r="A829" s="36" t="s">
        <v>220</v>
      </c>
      <c r="B829" s="40" t="s">
        <v>435</v>
      </c>
      <c r="C829" s="14" t="s">
        <v>437</v>
      </c>
      <c r="D829" s="2" t="s">
        <v>224</v>
      </c>
      <c r="E829" s="14">
        <v>5</v>
      </c>
    </row>
    <row r="830" customHeight="1" spans="1:5">
      <c r="A830" s="36" t="s">
        <v>220</v>
      </c>
      <c r="B830" s="40" t="s">
        <v>435</v>
      </c>
      <c r="C830" s="15" t="s">
        <v>437</v>
      </c>
      <c r="D830" s="2" t="s">
        <v>224</v>
      </c>
      <c r="E830" s="15">
        <v>1</v>
      </c>
    </row>
    <row r="831" customHeight="1" spans="1:5">
      <c r="A831" s="36" t="s">
        <v>220</v>
      </c>
      <c r="B831" s="40" t="s">
        <v>435</v>
      </c>
      <c r="C831" s="15" t="s">
        <v>437</v>
      </c>
      <c r="D831" s="2" t="s">
        <v>224</v>
      </c>
      <c r="E831" s="15">
        <v>2</v>
      </c>
    </row>
    <row r="832" customHeight="1" spans="1:5">
      <c r="A832" s="36" t="s">
        <v>220</v>
      </c>
      <c r="B832" s="40" t="s">
        <v>435</v>
      </c>
      <c r="C832" s="15" t="s">
        <v>437</v>
      </c>
      <c r="D832" s="2" t="s">
        <v>224</v>
      </c>
      <c r="E832" s="15">
        <v>3</v>
      </c>
    </row>
    <row r="833" customHeight="1" spans="1:5">
      <c r="A833" s="36" t="s">
        <v>220</v>
      </c>
      <c r="B833" s="40" t="s">
        <v>435</v>
      </c>
      <c r="C833" s="15" t="s">
        <v>437</v>
      </c>
      <c r="D833" s="2" t="s">
        <v>224</v>
      </c>
      <c r="E833" s="15">
        <v>4</v>
      </c>
    </row>
    <row r="834" customHeight="1" spans="1:5">
      <c r="A834" s="36" t="s">
        <v>220</v>
      </c>
      <c r="B834" s="40" t="s">
        <v>435</v>
      </c>
      <c r="C834" s="15" t="s">
        <v>437</v>
      </c>
      <c r="D834" s="2" t="s">
        <v>224</v>
      </c>
      <c r="E834" s="15">
        <v>5</v>
      </c>
    </row>
    <row r="835" customHeight="1" spans="1:5">
      <c r="A835" s="36" t="s">
        <v>220</v>
      </c>
      <c r="B835" s="40" t="s">
        <v>435</v>
      </c>
      <c r="C835" s="14" t="s">
        <v>438</v>
      </c>
      <c r="D835" s="2" t="s">
        <v>255</v>
      </c>
      <c r="E835" s="14">
        <v>1</v>
      </c>
    </row>
    <row r="836" customHeight="1" spans="1:5">
      <c r="A836" s="36" t="s">
        <v>220</v>
      </c>
      <c r="B836" s="40" t="s">
        <v>435</v>
      </c>
      <c r="C836" s="14" t="s">
        <v>438</v>
      </c>
      <c r="D836" s="2" t="s">
        <v>255</v>
      </c>
      <c r="E836" s="14">
        <v>2</v>
      </c>
    </row>
    <row r="837" customHeight="1" spans="1:5">
      <c r="A837" s="36" t="s">
        <v>220</v>
      </c>
      <c r="B837" s="40" t="s">
        <v>435</v>
      </c>
      <c r="C837" s="14" t="s">
        <v>438</v>
      </c>
      <c r="D837" s="2" t="s">
        <v>255</v>
      </c>
      <c r="E837" s="14">
        <v>3</v>
      </c>
    </row>
    <row r="838" customHeight="1" spans="1:5">
      <c r="A838" s="36" t="s">
        <v>220</v>
      </c>
      <c r="B838" s="40" t="s">
        <v>435</v>
      </c>
      <c r="C838" s="14" t="s">
        <v>438</v>
      </c>
      <c r="D838" s="2" t="s">
        <v>255</v>
      </c>
      <c r="E838" s="14">
        <v>4</v>
      </c>
    </row>
    <row r="839" customHeight="1" spans="1:5">
      <c r="A839" s="36" t="s">
        <v>220</v>
      </c>
      <c r="B839" s="40" t="s">
        <v>435</v>
      </c>
      <c r="C839" s="14" t="s">
        <v>438</v>
      </c>
      <c r="D839" s="2" t="s">
        <v>255</v>
      </c>
      <c r="E839" s="14">
        <v>5</v>
      </c>
    </row>
    <row r="840" customHeight="1" spans="1:5">
      <c r="A840" s="36" t="s">
        <v>220</v>
      </c>
      <c r="B840" s="40" t="s">
        <v>435</v>
      </c>
      <c r="C840" s="15" t="s">
        <v>439</v>
      </c>
      <c r="D840" s="2" t="s">
        <v>225</v>
      </c>
      <c r="E840" s="15">
        <v>1</v>
      </c>
    </row>
    <row r="841" customHeight="1" spans="1:5">
      <c r="A841" s="36" t="s">
        <v>220</v>
      </c>
      <c r="B841" s="40" t="s">
        <v>435</v>
      </c>
      <c r="C841" s="15" t="s">
        <v>439</v>
      </c>
      <c r="D841" s="2" t="s">
        <v>225</v>
      </c>
      <c r="E841" s="15">
        <v>2</v>
      </c>
    </row>
    <row r="842" customHeight="1" spans="1:5">
      <c r="A842" s="36" t="s">
        <v>220</v>
      </c>
      <c r="B842" s="40" t="s">
        <v>435</v>
      </c>
      <c r="C842" s="15" t="s">
        <v>439</v>
      </c>
      <c r="D842" s="2" t="s">
        <v>225</v>
      </c>
      <c r="E842" s="15">
        <v>3</v>
      </c>
    </row>
    <row r="843" customHeight="1" spans="1:5">
      <c r="A843" s="36" t="s">
        <v>220</v>
      </c>
      <c r="B843" s="40" t="s">
        <v>435</v>
      </c>
      <c r="C843" s="15" t="s">
        <v>439</v>
      </c>
      <c r="D843" s="2" t="s">
        <v>225</v>
      </c>
      <c r="E843" s="15">
        <v>4</v>
      </c>
    </row>
    <row r="844" customHeight="1" spans="1:5">
      <c r="A844" s="36" t="s">
        <v>220</v>
      </c>
      <c r="B844" s="40" t="s">
        <v>435</v>
      </c>
      <c r="C844" s="15" t="s">
        <v>439</v>
      </c>
      <c r="D844" s="2" t="s">
        <v>225</v>
      </c>
      <c r="E844" s="15">
        <v>5</v>
      </c>
    </row>
    <row r="845" customHeight="1" spans="1:5">
      <c r="A845" s="36" t="s">
        <v>220</v>
      </c>
      <c r="B845" s="40" t="s">
        <v>435</v>
      </c>
      <c r="C845" s="15" t="s">
        <v>439</v>
      </c>
      <c r="D845" s="2" t="s">
        <v>225</v>
      </c>
      <c r="E845" s="15">
        <v>6</v>
      </c>
    </row>
    <row r="846" customHeight="1" spans="1:5">
      <c r="A846" s="36" t="s">
        <v>220</v>
      </c>
      <c r="B846" s="40" t="s">
        <v>435</v>
      </c>
      <c r="C846" s="15" t="s">
        <v>439</v>
      </c>
      <c r="D846" s="2" t="s">
        <v>225</v>
      </c>
      <c r="E846" s="15">
        <v>7</v>
      </c>
    </row>
    <row r="847" customHeight="1" spans="1:5">
      <c r="A847" s="36" t="s">
        <v>220</v>
      </c>
      <c r="B847" s="40" t="s">
        <v>435</v>
      </c>
      <c r="C847" s="15" t="s">
        <v>439</v>
      </c>
      <c r="D847" s="2" t="s">
        <v>225</v>
      </c>
      <c r="E847" s="15">
        <v>8</v>
      </c>
    </row>
    <row r="848" customHeight="1" spans="1:5">
      <c r="A848" s="36" t="s">
        <v>220</v>
      </c>
      <c r="B848" s="39" t="s">
        <v>440</v>
      </c>
      <c r="C848" s="14" t="s">
        <v>441</v>
      </c>
      <c r="D848" s="2" t="s">
        <v>222</v>
      </c>
      <c r="E848" s="14">
        <v>1</v>
      </c>
    </row>
    <row r="849" customHeight="1" spans="1:5">
      <c r="A849" s="36" t="s">
        <v>220</v>
      </c>
      <c r="B849" s="39" t="s">
        <v>440</v>
      </c>
      <c r="C849" s="14" t="s">
        <v>441</v>
      </c>
      <c r="D849" s="2" t="s">
        <v>222</v>
      </c>
      <c r="E849" s="14">
        <v>2</v>
      </c>
    </row>
    <row r="850" customHeight="1" spans="1:5">
      <c r="A850" s="36" t="s">
        <v>220</v>
      </c>
      <c r="B850" s="39" t="s">
        <v>440</v>
      </c>
      <c r="C850" s="14" t="s">
        <v>441</v>
      </c>
      <c r="D850" s="2" t="s">
        <v>222</v>
      </c>
      <c r="E850" s="14">
        <v>3</v>
      </c>
    </row>
    <row r="851" customHeight="1" spans="1:5">
      <c r="A851" s="36" t="s">
        <v>220</v>
      </c>
      <c r="B851" s="39" t="s">
        <v>440</v>
      </c>
      <c r="C851" s="14" t="s">
        <v>441</v>
      </c>
      <c r="D851" s="2" t="s">
        <v>222</v>
      </c>
      <c r="E851" s="14">
        <v>4</v>
      </c>
    </row>
    <row r="852" customHeight="1" spans="1:5">
      <c r="A852" s="36" t="s">
        <v>220</v>
      </c>
      <c r="B852" s="39" t="s">
        <v>440</v>
      </c>
      <c r="C852" s="14" t="s">
        <v>441</v>
      </c>
      <c r="D852" s="2" t="s">
        <v>222</v>
      </c>
      <c r="E852" s="14">
        <v>5</v>
      </c>
    </row>
    <row r="853" customHeight="1" spans="1:5">
      <c r="A853" s="36" t="s">
        <v>220</v>
      </c>
      <c r="B853" s="39" t="s">
        <v>440</v>
      </c>
      <c r="C853" s="15" t="s">
        <v>442</v>
      </c>
      <c r="D853" s="2" t="s">
        <v>224</v>
      </c>
      <c r="E853" s="15">
        <v>1</v>
      </c>
    </row>
    <row r="854" customHeight="1" spans="1:5">
      <c r="A854" s="36" t="s">
        <v>220</v>
      </c>
      <c r="B854" s="39" t="s">
        <v>440</v>
      </c>
      <c r="C854" s="15" t="s">
        <v>442</v>
      </c>
      <c r="D854" s="2" t="s">
        <v>224</v>
      </c>
      <c r="E854" s="15">
        <v>2</v>
      </c>
    </row>
    <row r="855" customHeight="1" spans="1:5">
      <c r="A855" s="36" t="s">
        <v>220</v>
      </c>
      <c r="B855" s="39" t="s">
        <v>440</v>
      </c>
      <c r="C855" s="15" t="s">
        <v>442</v>
      </c>
      <c r="D855" s="2" t="s">
        <v>224</v>
      </c>
      <c r="E855" s="15">
        <v>3</v>
      </c>
    </row>
    <row r="856" customHeight="1" spans="1:5">
      <c r="A856" s="36" t="s">
        <v>220</v>
      </c>
      <c r="B856" s="39" t="s">
        <v>440</v>
      </c>
      <c r="C856" s="15" t="s">
        <v>442</v>
      </c>
      <c r="D856" s="2" t="s">
        <v>224</v>
      </c>
      <c r="E856" s="15">
        <v>4</v>
      </c>
    </row>
    <row r="857" customHeight="1" spans="1:5">
      <c r="A857" s="36" t="s">
        <v>220</v>
      </c>
      <c r="B857" s="39" t="s">
        <v>440</v>
      </c>
      <c r="C857" s="15" t="s">
        <v>442</v>
      </c>
      <c r="D857" s="2" t="s">
        <v>224</v>
      </c>
      <c r="E857" s="15">
        <v>5</v>
      </c>
    </row>
    <row r="858" customHeight="1" spans="1:5">
      <c r="A858" s="36" t="s">
        <v>220</v>
      </c>
      <c r="B858" s="39" t="s">
        <v>440</v>
      </c>
      <c r="C858" s="14" t="s">
        <v>442</v>
      </c>
      <c r="D858" s="2" t="s">
        <v>224</v>
      </c>
      <c r="E858" s="14">
        <v>1</v>
      </c>
    </row>
    <row r="859" customHeight="1" spans="1:5">
      <c r="A859" s="36" t="s">
        <v>220</v>
      </c>
      <c r="B859" s="39" t="s">
        <v>440</v>
      </c>
      <c r="C859" s="14" t="s">
        <v>442</v>
      </c>
      <c r="D859" s="2" t="s">
        <v>224</v>
      </c>
      <c r="E859" s="14">
        <v>2</v>
      </c>
    </row>
    <row r="860" customHeight="1" spans="1:5">
      <c r="A860" s="36" t="s">
        <v>220</v>
      </c>
      <c r="B860" s="39" t="s">
        <v>440</v>
      </c>
      <c r="C860" s="14" t="s">
        <v>442</v>
      </c>
      <c r="D860" s="2" t="s">
        <v>224</v>
      </c>
      <c r="E860" s="14">
        <v>3</v>
      </c>
    </row>
    <row r="861" customHeight="1" spans="1:5">
      <c r="A861" s="36" t="s">
        <v>220</v>
      </c>
      <c r="B861" s="39" t="s">
        <v>440</v>
      </c>
      <c r="C861" s="14" t="s">
        <v>442</v>
      </c>
      <c r="D861" s="2" t="s">
        <v>224</v>
      </c>
      <c r="E861" s="14">
        <v>4</v>
      </c>
    </row>
    <row r="862" customHeight="1" spans="1:5">
      <c r="A862" s="36" t="s">
        <v>220</v>
      </c>
      <c r="B862" s="39" t="s">
        <v>440</v>
      </c>
      <c r="C862" s="14" t="s">
        <v>442</v>
      </c>
      <c r="D862" s="2" t="s">
        <v>224</v>
      </c>
      <c r="E862" s="14">
        <v>5</v>
      </c>
    </row>
    <row r="863" customHeight="1" spans="1:5">
      <c r="A863" s="36" t="s">
        <v>220</v>
      </c>
      <c r="B863" s="39" t="s">
        <v>440</v>
      </c>
      <c r="C863" s="15" t="s">
        <v>443</v>
      </c>
      <c r="D863" s="2" t="s">
        <v>255</v>
      </c>
      <c r="E863" s="15">
        <v>1</v>
      </c>
    </row>
    <row r="864" customHeight="1" spans="1:5">
      <c r="A864" s="36" t="s">
        <v>220</v>
      </c>
      <c r="B864" s="39" t="s">
        <v>440</v>
      </c>
      <c r="C864" s="15" t="s">
        <v>443</v>
      </c>
      <c r="D864" s="2" t="s">
        <v>255</v>
      </c>
      <c r="E864" s="15">
        <v>2</v>
      </c>
    </row>
    <row r="865" customHeight="1" spans="1:5">
      <c r="A865" s="36" t="s">
        <v>220</v>
      </c>
      <c r="B865" s="39" t="s">
        <v>440</v>
      </c>
      <c r="C865" s="15" t="s">
        <v>443</v>
      </c>
      <c r="D865" s="2" t="s">
        <v>255</v>
      </c>
      <c r="E865" s="15">
        <v>3</v>
      </c>
    </row>
    <row r="866" customHeight="1" spans="1:5">
      <c r="A866" s="36" t="s">
        <v>220</v>
      </c>
      <c r="B866" s="39" t="s">
        <v>440</v>
      </c>
      <c r="C866" s="15" t="s">
        <v>443</v>
      </c>
      <c r="D866" s="2" t="s">
        <v>255</v>
      </c>
      <c r="E866" s="15">
        <v>4</v>
      </c>
    </row>
    <row r="867" customHeight="1" spans="1:5">
      <c r="A867" s="36" t="s">
        <v>220</v>
      </c>
      <c r="B867" s="39" t="s">
        <v>440</v>
      </c>
      <c r="C867" s="15" t="s">
        <v>443</v>
      </c>
      <c r="D867" s="2" t="s">
        <v>255</v>
      </c>
      <c r="E867" s="15">
        <v>5</v>
      </c>
    </row>
    <row r="868" customHeight="1" spans="1:5">
      <c r="A868" s="36" t="s">
        <v>220</v>
      </c>
      <c r="B868" s="39" t="s">
        <v>440</v>
      </c>
      <c r="C868" s="14" t="s">
        <v>444</v>
      </c>
      <c r="D868" s="2" t="s">
        <v>225</v>
      </c>
      <c r="E868" s="14">
        <v>1</v>
      </c>
    </row>
    <row r="869" customHeight="1" spans="1:5">
      <c r="A869" s="36" t="s">
        <v>220</v>
      </c>
      <c r="B869" s="39" t="s">
        <v>440</v>
      </c>
      <c r="C869" s="14" t="s">
        <v>444</v>
      </c>
      <c r="D869" s="2" t="s">
        <v>225</v>
      </c>
      <c r="E869" s="14">
        <v>2</v>
      </c>
    </row>
    <row r="870" customHeight="1" spans="1:5">
      <c r="A870" s="36" t="s">
        <v>220</v>
      </c>
      <c r="B870" s="39" t="s">
        <v>440</v>
      </c>
      <c r="C870" s="14" t="s">
        <v>444</v>
      </c>
      <c r="D870" s="2" t="s">
        <v>225</v>
      </c>
      <c r="E870" s="14">
        <v>3</v>
      </c>
    </row>
    <row r="871" customHeight="1" spans="1:5">
      <c r="A871" s="36" t="s">
        <v>220</v>
      </c>
      <c r="B871" s="39" t="s">
        <v>440</v>
      </c>
      <c r="C871" s="14" t="s">
        <v>444</v>
      </c>
      <c r="D871" s="2" t="s">
        <v>225</v>
      </c>
      <c r="E871" s="14">
        <v>4</v>
      </c>
    </row>
    <row r="872" customHeight="1" spans="1:5">
      <c r="A872" s="36" t="s">
        <v>220</v>
      </c>
      <c r="B872" s="39" t="s">
        <v>440</v>
      </c>
      <c r="C872" s="14" t="s">
        <v>444</v>
      </c>
      <c r="D872" s="2" t="s">
        <v>225</v>
      </c>
      <c r="E872" s="14">
        <v>5</v>
      </c>
    </row>
    <row r="873" customHeight="1" spans="1:5">
      <c r="A873" s="36" t="s">
        <v>220</v>
      </c>
      <c r="B873" s="39" t="s">
        <v>440</v>
      </c>
      <c r="C873" s="14" t="s">
        <v>444</v>
      </c>
      <c r="D873" s="2" t="s">
        <v>225</v>
      </c>
      <c r="E873" s="14">
        <v>6</v>
      </c>
    </row>
    <row r="874" customHeight="1" spans="1:5">
      <c r="A874" s="36" t="s">
        <v>220</v>
      </c>
      <c r="B874" s="39" t="s">
        <v>440</v>
      </c>
      <c r="C874" s="14" t="s">
        <v>444</v>
      </c>
      <c r="D874" s="2" t="s">
        <v>225</v>
      </c>
      <c r="E874" s="14">
        <v>7</v>
      </c>
    </row>
    <row r="875" customHeight="1" spans="1:5">
      <c r="A875" s="36" t="s">
        <v>220</v>
      </c>
      <c r="B875" s="39" t="s">
        <v>440</v>
      </c>
      <c r="C875" s="14" t="s">
        <v>444</v>
      </c>
      <c r="D875" s="2" t="s">
        <v>225</v>
      </c>
      <c r="E875" s="14">
        <v>8</v>
      </c>
    </row>
    <row r="876" customHeight="1" spans="1:5">
      <c r="A876" s="36" t="s">
        <v>220</v>
      </c>
      <c r="B876" s="40" t="s">
        <v>445</v>
      </c>
      <c r="C876" s="15" t="s">
        <v>446</v>
      </c>
      <c r="D876" s="2" t="s">
        <v>222</v>
      </c>
      <c r="E876" s="15">
        <v>1</v>
      </c>
    </row>
    <row r="877" customHeight="1" spans="1:5">
      <c r="A877" s="36" t="s">
        <v>220</v>
      </c>
      <c r="B877" s="40" t="s">
        <v>445</v>
      </c>
      <c r="C877" s="15" t="s">
        <v>446</v>
      </c>
      <c r="D877" s="2" t="s">
        <v>222</v>
      </c>
      <c r="E877" s="15">
        <v>2</v>
      </c>
    </row>
    <row r="878" customHeight="1" spans="1:5">
      <c r="A878" s="36" t="s">
        <v>220</v>
      </c>
      <c r="B878" s="40" t="s">
        <v>445</v>
      </c>
      <c r="C878" s="15" t="s">
        <v>446</v>
      </c>
      <c r="D878" s="2" t="s">
        <v>222</v>
      </c>
      <c r="E878" s="15">
        <v>3</v>
      </c>
    </row>
    <row r="879" customHeight="1" spans="1:5">
      <c r="A879" s="36" t="s">
        <v>220</v>
      </c>
      <c r="B879" s="40" t="s">
        <v>445</v>
      </c>
      <c r="C879" s="15" t="s">
        <v>446</v>
      </c>
      <c r="D879" s="2" t="s">
        <v>222</v>
      </c>
      <c r="E879" s="15">
        <v>4</v>
      </c>
    </row>
    <row r="880" customHeight="1" spans="1:5">
      <c r="A880" s="36" t="s">
        <v>220</v>
      </c>
      <c r="B880" s="40" t="s">
        <v>445</v>
      </c>
      <c r="C880" s="15" t="s">
        <v>446</v>
      </c>
      <c r="D880" s="2" t="s">
        <v>222</v>
      </c>
      <c r="E880" s="15">
        <v>5</v>
      </c>
    </row>
    <row r="881" customHeight="1" spans="1:5">
      <c r="A881" s="36" t="s">
        <v>220</v>
      </c>
      <c r="B881" s="40" t="s">
        <v>445</v>
      </c>
      <c r="C881" s="14" t="s">
        <v>447</v>
      </c>
      <c r="D881" s="2" t="s">
        <v>224</v>
      </c>
      <c r="E881" s="14">
        <v>1</v>
      </c>
    </row>
    <row r="882" customHeight="1" spans="1:5">
      <c r="A882" s="36" t="s">
        <v>220</v>
      </c>
      <c r="B882" s="40" t="s">
        <v>445</v>
      </c>
      <c r="C882" s="14" t="s">
        <v>447</v>
      </c>
      <c r="D882" s="2" t="s">
        <v>224</v>
      </c>
      <c r="E882" s="14">
        <v>2</v>
      </c>
    </row>
    <row r="883" customHeight="1" spans="1:5">
      <c r="A883" s="36" t="s">
        <v>220</v>
      </c>
      <c r="B883" s="40" t="s">
        <v>445</v>
      </c>
      <c r="C883" s="14" t="s">
        <v>447</v>
      </c>
      <c r="D883" s="2" t="s">
        <v>224</v>
      </c>
      <c r="E883" s="14">
        <v>3</v>
      </c>
    </row>
    <row r="884" customHeight="1" spans="1:5">
      <c r="A884" s="36" t="s">
        <v>220</v>
      </c>
      <c r="B884" s="40" t="s">
        <v>445</v>
      </c>
      <c r="C884" s="14" t="s">
        <v>447</v>
      </c>
      <c r="D884" s="2" t="s">
        <v>224</v>
      </c>
      <c r="E884" s="14">
        <v>4</v>
      </c>
    </row>
    <row r="885" customHeight="1" spans="1:5">
      <c r="A885" s="36" t="s">
        <v>220</v>
      </c>
      <c r="B885" s="40" t="s">
        <v>445</v>
      </c>
      <c r="C885" s="14" t="s">
        <v>447</v>
      </c>
      <c r="D885" s="2" t="s">
        <v>224</v>
      </c>
      <c r="E885" s="14">
        <v>5</v>
      </c>
    </row>
    <row r="886" customHeight="1" spans="1:5">
      <c r="A886" s="36" t="s">
        <v>220</v>
      </c>
      <c r="B886" s="40" t="s">
        <v>445</v>
      </c>
      <c r="C886" s="15" t="s">
        <v>447</v>
      </c>
      <c r="D886" s="2" t="s">
        <v>224</v>
      </c>
      <c r="E886" s="15">
        <v>1</v>
      </c>
    </row>
    <row r="887" customHeight="1" spans="1:5">
      <c r="A887" s="36" t="s">
        <v>220</v>
      </c>
      <c r="B887" s="40" t="s">
        <v>445</v>
      </c>
      <c r="C887" s="15" t="s">
        <v>447</v>
      </c>
      <c r="D887" s="2" t="s">
        <v>224</v>
      </c>
      <c r="E887" s="15">
        <v>2</v>
      </c>
    </row>
    <row r="888" customHeight="1" spans="1:5">
      <c r="A888" s="36" t="s">
        <v>220</v>
      </c>
      <c r="B888" s="40" t="s">
        <v>445</v>
      </c>
      <c r="C888" s="15" t="s">
        <v>447</v>
      </c>
      <c r="D888" s="2" t="s">
        <v>224</v>
      </c>
      <c r="E888" s="15">
        <v>3</v>
      </c>
    </row>
    <row r="889" customHeight="1" spans="1:5">
      <c r="A889" s="36" t="s">
        <v>220</v>
      </c>
      <c r="B889" s="40" t="s">
        <v>445</v>
      </c>
      <c r="C889" s="15" t="s">
        <v>447</v>
      </c>
      <c r="D889" s="2" t="s">
        <v>224</v>
      </c>
      <c r="E889" s="15">
        <v>4</v>
      </c>
    </row>
    <row r="890" customHeight="1" spans="1:5">
      <c r="A890" s="36" t="s">
        <v>220</v>
      </c>
      <c r="B890" s="40" t="s">
        <v>445</v>
      </c>
      <c r="C890" s="15" t="s">
        <v>447</v>
      </c>
      <c r="D890" s="2" t="s">
        <v>224</v>
      </c>
      <c r="E890" s="15">
        <v>5</v>
      </c>
    </row>
    <row r="891" customHeight="1" spans="1:5">
      <c r="A891" s="36" t="s">
        <v>220</v>
      </c>
      <c r="B891" s="40" t="s">
        <v>445</v>
      </c>
      <c r="C891" s="14" t="s">
        <v>448</v>
      </c>
      <c r="D891" s="2" t="s">
        <v>255</v>
      </c>
      <c r="E891" s="14">
        <v>1</v>
      </c>
    </row>
    <row r="892" customHeight="1" spans="1:5">
      <c r="A892" s="36" t="s">
        <v>220</v>
      </c>
      <c r="B892" s="40" t="s">
        <v>445</v>
      </c>
      <c r="C892" s="14" t="s">
        <v>448</v>
      </c>
      <c r="D892" s="2" t="s">
        <v>255</v>
      </c>
      <c r="E892" s="14">
        <v>2</v>
      </c>
    </row>
    <row r="893" customHeight="1" spans="1:5">
      <c r="A893" s="36" t="s">
        <v>220</v>
      </c>
      <c r="B893" s="40" t="s">
        <v>445</v>
      </c>
      <c r="C893" s="14" t="s">
        <v>448</v>
      </c>
      <c r="D893" s="2" t="s">
        <v>255</v>
      </c>
      <c r="E893" s="14">
        <v>3</v>
      </c>
    </row>
    <row r="894" customHeight="1" spans="1:5">
      <c r="A894" s="36" t="s">
        <v>220</v>
      </c>
      <c r="B894" s="40" t="s">
        <v>445</v>
      </c>
      <c r="C894" s="14" t="s">
        <v>448</v>
      </c>
      <c r="D894" s="2" t="s">
        <v>255</v>
      </c>
      <c r="E894" s="14">
        <v>4</v>
      </c>
    </row>
    <row r="895" customHeight="1" spans="1:5">
      <c r="A895" s="36" t="s">
        <v>220</v>
      </c>
      <c r="B895" s="40" t="s">
        <v>445</v>
      </c>
      <c r="C895" s="14" t="s">
        <v>448</v>
      </c>
      <c r="D895" s="2" t="s">
        <v>255</v>
      </c>
      <c r="E895" s="14">
        <v>5</v>
      </c>
    </row>
    <row r="896" customHeight="1" spans="1:5">
      <c r="A896" s="36" t="s">
        <v>220</v>
      </c>
      <c r="B896" s="40" t="s">
        <v>445</v>
      </c>
      <c r="C896" s="15" t="s">
        <v>449</v>
      </c>
      <c r="D896" s="2" t="s">
        <v>225</v>
      </c>
      <c r="E896" s="15">
        <v>1</v>
      </c>
    </row>
    <row r="897" customHeight="1" spans="1:5">
      <c r="A897" s="36" t="s">
        <v>220</v>
      </c>
      <c r="B897" s="40" t="s">
        <v>445</v>
      </c>
      <c r="C897" s="15" t="s">
        <v>449</v>
      </c>
      <c r="D897" s="2" t="s">
        <v>225</v>
      </c>
      <c r="E897" s="15">
        <v>2</v>
      </c>
    </row>
    <row r="898" customHeight="1" spans="1:5">
      <c r="A898" s="36" t="s">
        <v>220</v>
      </c>
      <c r="B898" s="40" t="s">
        <v>445</v>
      </c>
      <c r="C898" s="15" t="s">
        <v>449</v>
      </c>
      <c r="D898" s="2" t="s">
        <v>225</v>
      </c>
      <c r="E898" s="15">
        <v>3</v>
      </c>
    </row>
    <row r="899" customHeight="1" spans="1:5">
      <c r="A899" s="36" t="s">
        <v>220</v>
      </c>
      <c r="B899" s="40" t="s">
        <v>445</v>
      </c>
      <c r="C899" s="15" t="s">
        <v>449</v>
      </c>
      <c r="D899" s="2" t="s">
        <v>225</v>
      </c>
      <c r="E899" s="15">
        <v>4</v>
      </c>
    </row>
    <row r="900" customHeight="1" spans="1:5">
      <c r="A900" s="36" t="s">
        <v>220</v>
      </c>
      <c r="B900" s="40" t="s">
        <v>445</v>
      </c>
      <c r="C900" s="15" t="s">
        <v>449</v>
      </c>
      <c r="D900" s="2" t="s">
        <v>225</v>
      </c>
      <c r="E900" s="15">
        <v>5</v>
      </c>
    </row>
    <row r="901" customHeight="1" spans="1:5">
      <c r="A901" s="36" t="s">
        <v>220</v>
      </c>
      <c r="B901" s="40" t="s">
        <v>445</v>
      </c>
      <c r="C901" s="15" t="s">
        <v>449</v>
      </c>
      <c r="D901" s="2" t="s">
        <v>225</v>
      </c>
      <c r="E901" s="15">
        <v>6</v>
      </c>
    </row>
    <row r="902" customHeight="1" spans="1:5">
      <c r="A902" s="36" t="s">
        <v>220</v>
      </c>
      <c r="B902" s="40" t="s">
        <v>445</v>
      </c>
      <c r="C902" s="15" t="s">
        <v>449</v>
      </c>
      <c r="D902" s="2" t="s">
        <v>225</v>
      </c>
      <c r="E902" s="15">
        <v>7</v>
      </c>
    </row>
    <row r="903" customHeight="1" spans="1:5">
      <c r="A903" s="36" t="s">
        <v>220</v>
      </c>
      <c r="B903" s="40" t="s">
        <v>445</v>
      </c>
      <c r="C903" s="15" t="s">
        <v>449</v>
      </c>
      <c r="D903" s="2" t="s">
        <v>225</v>
      </c>
      <c r="E903" s="15">
        <v>8</v>
      </c>
    </row>
    <row r="904" customHeight="1" spans="1:5">
      <c r="A904" s="36" t="s">
        <v>220</v>
      </c>
      <c r="B904" s="39" t="s">
        <v>450</v>
      </c>
      <c r="C904" s="14" t="s">
        <v>451</v>
      </c>
      <c r="D904" s="2" t="s">
        <v>222</v>
      </c>
      <c r="E904" s="14">
        <v>1</v>
      </c>
    </row>
    <row r="905" customHeight="1" spans="1:5">
      <c r="A905" s="36" t="s">
        <v>220</v>
      </c>
      <c r="B905" s="39" t="s">
        <v>450</v>
      </c>
      <c r="C905" s="14" t="s">
        <v>451</v>
      </c>
      <c r="D905" s="2" t="s">
        <v>222</v>
      </c>
      <c r="E905" s="14">
        <v>2</v>
      </c>
    </row>
    <row r="906" customHeight="1" spans="1:5">
      <c r="A906" s="36" t="s">
        <v>220</v>
      </c>
      <c r="B906" s="39" t="s">
        <v>450</v>
      </c>
      <c r="C906" s="14" t="s">
        <v>451</v>
      </c>
      <c r="D906" s="2" t="s">
        <v>222</v>
      </c>
      <c r="E906" s="14">
        <v>3</v>
      </c>
    </row>
    <row r="907" customHeight="1" spans="1:5">
      <c r="A907" s="36" t="s">
        <v>220</v>
      </c>
      <c r="B907" s="39" t="s">
        <v>450</v>
      </c>
      <c r="C907" s="14" t="s">
        <v>451</v>
      </c>
      <c r="D907" s="2" t="s">
        <v>222</v>
      </c>
      <c r="E907" s="14">
        <v>4</v>
      </c>
    </row>
    <row r="908" customHeight="1" spans="1:5">
      <c r="A908" s="36" t="s">
        <v>220</v>
      </c>
      <c r="B908" s="39" t="s">
        <v>450</v>
      </c>
      <c r="C908" s="14" t="s">
        <v>451</v>
      </c>
      <c r="D908" s="2" t="s">
        <v>222</v>
      </c>
      <c r="E908" s="14">
        <v>5</v>
      </c>
    </row>
    <row r="909" customHeight="1" spans="1:5">
      <c r="A909" s="36" t="s">
        <v>220</v>
      </c>
      <c r="B909" s="39" t="s">
        <v>450</v>
      </c>
      <c r="C909" s="15" t="s">
        <v>452</v>
      </c>
      <c r="D909" s="2" t="s">
        <v>224</v>
      </c>
      <c r="E909" s="15">
        <v>1</v>
      </c>
    </row>
    <row r="910" customHeight="1" spans="1:5">
      <c r="A910" s="36" t="s">
        <v>220</v>
      </c>
      <c r="B910" s="39" t="s">
        <v>450</v>
      </c>
      <c r="C910" s="15" t="s">
        <v>452</v>
      </c>
      <c r="D910" s="2" t="s">
        <v>224</v>
      </c>
      <c r="E910" s="15">
        <v>2</v>
      </c>
    </row>
    <row r="911" customHeight="1" spans="1:5">
      <c r="A911" s="36" t="s">
        <v>220</v>
      </c>
      <c r="B911" s="39" t="s">
        <v>450</v>
      </c>
      <c r="C911" s="15" t="s">
        <v>452</v>
      </c>
      <c r="D911" s="2" t="s">
        <v>224</v>
      </c>
      <c r="E911" s="15">
        <v>3</v>
      </c>
    </row>
    <row r="912" customHeight="1" spans="1:5">
      <c r="A912" s="36" t="s">
        <v>220</v>
      </c>
      <c r="B912" s="39" t="s">
        <v>450</v>
      </c>
      <c r="C912" s="15" t="s">
        <v>452</v>
      </c>
      <c r="D912" s="2" t="s">
        <v>224</v>
      </c>
      <c r="E912" s="15">
        <v>4</v>
      </c>
    </row>
    <row r="913" customHeight="1" spans="1:5">
      <c r="A913" s="36" t="s">
        <v>220</v>
      </c>
      <c r="B913" s="39" t="s">
        <v>450</v>
      </c>
      <c r="C913" s="15" t="s">
        <v>452</v>
      </c>
      <c r="D913" s="2" t="s">
        <v>224</v>
      </c>
      <c r="E913" s="15">
        <v>5</v>
      </c>
    </row>
    <row r="914" customHeight="1" spans="1:5">
      <c r="A914" s="36" t="s">
        <v>220</v>
      </c>
      <c r="B914" s="39" t="s">
        <v>450</v>
      </c>
      <c r="C914" s="14" t="s">
        <v>452</v>
      </c>
      <c r="D914" s="2" t="s">
        <v>224</v>
      </c>
      <c r="E914" s="14">
        <v>1</v>
      </c>
    </row>
    <row r="915" customHeight="1" spans="1:5">
      <c r="A915" s="36" t="s">
        <v>220</v>
      </c>
      <c r="B915" s="39" t="s">
        <v>450</v>
      </c>
      <c r="C915" s="14" t="s">
        <v>452</v>
      </c>
      <c r="D915" s="2" t="s">
        <v>224</v>
      </c>
      <c r="E915" s="14">
        <v>2</v>
      </c>
    </row>
    <row r="916" customHeight="1" spans="1:5">
      <c r="A916" s="36" t="s">
        <v>220</v>
      </c>
      <c r="B916" s="39" t="s">
        <v>450</v>
      </c>
      <c r="C916" s="14" t="s">
        <v>452</v>
      </c>
      <c r="D916" s="2" t="s">
        <v>224</v>
      </c>
      <c r="E916" s="14">
        <v>3</v>
      </c>
    </row>
    <row r="917" customHeight="1" spans="1:5">
      <c r="A917" s="36" t="s">
        <v>220</v>
      </c>
      <c r="B917" s="39" t="s">
        <v>450</v>
      </c>
      <c r="C917" s="14" t="s">
        <v>452</v>
      </c>
      <c r="D917" s="2" t="s">
        <v>224</v>
      </c>
      <c r="E917" s="14">
        <v>4</v>
      </c>
    </row>
    <row r="918" customHeight="1" spans="1:5">
      <c r="A918" s="36" t="s">
        <v>220</v>
      </c>
      <c r="B918" s="39" t="s">
        <v>450</v>
      </c>
      <c r="C918" s="14" t="s">
        <v>452</v>
      </c>
      <c r="D918" s="2" t="s">
        <v>224</v>
      </c>
      <c r="E918" s="14">
        <v>5</v>
      </c>
    </row>
    <row r="919" customHeight="1" spans="1:5">
      <c r="A919" s="36" t="s">
        <v>220</v>
      </c>
      <c r="B919" s="39" t="s">
        <v>450</v>
      </c>
      <c r="C919" s="15" t="s">
        <v>453</v>
      </c>
      <c r="D919" s="2" t="s">
        <v>255</v>
      </c>
      <c r="E919" s="15">
        <v>1</v>
      </c>
    </row>
    <row r="920" customHeight="1" spans="1:5">
      <c r="A920" s="36" t="s">
        <v>220</v>
      </c>
      <c r="B920" s="39" t="s">
        <v>450</v>
      </c>
      <c r="C920" s="15" t="s">
        <v>453</v>
      </c>
      <c r="D920" s="2" t="s">
        <v>255</v>
      </c>
      <c r="E920" s="15">
        <v>2</v>
      </c>
    </row>
    <row r="921" customHeight="1" spans="1:5">
      <c r="A921" s="36" t="s">
        <v>220</v>
      </c>
      <c r="B921" s="39" t="s">
        <v>450</v>
      </c>
      <c r="C921" s="15" t="s">
        <v>453</v>
      </c>
      <c r="D921" s="2" t="s">
        <v>255</v>
      </c>
      <c r="E921" s="15">
        <v>3</v>
      </c>
    </row>
    <row r="922" customHeight="1" spans="1:5">
      <c r="A922" s="36" t="s">
        <v>220</v>
      </c>
      <c r="B922" s="39" t="s">
        <v>450</v>
      </c>
      <c r="C922" s="15" t="s">
        <v>453</v>
      </c>
      <c r="D922" s="2" t="s">
        <v>255</v>
      </c>
      <c r="E922" s="15">
        <v>4</v>
      </c>
    </row>
    <row r="923" customHeight="1" spans="1:5">
      <c r="A923" s="36" t="s">
        <v>220</v>
      </c>
      <c r="B923" s="39" t="s">
        <v>450</v>
      </c>
      <c r="C923" s="15" t="s">
        <v>453</v>
      </c>
      <c r="D923" s="2" t="s">
        <v>255</v>
      </c>
      <c r="E923" s="15">
        <v>5</v>
      </c>
    </row>
    <row r="924" customHeight="1" spans="1:5">
      <c r="A924" s="36" t="s">
        <v>220</v>
      </c>
      <c r="B924" s="39" t="s">
        <v>450</v>
      </c>
      <c r="C924" s="14" t="s">
        <v>454</v>
      </c>
      <c r="D924" s="2" t="s">
        <v>225</v>
      </c>
      <c r="E924" s="14">
        <v>1</v>
      </c>
    </row>
    <row r="925" customHeight="1" spans="1:5">
      <c r="A925" s="36" t="s">
        <v>220</v>
      </c>
      <c r="B925" s="39" t="s">
        <v>450</v>
      </c>
      <c r="C925" s="14" t="s">
        <v>454</v>
      </c>
      <c r="D925" s="2" t="s">
        <v>225</v>
      </c>
      <c r="E925" s="14">
        <v>2</v>
      </c>
    </row>
    <row r="926" customHeight="1" spans="1:5">
      <c r="A926" s="36" t="s">
        <v>220</v>
      </c>
      <c r="B926" s="39" t="s">
        <v>450</v>
      </c>
      <c r="C926" s="14" t="s">
        <v>454</v>
      </c>
      <c r="D926" s="2" t="s">
        <v>225</v>
      </c>
      <c r="E926" s="14">
        <v>3</v>
      </c>
    </row>
    <row r="927" customHeight="1" spans="1:5">
      <c r="A927" s="36" t="s">
        <v>220</v>
      </c>
      <c r="B927" s="39" t="s">
        <v>450</v>
      </c>
      <c r="C927" s="14" t="s">
        <v>454</v>
      </c>
      <c r="D927" s="2" t="s">
        <v>225</v>
      </c>
      <c r="E927" s="14">
        <v>4</v>
      </c>
    </row>
    <row r="928" customHeight="1" spans="1:5">
      <c r="A928" s="36" t="s">
        <v>220</v>
      </c>
      <c r="B928" s="39" t="s">
        <v>450</v>
      </c>
      <c r="C928" s="14" t="s">
        <v>454</v>
      </c>
      <c r="D928" s="2" t="s">
        <v>225</v>
      </c>
      <c r="E928" s="14">
        <v>5</v>
      </c>
    </row>
    <row r="929" customHeight="1" spans="1:5">
      <c r="A929" s="36" t="s">
        <v>220</v>
      </c>
      <c r="B929" s="39" t="s">
        <v>450</v>
      </c>
      <c r="C929" s="14" t="s">
        <v>454</v>
      </c>
      <c r="D929" s="2" t="s">
        <v>225</v>
      </c>
      <c r="E929" s="14">
        <v>6</v>
      </c>
    </row>
    <row r="930" customHeight="1" spans="1:5">
      <c r="A930" s="36" t="s">
        <v>220</v>
      </c>
      <c r="B930" s="39" t="s">
        <v>450</v>
      </c>
      <c r="C930" s="14" t="s">
        <v>454</v>
      </c>
      <c r="D930" s="2" t="s">
        <v>225</v>
      </c>
      <c r="E930" s="14">
        <v>7</v>
      </c>
    </row>
    <row r="931" customHeight="1" spans="1:5">
      <c r="A931" s="36" t="s">
        <v>220</v>
      </c>
      <c r="B931" s="39" t="s">
        <v>450</v>
      </c>
      <c r="C931" s="14" t="s">
        <v>454</v>
      </c>
      <c r="D931" s="2" t="s">
        <v>225</v>
      </c>
      <c r="E931" s="14">
        <v>8</v>
      </c>
    </row>
    <row r="932" customHeight="1" spans="1:5">
      <c r="A932" s="36" t="s">
        <v>220</v>
      </c>
      <c r="B932" s="40" t="s">
        <v>455</v>
      </c>
      <c r="C932" s="15" t="s">
        <v>456</v>
      </c>
      <c r="D932" s="2" t="s">
        <v>222</v>
      </c>
      <c r="E932" s="15">
        <v>1</v>
      </c>
    </row>
    <row r="933" customHeight="1" spans="1:5">
      <c r="A933" s="36" t="s">
        <v>220</v>
      </c>
      <c r="B933" s="40" t="s">
        <v>455</v>
      </c>
      <c r="C933" s="15" t="s">
        <v>456</v>
      </c>
      <c r="D933" s="2" t="s">
        <v>222</v>
      </c>
      <c r="E933" s="15">
        <v>2</v>
      </c>
    </row>
    <row r="934" customHeight="1" spans="1:5">
      <c r="A934" s="36" t="s">
        <v>220</v>
      </c>
      <c r="B934" s="40" t="s">
        <v>455</v>
      </c>
      <c r="C934" s="15" t="s">
        <v>456</v>
      </c>
      <c r="D934" s="2" t="s">
        <v>222</v>
      </c>
      <c r="E934" s="15">
        <v>3</v>
      </c>
    </row>
    <row r="935" customHeight="1" spans="1:5">
      <c r="A935" s="36" t="s">
        <v>220</v>
      </c>
      <c r="B935" s="40" t="s">
        <v>455</v>
      </c>
      <c r="C935" s="15" t="s">
        <v>456</v>
      </c>
      <c r="D935" s="2" t="s">
        <v>222</v>
      </c>
      <c r="E935" s="15">
        <v>4</v>
      </c>
    </row>
    <row r="936" customHeight="1" spans="1:5">
      <c r="A936" s="36" t="s">
        <v>220</v>
      </c>
      <c r="B936" s="40" t="s">
        <v>455</v>
      </c>
      <c r="C936" s="15" t="s">
        <v>456</v>
      </c>
      <c r="D936" s="2" t="s">
        <v>222</v>
      </c>
      <c r="E936" s="15">
        <v>5</v>
      </c>
    </row>
    <row r="937" customHeight="1" spans="1:5">
      <c r="A937" s="36" t="s">
        <v>220</v>
      </c>
      <c r="B937" s="40" t="s">
        <v>455</v>
      </c>
      <c r="C937" s="14" t="s">
        <v>457</v>
      </c>
      <c r="D937" s="2" t="s">
        <v>224</v>
      </c>
      <c r="E937" s="14">
        <v>1</v>
      </c>
    </row>
    <row r="938" customHeight="1" spans="1:5">
      <c r="A938" s="36" t="s">
        <v>220</v>
      </c>
      <c r="B938" s="40" t="s">
        <v>455</v>
      </c>
      <c r="C938" s="14" t="s">
        <v>457</v>
      </c>
      <c r="D938" s="2" t="s">
        <v>224</v>
      </c>
      <c r="E938" s="14">
        <v>2</v>
      </c>
    </row>
    <row r="939" customHeight="1" spans="1:5">
      <c r="A939" s="36" t="s">
        <v>220</v>
      </c>
      <c r="B939" s="40" t="s">
        <v>455</v>
      </c>
      <c r="C939" s="14" t="s">
        <v>457</v>
      </c>
      <c r="D939" s="2" t="s">
        <v>224</v>
      </c>
      <c r="E939" s="14">
        <v>3</v>
      </c>
    </row>
    <row r="940" customHeight="1" spans="1:5">
      <c r="A940" s="36" t="s">
        <v>220</v>
      </c>
      <c r="B940" s="40" t="s">
        <v>455</v>
      </c>
      <c r="C940" s="14" t="s">
        <v>457</v>
      </c>
      <c r="D940" s="2" t="s">
        <v>224</v>
      </c>
      <c r="E940" s="14">
        <v>4</v>
      </c>
    </row>
    <row r="941" customHeight="1" spans="1:5">
      <c r="A941" s="36" t="s">
        <v>220</v>
      </c>
      <c r="B941" s="40" t="s">
        <v>455</v>
      </c>
      <c r="C941" s="14" t="s">
        <v>457</v>
      </c>
      <c r="D941" s="2" t="s">
        <v>224</v>
      </c>
      <c r="E941" s="14">
        <v>5</v>
      </c>
    </row>
    <row r="942" customHeight="1" spans="1:5">
      <c r="A942" s="36" t="s">
        <v>220</v>
      </c>
      <c r="B942" s="40" t="s">
        <v>455</v>
      </c>
      <c r="C942" s="15" t="s">
        <v>457</v>
      </c>
      <c r="D942" s="2" t="s">
        <v>224</v>
      </c>
      <c r="E942" s="15">
        <v>1</v>
      </c>
    </row>
    <row r="943" customHeight="1" spans="1:5">
      <c r="A943" s="36" t="s">
        <v>220</v>
      </c>
      <c r="B943" s="40" t="s">
        <v>455</v>
      </c>
      <c r="C943" s="15" t="s">
        <v>457</v>
      </c>
      <c r="D943" s="2" t="s">
        <v>224</v>
      </c>
      <c r="E943" s="15">
        <v>2</v>
      </c>
    </row>
    <row r="944" customHeight="1" spans="1:5">
      <c r="A944" s="36" t="s">
        <v>220</v>
      </c>
      <c r="B944" s="40" t="s">
        <v>455</v>
      </c>
      <c r="C944" s="15" t="s">
        <v>457</v>
      </c>
      <c r="D944" s="2" t="s">
        <v>224</v>
      </c>
      <c r="E944" s="15">
        <v>3</v>
      </c>
    </row>
    <row r="945" customHeight="1" spans="1:5">
      <c r="A945" s="36" t="s">
        <v>220</v>
      </c>
      <c r="B945" s="40" t="s">
        <v>455</v>
      </c>
      <c r="C945" s="15" t="s">
        <v>457</v>
      </c>
      <c r="D945" s="2" t="s">
        <v>224</v>
      </c>
      <c r="E945" s="15">
        <v>4</v>
      </c>
    </row>
    <row r="946" customHeight="1" spans="1:5">
      <c r="A946" s="36" t="s">
        <v>220</v>
      </c>
      <c r="B946" s="40" t="s">
        <v>455</v>
      </c>
      <c r="C946" s="15" t="s">
        <v>457</v>
      </c>
      <c r="D946" s="2" t="s">
        <v>224</v>
      </c>
      <c r="E946" s="15">
        <v>5</v>
      </c>
    </row>
    <row r="947" customHeight="1" spans="1:5">
      <c r="A947" s="36" t="s">
        <v>220</v>
      </c>
      <c r="B947" s="40" t="s">
        <v>455</v>
      </c>
      <c r="C947" s="14" t="s">
        <v>458</v>
      </c>
      <c r="D947" s="2" t="s">
        <v>255</v>
      </c>
      <c r="E947" s="14">
        <v>1</v>
      </c>
    </row>
    <row r="948" customHeight="1" spans="1:5">
      <c r="A948" s="36" t="s">
        <v>220</v>
      </c>
      <c r="B948" s="40" t="s">
        <v>455</v>
      </c>
      <c r="C948" s="14" t="s">
        <v>458</v>
      </c>
      <c r="D948" s="2" t="s">
        <v>255</v>
      </c>
      <c r="E948" s="14">
        <v>2</v>
      </c>
    </row>
    <row r="949" customHeight="1" spans="1:5">
      <c r="A949" s="36" t="s">
        <v>220</v>
      </c>
      <c r="B949" s="40" t="s">
        <v>455</v>
      </c>
      <c r="C949" s="14" t="s">
        <v>458</v>
      </c>
      <c r="D949" s="2" t="s">
        <v>255</v>
      </c>
      <c r="E949" s="14">
        <v>3</v>
      </c>
    </row>
    <row r="950" customHeight="1" spans="1:5">
      <c r="A950" s="36" t="s">
        <v>220</v>
      </c>
      <c r="B950" s="40" t="s">
        <v>455</v>
      </c>
      <c r="C950" s="14" t="s">
        <v>458</v>
      </c>
      <c r="D950" s="2" t="s">
        <v>255</v>
      </c>
      <c r="E950" s="14">
        <v>4</v>
      </c>
    </row>
    <row r="951" customHeight="1" spans="1:5">
      <c r="A951" s="36" t="s">
        <v>220</v>
      </c>
      <c r="B951" s="40" t="s">
        <v>455</v>
      </c>
      <c r="C951" s="14" t="s">
        <v>458</v>
      </c>
      <c r="D951" s="2" t="s">
        <v>255</v>
      </c>
      <c r="E951" s="14">
        <v>5</v>
      </c>
    </row>
    <row r="952" customHeight="1" spans="1:5">
      <c r="A952" s="36" t="s">
        <v>220</v>
      </c>
      <c r="B952" s="40" t="s">
        <v>455</v>
      </c>
      <c r="C952" s="15" t="s">
        <v>459</v>
      </c>
      <c r="D952" s="2" t="s">
        <v>225</v>
      </c>
      <c r="E952" s="15">
        <v>1</v>
      </c>
    </row>
    <row r="953" customHeight="1" spans="1:5">
      <c r="A953" s="36" t="s">
        <v>220</v>
      </c>
      <c r="B953" s="40" t="s">
        <v>455</v>
      </c>
      <c r="C953" s="15" t="s">
        <v>459</v>
      </c>
      <c r="D953" s="2" t="s">
        <v>225</v>
      </c>
      <c r="E953" s="15">
        <v>2</v>
      </c>
    </row>
    <row r="954" customHeight="1" spans="1:5">
      <c r="A954" s="36" t="s">
        <v>220</v>
      </c>
      <c r="B954" s="40" t="s">
        <v>455</v>
      </c>
      <c r="C954" s="15" t="s">
        <v>459</v>
      </c>
      <c r="D954" s="2" t="s">
        <v>225</v>
      </c>
      <c r="E954" s="15">
        <v>3</v>
      </c>
    </row>
    <row r="955" customHeight="1" spans="1:5">
      <c r="A955" s="36" t="s">
        <v>220</v>
      </c>
      <c r="B955" s="40" t="s">
        <v>455</v>
      </c>
      <c r="C955" s="15" t="s">
        <v>459</v>
      </c>
      <c r="D955" s="2" t="s">
        <v>225</v>
      </c>
      <c r="E955" s="15">
        <v>4</v>
      </c>
    </row>
    <row r="956" customHeight="1" spans="1:5">
      <c r="A956" s="36" t="s">
        <v>220</v>
      </c>
      <c r="B956" s="40" t="s">
        <v>455</v>
      </c>
      <c r="C956" s="15" t="s">
        <v>459</v>
      </c>
      <c r="D956" s="2" t="s">
        <v>225</v>
      </c>
      <c r="E956" s="15">
        <v>5</v>
      </c>
    </row>
    <row r="957" customHeight="1" spans="1:5">
      <c r="A957" s="36" t="s">
        <v>220</v>
      </c>
      <c r="B957" s="40" t="s">
        <v>455</v>
      </c>
      <c r="C957" s="15" t="s">
        <v>459</v>
      </c>
      <c r="D957" s="2" t="s">
        <v>225</v>
      </c>
      <c r="E957" s="15">
        <v>6</v>
      </c>
    </row>
    <row r="958" customHeight="1" spans="1:5">
      <c r="A958" s="36" t="s">
        <v>220</v>
      </c>
      <c r="B958" s="40" t="s">
        <v>455</v>
      </c>
      <c r="C958" s="15" t="s">
        <v>459</v>
      </c>
      <c r="D958" s="2" t="s">
        <v>225</v>
      </c>
      <c r="E958" s="15">
        <v>7</v>
      </c>
    </row>
    <row r="959" customHeight="1" spans="1:5">
      <c r="A959" s="36" t="s">
        <v>220</v>
      </c>
      <c r="B959" s="40" t="s">
        <v>455</v>
      </c>
      <c r="C959" s="15" t="s">
        <v>459</v>
      </c>
      <c r="D959" s="2" t="s">
        <v>225</v>
      </c>
      <c r="E959" s="15">
        <v>8</v>
      </c>
    </row>
    <row r="960" customHeight="1" spans="1:5">
      <c r="A960" s="36" t="s">
        <v>220</v>
      </c>
      <c r="B960" s="39" t="s">
        <v>460</v>
      </c>
      <c r="C960" s="14" t="s">
        <v>461</v>
      </c>
      <c r="D960" s="2" t="s">
        <v>222</v>
      </c>
      <c r="E960" s="14">
        <v>1</v>
      </c>
    </row>
    <row r="961" customHeight="1" spans="1:5">
      <c r="A961" s="36" t="s">
        <v>220</v>
      </c>
      <c r="B961" s="39" t="s">
        <v>460</v>
      </c>
      <c r="C961" s="14" t="s">
        <v>461</v>
      </c>
      <c r="D961" s="2" t="s">
        <v>222</v>
      </c>
      <c r="E961" s="14">
        <v>2</v>
      </c>
    </row>
    <row r="962" customHeight="1" spans="1:5">
      <c r="A962" s="36" t="s">
        <v>220</v>
      </c>
      <c r="B962" s="39" t="s">
        <v>460</v>
      </c>
      <c r="C962" s="14" t="s">
        <v>461</v>
      </c>
      <c r="D962" s="2" t="s">
        <v>222</v>
      </c>
      <c r="E962" s="14">
        <v>3</v>
      </c>
    </row>
    <row r="963" customHeight="1" spans="1:5">
      <c r="A963" s="36" t="s">
        <v>220</v>
      </c>
      <c r="B963" s="39" t="s">
        <v>460</v>
      </c>
      <c r="C963" s="14" t="s">
        <v>461</v>
      </c>
      <c r="D963" s="2" t="s">
        <v>222</v>
      </c>
      <c r="E963" s="14">
        <v>4</v>
      </c>
    </row>
    <row r="964" customHeight="1" spans="1:5">
      <c r="A964" s="36" t="s">
        <v>220</v>
      </c>
      <c r="B964" s="39" t="s">
        <v>460</v>
      </c>
      <c r="C964" s="14" t="s">
        <v>461</v>
      </c>
      <c r="D964" s="2" t="s">
        <v>222</v>
      </c>
      <c r="E964" s="14">
        <v>5</v>
      </c>
    </row>
    <row r="965" customHeight="1" spans="1:5">
      <c r="A965" s="36" t="s">
        <v>220</v>
      </c>
      <c r="B965" s="39" t="s">
        <v>460</v>
      </c>
      <c r="C965" s="15" t="s">
        <v>462</v>
      </c>
      <c r="D965" s="2" t="s">
        <v>224</v>
      </c>
      <c r="E965" s="15">
        <v>1</v>
      </c>
    </row>
    <row r="966" customHeight="1" spans="1:5">
      <c r="A966" s="36" t="s">
        <v>220</v>
      </c>
      <c r="B966" s="39" t="s">
        <v>460</v>
      </c>
      <c r="C966" s="15" t="s">
        <v>462</v>
      </c>
      <c r="D966" s="2" t="s">
        <v>224</v>
      </c>
      <c r="E966" s="15">
        <v>2</v>
      </c>
    </row>
    <row r="967" customHeight="1" spans="1:5">
      <c r="A967" s="36" t="s">
        <v>220</v>
      </c>
      <c r="B967" s="39" t="s">
        <v>460</v>
      </c>
      <c r="C967" s="15" t="s">
        <v>462</v>
      </c>
      <c r="D967" s="2" t="s">
        <v>224</v>
      </c>
      <c r="E967" s="15">
        <v>3</v>
      </c>
    </row>
    <row r="968" customHeight="1" spans="1:5">
      <c r="A968" s="36" t="s">
        <v>220</v>
      </c>
      <c r="B968" s="39" t="s">
        <v>460</v>
      </c>
      <c r="C968" s="15" t="s">
        <v>462</v>
      </c>
      <c r="D968" s="2" t="s">
        <v>224</v>
      </c>
      <c r="E968" s="15">
        <v>4</v>
      </c>
    </row>
    <row r="969" customHeight="1" spans="1:5">
      <c r="A969" s="36" t="s">
        <v>220</v>
      </c>
      <c r="B969" s="39" t="s">
        <v>460</v>
      </c>
      <c r="C969" s="15" t="s">
        <v>462</v>
      </c>
      <c r="D969" s="2" t="s">
        <v>224</v>
      </c>
      <c r="E969" s="15">
        <v>5</v>
      </c>
    </row>
    <row r="970" customHeight="1" spans="1:5">
      <c r="A970" s="36" t="s">
        <v>220</v>
      </c>
      <c r="B970" s="39" t="s">
        <v>460</v>
      </c>
      <c r="C970" s="14" t="s">
        <v>462</v>
      </c>
      <c r="D970" s="2" t="s">
        <v>224</v>
      </c>
      <c r="E970" s="14">
        <v>1</v>
      </c>
    </row>
    <row r="971" customHeight="1" spans="1:5">
      <c r="A971" s="36" t="s">
        <v>220</v>
      </c>
      <c r="B971" s="39" t="s">
        <v>460</v>
      </c>
      <c r="C971" s="14" t="s">
        <v>462</v>
      </c>
      <c r="D971" s="2" t="s">
        <v>224</v>
      </c>
      <c r="E971" s="14">
        <v>2</v>
      </c>
    </row>
    <row r="972" customHeight="1" spans="1:5">
      <c r="A972" s="36" t="s">
        <v>220</v>
      </c>
      <c r="B972" s="39" t="s">
        <v>460</v>
      </c>
      <c r="C972" s="14" t="s">
        <v>462</v>
      </c>
      <c r="D972" s="2" t="s">
        <v>224</v>
      </c>
      <c r="E972" s="14">
        <v>3</v>
      </c>
    </row>
    <row r="973" customHeight="1" spans="1:5">
      <c r="A973" s="36" t="s">
        <v>220</v>
      </c>
      <c r="B973" s="39" t="s">
        <v>460</v>
      </c>
      <c r="C973" s="14" t="s">
        <v>462</v>
      </c>
      <c r="D973" s="2" t="s">
        <v>224</v>
      </c>
      <c r="E973" s="14">
        <v>4</v>
      </c>
    </row>
    <row r="974" customHeight="1" spans="1:5">
      <c r="A974" s="36" t="s">
        <v>220</v>
      </c>
      <c r="B974" s="39" t="s">
        <v>460</v>
      </c>
      <c r="C974" s="14" t="s">
        <v>462</v>
      </c>
      <c r="D974" s="2" t="s">
        <v>224</v>
      </c>
      <c r="E974" s="14">
        <v>5</v>
      </c>
    </row>
    <row r="975" customHeight="1" spans="1:5">
      <c r="A975" s="36" t="s">
        <v>220</v>
      </c>
      <c r="B975" s="39" t="s">
        <v>460</v>
      </c>
      <c r="C975" s="15" t="s">
        <v>463</v>
      </c>
      <c r="D975" s="2" t="s">
        <v>255</v>
      </c>
      <c r="E975" s="15">
        <v>1</v>
      </c>
    </row>
    <row r="976" customHeight="1" spans="1:5">
      <c r="A976" s="36" t="s">
        <v>220</v>
      </c>
      <c r="B976" s="39" t="s">
        <v>460</v>
      </c>
      <c r="C976" s="15" t="s">
        <v>463</v>
      </c>
      <c r="D976" s="2" t="s">
        <v>255</v>
      </c>
      <c r="E976" s="15">
        <v>2</v>
      </c>
    </row>
    <row r="977" customHeight="1" spans="1:5">
      <c r="A977" s="36" t="s">
        <v>220</v>
      </c>
      <c r="B977" s="39" t="s">
        <v>460</v>
      </c>
      <c r="C977" s="15" t="s">
        <v>463</v>
      </c>
      <c r="D977" s="2" t="s">
        <v>255</v>
      </c>
      <c r="E977" s="15">
        <v>3</v>
      </c>
    </row>
    <row r="978" customHeight="1" spans="1:5">
      <c r="A978" s="36" t="s">
        <v>220</v>
      </c>
      <c r="B978" s="39" t="s">
        <v>460</v>
      </c>
      <c r="C978" s="15" t="s">
        <v>463</v>
      </c>
      <c r="D978" s="2" t="s">
        <v>255</v>
      </c>
      <c r="E978" s="15">
        <v>4</v>
      </c>
    </row>
    <row r="979" customHeight="1" spans="1:5">
      <c r="A979" s="36" t="s">
        <v>220</v>
      </c>
      <c r="B979" s="39" t="s">
        <v>460</v>
      </c>
      <c r="C979" s="15" t="s">
        <v>463</v>
      </c>
      <c r="D979" s="2" t="s">
        <v>255</v>
      </c>
      <c r="E979" s="15">
        <v>5</v>
      </c>
    </row>
    <row r="980" customHeight="1" spans="1:5">
      <c r="A980" s="36" t="s">
        <v>220</v>
      </c>
      <c r="B980" s="39" t="s">
        <v>460</v>
      </c>
      <c r="C980" s="14" t="s">
        <v>464</v>
      </c>
      <c r="D980" s="2" t="s">
        <v>225</v>
      </c>
      <c r="E980" s="14">
        <v>1</v>
      </c>
    </row>
    <row r="981" customHeight="1" spans="1:5">
      <c r="A981" s="36" t="s">
        <v>220</v>
      </c>
      <c r="B981" s="39" t="s">
        <v>460</v>
      </c>
      <c r="C981" s="14" t="s">
        <v>464</v>
      </c>
      <c r="D981" s="2" t="s">
        <v>225</v>
      </c>
      <c r="E981" s="14">
        <v>2</v>
      </c>
    </row>
    <row r="982" customHeight="1" spans="1:5">
      <c r="A982" s="36" t="s">
        <v>220</v>
      </c>
      <c r="B982" s="39" t="s">
        <v>460</v>
      </c>
      <c r="C982" s="14" t="s">
        <v>464</v>
      </c>
      <c r="D982" s="2" t="s">
        <v>225</v>
      </c>
      <c r="E982" s="14">
        <v>3</v>
      </c>
    </row>
    <row r="983" customHeight="1" spans="1:5">
      <c r="A983" s="36" t="s">
        <v>220</v>
      </c>
      <c r="B983" s="39" t="s">
        <v>460</v>
      </c>
      <c r="C983" s="14" t="s">
        <v>464</v>
      </c>
      <c r="D983" s="2" t="s">
        <v>225</v>
      </c>
      <c r="E983" s="14">
        <v>4</v>
      </c>
    </row>
    <row r="984" customHeight="1" spans="1:5">
      <c r="A984" s="36" t="s">
        <v>220</v>
      </c>
      <c r="B984" s="39" t="s">
        <v>460</v>
      </c>
      <c r="C984" s="14" t="s">
        <v>464</v>
      </c>
      <c r="D984" s="2" t="s">
        <v>225</v>
      </c>
      <c r="E984" s="14">
        <v>5</v>
      </c>
    </row>
    <row r="985" customHeight="1" spans="1:5">
      <c r="A985" s="36" t="s">
        <v>220</v>
      </c>
      <c r="B985" s="39" t="s">
        <v>460</v>
      </c>
      <c r="C985" s="14" t="s">
        <v>464</v>
      </c>
      <c r="D985" s="2" t="s">
        <v>225</v>
      </c>
      <c r="E985" s="14">
        <v>6</v>
      </c>
    </row>
    <row r="986" customHeight="1" spans="1:5">
      <c r="A986" s="36" t="s">
        <v>220</v>
      </c>
      <c r="B986" s="39" t="s">
        <v>460</v>
      </c>
      <c r="C986" s="14" t="s">
        <v>464</v>
      </c>
      <c r="D986" s="2" t="s">
        <v>225</v>
      </c>
      <c r="E986" s="14">
        <v>7</v>
      </c>
    </row>
    <row r="987" customHeight="1" spans="1:5">
      <c r="A987" s="36" t="s">
        <v>220</v>
      </c>
      <c r="B987" s="39" t="s">
        <v>460</v>
      </c>
      <c r="C987" s="14" t="s">
        <v>464</v>
      </c>
      <c r="D987" s="2" t="s">
        <v>225</v>
      </c>
      <c r="E987" s="14">
        <v>8</v>
      </c>
    </row>
    <row r="988" customHeight="1" spans="1:5">
      <c r="A988" s="36" t="s">
        <v>220</v>
      </c>
      <c r="B988" s="40" t="s">
        <v>465</v>
      </c>
      <c r="C988" s="15" t="s">
        <v>466</v>
      </c>
      <c r="D988" s="2" t="s">
        <v>222</v>
      </c>
      <c r="E988" s="15">
        <v>1</v>
      </c>
    </row>
    <row r="989" customHeight="1" spans="1:5">
      <c r="A989" s="36" t="s">
        <v>220</v>
      </c>
      <c r="B989" s="40" t="s">
        <v>465</v>
      </c>
      <c r="C989" s="15" t="s">
        <v>466</v>
      </c>
      <c r="D989" s="2" t="s">
        <v>222</v>
      </c>
      <c r="E989" s="15">
        <v>2</v>
      </c>
    </row>
    <row r="990" customHeight="1" spans="1:5">
      <c r="A990" s="36" t="s">
        <v>220</v>
      </c>
      <c r="B990" s="40" t="s">
        <v>465</v>
      </c>
      <c r="C990" s="15" t="s">
        <v>466</v>
      </c>
      <c r="D990" s="2" t="s">
        <v>222</v>
      </c>
      <c r="E990" s="15">
        <v>3</v>
      </c>
    </row>
    <row r="991" customHeight="1" spans="1:5">
      <c r="A991" s="36" t="s">
        <v>220</v>
      </c>
      <c r="B991" s="40" t="s">
        <v>465</v>
      </c>
      <c r="C991" s="15" t="s">
        <v>466</v>
      </c>
      <c r="D991" s="2" t="s">
        <v>222</v>
      </c>
      <c r="E991" s="15">
        <v>4</v>
      </c>
    </row>
    <row r="992" customHeight="1" spans="1:5">
      <c r="A992" s="36" t="s">
        <v>220</v>
      </c>
      <c r="B992" s="40" t="s">
        <v>465</v>
      </c>
      <c r="C992" s="15" t="s">
        <v>466</v>
      </c>
      <c r="D992" s="2" t="s">
        <v>222</v>
      </c>
      <c r="E992" s="15">
        <v>5</v>
      </c>
    </row>
    <row r="993" customHeight="1" spans="1:5">
      <c r="A993" s="36" t="s">
        <v>220</v>
      </c>
      <c r="B993" s="40" t="s">
        <v>465</v>
      </c>
      <c r="C993" s="14" t="s">
        <v>467</v>
      </c>
      <c r="D993" s="2" t="s">
        <v>224</v>
      </c>
      <c r="E993" s="14">
        <v>1</v>
      </c>
    </row>
    <row r="994" customHeight="1" spans="1:5">
      <c r="A994" s="36" t="s">
        <v>220</v>
      </c>
      <c r="B994" s="40" t="s">
        <v>465</v>
      </c>
      <c r="C994" s="14" t="s">
        <v>467</v>
      </c>
      <c r="D994" s="2" t="s">
        <v>224</v>
      </c>
      <c r="E994" s="14">
        <v>2</v>
      </c>
    </row>
    <row r="995" customHeight="1" spans="1:5">
      <c r="A995" s="36" t="s">
        <v>220</v>
      </c>
      <c r="B995" s="40" t="s">
        <v>465</v>
      </c>
      <c r="C995" s="14" t="s">
        <v>467</v>
      </c>
      <c r="D995" s="2" t="s">
        <v>224</v>
      </c>
      <c r="E995" s="14">
        <v>3</v>
      </c>
    </row>
    <row r="996" customHeight="1" spans="1:5">
      <c r="A996" s="36" t="s">
        <v>220</v>
      </c>
      <c r="B996" s="40" t="s">
        <v>465</v>
      </c>
      <c r="C996" s="14" t="s">
        <v>467</v>
      </c>
      <c r="D996" s="2" t="s">
        <v>224</v>
      </c>
      <c r="E996" s="14">
        <v>4</v>
      </c>
    </row>
    <row r="997" customHeight="1" spans="1:5">
      <c r="A997" s="36" t="s">
        <v>220</v>
      </c>
      <c r="B997" s="40" t="s">
        <v>465</v>
      </c>
      <c r="C997" s="14" t="s">
        <v>467</v>
      </c>
      <c r="D997" s="2" t="s">
        <v>224</v>
      </c>
      <c r="E997" s="14">
        <v>5</v>
      </c>
    </row>
    <row r="998" customHeight="1" spans="1:5">
      <c r="A998" s="36" t="s">
        <v>220</v>
      </c>
      <c r="B998" s="40" t="s">
        <v>465</v>
      </c>
      <c r="C998" s="15" t="s">
        <v>467</v>
      </c>
      <c r="D998" s="2" t="s">
        <v>224</v>
      </c>
      <c r="E998" s="15">
        <v>1</v>
      </c>
    </row>
    <row r="999" customHeight="1" spans="1:5">
      <c r="A999" s="36" t="s">
        <v>220</v>
      </c>
      <c r="B999" s="40" t="s">
        <v>465</v>
      </c>
      <c r="C999" s="15" t="s">
        <v>467</v>
      </c>
      <c r="D999" s="2" t="s">
        <v>224</v>
      </c>
      <c r="E999" s="15">
        <v>2</v>
      </c>
    </row>
    <row r="1000" customHeight="1" spans="1:5">
      <c r="A1000" s="36" t="s">
        <v>220</v>
      </c>
      <c r="B1000" s="40" t="s">
        <v>465</v>
      </c>
      <c r="C1000" s="15" t="s">
        <v>467</v>
      </c>
      <c r="D1000" s="2" t="s">
        <v>224</v>
      </c>
      <c r="E1000" s="15">
        <v>3</v>
      </c>
    </row>
    <row r="1001" customHeight="1" spans="1:5">
      <c r="A1001" s="36" t="s">
        <v>220</v>
      </c>
      <c r="B1001" s="40" t="s">
        <v>465</v>
      </c>
      <c r="C1001" s="15" t="s">
        <v>467</v>
      </c>
      <c r="D1001" s="2" t="s">
        <v>224</v>
      </c>
      <c r="E1001" s="15">
        <v>4</v>
      </c>
    </row>
    <row r="1002" customHeight="1" spans="1:5">
      <c r="A1002" s="36" t="s">
        <v>220</v>
      </c>
      <c r="B1002" s="40" t="s">
        <v>465</v>
      </c>
      <c r="C1002" s="15" t="s">
        <v>467</v>
      </c>
      <c r="D1002" s="2" t="s">
        <v>224</v>
      </c>
      <c r="E1002" s="15">
        <v>5</v>
      </c>
    </row>
    <row r="1003" customHeight="1" spans="1:5">
      <c r="A1003" s="36" t="s">
        <v>220</v>
      </c>
      <c r="B1003" s="40" t="s">
        <v>465</v>
      </c>
      <c r="C1003" s="14" t="s">
        <v>468</v>
      </c>
      <c r="D1003" s="2" t="s">
        <v>255</v>
      </c>
      <c r="E1003" s="14">
        <v>1</v>
      </c>
    </row>
    <row r="1004" customHeight="1" spans="1:5">
      <c r="A1004" s="36" t="s">
        <v>220</v>
      </c>
      <c r="B1004" s="40" t="s">
        <v>465</v>
      </c>
      <c r="C1004" s="14" t="s">
        <v>468</v>
      </c>
      <c r="D1004" s="2" t="s">
        <v>255</v>
      </c>
      <c r="E1004" s="14">
        <v>2</v>
      </c>
    </row>
    <row r="1005" customHeight="1" spans="1:5">
      <c r="A1005" s="36" t="s">
        <v>220</v>
      </c>
      <c r="B1005" s="40" t="s">
        <v>465</v>
      </c>
      <c r="C1005" s="14" t="s">
        <v>468</v>
      </c>
      <c r="D1005" s="2" t="s">
        <v>255</v>
      </c>
      <c r="E1005" s="14">
        <v>3</v>
      </c>
    </row>
    <row r="1006" customHeight="1" spans="1:5">
      <c r="A1006" s="36" t="s">
        <v>220</v>
      </c>
      <c r="B1006" s="40" t="s">
        <v>465</v>
      </c>
      <c r="C1006" s="14" t="s">
        <v>468</v>
      </c>
      <c r="D1006" s="2" t="s">
        <v>255</v>
      </c>
      <c r="E1006" s="14">
        <v>4</v>
      </c>
    </row>
    <row r="1007" customHeight="1" spans="1:5">
      <c r="A1007" s="36" t="s">
        <v>220</v>
      </c>
      <c r="B1007" s="40" t="s">
        <v>465</v>
      </c>
      <c r="C1007" s="14" t="s">
        <v>468</v>
      </c>
      <c r="D1007" s="2" t="s">
        <v>255</v>
      </c>
      <c r="E1007" s="14">
        <v>5</v>
      </c>
    </row>
    <row r="1008" customHeight="1" spans="1:5">
      <c r="A1008" s="36" t="s">
        <v>220</v>
      </c>
      <c r="B1008" s="40" t="s">
        <v>465</v>
      </c>
      <c r="C1008" s="15" t="s">
        <v>469</v>
      </c>
      <c r="D1008" s="2" t="s">
        <v>225</v>
      </c>
      <c r="E1008" s="15">
        <v>1</v>
      </c>
    </row>
    <row r="1009" customHeight="1" spans="1:5">
      <c r="A1009" s="36" t="s">
        <v>220</v>
      </c>
      <c r="B1009" s="40" t="s">
        <v>465</v>
      </c>
      <c r="C1009" s="15" t="s">
        <v>469</v>
      </c>
      <c r="D1009" s="2" t="s">
        <v>225</v>
      </c>
      <c r="E1009" s="15">
        <v>2</v>
      </c>
    </row>
    <row r="1010" customHeight="1" spans="1:5">
      <c r="A1010" s="36" t="s">
        <v>220</v>
      </c>
      <c r="B1010" s="40" t="s">
        <v>465</v>
      </c>
      <c r="C1010" s="15" t="s">
        <v>469</v>
      </c>
      <c r="D1010" s="2" t="s">
        <v>225</v>
      </c>
      <c r="E1010" s="15">
        <v>3</v>
      </c>
    </row>
    <row r="1011" customHeight="1" spans="1:5">
      <c r="A1011" s="36" t="s">
        <v>220</v>
      </c>
      <c r="B1011" s="40" t="s">
        <v>465</v>
      </c>
      <c r="C1011" s="15" t="s">
        <v>469</v>
      </c>
      <c r="D1011" s="2" t="s">
        <v>225</v>
      </c>
      <c r="E1011" s="15">
        <v>4</v>
      </c>
    </row>
    <row r="1012" customHeight="1" spans="1:5">
      <c r="A1012" s="36" t="s">
        <v>220</v>
      </c>
      <c r="B1012" s="40" t="s">
        <v>465</v>
      </c>
      <c r="C1012" s="15" t="s">
        <v>469</v>
      </c>
      <c r="D1012" s="2" t="s">
        <v>225</v>
      </c>
      <c r="E1012" s="15">
        <v>5</v>
      </c>
    </row>
    <row r="1013" customHeight="1" spans="1:5">
      <c r="A1013" s="36" t="s">
        <v>220</v>
      </c>
      <c r="B1013" s="40" t="s">
        <v>465</v>
      </c>
      <c r="C1013" s="15" t="s">
        <v>469</v>
      </c>
      <c r="D1013" s="2" t="s">
        <v>225</v>
      </c>
      <c r="E1013" s="15">
        <v>6</v>
      </c>
    </row>
    <row r="1014" customHeight="1" spans="1:5">
      <c r="A1014" s="36" t="s">
        <v>220</v>
      </c>
      <c r="B1014" s="40" t="s">
        <v>465</v>
      </c>
      <c r="C1014" s="15" t="s">
        <v>469</v>
      </c>
      <c r="D1014" s="2" t="s">
        <v>225</v>
      </c>
      <c r="E1014" s="15">
        <v>7</v>
      </c>
    </row>
    <row r="1015" customHeight="1" spans="1:5">
      <c r="A1015" s="36" t="s">
        <v>220</v>
      </c>
      <c r="B1015" s="40" t="s">
        <v>465</v>
      </c>
      <c r="C1015" s="15" t="s">
        <v>469</v>
      </c>
      <c r="D1015" s="2" t="s">
        <v>225</v>
      </c>
      <c r="E1015" s="15">
        <v>8</v>
      </c>
    </row>
    <row r="1016" customHeight="1" spans="1:5">
      <c r="A1016" s="36" t="s">
        <v>220</v>
      </c>
      <c r="B1016" s="39" t="s">
        <v>470</v>
      </c>
      <c r="C1016" s="14" t="s">
        <v>471</v>
      </c>
      <c r="D1016" s="2" t="s">
        <v>222</v>
      </c>
      <c r="E1016" s="14">
        <v>1</v>
      </c>
    </row>
    <row r="1017" customHeight="1" spans="1:5">
      <c r="A1017" s="36" t="s">
        <v>220</v>
      </c>
      <c r="B1017" s="39" t="s">
        <v>470</v>
      </c>
      <c r="C1017" s="14" t="s">
        <v>471</v>
      </c>
      <c r="D1017" s="2" t="s">
        <v>222</v>
      </c>
      <c r="E1017" s="14">
        <v>2</v>
      </c>
    </row>
    <row r="1018" customHeight="1" spans="1:5">
      <c r="A1018" s="36" t="s">
        <v>220</v>
      </c>
      <c r="B1018" s="39" t="s">
        <v>470</v>
      </c>
      <c r="C1018" s="14" t="s">
        <v>471</v>
      </c>
      <c r="D1018" s="2" t="s">
        <v>222</v>
      </c>
      <c r="E1018" s="14">
        <v>3</v>
      </c>
    </row>
    <row r="1019" customHeight="1" spans="1:5">
      <c r="A1019" s="36" t="s">
        <v>220</v>
      </c>
      <c r="B1019" s="39" t="s">
        <v>470</v>
      </c>
      <c r="C1019" s="14" t="s">
        <v>471</v>
      </c>
      <c r="D1019" s="2" t="s">
        <v>222</v>
      </c>
      <c r="E1019" s="14">
        <v>4</v>
      </c>
    </row>
    <row r="1020" customHeight="1" spans="1:5">
      <c r="A1020" s="36" t="s">
        <v>220</v>
      </c>
      <c r="B1020" s="39" t="s">
        <v>470</v>
      </c>
      <c r="C1020" s="14" t="s">
        <v>471</v>
      </c>
      <c r="D1020" s="2" t="s">
        <v>222</v>
      </c>
      <c r="E1020" s="14">
        <v>5</v>
      </c>
    </row>
    <row r="1021" customHeight="1" spans="1:5">
      <c r="A1021" s="36" t="s">
        <v>220</v>
      </c>
      <c r="B1021" s="39" t="s">
        <v>470</v>
      </c>
      <c r="C1021" s="15" t="s">
        <v>472</v>
      </c>
      <c r="D1021" s="2" t="s">
        <v>224</v>
      </c>
      <c r="E1021" s="15">
        <v>1</v>
      </c>
    </row>
    <row r="1022" customHeight="1" spans="1:5">
      <c r="A1022" s="36" t="s">
        <v>220</v>
      </c>
      <c r="B1022" s="39" t="s">
        <v>470</v>
      </c>
      <c r="C1022" s="15" t="s">
        <v>472</v>
      </c>
      <c r="D1022" s="2" t="s">
        <v>224</v>
      </c>
      <c r="E1022" s="15">
        <v>2</v>
      </c>
    </row>
    <row r="1023" customHeight="1" spans="1:5">
      <c r="A1023" s="36" t="s">
        <v>220</v>
      </c>
      <c r="B1023" s="39" t="s">
        <v>470</v>
      </c>
      <c r="C1023" s="15" t="s">
        <v>472</v>
      </c>
      <c r="D1023" s="2" t="s">
        <v>224</v>
      </c>
      <c r="E1023" s="15">
        <v>3</v>
      </c>
    </row>
    <row r="1024" customHeight="1" spans="1:5">
      <c r="A1024" s="36" t="s">
        <v>220</v>
      </c>
      <c r="B1024" s="39" t="s">
        <v>470</v>
      </c>
      <c r="C1024" s="15" t="s">
        <v>472</v>
      </c>
      <c r="D1024" s="2" t="s">
        <v>224</v>
      </c>
      <c r="E1024" s="15">
        <v>4</v>
      </c>
    </row>
    <row r="1025" customHeight="1" spans="1:5">
      <c r="A1025" s="36" t="s">
        <v>220</v>
      </c>
      <c r="B1025" s="39" t="s">
        <v>470</v>
      </c>
      <c r="C1025" s="15" t="s">
        <v>472</v>
      </c>
      <c r="D1025" s="2" t="s">
        <v>224</v>
      </c>
      <c r="E1025" s="15">
        <v>5</v>
      </c>
    </row>
    <row r="1026" customHeight="1" spans="1:5">
      <c r="A1026" s="36" t="s">
        <v>220</v>
      </c>
      <c r="B1026" s="39" t="s">
        <v>470</v>
      </c>
      <c r="C1026" s="14" t="s">
        <v>472</v>
      </c>
      <c r="D1026" s="2" t="s">
        <v>224</v>
      </c>
      <c r="E1026" s="14">
        <v>1</v>
      </c>
    </row>
    <row r="1027" customHeight="1" spans="1:5">
      <c r="A1027" s="36" t="s">
        <v>220</v>
      </c>
      <c r="B1027" s="39" t="s">
        <v>470</v>
      </c>
      <c r="C1027" s="14" t="s">
        <v>472</v>
      </c>
      <c r="D1027" s="2" t="s">
        <v>224</v>
      </c>
      <c r="E1027" s="14">
        <v>2</v>
      </c>
    </row>
    <row r="1028" customHeight="1" spans="1:5">
      <c r="A1028" s="36" t="s">
        <v>220</v>
      </c>
      <c r="B1028" s="39" t="s">
        <v>470</v>
      </c>
      <c r="C1028" s="14" t="s">
        <v>472</v>
      </c>
      <c r="D1028" s="2" t="s">
        <v>224</v>
      </c>
      <c r="E1028" s="14">
        <v>3</v>
      </c>
    </row>
    <row r="1029" customHeight="1" spans="1:5">
      <c r="A1029" s="36" t="s">
        <v>220</v>
      </c>
      <c r="B1029" s="39" t="s">
        <v>470</v>
      </c>
      <c r="C1029" s="14" t="s">
        <v>472</v>
      </c>
      <c r="D1029" s="2" t="s">
        <v>224</v>
      </c>
      <c r="E1029" s="14">
        <v>4</v>
      </c>
    </row>
    <row r="1030" customHeight="1" spans="1:5">
      <c r="A1030" s="36" t="s">
        <v>220</v>
      </c>
      <c r="B1030" s="39" t="s">
        <v>470</v>
      </c>
      <c r="C1030" s="14" t="s">
        <v>472</v>
      </c>
      <c r="D1030" s="2" t="s">
        <v>224</v>
      </c>
      <c r="E1030" s="14">
        <v>5</v>
      </c>
    </row>
    <row r="1031" customHeight="1" spans="1:5">
      <c r="A1031" s="36" t="s">
        <v>220</v>
      </c>
      <c r="B1031" s="39" t="s">
        <v>470</v>
      </c>
      <c r="C1031" s="15" t="s">
        <v>473</v>
      </c>
      <c r="D1031" s="2" t="s">
        <v>255</v>
      </c>
      <c r="E1031" s="15">
        <v>1</v>
      </c>
    </row>
    <row r="1032" customHeight="1" spans="1:5">
      <c r="A1032" s="36" t="s">
        <v>220</v>
      </c>
      <c r="B1032" s="39" t="s">
        <v>470</v>
      </c>
      <c r="C1032" s="15" t="s">
        <v>473</v>
      </c>
      <c r="D1032" s="2" t="s">
        <v>255</v>
      </c>
      <c r="E1032" s="15">
        <v>2</v>
      </c>
    </row>
    <row r="1033" customHeight="1" spans="1:5">
      <c r="A1033" s="36" t="s">
        <v>220</v>
      </c>
      <c r="B1033" s="39" t="s">
        <v>470</v>
      </c>
      <c r="C1033" s="15" t="s">
        <v>473</v>
      </c>
      <c r="D1033" s="2" t="s">
        <v>255</v>
      </c>
      <c r="E1033" s="15">
        <v>3</v>
      </c>
    </row>
    <row r="1034" customHeight="1" spans="1:5">
      <c r="A1034" s="36" t="s">
        <v>220</v>
      </c>
      <c r="B1034" s="39" t="s">
        <v>470</v>
      </c>
      <c r="C1034" s="15" t="s">
        <v>473</v>
      </c>
      <c r="D1034" s="2" t="s">
        <v>255</v>
      </c>
      <c r="E1034" s="15">
        <v>4</v>
      </c>
    </row>
    <row r="1035" customHeight="1" spans="1:5">
      <c r="A1035" s="36" t="s">
        <v>220</v>
      </c>
      <c r="B1035" s="39" t="s">
        <v>470</v>
      </c>
      <c r="C1035" s="15" t="s">
        <v>473</v>
      </c>
      <c r="D1035" s="2" t="s">
        <v>255</v>
      </c>
      <c r="E1035" s="15">
        <v>5</v>
      </c>
    </row>
    <row r="1036" customHeight="1" spans="1:5">
      <c r="A1036" s="36" t="s">
        <v>220</v>
      </c>
      <c r="B1036" s="39" t="s">
        <v>470</v>
      </c>
      <c r="C1036" s="14" t="s">
        <v>474</v>
      </c>
      <c r="D1036" s="2" t="s">
        <v>225</v>
      </c>
      <c r="E1036" s="14">
        <v>1</v>
      </c>
    </row>
    <row r="1037" customHeight="1" spans="1:5">
      <c r="A1037" s="36" t="s">
        <v>220</v>
      </c>
      <c r="B1037" s="39" t="s">
        <v>470</v>
      </c>
      <c r="C1037" s="14" t="s">
        <v>474</v>
      </c>
      <c r="D1037" s="2" t="s">
        <v>225</v>
      </c>
      <c r="E1037" s="14">
        <v>2</v>
      </c>
    </row>
    <row r="1038" customHeight="1" spans="1:5">
      <c r="A1038" s="36" t="s">
        <v>220</v>
      </c>
      <c r="B1038" s="39" t="s">
        <v>470</v>
      </c>
      <c r="C1038" s="14" t="s">
        <v>474</v>
      </c>
      <c r="D1038" s="2" t="s">
        <v>225</v>
      </c>
      <c r="E1038" s="14">
        <v>3</v>
      </c>
    </row>
    <row r="1039" customHeight="1" spans="1:5">
      <c r="A1039" s="36" t="s">
        <v>220</v>
      </c>
      <c r="B1039" s="39" t="s">
        <v>470</v>
      </c>
      <c r="C1039" s="14" t="s">
        <v>474</v>
      </c>
      <c r="D1039" s="2" t="s">
        <v>225</v>
      </c>
      <c r="E1039" s="14">
        <v>4</v>
      </c>
    </row>
    <row r="1040" customHeight="1" spans="1:5">
      <c r="A1040" s="36" t="s">
        <v>220</v>
      </c>
      <c r="B1040" s="39" t="s">
        <v>470</v>
      </c>
      <c r="C1040" s="14" t="s">
        <v>474</v>
      </c>
      <c r="D1040" s="2" t="s">
        <v>225</v>
      </c>
      <c r="E1040" s="14">
        <v>5</v>
      </c>
    </row>
    <row r="1041" customHeight="1" spans="1:5">
      <c r="A1041" s="36" t="s">
        <v>220</v>
      </c>
      <c r="B1041" s="39" t="s">
        <v>470</v>
      </c>
      <c r="C1041" s="14" t="s">
        <v>474</v>
      </c>
      <c r="D1041" s="2" t="s">
        <v>225</v>
      </c>
      <c r="E1041" s="14">
        <v>6</v>
      </c>
    </row>
    <row r="1042" customHeight="1" spans="1:5">
      <c r="A1042" s="36" t="s">
        <v>220</v>
      </c>
      <c r="B1042" s="39" t="s">
        <v>470</v>
      </c>
      <c r="C1042" s="14" t="s">
        <v>474</v>
      </c>
      <c r="D1042" s="2" t="s">
        <v>225</v>
      </c>
      <c r="E1042" s="14">
        <v>7</v>
      </c>
    </row>
    <row r="1043" customHeight="1" spans="1:5">
      <c r="A1043" s="36" t="s">
        <v>220</v>
      </c>
      <c r="B1043" s="39" t="s">
        <v>470</v>
      </c>
      <c r="C1043" s="14" t="s">
        <v>474</v>
      </c>
      <c r="D1043" s="2" t="s">
        <v>225</v>
      </c>
      <c r="E1043" s="14">
        <v>8</v>
      </c>
    </row>
    <row r="1044" customHeight="1" spans="1:5">
      <c r="A1044" s="36" t="s">
        <v>220</v>
      </c>
      <c r="B1044" s="40" t="s">
        <v>475</v>
      </c>
      <c r="C1044" s="15" t="s">
        <v>476</v>
      </c>
      <c r="D1044" s="2" t="s">
        <v>222</v>
      </c>
      <c r="E1044" s="15">
        <v>1</v>
      </c>
    </row>
    <row r="1045" customHeight="1" spans="1:5">
      <c r="A1045" s="36" t="s">
        <v>220</v>
      </c>
      <c r="B1045" s="40" t="s">
        <v>475</v>
      </c>
      <c r="C1045" s="15" t="s">
        <v>476</v>
      </c>
      <c r="D1045" s="2" t="s">
        <v>222</v>
      </c>
      <c r="E1045" s="15">
        <v>2</v>
      </c>
    </row>
    <row r="1046" customHeight="1" spans="1:5">
      <c r="A1046" s="36" t="s">
        <v>220</v>
      </c>
      <c r="B1046" s="40" t="s">
        <v>475</v>
      </c>
      <c r="C1046" s="15" t="s">
        <v>476</v>
      </c>
      <c r="D1046" s="2" t="s">
        <v>222</v>
      </c>
      <c r="E1046" s="15">
        <v>3</v>
      </c>
    </row>
    <row r="1047" customHeight="1" spans="1:5">
      <c r="A1047" s="36" t="s">
        <v>220</v>
      </c>
      <c r="B1047" s="40" t="s">
        <v>475</v>
      </c>
      <c r="C1047" s="15" t="s">
        <v>476</v>
      </c>
      <c r="D1047" s="2" t="s">
        <v>222</v>
      </c>
      <c r="E1047" s="15">
        <v>4</v>
      </c>
    </row>
    <row r="1048" customHeight="1" spans="1:5">
      <c r="A1048" s="36" t="s">
        <v>220</v>
      </c>
      <c r="B1048" s="40" t="s">
        <v>475</v>
      </c>
      <c r="C1048" s="15" t="s">
        <v>476</v>
      </c>
      <c r="D1048" s="2" t="s">
        <v>222</v>
      </c>
      <c r="E1048" s="15">
        <v>5</v>
      </c>
    </row>
    <row r="1049" customHeight="1" spans="1:5">
      <c r="A1049" s="36" t="s">
        <v>220</v>
      </c>
      <c r="B1049" s="40" t="s">
        <v>475</v>
      </c>
      <c r="C1049" s="14" t="s">
        <v>477</v>
      </c>
      <c r="D1049" s="2" t="s">
        <v>224</v>
      </c>
      <c r="E1049" s="14">
        <v>1</v>
      </c>
    </row>
    <row r="1050" customHeight="1" spans="1:5">
      <c r="A1050" s="36" t="s">
        <v>220</v>
      </c>
      <c r="B1050" s="40" t="s">
        <v>475</v>
      </c>
      <c r="C1050" s="14" t="s">
        <v>477</v>
      </c>
      <c r="D1050" s="2" t="s">
        <v>224</v>
      </c>
      <c r="E1050" s="14">
        <v>2</v>
      </c>
    </row>
    <row r="1051" customHeight="1" spans="1:5">
      <c r="A1051" s="36" t="s">
        <v>220</v>
      </c>
      <c r="B1051" s="40" t="s">
        <v>475</v>
      </c>
      <c r="C1051" s="14" t="s">
        <v>477</v>
      </c>
      <c r="D1051" s="2" t="s">
        <v>224</v>
      </c>
      <c r="E1051" s="14">
        <v>3</v>
      </c>
    </row>
    <row r="1052" customHeight="1" spans="1:5">
      <c r="A1052" s="36" t="s">
        <v>220</v>
      </c>
      <c r="B1052" s="40" t="s">
        <v>475</v>
      </c>
      <c r="C1052" s="14" t="s">
        <v>477</v>
      </c>
      <c r="D1052" s="2" t="s">
        <v>224</v>
      </c>
      <c r="E1052" s="14">
        <v>4</v>
      </c>
    </row>
    <row r="1053" customHeight="1" spans="1:5">
      <c r="A1053" s="36" t="s">
        <v>220</v>
      </c>
      <c r="B1053" s="40" t="s">
        <v>475</v>
      </c>
      <c r="C1053" s="14" t="s">
        <v>477</v>
      </c>
      <c r="D1053" s="2" t="s">
        <v>224</v>
      </c>
      <c r="E1053" s="14">
        <v>5</v>
      </c>
    </row>
    <row r="1054" customHeight="1" spans="1:5">
      <c r="A1054" s="36" t="s">
        <v>220</v>
      </c>
      <c r="B1054" s="40" t="s">
        <v>475</v>
      </c>
      <c r="C1054" s="15" t="s">
        <v>477</v>
      </c>
      <c r="D1054" s="2" t="s">
        <v>224</v>
      </c>
      <c r="E1054" s="15">
        <v>1</v>
      </c>
    </row>
    <row r="1055" customHeight="1" spans="1:5">
      <c r="A1055" s="36" t="s">
        <v>220</v>
      </c>
      <c r="B1055" s="40" t="s">
        <v>475</v>
      </c>
      <c r="C1055" s="15" t="s">
        <v>477</v>
      </c>
      <c r="D1055" s="2" t="s">
        <v>224</v>
      </c>
      <c r="E1055" s="15">
        <v>2</v>
      </c>
    </row>
    <row r="1056" customHeight="1" spans="1:5">
      <c r="A1056" s="36" t="s">
        <v>220</v>
      </c>
      <c r="B1056" s="40" t="s">
        <v>475</v>
      </c>
      <c r="C1056" s="15" t="s">
        <v>477</v>
      </c>
      <c r="D1056" s="2" t="s">
        <v>224</v>
      </c>
      <c r="E1056" s="15">
        <v>3</v>
      </c>
    </row>
    <row r="1057" customHeight="1" spans="1:5">
      <c r="A1057" s="36" t="s">
        <v>220</v>
      </c>
      <c r="B1057" s="40" t="s">
        <v>475</v>
      </c>
      <c r="C1057" s="15" t="s">
        <v>477</v>
      </c>
      <c r="D1057" s="2" t="s">
        <v>224</v>
      </c>
      <c r="E1057" s="15">
        <v>4</v>
      </c>
    </row>
    <row r="1058" customHeight="1" spans="1:5">
      <c r="A1058" s="36" t="s">
        <v>220</v>
      </c>
      <c r="B1058" s="40" t="s">
        <v>475</v>
      </c>
      <c r="C1058" s="15" t="s">
        <v>477</v>
      </c>
      <c r="D1058" s="2" t="s">
        <v>224</v>
      </c>
      <c r="E1058" s="15">
        <v>5</v>
      </c>
    </row>
    <row r="1059" customHeight="1" spans="1:5">
      <c r="A1059" s="36" t="s">
        <v>220</v>
      </c>
      <c r="B1059" s="40" t="s">
        <v>475</v>
      </c>
      <c r="C1059" s="14" t="s">
        <v>478</v>
      </c>
      <c r="D1059" s="2" t="s">
        <v>255</v>
      </c>
      <c r="E1059" s="14">
        <v>1</v>
      </c>
    </row>
    <row r="1060" customHeight="1" spans="1:5">
      <c r="A1060" s="36" t="s">
        <v>220</v>
      </c>
      <c r="B1060" s="40" t="s">
        <v>475</v>
      </c>
      <c r="C1060" s="14" t="s">
        <v>478</v>
      </c>
      <c r="D1060" s="2" t="s">
        <v>255</v>
      </c>
      <c r="E1060" s="14">
        <v>2</v>
      </c>
    </row>
    <row r="1061" customHeight="1" spans="1:5">
      <c r="A1061" s="36" t="s">
        <v>220</v>
      </c>
      <c r="B1061" s="40" t="s">
        <v>475</v>
      </c>
      <c r="C1061" s="14" t="s">
        <v>478</v>
      </c>
      <c r="D1061" s="2" t="s">
        <v>255</v>
      </c>
      <c r="E1061" s="14">
        <v>3</v>
      </c>
    </row>
    <row r="1062" customHeight="1" spans="1:5">
      <c r="A1062" s="36" t="s">
        <v>220</v>
      </c>
      <c r="B1062" s="40" t="s">
        <v>475</v>
      </c>
      <c r="C1062" s="14" t="s">
        <v>478</v>
      </c>
      <c r="D1062" s="2" t="s">
        <v>255</v>
      </c>
      <c r="E1062" s="14">
        <v>4</v>
      </c>
    </row>
    <row r="1063" customHeight="1" spans="1:5">
      <c r="A1063" s="36" t="s">
        <v>220</v>
      </c>
      <c r="B1063" s="40" t="s">
        <v>475</v>
      </c>
      <c r="C1063" s="14" t="s">
        <v>478</v>
      </c>
      <c r="D1063" s="2" t="s">
        <v>255</v>
      </c>
      <c r="E1063" s="14">
        <v>5</v>
      </c>
    </row>
    <row r="1064" customHeight="1" spans="1:5">
      <c r="A1064" s="36" t="s">
        <v>220</v>
      </c>
      <c r="B1064" s="40" t="s">
        <v>475</v>
      </c>
      <c r="C1064" s="15" t="s">
        <v>479</v>
      </c>
      <c r="D1064" s="2" t="s">
        <v>225</v>
      </c>
      <c r="E1064" s="15">
        <v>1</v>
      </c>
    </row>
    <row r="1065" customHeight="1" spans="1:5">
      <c r="A1065" s="36" t="s">
        <v>220</v>
      </c>
      <c r="B1065" s="40" t="s">
        <v>475</v>
      </c>
      <c r="C1065" s="15" t="s">
        <v>479</v>
      </c>
      <c r="D1065" s="2" t="s">
        <v>225</v>
      </c>
      <c r="E1065" s="15">
        <v>2</v>
      </c>
    </row>
    <row r="1066" customHeight="1" spans="1:5">
      <c r="A1066" s="36" t="s">
        <v>220</v>
      </c>
      <c r="B1066" s="40" t="s">
        <v>475</v>
      </c>
      <c r="C1066" s="15" t="s">
        <v>479</v>
      </c>
      <c r="D1066" s="2" t="s">
        <v>225</v>
      </c>
      <c r="E1066" s="15">
        <v>3</v>
      </c>
    </row>
    <row r="1067" customHeight="1" spans="1:5">
      <c r="A1067" s="36" t="s">
        <v>220</v>
      </c>
      <c r="B1067" s="40" t="s">
        <v>475</v>
      </c>
      <c r="C1067" s="15" t="s">
        <v>479</v>
      </c>
      <c r="D1067" s="2" t="s">
        <v>225</v>
      </c>
      <c r="E1067" s="15">
        <v>4</v>
      </c>
    </row>
    <row r="1068" customHeight="1" spans="1:5">
      <c r="A1068" s="36" t="s">
        <v>220</v>
      </c>
      <c r="B1068" s="40" t="s">
        <v>475</v>
      </c>
      <c r="C1068" s="15" t="s">
        <v>479</v>
      </c>
      <c r="D1068" s="2" t="s">
        <v>225</v>
      </c>
      <c r="E1068" s="15">
        <v>5</v>
      </c>
    </row>
    <row r="1069" customHeight="1" spans="1:5">
      <c r="A1069" s="36" t="s">
        <v>220</v>
      </c>
      <c r="B1069" s="40" t="s">
        <v>475</v>
      </c>
      <c r="C1069" s="15" t="s">
        <v>479</v>
      </c>
      <c r="D1069" s="2" t="s">
        <v>225</v>
      </c>
      <c r="E1069" s="15">
        <v>6</v>
      </c>
    </row>
    <row r="1070" customHeight="1" spans="1:5">
      <c r="A1070" s="36" t="s">
        <v>220</v>
      </c>
      <c r="B1070" s="40" t="s">
        <v>475</v>
      </c>
      <c r="C1070" s="15" t="s">
        <v>479</v>
      </c>
      <c r="D1070" s="2" t="s">
        <v>225</v>
      </c>
      <c r="E1070" s="15">
        <v>7</v>
      </c>
    </row>
    <row r="1071" customHeight="1" spans="1:5">
      <c r="A1071" s="36" t="s">
        <v>220</v>
      </c>
      <c r="B1071" s="40" t="s">
        <v>475</v>
      </c>
      <c r="C1071" s="15" t="s">
        <v>479</v>
      </c>
      <c r="D1071" s="2" t="s">
        <v>225</v>
      </c>
      <c r="E1071" s="15">
        <v>8</v>
      </c>
    </row>
    <row r="1072" customHeight="1" spans="1:5">
      <c r="A1072" s="36" t="s">
        <v>220</v>
      </c>
      <c r="B1072" s="39" t="s">
        <v>480</v>
      </c>
      <c r="C1072" s="14" t="s">
        <v>481</v>
      </c>
      <c r="D1072" s="2" t="s">
        <v>222</v>
      </c>
      <c r="E1072" s="14">
        <v>1</v>
      </c>
    </row>
    <row r="1073" customHeight="1" spans="1:5">
      <c r="A1073" s="36" t="s">
        <v>220</v>
      </c>
      <c r="B1073" s="39" t="s">
        <v>480</v>
      </c>
      <c r="C1073" s="14" t="s">
        <v>481</v>
      </c>
      <c r="D1073" s="2" t="s">
        <v>222</v>
      </c>
      <c r="E1073" s="14">
        <v>2</v>
      </c>
    </row>
    <row r="1074" customHeight="1" spans="1:5">
      <c r="A1074" s="36" t="s">
        <v>220</v>
      </c>
      <c r="B1074" s="39" t="s">
        <v>480</v>
      </c>
      <c r="C1074" s="14" t="s">
        <v>481</v>
      </c>
      <c r="D1074" s="2" t="s">
        <v>222</v>
      </c>
      <c r="E1074" s="14">
        <v>3</v>
      </c>
    </row>
    <row r="1075" customHeight="1" spans="1:5">
      <c r="A1075" s="36" t="s">
        <v>220</v>
      </c>
      <c r="B1075" s="39" t="s">
        <v>480</v>
      </c>
      <c r="C1075" s="14" t="s">
        <v>481</v>
      </c>
      <c r="D1075" s="2" t="s">
        <v>222</v>
      </c>
      <c r="E1075" s="14">
        <v>4</v>
      </c>
    </row>
    <row r="1076" customHeight="1" spans="1:5">
      <c r="A1076" s="36" t="s">
        <v>220</v>
      </c>
      <c r="B1076" s="39" t="s">
        <v>480</v>
      </c>
      <c r="C1076" s="14" t="s">
        <v>481</v>
      </c>
      <c r="D1076" s="2" t="s">
        <v>222</v>
      </c>
      <c r="E1076" s="14">
        <v>5</v>
      </c>
    </row>
    <row r="1077" customHeight="1" spans="1:5">
      <c r="A1077" s="36" t="s">
        <v>220</v>
      </c>
      <c r="B1077" s="39" t="s">
        <v>480</v>
      </c>
      <c r="C1077" s="15" t="s">
        <v>482</v>
      </c>
      <c r="D1077" s="2" t="s">
        <v>224</v>
      </c>
      <c r="E1077" s="15">
        <v>1</v>
      </c>
    </row>
    <row r="1078" customHeight="1" spans="1:5">
      <c r="A1078" s="36" t="s">
        <v>220</v>
      </c>
      <c r="B1078" s="39" t="s">
        <v>480</v>
      </c>
      <c r="C1078" s="15" t="s">
        <v>482</v>
      </c>
      <c r="D1078" s="2" t="s">
        <v>224</v>
      </c>
      <c r="E1078" s="15">
        <v>2</v>
      </c>
    </row>
    <row r="1079" customHeight="1" spans="1:5">
      <c r="A1079" s="36" t="s">
        <v>220</v>
      </c>
      <c r="B1079" s="39" t="s">
        <v>480</v>
      </c>
      <c r="C1079" s="15" t="s">
        <v>482</v>
      </c>
      <c r="D1079" s="2" t="s">
        <v>224</v>
      </c>
      <c r="E1079" s="15">
        <v>3</v>
      </c>
    </row>
    <row r="1080" customHeight="1" spans="1:5">
      <c r="A1080" s="36" t="s">
        <v>220</v>
      </c>
      <c r="B1080" s="39" t="s">
        <v>480</v>
      </c>
      <c r="C1080" s="15" t="s">
        <v>482</v>
      </c>
      <c r="D1080" s="2" t="s">
        <v>224</v>
      </c>
      <c r="E1080" s="15">
        <v>4</v>
      </c>
    </row>
    <row r="1081" customHeight="1" spans="1:5">
      <c r="A1081" s="36" t="s">
        <v>220</v>
      </c>
      <c r="B1081" s="39" t="s">
        <v>480</v>
      </c>
      <c r="C1081" s="15" t="s">
        <v>482</v>
      </c>
      <c r="D1081" s="2" t="s">
        <v>224</v>
      </c>
      <c r="E1081" s="15">
        <v>5</v>
      </c>
    </row>
    <row r="1082" customHeight="1" spans="1:5">
      <c r="A1082" s="36" t="s">
        <v>220</v>
      </c>
      <c r="B1082" s="39" t="s">
        <v>480</v>
      </c>
      <c r="C1082" s="14" t="s">
        <v>482</v>
      </c>
      <c r="D1082" s="2" t="s">
        <v>224</v>
      </c>
      <c r="E1082" s="14">
        <v>1</v>
      </c>
    </row>
    <row r="1083" customHeight="1" spans="1:5">
      <c r="A1083" s="36" t="s">
        <v>220</v>
      </c>
      <c r="B1083" s="39" t="s">
        <v>480</v>
      </c>
      <c r="C1083" s="14" t="s">
        <v>482</v>
      </c>
      <c r="D1083" s="2" t="s">
        <v>224</v>
      </c>
      <c r="E1083" s="14">
        <v>2</v>
      </c>
    </row>
    <row r="1084" customHeight="1" spans="1:5">
      <c r="A1084" s="36" t="s">
        <v>220</v>
      </c>
      <c r="B1084" s="39" t="s">
        <v>480</v>
      </c>
      <c r="C1084" s="14" t="s">
        <v>482</v>
      </c>
      <c r="D1084" s="2" t="s">
        <v>224</v>
      </c>
      <c r="E1084" s="14">
        <v>3</v>
      </c>
    </row>
    <row r="1085" customHeight="1" spans="1:5">
      <c r="A1085" s="36" t="s">
        <v>220</v>
      </c>
      <c r="B1085" s="39" t="s">
        <v>480</v>
      </c>
      <c r="C1085" s="14" t="s">
        <v>482</v>
      </c>
      <c r="D1085" s="2" t="s">
        <v>224</v>
      </c>
      <c r="E1085" s="14">
        <v>4</v>
      </c>
    </row>
    <row r="1086" customHeight="1" spans="1:5">
      <c r="A1086" s="36" t="s">
        <v>220</v>
      </c>
      <c r="B1086" s="39" t="s">
        <v>480</v>
      </c>
      <c r="C1086" s="14" t="s">
        <v>482</v>
      </c>
      <c r="D1086" s="2" t="s">
        <v>224</v>
      </c>
      <c r="E1086" s="14">
        <v>5</v>
      </c>
    </row>
    <row r="1087" customHeight="1" spans="1:5">
      <c r="A1087" s="36" t="s">
        <v>220</v>
      </c>
      <c r="B1087" s="39" t="s">
        <v>480</v>
      </c>
      <c r="C1087" s="15" t="s">
        <v>483</v>
      </c>
      <c r="D1087" s="2" t="s">
        <v>255</v>
      </c>
      <c r="E1087" s="15">
        <v>1</v>
      </c>
    </row>
    <row r="1088" customHeight="1" spans="1:5">
      <c r="A1088" s="36" t="s">
        <v>220</v>
      </c>
      <c r="B1088" s="39" t="s">
        <v>480</v>
      </c>
      <c r="C1088" s="15" t="s">
        <v>483</v>
      </c>
      <c r="D1088" s="2" t="s">
        <v>255</v>
      </c>
      <c r="E1088" s="15">
        <v>2</v>
      </c>
    </row>
    <row r="1089" customHeight="1" spans="1:5">
      <c r="A1089" s="36" t="s">
        <v>220</v>
      </c>
      <c r="B1089" s="39" t="s">
        <v>480</v>
      </c>
      <c r="C1089" s="15" t="s">
        <v>483</v>
      </c>
      <c r="D1089" s="2" t="s">
        <v>255</v>
      </c>
      <c r="E1089" s="15">
        <v>3</v>
      </c>
    </row>
    <row r="1090" customHeight="1" spans="1:5">
      <c r="A1090" s="36" t="s">
        <v>220</v>
      </c>
      <c r="B1090" s="39" t="s">
        <v>480</v>
      </c>
      <c r="C1090" s="15" t="s">
        <v>483</v>
      </c>
      <c r="D1090" s="2" t="s">
        <v>255</v>
      </c>
      <c r="E1090" s="15">
        <v>4</v>
      </c>
    </row>
    <row r="1091" customHeight="1" spans="1:5">
      <c r="A1091" s="36" t="s">
        <v>220</v>
      </c>
      <c r="B1091" s="39" t="s">
        <v>480</v>
      </c>
      <c r="C1091" s="15" t="s">
        <v>483</v>
      </c>
      <c r="D1091" s="2" t="s">
        <v>255</v>
      </c>
      <c r="E1091" s="15">
        <v>5</v>
      </c>
    </row>
    <row r="1092" customHeight="1" spans="1:5">
      <c r="A1092" s="36" t="s">
        <v>220</v>
      </c>
      <c r="B1092" s="39" t="s">
        <v>480</v>
      </c>
      <c r="C1092" s="14" t="s">
        <v>484</v>
      </c>
      <c r="D1092" s="2" t="s">
        <v>225</v>
      </c>
      <c r="E1092" s="14">
        <v>1</v>
      </c>
    </row>
    <row r="1093" customHeight="1" spans="1:5">
      <c r="A1093" s="36" t="s">
        <v>220</v>
      </c>
      <c r="B1093" s="39" t="s">
        <v>480</v>
      </c>
      <c r="C1093" s="14" t="s">
        <v>484</v>
      </c>
      <c r="D1093" s="2" t="s">
        <v>225</v>
      </c>
      <c r="E1093" s="14">
        <v>2</v>
      </c>
    </row>
    <row r="1094" customHeight="1" spans="1:5">
      <c r="A1094" s="36" t="s">
        <v>220</v>
      </c>
      <c r="B1094" s="39" t="s">
        <v>480</v>
      </c>
      <c r="C1094" s="14" t="s">
        <v>484</v>
      </c>
      <c r="D1094" s="2" t="s">
        <v>225</v>
      </c>
      <c r="E1094" s="14">
        <v>3</v>
      </c>
    </row>
    <row r="1095" customHeight="1" spans="1:5">
      <c r="A1095" s="36" t="s">
        <v>220</v>
      </c>
      <c r="B1095" s="39" t="s">
        <v>480</v>
      </c>
      <c r="C1095" s="14" t="s">
        <v>484</v>
      </c>
      <c r="D1095" s="2" t="s">
        <v>225</v>
      </c>
      <c r="E1095" s="14">
        <v>4</v>
      </c>
    </row>
    <row r="1096" customHeight="1" spans="1:5">
      <c r="A1096" s="36" t="s">
        <v>220</v>
      </c>
      <c r="B1096" s="39" t="s">
        <v>480</v>
      </c>
      <c r="C1096" s="14" t="s">
        <v>484</v>
      </c>
      <c r="D1096" s="2" t="s">
        <v>225</v>
      </c>
      <c r="E1096" s="14">
        <v>5</v>
      </c>
    </row>
    <row r="1097" customHeight="1" spans="1:5">
      <c r="A1097" s="36" t="s">
        <v>220</v>
      </c>
      <c r="B1097" s="39" t="s">
        <v>480</v>
      </c>
      <c r="C1097" s="14" t="s">
        <v>484</v>
      </c>
      <c r="D1097" s="2" t="s">
        <v>225</v>
      </c>
      <c r="E1097" s="14">
        <v>6</v>
      </c>
    </row>
    <row r="1098" customHeight="1" spans="1:5">
      <c r="A1098" s="36" t="s">
        <v>220</v>
      </c>
      <c r="B1098" s="39" t="s">
        <v>480</v>
      </c>
      <c r="C1098" s="14" t="s">
        <v>484</v>
      </c>
      <c r="D1098" s="2" t="s">
        <v>225</v>
      </c>
      <c r="E1098" s="14">
        <v>7</v>
      </c>
    </row>
    <row r="1099" customHeight="1" spans="1:5">
      <c r="A1099" s="36" t="s">
        <v>220</v>
      </c>
      <c r="B1099" s="39" t="s">
        <v>480</v>
      </c>
      <c r="C1099" s="14" t="s">
        <v>484</v>
      </c>
      <c r="D1099" s="2" t="s">
        <v>225</v>
      </c>
      <c r="E1099" s="14">
        <v>8</v>
      </c>
    </row>
    <row r="1100" customHeight="1" spans="1:5">
      <c r="A1100" s="36" t="s">
        <v>220</v>
      </c>
      <c r="B1100" s="40" t="s">
        <v>485</v>
      </c>
      <c r="C1100" s="15" t="s">
        <v>486</v>
      </c>
      <c r="D1100" s="2" t="s">
        <v>222</v>
      </c>
      <c r="E1100" s="15">
        <v>1</v>
      </c>
    </row>
    <row r="1101" customHeight="1" spans="1:5">
      <c r="A1101" s="36" t="s">
        <v>220</v>
      </c>
      <c r="B1101" s="40" t="s">
        <v>485</v>
      </c>
      <c r="C1101" s="15" t="s">
        <v>486</v>
      </c>
      <c r="D1101" s="2" t="s">
        <v>222</v>
      </c>
      <c r="E1101" s="15">
        <v>2</v>
      </c>
    </row>
    <row r="1102" customHeight="1" spans="1:5">
      <c r="A1102" s="36" t="s">
        <v>220</v>
      </c>
      <c r="B1102" s="40" t="s">
        <v>485</v>
      </c>
      <c r="C1102" s="15" t="s">
        <v>486</v>
      </c>
      <c r="D1102" s="2" t="s">
        <v>222</v>
      </c>
      <c r="E1102" s="15">
        <v>3</v>
      </c>
    </row>
    <row r="1103" customHeight="1" spans="1:5">
      <c r="A1103" s="36" t="s">
        <v>220</v>
      </c>
      <c r="B1103" s="40" t="s">
        <v>485</v>
      </c>
      <c r="C1103" s="15" t="s">
        <v>486</v>
      </c>
      <c r="D1103" s="2" t="s">
        <v>222</v>
      </c>
      <c r="E1103" s="15">
        <v>4</v>
      </c>
    </row>
    <row r="1104" customHeight="1" spans="1:5">
      <c r="A1104" s="36" t="s">
        <v>220</v>
      </c>
      <c r="B1104" s="40" t="s">
        <v>485</v>
      </c>
      <c r="C1104" s="15" t="s">
        <v>486</v>
      </c>
      <c r="D1104" s="2" t="s">
        <v>222</v>
      </c>
      <c r="E1104" s="15">
        <v>5</v>
      </c>
    </row>
    <row r="1105" customHeight="1" spans="1:5">
      <c r="A1105" s="36" t="s">
        <v>220</v>
      </c>
      <c r="B1105" s="40" t="s">
        <v>485</v>
      </c>
      <c r="C1105" s="14" t="s">
        <v>487</v>
      </c>
      <c r="D1105" s="2" t="s">
        <v>224</v>
      </c>
      <c r="E1105" s="14">
        <v>1</v>
      </c>
    </row>
    <row r="1106" customHeight="1" spans="1:5">
      <c r="A1106" s="36" t="s">
        <v>220</v>
      </c>
      <c r="B1106" s="40" t="s">
        <v>485</v>
      </c>
      <c r="C1106" s="14" t="s">
        <v>487</v>
      </c>
      <c r="D1106" s="2" t="s">
        <v>224</v>
      </c>
      <c r="E1106" s="14">
        <v>2</v>
      </c>
    </row>
    <row r="1107" customHeight="1" spans="1:5">
      <c r="A1107" s="36" t="s">
        <v>220</v>
      </c>
      <c r="B1107" s="40" t="s">
        <v>485</v>
      </c>
      <c r="C1107" s="14" t="s">
        <v>487</v>
      </c>
      <c r="D1107" s="2" t="s">
        <v>224</v>
      </c>
      <c r="E1107" s="14">
        <v>3</v>
      </c>
    </row>
    <row r="1108" customHeight="1" spans="1:5">
      <c r="A1108" s="36" t="s">
        <v>220</v>
      </c>
      <c r="B1108" s="40" t="s">
        <v>485</v>
      </c>
      <c r="C1108" s="14" t="s">
        <v>487</v>
      </c>
      <c r="D1108" s="2" t="s">
        <v>224</v>
      </c>
      <c r="E1108" s="14">
        <v>4</v>
      </c>
    </row>
    <row r="1109" customHeight="1" spans="1:5">
      <c r="A1109" s="36" t="s">
        <v>220</v>
      </c>
      <c r="B1109" s="40" t="s">
        <v>485</v>
      </c>
      <c r="C1109" s="14" t="s">
        <v>487</v>
      </c>
      <c r="D1109" s="2" t="s">
        <v>224</v>
      </c>
      <c r="E1109" s="14">
        <v>5</v>
      </c>
    </row>
    <row r="1110" customHeight="1" spans="1:5">
      <c r="A1110" s="36" t="s">
        <v>220</v>
      </c>
      <c r="B1110" s="40" t="s">
        <v>485</v>
      </c>
      <c r="C1110" s="15" t="s">
        <v>487</v>
      </c>
      <c r="D1110" s="2" t="s">
        <v>224</v>
      </c>
      <c r="E1110" s="15">
        <v>1</v>
      </c>
    </row>
    <row r="1111" customHeight="1" spans="1:5">
      <c r="A1111" s="36" t="s">
        <v>220</v>
      </c>
      <c r="B1111" s="40" t="s">
        <v>485</v>
      </c>
      <c r="C1111" s="15" t="s">
        <v>487</v>
      </c>
      <c r="D1111" s="2" t="s">
        <v>224</v>
      </c>
      <c r="E1111" s="15">
        <v>2</v>
      </c>
    </row>
    <row r="1112" customHeight="1" spans="1:5">
      <c r="A1112" s="36" t="s">
        <v>220</v>
      </c>
      <c r="B1112" s="40" t="s">
        <v>485</v>
      </c>
      <c r="C1112" s="15" t="s">
        <v>487</v>
      </c>
      <c r="D1112" s="2" t="s">
        <v>224</v>
      </c>
      <c r="E1112" s="15">
        <v>3</v>
      </c>
    </row>
    <row r="1113" customHeight="1" spans="1:5">
      <c r="A1113" s="36" t="s">
        <v>220</v>
      </c>
      <c r="B1113" s="40" t="s">
        <v>485</v>
      </c>
      <c r="C1113" s="15" t="s">
        <v>487</v>
      </c>
      <c r="D1113" s="2" t="s">
        <v>224</v>
      </c>
      <c r="E1113" s="15">
        <v>4</v>
      </c>
    </row>
    <row r="1114" customHeight="1" spans="1:5">
      <c r="A1114" s="36" t="s">
        <v>220</v>
      </c>
      <c r="B1114" s="40" t="s">
        <v>485</v>
      </c>
      <c r="C1114" s="15" t="s">
        <v>487</v>
      </c>
      <c r="D1114" s="2" t="s">
        <v>224</v>
      </c>
      <c r="E1114" s="15">
        <v>5</v>
      </c>
    </row>
    <row r="1115" customHeight="1" spans="1:5">
      <c r="A1115" s="36" t="s">
        <v>220</v>
      </c>
      <c r="B1115" s="40" t="s">
        <v>485</v>
      </c>
      <c r="C1115" s="14" t="s">
        <v>488</v>
      </c>
      <c r="D1115" s="2" t="s">
        <v>255</v>
      </c>
      <c r="E1115" s="14">
        <v>1</v>
      </c>
    </row>
    <row r="1116" customHeight="1" spans="1:5">
      <c r="A1116" s="36" t="s">
        <v>220</v>
      </c>
      <c r="B1116" s="40" t="s">
        <v>485</v>
      </c>
      <c r="C1116" s="14" t="s">
        <v>488</v>
      </c>
      <c r="D1116" s="2" t="s">
        <v>255</v>
      </c>
      <c r="E1116" s="14">
        <v>2</v>
      </c>
    </row>
    <row r="1117" customHeight="1" spans="1:5">
      <c r="A1117" s="36" t="s">
        <v>220</v>
      </c>
      <c r="B1117" s="40" t="s">
        <v>485</v>
      </c>
      <c r="C1117" s="14" t="s">
        <v>488</v>
      </c>
      <c r="D1117" s="2" t="s">
        <v>255</v>
      </c>
      <c r="E1117" s="14">
        <v>3</v>
      </c>
    </row>
    <row r="1118" customHeight="1" spans="1:5">
      <c r="A1118" s="36" t="s">
        <v>220</v>
      </c>
      <c r="B1118" s="40" t="s">
        <v>485</v>
      </c>
      <c r="C1118" s="14" t="s">
        <v>488</v>
      </c>
      <c r="D1118" s="2" t="s">
        <v>255</v>
      </c>
      <c r="E1118" s="14">
        <v>4</v>
      </c>
    </row>
    <row r="1119" customHeight="1" spans="1:5">
      <c r="A1119" s="36" t="s">
        <v>220</v>
      </c>
      <c r="B1119" s="40" t="s">
        <v>485</v>
      </c>
      <c r="C1119" s="14" t="s">
        <v>488</v>
      </c>
      <c r="D1119" s="2" t="s">
        <v>255</v>
      </c>
      <c r="E1119" s="14">
        <v>5</v>
      </c>
    </row>
    <row r="1120" customHeight="1" spans="1:5">
      <c r="A1120" s="36" t="s">
        <v>220</v>
      </c>
      <c r="B1120" s="40" t="s">
        <v>485</v>
      </c>
      <c r="C1120" s="15" t="s">
        <v>489</v>
      </c>
      <c r="D1120" s="2" t="s">
        <v>225</v>
      </c>
      <c r="E1120" s="15">
        <v>1</v>
      </c>
    </row>
    <row r="1121" customHeight="1" spans="1:5">
      <c r="A1121" s="36" t="s">
        <v>220</v>
      </c>
      <c r="B1121" s="40" t="s">
        <v>485</v>
      </c>
      <c r="C1121" s="15" t="s">
        <v>489</v>
      </c>
      <c r="D1121" s="2" t="s">
        <v>225</v>
      </c>
      <c r="E1121" s="15">
        <v>2</v>
      </c>
    </row>
    <row r="1122" customHeight="1" spans="1:5">
      <c r="A1122" s="36" t="s">
        <v>220</v>
      </c>
      <c r="B1122" s="40" t="s">
        <v>485</v>
      </c>
      <c r="C1122" s="15" t="s">
        <v>489</v>
      </c>
      <c r="D1122" s="2" t="s">
        <v>225</v>
      </c>
      <c r="E1122" s="15">
        <v>3</v>
      </c>
    </row>
    <row r="1123" customHeight="1" spans="1:5">
      <c r="A1123" s="36" t="s">
        <v>220</v>
      </c>
      <c r="B1123" s="40" t="s">
        <v>485</v>
      </c>
      <c r="C1123" s="15" t="s">
        <v>489</v>
      </c>
      <c r="D1123" s="2" t="s">
        <v>225</v>
      </c>
      <c r="E1123" s="15">
        <v>4</v>
      </c>
    </row>
    <row r="1124" customHeight="1" spans="1:5">
      <c r="A1124" s="36" t="s">
        <v>220</v>
      </c>
      <c r="B1124" s="40" t="s">
        <v>485</v>
      </c>
      <c r="C1124" s="15" t="s">
        <v>489</v>
      </c>
      <c r="D1124" s="2" t="s">
        <v>225</v>
      </c>
      <c r="E1124" s="15">
        <v>5</v>
      </c>
    </row>
    <row r="1125" customHeight="1" spans="1:5">
      <c r="A1125" s="36" t="s">
        <v>220</v>
      </c>
      <c r="B1125" s="40" t="s">
        <v>485</v>
      </c>
      <c r="C1125" s="15" t="s">
        <v>489</v>
      </c>
      <c r="D1125" s="2" t="s">
        <v>225</v>
      </c>
      <c r="E1125" s="15">
        <v>6</v>
      </c>
    </row>
    <row r="1126" customHeight="1" spans="1:5">
      <c r="A1126" s="36" t="s">
        <v>220</v>
      </c>
      <c r="B1126" s="40" t="s">
        <v>485</v>
      </c>
      <c r="C1126" s="15" t="s">
        <v>489</v>
      </c>
      <c r="D1126" s="2" t="s">
        <v>225</v>
      </c>
      <c r="E1126" s="15">
        <v>7</v>
      </c>
    </row>
    <row r="1127" customHeight="1" spans="1:5">
      <c r="A1127" s="36" t="s">
        <v>220</v>
      </c>
      <c r="B1127" s="40" t="s">
        <v>485</v>
      </c>
      <c r="C1127" s="15" t="s">
        <v>489</v>
      </c>
      <c r="D1127" s="2" t="s">
        <v>225</v>
      </c>
      <c r="E1127" s="15">
        <v>8</v>
      </c>
    </row>
    <row r="1128" customHeight="1" spans="1:5">
      <c r="A1128" s="36" t="s">
        <v>220</v>
      </c>
      <c r="B1128" s="39" t="s">
        <v>490</v>
      </c>
      <c r="C1128" s="14" t="s">
        <v>491</v>
      </c>
      <c r="D1128" s="2" t="s">
        <v>222</v>
      </c>
      <c r="E1128" s="14">
        <v>1</v>
      </c>
    </row>
    <row r="1129" customHeight="1" spans="1:5">
      <c r="A1129" s="36" t="s">
        <v>220</v>
      </c>
      <c r="B1129" s="39" t="s">
        <v>490</v>
      </c>
      <c r="C1129" s="14" t="s">
        <v>491</v>
      </c>
      <c r="D1129" s="2" t="s">
        <v>222</v>
      </c>
      <c r="E1129" s="14">
        <v>2</v>
      </c>
    </row>
    <row r="1130" customHeight="1" spans="1:5">
      <c r="A1130" s="36" t="s">
        <v>220</v>
      </c>
      <c r="B1130" s="39" t="s">
        <v>490</v>
      </c>
      <c r="C1130" s="14" t="s">
        <v>491</v>
      </c>
      <c r="D1130" s="2" t="s">
        <v>222</v>
      </c>
      <c r="E1130" s="14">
        <v>3</v>
      </c>
    </row>
    <row r="1131" customHeight="1" spans="1:5">
      <c r="A1131" s="36" t="s">
        <v>220</v>
      </c>
      <c r="B1131" s="39" t="s">
        <v>490</v>
      </c>
      <c r="C1131" s="14" t="s">
        <v>491</v>
      </c>
      <c r="D1131" s="2" t="s">
        <v>222</v>
      </c>
      <c r="E1131" s="14">
        <v>4</v>
      </c>
    </row>
    <row r="1132" customHeight="1" spans="1:5">
      <c r="A1132" s="36" t="s">
        <v>220</v>
      </c>
      <c r="B1132" s="39" t="s">
        <v>490</v>
      </c>
      <c r="C1132" s="14" t="s">
        <v>491</v>
      </c>
      <c r="D1132" s="2" t="s">
        <v>222</v>
      </c>
      <c r="E1132" s="14">
        <v>5</v>
      </c>
    </row>
    <row r="1133" customHeight="1" spans="1:5">
      <c r="A1133" s="36" t="s">
        <v>220</v>
      </c>
      <c r="B1133" s="39" t="s">
        <v>490</v>
      </c>
      <c r="C1133" s="15" t="s">
        <v>492</v>
      </c>
      <c r="D1133" s="2" t="s">
        <v>224</v>
      </c>
      <c r="E1133" s="15">
        <v>1</v>
      </c>
    </row>
    <row r="1134" customHeight="1" spans="1:5">
      <c r="A1134" s="36" t="s">
        <v>220</v>
      </c>
      <c r="B1134" s="39" t="s">
        <v>490</v>
      </c>
      <c r="C1134" s="15" t="s">
        <v>492</v>
      </c>
      <c r="D1134" s="2" t="s">
        <v>224</v>
      </c>
      <c r="E1134" s="15">
        <v>2</v>
      </c>
    </row>
    <row r="1135" customHeight="1" spans="1:5">
      <c r="A1135" s="36" t="s">
        <v>220</v>
      </c>
      <c r="B1135" s="39" t="s">
        <v>490</v>
      </c>
      <c r="C1135" s="15" t="s">
        <v>492</v>
      </c>
      <c r="D1135" s="2" t="s">
        <v>224</v>
      </c>
      <c r="E1135" s="15">
        <v>3</v>
      </c>
    </row>
    <row r="1136" customHeight="1" spans="1:5">
      <c r="A1136" s="36" t="s">
        <v>220</v>
      </c>
      <c r="B1136" s="39" t="s">
        <v>490</v>
      </c>
      <c r="C1136" s="15" t="s">
        <v>492</v>
      </c>
      <c r="D1136" s="2" t="s">
        <v>224</v>
      </c>
      <c r="E1136" s="15">
        <v>4</v>
      </c>
    </row>
    <row r="1137" customHeight="1" spans="1:5">
      <c r="A1137" s="36" t="s">
        <v>220</v>
      </c>
      <c r="B1137" s="39" t="s">
        <v>490</v>
      </c>
      <c r="C1137" s="15" t="s">
        <v>492</v>
      </c>
      <c r="D1137" s="2" t="s">
        <v>224</v>
      </c>
      <c r="E1137" s="15">
        <v>5</v>
      </c>
    </row>
    <row r="1138" customHeight="1" spans="1:5">
      <c r="A1138" s="36" t="s">
        <v>220</v>
      </c>
      <c r="B1138" s="39" t="s">
        <v>490</v>
      </c>
      <c r="C1138" s="14" t="s">
        <v>492</v>
      </c>
      <c r="D1138" s="2" t="s">
        <v>224</v>
      </c>
      <c r="E1138" s="14">
        <v>1</v>
      </c>
    </row>
    <row r="1139" customHeight="1" spans="1:5">
      <c r="A1139" s="36" t="s">
        <v>220</v>
      </c>
      <c r="B1139" s="39" t="s">
        <v>490</v>
      </c>
      <c r="C1139" s="14" t="s">
        <v>492</v>
      </c>
      <c r="D1139" s="2" t="s">
        <v>224</v>
      </c>
      <c r="E1139" s="14">
        <v>2</v>
      </c>
    </row>
    <row r="1140" customHeight="1" spans="1:5">
      <c r="A1140" s="36" t="s">
        <v>220</v>
      </c>
      <c r="B1140" s="39" t="s">
        <v>490</v>
      </c>
      <c r="C1140" s="14" t="s">
        <v>492</v>
      </c>
      <c r="D1140" s="2" t="s">
        <v>224</v>
      </c>
      <c r="E1140" s="14">
        <v>3</v>
      </c>
    </row>
    <row r="1141" customHeight="1" spans="1:5">
      <c r="A1141" s="36" t="s">
        <v>220</v>
      </c>
      <c r="B1141" s="39" t="s">
        <v>490</v>
      </c>
      <c r="C1141" s="14" t="s">
        <v>492</v>
      </c>
      <c r="D1141" s="2" t="s">
        <v>224</v>
      </c>
      <c r="E1141" s="14">
        <v>4</v>
      </c>
    </row>
    <row r="1142" customHeight="1" spans="1:5">
      <c r="A1142" s="36" t="s">
        <v>220</v>
      </c>
      <c r="B1142" s="39" t="s">
        <v>490</v>
      </c>
      <c r="C1142" s="14" t="s">
        <v>492</v>
      </c>
      <c r="D1142" s="2" t="s">
        <v>224</v>
      </c>
      <c r="E1142" s="14">
        <v>5</v>
      </c>
    </row>
    <row r="1143" customHeight="1" spans="1:5">
      <c r="A1143" s="36" t="s">
        <v>220</v>
      </c>
      <c r="B1143" s="39" t="s">
        <v>490</v>
      </c>
      <c r="C1143" s="15" t="s">
        <v>493</v>
      </c>
      <c r="D1143" s="2" t="s">
        <v>255</v>
      </c>
      <c r="E1143" s="15">
        <v>1</v>
      </c>
    </row>
    <row r="1144" customHeight="1" spans="1:5">
      <c r="A1144" s="36" t="s">
        <v>220</v>
      </c>
      <c r="B1144" s="39" t="s">
        <v>490</v>
      </c>
      <c r="C1144" s="15" t="s">
        <v>493</v>
      </c>
      <c r="D1144" s="2" t="s">
        <v>255</v>
      </c>
      <c r="E1144" s="15">
        <v>2</v>
      </c>
    </row>
    <row r="1145" customHeight="1" spans="1:5">
      <c r="A1145" s="36" t="s">
        <v>220</v>
      </c>
      <c r="B1145" s="39" t="s">
        <v>490</v>
      </c>
      <c r="C1145" s="15" t="s">
        <v>493</v>
      </c>
      <c r="D1145" s="2" t="s">
        <v>255</v>
      </c>
      <c r="E1145" s="15">
        <v>3</v>
      </c>
    </row>
    <row r="1146" customHeight="1" spans="1:5">
      <c r="A1146" s="36" t="s">
        <v>220</v>
      </c>
      <c r="B1146" s="39" t="s">
        <v>490</v>
      </c>
      <c r="C1146" s="15" t="s">
        <v>493</v>
      </c>
      <c r="D1146" s="2" t="s">
        <v>255</v>
      </c>
      <c r="E1146" s="15">
        <v>4</v>
      </c>
    </row>
    <row r="1147" customHeight="1" spans="1:5">
      <c r="A1147" s="36" t="s">
        <v>220</v>
      </c>
      <c r="B1147" s="39" t="s">
        <v>490</v>
      </c>
      <c r="C1147" s="15" t="s">
        <v>493</v>
      </c>
      <c r="D1147" s="2" t="s">
        <v>255</v>
      </c>
      <c r="E1147" s="15">
        <v>5</v>
      </c>
    </row>
    <row r="1148" customHeight="1" spans="1:5">
      <c r="A1148" s="36" t="s">
        <v>220</v>
      </c>
      <c r="B1148" s="39" t="s">
        <v>490</v>
      </c>
      <c r="C1148" s="14" t="s">
        <v>494</v>
      </c>
      <c r="D1148" s="2" t="s">
        <v>225</v>
      </c>
      <c r="E1148" s="14">
        <v>1</v>
      </c>
    </row>
    <row r="1149" customHeight="1" spans="1:5">
      <c r="A1149" s="36" t="s">
        <v>220</v>
      </c>
      <c r="B1149" s="39" t="s">
        <v>490</v>
      </c>
      <c r="C1149" s="14" t="s">
        <v>494</v>
      </c>
      <c r="D1149" s="2" t="s">
        <v>225</v>
      </c>
      <c r="E1149" s="14">
        <v>2</v>
      </c>
    </row>
    <row r="1150" customHeight="1" spans="1:5">
      <c r="A1150" s="36" t="s">
        <v>220</v>
      </c>
      <c r="B1150" s="39" t="s">
        <v>490</v>
      </c>
      <c r="C1150" s="14" t="s">
        <v>494</v>
      </c>
      <c r="D1150" s="2" t="s">
        <v>225</v>
      </c>
      <c r="E1150" s="14">
        <v>3</v>
      </c>
    </row>
    <row r="1151" customHeight="1" spans="1:5">
      <c r="A1151" s="36" t="s">
        <v>220</v>
      </c>
      <c r="B1151" s="39" t="s">
        <v>490</v>
      </c>
      <c r="C1151" s="14" t="s">
        <v>494</v>
      </c>
      <c r="D1151" s="2" t="s">
        <v>225</v>
      </c>
      <c r="E1151" s="14">
        <v>4</v>
      </c>
    </row>
    <row r="1152" customHeight="1" spans="1:5">
      <c r="A1152" s="36" t="s">
        <v>220</v>
      </c>
      <c r="B1152" s="39" t="s">
        <v>490</v>
      </c>
      <c r="C1152" s="14" t="s">
        <v>494</v>
      </c>
      <c r="D1152" s="2" t="s">
        <v>225</v>
      </c>
      <c r="E1152" s="14">
        <v>5</v>
      </c>
    </row>
    <row r="1153" customHeight="1" spans="1:5">
      <c r="A1153" s="36" t="s">
        <v>220</v>
      </c>
      <c r="B1153" s="39" t="s">
        <v>490</v>
      </c>
      <c r="C1153" s="14" t="s">
        <v>494</v>
      </c>
      <c r="D1153" s="2" t="s">
        <v>225</v>
      </c>
      <c r="E1153" s="14">
        <v>6</v>
      </c>
    </row>
    <row r="1154" customHeight="1" spans="1:5">
      <c r="A1154" s="36" t="s">
        <v>220</v>
      </c>
      <c r="B1154" s="39" t="s">
        <v>490</v>
      </c>
      <c r="C1154" s="14" t="s">
        <v>494</v>
      </c>
      <c r="D1154" s="2" t="s">
        <v>225</v>
      </c>
      <c r="E1154" s="14">
        <v>7</v>
      </c>
    </row>
    <row r="1155" customHeight="1" spans="1:5">
      <c r="A1155" s="36" t="s">
        <v>220</v>
      </c>
      <c r="B1155" s="39" t="s">
        <v>490</v>
      </c>
      <c r="C1155" s="14" t="s">
        <v>494</v>
      </c>
      <c r="D1155" s="2" t="s">
        <v>225</v>
      </c>
      <c r="E1155" s="14">
        <v>8</v>
      </c>
    </row>
    <row r="1156" customHeight="1" spans="1:5">
      <c r="A1156" s="36" t="s">
        <v>220</v>
      </c>
      <c r="B1156" s="40" t="s">
        <v>495</v>
      </c>
      <c r="C1156" s="15" t="s">
        <v>496</v>
      </c>
      <c r="D1156" s="2" t="s">
        <v>222</v>
      </c>
      <c r="E1156" s="15">
        <v>1</v>
      </c>
    </row>
    <row r="1157" customHeight="1" spans="1:5">
      <c r="A1157" s="36" t="s">
        <v>220</v>
      </c>
      <c r="B1157" s="40" t="s">
        <v>495</v>
      </c>
      <c r="C1157" s="15" t="s">
        <v>496</v>
      </c>
      <c r="D1157" s="2" t="s">
        <v>222</v>
      </c>
      <c r="E1157" s="15">
        <v>2</v>
      </c>
    </row>
    <row r="1158" customHeight="1" spans="1:5">
      <c r="A1158" s="36" t="s">
        <v>220</v>
      </c>
      <c r="B1158" s="40" t="s">
        <v>495</v>
      </c>
      <c r="C1158" s="15" t="s">
        <v>496</v>
      </c>
      <c r="D1158" s="2" t="s">
        <v>222</v>
      </c>
      <c r="E1158" s="15">
        <v>3</v>
      </c>
    </row>
    <row r="1159" customHeight="1" spans="1:5">
      <c r="A1159" s="36" t="s">
        <v>220</v>
      </c>
      <c r="B1159" s="40" t="s">
        <v>495</v>
      </c>
      <c r="C1159" s="15" t="s">
        <v>496</v>
      </c>
      <c r="D1159" s="2" t="s">
        <v>222</v>
      </c>
      <c r="E1159" s="15">
        <v>4</v>
      </c>
    </row>
    <row r="1160" customHeight="1" spans="1:5">
      <c r="A1160" s="36" t="s">
        <v>220</v>
      </c>
      <c r="B1160" s="40" t="s">
        <v>495</v>
      </c>
      <c r="C1160" s="15" t="s">
        <v>496</v>
      </c>
      <c r="D1160" s="2" t="s">
        <v>222</v>
      </c>
      <c r="E1160" s="15">
        <v>5</v>
      </c>
    </row>
    <row r="1161" customHeight="1" spans="1:5">
      <c r="A1161" s="36" t="s">
        <v>220</v>
      </c>
      <c r="B1161" s="40" t="s">
        <v>495</v>
      </c>
      <c r="C1161" s="14" t="s">
        <v>497</v>
      </c>
      <c r="D1161" s="2" t="s">
        <v>224</v>
      </c>
      <c r="E1161" s="14">
        <v>1</v>
      </c>
    </row>
    <row r="1162" customHeight="1" spans="1:5">
      <c r="A1162" s="36" t="s">
        <v>220</v>
      </c>
      <c r="B1162" s="40" t="s">
        <v>495</v>
      </c>
      <c r="C1162" s="14" t="s">
        <v>497</v>
      </c>
      <c r="D1162" s="2" t="s">
        <v>224</v>
      </c>
      <c r="E1162" s="14">
        <v>2</v>
      </c>
    </row>
    <row r="1163" customHeight="1" spans="1:5">
      <c r="A1163" s="36" t="s">
        <v>220</v>
      </c>
      <c r="B1163" s="40" t="s">
        <v>495</v>
      </c>
      <c r="C1163" s="14" t="s">
        <v>497</v>
      </c>
      <c r="D1163" s="2" t="s">
        <v>224</v>
      </c>
      <c r="E1163" s="14">
        <v>3</v>
      </c>
    </row>
    <row r="1164" customHeight="1" spans="1:5">
      <c r="A1164" s="36" t="s">
        <v>220</v>
      </c>
      <c r="B1164" s="40" t="s">
        <v>495</v>
      </c>
      <c r="C1164" s="14" t="s">
        <v>497</v>
      </c>
      <c r="D1164" s="2" t="s">
        <v>224</v>
      </c>
      <c r="E1164" s="14">
        <v>4</v>
      </c>
    </row>
    <row r="1165" customHeight="1" spans="1:5">
      <c r="A1165" s="36" t="s">
        <v>220</v>
      </c>
      <c r="B1165" s="40" t="s">
        <v>495</v>
      </c>
      <c r="C1165" s="14" t="s">
        <v>497</v>
      </c>
      <c r="D1165" s="2" t="s">
        <v>224</v>
      </c>
      <c r="E1165" s="14">
        <v>5</v>
      </c>
    </row>
    <row r="1166" customHeight="1" spans="1:5">
      <c r="A1166" s="36" t="s">
        <v>220</v>
      </c>
      <c r="B1166" s="40" t="s">
        <v>495</v>
      </c>
      <c r="C1166" s="15" t="s">
        <v>497</v>
      </c>
      <c r="D1166" s="2" t="s">
        <v>224</v>
      </c>
      <c r="E1166" s="15">
        <v>1</v>
      </c>
    </row>
    <row r="1167" customHeight="1" spans="1:5">
      <c r="A1167" s="36" t="s">
        <v>220</v>
      </c>
      <c r="B1167" s="40" t="s">
        <v>495</v>
      </c>
      <c r="C1167" s="15" t="s">
        <v>497</v>
      </c>
      <c r="D1167" s="2" t="s">
        <v>224</v>
      </c>
      <c r="E1167" s="15">
        <v>2</v>
      </c>
    </row>
    <row r="1168" customHeight="1" spans="1:5">
      <c r="A1168" s="36" t="s">
        <v>220</v>
      </c>
      <c r="B1168" s="40" t="s">
        <v>495</v>
      </c>
      <c r="C1168" s="15" t="s">
        <v>497</v>
      </c>
      <c r="D1168" s="2" t="s">
        <v>224</v>
      </c>
      <c r="E1168" s="15">
        <v>3</v>
      </c>
    </row>
    <row r="1169" customHeight="1" spans="1:5">
      <c r="A1169" s="36" t="s">
        <v>220</v>
      </c>
      <c r="B1169" s="40" t="s">
        <v>495</v>
      </c>
      <c r="C1169" s="15" t="s">
        <v>497</v>
      </c>
      <c r="D1169" s="2" t="s">
        <v>224</v>
      </c>
      <c r="E1169" s="15">
        <v>4</v>
      </c>
    </row>
    <row r="1170" customHeight="1" spans="1:5">
      <c r="A1170" s="36" t="s">
        <v>220</v>
      </c>
      <c r="B1170" s="40" t="s">
        <v>495</v>
      </c>
      <c r="C1170" s="15" t="s">
        <v>497</v>
      </c>
      <c r="D1170" s="2" t="s">
        <v>224</v>
      </c>
      <c r="E1170" s="15">
        <v>5</v>
      </c>
    </row>
    <row r="1171" customHeight="1" spans="1:5">
      <c r="A1171" s="36" t="s">
        <v>220</v>
      </c>
      <c r="B1171" s="40" t="s">
        <v>495</v>
      </c>
      <c r="C1171" s="14" t="s">
        <v>498</v>
      </c>
      <c r="D1171" s="2" t="s">
        <v>255</v>
      </c>
      <c r="E1171" s="14">
        <v>1</v>
      </c>
    </row>
    <row r="1172" customHeight="1" spans="1:5">
      <c r="A1172" s="36" t="s">
        <v>220</v>
      </c>
      <c r="B1172" s="40" t="s">
        <v>495</v>
      </c>
      <c r="C1172" s="14" t="s">
        <v>498</v>
      </c>
      <c r="D1172" s="2" t="s">
        <v>255</v>
      </c>
      <c r="E1172" s="14">
        <v>2</v>
      </c>
    </row>
    <row r="1173" customHeight="1" spans="1:5">
      <c r="A1173" s="36" t="s">
        <v>220</v>
      </c>
      <c r="B1173" s="40" t="s">
        <v>495</v>
      </c>
      <c r="C1173" s="14" t="s">
        <v>498</v>
      </c>
      <c r="D1173" s="2" t="s">
        <v>255</v>
      </c>
      <c r="E1173" s="14">
        <v>3</v>
      </c>
    </row>
    <row r="1174" customHeight="1" spans="1:5">
      <c r="A1174" s="36" t="s">
        <v>220</v>
      </c>
      <c r="B1174" s="40" t="s">
        <v>495</v>
      </c>
      <c r="C1174" s="14" t="s">
        <v>498</v>
      </c>
      <c r="D1174" s="2" t="s">
        <v>255</v>
      </c>
      <c r="E1174" s="14">
        <v>4</v>
      </c>
    </row>
    <row r="1175" customHeight="1" spans="1:5">
      <c r="A1175" s="36" t="s">
        <v>220</v>
      </c>
      <c r="B1175" s="40" t="s">
        <v>495</v>
      </c>
      <c r="C1175" s="14" t="s">
        <v>498</v>
      </c>
      <c r="D1175" s="2" t="s">
        <v>255</v>
      </c>
      <c r="E1175" s="14">
        <v>5</v>
      </c>
    </row>
    <row r="1176" customHeight="1" spans="1:5">
      <c r="A1176" s="36" t="s">
        <v>220</v>
      </c>
      <c r="B1176" s="40" t="s">
        <v>495</v>
      </c>
      <c r="C1176" s="15" t="s">
        <v>499</v>
      </c>
      <c r="D1176" s="2" t="s">
        <v>225</v>
      </c>
      <c r="E1176" s="15">
        <v>1</v>
      </c>
    </row>
    <row r="1177" customHeight="1" spans="1:5">
      <c r="A1177" s="36" t="s">
        <v>220</v>
      </c>
      <c r="B1177" s="40" t="s">
        <v>495</v>
      </c>
      <c r="C1177" s="15" t="s">
        <v>499</v>
      </c>
      <c r="D1177" s="2" t="s">
        <v>225</v>
      </c>
      <c r="E1177" s="15">
        <v>2</v>
      </c>
    </row>
    <row r="1178" customHeight="1" spans="1:5">
      <c r="A1178" s="36" t="s">
        <v>220</v>
      </c>
      <c r="B1178" s="40" t="s">
        <v>495</v>
      </c>
      <c r="C1178" s="15" t="s">
        <v>499</v>
      </c>
      <c r="D1178" s="2" t="s">
        <v>225</v>
      </c>
      <c r="E1178" s="15">
        <v>3</v>
      </c>
    </row>
    <row r="1179" customHeight="1" spans="1:5">
      <c r="A1179" s="36" t="s">
        <v>220</v>
      </c>
      <c r="B1179" s="40" t="s">
        <v>495</v>
      </c>
      <c r="C1179" s="15" t="s">
        <v>499</v>
      </c>
      <c r="D1179" s="2" t="s">
        <v>225</v>
      </c>
      <c r="E1179" s="15">
        <v>4</v>
      </c>
    </row>
    <row r="1180" customHeight="1" spans="1:5">
      <c r="A1180" s="36" t="s">
        <v>220</v>
      </c>
      <c r="B1180" s="40" t="s">
        <v>495</v>
      </c>
      <c r="C1180" s="15" t="s">
        <v>499</v>
      </c>
      <c r="D1180" s="2" t="s">
        <v>225</v>
      </c>
      <c r="E1180" s="15">
        <v>5</v>
      </c>
    </row>
    <row r="1181" customHeight="1" spans="1:5">
      <c r="A1181" s="36" t="s">
        <v>220</v>
      </c>
      <c r="B1181" s="40" t="s">
        <v>495</v>
      </c>
      <c r="C1181" s="15" t="s">
        <v>499</v>
      </c>
      <c r="D1181" s="2" t="s">
        <v>225</v>
      </c>
      <c r="E1181" s="15">
        <v>6</v>
      </c>
    </row>
    <row r="1182" customHeight="1" spans="1:5">
      <c r="A1182" s="36" t="s">
        <v>220</v>
      </c>
      <c r="B1182" s="40" t="s">
        <v>495</v>
      </c>
      <c r="C1182" s="15" t="s">
        <v>499</v>
      </c>
      <c r="D1182" s="2" t="s">
        <v>225</v>
      </c>
      <c r="E1182" s="15">
        <v>7</v>
      </c>
    </row>
    <row r="1183" customHeight="1" spans="1:5">
      <c r="A1183" s="36" t="s">
        <v>220</v>
      </c>
      <c r="B1183" s="40" t="s">
        <v>495</v>
      </c>
      <c r="C1183" s="15" t="s">
        <v>499</v>
      </c>
      <c r="D1183" s="2" t="s">
        <v>225</v>
      </c>
      <c r="E1183" s="15">
        <v>8</v>
      </c>
    </row>
    <row r="1184" customHeight="1" spans="1:5">
      <c r="A1184" s="36" t="s">
        <v>220</v>
      </c>
      <c r="B1184" s="39" t="s">
        <v>500</v>
      </c>
      <c r="C1184" s="14" t="s">
        <v>501</v>
      </c>
      <c r="D1184" s="2" t="s">
        <v>222</v>
      </c>
      <c r="E1184" s="14">
        <v>1</v>
      </c>
    </row>
    <row r="1185" customHeight="1" spans="1:5">
      <c r="A1185" s="36" t="s">
        <v>220</v>
      </c>
      <c r="B1185" s="39" t="s">
        <v>500</v>
      </c>
      <c r="C1185" s="14" t="s">
        <v>501</v>
      </c>
      <c r="D1185" s="2" t="s">
        <v>222</v>
      </c>
      <c r="E1185" s="14">
        <v>2</v>
      </c>
    </row>
    <row r="1186" customHeight="1" spans="1:5">
      <c r="A1186" s="36" t="s">
        <v>220</v>
      </c>
      <c r="B1186" s="39" t="s">
        <v>500</v>
      </c>
      <c r="C1186" s="14" t="s">
        <v>501</v>
      </c>
      <c r="D1186" s="2" t="s">
        <v>222</v>
      </c>
      <c r="E1186" s="14">
        <v>3</v>
      </c>
    </row>
    <row r="1187" customHeight="1" spans="1:5">
      <c r="A1187" s="36" t="s">
        <v>220</v>
      </c>
      <c r="B1187" s="39" t="s">
        <v>500</v>
      </c>
      <c r="C1187" s="14" t="s">
        <v>501</v>
      </c>
      <c r="D1187" s="2" t="s">
        <v>222</v>
      </c>
      <c r="E1187" s="14">
        <v>4</v>
      </c>
    </row>
    <row r="1188" customHeight="1" spans="1:5">
      <c r="A1188" s="36" t="s">
        <v>220</v>
      </c>
      <c r="B1188" s="39" t="s">
        <v>500</v>
      </c>
      <c r="C1188" s="14" t="s">
        <v>501</v>
      </c>
      <c r="D1188" s="2" t="s">
        <v>222</v>
      </c>
      <c r="E1188" s="14">
        <v>5</v>
      </c>
    </row>
    <row r="1189" customHeight="1" spans="1:5">
      <c r="A1189" s="36" t="s">
        <v>220</v>
      </c>
      <c r="B1189" s="39" t="s">
        <v>500</v>
      </c>
      <c r="C1189" s="15" t="s">
        <v>502</v>
      </c>
      <c r="D1189" s="2" t="s">
        <v>224</v>
      </c>
      <c r="E1189" s="15">
        <v>1</v>
      </c>
    </row>
    <row r="1190" customHeight="1" spans="1:5">
      <c r="A1190" s="36" t="s">
        <v>220</v>
      </c>
      <c r="B1190" s="39" t="s">
        <v>500</v>
      </c>
      <c r="C1190" s="15" t="s">
        <v>502</v>
      </c>
      <c r="D1190" s="2" t="s">
        <v>224</v>
      </c>
      <c r="E1190" s="15">
        <v>2</v>
      </c>
    </row>
    <row r="1191" customHeight="1" spans="1:5">
      <c r="A1191" s="36" t="s">
        <v>220</v>
      </c>
      <c r="B1191" s="39" t="s">
        <v>500</v>
      </c>
      <c r="C1191" s="15" t="s">
        <v>502</v>
      </c>
      <c r="D1191" s="2" t="s">
        <v>224</v>
      </c>
      <c r="E1191" s="15">
        <v>3</v>
      </c>
    </row>
    <row r="1192" customHeight="1" spans="1:5">
      <c r="A1192" s="36" t="s">
        <v>220</v>
      </c>
      <c r="B1192" s="39" t="s">
        <v>500</v>
      </c>
      <c r="C1192" s="15" t="s">
        <v>502</v>
      </c>
      <c r="D1192" s="2" t="s">
        <v>224</v>
      </c>
      <c r="E1192" s="15">
        <v>4</v>
      </c>
    </row>
    <row r="1193" customHeight="1" spans="1:5">
      <c r="A1193" s="36" t="s">
        <v>220</v>
      </c>
      <c r="B1193" s="39" t="s">
        <v>500</v>
      </c>
      <c r="C1193" s="15" t="s">
        <v>502</v>
      </c>
      <c r="D1193" s="2" t="s">
        <v>224</v>
      </c>
      <c r="E1193" s="15">
        <v>5</v>
      </c>
    </row>
    <row r="1194" customHeight="1" spans="1:5">
      <c r="A1194" s="36" t="s">
        <v>220</v>
      </c>
      <c r="B1194" s="39" t="s">
        <v>500</v>
      </c>
      <c r="C1194" s="14" t="s">
        <v>502</v>
      </c>
      <c r="D1194" s="2" t="s">
        <v>224</v>
      </c>
      <c r="E1194" s="14">
        <v>1</v>
      </c>
    </row>
    <row r="1195" customHeight="1" spans="1:5">
      <c r="A1195" s="36" t="s">
        <v>220</v>
      </c>
      <c r="B1195" s="39" t="s">
        <v>500</v>
      </c>
      <c r="C1195" s="14" t="s">
        <v>502</v>
      </c>
      <c r="D1195" s="2" t="s">
        <v>224</v>
      </c>
      <c r="E1195" s="14">
        <v>2</v>
      </c>
    </row>
    <row r="1196" customHeight="1" spans="1:5">
      <c r="A1196" s="36" t="s">
        <v>220</v>
      </c>
      <c r="B1196" s="39" t="s">
        <v>500</v>
      </c>
      <c r="C1196" s="14" t="s">
        <v>502</v>
      </c>
      <c r="D1196" s="2" t="s">
        <v>224</v>
      </c>
      <c r="E1196" s="14">
        <v>3</v>
      </c>
    </row>
    <row r="1197" customHeight="1" spans="1:5">
      <c r="A1197" s="36" t="s">
        <v>220</v>
      </c>
      <c r="B1197" s="39" t="s">
        <v>500</v>
      </c>
      <c r="C1197" s="14" t="s">
        <v>502</v>
      </c>
      <c r="D1197" s="2" t="s">
        <v>224</v>
      </c>
      <c r="E1197" s="14">
        <v>4</v>
      </c>
    </row>
    <row r="1198" customHeight="1" spans="1:5">
      <c r="A1198" s="36" t="s">
        <v>220</v>
      </c>
      <c r="B1198" s="39" t="s">
        <v>500</v>
      </c>
      <c r="C1198" s="14" t="s">
        <v>502</v>
      </c>
      <c r="D1198" s="2" t="s">
        <v>224</v>
      </c>
      <c r="E1198" s="14">
        <v>5</v>
      </c>
    </row>
    <row r="1199" customHeight="1" spans="1:5">
      <c r="A1199" s="36" t="s">
        <v>220</v>
      </c>
      <c r="B1199" s="39" t="s">
        <v>500</v>
      </c>
      <c r="C1199" s="15" t="s">
        <v>503</v>
      </c>
      <c r="D1199" s="2" t="s">
        <v>255</v>
      </c>
      <c r="E1199" s="15">
        <v>1</v>
      </c>
    </row>
    <row r="1200" customHeight="1" spans="1:5">
      <c r="A1200" s="36" t="s">
        <v>220</v>
      </c>
      <c r="B1200" s="39" t="s">
        <v>500</v>
      </c>
      <c r="C1200" s="15" t="s">
        <v>503</v>
      </c>
      <c r="D1200" s="2" t="s">
        <v>255</v>
      </c>
      <c r="E1200" s="15">
        <v>2</v>
      </c>
    </row>
    <row r="1201" customHeight="1" spans="1:5">
      <c r="A1201" s="36" t="s">
        <v>220</v>
      </c>
      <c r="B1201" s="39" t="s">
        <v>500</v>
      </c>
      <c r="C1201" s="15" t="s">
        <v>503</v>
      </c>
      <c r="D1201" s="2" t="s">
        <v>255</v>
      </c>
      <c r="E1201" s="15">
        <v>3</v>
      </c>
    </row>
    <row r="1202" customHeight="1" spans="1:5">
      <c r="A1202" s="36" t="s">
        <v>220</v>
      </c>
      <c r="B1202" s="39" t="s">
        <v>500</v>
      </c>
      <c r="C1202" s="15" t="s">
        <v>503</v>
      </c>
      <c r="D1202" s="2" t="s">
        <v>255</v>
      </c>
      <c r="E1202" s="15">
        <v>4</v>
      </c>
    </row>
    <row r="1203" customHeight="1" spans="1:5">
      <c r="A1203" s="36" t="s">
        <v>220</v>
      </c>
      <c r="B1203" s="39" t="s">
        <v>500</v>
      </c>
      <c r="C1203" s="15" t="s">
        <v>503</v>
      </c>
      <c r="D1203" s="2" t="s">
        <v>255</v>
      </c>
      <c r="E1203" s="15">
        <v>5</v>
      </c>
    </row>
    <row r="1204" customHeight="1" spans="1:5">
      <c r="A1204" s="36" t="s">
        <v>220</v>
      </c>
      <c r="B1204" s="39" t="s">
        <v>500</v>
      </c>
      <c r="C1204" s="14" t="s">
        <v>504</v>
      </c>
      <c r="D1204" s="2" t="s">
        <v>225</v>
      </c>
      <c r="E1204" s="14">
        <v>1</v>
      </c>
    </row>
    <row r="1205" customHeight="1" spans="1:5">
      <c r="A1205" s="36" t="s">
        <v>220</v>
      </c>
      <c r="B1205" s="39" t="s">
        <v>500</v>
      </c>
      <c r="C1205" s="14" t="s">
        <v>504</v>
      </c>
      <c r="D1205" s="2" t="s">
        <v>225</v>
      </c>
      <c r="E1205" s="14">
        <v>2</v>
      </c>
    </row>
    <row r="1206" customHeight="1" spans="1:5">
      <c r="A1206" s="36" t="s">
        <v>220</v>
      </c>
      <c r="B1206" s="39" t="s">
        <v>500</v>
      </c>
      <c r="C1206" s="14" t="s">
        <v>504</v>
      </c>
      <c r="D1206" s="2" t="s">
        <v>225</v>
      </c>
      <c r="E1206" s="14">
        <v>3</v>
      </c>
    </row>
    <row r="1207" customHeight="1" spans="1:5">
      <c r="A1207" s="36" t="s">
        <v>220</v>
      </c>
      <c r="B1207" s="39" t="s">
        <v>500</v>
      </c>
      <c r="C1207" s="14" t="s">
        <v>504</v>
      </c>
      <c r="D1207" s="2" t="s">
        <v>225</v>
      </c>
      <c r="E1207" s="14">
        <v>4</v>
      </c>
    </row>
    <row r="1208" customHeight="1" spans="1:5">
      <c r="A1208" s="36" t="s">
        <v>220</v>
      </c>
      <c r="B1208" s="39" t="s">
        <v>500</v>
      </c>
      <c r="C1208" s="14" t="s">
        <v>504</v>
      </c>
      <c r="D1208" s="2" t="s">
        <v>225</v>
      </c>
      <c r="E1208" s="14">
        <v>5</v>
      </c>
    </row>
    <row r="1209" customHeight="1" spans="1:5">
      <c r="A1209" s="36" t="s">
        <v>220</v>
      </c>
      <c r="B1209" s="39" t="s">
        <v>500</v>
      </c>
      <c r="C1209" s="14" t="s">
        <v>504</v>
      </c>
      <c r="D1209" s="2" t="s">
        <v>225</v>
      </c>
      <c r="E1209" s="14">
        <v>6</v>
      </c>
    </row>
    <row r="1210" customHeight="1" spans="1:5">
      <c r="A1210" s="36" t="s">
        <v>220</v>
      </c>
      <c r="B1210" s="39" t="s">
        <v>500</v>
      </c>
      <c r="C1210" s="14" t="s">
        <v>504</v>
      </c>
      <c r="D1210" s="2" t="s">
        <v>225</v>
      </c>
      <c r="E1210" s="14">
        <v>7</v>
      </c>
    </row>
    <row r="1211" customHeight="1" spans="1:5">
      <c r="A1211" s="36" t="s">
        <v>220</v>
      </c>
      <c r="B1211" s="39" t="s">
        <v>500</v>
      </c>
      <c r="C1211" s="14" t="s">
        <v>504</v>
      </c>
      <c r="D1211" s="2" t="s">
        <v>225</v>
      </c>
      <c r="E1211" s="14">
        <v>8</v>
      </c>
    </row>
    <row r="1212" customHeight="1" spans="1:5">
      <c r="A1212" s="36" t="s">
        <v>220</v>
      </c>
      <c r="B1212" s="40" t="s">
        <v>505</v>
      </c>
      <c r="C1212" s="15" t="s">
        <v>506</v>
      </c>
      <c r="D1212" s="2" t="s">
        <v>222</v>
      </c>
      <c r="E1212" s="15">
        <v>1</v>
      </c>
    </row>
    <row r="1213" customHeight="1" spans="1:5">
      <c r="A1213" s="36" t="s">
        <v>220</v>
      </c>
      <c r="B1213" s="40" t="s">
        <v>505</v>
      </c>
      <c r="C1213" s="15" t="s">
        <v>506</v>
      </c>
      <c r="D1213" s="2" t="s">
        <v>222</v>
      </c>
      <c r="E1213" s="15">
        <v>2</v>
      </c>
    </row>
    <row r="1214" customHeight="1" spans="1:5">
      <c r="A1214" s="36" t="s">
        <v>220</v>
      </c>
      <c r="B1214" s="40" t="s">
        <v>505</v>
      </c>
      <c r="C1214" s="15" t="s">
        <v>506</v>
      </c>
      <c r="D1214" s="2" t="s">
        <v>222</v>
      </c>
      <c r="E1214" s="15">
        <v>3</v>
      </c>
    </row>
    <row r="1215" customHeight="1" spans="1:5">
      <c r="A1215" s="36" t="s">
        <v>220</v>
      </c>
      <c r="B1215" s="40" t="s">
        <v>505</v>
      </c>
      <c r="C1215" s="15" t="s">
        <v>506</v>
      </c>
      <c r="D1215" s="2" t="s">
        <v>222</v>
      </c>
      <c r="E1215" s="15">
        <v>4</v>
      </c>
    </row>
    <row r="1216" customHeight="1" spans="1:5">
      <c r="A1216" s="36" t="s">
        <v>220</v>
      </c>
      <c r="B1216" s="40" t="s">
        <v>505</v>
      </c>
      <c r="C1216" s="15" t="s">
        <v>506</v>
      </c>
      <c r="D1216" s="2" t="s">
        <v>222</v>
      </c>
      <c r="E1216" s="15">
        <v>5</v>
      </c>
    </row>
    <row r="1217" customHeight="1" spans="1:5">
      <c r="A1217" s="36" t="s">
        <v>220</v>
      </c>
      <c r="B1217" s="40" t="s">
        <v>505</v>
      </c>
      <c r="C1217" s="14" t="s">
        <v>507</v>
      </c>
      <c r="D1217" s="2" t="s">
        <v>224</v>
      </c>
      <c r="E1217" s="14">
        <v>1</v>
      </c>
    </row>
    <row r="1218" customHeight="1" spans="1:5">
      <c r="A1218" s="36" t="s">
        <v>220</v>
      </c>
      <c r="B1218" s="40" t="s">
        <v>505</v>
      </c>
      <c r="C1218" s="14" t="s">
        <v>507</v>
      </c>
      <c r="D1218" s="2" t="s">
        <v>224</v>
      </c>
      <c r="E1218" s="14">
        <v>2</v>
      </c>
    </row>
    <row r="1219" customHeight="1" spans="1:5">
      <c r="A1219" s="36" t="s">
        <v>220</v>
      </c>
      <c r="B1219" s="40" t="s">
        <v>505</v>
      </c>
      <c r="C1219" s="14" t="s">
        <v>507</v>
      </c>
      <c r="D1219" s="2" t="s">
        <v>224</v>
      </c>
      <c r="E1219" s="14">
        <v>3</v>
      </c>
    </row>
    <row r="1220" customHeight="1" spans="1:5">
      <c r="A1220" s="36" t="s">
        <v>220</v>
      </c>
      <c r="B1220" s="40" t="s">
        <v>505</v>
      </c>
      <c r="C1220" s="14" t="s">
        <v>507</v>
      </c>
      <c r="D1220" s="2" t="s">
        <v>224</v>
      </c>
      <c r="E1220" s="14">
        <v>4</v>
      </c>
    </row>
    <row r="1221" customHeight="1" spans="1:5">
      <c r="A1221" s="36" t="s">
        <v>220</v>
      </c>
      <c r="B1221" s="40" t="s">
        <v>505</v>
      </c>
      <c r="C1221" s="14" t="s">
        <v>507</v>
      </c>
      <c r="D1221" s="2" t="s">
        <v>224</v>
      </c>
      <c r="E1221" s="14">
        <v>5</v>
      </c>
    </row>
    <row r="1222" customHeight="1" spans="1:5">
      <c r="A1222" s="36" t="s">
        <v>220</v>
      </c>
      <c r="B1222" s="40" t="s">
        <v>505</v>
      </c>
      <c r="C1222" s="15" t="s">
        <v>507</v>
      </c>
      <c r="D1222" s="2" t="s">
        <v>224</v>
      </c>
      <c r="E1222" s="15">
        <v>1</v>
      </c>
    </row>
    <row r="1223" customHeight="1" spans="1:5">
      <c r="A1223" s="36" t="s">
        <v>220</v>
      </c>
      <c r="B1223" s="40" t="s">
        <v>505</v>
      </c>
      <c r="C1223" s="15" t="s">
        <v>507</v>
      </c>
      <c r="D1223" s="2" t="s">
        <v>224</v>
      </c>
      <c r="E1223" s="15">
        <v>2</v>
      </c>
    </row>
    <row r="1224" customHeight="1" spans="1:5">
      <c r="A1224" s="36" t="s">
        <v>220</v>
      </c>
      <c r="B1224" s="40" t="s">
        <v>505</v>
      </c>
      <c r="C1224" s="15" t="s">
        <v>507</v>
      </c>
      <c r="D1224" s="2" t="s">
        <v>224</v>
      </c>
      <c r="E1224" s="15">
        <v>3</v>
      </c>
    </row>
    <row r="1225" customHeight="1" spans="1:5">
      <c r="A1225" s="36" t="s">
        <v>220</v>
      </c>
      <c r="B1225" s="40" t="s">
        <v>505</v>
      </c>
      <c r="C1225" s="15" t="s">
        <v>507</v>
      </c>
      <c r="D1225" s="2" t="s">
        <v>224</v>
      </c>
      <c r="E1225" s="15">
        <v>4</v>
      </c>
    </row>
    <row r="1226" customHeight="1" spans="1:5">
      <c r="A1226" s="36" t="s">
        <v>220</v>
      </c>
      <c r="B1226" s="40" t="s">
        <v>505</v>
      </c>
      <c r="C1226" s="15" t="s">
        <v>507</v>
      </c>
      <c r="D1226" s="2" t="s">
        <v>224</v>
      </c>
      <c r="E1226" s="15">
        <v>5</v>
      </c>
    </row>
    <row r="1227" customHeight="1" spans="1:5">
      <c r="A1227" s="36" t="s">
        <v>220</v>
      </c>
      <c r="B1227" s="40" t="s">
        <v>505</v>
      </c>
      <c r="C1227" s="14" t="s">
        <v>508</v>
      </c>
      <c r="D1227" s="2" t="s">
        <v>255</v>
      </c>
      <c r="E1227" s="14">
        <v>1</v>
      </c>
    </row>
    <row r="1228" customHeight="1" spans="1:5">
      <c r="A1228" s="36" t="s">
        <v>220</v>
      </c>
      <c r="B1228" s="40" t="s">
        <v>505</v>
      </c>
      <c r="C1228" s="14" t="s">
        <v>508</v>
      </c>
      <c r="D1228" s="2" t="s">
        <v>255</v>
      </c>
      <c r="E1228" s="14">
        <v>2</v>
      </c>
    </row>
    <row r="1229" customHeight="1" spans="1:5">
      <c r="A1229" s="36" t="s">
        <v>220</v>
      </c>
      <c r="B1229" s="40" t="s">
        <v>505</v>
      </c>
      <c r="C1229" s="14" t="s">
        <v>508</v>
      </c>
      <c r="D1229" s="2" t="s">
        <v>255</v>
      </c>
      <c r="E1229" s="14">
        <v>3</v>
      </c>
    </row>
    <row r="1230" customHeight="1" spans="1:5">
      <c r="A1230" s="36" t="s">
        <v>220</v>
      </c>
      <c r="B1230" s="40" t="s">
        <v>505</v>
      </c>
      <c r="C1230" s="14" t="s">
        <v>508</v>
      </c>
      <c r="D1230" s="2" t="s">
        <v>255</v>
      </c>
      <c r="E1230" s="14">
        <v>4</v>
      </c>
    </row>
    <row r="1231" customHeight="1" spans="1:5">
      <c r="A1231" s="36" t="s">
        <v>220</v>
      </c>
      <c r="B1231" s="40" t="s">
        <v>505</v>
      </c>
      <c r="C1231" s="14" t="s">
        <v>508</v>
      </c>
      <c r="D1231" s="2" t="s">
        <v>255</v>
      </c>
      <c r="E1231" s="14">
        <v>5</v>
      </c>
    </row>
    <row r="1232" customHeight="1" spans="1:5">
      <c r="A1232" s="36" t="s">
        <v>220</v>
      </c>
      <c r="B1232" s="40" t="s">
        <v>505</v>
      </c>
      <c r="C1232" s="15" t="s">
        <v>509</v>
      </c>
      <c r="D1232" s="2" t="s">
        <v>225</v>
      </c>
      <c r="E1232" s="15">
        <v>1</v>
      </c>
    </row>
    <row r="1233" customHeight="1" spans="1:5">
      <c r="A1233" s="36" t="s">
        <v>220</v>
      </c>
      <c r="B1233" s="40" t="s">
        <v>505</v>
      </c>
      <c r="C1233" s="15" t="s">
        <v>509</v>
      </c>
      <c r="D1233" s="2" t="s">
        <v>225</v>
      </c>
      <c r="E1233" s="15">
        <v>2</v>
      </c>
    </row>
    <row r="1234" customHeight="1" spans="1:5">
      <c r="A1234" s="36" t="s">
        <v>220</v>
      </c>
      <c r="B1234" s="40" t="s">
        <v>505</v>
      </c>
      <c r="C1234" s="15" t="s">
        <v>509</v>
      </c>
      <c r="D1234" s="2" t="s">
        <v>225</v>
      </c>
      <c r="E1234" s="15">
        <v>3</v>
      </c>
    </row>
    <row r="1235" customHeight="1" spans="1:5">
      <c r="A1235" s="36" t="s">
        <v>220</v>
      </c>
      <c r="B1235" s="40" t="s">
        <v>505</v>
      </c>
      <c r="C1235" s="15" t="s">
        <v>509</v>
      </c>
      <c r="D1235" s="2" t="s">
        <v>225</v>
      </c>
      <c r="E1235" s="15">
        <v>4</v>
      </c>
    </row>
    <row r="1236" customHeight="1" spans="1:5">
      <c r="A1236" s="36" t="s">
        <v>220</v>
      </c>
      <c r="B1236" s="40" t="s">
        <v>505</v>
      </c>
      <c r="C1236" s="15" t="s">
        <v>509</v>
      </c>
      <c r="D1236" s="2" t="s">
        <v>225</v>
      </c>
      <c r="E1236" s="15">
        <v>5</v>
      </c>
    </row>
    <row r="1237" customHeight="1" spans="1:5">
      <c r="A1237" s="36" t="s">
        <v>220</v>
      </c>
      <c r="B1237" s="40" t="s">
        <v>505</v>
      </c>
      <c r="C1237" s="15" t="s">
        <v>509</v>
      </c>
      <c r="D1237" s="2" t="s">
        <v>225</v>
      </c>
      <c r="E1237" s="15">
        <v>6</v>
      </c>
    </row>
    <row r="1238" customHeight="1" spans="1:5">
      <c r="A1238" s="36" t="s">
        <v>220</v>
      </c>
      <c r="B1238" s="40" t="s">
        <v>505</v>
      </c>
      <c r="C1238" s="15" t="s">
        <v>509</v>
      </c>
      <c r="D1238" s="2" t="s">
        <v>225</v>
      </c>
      <c r="E1238" s="15">
        <v>7</v>
      </c>
    </row>
    <row r="1239" customHeight="1" spans="1:5">
      <c r="A1239" s="36" t="s">
        <v>220</v>
      </c>
      <c r="B1239" s="40" t="s">
        <v>505</v>
      </c>
      <c r="C1239" s="15" t="s">
        <v>509</v>
      </c>
      <c r="D1239" s="2" t="s">
        <v>225</v>
      </c>
      <c r="E1239" s="15">
        <v>8</v>
      </c>
    </row>
    <row r="1240" customHeight="1" spans="1:5">
      <c r="A1240" s="36" t="s">
        <v>220</v>
      </c>
      <c r="B1240" s="39" t="s">
        <v>510</v>
      </c>
      <c r="C1240" s="14" t="s">
        <v>511</v>
      </c>
      <c r="D1240" s="2" t="s">
        <v>222</v>
      </c>
      <c r="E1240" s="14">
        <v>1</v>
      </c>
    </row>
    <row r="1241" customHeight="1" spans="1:5">
      <c r="A1241" s="36" t="s">
        <v>220</v>
      </c>
      <c r="B1241" s="39" t="s">
        <v>510</v>
      </c>
      <c r="C1241" s="14" t="s">
        <v>511</v>
      </c>
      <c r="D1241" s="2" t="s">
        <v>222</v>
      </c>
      <c r="E1241" s="14">
        <v>2</v>
      </c>
    </row>
    <row r="1242" customHeight="1" spans="1:5">
      <c r="A1242" s="36" t="s">
        <v>220</v>
      </c>
      <c r="B1242" s="39" t="s">
        <v>510</v>
      </c>
      <c r="C1242" s="14" t="s">
        <v>511</v>
      </c>
      <c r="D1242" s="2" t="s">
        <v>222</v>
      </c>
      <c r="E1242" s="14">
        <v>3</v>
      </c>
    </row>
    <row r="1243" customHeight="1" spans="1:5">
      <c r="A1243" s="36" t="s">
        <v>220</v>
      </c>
      <c r="B1243" s="39" t="s">
        <v>510</v>
      </c>
      <c r="C1243" s="14" t="s">
        <v>511</v>
      </c>
      <c r="D1243" s="2" t="s">
        <v>222</v>
      </c>
      <c r="E1243" s="14">
        <v>4</v>
      </c>
    </row>
    <row r="1244" customHeight="1" spans="1:5">
      <c r="A1244" s="36" t="s">
        <v>220</v>
      </c>
      <c r="B1244" s="39" t="s">
        <v>510</v>
      </c>
      <c r="C1244" s="14" t="s">
        <v>511</v>
      </c>
      <c r="D1244" s="2" t="s">
        <v>222</v>
      </c>
      <c r="E1244" s="14">
        <v>5</v>
      </c>
    </row>
    <row r="1245" customHeight="1" spans="1:5">
      <c r="A1245" s="36" t="s">
        <v>220</v>
      </c>
      <c r="B1245" s="39" t="s">
        <v>510</v>
      </c>
      <c r="C1245" s="15" t="s">
        <v>512</v>
      </c>
      <c r="D1245" s="2" t="s">
        <v>224</v>
      </c>
      <c r="E1245" s="15">
        <v>1</v>
      </c>
    </row>
    <row r="1246" customHeight="1" spans="1:5">
      <c r="A1246" s="36" t="s">
        <v>220</v>
      </c>
      <c r="B1246" s="39" t="s">
        <v>510</v>
      </c>
      <c r="C1246" s="15" t="s">
        <v>512</v>
      </c>
      <c r="D1246" s="2" t="s">
        <v>224</v>
      </c>
      <c r="E1246" s="15">
        <v>2</v>
      </c>
    </row>
    <row r="1247" customHeight="1" spans="1:5">
      <c r="A1247" s="36" t="s">
        <v>220</v>
      </c>
      <c r="B1247" s="39" t="s">
        <v>510</v>
      </c>
      <c r="C1247" s="15" t="s">
        <v>512</v>
      </c>
      <c r="D1247" s="2" t="s">
        <v>224</v>
      </c>
      <c r="E1247" s="15">
        <v>3</v>
      </c>
    </row>
    <row r="1248" customHeight="1" spans="1:5">
      <c r="A1248" s="36" t="s">
        <v>220</v>
      </c>
      <c r="B1248" s="39" t="s">
        <v>510</v>
      </c>
      <c r="C1248" s="15" t="s">
        <v>512</v>
      </c>
      <c r="D1248" s="2" t="s">
        <v>224</v>
      </c>
      <c r="E1248" s="15">
        <v>4</v>
      </c>
    </row>
    <row r="1249" customHeight="1" spans="1:5">
      <c r="A1249" s="36" t="s">
        <v>220</v>
      </c>
      <c r="B1249" s="39" t="s">
        <v>510</v>
      </c>
      <c r="C1249" s="15" t="s">
        <v>512</v>
      </c>
      <c r="D1249" s="2" t="s">
        <v>224</v>
      </c>
      <c r="E1249" s="15">
        <v>5</v>
      </c>
    </row>
    <row r="1250" customHeight="1" spans="1:5">
      <c r="A1250" s="36" t="s">
        <v>220</v>
      </c>
      <c r="B1250" s="39" t="s">
        <v>510</v>
      </c>
      <c r="C1250" s="14" t="s">
        <v>512</v>
      </c>
      <c r="D1250" s="2" t="s">
        <v>224</v>
      </c>
      <c r="E1250" s="14">
        <v>1</v>
      </c>
    </row>
    <row r="1251" customHeight="1" spans="1:5">
      <c r="A1251" s="36" t="s">
        <v>220</v>
      </c>
      <c r="B1251" s="39" t="s">
        <v>510</v>
      </c>
      <c r="C1251" s="14" t="s">
        <v>512</v>
      </c>
      <c r="D1251" s="2" t="s">
        <v>224</v>
      </c>
      <c r="E1251" s="14">
        <v>2</v>
      </c>
    </row>
    <row r="1252" customHeight="1" spans="1:5">
      <c r="A1252" s="36" t="s">
        <v>220</v>
      </c>
      <c r="B1252" s="39" t="s">
        <v>510</v>
      </c>
      <c r="C1252" s="14" t="s">
        <v>512</v>
      </c>
      <c r="D1252" s="2" t="s">
        <v>224</v>
      </c>
      <c r="E1252" s="14">
        <v>3</v>
      </c>
    </row>
    <row r="1253" customHeight="1" spans="1:5">
      <c r="A1253" s="36" t="s">
        <v>220</v>
      </c>
      <c r="B1253" s="39" t="s">
        <v>510</v>
      </c>
      <c r="C1253" s="14" t="s">
        <v>512</v>
      </c>
      <c r="D1253" s="2" t="s">
        <v>224</v>
      </c>
      <c r="E1253" s="14">
        <v>4</v>
      </c>
    </row>
    <row r="1254" customHeight="1" spans="1:5">
      <c r="A1254" s="36" t="s">
        <v>220</v>
      </c>
      <c r="B1254" s="39" t="s">
        <v>510</v>
      </c>
      <c r="C1254" s="14" t="s">
        <v>512</v>
      </c>
      <c r="D1254" s="2" t="s">
        <v>224</v>
      </c>
      <c r="E1254" s="14">
        <v>5</v>
      </c>
    </row>
    <row r="1255" customHeight="1" spans="1:5">
      <c r="A1255" s="36" t="s">
        <v>220</v>
      </c>
      <c r="B1255" s="39" t="s">
        <v>510</v>
      </c>
      <c r="C1255" s="15" t="s">
        <v>513</v>
      </c>
      <c r="D1255" s="2" t="s">
        <v>255</v>
      </c>
      <c r="E1255" s="15">
        <v>1</v>
      </c>
    </row>
    <row r="1256" customHeight="1" spans="1:5">
      <c r="A1256" s="36" t="s">
        <v>220</v>
      </c>
      <c r="B1256" s="39" t="s">
        <v>510</v>
      </c>
      <c r="C1256" s="15" t="s">
        <v>513</v>
      </c>
      <c r="D1256" s="2" t="s">
        <v>255</v>
      </c>
      <c r="E1256" s="15">
        <v>2</v>
      </c>
    </row>
    <row r="1257" customHeight="1" spans="1:5">
      <c r="A1257" s="36" t="s">
        <v>220</v>
      </c>
      <c r="B1257" s="39" t="s">
        <v>510</v>
      </c>
      <c r="C1257" s="15" t="s">
        <v>513</v>
      </c>
      <c r="D1257" s="2" t="s">
        <v>255</v>
      </c>
      <c r="E1257" s="15">
        <v>3</v>
      </c>
    </row>
    <row r="1258" customHeight="1" spans="1:5">
      <c r="A1258" s="36" t="s">
        <v>220</v>
      </c>
      <c r="B1258" s="39" t="s">
        <v>510</v>
      </c>
      <c r="C1258" s="15" t="s">
        <v>513</v>
      </c>
      <c r="D1258" s="2" t="s">
        <v>255</v>
      </c>
      <c r="E1258" s="15">
        <v>4</v>
      </c>
    </row>
    <row r="1259" customHeight="1" spans="1:5">
      <c r="A1259" s="36" t="s">
        <v>220</v>
      </c>
      <c r="B1259" s="39" t="s">
        <v>510</v>
      </c>
      <c r="C1259" s="15" t="s">
        <v>513</v>
      </c>
      <c r="D1259" s="2" t="s">
        <v>255</v>
      </c>
      <c r="E1259" s="15">
        <v>5</v>
      </c>
    </row>
    <row r="1260" customHeight="1" spans="1:5">
      <c r="A1260" s="36" t="s">
        <v>220</v>
      </c>
      <c r="B1260" s="39" t="s">
        <v>510</v>
      </c>
      <c r="C1260" s="14" t="s">
        <v>514</v>
      </c>
      <c r="D1260" s="2" t="s">
        <v>225</v>
      </c>
      <c r="E1260" s="14">
        <v>1</v>
      </c>
    </row>
    <row r="1261" customHeight="1" spans="1:5">
      <c r="A1261" s="36" t="s">
        <v>220</v>
      </c>
      <c r="B1261" s="39" t="s">
        <v>510</v>
      </c>
      <c r="C1261" s="14" t="s">
        <v>514</v>
      </c>
      <c r="D1261" s="2" t="s">
        <v>225</v>
      </c>
      <c r="E1261" s="14">
        <v>2</v>
      </c>
    </row>
    <row r="1262" customHeight="1" spans="1:5">
      <c r="A1262" s="36" t="s">
        <v>220</v>
      </c>
      <c r="B1262" s="39" t="s">
        <v>510</v>
      </c>
      <c r="C1262" s="14" t="s">
        <v>514</v>
      </c>
      <c r="D1262" s="2" t="s">
        <v>225</v>
      </c>
      <c r="E1262" s="14">
        <v>3</v>
      </c>
    </row>
    <row r="1263" customHeight="1" spans="1:5">
      <c r="A1263" s="36" t="s">
        <v>220</v>
      </c>
      <c r="B1263" s="39" t="s">
        <v>510</v>
      </c>
      <c r="C1263" s="14" t="s">
        <v>514</v>
      </c>
      <c r="D1263" s="2" t="s">
        <v>225</v>
      </c>
      <c r="E1263" s="14">
        <v>4</v>
      </c>
    </row>
    <row r="1264" customHeight="1" spans="1:5">
      <c r="A1264" s="36" t="s">
        <v>220</v>
      </c>
      <c r="B1264" s="39" t="s">
        <v>510</v>
      </c>
      <c r="C1264" s="14" t="s">
        <v>514</v>
      </c>
      <c r="D1264" s="2" t="s">
        <v>225</v>
      </c>
      <c r="E1264" s="14">
        <v>5</v>
      </c>
    </row>
    <row r="1265" customHeight="1" spans="1:5">
      <c r="A1265" s="36" t="s">
        <v>220</v>
      </c>
      <c r="B1265" s="39" t="s">
        <v>510</v>
      </c>
      <c r="C1265" s="14" t="s">
        <v>514</v>
      </c>
      <c r="D1265" s="2" t="s">
        <v>225</v>
      </c>
      <c r="E1265" s="14">
        <v>6</v>
      </c>
    </row>
    <row r="1266" customHeight="1" spans="1:5">
      <c r="A1266" s="36" t="s">
        <v>220</v>
      </c>
      <c r="B1266" s="39" t="s">
        <v>510</v>
      </c>
      <c r="C1266" s="14" t="s">
        <v>514</v>
      </c>
      <c r="D1266" s="2" t="s">
        <v>225</v>
      </c>
      <c r="E1266" s="14">
        <v>7</v>
      </c>
    </row>
    <row r="1267" customHeight="1" spans="1:5">
      <c r="A1267" s="36" t="s">
        <v>220</v>
      </c>
      <c r="B1267" s="39" t="s">
        <v>510</v>
      </c>
      <c r="C1267" s="14" t="s">
        <v>514</v>
      </c>
      <c r="D1267" s="2" t="s">
        <v>225</v>
      </c>
      <c r="E1267" s="14">
        <v>8</v>
      </c>
    </row>
    <row r="1268" customHeight="1" spans="1:5">
      <c r="A1268" s="36" t="s">
        <v>220</v>
      </c>
      <c r="B1268" s="40" t="s">
        <v>515</v>
      </c>
      <c r="C1268" s="15" t="s">
        <v>516</v>
      </c>
      <c r="D1268" s="2" t="s">
        <v>222</v>
      </c>
      <c r="E1268" s="15">
        <v>1</v>
      </c>
    </row>
    <row r="1269" customHeight="1" spans="1:5">
      <c r="A1269" s="36" t="s">
        <v>220</v>
      </c>
      <c r="B1269" s="40" t="s">
        <v>515</v>
      </c>
      <c r="C1269" s="15" t="s">
        <v>516</v>
      </c>
      <c r="D1269" s="2" t="s">
        <v>222</v>
      </c>
      <c r="E1269" s="15">
        <v>2</v>
      </c>
    </row>
    <row r="1270" customHeight="1" spans="1:5">
      <c r="A1270" s="36" t="s">
        <v>220</v>
      </c>
      <c r="B1270" s="40" t="s">
        <v>515</v>
      </c>
      <c r="C1270" s="15" t="s">
        <v>516</v>
      </c>
      <c r="D1270" s="2" t="s">
        <v>222</v>
      </c>
      <c r="E1270" s="15">
        <v>3</v>
      </c>
    </row>
    <row r="1271" customHeight="1" spans="1:5">
      <c r="A1271" s="36" t="s">
        <v>220</v>
      </c>
      <c r="B1271" s="40" t="s">
        <v>515</v>
      </c>
      <c r="C1271" s="15" t="s">
        <v>516</v>
      </c>
      <c r="D1271" s="2" t="s">
        <v>222</v>
      </c>
      <c r="E1271" s="15">
        <v>4</v>
      </c>
    </row>
    <row r="1272" customHeight="1" spans="1:5">
      <c r="A1272" s="36" t="s">
        <v>220</v>
      </c>
      <c r="B1272" s="40" t="s">
        <v>515</v>
      </c>
      <c r="C1272" s="15" t="s">
        <v>516</v>
      </c>
      <c r="D1272" s="2" t="s">
        <v>222</v>
      </c>
      <c r="E1272" s="15">
        <v>5</v>
      </c>
    </row>
    <row r="1273" customHeight="1" spans="1:5">
      <c r="A1273" s="36" t="s">
        <v>220</v>
      </c>
      <c r="B1273" s="40" t="s">
        <v>515</v>
      </c>
      <c r="C1273" s="14" t="s">
        <v>517</v>
      </c>
      <c r="D1273" s="2" t="s">
        <v>224</v>
      </c>
      <c r="E1273" s="14">
        <v>1</v>
      </c>
    </row>
    <row r="1274" customHeight="1" spans="1:5">
      <c r="A1274" s="36" t="s">
        <v>220</v>
      </c>
      <c r="B1274" s="40" t="s">
        <v>515</v>
      </c>
      <c r="C1274" s="14" t="s">
        <v>517</v>
      </c>
      <c r="D1274" s="2" t="s">
        <v>224</v>
      </c>
      <c r="E1274" s="14">
        <v>2</v>
      </c>
    </row>
    <row r="1275" customHeight="1" spans="1:5">
      <c r="A1275" s="36" t="s">
        <v>220</v>
      </c>
      <c r="B1275" s="40" t="s">
        <v>515</v>
      </c>
      <c r="C1275" s="14" t="s">
        <v>517</v>
      </c>
      <c r="D1275" s="2" t="s">
        <v>224</v>
      </c>
      <c r="E1275" s="14">
        <v>3</v>
      </c>
    </row>
    <row r="1276" customHeight="1" spans="1:5">
      <c r="A1276" s="36" t="s">
        <v>220</v>
      </c>
      <c r="B1276" s="40" t="s">
        <v>515</v>
      </c>
      <c r="C1276" s="14" t="s">
        <v>517</v>
      </c>
      <c r="D1276" s="2" t="s">
        <v>224</v>
      </c>
      <c r="E1276" s="14">
        <v>4</v>
      </c>
    </row>
    <row r="1277" customHeight="1" spans="1:5">
      <c r="A1277" s="36" t="s">
        <v>220</v>
      </c>
      <c r="B1277" s="40" t="s">
        <v>515</v>
      </c>
      <c r="C1277" s="14" t="s">
        <v>517</v>
      </c>
      <c r="D1277" s="2" t="s">
        <v>224</v>
      </c>
      <c r="E1277" s="14">
        <v>5</v>
      </c>
    </row>
    <row r="1278" customHeight="1" spans="1:5">
      <c r="A1278" s="36" t="s">
        <v>220</v>
      </c>
      <c r="B1278" s="40" t="s">
        <v>515</v>
      </c>
      <c r="C1278" s="15" t="s">
        <v>517</v>
      </c>
      <c r="D1278" s="2" t="s">
        <v>224</v>
      </c>
      <c r="E1278" s="15">
        <v>1</v>
      </c>
    </row>
    <row r="1279" customHeight="1" spans="1:5">
      <c r="A1279" s="36" t="s">
        <v>220</v>
      </c>
      <c r="B1279" s="40" t="s">
        <v>515</v>
      </c>
      <c r="C1279" s="15" t="s">
        <v>517</v>
      </c>
      <c r="D1279" s="2" t="s">
        <v>224</v>
      </c>
      <c r="E1279" s="15">
        <v>2</v>
      </c>
    </row>
    <row r="1280" customHeight="1" spans="1:5">
      <c r="A1280" s="36" t="s">
        <v>220</v>
      </c>
      <c r="B1280" s="40" t="s">
        <v>515</v>
      </c>
      <c r="C1280" s="15" t="s">
        <v>517</v>
      </c>
      <c r="D1280" s="2" t="s">
        <v>224</v>
      </c>
      <c r="E1280" s="15">
        <v>3</v>
      </c>
    </row>
    <row r="1281" customHeight="1" spans="1:5">
      <c r="A1281" s="36" t="s">
        <v>220</v>
      </c>
      <c r="B1281" s="40" t="s">
        <v>515</v>
      </c>
      <c r="C1281" s="15" t="s">
        <v>517</v>
      </c>
      <c r="D1281" s="2" t="s">
        <v>224</v>
      </c>
      <c r="E1281" s="15">
        <v>4</v>
      </c>
    </row>
    <row r="1282" customHeight="1" spans="1:5">
      <c r="A1282" s="36" t="s">
        <v>220</v>
      </c>
      <c r="B1282" s="40" t="s">
        <v>515</v>
      </c>
      <c r="C1282" s="15" t="s">
        <v>517</v>
      </c>
      <c r="D1282" s="2" t="s">
        <v>224</v>
      </c>
      <c r="E1282" s="15">
        <v>5</v>
      </c>
    </row>
    <row r="1283" customHeight="1" spans="1:5">
      <c r="A1283" s="36" t="s">
        <v>220</v>
      </c>
      <c r="B1283" s="40" t="s">
        <v>515</v>
      </c>
      <c r="C1283" s="14" t="s">
        <v>518</v>
      </c>
      <c r="D1283" s="2" t="s">
        <v>255</v>
      </c>
      <c r="E1283" s="14">
        <v>1</v>
      </c>
    </row>
    <row r="1284" customHeight="1" spans="1:5">
      <c r="A1284" s="36" t="s">
        <v>220</v>
      </c>
      <c r="B1284" s="40" t="s">
        <v>515</v>
      </c>
      <c r="C1284" s="14" t="s">
        <v>518</v>
      </c>
      <c r="D1284" s="2" t="s">
        <v>255</v>
      </c>
      <c r="E1284" s="14">
        <v>2</v>
      </c>
    </row>
    <row r="1285" customHeight="1" spans="1:5">
      <c r="A1285" s="36" t="s">
        <v>220</v>
      </c>
      <c r="B1285" s="40" t="s">
        <v>515</v>
      </c>
      <c r="C1285" s="14" t="s">
        <v>518</v>
      </c>
      <c r="D1285" s="2" t="s">
        <v>255</v>
      </c>
      <c r="E1285" s="14">
        <v>3</v>
      </c>
    </row>
    <row r="1286" customHeight="1" spans="1:5">
      <c r="A1286" s="36" t="s">
        <v>220</v>
      </c>
      <c r="B1286" s="40" t="s">
        <v>515</v>
      </c>
      <c r="C1286" s="14" t="s">
        <v>518</v>
      </c>
      <c r="D1286" s="2" t="s">
        <v>255</v>
      </c>
      <c r="E1286" s="14">
        <v>4</v>
      </c>
    </row>
    <row r="1287" customHeight="1" spans="1:5">
      <c r="A1287" s="36" t="s">
        <v>220</v>
      </c>
      <c r="B1287" s="40" t="s">
        <v>515</v>
      </c>
      <c r="C1287" s="14" t="s">
        <v>518</v>
      </c>
      <c r="D1287" s="2" t="s">
        <v>255</v>
      </c>
      <c r="E1287" s="14">
        <v>5</v>
      </c>
    </row>
    <row r="1288" customHeight="1" spans="1:5">
      <c r="A1288" s="36" t="s">
        <v>220</v>
      </c>
      <c r="B1288" s="40" t="s">
        <v>515</v>
      </c>
      <c r="C1288" s="15" t="s">
        <v>519</v>
      </c>
      <c r="D1288" s="2" t="s">
        <v>225</v>
      </c>
      <c r="E1288" s="15">
        <v>1</v>
      </c>
    </row>
    <row r="1289" customHeight="1" spans="1:5">
      <c r="A1289" s="36" t="s">
        <v>220</v>
      </c>
      <c r="B1289" s="40" t="s">
        <v>515</v>
      </c>
      <c r="C1289" s="15" t="s">
        <v>519</v>
      </c>
      <c r="D1289" s="2" t="s">
        <v>225</v>
      </c>
      <c r="E1289" s="15">
        <v>2</v>
      </c>
    </row>
    <row r="1290" customHeight="1" spans="1:5">
      <c r="A1290" s="36" t="s">
        <v>220</v>
      </c>
      <c r="B1290" s="40" t="s">
        <v>515</v>
      </c>
      <c r="C1290" s="15" t="s">
        <v>519</v>
      </c>
      <c r="D1290" s="2" t="s">
        <v>225</v>
      </c>
      <c r="E1290" s="15">
        <v>3</v>
      </c>
    </row>
    <row r="1291" customHeight="1" spans="1:5">
      <c r="A1291" s="36" t="s">
        <v>220</v>
      </c>
      <c r="B1291" s="40" t="s">
        <v>515</v>
      </c>
      <c r="C1291" s="15" t="s">
        <v>519</v>
      </c>
      <c r="D1291" s="2" t="s">
        <v>225</v>
      </c>
      <c r="E1291" s="15">
        <v>4</v>
      </c>
    </row>
    <row r="1292" customHeight="1" spans="1:5">
      <c r="A1292" s="36" t="s">
        <v>220</v>
      </c>
      <c r="B1292" s="40" t="s">
        <v>515</v>
      </c>
      <c r="C1292" s="15" t="s">
        <v>519</v>
      </c>
      <c r="D1292" s="2" t="s">
        <v>225</v>
      </c>
      <c r="E1292" s="15">
        <v>5</v>
      </c>
    </row>
    <row r="1293" customHeight="1" spans="1:5">
      <c r="A1293" s="36" t="s">
        <v>220</v>
      </c>
      <c r="B1293" s="40" t="s">
        <v>515</v>
      </c>
      <c r="C1293" s="15" t="s">
        <v>519</v>
      </c>
      <c r="D1293" s="2" t="s">
        <v>225</v>
      </c>
      <c r="E1293" s="15">
        <v>6</v>
      </c>
    </row>
    <row r="1294" customHeight="1" spans="1:5">
      <c r="A1294" s="36" t="s">
        <v>220</v>
      </c>
      <c r="B1294" s="40" t="s">
        <v>515</v>
      </c>
      <c r="C1294" s="15" t="s">
        <v>519</v>
      </c>
      <c r="D1294" s="2" t="s">
        <v>225</v>
      </c>
      <c r="E1294" s="15">
        <v>7</v>
      </c>
    </row>
    <row r="1295" customHeight="1" spans="1:5">
      <c r="A1295" s="36" t="s">
        <v>220</v>
      </c>
      <c r="B1295" s="40" t="s">
        <v>515</v>
      </c>
      <c r="C1295" s="15" t="s">
        <v>519</v>
      </c>
      <c r="D1295" s="2" t="s">
        <v>225</v>
      </c>
      <c r="E1295" s="15">
        <v>8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L71"/>
  <sheetViews>
    <sheetView showGridLines="0" zoomScale="90" zoomScaleNormal="90" topLeftCell="A13" workbookViewId="0">
      <selection activeCell="G27" sqref="G27"/>
    </sheetView>
  </sheetViews>
  <sheetFormatPr defaultColWidth="9" defaultRowHeight="20" customHeight="1"/>
  <cols>
    <col min="1" max="1" width="17.375" style="25" customWidth="1"/>
    <col min="2" max="2" width="11.875" style="25" customWidth="1"/>
    <col min="3" max="3" width="10.875" style="25" customWidth="1"/>
    <col min="4" max="4" width="14.75" style="25" customWidth="1"/>
    <col min="5" max="5" width="11.875" style="25" customWidth="1"/>
    <col min="6" max="6" width="20.125" style="25" customWidth="1"/>
    <col min="7" max="7" width="11.875" style="24" customWidth="1"/>
    <col min="8" max="8" width="10.875" style="24" customWidth="1"/>
    <col min="9" max="9" width="15.25" style="24" customWidth="1"/>
    <col min="10" max="10" width="11.875" style="24" customWidth="1"/>
    <col min="11" max="16384" width="9" style="24"/>
  </cols>
  <sheetData>
    <row r="1" s="24" customFormat="1" customHeight="1" spans="1:6">
      <c r="A1" s="26"/>
      <c r="B1" s="26"/>
      <c r="C1" s="26"/>
      <c r="D1" s="26"/>
      <c r="E1" s="26"/>
      <c r="F1" s="25"/>
    </row>
    <row r="2" s="24" customFormat="1" ht="58" customHeight="1" spans="1:10">
      <c r="A2" s="27" t="s">
        <v>213</v>
      </c>
      <c r="B2" s="27" t="s">
        <v>520</v>
      </c>
      <c r="C2" s="28" t="s">
        <v>191</v>
      </c>
      <c r="D2" s="29" t="s">
        <v>521</v>
      </c>
      <c r="E2" s="27" t="s">
        <v>522</v>
      </c>
      <c r="F2" s="30" t="s">
        <v>215</v>
      </c>
      <c r="G2" s="27" t="s">
        <v>520</v>
      </c>
      <c r="H2" s="28" t="s">
        <v>191</v>
      </c>
      <c r="I2" s="29" t="s">
        <v>521</v>
      </c>
      <c r="J2" s="27" t="s">
        <v>522</v>
      </c>
    </row>
    <row r="3" s="24" customFormat="1" customHeight="1" spans="1:12">
      <c r="A3" s="31" t="s">
        <v>523</v>
      </c>
      <c r="B3" s="31">
        <v>0</v>
      </c>
      <c r="C3" s="31">
        <v>3000</v>
      </c>
      <c r="D3" s="31">
        <v>0</v>
      </c>
      <c r="E3" s="32">
        <f>ROUND((B3+C3)*(1+D3)/2,0)</f>
        <v>1500</v>
      </c>
      <c r="F3" s="31" t="s">
        <v>524</v>
      </c>
      <c r="G3" s="31">
        <v>0</v>
      </c>
      <c r="H3" s="31">
        <v>0</v>
      </c>
      <c r="I3" s="31">
        <v>0</v>
      </c>
      <c r="J3" s="32">
        <f t="shared" ref="J3:J22" si="0">ROUND((G3+H3)*(1+I3)/2,0)</f>
        <v>0</v>
      </c>
      <c r="L3" s="34" t="s">
        <v>525</v>
      </c>
    </row>
    <row r="4" s="24" customFormat="1" customHeight="1" spans="1:12">
      <c r="A4" s="31" t="s">
        <v>526</v>
      </c>
      <c r="B4" s="31">
        <v>500</v>
      </c>
      <c r="C4" s="31">
        <v>2800</v>
      </c>
      <c r="D4" s="31">
        <v>0</v>
      </c>
      <c r="E4" s="32">
        <f t="shared" ref="E4:E22" si="1">ROUND((B4+C4)*(1+D4)/2,0)</f>
        <v>1650</v>
      </c>
      <c r="F4" s="31" t="s">
        <v>527</v>
      </c>
      <c r="G4" s="31">
        <v>1000</v>
      </c>
      <c r="H4" s="31">
        <v>200</v>
      </c>
      <c r="I4" s="31">
        <v>0.12</v>
      </c>
      <c r="J4" s="32">
        <f t="shared" si="0"/>
        <v>672</v>
      </c>
      <c r="L4" s="34" t="s">
        <v>528</v>
      </c>
    </row>
    <row r="5" s="24" customFormat="1" customHeight="1" spans="1:12">
      <c r="A5" s="31" t="s">
        <v>529</v>
      </c>
      <c r="B5" s="31">
        <v>1000</v>
      </c>
      <c r="C5" s="31">
        <v>2600</v>
      </c>
      <c r="D5" s="31">
        <v>0</v>
      </c>
      <c r="E5" s="32">
        <f t="shared" si="1"/>
        <v>1800</v>
      </c>
      <c r="F5" s="31" t="s">
        <v>530</v>
      </c>
      <c r="G5" s="31">
        <v>2000</v>
      </c>
      <c r="H5" s="31">
        <v>400</v>
      </c>
      <c r="I5" s="31">
        <v>0.24</v>
      </c>
      <c r="J5" s="32">
        <f t="shared" si="0"/>
        <v>1488</v>
      </c>
      <c r="L5" s="34" t="s">
        <v>531</v>
      </c>
    </row>
    <row r="6" s="24" customFormat="1" customHeight="1" spans="1:12">
      <c r="A6" s="31" t="s">
        <v>532</v>
      </c>
      <c r="B6" s="31">
        <v>1500</v>
      </c>
      <c r="C6" s="31">
        <v>2400</v>
      </c>
      <c r="D6" s="31">
        <v>0</v>
      </c>
      <c r="E6" s="32">
        <f t="shared" si="1"/>
        <v>1950</v>
      </c>
      <c r="F6" s="31" t="s">
        <v>533</v>
      </c>
      <c r="G6" s="31">
        <v>3000</v>
      </c>
      <c r="H6" s="31">
        <v>600</v>
      </c>
      <c r="I6" s="31">
        <v>0.36</v>
      </c>
      <c r="J6" s="32">
        <f t="shared" si="0"/>
        <v>2448</v>
      </c>
      <c r="L6" s="35" t="s">
        <v>534</v>
      </c>
    </row>
    <row r="7" s="24" customFormat="1" customHeight="1" spans="1:12">
      <c r="A7" s="31" t="s">
        <v>535</v>
      </c>
      <c r="B7" s="31">
        <v>2000</v>
      </c>
      <c r="C7" s="31">
        <v>2200</v>
      </c>
      <c r="D7" s="31">
        <v>0</v>
      </c>
      <c r="E7" s="32">
        <f t="shared" si="1"/>
        <v>2100</v>
      </c>
      <c r="F7" s="31" t="s">
        <v>536</v>
      </c>
      <c r="G7" s="31">
        <v>4000</v>
      </c>
      <c r="H7" s="31">
        <v>800</v>
      </c>
      <c r="I7" s="31">
        <v>0.5</v>
      </c>
      <c r="J7" s="32">
        <f t="shared" si="0"/>
        <v>3600</v>
      </c>
      <c r="L7" s="35" t="s">
        <v>537</v>
      </c>
    </row>
    <row r="8" s="24" customFormat="1" customHeight="1" spans="1:12">
      <c r="A8" s="33" t="s">
        <v>538</v>
      </c>
      <c r="B8" s="33">
        <v>2000</v>
      </c>
      <c r="C8" s="33">
        <v>2000</v>
      </c>
      <c r="D8" s="33">
        <v>0</v>
      </c>
      <c r="E8" s="32">
        <f t="shared" si="1"/>
        <v>2000</v>
      </c>
      <c r="F8" s="33" t="s">
        <v>539</v>
      </c>
      <c r="G8" s="33">
        <v>0</v>
      </c>
      <c r="H8" s="33">
        <v>0</v>
      </c>
      <c r="I8" s="33">
        <v>0</v>
      </c>
      <c r="J8" s="32">
        <f t="shared" si="0"/>
        <v>0</v>
      </c>
      <c r="L8" s="35" t="s">
        <v>540</v>
      </c>
    </row>
    <row r="9" s="24" customFormat="1" customHeight="1" spans="1:12">
      <c r="A9" s="33" t="s">
        <v>541</v>
      </c>
      <c r="B9" s="33">
        <v>2500</v>
      </c>
      <c r="C9" s="33">
        <v>2200</v>
      </c>
      <c r="D9" s="33">
        <v>0</v>
      </c>
      <c r="E9" s="32">
        <f t="shared" si="1"/>
        <v>2350</v>
      </c>
      <c r="F9" s="33" t="s">
        <v>542</v>
      </c>
      <c r="G9" s="33">
        <v>1000</v>
      </c>
      <c r="H9" s="33">
        <v>2000</v>
      </c>
      <c r="I9" s="33">
        <v>0.03</v>
      </c>
      <c r="J9" s="32">
        <f t="shared" si="0"/>
        <v>1545</v>
      </c>
      <c r="L9" s="35" t="s">
        <v>543</v>
      </c>
    </row>
    <row r="10" s="24" customFormat="1" customHeight="1" spans="1:12">
      <c r="A10" s="33" t="s">
        <v>544</v>
      </c>
      <c r="B10" s="33">
        <v>3000</v>
      </c>
      <c r="C10" s="33">
        <v>2400</v>
      </c>
      <c r="D10" s="33">
        <v>0</v>
      </c>
      <c r="E10" s="32">
        <f t="shared" si="1"/>
        <v>2700</v>
      </c>
      <c r="F10" s="33" t="s">
        <v>545</v>
      </c>
      <c r="G10" s="33">
        <v>2000</v>
      </c>
      <c r="H10" s="33">
        <v>3000</v>
      </c>
      <c r="I10" s="33">
        <v>0.06</v>
      </c>
      <c r="J10" s="32">
        <f t="shared" si="0"/>
        <v>2650</v>
      </c>
      <c r="L10" s="35" t="s">
        <v>546</v>
      </c>
    </row>
    <row r="11" s="24" customFormat="1" customHeight="1" spans="1:12">
      <c r="A11" s="33" t="s">
        <v>547</v>
      </c>
      <c r="B11" s="33">
        <v>3500</v>
      </c>
      <c r="C11" s="33">
        <v>2600</v>
      </c>
      <c r="D11" s="33">
        <v>0</v>
      </c>
      <c r="E11" s="32">
        <f t="shared" si="1"/>
        <v>3050</v>
      </c>
      <c r="F11" s="33" t="s">
        <v>548</v>
      </c>
      <c r="G11" s="33">
        <v>3000</v>
      </c>
      <c r="H11" s="33">
        <v>4000</v>
      </c>
      <c r="I11" s="33">
        <v>0.09</v>
      </c>
      <c r="J11" s="32">
        <f t="shared" si="0"/>
        <v>3815</v>
      </c>
      <c r="L11" s="35" t="s">
        <v>549</v>
      </c>
    </row>
    <row r="12" s="24" customFormat="1" customHeight="1" spans="1:12">
      <c r="A12" s="33" t="s">
        <v>550</v>
      </c>
      <c r="B12" s="33">
        <v>4000</v>
      </c>
      <c r="C12" s="33">
        <v>2800</v>
      </c>
      <c r="D12" s="33">
        <v>0</v>
      </c>
      <c r="E12" s="32">
        <f t="shared" si="1"/>
        <v>3400</v>
      </c>
      <c r="F12" s="33" t="s">
        <v>551</v>
      </c>
      <c r="G12" s="33">
        <v>4000</v>
      </c>
      <c r="H12" s="33">
        <v>5000</v>
      </c>
      <c r="I12" s="33">
        <v>0.125</v>
      </c>
      <c r="J12" s="32">
        <f t="shared" si="0"/>
        <v>5063</v>
      </c>
      <c r="L12" s="34" t="s">
        <v>552</v>
      </c>
    </row>
    <row r="13" s="24" customFormat="1" customHeight="1" spans="1:12">
      <c r="A13" s="31" t="s">
        <v>553</v>
      </c>
      <c r="B13" s="31">
        <v>11000</v>
      </c>
      <c r="C13" s="31">
        <v>8000</v>
      </c>
      <c r="D13" s="31">
        <v>0</v>
      </c>
      <c r="E13" s="32">
        <f t="shared" si="1"/>
        <v>9500</v>
      </c>
      <c r="F13" s="31" t="s">
        <v>554</v>
      </c>
      <c r="G13" s="31">
        <v>0</v>
      </c>
      <c r="H13" s="31">
        <v>0</v>
      </c>
      <c r="I13" s="31">
        <v>0</v>
      </c>
      <c r="J13" s="32">
        <f t="shared" si="0"/>
        <v>0</v>
      </c>
      <c r="L13" s="34" t="s">
        <v>555</v>
      </c>
    </row>
    <row r="14" s="24" customFormat="1" customHeight="1" spans="1:10">
      <c r="A14" s="31" t="s">
        <v>556</v>
      </c>
      <c r="B14" s="31">
        <v>10000</v>
      </c>
      <c r="C14" s="31">
        <v>8500</v>
      </c>
      <c r="D14" s="31">
        <v>0</v>
      </c>
      <c r="E14" s="32">
        <f t="shared" si="1"/>
        <v>9250</v>
      </c>
      <c r="F14" s="31" t="s">
        <v>557</v>
      </c>
      <c r="G14" s="31">
        <v>2000</v>
      </c>
      <c r="H14" s="31">
        <v>-200</v>
      </c>
      <c r="I14" s="31">
        <v>0.1</v>
      </c>
      <c r="J14" s="32">
        <f t="shared" si="0"/>
        <v>990</v>
      </c>
    </row>
    <row r="15" s="24" customFormat="1" customHeight="1" spans="1:10">
      <c r="A15" s="31" t="s">
        <v>558</v>
      </c>
      <c r="B15" s="31">
        <v>9000</v>
      </c>
      <c r="C15" s="31">
        <v>9000</v>
      </c>
      <c r="D15" s="31">
        <v>0</v>
      </c>
      <c r="E15" s="32">
        <f t="shared" si="1"/>
        <v>9000</v>
      </c>
      <c r="F15" s="31" t="s">
        <v>559</v>
      </c>
      <c r="G15" s="31">
        <v>3000</v>
      </c>
      <c r="H15" s="31">
        <v>-400</v>
      </c>
      <c r="I15" s="31">
        <v>0.2</v>
      </c>
      <c r="J15" s="32">
        <f t="shared" si="0"/>
        <v>1560</v>
      </c>
    </row>
    <row r="16" s="24" customFormat="1" customHeight="1" spans="1:10">
      <c r="A16" s="31" t="s">
        <v>560</v>
      </c>
      <c r="B16" s="31">
        <v>8000</v>
      </c>
      <c r="C16" s="31">
        <v>9500</v>
      </c>
      <c r="D16" s="31">
        <v>0</v>
      </c>
      <c r="E16" s="32">
        <f t="shared" si="1"/>
        <v>8750</v>
      </c>
      <c r="F16" s="31" t="s">
        <v>561</v>
      </c>
      <c r="G16" s="31">
        <v>4000</v>
      </c>
      <c r="H16" s="31">
        <v>-600</v>
      </c>
      <c r="I16" s="31">
        <v>0.3</v>
      </c>
      <c r="J16" s="32">
        <f t="shared" si="0"/>
        <v>2210</v>
      </c>
    </row>
    <row r="17" s="24" customFormat="1" customHeight="1" spans="1:10">
      <c r="A17" s="31" t="s">
        <v>562</v>
      </c>
      <c r="B17" s="31">
        <v>7000</v>
      </c>
      <c r="C17" s="31">
        <v>10000</v>
      </c>
      <c r="D17" s="31">
        <v>0</v>
      </c>
      <c r="E17" s="32">
        <f t="shared" si="1"/>
        <v>8500</v>
      </c>
      <c r="F17" s="31" t="s">
        <v>563</v>
      </c>
      <c r="G17" s="31">
        <v>5000</v>
      </c>
      <c r="H17" s="31">
        <v>-800</v>
      </c>
      <c r="I17" s="31">
        <v>0.4</v>
      </c>
      <c r="J17" s="32">
        <f t="shared" si="0"/>
        <v>2940</v>
      </c>
    </row>
    <row r="18" s="24" customFormat="1" customHeight="1" spans="1:10">
      <c r="A18" s="33" t="s">
        <v>564</v>
      </c>
      <c r="B18" s="33">
        <v>20000</v>
      </c>
      <c r="C18" s="33">
        <v>10000</v>
      </c>
      <c r="D18" s="33">
        <v>0</v>
      </c>
      <c r="E18" s="32">
        <v>15000</v>
      </c>
      <c r="F18" s="33" t="s">
        <v>565</v>
      </c>
      <c r="G18" s="33">
        <v>0</v>
      </c>
      <c r="H18" s="33">
        <v>0</v>
      </c>
      <c r="I18" s="33">
        <v>0</v>
      </c>
      <c r="J18" s="32">
        <v>0</v>
      </c>
    </row>
    <row r="19" s="24" customFormat="1" customHeight="1" spans="1:10">
      <c r="A19" s="33" t="s">
        <v>566</v>
      </c>
      <c r="B19" s="33">
        <v>17500</v>
      </c>
      <c r="C19" s="33">
        <v>9000</v>
      </c>
      <c r="D19" s="33">
        <v>0</v>
      </c>
      <c r="E19" s="32">
        <v>13250</v>
      </c>
      <c r="F19" s="33" t="s">
        <v>567</v>
      </c>
      <c r="G19" s="33">
        <v>5000</v>
      </c>
      <c r="H19" s="33">
        <v>4000</v>
      </c>
      <c r="I19" s="33">
        <v>0.25</v>
      </c>
      <c r="J19" s="32">
        <v>5625</v>
      </c>
    </row>
    <row r="20" s="24" customFormat="1" customHeight="1" spans="1:10">
      <c r="A20" s="33" t="s">
        <v>568</v>
      </c>
      <c r="B20" s="33">
        <v>15000</v>
      </c>
      <c r="C20" s="33">
        <v>8000</v>
      </c>
      <c r="D20" s="33">
        <v>0</v>
      </c>
      <c r="E20" s="32">
        <v>11500</v>
      </c>
      <c r="F20" s="33" t="s">
        <v>569</v>
      </c>
      <c r="G20" s="33">
        <v>6000</v>
      </c>
      <c r="H20" s="33">
        <v>6000</v>
      </c>
      <c r="I20" s="33">
        <v>0.5</v>
      </c>
      <c r="J20" s="32">
        <v>9000</v>
      </c>
    </row>
    <row r="21" s="24" customFormat="1" customHeight="1" spans="1:10">
      <c r="A21" s="33" t="s">
        <v>570</v>
      </c>
      <c r="B21" s="33">
        <v>12500</v>
      </c>
      <c r="C21" s="33">
        <v>7000</v>
      </c>
      <c r="D21" s="33">
        <v>0</v>
      </c>
      <c r="E21" s="32">
        <v>9750</v>
      </c>
      <c r="F21" s="33" t="s">
        <v>571</v>
      </c>
      <c r="G21" s="33">
        <v>7000</v>
      </c>
      <c r="H21" s="33">
        <v>8000</v>
      </c>
      <c r="I21" s="33">
        <v>0.75</v>
      </c>
      <c r="J21" s="32">
        <v>13125</v>
      </c>
    </row>
    <row r="22" s="24" customFormat="1" customHeight="1" spans="1:10">
      <c r="A22" s="33" t="s">
        <v>572</v>
      </c>
      <c r="B22" s="33">
        <v>10000</v>
      </c>
      <c r="C22" s="33">
        <v>6000</v>
      </c>
      <c r="D22" s="33">
        <v>0</v>
      </c>
      <c r="E22" s="32">
        <v>8000</v>
      </c>
      <c r="F22" s="33" t="s">
        <v>573</v>
      </c>
      <c r="G22" s="33">
        <v>8000</v>
      </c>
      <c r="H22" s="33">
        <v>10000</v>
      </c>
      <c r="I22" s="33">
        <v>1</v>
      </c>
      <c r="J22" s="32">
        <v>18000</v>
      </c>
    </row>
    <row r="23" s="24" customFormat="1" customHeight="1" spans="2:8">
      <c r="B23" s="26"/>
      <c r="C23" s="26"/>
      <c r="D23" s="25"/>
      <c r="E23" s="25"/>
      <c r="F23" s="33" t="s">
        <v>574</v>
      </c>
      <c r="G23" s="26"/>
      <c r="H23" s="26"/>
    </row>
    <row r="24" s="24" customFormat="1" customHeight="1" spans="2:8">
      <c r="B24" s="26"/>
      <c r="C24" s="26"/>
      <c r="D24" s="25"/>
      <c r="E24" s="25"/>
      <c r="F24" s="33" t="s">
        <v>575</v>
      </c>
      <c r="G24" s="26"/>
      <c r="H24" s="26"/>
    </row>
    <row r="25" s="24" customFormat="1" customHeight="1" spans="2:8">
      <c r="B25" s="26"/>
      <c r="C25" s="26"/>
      <c r="D25" s="25"/>
      <c r="E25" s="24"/>
      <c r="F25" s="33" t="s">
        <v>576</v>
      </c>
      <c r="G25" s="26"/>
      <c r="H25" s="26"/>
    </row>
    <row r="26" s="24" customFormat="1" ht="21" customHeight="1" spans="2:8">
      <c r="B26" s="26"/>
      <c r="C26" s="26"/>
      <c r="D26" s="25"/>
      <c r="E26" s="24"/>
      <c r="F26" s="33" t="s">
        <v>577</v>
      </c>
      <c r="G26" s="26"/>
      <c r="H26" s="26"/>
    </row>
    <row r="27" s="24" customFormat="1" customHeight="1" spans="2:8">
      <c r="B27" s="26"/>
      <c r="C27" s="26"/>
      <c r="D27" s="25"/>
      <c r="E27" s="24"/>
      <c r="F27" s="31" t="s">
        <v>578</v>
      </c>
      <c r="G27" s="26"/>
      <c r="H27" s="26"/>
    </row>
    <row r="28" s="24" customFormat="1" customHeight="1" spans="2:8">
      <c r="B28" s="26"/>
      <c r="C28" s="26"/>
      <c r="D28" s="25"/>
      <c r="E28" s="24"/>
      <c r="F28" s="31" t="s">
        <v>579</v>
      </c>
      <c r="G28" s="26"/>
      <c r="H28" s="26"/>
    </row>
    <row r="29" s="24" customFormat="1" customHeight="1" spans="2:8">
      <c r="B29" s="26"/>
      <c r="C29" s="26"/>
      <c r="D29" s="25"/>
      <c r="E29" s="24"/>
      <c r="F29" s="31" t="s">
        <v>580</v>
      </c>
      <c r="G29" s="26"/>
      <c r="H29" s="26"/>
    </row>
    <row r="30" s="24" customFormat="1" customHeight="1" spans="2:8">
      <c r="B30" s="26"/>
      <c r="C30" s="26"/>
      <c r="D30" s="25"/>
      <c r="E30" s="24"/>
      <c r="F30" s="31" t="s">
        <v>581</v>
      </c>
      <c r="G30" s="26"/>
      <c r="H30" s="26"/>
    </row>
    <row r="31" s="24" customFormat="1" customHeight="1" spans="2:8">
      <c r="B31" s="26"/>
      <c r="C31" s="26"/>
      <c r="D31" s="25"/>
      <c r="E31" s="24"/>
      <c r="F31" s="31" t="s">
        <v>582</v>
      </c>
      <c r="G31" s="26"/>
      <c r="H31" s="26"/>
    </row>
    <row r="32" s="24" customFormat="1" customHeight="1" spans="2:8">
      <c r="B32" s="26"/>
      <c r="C32" s="26"/>
      <c r="D32" s="25"/>
      <c r="E32" s="24"/>
      <c r="F32" s="31" t="s">
        <v>583</v>
      </c>
      <c r="G32" s="26"/>
      <c r="H32" s="26"/>
    </row>
    <row r="33" s="24" customFormat="1" customHeight="1" spans="2:8">
      <c r="B33" s="26"/>
      <c r="C33" s="26"/>
      <c r="D33" s="25"/>
      <c r="E33" s="24"/>
      <c r="F33" s="31" t="s">
        <v>584</v>
      </c>
      <c r="G33" s="26"/>
      <c r="H33" s="26"/>
    </row>
    <row r="34" s="24" customFormat="1" customHeight="1" spans="2:8">
      <c r="B34" s="26"/>
      <c r="C34" s="26"/>
      <c r="D34" s="25"/>
      <c r="E34" s="24"/>
      <c r="F34" s="31" t="s">
        <v>585</v>
      </c>
      <c r="G34" s="26"/>
      <c r="H34" s="26"/>
    </row>
    <row r="35" s="24" customFormat="1" customHeight="1" spans="1:10">
      <c r="A35" s="31" t="s">
        <v>586</v>
      </c>
      <c r="B35" s="31">
        <v>0</v>
      </c>
      <c r="C35" s="31">
        <v>0</v>
      </c>
      <c r="D35" s="31">
        <v>0</v>
      </c>
      <c r="E35" s="32">
        <f>ROUND((B35+C35)*(1+D35)/2,0)</f>
        <v>0</v>
      </c>
      <c r="F35" s="31" t="s">
        <v>586</v>
      </c>
      <c r="G35" s="31">
        <v>0</v>
      </c>
      <c r="H35" s="31">
        <v>0</v>
      </c>
      <c r="I35" s="31">
        <v>0</v>
      </c>
      <c r="J35" s="32">
        <f t="shared" ref="J35:J39" si="2">ROUND((G35+H35)*(1+I35)/2,0)</f>
        <v>0</v>
      </c>
    </row>
    <row r="36" s="24" customFormat="1" customHeight="1" spans="1:10">
      <c r="A36" s="31" t="s">
        <v>587</v>
      </c>
      <c r="B36" s="31">
        <v>0</v>
      </c>
      <c r="C36" s="31">
        <v>0</v>
      </c>
      <c r="D36" s="31">
        <v>0</v>
      </c>
      <c r="E36" s="32">
        <f>ROUND((B36+C36)*(1+D36)/2,0)</f>
        <v>0</v>
      </c>
      <c r="F36" s="31" t="s">
        <v>587</v>
      </c>
      <c r="G36" s="31">
        <v>0</v>
      </c>
      <c r="H36" s="31">
        <v>0</v>
      </c>
      <c r="I36" s="31">
        <v>0</v>
      </c>
      <c r="J36" s="32">
        <f t="shared" si="2"/>
        <v>0</v>
      </c>
    </row>
    <row r="37" s="24" customFormat="1" customHeight="1" spans="1:10">
      <c r="A37" s="31" t="s">
        <v>588</v>
      </c>
      <c r="B37" s="31">
        <v>0</v>
      </c>
      <c r="C37" s="31">
        <v>0</v>
      </c>
      <c r="D37" s="31">
        <v>0</v>
      </c>
      <c r="E37" s="32">
        <f>ROUND((B37+C37)*(1+D37)/2,0)</f>
        <v>0</v>
      </c>
      <c r="F37" s="31" t="s">
        <v>588</v>
      </c>
      <c r="G37" s="31">
        <v>0</v>
      </c>
      <c r="H37" s="31">
        <v>0</v>
      </c>
      <c r="I37" s="31">
        <v>0</v>
      </c>
      <c r="J37" s="32">
        <f t="shared" si="2"/>
        <v>0</v>
      </c>
    </row>
    <row r="38" s="24" customFormat="1" customHeight="1" spans="1:10">
      <c r="A38" s="31" t="s">
        <v>589</v>
      </c>
      <c r="B38" s="31">
        <v>0</v>
      </c>
      <c r="C38" s="31">
        <v>0</v>
      </c>
      <c r="D38" s="31">
        <v>0</v>
      </c>
      <c r="E38" s="32">
        <f>ROUND((B38+C38)*(1+D38)/2,0)</f>
        <v>0</v>
      </c>
      <c r="F38" s="31" t="s">
        <v>589</v>
      </c>
      <c r="G38" s="31">
        <v>0</v>
      </c>
      <c r="H38" s="31">
        <v>0</v>
      </c>
      <c r="I38" s="31">
        <v>0</v>
      </c>
      <c r="J38" s="32">
        <f t="shared" si="2"/>
        <v>0</v>
      </c>
    </row>
    <row r="39" s="24" customFormat="1" customHeight="1" spans="1:10">
      <c r="A39" s="31" t="s">
        <v>590</v>
      </c>
      <c r="B39" s="31">
        <v>0</v>
      </c>
      <c r="C39" s="31">
        <v>0</v>
      </c>
      <c r="D39" s="31">
        <v>0</v>
      </c>
      <c r="E39" s="32">
        <f>ROUND((B39+C39)*(1+D39)/2,0)</f>
        <v>0</v>
      </c>
      <c r="F39" s="31" t="s">
        <v>590</v>
      </c>
      <c r="G39" s="31">
        <v>0</v>
      </c>
      <c r="H39" s="31">
        <v>0</v>
      </c>
      <c r="I39" s="31">
        <v>0</v>
      </c>
      <c r="J39" s="32">
        <f t="shared" si="2"/>
        <v>0</v>
      </c>
    </row>
    <row r="40" s="24" customFormat="1" customHeight="1" spans="2:8">
      <c r="B40" s="26"/>
      <c r="C40" s="26"/>
      <c r="D40" s="25"/>
      <c r="F40" s="25"/>
      <c r="G40" s="26"/>
      <c r="H40" s="26"/>
    </row>
    <row r="41" s="24" customFormat="1" customHeight="1" spans="2:8">
      <c r="B41" s="26"/>
      <c r="C41" s="26"/>
      <c r="D41" s="25"/>
      <c r="F41" s="25"/>
      <c r="G41" s="26"/>
      <c r="H41" s="26"/>
    </row>
    <row r="42" s="24" customFormat="1" customHeight="1" spans="2:8">
      <c r="B42" s="26"/>
      <c r="C42" s="26"/>
      <c r="D42" s="25"/>
      <c r="F42" s="25"/>
      <c r="G42" s="26"/>
      <c r="H42" s="26"/>
    </row>
    <row r="43" s="24" customFormat="1" customHeight="1" spans="2:8">
      <c r="B43" s="26"/>
      <c r="C43" s="26"/>
      <c r="D43" s="25"/>
      <c r="F43" s="25"/>
      <c r="G43" s="26"/>
      <c r="H43" s="26"/>
    </row>
    <row r="44" s="24" customFormat="1" customHeight="1" spans="2:8">
      <c r="B44" s="26"/>
      <c r="C44" s="26"/>
      <c r="D44" s="25"/>
      <c r="F44" s="25"/>
      <c r="G44" s="26"/>
      <c r="H44" s="26"/>
    </row>
    <row r="45" s="24" customFormat="1" customHeight="1" spans="2:8">
      <c r="B45" s="26"/>
      <c r="C45" s="26"/>
      <c r="D45" s="25"/>
      <c r="F45" s="25"/>
      <c r="G45" s="26"/>
      <c r="H45" s="26"/>
    </row>
    <row r="46" s="24" customFormat="1" customHeight="1" spans="2:8">
      <c r="B46" s="26"/>
      <c r="C46" s="26"/>
      <c r="D46" s="25"/>
      <c r="F46" s="25"/>
      <c r="G46" s="26"/>
      <c r="H46" s="26"/>
    </row>
    <row r="47" s="24" customFormat="1" customHeight="1" spans="2:8">
      <c r="B47" s="26"/>
      <c r="C47" s="26"/>
      <c r="D47" s="25"/>
      <c r="E47" s="25"/>
      <c r="F47" s="25"/>
      <c r="G47" s="26"/>
      <c r="H47" s="26"/>
    </row>
    <row r="48" s="24" customFormat="1" customHeight="1" spans="2:6">
      <c r="B48" s="26"/>
      <c r="C48" s="25"/>
      <c r="D48" s="25"/>
      <c r="E48" s="25"/>
      <c r="F48" s="25"/>
    </row>
    <row r="49" s="24" customFormat="1" customHeight="1" spans="2:6">
      <c r="B49" s="25"/>
      <c r="C49" s="25"/>
      <c r="D49" s="25"/>
      <c r="E49" s="25"/>
      <c r="F49" s="25"/>
    </row>
    <row r="50" s="24" customFormat="1" customHeight="1" spans="2:6">
      <c r="B50" s="25"/>
      <c r="C50" s="25"/>
      <c r="D50" s="25"/>
      <c r="E50" s="25"/>
      <c r="F50" s="25"/>
    </row>
    <row r="51" s="24" customFormat="1" customHeight="1" spans="2:6">
      <c r="B51" s="25"/>
      <c r="C51" s="25"/>
      <c r="D51" s="25"/>
      <c r="E51" s="25"/>
      <c r="F51" s="25"/>
    </row>
    <row r="52" s="24" customFormat="1" customHeight="1" spans="1:6">
      <c r="A52" s="25"/>
      <c r="B52" s="25"/>
      <c r="C52" s="25"/>
      <c r="D52" s="25"/>
      <c r="E52" s="25"/>
      <c r="F52" s="25"/>
    </row>
    <row r="53" s="24" customFormat="1" customHeight="1" spans="1:6">
      <c r="A53" s="25"/>
      <c r="B53" s="25"/>
      <c r="C53" s="25"/>
      <c r="D53" s="25"/>
      <c r="E53" s="25"/>
      <c r="F53" s="25"/>
    </row>
    <row r="54" s="24" customFormat="1" customHeight="1" spans="1:6">
      <c r="A54" s="25"/>
      <c r="B54" s="25"/>
      <c r="C54" s="25"/>
      <c r="D54" s="25"/>
      <c r="E54" s="25"/>
      <c r="F54" s="25"/>
    </row>
    <row r="55" s="24" customFormat="1" customHeight="1" spans="1:6">
      <c r="A55" s="25"/>
      <c r="B55" s="25"/>
      <c r="C55" s="25"/>
      <c r="D55" s="25"/>
      <c r="E55" s="25"/>
      <c r="F55" s="25"/>
    </row>
    <row r="56" s="24" customFormat="1" customHeight="1" spans="1:6">
      <c r="A56" s="25"/>
      <c r="B56" s="25"/>
      <c r="C56" s="25"/>
      <c r="D56" s="25"/>
      <c r="E56" s="25"/>
      <c r="F56" s="25"/>
    </row>
    <row r="57" s="24" customFormat="1" customHeight="1" spans="1:6">
      <c r="A57" s="25"/>
      <c r="B57" s="25"/>
      <c r="C57" s="25"/>
      <c r="D57" s="25"/>
      <c r="E57" s="25"/>
      <c r="F57" s="25"/>
    </row>
    <row r="58" s="24" customFormat="1" customHeight="1" spans="1:6">
      <c r="A58" s="25"/>
      <c r="B58" s="25"/>
      <c r="C58" s="25"/>
      <c r="D58" s="25"/>
      <c r="E58" s="25"/>
      <c r="F58" s="25"/>
    </row>
    <row r="59" s="24" customFormat="1" customHeight="1" spans="1:6">
      <c r="A59" s="25"/>
      <c r="B59" s="25"/>
      <c r="C59" s="25"/>
      <c r="D59" s="25"/>
      <c r="E59" s="25"/>
      <c r="F59" s="25"/>
    </row>
    <row r="60" s="24" customFormat="1" customHeight="1" spans="1:6">
      <c r="A60" s="25"/>
      <c r="B60" s="25"/>
      <c r="C60" s="25"/>
      <c r="D60" s="25"/>
      <c r="E60" s="25"/>
      <c r="F60" s="25"/>
    </row>
    <row r="61" s="24" customFormat="1" customHeight="1" spans="1:6">
      <c r="A61" s="25"/>
      <c r="B61" s="25"/>
      <c r="C61" s="25"/>
      <c r="D61" s="25"/>
      <c r="E61" s="25"/>
      <c r="F61" s="25"/>
    </row>
    <row r="62" s="24" customFormat="1" customHeight="1" spans="1:6">
      <c r="A62" s="25"/>
      <c r="B62" s="25"/>
      <c r="C62" s="25"/>
      <c r="D62" s="25"/>
      <c r="E62" s="25"/>
      <c r="F62" s="25"/>
    </row>
    <row r="63" s="24" customFormat="1" customHeight="1" spans="1:6">
      <c r="A63" s="25"/>
      <c r="B63" s="25"/>
      <c r="C63" s="25"/>
      <c r="D63" s="25"/>
      <c r="E63" s="25"/>
      <c r="F63" s="25"/>
    </row>
    <row r="64" s="24" customFormat="1" customHeight="1" spans="1:6">
      <c r="A64" s="25"/>
      <c r="B64" s="25"/>
      <c r="C64" s="25"/>
      <c r="D64" s="25"/>
      <c r="E64" s="25"/>
      <c r="F64" s="25"/>
    </row>
    <row r="65" s="24" customFormat="1" customHeight="1" spans="1:6">
      <c r="A65" s="25"/>
      <c r="B65" s="25"/>
      <c r="C65" s="25"/>
      <c r="D65" s="25"/>
      <c r="E65" s="25"/>
      <c r="F65" s="25"/>
    </row>
    <row r="66" s="24" customFormat="1" customHeight="1" spans="1:6">
      <c r="A66" s="25"/>
      <c r="B66" s="25"/>
      <c r="C66" s="25"/>
      <c r="D66" s="25"/>
      <c r="E66" s="25"/>
      <c r="F66" s="25"/>
    </row>
    <row r="67" s="24" customFormat="1" customHeight="1" spans="1:6">
      <c r="A67" s="25"/>
      <c r="B67" s="25"/>
      <c r="C67" s="25"/>
      <c r="D67" s="25"/>
      <c r="E67" s="25"/>
      <c r="F67" s="25"/>
    </row>
    <row r="68" s="24" customFormat="1" customHeight="1" spans="1:6">
      <c r="A68" s="25"/>
      <c r="B68" s="25"/>
      <c r="C68" s="25"/>
      <c r="D68" s="25"/>
      <c r="E68" s="25"/>
      <c r="F68" s="25"/>
    </row>
    <row r="69" s="24" customFormat="1" customHeight="1" spans="1:6">
      <c r="A69" s="25"/>
      <c r="B69" s="25"/>
      <c r="C69" s="25"/>
      <c r="D69" s="25"/>
      <c r="E69" s="25"/>
      <c r="F69" s="25"/>
    </row>
    <row r="70" s="24" customFormat="1" customHeight="1" spans="1:6">
      <c r="A70" s="25"/>
      <c r="B70" s="25"/>
      <c r="C70" s="25"/>
      <c r="D70" s="25"/>
      <c r="E70" s="25"/>
      <c r="F70" s="25"/>
    </row>
    <row r="71" s="24" customFormat="1" customHeight="1" spans="1:6">
      <c r="A71" s="25"/>
      <c r="B71" s="25"/>
      <c r="C71" s="25"/>
      <c r="D71" s="25"/>
      <c r="E71" s="25"/>
      <c r="F71" s="25"/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H1297"/>
  <sheetViews>
    <sheetView showGridLines="0" tabSelected="1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L16" sqref="L16"/>
    </sheetView>
  </sheetViews>
  <sheetFormatPr defaultColWidth="9" defaultRowHeight="20" customHeight="1"/>
  <cols>
    <col min="1" max="1" width="21.9583333333333" style="2" customWidth="1"/>
    <col min="2" max="2" width="23.7416666666667" style="2" customWidth="1"/>
    <col min="3" max="3" width="5.625" style="2" customWidth="1"/>
    <col min="4" max="4" width="9.125" style="2" customWidth="1"/>
    <col min="5" max="5" width="11.25" style="2" customWidth="1"/>
    <col min="6" max="6" width="7.34166666666667" style="2" customWidth="1"/>
    <col min="7" max="7" width="6" style="2" customWidth="1"/>
    <col min="8" max="8" width="7.34166666666667" style="2" customWidth="1"/>
    <col min="9" max="9" width="6" style="2" customWidth="1"/>
    <col min="10" max="10" width="7.34166666666667" style="2" customWidth="1"/>
    <col min="11" max="11" width="6" style="2" customWidth="1"/>
    <col min="12" max="12" width="12.25" style="2" customWidth="1"/>
    <col min="13" max="13" width="9" style="2"/>
    <col min="14" max="14" width="6" style="2" customWidth="1"/>
    <col min="15" max="15" width="6.75" style="2" customWidth="1"/>
    <col min="16" max="16" width="6" style="2" customWidth="1"/>
    <col min="17" max="17" width="12.25" style="2" customWidth="1"/>
    <col min="18" max="18" width="8.875" style="2" customWidth="1"/>
    <col min="19" max="19" width="6" style="2" customWidth="1"/>
    <col min="20" max="20" width="6.75" style="2" customWidth="1"/>
    <col min="21" max="21" width="6" style="2" customWidth="1"/>
    <col min="22" max="22" width="11.125" style="2" customWidth="1"/>
    <col min="23" max="23" width="15.625" style="3" customWidth="1"/>
    <col min="24" max="24" width="20.875" style="2" customWidth="1"/>
    <col min="25" max="25" width="11.25" style="2" customWidth="1"/>
    <col min="26" max="26" width="12.775" style="5" customWidth="1"/>
    <col min="27" max="27" width="9" style="7"/>
    <col min="28" max="28" width="9.125" customWidth="1"/>
    <col min="29" max="29" width="8.125" customWidth="1"/>
    <col min="30" max="30" width="6.75" customWidth="1"/>
    <col min="31" max="31" width="10.125" customWidth="1"/>
    <col min="32" max="32" width="11.125" customWidth="1"/>
    <col min="33" max="33" width="12.125" customWidth="1"/>
    <col min="34" max="34" width="6.75" customWidth="1"/>
  </cols>
  <sheetData>
    <row r="1" customHeight="1" spans="1:27">
      <c r="A1" s="8"/>
      <c r="B1" s="8"/>
      <c r="AA1" s="21" t="s">
        <v>591</v>
      </c>
    </row>
    <row r="2" customFormat="1" customHeight="1" spans="1:27">
      <c r="A2" s="8"/>
      <c r="B2" s="8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3"/>
      <c r="X2" s="2"/>
      <c r="Y2" s="2"/>
      <c r="Z2" s="5"/>
      <c r="AA2" s="22"/>
    </row>
    <row r="3" customFormat="1" customHeight="1" spans="1:27">
      <c r="A3" s="8"/>
      <c r="B3" s="8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3"/>
      <c r="X3" s="2"/>
      <c r="Y3" s="2"/>
      <c r="Z3" s="5"/>
      <c r="AA3" s="22"/>
    </row>
    <row r="4" ht="60" customHeight="1" spans="1:34">
      <c r="A4" s="9" t="s">
        <v>285</v>
      </c>
      <c r="B4" s="9" t="s">
        <v>592</v>
      </c>
      <c r="C4" s="10" t="s">
        <v>216</v>
      </c>
      <c r="D4" s="11" t="s">
        <v>593</v>
      </c>
      <c r="E4" s="11" t="s">
        <v>594</v>
      </c>
      <c r="F4" s="12" t="s">
        <v>595</v>
      </c>
      <c r="G4" s="13" t="s">
        <v>596</v>
      </c>
      <c r="H4" s="12" t="s">
        <v>597</v>
      </c>
      <c r="I4" s="13" t="s">
        <v>598</v>
      </c>
      <c r="J4" s="12" t="s">
        <v>599</v>
      </c>
      <c r="K4" s="13" t="s">
        <v>600</v>
      </c>
      <c r="L4" s="13" t="s">
        <v>601</v>
      </c>
      <c r="M4" s="9" t="s">
        <v>602</v>
      </c>
      <c r="N4" s="16" t="s">
        <v>603</v>
      </c>
      <c r="O4" s="9" t="s">
        <v>604</v>
      </c>
      <c r="P4" s="16" t="s">
        <v>605</v>
      </c>
      <c r="Q4" s="16" t="s">
        <v>606</v>
      </c>
      <c r="R4" s="17" t="s">
        <v>217</v>
      </c>
      <c r="S4" s="18" t="s">
        <v>607</v>
      </c>
      <c r="T4" s="17" t="s">
        <v>218</v>
      </c>
      <c r="U4" s="18" t="s">
        <v>608</v>
      </c>
      <c r="V4" s="19" t="s">
        <v>609</v>
      </c>
      <c r="W4" s="20" t="s">
        <v>610</v>
      </c>
      <c r="X4" s="16" t="s">
        <v>611</v>
      </c>
      <c r="Y4" s="18" t="s">
        <v>612</v>
      </c>
      <c r="Z4" s="23" t="s">
        <v>613</v>
      </c>
      <c r="AA4" s="22"/>
      <c r="AB4" s="12" t="s">
        <v>595</v>
      </c>
      <c r="AC4" s="12" t="s">
        <v>597</v>
      </c>
      <c r="AD4" s="12" t="s">
        <v>599</v>
      </c>
      <c r="AE4" s="9" t="s">
        <v>602</v>
      </c>
      <c r="AF4" s="9" t="s">
        <v>604</v>
      </c>
      <c r="AG4" s="17" t="s">
        <v>217</v>
      </c>
      <c r="AH4" s="17" t="s">
        <v>218</v>
      </c>
    </row>
    <row r="5" customHeight="1" spans="1:34">
      <c r="A5" s="14" t="s">
        <v>288</v>
      </c>
      <c r="B5" s="8"/>
      <c r="C5" s="2">
        <v>1</v>
      </c>
      <c r="D5" s="2" t="s">
        <v>220</v>
      </c>
      <c r="E5" s="2" t="s">
        <v>222</v>
      </c>
      <c r="L5" s="2">
        <f>IFERROR(VLOOKUP($D5&amp;$C5,生产方式定位!$A$2:$E$39,2,FALSE)+VLOOKUP($E5&amp;$C5,生产方式定位!$F$3:$J$39,2,FALSE),0)</f>
        <v>2000</v>
      </c>
      <c r="Q5" s="2">
        <f>IFERROR(VLOOKUP($D5&amp;$C5,生产方式定位!$A$2:$E$39,3,FALSE)+VLOOKUP($E5&amp;$C5,生产方式定位!$F$3:$J$39,3,FALSE),0)</f>
        <v>2000</v>
      </c>
      <c r="V5" s="2">
        <f>IFERROR(VLOOKUP($D5&amp;$C5,生产方式定位!$A$2:$E$39,5,FALSE)+VLOOKUP($E5&amp;$C5,生产方式定位!$F$3:$J$39,5,FALSE),"错误")</f>
        <v>2000</v>
      </c>
      <c r="W5" s="3" t="str">
        <f t="shared" ref="W5:W68" si="0">IF(AB5="","",AB5)&amp;IF(AC5="","",","&amp;AC5)&amp;IF(AD5="","",","&amp;AD5)</f>
        <v/>
      </c>
      <c r="X5" s="4" t="str">
        <f t="shared" ref="X5:X68" si="1">IF(AE5="","",AE5)&amp;IF(AF5="","",","&amp;AF5)</f>
        <v/>
      </c>
      <c r="Y5" s="4" t="str">
        <f t="shared" ref="Y5:Y68" si="2">IF(AG5="","",AG5)&amp;IF(AH5="","",","&amp;AH5)</f>
        <v/>
      </c>
      <c r="Z5" s="5">
        <f t="shared" ref="Z5:Z68" si="3">IFERROR(ROUND(L5/V5,2),"")</f>
        <v>1</v>
      </c>
      <c r="AA5" s="6">
        <f t="shared" ref="AA5:AA68" si="4">C5</f>
        <v>1</v>
      </c>
      <c r="AB5" t="str">
        <f>IFERROR(F5&amp;"*"&amp;ROUND(L5*(G5/(G5+I5+K5))/VLOOKUP(F5,商品!$A$4:$D$67,4,FALSE),0),"")</f>
        <v/>
      </c>
      <c r="AC5" t="str">
        <f>IFERROR(H5&amp;"*"&amp;ROUND(L5*(I5/(G5+I5+K5))/VLOOKUP(H5,商品!$A$4:$D$67,4,FALSE),0),"")</f>
        <v/>
      </c>
      <c r="AD5" t="str">
        <f>IFERROR(J5&amp;"*"&amp;ROUND(L5*(K5/(G5+I5+K5))/VLOOKUP(J5,商品!$A$4:$D$67,4,FALSE),0),"")</f>
        <v/>
      </c>
      <c r="AE5" t="str">
        <f>IFERROR(M5&amp;"*"&amp;ROUND(Q5*(N5/(N5+P5))/VLOOKUP(M5,职业!$A$3:$E$16,4,FALSE),0),"")</f>
        <v/>
      </c>
      <c r="AF5" t="str">
        <f>IFERROR(O5&amp;"*"&amp;ROUND(Q5*(P5/(N5+P5))/VLOOKUP(O5,职业!$A$3:$E$16,4,FALSE),0),"")</f>
        <v/>
      </c>
      <c r="AG5" t="str">
        <f>IFERROR(R5&amp;"*"&amp;ROUND(V5*(S5/(S5+U5))/VLOOKUP(R5,商品!$A$4:$D$67,4,FALSE),0),"")</f>
        <v/>
      </c>
      <c r="AH5" t="str">
        <f>IFERROR(T5&amp;"*"&amp;ROUND(V5*(U5/(S5+U5))/VLOOKUP(T5,商品!$A$4:$D$67,4,FALSE),0),"")</f>
        <v/>
      </c>
    </row>
    <row r="6" customHeight="1" spans="1:34">
      <c r="A6" s="14" t="s">
        <v>288</v>
      </c>
      <c r="B6" s="8"/>
      <c r="C6" s="2">
        <v>2</v>
      </c>
      <c r="D6" s="2" t="s">
        <v>220</v>
      </c>
      <c r="E6" s="2" t="s">
        <v>222</v>
      </c>
      <c r="L6" s="2">
        <f>IFERROR(VLOOKUP($D6&amp;$C6,生产方式定位!$A$2:$E$39,2,FALSE)+VLOOKUP($E6&amp;$C6,生产方式定位!$F$3:$J$39,2,FALSE),0)</f>
        <v>3500</v>
      </c>
      <c r="Q6" s="2">
        <f>IFERROR(VLOOKUP($D6&amp;$C6,生产方式定位!$A$2:$E$39,3,FALSE)+VLOOKUP($E6&amp;$C6,生产方式定位!$F$3:$J$39,3,FALSE),0)</f>
        <v>2400</v>
      </c>
      <c r="V6" s="2">
        <f>IFERROR(VLOOKUP($D6&amp;$C6,生产方式定位!$A$2:$E$39,5,FALSE)+VLOOKUP($E6&amp;$C6,生产方式定位!$F$3:$J$39,5,FALSE),"错误")</f>
        <v>3022</v>
      </c>
      <c r="W6" s="3" t="str">
        <f t="shared" si="0"/>
        <v/>
      </c>
      <c r="X6" s="4" t="str">
        <f t="shared" si="1"/>
        <v/>
      </c>
      <c r="Y6" s="4" t="str">
        <f t="shared" si="2"/>
        <v/>
      </c>
      <c r="Z6" s="5">
        <f t="shared" si="3"/>
        <v>1.16</v>
      </c>
      <c r="AA6" s="6">
        <f t="shared" si="4"/>
        <v>2</v>
      </c>
      <c r="AB6" t="str">
        <f>IFERROR(F6&amp;"*"&amp;ROUND(L6*(G6/(G6+I6+K6))/VLOOKUP(F6,商品!$A$4:$D$67,4,FALSE),0),"")</f>
        <v/>
      </c>
      <c r="AC6" t="str">
        <f>IFERROR(H6&amp;"*"&amp;ROUND(L6*(I6/(G6+I6+K6))/VLOOKUP(H6,商品!$A$4:$D$67,4,FALSE),0),"")</f>
        <v/>
      </c>
      <c r="AD6" t="str">
        <f>IFERROR(J6&amp;"*"&amp;ROUND(L6*(K6/(G6+I6+K6))/VLOOKUP(J6,商品!$A$4:$D$67,4,FALSE),0),"")</f>
        <v/>
      </c>
      <c r="AE6" t="str">
        <f>IFERROR(M6&amp;"*"&amp;ROUND(Q6*(N6/(N6+P6))/VLOOKUP(M6,职业!$A$3:$E$16,4,FALSE),0),"")</f>
        <v/>
      </c>
      <c r="AF6" t="str">
        <f>IFERROR(O6&amp;"*"&amp;ROUND(Q6*(P6/(N6+P6))/VLOOKUP(O6,职业!$A$3:$E$16,4,FALSE),0),"")</f>
        <v/>
      </c>
      <c r="AG6" t="str">
        <f>IFERROR(R6&amp;"*"&amp;ROUND(V6*(S6/(S6+U6))/VLOOKUP(R6,商品!$A$4:$D$67,4,FALSE),0),"")</f>
        <v/>
      </c>
      <c r="AH6" t="str">
        <f>IFERROR(T6&amp;"*"&amp;ROUND(V6*(U6/(S6+U6))/VLOOKUP(T6,商品!$A$4:$D$67,4,FALSE),0),"")</f>
        <v/>
      </c>
    </row>
    <row r="7" customHeight="1" spans="1:34">
      <c r="A7" s="14" t="s">
        <v>288</v>
      </c>
      <c r="C7" s="2">
        <v>3</v>
      </c>
      <c r="D7" s="2" t="s">
        <v>220</v>
      </c>
      <c r="E7" s="2" t="s">
        <v>222</v>
      </c>
      <c r="L7" s="2">
        <f>IFERROR(VLOOKUP($D7&amp;$C7,生产方式定位!$A$2:$E$39,2,FALSE)+VLOOKUP($E7&amp;$C7,生产方式定位!$F$3:$J$39,2,FALSE),0)</f>
        <v>5000</v>
      </c>
      <c r="Q7" s="2">
        <f>IFERROR(VLOOKUP($D7&amp;$C7,生产方式定位!$A$2:$E$39,3,FALSE)+VLOOKUP($E7&amp;$C7,生产方式定位!$F$3:$J$39,3,FALSE),0)</f>
        <v>2800</v>
      </c>
      <c r="V7" s="2">
        <f>IFERROR(VLOOKUP($D7&amp;$C7,生产方式定位!$A$2:$E$39,5,FALSE)+VLOOKUP($E7&amp;$C7,生产方式定位!$F$3:$J$39,5,FALSE),"错误")</f>
        <v>4188</v>
      </c>
      <c r="W7" s="3" t="str">
        <f t="shared" si="0"/>
        <v/>
      </c>
      <c r="X7" s="4" t="str">
        <f t="shared" si="1"/>
        <v/>
      </c>
      <c r="Y7" s="4" t="str">
        <f t="shared" si="2"/>
        <v/>
      </c>
      <c r="Z7" s="5">
        <f t="shared" si="3"/>
        <v>1.19</v>
      </c>
      <c r="AA7" s="6">
        <f t="shared" si="4"/>
        <v>3</v>
      </c>
      <c r="AB7" t="str">
        <f>IFERROR(F7&amp;"*"&amp;ROUND(L7*(G7/(G7+I7+K7))/VLOOKUP(F7,商品!$A$4:$D$67,4,FALSE),0),"")</f>
        <v/>
      </c>
      <c r="AC7" t="str">
        <f>IFERROR(H7&amp;"*"&amp;ROUND(L7*(I7/(G7+I7+K7))/VLOOKUP(H7,商品!$A$4:$D$67,4,FALSE),0),"")</f>
        <v/>
      </c>
      <c r="AD7" t="str">
        <f>IFERROR(J7&amp;"*"&amp;ROUND(L7*(K7/(G7+I7+K7))/VLOOKUP(J7,商品!$A$4:$D$67,4,FALSE),0),"")</f>
        <v/>
      </c>
      <c r="AE7" t="str">
        <f>IFERROR(M7&amp;"*"&amp;ROUND(Q7*(N7/(N7+P7))/VLOOKUP(M7,职业!$A$3:$E$16,4,FALSE),0),"")</f>
        <v/>
      </c>
      <c r="AF7" t="str">
        <f>IFERROR(O7&amp;"*"&amp;ROUND(Q7*(P7/(N7+P7))/VLOOKUP(O7,职业!$A$3:$E$16,4,FALSE),0),"")</f>
        <v/>
      </c>
      <c r="AG7" t="str">
        <f>IFERROR(R7&amp;"*"&amp;ROUND(V7*(S7/(S7+U7))/VLOOKUP(R7,商品!$A$4:$D$67,4,FALSE),0),"")</f>
        <v/>
      </c>
      <c r="AH7" t="str">
        <f>IFERROR(T7&amp;"*"&amp;ROUND(V7*(U7/(S7+U7))/VLOOKUP(T7,商品!$A$4:$D$67,4,FALSE),0),"")</f>
        <v/>
      </c>
    </row>
    <row r="8" customHeight="1" spans="1:34">
      <c r="A8" s="14" t="s">
        <v>288</v>
      </c>
      <c r="C8" s="2">
        <v>4</v>
      </c>
      <c r="D8" s="2" t="s">
        <v>220</v>
      </c>
      <c r="E8" s="2" t="s">
        <v>222</v>
      </c>
      <c r="L8" s="2">
        <f>IFERROR(VLOOKUP($D8&amp;$C8,生产方式定位!$A$2:$E$39,2,FALSE)+VLOOKUP($E8&amp;$C8,生产方式定位!$F$3:$J$39,2,FALSE),0)</f>
        <v>6500</v>
      </c>
      <c r="Q8" s="2">
        <f>IFERROR(VLOOKUP($D8&amp;$C8,生产方式定位!$A$2:$E$39,3,FALSE)+VLOOKUP($E8&amp;$C8,生产方式定位!$F$3:$J$39,3,FALSE),0)</f>
        <v>3200</v>
      </c>
      <c r="V8" s="2">
        <f>IFERROR(VLOOKUP($D8&amp;$C8,生产方式定位!$A$2:$E$39,5,FALSE)+VLOOKUP($E8&amp;$C8,生产方式定位!$F$3:$J$39,5,FALSE),"错误")</f>
        <v>5498</v>
      </c>
      <c r="W8" s="3" t="str">
        <f t="shared" si="0"/>
        <v/>
      </c>
      <c r="X8" s="4" t="str">
        <f t="shared" si="1"/>
        <v/>
      </c>
      <c r="Y8" s="4" t="str">
        <f t="shared" si="2"/>
        <v/>
      </c>
      <c r="Z8" s="5">
        <f t="shared" si="3"/>
        <v>1.18</v>
      </c>
      <c r="AA8" s="6">
        <f t="shared" si="4"/>
        <v>4</v>
      </c>
      <c r="AB8" t="str">
        <f>IFERROR(F8&amp;"*"&amp;ROUND(L8*(G8/(G8+I8+K8))/VLOOKUP(F8,商品!$A$4:$D$67,4,FALSE),0),"")</f>
        <v/>
      </c>
      <c r="AC8" t="str">
        <f>IFERROR(H8&amp;"*"&amp;ROUND(L8*(I8/(G8+I8+K8))/VLOOKUP(H8,商品!$A$4:$D$67,4,FALSE),0),"")</f>
        <v/>
      </c>
      <c r="AD8" t="str">
        <f>IFERROR(J8&amp;"*"&amp;ROUND(L8*(K8/(G8+I8+K8))/VLOOKUP(J8,商品!$A$4:$D$67,4,FALSE),0),"")</f>
        <v/>
      </c>
      <c r="AE8" t="str">
        <f>IFERROR(M8&amp;"*"&amp;ROUND(Q8*(N8/(N8+P8))/VLOOKUP(M8,职业!$A$3:$E$16,4,FALSE),0),"")</f>
        <v/>
      </c>
      <c r="AF8" t="str">
        <f>IFERROR(O8&amp;"*"&amp;ROUND(Q8*(P8/(N8+P8))/VLOOKUP(O8,职业!$A$3:$E$16,4,FALSE),0),"")</f>
        <v/>
      </c>
      <c r="AG8" t="str">
        <f>IFERROR(R8&amp;"*"&amp;ROUND(V8*(S8/(S8+U8))/VLOOKUP(R8,商品!$A$4:$D$67,4,FALSE),0),"")</f>
        <v/>
      </c>
      <c r="AH8" t="str">
        <f>IFERROR(T8&amp;"*"&amp;ROUND(V8*(U8/(S8+U8))/VLOOKUP(T8,商品!$A$4:$D$67,4,FALSE),0),"")</f>
        <v/>
      </c>
    </row>
    <row r="9" customHeight="1" spans="1:34">
      <c r="A9" s="14" t="s">
        <v>288</v>
      </c>
      <c r="C9" s="2">
        <v>5</v>
      </c>
      <c r="D9" s="2" t="s">
        <v>220</v>
      </c>
      <c r="E9" s="2" t="s">
        <v>222</v>
      </c>
      <c r="L9" s="2">
        <f>IFERROR(VLOOKUP($D9&amp;$C9,生产方式定位!$A$2:$E$39,2,FALSE)+VLOOKUP($E9&amp;$C9,生产方式定位!$F$3:$J$39,2,FALSE),0)</f>
        <v>8000</v>
      </c>
      <c r="Q9" s="2">
        <f>IFERROR(VLOOKUP($D9&amp;$C9,生产方式定位!$A$2:$E$39,3,FALSE)+VLOOKUP($E9&amp;$C9,生产方式定位!$F$3:$J$39,3,FALSE),0)</f>
        <v>3600</v>
      </c>
      <c r="V9" s="2">
        <f>IFERROR(VLOOKUP($D9&amp;$C9,生产方式定位!$A$2:$E$39,5,FALSE)+VLOOKUP($E9&amp;$C9,生产方式定位!$F$3:$J$39,5,FALSE),"错误")</f>
        <v>7000</v>
      </c>
      <c r="W9" s="3" t="str">
        <f t="shared" si="0"/>
        <v/>
      </c>
      <c r="X9" s="4" t="str">
        <f t="shared" si="1"/>
        <v/>
      </c>
      <c r="Y9" s="4" t="str">
        <f t="shared" si="2"/>
        <v/>
      </c>
      <c r="Z9" s="5">
        <f t="shared" si="3"/>
        <v>1.14</v>
      </c>
      <c r="AA9" s="6">
        <f t="shared" si="4"/>
        <v>5</v>
      </c>
      <c r="AB9" t="str">
        <f>IFERROR(F9&amp;"*"&amp;ROUND(L9*(G9/(G9+I9+K9))/VLOOKUP(F9,商品!$A$4:$D$67,4,FALSE),0),"")</f>
        <v/>
      </c>
      <c r="AC9" t="str">
        <f>IFERROR(H9&amp;"*"&amp;ROUND(L9*(I9/(G9+I9+K9))/VLOOKUP(H9,商品!$A$4:$D$67,4,FALSE),0),"")</f>
        <v/>
      </c>
      <c r="AD9" t="str">
        <f>IFERROR(J9&amp;"*"&amp;ROUND(L9*(K9/(G9+I9+K9))/VLOOKUP(J9,商品!$A$4:$D$67,4,FALSE),0),"")</f>
        <v/>
      </c>
      <c r="AE9" t="str">
        <f>IFERROR(M9&amp;"*"&amp;ROUND(Q9*(N9/(N9+P9))/VLOOKUP(M9,职业!$A$3:$E$16,4,FALSE),0),"")</f>
        <v/>
      </c>
      <c r="AF9" t="str">
        <f>IFERROR(O9&amp;"*"&amp;ROUND(Q9*(P9/(N9+P9))/VLOOKUP(O9,职业!$A$3:$E$16,4,FALSE),0),"")</f>
        <v/>
      </c>
      <c r="AG9" t="str">
        <f>IFERROR(R9&amp;"*"&amp;ROUND(V9*(S9/(S9+U9))/VLOOKUP(R9,商品!$A$4:$D$67,4,FALSE),0),"")</f>
        <v/>
      </c>
      <c r="AH9" t="str">
        <f>IFERROR(T9&amp;"*"&amp;ROUND(V9*(U9/(S9+U9))/VLOOKUP(T9,商品!$A$4:$D$67,4,FALSE),0),"")</f>
        <v/>
      </c>
    </row>
    <row r="10" customHeight="1" spans="1:34">
      <c r="A10" s="15" t="s">
        <v>289</v>
      </c>
      <c r="C10" s="2">
        <v>1</v>
      </c>
      <c r="D10" s="2" t="s">
        <v>220</v>
      </c>
      <c r="E10" s="2" t="s">
        <v>223</v>
      </c>
      <c r="L10" s="2">
        <f>IFERROR(VLOOKUP($D10&amp;$C10,生产方式定位!$A$2:$E$39,2,FALSE)+VLOOKUP($E10&amp;$C10,生产方式定位!$F$3:$J$39,2,FALSE),0)</f>
        <v>2000</v>
      </c>
      <c r="Q10" s="2">
        <f>IFERROR(VLOOKUP($D10&amp;$C10,生产方式定位!$A$2:$E$39,3,FALSE)+VLOOKUP($E10&amp;$C10,生产方式定位!$F$3:$J$39,3,FALSE),0)</f>
        <v>2000</v>
      </c>
      <c r="V10" s="2">
        <f>IFERROR(VLOOKUP($D10&amp;$C10,生产方式定位!$A$2:$E$39,5,FALSE)+VLOOKUP($E10&amp;$C10,生产方式定位!$F$3:$J$39,5,FALSE),"错误")</f>
        <v>2000</v>
      </c>
      <c r="W10" s="3" t="str">
        <f t="shared" si="0"/>
        <v/>
      </c>
      <c r="X10" s="4" t="str">
        <f t="shared" si="1"/>
        <v/>
      </c>
      <c r="Y10" s="4" t="str">
        <f t="shared" si="2"/>
        <v/>
      </c>
      <c r="Z10" s="5">
        <f t="shared" si="3"/>
        <v>1</v>
      </c>
      <c r="AA10" s="6">
        <f t="shared" si="4"/>
        <v>1</v>
      </c>
      <c r="AB10" t="str">
        <f>IFERROR(F10&amp;"*"&amp;ROUND(L10*(G10/(G10+I10+K10))/VLOOKUP(F10,商品!$A$4:$D$67,4,FALSE),0),"")</f>
        <v/>
      </c>
      <c r="AC10" t="str">
        <f>IFERROR(H10&amp;"*"&amp;ROUND(L10*(I10/(G10+I10+K10))/VLOOKUP(H10,商品!$A$4:$D$67,4,FALSE),0),"")</f>
        <v/>
      </c>
      <c r="AD10" t="str">
        <f>IFERROR(J10&amp;"*"&amp;ROUND(L10*(K10/(G10+I10+K10))/VLOOKUP(J10,商品!$A$4:$D$67,4,FALSE),0),"")</f>
        <v/>
      </c>
      <c r="AE10" t="str">
        <f>IFERROR(M10&amp;"*"&amp;ROUND(Q10*(N10/(N10+P10))/VLOOKUP(M10,职业!$A$3:$E$16,4,FALSE),0),"")</f>
        <v/>
      </c>
      <c r="AF10" t="str">
        <f>IFERROR(O10&amp;"*"&amp;ROUND(Q10*(P10/(N10+P10))/VLOOKUP(O10,职业!$A$3:$E$16,4,FALSE),0),"")</f>
        <v/>
      </c>
      <c r="AG10" t="str">
        <f>IFERROR(R10&amp;"*"&amp;ROUND(V10*(S10/(S10+U10))/VLOOKUP(R10,商品!$A$4:$D$67,4,FALSE),0),"")</f>
        <v/>
      </c>
      <c r="AH10" t="str">
        <f>IFERROR(T10&amp;"*"&amp;ROUND(V10*(U10/(S10+U10))/VLOOKUP(T10,商品!$A$4:$D$67,4,FALSE),0),"")</f>
        <v/>
      </c>
    </row>
    <row r="11" customHeight="1" spans="1:34">
      <c r="A11" s="15" t="s">
        <v>289</v>
      </c>
      <c r="C11" s="2">
        <v>2</v>
      </c>
      <c r="D11" s="2" t="s">
        <v>220</v>
      </c>
      <c r="E11" s="2" t="s">
        <v>223</v>
      </c>
      <c r="L11" s="2">
        <f>IFERROR(VLOOKUP($D11&amp;$C11,生产方式定位!$A$2:$E$39,2,FALSE)+VLOOKUP($E11&amp;$C11,生产方式定位!$F$3:$J$39,2,FALSE),0)</f>
        <v>3500</v>
      </c>
      <c r="Q11" s="2">
        <f>IFERROR(VLOOKUP($D11&amp;$C11,生产方式定位!$A$2:$E$39,3,FALSE)+VLOOKUP($E11&amp;$C11,生产方式定位!$F$3:$J$39,3,FALSE),0)</f>
        <v>4200</v>
      </c>
      <c r="V11" s="2">
        <f>IFERROR(VLOOKUP($D11&amp;$C11,生产方式定位!$A$2:$E$39,5,FALSE)+VLOOKUP($E11&amp;$C11,生产方式定位!$F$3:$J$39,5,FALSE),"错误")</f>
        <v>3895</v>
      </c>
      <c r="W11" s="3" t="str">
        <f t="shared" si="0"/>
        <v/>
      </c>
      <c r="X11" s="4" t="str">
        <f t="shared" si="1"/>
        <v/>
      </c>
      <c r="Y11" s="4" t="str">
        <f t="shared" si="2"/>
        <v/>
      </c>
      <c r="Z11" s="5">
        <f t="shared" si="3"/>
        <v>0.9</v>
      </c>
      <c r="AA11" s="6">
        <f t="shared" si="4"/>
        <v>2</v>
      </c>
      <c r="AB11" t="str">
        <f>IFERROR(F11&amp;"*"&amp;ROUND(L11*(G11/(G11+I11+K11))/VLOOKUP(F11,商品!$A$4:$D$67,4,FALSE),0),"")</f>
        <v/>
      </c>
      <c r="AC11" t="str">
        <f>IFERROR(H11&amp;"*"&amp;ROUND(L11*(I11/(G11+I11+K11))/VLOOKUP(H11,商品!$A$4:$D$67,4,FALSE),0),"")</f>
        <v/>
      </c>
      <c r="AD11" t="str">
        <f>IFERROR(J11&amp;"*"&amp;ROUND(L11*(K11/(G11+I11+K11))/VLOOKUP(J11,商品!$A$4:$D$67,4,FALSE),0),"")</f>
        <v/>
      </c>
      <c r="AE11" t="str">
        <f>IFERROR(M11&amp;"*"&amp;ROUND(Q11*(N11/(N11+P11))/VLOOKUP(M11,职业!$A$3:$E$16,4,FALSE),0),"")</f>
        <v/>
      </c>
      <c r="AF11" t="str">
        <f>IFERROR(O11&amp;"*"&amp;ROUND(Q11*(P11/(N11+P11))/VLOOKUP(O11,职业!$A$3:$E$16,4,FALSE),0),"")</f>
        <v/>
      </c>
      <c r="AG11" t="str">
        <f>IFERROR(R11&amp;"*"&amp;ROUND(V11*(S11/(S11+U11))/VLOOKUP(R11,商品!$A$4:$D$67,4,FALSE),0),"")</f>
        <v/>
      </c>
      <c r="AH11" t="str">
        <f>IFERROR(T11&amp;"*"&amp;ROUND(V11*(U11/(S11+U11))/VLOOKUP(T11,商品!$A$4:$D$67,4,FALSE),0),"")</f>
        <v/>
      </c>
    </row>
    <row r="12" customHeight="1" spans="1:34">
      <c r="A12" s="15" t="s">
        <v>289</v>
      </c>
      <c r="C12" s="2">
        <v>3</v>
      </c>
      <c r="D12" s="2" t="s">
        <v>220</v>
      </c>
      <c r="E12" s="2" t="s">
        <v>223</v>
      </c>
      <c r="L12" s="2">
        <f>IFERROR(VLOOKUP($D12&amp;$C12,生产方式定位!$A$2:$E$39,2,FALSE)+VLOOKUP($E12&amp;$C12,生产方式定位!$F$3:$J$39,2,FALSE),0)</f>
        <v>5000</v>
      </c>
      <c r="Q12" s="2">
        <f>IFERROR(VLOOKUP($D12&amp;$C12,生产方式定位!$A$2:$E$39,3,FALSE)+VLOOKUP($E12&amp;$C12,生产方式定位!$F$3:$J$39,3,FALSE),0)</f>
        <v>5400</v>
      </c>
      <c r="V12" s="2">
        <f>IFERROR(VLOOKUP($D12&amp;$C12,生产方式定位!$A$2:$E$39,5,FALSE)+VLOOKUP($E12&amp;$C12,生产方式定位!$F$3:$J$39,5,FALSE),"错误")</f>
        <v>5350</v>
      </c>
      <c r="W12" s="3" t="str">
        <f t="shared" si="0"/>
        <v/>
      </c>
      <c r="X12" s="4" t="str">
        <f t="shared" si="1"/>
        <v/>
      </c>
      <c r="Y12" s="4" t="str">
        <f t="shared" si="2"/>
        <v/>
      </c>
      <c r="Z12" s="5">
        <f t="shared" si="3"/>
        <v>0.93</v>
      </c>
      <c r="AA12" s="6">
        <f t="shared" si="4"/>
        <v>3</v>
      </c>
      <c r="AB12" t="str">
        <f>IFERROR(F12&amp;"*"&amp;ROUND(L12*(G12/(G12+I12+K12))/VLOOKUP(F12,商品!$A$4:$D$67,4,FALSE),0),"")</f>
        <v/>
      </c>
      <c r="AC12" t="str">
        <f>IFERROR(H12&amp;"*"&amp;ROUND(L12*(I12/(G12+I12+K12))/VLOOKUP(H12,商品!$A$4:$D$67,4,FALSE),0),"")</f>
        <v/>
      </c>
      <c r="AD12" t="str">
        <f>IFERROR(J12&amp;"*"&amp;ROUND(L12*(K12/(G12+I12+K12))/VLOOKUP(J12,商品!$A$4:$D$67,4,FALSE),0),"")</f>
        <v/>
      </c>
      <c r="AE12" t="str">
        <f>IFERROR(M12&amp;"*"&amp;ROUND(Q12*(N12/(N12+P12))/VLOOKUP(M12,职业!$A$3:$E$16,4,FALSE),0),"")</f>
        <v/>
      </c>
      <c r="AF12" t="str">
        <f>IFERROR(O12&amp;"*"&amp;ROUND(Q12*(P12/(N12+P12))/VLOOKUP(O12,职业!$A$3:$E$16,4,FALSE),0),"")</f>
        <v/>
      </c>
      <c r="AG12" t="str">
        <f>IFERROR(R12&amp;"*"&amp;ROUND(V12*(S12/(S12+U12))/VLOOKUP(R12,商品!$A$4:$D$67,4,FALSE),0),"")</f>
        <v/>
      </c>
      <c r="AH12" t="str">
        <f>IFERROR(T12&amp;"*"&amp;ROUND(V12*(U12/(S12+U12))/VLOOKUP(T12,商品!$A$4:$D$67,4,FALSE),0),"")</f>
        <v/>
      </c>
    </row>
    <row r="13" customHeight="1" spans="1:34">
      <c r="A13" s="15" t="s">
        <v>289</v>
      </c>
      <c r="C13" s="2">
        <v>4</v>
      </c>
      <c r="D13" s="2" t="s">
        <v>220</v>
      </c>
      <c r="E13" s="2" t="s">
        <v>223</v>
      </c>
      <c r="L13" s="2">
        <f>IFERROR(VLOOKUP($D13&amp;$C13,生产方式定位!$A$2:$E$39,2,FALSE)+VLOOKUP($E13&amp;$C13,生产方式定位!$F$3:$J$39,2,FALSE),0)</f>
        <v>6500</v>
      </c>
      <c r="Q13" s="2">
        <f>IFERROR(VLOOKUP($D13&amp;$C13,生产方式定位!$A$2:$E$39,3,FALSE)+VLOOKUP($E13&amp;$C13,生产方式定位!$F$3:$J$39,3,FALSE),0)</f>
        <v>6600</v>
      </c>
      <c r="V13" s="2">
        <f>IFERROR(VLOOKUP($D13&amp;$C13,生产方式定位!$A$2:$E$39,5,FALSE)+VLOOKUP($E13&amp;$C13,生产方式定位!$F$3:$J$39,5,FALSE),"错误")</f>
        <v>6865</v>
      </c>
      <c r="W13" s="3" t="str">
        <f t="shared" si="0"/>
        <v/>
      </c>
      <c r="X13" s="4" t="str">
        <f t="shared" si="1"/>
        <v/>
      </c>
      <c r="Y13" s="4" t="str">
        <f t="shared" si="2"/>
        <v/>
      </c>
      <c r="Z13" s="5">
        <f t="shared" si="3"/>
        <v>0.95</v>
      </c>
      <c r="AA13" s="6">
        <f t="shared" si="4"/>
        <v>4</v>
      </c>
      <c r="AB13" t="str">
        <f>IFERROR(F13&amp;"*"&amp;ROUND(L13*(G13/(G13+I13+K13))/VLOOKUP(F13,商品!$A$4:$D$67,4,FALSE),0),"")</f>
        <v/>
      </c>
      <c r="AC13" t="str">
        <f>IFERROR(H13&amp;"*"&amp;ROUND(L13*(I13/(G13+I13+K13))/VLOOKUP(H13,商品!$A$4:$D$67,4,FALSE),0),"")</f>
        <v/>
      </c>
      <c r="AD13" t="str">
        <f>IFERROR(J13&amp;"*"&amp;ROUND(L13*(K13/(G13+I13+K13))/VLOOKUP(J13,商品!$A$4:$D$67,4,FALSE),0),"")</f>
        <v/>
      </c>
      <c r="AE13" t="str">
        <f>IFERROR(M13&amp;"*"&amp;ROUND(Q13*(N13/(N13+P13))/VLOOKUP(M13,职业!$A$3:$E$16,4,FALSE),0),"")</f>
        <v/>
      </c>
      <c r="AF13" t="str">
        <f>IFERROR(O13&amp;"*"&amp;ROUND(Q13*(P13/(N13+P13))/VLOOKUP(O13,职业!$A$3:$E$16,4,FALSE),0),"")</f>
        <v/>
      </c>
      <c r="AG13" t="str">
        <f>IFERROR(R13&amp;"*"&amp;ROUND(V13*(S13/(S13+U13))/VLOOKUP(R13,商品!$A$4:$D$67,4,FALSE),0),"")</f>
        <v/>
      </c>
      <c r="AH13" t="str">
        <f>IFERROR(T13&amp;"*"&amp;ROUND(V13*(U13/(S13+U13))/VLOOKUP(T13,商品!$A$4:$D$67,4,FALSE),0),"")</f>
        <v/>
      </c>
    </row>
    <row r="14" customHeight="1" spans="1:34">
      <c r="A14" s="15" t="s">
        <v>289</v>
      </c>
      <c r="C14" s="2">
        <v>5</v>
      </c>
      <c r="D14" s="2" t="s">
        <v>220</v>
      </c>
      <c r="E14" s="2" t="s">
        <v>223</v>
      </c>
      <c r="L14" s="2">
        <f>IFERROR(VLOOKUP($D14&amp;$C14,生产方式定位!$A$2:$E$39,2,FALSE)+VLOOKUP($E14&amp;$C14,生产方式定位!$F$3:$J$39,2,FALSE),0)</f>
        <v>8000</v>
      </c>
      <c r="Q14" s="2">
        <f>IFERROR(VLOOKUP($D14&amp;$C14,生产方式定位!$A$2:$E$39,3,FALSE)+VLOOKUP($E14&amp;$C14,生产方式定位!$F$3:$J$39,3,FALSE),0)</f>
        <v>7800</v>
      </c>
      <c r="V14" s="2">
        <f>IFERROR(VLOOKUP($D14&amp;$C14,生产方式定位!$A$2:$E$39,5,FALSE)+VLOOKUP($E14&amp;$C14,生产方式定位!$F$3:$J$39,5,FALSE),"错误")</f>
        <v>8463</v>
      </c>
      <c r="W14" s="3" t="str">
        <f t="shared" si="0"/>
        <v/>
      </c>
      <c r="X14" s="4" t="str">
        <f t="shared" si="1"/>
        <v/>
      </c>
      <c r="Y14" s="4" t="str">
        <f t="shared" si="2"/>
        <v/>
      </c>
      <c r="Z14" s="5">
        <f t="shared" si="3"/>
        <v>0.95</v>
      </c>
      <c r="AA14" s="6">
        <f t="shared" si="4"/>
        <v>5</v>
      </c>
      <c r="AB14" t="str">
        <f>IFERROR(F14&amp;"*"&amp;ROUND(L14*(G14/(G14+I14+K14))/VLOOKUP(F14,商品!$A$4:$D$67,4,FALSE),0),"")</f>
        <v/>
      </c>
      <c r="AC14" t="str">
        <f>IFERROR(H14&amp;"*"&amp;ROUND(L14*(I14/(G14+I14+K14))/VLOOKUP(H14,商品!$A$4:$D$67,4,FALSE),0),"")</f>
        <v/>
      </c>
      <c r="AD14" t="str">
        <f>IFERROR(J14&amp;"*"&amp;ROUND(L14*(K14/(G14+I14+K14))/VLOOKUP(J14,商品!$A$4:$D$67,4,FALSE),0),"")</f>
        <v/>
      </c>
      <c r="AE14" t="str">
        <f>IFERROR(M14&amp;"*"&amp;ROUND(Q14*(N14/(N14+P14))/VLOOKUP(M14,职业!$A$3:$E$16,4,FALSE),0),"")</f>
        <v/>
      </c>
      <c r="AF14" t="str">
        <f>IFERROR(O14&amp;"*"&amp;ROUND(Q14*(P14/(N14+P14))/VLOOKUP(O14,职业!$A$3:$E$16,4,FALSE),0),"")</f>
        <v/>
      </c>
      <c r="AG14" t="str">
        <f>IFERROR(R14&amp;"*"&amp;ROUND(V14*(S14/(S14+U14))/VLOOKUP(R14,商品!$A$4:$D$67,4,FALSE),0),"")</f>
        <v/>
      </c>
      <c r="AH14" t="str">
        <f>IFERROR(T14&amp;"*"&amp;ROUND(V14*(U14/(S14+U14))/VLOOKUP(T14,商品!$A$4:$D$67,4,FALSE),0),"")</f>
        <v/>
      </c>
    </row>
    <row r="15" customHeight="1" spans="1:34">
      <c r="A15" s="14" t="s">
        <v>290</v>
      </c>
      <c r="C15" s="2">
        <v>1</v>
      </c>
      <c r="D15" s="2" t="s">
        <v>220</v>
      </c>
      <c r="E15" s="2" t="s">
        <v>224</v>
      </c>
      <c r="L15" s="2">
        <f>IFERROR(VLOOKUP($D15&amp;$C15,生产方式定位!$A$2:$E$39,2,FALSE)+VLOOKUP($E15&amp;$C15,生产方式定位!$F$3:$J$39,2,FALSE),0)</f>
        <v>2000</v>
      </c>
      <c r="Q15" s="2">
        <f>IFERROR(VLOOKUP($D15&amp;$C15,生产方式定位!$A$2:$E$39,3,FALSE)+VLOOKUP($E15&amp;$C15,生产方式定位!$F$3:$J$39,3,FALSE),0)</f>
        <v>2000</v>
      </c>
      <c r="V15" s="2">
        <f>IFERROR(VLOOKUP($D15&amp;$C15,生产方式定位!$A$2:$E$39,5,FALSE)+VLOOKUP($E15&amp;$C15,生产方式定位!$F$3:$J$39,5,FALSE),"错误")</f>
        <v>2000</v>
      </c>
      <c r="W15" s="3" t="str">
        <f t="shared" si="0"/>
        <v/>
      </c>
      <c r="X15" s="4" t="str">
        <f t="shared" si="1"/>
        <v/>
      </c>
      <c r="Y15" s="4" t="str">
        <f t="shared" si="2"/>
        <v/>
      </c>
      <c r="Z15" s="5">
        <f t="shared" si="3"/>
        <v>1</v>
      </c>
      <c r="AA15" s="6">
        <f t="shared" si="4"/>
        <v>1</v>
      </c>
      <c r="AB15" t="str">
        <f>IFERROR(F15&amp;"*"&amp;ROUND(L15*(G15/(G15+I15+K15))/VLOOKUP(F15,商品!$A$4:$D$67,4,FALSE),0),"")</f>
        <v/>
      </c>
      <c r="AC15" t="str">
        <f>IFERROR(H15&amp;"*"&amp;ROUND(L15*(I15/(G15+I15+K15))/VLOOKUP(H15,商品!$A$4:$D$67,4,FALSE),0),"")</f>
        <v/>
      </c>
      <c r="AD15" t="str">
        <f>IFERROR(J15&amp;"*"&amp;ROUND(L15*(K15/(G15+I15+K15))/VLOOKUP(J15,商品!$A$4:$D$67,4,FALSE),0),"")</f>
        <v/>
      </c>
      <c r="AE15" t="str">
        <f>IFERROR(M15&amp;"*"&amp;ROUND(Q15*(N15/(N15+P15))/VLOOKUP(M15,职业!$A$3:$E$16,4,FALSE),0),"")</f>
        <v/>
      </c>
      <c r="AF15" t="str">
        <f>IFERROR(O15&amp;"*"&amp;ROUND(Q15*(P15/(N15+P15))/VLOOKUP(O15,职业!$A$3:$E$16,4,FALSE),0),"")</f>
        <v/>
      </c>
      <c r="AG15" t="str">
        <f>IFERROR(R15&amp;"*"&amp;ROUND(V15*(S15/(S15+U15))/VLOOKUP(R15,商品!$A$4:$D$67,4,FALSE),0),"")</f>
        <v/>
      </c>
      <c r="AH15" t="str">
        <f>IFERROR(T15&amp;"*"&amp;ROUND(V15*(U15/(S15+U15))/VLOOKUP(T15,商品!$A$4:$D$67,4,FALSE),0),"")</f>
        <v/>
      </c>
    </row>
    <row r="16" customHeight="1" spans="1:34">
      <c r="A16" s="14" t="s">
        <v>290</v>
      </c>
      <c r="C16" s="2">
        <v>2</v>
      </c>
      <c r="D16" s="2" t="s">
        <v>220</v>
      </c>
      <c r="E16" s="2" t="s">
        <v>224</v>
      </c>
      <c r="L16" s="2">
        <f>IFERROR(VLOOKUP($D16&amp;$C16,生产方式定位!$A$2:$E$39,2,FALSE)+VLOOKUP($E16&amp;$C16,生产方式定位!$F$3:$J$39,2,FALSE),0)</f>
        <v>4500</v>
      </c>
      <c r="Q16" s="2">
        <f>IFERROR(VLOOKUP($D16&amp;$C16,生产方式定位!$A$2:$E$39,3,FALSE)+VLOOKUP($E16&amp;$C16,生产方式定位!$F$3:$J$39,3,FALSE),0)</f>
        <v>2000</v>
      </c>
      <c r="V16" s="2">
        <f>IFERROR(VLOOKUP($D16&amp;$C16,生产方式定位!$A$2:$E$39,5,FALSE)+VLOOKUP($E16&amp;$C16,生产方式定位!$F$3:$J$39,5,FALSE),"错误")</f>
        <v>3340</v>
      </c>
      <c r="W16" s="3" t="str">
        <f t="shared" si="0"/>
        <v/>
      </c>
      <c r="X16" s="4" t="str">
        <f t="shared" si="1"/>
        <v/>
      </c>
      <c r="Y16" s="4" t="str">
        <f t="shared" si="2"/>
        <v/>
      </c>
      <c r="Z16" s="5">
        <f t="shared" si="3"/>
        <v>1.35</v>
      </c>
      <c r="AA16" s="6">
        <f t="shared" si="4"/>
        <v>2</v>
      </c>
      <c r="AB16" t="str">
        <f>IFERROR(F16&amp;"*"&amp;ROUND(L16*(G16/(G16+I16+K16))/VLOOKUP(F16,商品!$A$4:$D$67,4,FALSE),0),"")</f>
        <v/>
      </c>
      <c r="AC16" t="str">
        <f>IFERROR(H16&amp;"*"&amp;ROUND(L16*(I16/(G16+I16+K16))/VLOOKUP(H16,商品!$A$4:$D$67,4,FALSE),0),"")</f>
        <v/>
      </c>
      <c r="AD16" t="str">
        <f>IFERROR(J16&amp;"*"&amp;ROUND(L16*(K16/(G16+I16+K16))/VLOOKUP(J16,商品!$A$4:$D$67,4,FALSE),0),"")</f>
        <v/>
      </c>
      <c r="AE16" t="str">
        <f>IFERROR(M16&amp;"*"&amp;ROUND(Q16*(N16/(N16+P16))/VLOOKUP(M16,职业!$A$3:$E$16,4,FALSE),0),"")</f>
        <v/>
      </c>
      <c r="AF16" t="str">
        <f>IFERROR(O16&amp;"*"&amp;ROUND(Q16*(P16/(N16+P16))/VLOOKUP(O16,职业!$A$3:$E$16,4,FALSE),0),"")</f>
        <v/>
      </c>
      <c r="AG16" t="str">
        <f>IFERROR(R16&amp;"*"&amp;ROUND(V16*(S16/(S16+U16))/VLOOKUP(R16,商品!$A$4:$D$67,4,FALSE),0),"")</f>
        <v/>
      </c>
      <c r="AH16" t="str">
        <f>IFERROR(T16&amp;"*"&amp;ROUND(V16*(U16/(S16+U16))/VLOOKUP(T16,商品!$A$4:$D$67,4,FALSE),0),"")</f>
        <v/>
      </c>
    </row>
    <row r="17" customHeight="1" spans="1:34">
      <c r="A17" s="14" t="s">
        <v>290</v>
      </c>
      <c r="C17" s="2">
        <v>3</v>
      </c>
      <c r="D17" s="2" t="s">
        <v>220</v>
      </c>
      <c r="E17" s="2" t="s">
        <v>224</v>
      </c>
      <c r="L17" s="2">
        <f>IFERROR(VLOOKUP($D17&amp;$C17,生产方式定位!$A$2:$E$39,2,FALSE)+VLOOKUP($E17&amp;$C17,生产方式定位!$F$3:$J$39,2,FALSE),0)</f>
        <v>6000</v>
      </c>
      <c r="Q17" s="2">
        <f>IFERROR(VLOOKUP($D17&amp;$C17,生产方式定位!$A$2:$E$39,3,FALSE)+VLOOKUP($E17&amp;$C17,生产方式定位!$F$3:$J$39,3,FALSE),0)</f>
        <v>2000</v>
      </c>
      <c r="V17" s="2">
        <f>IFERROR(VLOOKUP($D17&amp;$C17,生产方式定位!$A$2:$E$39,5,FALSE)+VLOOKUP($E17&amp;$C17,生产方式定位!$F$3:$J$39,5,FALSE),"错误")</f>
        <v>4260</v>
      </c>
      <c r="W17" s="3" t="str">
        <f t="shared" si="0"/>
        <v/>
      </c>
      <c r="X17" s="4" t="str">
        <f t="shared" si="1"/>
        <v/>
      </c>
      <c r="Y17" s="4" t="str">
        <f t="shared" si="2"/>
        <v/>
      </c>
      <c r="Z17" s="5">
        <f t="shared" si="3"/>
        <v>1.41</v>
      </c>
      <c r="AA17" s="6">
        <f t="shared" si="4"/>
        <v>3</v>
      </c>
      <c r="AB17" t="str">
        <f>IFERROR(F17&amp;"*"&amp;ROUND(L17*(G17/(G17+I17+K17))/VLOOKUP(F17,商品!$A$4:$D$67,4,FALSE),0),"")</f>
        <v/>
      </c>
      <c r="AC17" t="str">
        <f>IFERROR(H17&amp;"*"&amp;ROUND(L17*(I17/(G17+I17+K17))/VLOOKUP(H17,商品!$A$4:$D$67,4,FALSE),0),"")</f>
        <v/>
      </c>
      <c r="AD17" t="str">
        <f>IFERROR(J17&amp;"*"&amp;ROUND(L17*(K17/(G17+I17+K17))/VLOOKUP(J17,商品!$A$4:$D$67,4,FALSE),0),"")</f>
        <v/>
      </c>
      <c r="AE17" t="str">
        <f>IFERROR(M17&amp;"*"&amp;ROUND(Q17*(N17/(N17+P17))/VLOOKUP(M17,职业!$A$3:$E$16,4,FALSE),0),"")</f>
        <v/>
      </c>
      <c r="AF17" t="str">
        <f>IFERROR(O17&amp;"*"&amp;ROUND(Q17*(P17/(N17+P17))/VLOOKUP(O17,职业!$A$3:$E$16,4,FALSE),0),"")</f>
        <v/>
      </c>
      <c r="AG17" t="str">
        <f>IFERROR(R17&amp;"*"&amp;ROUND(V17*(S17/(S17+U17))/VLOOKUP(R17,商品!$A$4:$D$67,4,FALSE),0),"")</f>
        <v/>
      </c>
      <c r="AH17" t="str">
        <f>IFERROR(T17&amp;"*"&amp;ROUND(V17*(U17/(S17+U17))/VLOOKUP(T17,商品!$A$4:$D$67,4,FALSE),0),"")</f>
        <v/>
      </c>
    </row>
    <row r="18" customHeight="1" spans="1:34">
      <c r="A18" s="14" t="s">
        <v>290</v>
      </c>
      <c r="C18" s="2">
        <v>4</v>
      </c>
      <c r="D18" s="2" t="s">
        <v>220</v>
      </c>
      <c r="E18" s="2" t="s">
        <v>224</v>
      </c>
      <c r="L18" s="2">
        <f>IFERROR(VLOOKUP($D18&amp;$C18,生产方式定位!$A$2:$E$39,2,FALSE)+VLOOKUP($E18&amp;$C18,生产方式定位!$F$3:$J$39,2,FALSE),0)</f>
        <v>7500</v>
      </c>
      <c r="Q18" s="2">
        <f>IFERROR(VLOOKUP($D18&amp;$C18,生产方式定位!$A$2:$E$39,3,FALSE)+VLOOKUP($E18&amp;$C18,生产方式定位!$F$3:$J$39,3,FALSE),0)</f>
        <v>2000</v>
      </c>
      <c r="V18" s="2">
        <f>IFERROR(VLOOKUP($D18&amp;$C18,生产方式定位!$A$2:$E$39,5,FALSE)+VLOOKUP($E18&amp;$C18,生产方式定位!$F$3:$J$39,5,FALSE),"错误")</f>
        <v>5260</v>
      </c>
      <c r="W18" s="3" t="str">
        <f t="shared" si="0"/>
        <v/>
      </c>
      <c r="X18" s="4" t="str">
        <f t="shared" si="1"/>
        <v/>
      </c>
      <c r="Y18" s="4" t="str">
        <f t="shared" si="2"/>
        <v/>
      </c>
      <c r="Z18" s="5">
        <f t="shared" si="3"/>
        <v>1.43</v>
      </c>
      <c r="AA18" s="6">
        <f t="shared" si="4"/>
        <v>4</v>
      </c>
      <c r="AB18" t="str">
        <f>IFERROR(F18&amp;"*"&amp;ROUND(L18*(G18/(G18+I18+K18))/VLOOKUP(F18,商品!$A$4:$D$67,4,FALSE),0),"")</f>
        <v/>
      </c>
      <c r="AC18" t="str">
        <f>IFERROR(H18&amp;"*"&amp;ROUND(L18*(I18/(G18+I18+K18))/VLOOKUP(H18,商品!$A$4:$D$67,4,FALSE),0),"")</f>
        <v/>
      </c>
      <c r="AD18" t="str">
        <f>IFERROR(J18&amp;"*"&amp;ROUND(L18*(K18/(G18+I18+K18))/VLOOKUP(J18,商品!$A$4:$D$67,4,FALSE),0),"")</f>
        <v/>
      </c>
      <c r="AE18" t="str">
        <f>IFERROR(M18&amp;"*"&amp;ROUND(Q18*(N18/(N18+P18))/VLOOKUP(M18,职业!$A$3:$E$16,4,FALSE),0),"")</f>
        <v/>
      </c>
      <c r="AF18" t="str">
        <f>IFERROR(O18&amp;"*"&amp;ROUND(Q18*(P18/(N18+P18))/VLOOKUP(O18,职业!$A$3:$E$16,4,FALSE),0),"")</f>
        <v/>
      </c>
      <c r="AG18" t="str">
        <f>IFERROR(R18&amp;"*"&amp;ROUND(V18*(S18/(S18+U18))/VLOOKUP(R18,商品!$A$4:$D$67,4,FALSE),0),"")</f>
        <v/>
      </c>
      <c r="AH18" t="str">
        <f>IFERROR(T18&amp;"*"&amp;ROUND(V18*(U18/(S18+U18))/VLOOKUP(T18,商品!$A$4:$D$67,4,FALSE),0),"")</f>
        <v/>
      </c>
    </row>
    <row r="19" customHeight="1" spans="1:34">
      <c r="A19" s="14" t="s">
        <v>290</v>
      </c>
      <c r="C19" s="2">
        <v>5</v>
      </c>
      <c r="D19" s="2" t="s">
        <v>220</v>
      </c>
      <c r="E19" s="2" t="s">
        <v>224</v>
      </c>
      <c r="L19" s="2">
        <f>IFERROR(VLOOKUP($D19&amp;$C19,生产方式定位!$A$2:$E$39,2,FALSE)+VLOOKUP($E19&amp;$C19,生产方式定位!$F$3:$J$39,2,FALSE),0)</f>
        <v>9000</v>
      </c>
      <c r="Q19" s="2">
        <f>IFERROR(VLOOKUP($D19&amp;$C19,生产方式定位!$A$2:$E$39,3,FALSE)+VLOOKUP($E19&amp;$C19,生产方式定位!$F$3:$J$39,3,FALSE),0)</f>
        <v>2000</v>
      </c>
      <c r="V19" s="2">
        <f>IFERROR(VLOOKUP($D19&amp;$C19,生产方式定位!$A$2:$E$39,5,FALSE)+VLOOKUP($E19&amp;$C19,生产方式定位!$F$3:$J$39,5,FALSE),"错误")</f>
        <v>6340</v>
      </c>
      <c r="W19" s="3" t="str">
        <f t="shared" si="0"/>
        <v/>
      </c>
      <c r="X19" s="4" t="str">
        <f t="shared" si="1"/>
        <v/>
      </c>
      <c r="Y19" s="4" t="str">
        <f t="shared" si="2"/>
        <v/>
      </c>
      <c r="Z19" s="5">
        <f t="shared" si="3"/>
        <v>1.42</v>
      </c>
      <c r="AA19" s="6">
        <f t="shared" si="4"/>
        <v>5</v>
      </c>
      <c r="AB19" t="str">
        <f>IFERROR(F19&amp;"*"&amp;ROUND(L19*(G19/(G19+I19+K19))/VLOOKUP(F19,商品!$A$4:$D$67,4,FALSE),0),"")</f>
        <v/>
      </c>
      <c r="AC19" t="str">
        <f>IFERROR(H19&amp;"*"&amp;ROUND(L19*(I19/(G19+I19+K19))/VLOOKUP(H19,商品!$A$4:$D$67,4,FALSE),0),"")</f>
        <v/>
      </c>
      <c r="AD19" t="str">
        <f>IFERROR(J19&amp;"*"&amp;ROUND(L19*(K19/(G19+I19+K19))/VLOOKUP(J19,商品!$A$4:$D$67,4,FALSE),0),"")</f>
        <v/>
      </c>
      <c r="AE19" t="str">
        <f>IFERROR(M19&amp;"*"&amp;ROUND(Q19*(N19/(N19+P19))/VLOOKUP(M19,职业!$A$3:$E$16,4,FALSE),0),"")</f>
        <v/>
      </c>
      <c r="AF19" t="str">
        <f>IFERROR(O19&amp;"*"&amp;ROUND(Q19*(P19/(N19+P19))/VLOOKUP(O19,职业!$A$3:$E$16,4,FALSE),0),"")</f>
        <v/>
      </c>
      <c r="AG19" t="str">
        <f>IFERROR(R19&amp;"*"&amp;ROUND(V19*(S19/(S19+U19))/VLOOKUP(R19,商品!$A$4:$D$67,4,FALSE),0),"")</f>
        <v/>
      </c>
      <c r="AH19" t="str">
        <f>IFERROR(T19&amp;"*"&amp;ROUND(V19*(U19/(S19+U19))/VLOOKUP(T19,商品!$A$4:$D$67,4,FALSE),0),"")</f>
        <v/>
      </c>
    </row>
    <row r="20" customHeight="1" spans="1:34">
      <c r="A20" s="15" t="s">
        <v>290</v>
      </c>
      <c r="C20" s="2">
        <v>1</v>
      </c>
      <c r="D20" s="2" t="s">
        <v>220</v>
      </c>
      <c r="E20" s="2" t="s">
        <v>224</v>
      </c>
      <c r="L20" s="2">
        <f>IFERROR(VLOOKUP($D20&amp;$C20,生产方式定位!$A$2:$E$39,2,FALSE)+VLOOKUP($E20&amp;$C20,生产方式定位!$F$3:$J$39,2,FALSE),0)</f>
        <v>2000</v>
      </c>
      <c r="Q20" s="2">
        <f>IFERROR(VLOOKUP($D20&amp;$C20,生产方式定位!$A$2:$E$39,3,FALSE)+VLOOKUP($E20&amp;$C20,生产方式定位!$F$3:$J$39,3,FALSE),0)</f>
        <v>2000</v>
      </c>
      <c r="V20" s="2">
        <f>IFERROR(VLOOKUP($D20&amp;$C20,生产方式定位!$A$2:$E$39,5,FALSE)+VLOOKUP($E20&amp;$C20,生产方式定位!$F$3:$J$39,5,FALSE),"错误")</f>
        <v>2000</v>
      </c>
      <c r="W20" s="3" t="str">
        <f t="shared" si="0"/>
        <v/>
      </c>
      <c r="X20" s="4" t="str">
        <f t="shared" si="1"/>
        <v/>
      </c>
      <c r="Y20" s="4" t="str">
        <f t="shared" si="2"/>
        <v/>
      </c>
      <c r="Z20" s="5">
        <f t="shared" si="3"/>
        <v>1</v>
      </c>
      <c r="AA20" s="6">
        <f t="shared" si="4"/>
        <v>1</v>
      </c>
      <c r="AB20" t="str">
        <f>IFERROR(F20&amp;"*"&amp;ROUND(L20*(G20/(G20+I20+K20))/VLOOKUP(F20,商品!$A$4:$D$67,4,FALSE),0),"")</f>
        <v/>
      </c>
      <c r="AC20" t="str">
        <f>IFERROR(H20&amp;"*"&amp;ROUND(L20*(I20/(G20+I20+K20))/VLOOKUP(H20,商品!$A$4:$D$67,4,FALSE),0),"")</f>
        <v/>
      </c>
      <c r="AD20" t="str">
        <f>IFERROR(J20&amp;"*"&amp;ROUND(L20*(K20/(G20+I20+K20))/VLOOKUP(J20,商品!$A$4:$D$67,4,FALSE),0),"")</f>
        <v/>
      </c>
      <c r="AE20" t="str">
        <f>IFERROR(M20&amp;"*"&amp;ROUND(Q20*(N20/(N20+P20))/VLOOKUP(M20,职业!$A$3:$E$16,4,FALSE),0),"")</f>
        <v/>
      </c>
      <c r="AF20" t="str">
        <f>IFERROR(O20&amp;"*"&amp;ROUND(Q20*(P20/(N20+P20))/VLOOKUP(O20,职业!$A$3:$E$16,4,FALSE),0),"")</f>
        <v/>
      </c>
      <c r="AG20" t="str">
        <f>IFERROR(R20&amp;"*"&amp;ROUND(V20*(S20/(S20+U20))/VLOOKUP(R20,商品!$A$4:$D$67,4,FALSE),0),"")</f>
        <v/>
      </c>
      <c r="AH20" t="str">
        <f>IFERROR(T20&amp;"*"&amp;ROUND(V20*(U20/(S20+U20))/VLOOKUP(T20,商品!$A$4:$D$67,4,FALSE),0),"")</f>
        <v/>
      </c>
    </row>
    <row r="21" customHeight="1" spans="1:34">
      <c r="A21" s="15" t="s">
        <v>290</v>
      </c>
      <c r="C21" s="2">
        <v>2</v>
      </c>
      <c r="D21" s="2" t="s">
        <v>220</v>
      </c>
      <c r="E21" s="2" t="s">
        <v>224</v>
      </c>
      <c r="L21" s="2">
        <f>IFERROR(VLOOKUP($D21&amp;$C21,生产方式定位!$A$2:$E$39,2,FALSE)+VLOOKUP($E21&amp;$C21,生产方式定位!$F$3:$J$39,2,FALSE),0)</f>
        <v>4500</v>
      </c>
      <c r="Q21" s="2">
        <f>IFERROR(VLOOKUP($D21&amp;$C21,生产方式定位!$A$2:$E$39,3,FALSE)+VLOOKUP($E21&amp;$C21,生产方式定位!$F$3:$J$39,3,FALSE),0)</f>
        <v>2000</v>
      </c>
      <c r="V21" s="2">
        <f>IFERROR(VLOOKUP($D21&amp;$C21,生产方式定位!$A$2:$E$39,5,FALSE)+VLOOKUP($E21&amp;$C21,生产方式定位!$F$3:$J$39,5,FALSE),"错误")</f>
        <v>3340</v>
      </c>
      <c r="W21" s="3" t="str">
        <f t="shared" si="0"/>
        <v/>
      </c>
      <c r="X21" s="4" t="str">
        <f t="shared" si="1"/>
        <v/>
      </c>
      <c r="Y21" s="4" t="str">
        <f t="shared" si="2"/>
        <v/>
      </c>
      <c r="Z21" s="5">
        <f t="shared" si="3"/>
        <v>1.35</v>
      </c>
      <c r="AA21" s="6">
        <f t="shared" si="4"/>
        <v>2</v>
      </c>
      <c r="AB21" t="str">
        <f>IFERROR(F21&amp;"*"&amp;ROUND(L21*(G21/(G21+I21+K21))/VLOOKUP(F21,商品!$A$4:$D$67,4,FALSE),0),"")</f>
        <v/>
      </c>
      <c r="AC21" t="str">
        <f>IFERROR(H21&amp;"*"&amp;ROUND(L21*(I21/(G21+I21+K21))/VLOOKUP(H21,商品!$A$4:$D$67,4,FALSE),0),"")</f>
        <v/>
      </c>
      <c r="AD21" t="str">
        <f>IFERROR(J21&amp;"*"&amp;ROUND(L21*(K21/(G21+I21+K21))/VLOOKUP(J21,商品!$A$4:$D$67,4,FALSE),0),"")</f>
        <v/>
      </c>
      <c r="AE21" t="str">
        <f>IFERROR(M21&amp;"*"&amp;ROUND(Q21*(N21/(N21+P21))/VLOOKUP(M21,职业!$A$3:$E$16,4,FALSE),0),"")</f>
        <v/>
      </c>
      <c r="AF21" t="str">
        <f>IFERROR(O21&amp;"*"&amp;ROUND(Q21*(P21/(N21+P21))/VLOOKUP(O21,职业!$A$3:$E$16,4,FALSE),0),"")</f>
        <v/>
      </c>
      <c r="AG21" t="str">
        <f>IFERROR(R21&amp;"*"&amp;ROUND(V21*(S21/(S21+U21))/VLOOKUP(R21,商品!$A$4:$D$67,4,FALSE),0),"")</f>
        <v/>
      </c>
      <c r="AH21" t="str">
        <f>IFERROR(T21&amp;"*"&amp;ROUND(V21*(U21/(S21+U21))/VLOOKUP(T21,商品!$A$4:$D$67,4,FALSE),0),"")</f>
        <v/>
      </c>
    </row>
    <row r="22" customHeight="1" spans="1:34">
      <c r="A22" s="15" t="s">
        <v>290</v>
      </c>
      <c r="C22" s="2">
        <v>3</v>
      </c>
      <c r="D22" s="2" t="s">
        <v>220</v>
      </c>
      <c r="E22" s="2" t="s">
        <v>224</v>
      </c>
      <c r="L22" s="2">
        <f>IFERROR(VLOOKUP($D22&amp;$C22,生产方式定位!$A$2:$E$39,2,FALSE)+VLOOKUP($E22&amp;$C22,生产方式定位!$F$3:$J$39,2,FALSE),0)</f>
        <v>6000</v>
      </c>
      <c r="Q22" s="2">
        <f>IFERROR(VLOOKUP($D22&amp;$C22,生产方式定位!$A$2:$E$39,3,FALSE)+VLOOKUP($E22&amp;$C22,生产方式定位!$F$3:$J$39,3,FALSE),0)</f>
        <v>2000</v>
      </c>
      <c r="V22" s="2">
        <f>IFERROR(VLOOKUP($D22&amp;$C22,生产方式定位!$A$2:$E$39,5,FALSE)+VLOOKUP($E22&amp;$C22,生产方式定位!$F$3:$J$39,5,FALSE),"错误")</f>
        <v>4260</v>
      </c>
      <c r="W22" s="3" t="str">
        <f t="shared" si="0"/>
        <v/>
      </c>
      <c r="X22" s="4" t="str">
        <f t="shared" si="1"/>
        <v/>
      </c>
      <c r="Y22" s="4" t="str">
        <f t="shared" si="2"/>
        <v/>
      </c>
      <c r="Z22" s="5">
        <f t="shared" si="3"/>
        <v>1.41</v>
      </c>
      <c r="AA22" s="6">
        <f t="shared" si="4"/>
        <v>3</v>
      </c>
      <c r="AB22" t="str">
        <f>IFERROR(F22&amp;"*"&amp;ROUND(L22*(G22/(G22+I22+K22))/VLOOKUP(F22,商品!$A$4:$D$67,4,FALSE),0),"")</f>
        <v/>
      </c>
      <c r="AC22" t="str">
        <f>IFERROR(H22&amp;"*"&amp;ROUND(L22*(I22/(G22+I22+K22))/VLOOKUP(H22,商品!$A$4:$D$67,4,FALSE),0),"")</f>
        <v/>
      </c>
      <c r="AD22" t="str">
        <f>IFERROR(J22&amp;"*"&amp;ROUND(L22*(K22/(G22+I22+K22))/VLOOKUP(J22,商品!$A$4:$D$67,4,FALSE),0),"")</f>
        <v/>
      </c>
      <c r="AE22" t="str">
        <f>IFERROR(M22&amp;"*"&amp;ROUND(Q22*(N22/(N22+P22))/VLOOKUP(M22,职业!$A$3:$E$16,4,FALSE),0),"")</f>
        <v/>
      </c>
      <c r="AF22" t="str">
        <f>IFERROR(O22&amp;"*"&amp;ROUND(Q22*(P22/(N22+P22))/VLOOKUP(O22,职业!$A$3:$E$16,4,FALSE),0),"")</f>
        <v/>
      </c>
      <c r="AG22" t="str">
        <f>IFERROR(R22&amp;"*"&amp;ROUND(V22*(S22/(S22+U22))/VLOOKUP(R22,商品!$A$4:$D$67,4,FALSE),0),"")</f>
        <v/>
      </c>
      <c r="AH22" t="str">
        <f>IFERROR(T22&amp;"*"&amp;ROUND(V22*(U22/(S22+U22))/VLOOKUP(T22,商品!$A$4:$D$67,4,FALSE),0),"")</f>
        <v/>
      </c>
    </row>
    <row r="23" customHeight="1" spans="1:34">
      <c r="A23" s="15" t="s">
        <v>290</v>
      </c>
      <c r="C23" s="2">
        <v>4</v>
      </c>
      <c r="D23" s="2" t="s">
        <v>220</v>
      </c>
      <c r="E23" s="2" t="s">
        <v>224</v>
      </c>
      <c r="L23" s="2">
        <f>IFERROR(VLOOKUP($D23&amp;$C23,生产方式定位!$A$2:$E$39,2,FALSE)+VLOOKUP($E23&amp;$C23,生产方式定位!$F$3:$J$39,2,FALSE),0)</f>
        <v>7500</v>
      </c>
      <c r="Q23" s="2">
        <f>IFERROR(VLOOKUP($D23&amp;$C23,生产方式定位!$A$2:$E$39,3,FALSE)+VLOOKUP($E23&amp;$C23,生产方式定位!$F$3:$J$39,3,FALSE),0)</f>
        <v>2000</v>
      </c>
      <c r="V23" s="2">
        <f>IFERROR(VLOOKUP($D23&amp;$C23,生产方式定位!$A$2:$E$39,5,FALSE)+VLOOKUP($E23&amp;$C23,生产方式定位!$F$3:$J$39,5,FALSE),"错误")</f>
        <v>5260</v>
      </c>
      <c r="W23" s="3" t="str">
        <f t="shared" si="0"/>
        <v/>
      </c>
      <c r="X23" s="4" t="str">
        <f t="shared" si="1"/>
        <v/>
      </c>
      <c r="Y23" s="4" t="str">
        <f t="shared" si="2"/>
        <v/>
      </c>
      <c r="Z23" s="5">
        <f t="shared" si="3"/>
        <v>1.43</v>
      </c>
      <c r="AA23" s="6">
        <f t="shared" si="4"/>
        <v>4</v>
      </c>
      <c r="AB23" t="str">
        <f>IFERROR(F23&amp;"*"&amp;ROUND(L23*(G23/(G23+I23+K23))/VLOOKUP(F23,商品!$A$4:$D$67,4,FALSE),0),"")</f>
        <v/>
      </c>
      <c r="AC23" t="str">
        <f>IFERROR(H23&amp;"*"&amp;ROUND(L23*(I23/(G23+I23+K23))/VLOOKUP(H23,商品!$A$4:$D$67,4,FALSE),0),"")</f>
        <v/>
      </c>
      <c r="AD23" t="str">
        <f>IFERROR(J23&amp;"*"&amp;ROUND(L23*(K23/(G23+I23+K23))/VLOOKUP(J23,商品!$A$4:$D$67,4,FALSE),0),"")</f>
        <v/>
      </c>
      <c r="AE23" t="str">
        <f>IFERROR(M23&amp;"*"&amp;ROUND(Q23*(N23/(N23+P23))/VLOOKUP(M23,职业!$A$3:$E$16,4,FALSE),0),"")</f>
        <v/>
      </c>
      <c r="AF23" t="str">
        <f>IFERROR(O23&amp;"*"&amp;ROUND(Q23*(P23/(N23+P23))/VLOOKUP(O23,职业!$A$3:$E$16,4,FALSE),0),"")</f>
        <v/>
      </c>
      <c r="AG23" t="str">
        <f>IFERROR(R23&amp;"*"&amp;ROUND(V23*(S23/(S23+U23))/VLOOKUP(R23,商品!$A$4:$D$67,4,FALSE),0),"")</f>
        <v/>
      </c>
      <c r="AH23" t="str">
        <f>IFERROR(T23&amp;"*"&amp;ROUND(V23*(U23/(S23+U23))/VLOOKUP(T23,商品!$A$4:$D$67,4,FALSE),0),"")</f>
        <v/>
      </c>
    </row>
    <row r="24" customHeight="1" spans="1:34">
      <c r="A24" s="15" t="s">
        <v>290</v>
      </c>
      <c r="C24" s="2">
        <v>5</v>
      </c>
      <c r="D24" s="2" t="s">
        <v>220</v>
      </c>
      <c r="E24" s="2" t="s">
        <v>224</v>
      </c>
      <c r="L24" s="2">
        <f>IFERROR(VLOOKUP($D24&amp;$C24,生产方式定位!$A$2:$E$39,2,FALSE)+VLOOKUP($E24&amp;$C24,生产方式定位!$F$3:$J$39,2,FALSE),0)</f>
        <v>9000</v>
      </c>
      <c r="Q24" s="2">
        <f>IFERROR(VLOOKUP($D24&amp;$C24,生产方式定位!$A$2:$E$39,3,FALSE)+VLOOKUP($E24&amp;$C24,生产方式定位!$F$3:$J$39,3,FALSE),0)</f>
        <v>2000</v>
      </c>
      <c r="V24" s="2">
        <f>IFERROR(VLOOKUP($D24&amp;$C24,生产方式定位!$A$2:$E$39,5,FALSE)+VLOOKUP($E24&amp;$C24,生产方式定位!$F$3:$J$39,5,FALSE),"错误")</f>
        <v>6340</v>
      </c>
      <c r="W24" s="3" t="str">
        <f t="shared" si="0"/>
        <v/>
      </c>
      <c r="X24" s="4" t="str">
        <f t="shared" si="1"/>
        <v/>
      </c>
      <c r="Y24" s="4" t="str">
        <f t="shared" si="2"/>
        <v/>
      </c>
      <c r="Z24" s="5">
        <f t="shared" si="3"/>
        <v>1.42</v>
      </c>
      <c r="AA24" s="6">
        <f t="shared" si="4"/>
        <v>5</v>
      </c>
      <c r="AB24" t="str">
        <f>IFERROR(F24&amp;"*"&amp;ROUND(L24*(G24/(G24+I24+K24))/VLOOKUP(F24,商品!$A$4:$D$67,4,FALSE),0),"")</f>
        <v/>
      </c>
      <c r="AC24" t="str">
        <f>IFERROR(H24&amp;"*"&amp;ROUND(L24*(I24/(G24+I24+K24))/VLOOKUP(H24,商品!$A$4:$D$67,4,FALSE),0),"")</f>
        <v/>
      </c>
      <c r="AD24" t="str">
        <f>IFERROR(J24&amp;"*"&amp;ROUND(L24*(K24/(G24+I24+K24))/VLOOKUP(J24,商品!$A$4:$D$67,4,FALSE),0),"")</f>
        <v/>
      </c>
      <c r="AE24" t="str">
        <f>IFERROR(M24&amp;"*"&amp;ROUND(Q24*(N24/(N24+P24))/VLOOKUP(M24,职业!$A$3:$E$16,4,FALSE),0),"")</f>
        <v/>
      </c>
      <c r="AF24" t="str">
        <f>IFERROR(O24&amp;"*"&amp;ROUND(Q24*(P24/(N24+P24))/VLOOKUP(O24,职业!$A$3:$E$16,4,FALSE),0),"")</f>
        <v/>
      </c>
      <c r="AG24" t="str">
        <f>IFERROR(R24&amp;"*"&amp;ROUND(V24*(S24/(S24+U24))/VLOOKUP(R24,商品!$A$4:$D$67,4,FALSE),0),"")</f>
        <v/>
      </c>
      <c r="AH24" t="str">
        <f>IFERROR(T24&amp;"*"&amp;ROUND(V24*(U24/(S24+U24))/VLOOKUP(T24,商品!$A$4:$D$67,4,FALSE),0),"")</f>
        <v/>
      </c>
    </row>
    <row r="25" customHeight="1" spans="1:34">
      <c r="A25" s="14" t="s">
        <v>291</v>
      </c>
      <c r="C25" s="2">
        <v>1</v>
      </c>
      <c r="D25" s="2" t="s">
        <v>220</v>
      </c>
      <c r="E25" s="2" t="s">
        <v>225</v>
      </c>
      <c r="L25" s="2">
        <f>IFERROR(VLOOKUP($D25&amp;$C25,生产方式定位!$A$2:$E$39,2,FALSE)+VLOOKUP($E25&amp;$C25,生产方式定位!$F$3:$J$39,2,FALSE),0)</f>
        <v>2000</v>
      </c>
      <c r="Q25" s="2">
        <f>IFERROR(VLOOKUP($D25&amp;$C25,生产方式定位!$A$2:$E$39,3,FALSE)+VLOOKUP($E25&amp;$C25,生产方式定位!$F$3:$J$39,3,FALSE),0)</f>
        <v>2000</v>
      </c>
      <c r="V25" s="2">
        <f>IFERROR(VLOOKUP($D25&amp;$C25,生产方式定位!$A$2:$E$39,5,FALSE)+VLOOKUP($E25&amp;$C25,生产方式定位!$F$3:$J$39,5,FALSE),"错误")</f>
        <v>2000</v>
      </c>
      <c r="W25" s="3" t="str">
        <f t="shared" si="0"/>
        <v/>
      </c>
      <c r="X25" s="4" t="str">
        <f t="shared" si="1"/>
        <v/>
      </c>
      <c r="Y25" s="4" t="str">
        <f t="shared" si="2"/>
        <v/>
      </c>
      <c r="Z25" s="5">
        <f t="shared" si="3"/>
        <v>1</v>
      </c>
      <c r="AA25" s="6">
        <f t="shared" si="4"/>
        <v>1</v>
      </c>
      <c r="AB25" t="str">
        <f>IFERROR(F25&amp;"*"&amp;ROUND(L25*(G25/(G25+I25+K25))/VLOOKUP(F25,商品!$A$4:$D$67,4,FALSE),0),"")</f>
        <v/>
      </c>
      <c r="AC25" t="str">
        <f>IFERROR(H25&amp;"*"&amp;ROUND(L25*(I25/(G25+I25+K25))/VLOOKUP(H25,商品!$A$4:$D$67,4,FALSE),0),"")</f>
        <v/>
      </c>
      <c r="AD25" t="str">
        <f>IFERROR(J25&amp;"*"&amp;ROUND(L25*(K25/(G25+I25+K25))/VLOOKUP(J25,商品!$A$4:$D$67,4,FALSE),0),"")</f>
        <v/>
      </c>
      <c r="AE25" t="str">
        <f>IFERROR(M25&amp;"*"&amp;ROUND(Q25*(N25/(N25+P25))/VLOOKUP(M25,职业!$A$3:$E$16,4,FALSE),0),"")</f>
        <v/>
      </c>
      <c r="AF25" t="str">
        <f>IFERROR(O25&amp;"*"&amp;ROUND(Q25*(P25/(N25+P25))/VLOOKUP(O25,职业!$A$3:$E$16,4,FALSE),0),"")</f>
        <v/>
      </c>
      <c r="AG25" t="str">
        <f>IFERROR(R25&amp;"*"&amp;ROUND(V25*(S25/(S25+U25))/VLOOKUP(R25,商品!$A$4:$D$67,4,FALSE),0),"")</f>
        <v/>
      </c>
      <c r="AH25" t="str">
        <f>IFERROR(T25&amp;"*"&amp;ROUND(V25*(U25/(S25+U25))/VLOOKUP(T25,商品!$A$4:$D$67,4,FALSE),0),"")</f>
        <v/>
      </c>
    </row>
    <row r="26" customHeight="1" spans="1:34">
      <c r="A26" s="14" t="s">
        <v>291</v>
      </c>
      <c r="C26" s="2">
        <v>2</v>
      </c>
      <c r="D26" s="2" t="s">
        <v>220</v>
      </c>
      <c r="E26" s="2" t="s">
        <v>225</v>
      </c>
      <c r="L26" s="2">
        <f>IFERROR(VLOOKUP($D26&amp;$C26,生产方式定位!$A$2:$E$39,2,FALSE)+VLOOKUP($E26&amp;$C26,生产方式定位!$F$3:$J$39,2,FALSE),0)</f>
        <v>2500</v>
      </c>
      <c r="Q26" s="2">
        <f>IFERROR(VLOOKUP($D26&amp;$C26,生产方式定位!$A$2:$E$39,3,FALSE)+VLOOKUP($E26&amp;$C26,生产方式定位!$F$3:$J$39,3,FALSE),0)</f>
        <v>2200</v>
      </c>
      <c r="V26" s="2">
        <f>IFERROR(VLOOKUP($D26&amp;$C26,生产方式定位!$A$2:$E$39,5,FALSE)+VLOOKUP($E26&amp;$C26,生产方式定位!$F$3:$J$39,5,FALSE),"错误")</f>
        <v>2350</v>
      </c>
      <c r="W26" s="3" t="str">
        <f t="shared" si="0"/>
        <v/>
      </c>
      <c r="X26" s="4" t="str">
        <f t="shared" si="1"/>
        <v/>
      </c>
      <c r="Y26" s="4" t="str">
        <f t="shared" si="2"/>
        <v/>
      </c>
      <c r="Z26" s="5">
        <f t="shared" si="3"/>
        <v>1.06</v>
      </c>
      <c r="AA26" s="6">
        <f t="shared" si="4"/>
        <v>2</v>
      </c>
      <c r="AB26" t="str">
        <f>IFERROR(F26&amp;"*"&amp;ROUND(L26*(G26/(G26+I26+K26))/VLOOKUP(F26,商品!$A$4:$D$67,4,FALSE),0),"")</f>
        <v/>
      </c>
      <c r="AC26" t="str">
        <f>IFERROR(H26&amp;"*"&amp;ROUND(L26*(I26/(G26+I26+K26))/VLOOKUP(H26,商品!$A$4:$D$67,4,FALSE),0),"")</f>
        <v/>
      </c>
      <c r="AD26" t="str">
        <f>IFERROR(J26&amp;"*"&amp;ROUND(L26*(K26/(G26+I26+K26))/VLOOKUP(J26,商品!$A$4:$D$67,4,FALSE),0),"")</f>
        <v/>
      </c>
      <c r="AE26" t="str">
        <f>IFERROR(M26&amp;"*"&amp;ROUND(Q26*(N26/(N26+P26))/VLOOKUP(M26,职业!$A$3:$E$16,4,FALSE),0),"")</f>
        <v/>
      </c>
      <c r="AF26" t="str">
        <f>IFERROR(O26&amp;"*"&amp;ROUND(Q26*(P26/(N26+P26))/VLOOKUP(O26,职业!$A$3:$E$16,4,FALSE),0),"")</f>
        <v/>
      </c>
      <c r="AG26" t="str">
        <f>IFERROR(R26&amp;"*"&amp;ROUND(V26*(S26/(S26+U26))/VLOOKUP(R26,商品!$A$4:$D$67,4,FALSE),0),"")</f>
        <v/>
      </c>
      <c r="AH26" t="str">
        <f>IFERROR(T26&amp;"*"&amp;ROUND(V26*(U26/(S26+U26))/VLOOKUP(T26,商品!$A$4:$D$67,4,FALSE),0),"")</f>
        <v/>
      </c>
    </row>
    <row r="27" customHeight="1" spans="1:34">
      <c r="A27" s="14" t="s">
        <v>291</v>
      </c>
      <c r="C27" s="2">
        <v>3</v>
      </c>
      <c r="D27" s="2" t="s">
        <v>220</v>
      </c>
      <c r="E27" s="2" t="s">
        <v>225</v>
      </c>
      <c r="L27" s="2">
        <f>IFERROR(VLOOKUP($D27&amp;$C27,生产方式定位!$A$2:$E$39,2,FALSE)+VLOOKUP($E27&amp;$C27,生产方式定位!$F$3:$J$39,2,FALSE),0)</f>
        <v>3000</v>
      </c>
      <c r="Q27" s="2">
        <f>IFERROR(VLOOKUP($D27&amp;$C27,生产方式定位!$A$2:$E$39,3,FALSE)+VLOOKUP($E27&amp;$C27,生产方式定位!$F$3:$J$39,3,FALSE),0)</f>
        <v>2400</v>
      </c>
      <c r="V27" s="2">
        <f>IFERROR(VLOOKUP($D27&amp;$C27,生产方式定位!$A$2:$E$39,5,FALSE)+VLOOKUP($E27&amp;$C27,生产方式定位!$F$3:$J$39,5,FALSE),"错误")</f>
        <v>2700</v>
      </c>
      <c r="W27" s="3" t="str">
        <f t="shared" si="0"/>
        <v/>
      </c>
      <c r="X27" s="4" t="str">
        <f t="shared" si="1"/>
        <v/>
      </c>
      <c r="Y27" s="4" t="str">
        <f t="shared" si="2"/>
        <v/>
      </c>
      <c r="Z27" s="5">
        <f t="shared" si="3"/>
        <v>1.11</v>
      </c>
      <c r="AA27" s="6">
        <f t="shared" si="4"/>
        <v>3</v>
      </c>
      <c r="AB27" t="str">
        <f>IFERROR(F27&amp;"*"&amp;ROUND(L27*(G27/(G27+I27+K27))/VLOOKUP(F27,商品!$A$4:$D$67,4,FALSE),0),"")</f>
        <v/>
      </c>
      <c r="AC27" t="str">
        <f>IFERROR(H27&amp;"*"&amp;ROUND(L27*(I27/(G27+I27+K27))/VLOOKUP(H27,商品!$A$4:$D$67,4,FALSE),0),"")</f>
        <v/>
      </c>
      <c r="AD27" t="str">
        <f>IFERROR(J27&amp;"*"&amp;ROUND(L27*(K27/(G27+I27+K27))/VLOOKUP(J27,商品!$A$4:$D$67,4,FALSE),0),"")</f>
        <v/>
      </c>
      <c r="AE27" t="str">
        <f>IFERROR(M27&amp;"*"&amp;ROUND(Q27*(N27/(N27+P27))/VLOOKUP(M27,职业!$A$3:$E$16,4,FALSE),0),"")</f>
        <v/>
      </c>
      <c r="AF27" t="str">
        <f>IFERROR(O27&amp;"*"&amp;ROUND(Q27*(P27/(N27+P27))/VLOOKUP(O27,职业!$A$3:$E$16,4,FALSE),0),"")</f>
        <v/>
      </c>
      <c r="AG27" t="str">
        <f>IFERROR(R27&amp;"*"&amp;ROUND(V27*(S27/(S27+U27))/VLOOKUP(R27,商品!$A$4:$D$67,4,FALSE),0),"")</f>
        <v/>
      </c>
      <c r="AH27" t="str">
        <f>IFERROR(T27&amp;"*"&amp;ROUND(V27*(U27/(S27+U27))/VLOOKUP(T27,商品!$A$4:$D$67,4,FALSE),0),"")</f>
        <v/>
      </c>
    </row>
    <row r="28" customHeight="1" spans="1:34">
      <c r="A28" s="14" t="s">
        <v>291</v>
      </c>
      <c r="C28" s="2">
        <v>4</v>
      </c>
      <c r="D28" s="2" t="s">
        <v>220</v>
      </c>
      <c r="E28" s="2" t="s">
        <v>225</v>
      </c>
      <c r="L28" s="2">
        <f>IFERROR(VLOOKUP($D28&amp;$C28,生产方式定位!$A$2:$E$39,2,FALSE)+VLOOKUP($E28&amp;$C28,生产方式定位!$F$3:$J$39,2,FALSE),0)</f>
        <v>3500</v>
      </c>
      <c r="Q28" s="2">
        <f>IFERROR(VLOOKUP($D28&amp;$C28,生产方式定位!$A$2:$E$39,3,FALSE)+VLOOKUP($E28&amp;$C28,生产方式定位!$F$3:$J$39,3,FALSE),0)</f>
        <v>2600</v>
      </c>
      <c r="V28" s="2">
        <f>IFERROR(VLOOKUP($D28&amp;$C28,生产方式定位!$A$2:$E$39,5,FALSE)+VLOOKUP($E28&amp;$C28,生产方式定位!$F$3:$J$39,5,FALSE),"错误")</f>
        <v>3050</v>
      </c>
      <c r="W28" s="3" t="str">
        <f t="shared" si="0"/>
        <v/>
      </c>
      <c r="X28" s="4" t="str">
        <f t="shared" si="1"/>
        <v/>
      </c>
      <c r="Y28" s="4" t="str">
        <f t="shared" si="2"/>
        <v/>
      </c>
      <c r="Z28" s="5">
        <f t="shared" si="3"/>
        <v>1.15</v>
      </c>
      <c r="AA28" s="6">
        <f t="shared" si="4"/>
        <v>4</v>
      </c>
      <c r="AB28" t="str">
        <f>IFERROR(F28&amp;"*"&amp;ROUND(L28*(G28/(G28+I28+K28))/VLOOKUP(F28,商品!$A$4:$D$67,4,FALSE),0),"")</f>
        <v/>
      </c>
      <c r="AC28" t="str">
        <f>IFERROR(H28&amp;"*"&amp;ROUND(L28*(I28/(G28+I28+K28))/VLOOKUP(H28,商品!$A$4:$D$67,4,FALSE),0),"")</f>
        <v/>
      </c>
      <c r="AD28" t="str">
        <f>IFERROR(J28&amp;"*"&amp;ROUND(L28*(K28/(G28+I28+K28))/VLOOKUP(J28,商品!$A$4:$D$67,4,FALSE),0),"")</f>
        <v/>
      </c>
      <c r="AE28" t="str">
        <f>IFERROR(M28&amp;"*"&amp;ROUND(Q28*(N28/(N28+P28))/VLOOKUP(M28,职业!$A$3:$E$16,4,FALSE),0),"")</f>
        <v/>
      </c>
      <c r="AF28" t="str">
        <f>IFERROR(O28&amp;"*"&amp;ROUND(Q28*(P28/(N28+P28))/VLOOKUP(O28,职业!$A$3:$E$16,4,FALSE),0),"")</f>
        <v/>
      </c>
      <c r="AG28" t="str">
        <f>IFERROR(R28&amp;"*"&amp;ROUND(V28*(S28/(S28+U28))/VLOOKUP(R28,商品!$A$4:$D$67,4,FALSE),0),"")</f>
        <v/>
      </c>
      <c r="AH28" t="str">
        <f>IFERROR(T28&amp;"*"&amp;ROUND(V28*(U28/(S28+U28))/VLOOKUP(T28,商品!$A$4:$D$67,4,FALSE),0),"")</f>
        <v/>
      </c>
    </row>
    <row r="29" customHeight="1" spans="1:34">
      <c r="A29" s="14" t="s">
        <v>291</v>
      </c>
      <c r="C29" s="2">
        <v>5</v>
      </c>
      <c r="D29" s="2" t="s">
        <v>220</v>
      </c>
      <c r="E29" s="2" t="s">
        <v>225</v>
      </c>
      <c r="L29" s="2">
        <f>IFERROR(VLOOKUP($D29&amp;$C29,生产方式定位!$A$2:$E$39,2,FALSE)+VLOOKUP($E29&amp;$C29,生产方式定位!$F$3:$J$39,2,FALSE),0)</f>
        <v>4000</v>
      </c>
      <c r="Q29" s="2">
        <f>IFERROR(VLOOKUP($D29&amp;$C29,生产方式定位!$A$2:$E$39,3,FALSE)+VLOOKUP($E29&amp;$C29,生产方式定位!$F$3:$J$39,3,FALSE),0)</f>
        <v>2800</v>
      </c>
      <c r="V29" s="2">
        <f>IFERROR(VLOOKUP($D29&amp;$C29,生产方式定位!$A$2:$E$39,5,FALSE)+VLOOKUP($E29&amp;$C29,生产方式定位!$F$3:$J$39,5,FALSE),"错误")</f>
        <v>3400</v>
      </c>
      <c r="W29" s="3" t="str">
        <f t="shared" si="0"/>
        <v/>
      </c>
      <c r="X29" s="4" t="str">
        <f t="shared" si="1"/>
        <v/>
      </c>
      <c r="Y29" s="4" t="str">
        <f t="shared" si="2"/>
        <v/>
      </c>
      <c r="Z29" s="5">
        <f t="shared" si="3"/>
        <v>1.18</v>
      </c>
      <c r="AA29" s="6">
        <f t="shared" si="4"/>
        <v>5</v>
      </c>
      <c r="AB29" t="str">
        <f>IFERROR(F29&amp;"*"&amp;ROUND(L29*(G29/(G29+I29+K29))/VLOOKUP(F29,商品!$A$4:$D$67,4,FALSE),0),"")</f>
        <v/>
      </c>
      <c r="AC29" t="str">
        <f>IFERROR(H29&amp;"*"&amp;ROUND(L29*(I29/(G29+I29+K29))/VLOOKUP(H29,商品!$A$4:$D$67,4,FALSE),0),"")</f>
        <v/>
      </c>
      <c r="AD29" t="str">
        <f>IFERROR(J29&amp;"*"&amp;ROUND(L29*(K29/(G29+I29+K29))/VLOOKUP(J29,商品!$A$4:$D$67,4,FALSE),0),"")</f>
        <v/>
      </c>
      <c r="AE29" t="str">
        <f>IFERROR(M29&amp;"*"&amp;ROUND(Q29*(N29/(N29+P29))/VLOOKUP(M29,职业!$A$3:$E$16,4,FALSE),0),"")</f>
        <v/>
      </c>
      <c r="AF29" t="str">
        <f>IFERROR(O29&amp;"*"&amp;ROUND(Q29*(P29/(N29+P29))/VLOOKUP(O29,职业!$A$3:$E$16,4,FALSE),0),"")</f>
        <v/>
      </c>
      <c r="AG29" t="str">
        <f>IFERROR(R29&amp;"*"&amp;ROUND(V29*(S29/(S29+U29))/VLOOKUP(R29,商品!$A$4:$D$67,4,FALSE),0),"")</f>
        <v/>
      </c>
      <c r="AH29" t="str">
        <f>IFERROR(T29&amp;"*"&amp;ROUND(V29*(U29/(S29+U29))/VLOOKUP(T29,商品!$A$4:$D$67,4,FALSE),0),"")</f>
        <v/>
      </c>
    </row>
    <row r="30" customHeight="1" spans="1:34">
      <c r="A30" s="14" t="s">
        <v>291</v>
      </c>
      <c r="C30" s="2">
        <v>1</v>
      </c>
      <c r="D30" s="2" t="s">
        <v>220</v>
      </c>
      <c r="E30" s="2" t="s">
        <v>225</v>
      </c>
      <c r="L30" s="2">
        <f>IFERROR(VLOOKUP($D30&amp;$C30,生产方式定位!$A$2:$E$39,2,FALSE)+VLOOKUP($E30&amp;$C30,生产方式定位!$F$3:$J$39,2,FALSE),0)</f>
        <v>2000</v>
      </c>
      <c r="Q30" s="2">
        <f>IFERROR(VLOOKUP($D30&amp;$C30,生产方式定位!$A$2:$E$39,3,FALSE)+VLOOKUP($E30&amp;$C30,生产方式定位!$F$3:$J$39,3,FALSE),0)</f>
        <v>2000</v>
      </c>
      <c r="V30" s="2">
        <f>IFERROR(VLOOKUP($D30&amp;$C30,生产方式定位!$A$2:$E$39,5,FALSE)+VLOOKUP($E30&amp;$C30,生产方式定位!$F$3:$J$39,5,FALSE),"错误")</f>
        <v>2000</v>
      </c>
      <c r="W30" s="3" t="str">
        <f t="shared" si="0"/>
        <v/>
      </c>
      <c r="X30" s="4" t="str">
        <f t="shared" si="1"/>
        <v/>
      </c>
      <c r="Y30" s="4" t="str">
        <f t="shared" si="2"/>
        <v/>
      </c>
      <c r="Z30" s="5">
        <f t="shared" si="3"/>
        <v>1</v>
      </c>
      <c r="AA30" s="6">
        <f t="shared" si="4"/>
        <v>1</v>
      </c>
      <c r="AB30" t="str">
        <f>IFERROR(F30&amp;"*"&amp;ROUND(L30*(G30/(G30+I30+K30))/VLOOKUP(F30,商品!$A$4:$D$67,4,FALSE),0),"")</f>
        <v/>
      </c>
      <c r="AC30" t="str">
        <f>IFERROR(H30&amp;"*"&amp;ROUND(L30*(I30/(G30+I30+K30))/VLOOKUP(H30,商品!$A$4:$D$67,4,FALSE),0),"")</f>
        <v/>
      </c>
      <c r="AD30" t="str">
        <f>IFERROR(J30&amp;"*"&amp;ROUND(L30*(K30/(G30+I30+K30))/VLOOKUP(J30,商品!$A$4:$D$67,4,FALSE),0),"")</f>
        <v/>
      </c>
      <c r="AE30" t="str">
        <f>IFERROR(M30&amp;"*"&amp;ROUND(Q30*(N30/(N30+P30))/VLOOKUP(M30,职业!$A$3:$E$16,4,FALSE),0),"")</f>
        <v/>
      </c>
      <c r="AF30" t="str">
        <f>IFERROR(O30&amp;"*"&amp;ROUND(Q30*(P30/(N30+P30))/VLOOKUP(O30,职业!$A$3:$E$16,4,FALSE),0),"")</f>
        <v/>
      </c>
      <c r="AG30" t="str">
        <f>IFERROR(R30&amp;"*"&amp;ROUND(V30*(S30/(S30+U30))/VLOOKUP(R30,商品!$A$4:$D$67,4,FALSE),0),"")</f>
        <v/>
      </c>
      <c r="AH30" t="str">
        <f>IFERROR(T30&amp;"*"&amp;ROUND(V30*(U30/(S30+U30))/VLOOKUP(T30,商品!$A$4:$D$67,4,FALSE),0),"")</f>
        <v/>
      </c>
    </row>
    <row r="31" customHeight="1" spans="1:34">
      <c r="A31" s="14" t="s">
        <v>291</v>
      </c>
      <c r="C31" s="2">
        <v>2</v>
      </c>
      <c r="D31" s="2" t="s">
        <v>220</v>
      </c>
      <c r="E31" s="2" t="s">
        <v>225</v>
      </c>
      <c r="L31" s="2">
        <f>IFERROR(VLOOKUP($D31&amp;$C31,生产方式定位!$A$2:$E$39,2,FALSE)+VLOOKUP($E31&amp;$C31,生产方式定位!$F$3:$J$39,2,FALSE),0)</f>
        <v>2500</v>
      </c>
      <c r="Q31" s="2">
        <f>IFERROR(VLOOKUP($D31&amp;$C31,生产方式定位!$A$2:$E$39,3,FALSE)+VLOOKUP($E31&amp;$C31,生产方式定位!$F$3:$J$39,3,FALSE),0)</f>
        <v>2200</v>
      </c>
      <c r="V31" s="2">
        <f>IFERROR(VLOOKUP($D31&amp;$C31,生产方式定位!$A$2:$E$39,5,FALSE)+VLOOKUP($E31&amp;$C31,生产方式定位!$F$3:$J$39,5,FALSE),"错误")</f>
        <v>2350</v>
      </c>
      <c r="W31" s="3" t="str">
        <f t="shared" si="0"/>
        <v/>
      </c>
      <c r="X31" s="4" t="str">
        <f t="shared" si="1"/>
        <v/>
      </c>
      <c r="Y31" s="4" t="str">
        <f t="shared" si="2"/>
        <v/>
      </c>
      <c r="Z31" s="5">
        <f t="shared" si="3"/>
        <v>1.06</v>
      </c>
      <c r="AA31" s="6">
        <f t="shared" si="4"/>
        <v>2</v>
      </c>
      <c r="AB31" t="str">
        <f>IFERROR(F31&amp;"*"&amp;ROUND(L31*(G31/(G31+I31+K31))/VLOOKUP(F31,商品!$A$4:$D$67,4,FALSE),0),"")</f>
        <v/>
      </c>
      <c r="AC31" t="str">
        <f>IFERROR(H31&amp;"*"&amp;ROUND(L31*(I31/(G31+I31+K31))/VLOOKUP(H31,商品!$A$4:$D$67,4,FALSE),0),"")</f>
        <v/>
      </c>
      <c r="AD31" t="str">
        <f>IFERROR(J31&amp;"*"&amp;ROUND(L31*(K31/(G31+I31+K31))/VLOOKUP(J31,商品!$A$4:$D$67,4,FALSE),0),"")</f>
        <v/>
      </c>
      <c r="AE31" t="str">
        <f>IFERROR(M31&amp;"*"&amp;ROUND(Q31*(N31/(N31+P31))/VLOOKUP(M31,职业!$A$3:$E$16,4,FALSE),0),"")</f>
        <v/>
      </c>
      <c r="AF31" t="str">
        <f>IFERROR(O31&amp;"*"&amp;ROUND(Q31*(P31/(N31+P31))/VLOOKUP(O31,职业!$A$3:$E$16,4,FALSE),0),"")</f>
        <v/>
      </c>
      <c r="AG31" t="str">
        <f>IFERROR(R31&amp;"*"&amp;ROUND(V31*(S31/(S31+U31))/VLOOKUP(R31,商品!$A$4:$D$67,4,FALSE),0),"")</f>
        <v/>
      </c>
      <c r="AH31" t="str">
        <f>IFERROR(T31&amp;"*"&amp;ROUND(V31*(U31/(S31+U31))/VLOOKUP(T31,商品!$A$4:$D$67,4,FALSE),0),"")</f>
        <v/>
      </c>
    </row>
    <row r="32" customHeight="1" spans="1:34">
      <c r="A32" s="14" t="s">
        <v>291</v>
      </c>
      <c r="C32" s="2">
        <v>3</v>
      </c>
      <c r="D32" s="2" t="s">
        <v>220</v>
      </c>
      <c r="E32" s="2" t="s">
        <v>225</v>
      </c>
      <c r="L32" s="2">
        <f>IFERROR(VLOOKUP($D32&amp;$C32,生产方式定位!$A$2:$E$39,2,FALSE)+VLOOKUP($E32&amp;$C32,生产方式定位!$F$3:$J$39,2,FALSE),0)</f>
        <v>3000</v>
      </c>
      <c r="Q32" s="2">
        <f>IFERROR(VLOOKUP($D32&amp;$C32,生产方式定位!$A$2:$E$39,3,FALSE)+VLOOKUP($E32&amp;$C32,生产方式定位!$F$3:$J$39,3,FALSE),0)</f>
        <v>2400</v>
      </c>
      <c r="V32" s="2">
        <f>IFERROR(VLOOKUP($D32&amp;$C32,生产方式定位!$A$2:$E$39,5,FALSE)+VLOOKUP($E32&amp;$C32,生产方式定位!$F$3:$J$39,5,FALSE),"错误")</f>
        <v>2700</v>
      </c>
      <c r="W32" s="3" t="str">
        <f t="shared" si="0"/>
        <v/>
      </c>
      <c r="X32" s="4" t="str">
        <f t="shared" si="1"/>
        <v/>
      </c>
      <c r="Y32" s="4" t="str">
        <f t="shared" si="2"/>
        <v/>
      </c>
      <c r="Z32" s="5">
        <f t="shared" si="3"/>
        <v>1.11</v>
      </c>
      <c r="AA32" s="6">
        <f t="shared" si="4"/>
        <v>3</v>
      </c>
      <c r="AB32" t="str">
        <f>IFERROR(F32&amp;"*"&amp;ROUND(L32*(G32/(G32+I32+K32))/VLOOKUP(F32,商品!$A$4:$D$67,4,FALSE),0),"")</f>
        <v/>
      </c>
      <c r="AC32" t="str">
        <f>IFERROR(H32&amp;"*"&amp;ROUND(L32*(I32/(G32+I32+K32))/VLOOKUP(H32,商品!$A$4:$D$67,4,FALSE),0),"")</f>
        <v/>
      </c>
      <c r="AD32" t="str">
        <f>IFERROR(J32&amp;"*"&amp;ROUND(L32*(K32/(G32+I32+K32))/VLOOKUP(J32,商品!$A$4:$D$67,4,FALSE),0),"")</f>
        <v/>
      </c>
      <c r="AE32" t="str">
        <f>IFERROR(M32&amp;"*"&amp;ROUND(Q32*(N32/(N32+P32))/VLOOKUP(M32,职业!$A$3:$E$16,4,FALSE),0),"")</f>
        <v/>
      </c>
      <c r="AF32" t="str">
        <f>IFERROR(O32&amp;"*"&amp;ROUND(Q32*(P32/(N32+P32))/VLOOKUP(O32,职业!$A$3:$E$16,4,FALSE),0),"")</f>
        <v/>
      </c>
      <c r="AG32" t="str">
        <f>IFERROR(R32&amp;"*"&amp;ROUND(V32*(S32/(S32+U32))/VLOOKUP(R32,商品!$A$4:$D$67,4,FALSE),0),"")</f>
        <v/>
      </c>
      <c r="AH32" t="str">
        <f>IFERROR(T32&amp;"*"&amp;ROUND(V32*(U32/(S32+U32))/VLOOKUP(T32,商品!$A$4:$D$67,4,FALSE),0),"")</f>
        <v/>
      </c>
    </row>
    <row r="33" customHeight="1" spans="1:34">
      <c r="A33" s="15" t="s">
        <v>293</v>
      </c>
      <c r="C33" s="2">
        <v>4</v>
      </c>
      <c r="D33" s="2" t="s">
        <v>220</v>
      </c>
      <c r="E33" s="2" t="s">
        <v>222</v>
      </c>
      <c r="L33" s="2">
        <f>IFERROR(VLOOKUP($D33&amp;$C33,生产方式定位!$A$2:$E$39,2,FALSE)+VLOOKUP($E33&amp;$C33,生产方式定位!$F$3:$J$39,2,FALSE),0)</f>
        <v>6500</v>
      </c>
      <c r="Q33" s="2">
        <f>IFERROR(VLOOKUP($D33&amp;$C33,生产方式定位!$A$2:$E$39,3,FALSE)+VLOOKUP($E33&amp;$C33,生产方式定位!$F$3:$J$39,3,FALSE),0)</f>
        <v>3200</v>
      </c>
      <c r="V33" s="2">
        <f>IFERROR(VLOOKUP($D33&amp;$C33,生产方式定位!$A$2:$E$39,5,FALSE)+VLOOKUP($E33&amp;$C33,生产方式定位!$F$3:$J$39,5,FALSE),"错误")</f>
        <v>5498</v>
      </c>
      <c r="W33" s="3" t="str">
        <f t="shared" si="0"/>
        <v/>
      </c>
      <c r="X33" s="4" t="str">
        <f t="shared" si="1"/>
        <v/>
      </c>
      <c r="Y33" s="4" t="str">
        <f t="shared" si="2"/>
        <v/>
      </c>
      <c r="Z33" s="5">
        <f t="shared" si="3"/>
        <v>1.18</v>
      </c>
      <c r="AA33" s="6">
        <f t="shared" si="4"/>
        <v>4</v>
      </c>
      <c r="AB33" t="str">
        <f>IFERROR(F33&amp;"*"&amp;ROUND(L33*(G33/(G33+I33+K33))/VLOOKUP(F33,商品!$A$4:$D$67,4,FALSE),0),"")</f>
        <v/>
      </c>
      <c r="AC33" t="str">
        <f>IFERROR(H33&amp;"*"&amp;ROUND(L33*(I33/(G33+I33+K33))/VLOOKUP(H33,商品!$A$4:$D$67,4,FALSE),0),"")</f>
        <v/>
      </c>
      <c r="AD33" t="str">
        <f>IFERROR(J33&amp;"*"&amp;ROUND(L33*(K33/(G33+I33+K33))/VLOOKUP(J33,商品!$A$4:$D$67,4,FALSE),0),"")</f>
        <v/>
      </c>
      <c r="AE33" t="str">
        <f>IFERROR(M33&amp;"*"&amp;ROUND(Q33*(N33/(N33+P33))/VLOOKUP(M33,职业!$A$3:$E$16,4,FALSE),0),"")</f>
        <v/>
      </c>
      <c r="AF33" t="str">
        <f>IFERROR(O33&amp;"*"&amp;ROUND(Q33*(P33/(N33+P33))/VLOOKUP(O33,职业!$A$3:$E$16,4,FALSE),0),"")</f>
        <v/>
      </c>
      <c r="AG33" t="str">
        <f>IFERROR(R33&amp;"*"&amp;ROUND(V33*(S33/(S33+U33))/VLOOKUP(R33,商品!$A$4:$D$67,4,FALSE),0),"")</f>
        <v/>
      </c>
      <c r="AH33" t="str">
        <f>IFERROR(T33&amp;"*"&amp;ROUND(V33*(U33/(S33+U33))/VLOOKUP(T33,商品!$A$4:$D$67,4,FALSE),0),"")</f>
        <v/>
      </c>
    </row>
    <row r="34" customHeight="1" spans="1:34">
      <c r="A34" s="15" t="s">
        <v>293</v>
      </c>
      <c r="C34" s="2">
        <v>5</v>
      </c>
      <c r="D34" s="2" t="s">
        <v>220</v>
      </c>
      <c r="E34" s="2" t="s">
        <v>222</v>
      </c>
      <c r="L34" s="2">
        <f>IFERROR(VLOOKUP($D34&amp;$C34,生产方式定位!$A$2:$E$39,2,FALSE)+VLOOKUP($E34&amp;$C34,生产方式定位!$F$3:$J$39,2,FALSE),0)</f>
        <v>8000</v>
      </c>
      <c r="Q34" s="2">
        <f>IFERROR(VLOOKUP($D34&amp;$C34,生产方式定位!$A$2:$E$39,3,FALSE)+VLOOKUP($E34&amp;$C34,生产方式定位!$F$3:$J$39,3,FALSE),0)</f>
        <v>3600</v>
      </c>
      <c r="V34" s="2">
        <f>IFERROR(VLOOKUP($D34&amp;$C34,生产方式定位!$A$2:$E$39,5,FALSE)+VLOOKUP($E34&amp;$C34,生产方式定位!$F$3:$J$39,5,FALSE),"错误")</f>
        <v>7000</v>
      </c>
      <c r="W34" s="3" t="str">
        <f t="shared" si="0"/>
        <v/>
      </c>
      <c r="X34" s="4" t="str">
        <f t="shared" si="1"/>
        <v/>
      </c>
      <c r="Y34" s="4" t="str">
        <f t="shared" si="2"/>
        <v/>
      </c>
      <c r="Z34" s="5">
        <f t="shared" si="3"/>
        <v>1.14</v>
      </c>
      <c r="AA34" s="6">
        <f t="shared" si="4"/>
        <v>5</v>
      </c>
      <c r="AB34" t="str">
        <f>IFERROR(F34&amp;"*"&amp;ROUND(L34*(G34/(G34+I34+K34))/VLOOKUP(F34,商品!$A$4:$D$67,4,FALSE),0),"")</f>
        <v/>
      </c>
      <c r="AC34" t="str">
        <f>IFERROR(H34&amp;"*"&amp;ROUND(L34*(I34/(G34+I34+K34))/VLOOKUP(H34,商品!$A$4:$D$67,4,FALSE),0),"")</f>
        <v/>
      </c>
      <c r="AD34" t="str">
        <f>IFERROR(J34&amp;"*"&amp;ROUND(L34*(K34/(G34+I34+K34))/VLOOKUP(J34,商品!$A$4:$D$67,4,FALSE),0),"")</f>
        <v/>
      </c>
      <c r="AE34" t="str">
        <f>IFERROR(M34&amp;"*"&amp;ROUND(Q34*(N34/(N34+P34))/VLOOKUP(M34,职业!$A$3:$E$16,4,FALSE),0),"")</f>
        <v/>
      </c>
      <c r="AF34" t="str">
        <f>IFERROR(O34&amp;"*"&amp;ROUND(Q34*(P34/(N34+P34))/VLOOKUP(O34,职业!$A$3:$E$16,4,FALSE),0),"")</f>
        <v/>
      </c>
      <c r="AG34" t="str">
        <f>IFERROR(R34&amp;"*"&amp;ROUND(V34*(S34/(S34+U34))/VLOOKUP(R34,商品!$A$4:$D$67,4,FALSE),0),"")</f>
        <v/>
      </c>
      <c r="AH34" t="str">
        <f>IFERROR(T34&amp;"*"&amp;ROUND(V34*(U34/(S34+U34))/VLOOKUP(T34,商品!$A$4:$D$67,4,FALSE),0),"")</f>
        <v/>
      </c>
    </row>
    <row r="35" customHeight="1" spans="1:34">
      <c r="A35" s="15" t="s">
        <v>293</v>
      </c>
      <c r="C35" s="2">
        <v>1</v>
      </c>
      <c r="D35" s="2" t="s">
        <v>220</v>
      </c>
      <c r="E35" s="2" t="s">
        <v>222</v>
      </c>
      <c r="L35" s="2">
        <f>IFERROR(VLOOKUP($D35&amp;$C35,生产方式定位!$A$2:$E$39,2,FALSE)+VLOOKUP($E35&amp;$C35,生产方式定位!$F$3:$J$39,2,FALSE),0)</f>
        <v>2000</v>
      </c>
      <c r="Q35" s="2">
        <f>IFERROR(VLOOKUP($D35&amp;$C35,生产方式定位!$A$2:$E$39,3,FALSE)+VLOOKUP($E35&amp;$C35,生产方式定位!$F$3:$J$39,3,FALSE),0)</f>
        <v>2000</v>
      </c>
      <c r="V35" s="2">
        <f>IFERROR(VLOOKUP($D35&amp;$C35,生产方式定位!$A$2:$E$39,5,FALSE)+VLOOKUP($E35&amp;$C35,生产方式定位!$F$3:$J$39,5,FALSE),"错误")</f>
        <v>2000</v>
      </c>
      <c r="W35" s="3" t="str">
        <f t="shared" si="0"/>
        <v/>
      </c>
      <c r="X35" s="4" t="str">
        <f t="shared" si="1"/>
        <v/>
      </c>
      <c r="Y35" s="4" t="str">
        <f t="shared" si="2"/>
        <v/>
      </c>
      <c r="Z35" s="5">
        <f t="shared" si="3"/>
        <v>1</v>
      </c>
      <c r="AA35" s="6">
        <f t="shared" si="4"/>
        <v>1</v>
      </c>
      <c r="AB35" t="str">
        <f>IFERROR(F35&amp;"*"&amp;ROUND(L35*(G35/(G35+I35+K35))/VLOOKUP(F35,商品!$A$4:$D$67,4,FALSE),0),"")</f>
        <v/>
      </c>
      <c r="AC35" t="str">
        <f>IFERROR(H35&amp;"*"&amp;ROUND(L35*(I35/(G35+I35+K35))/VLOOKUP(H35,商品!$A$4:$D$67,4,FALSE),0),"")</f>
        <v/>
      </c>
      <c r="AD35" t="str">
        <f>IFERROR(J35&amp;"*"&amp;ROUND(L35*(K35/(G35+I35+K35))/VLOOKUP(J35,商品!$A$4:$D$67,4,FALSE),0),"")</f>
        <v/>
      </c>
      <c r="AE35" t="str">
        <f>IFERROR(M35&amp;"*"&amp;ROUND(Q35*(N35/(N35+P35))/VLOOKUP(M35,职业!$A$3:$E$16,4,FALSE),0),"")</f>
        <v/>
      </c>
      <c r="AF35" t="str">
        <f>IFERROR(O35&amp;"*"&amp;ROUND(Q35*(P35/(N35+P35))/VLOOKUP(O35,职业!$A$3:$E$16,4,FALSE),0),"")</f>
        <v/>
      </c>
      <c r="AG35" t="str">
        <f>IFERROR(R35&amp;"*"&amp;ROUND(V35*(S35/(S35+U35))/VLOOKUP(R35,商品!$A$4:$D$67,4,FALSE),0),"")</f>
        <v/>
      </c>
      <c r="AH35" t="str">
        <f>IFERROR(T35&amp;"*"&amp;ROUND(V35*(U35/(S35+U35))/VLOOKUP(T35,商品!$A$4:$D$67,4,FALSE),0),"")</f>
        <v/>
      </c>
    </row>
    <row r="36" customHeight="1" spans="1:34">
      <c r="A36" s="15" t="s">
        <v>293</v>
      </c>
      <c r="C36" s="2">
        <v>2</v>
      </c>
      <c r="D36" s="2" t="s">
        <v>220</v>
      </c>
      <c r="E36" s="2" t="s">
        <v>222</v>
      </c>
      <c r="L36" s="2">
        <f>IFERROR(VLOOKUP($D36&amp;$C36,生产方式定位!$A$2:$E$39,2,FALSE)+VLOOKUP($E36&amp;$C36,生产方式定位!$F$3:$J$39,2,FALSE),0)</f>
        <v>3500</v>
      </c>
      <c r="Q36" s="2">
        <f>IFERROR(VLOOKUP($D36&amp;$C36,生产方式定位!$A$2:$E$39,3,FALSE)+VLOOKUP($E36&amp;$C36,生产方式定位!$F$3:$J$39,3,FALSE),0)</f>
        <v>2400</v>
      </c>
      <c r="V36" s="2">
        <f>IFERROR(VLOOKUP($D36&amp;$C36,生产方式定位!$A$2:$E$39,5,FALSE)+VLOOKUP($E36&amp;$C36,生产方式定位!$F$3:$J$39,5,FALSE),"错误")</f>
        <v>3022</v>
      </c>
      <c r="W36" s="3" t="str">
        <f t="shared" si="0"/>
        <v/>
      </c>
      <c r="X36" s="4" t="str">
        <f t="shared" si="1"/>
        <v/>
      </c>
      <c r="Y36" s="4" t="str">
        <f t="shared" si="2"/>
        <v/>
      </c>
      <c r="Z36" s="5">
        <f t="shared" si="3"/>
        <v>1.16</v>
      </c>
      <c r="AA36" s="6">
        <f t="shared" si="4"/>
        <v>2</v>
      </c>
      <c r="AB36" t="str">
        <f>IFERROR(F36&amp;"*"&amp;ROUND(L36*(G36/(G36+I36+K36))/VLOOKUP(F36,商品!$A$4:$D$67,4,FALSE),0),"")</f>
        <v/>
      </c>
      <c r="AC36" t="str">
        <f>IFERROR(H36&amp;"*"&amp;ROUND(L36*(I36/(G36+I36+K36))/VLOOKUP(H36,商品!$A$4:$D$67,4,FALSE),0),"")</f>
        <v/>
      </c>
      <c r="AD36" t="str">
        <f>IFERROR(J36&amp;"*"&amp;ROUND(L36*(K36/(G36+I36+K36))/VLOOKUP(J36,商品!$A$4:$D$67,4,FALSE),0),"")</f>
        <v/>
      </c>
      <c r="AE36" t="str">
        <f>IFERROR(M36&amp;"*"&amp;ROUND(Q36*(N36/(N36+P36))/VLOOKUP(M36,职业!$A$3:$E$16,4,FALSE),0),"")</f>
        <v/>
      </c>
      <c r="AF36" t="str">
        <f>IFERROR(O36&amp;"*"&amp;ROUND(Q36*(P36/(N36+P36))/VLOOKUP(O36,职业!$A$3:$E$16,4,FALSE),0),"")</f>
        <v/>
      </c>
      <c r="AG36" t="str">
        <f>IFERROR(R36&amp;"*"&amp;ROUND(V36*(S36/(S36+U36))/VLOOKUP(R36,商品!$A$4:$D$67,4,FALSE),0),"")</f>
        <v/>
      </c>
      <c r="AH36" t="str">
        <f>IFERROR(T36&amp;"*"&amp;ROUND(V36*(U36/(S36+U36))/VLOOKUP(T36,商品!$A$4:$D$67,4,FALSE),0),"")</f>
        <v/>
      </c>
    </row>
    <row r="37" customHeight="1" spans="1:34">
      <c r="A37" s="15" t="s">
        <v>293</v>
      </c>
      <c r="C37" s="2">
        <v>3</v>
      </c>
      <c r="D37" s="2" t="s">
        <v>220</v>
      </c>
      <c r="E37" s="2" t="s">
        <v>222</v>
      </c>
      <c r="L37" s="2">
        <f>IFERROR(VLOOKUP($D37&amp;$C37,生产方式定位!$A$2:$E$39,2,FALSE)+VLOOKUP($E37&amp;$C37,生产方式定位!$F$3:$J$39,2,FALSE),0)</f>
        <v>5000</v>
      </c>
      <c r="Q37" s="2">
        <f>IFERROR(VLOOKUP($D37&amp;$C37,生产方式定位!$A$2:$E$39,3,FALSE)+VLOOKUP($E37&amp;$C37,生产方式定位!$F$3:$J$39,3,FALSE),0)</f>
        <v>2800</v>
      </c>
      <c r="V37" s="2">
        <f>IFERROR(VLOOKUP($D37&amp;$C37,生产方式定位!$A$2:$E$39,5,FALSE)+VLOOKUP($E37&amp;$C37,生产方式定位!$F$3:$J$39,5,FALSE),"错误")</f>
        <v>4188</v>
      </c>
      <c r="W37" s="3" t="str">
        <f t="shared" si="0"/>
        <v/>
      </c>
      <c r="X37" s="4" t="str">
        <f t="shared" si="1"/>
        <v/>
      </c>
      <c r="Y37" s="4" t="str">
        <f t="shared" si="2"/>
        <v/>
      </c>
      <c r="Z37" s="5">
        <f t="shared" si="3"/>
        <v>1.19</v>
      </c>
      <c r="AA37" s="6">
        <f t="shared" si="4"/>
        <v>3</v>
      </c>
      <c r="AB37" t="str">
        <f>IFERROR(F37&amp;"*"&amp;ROUND(L37*(G37/(G37+I37+K37))/VLOOKUP(F37,商品!$A$4:$D$67,4,FALSE),0),"")</f>
        <v/>
      </c>
      <c r="AC37" t="str">
        <f>IFERROR(H37&amp;"*"&amp;ROUND(L37*(I37/(G37+I37+K37))/VLOOKUP(H37,商品!$A$4:$D$67,4,FALSE),0),"")</f>
        <v/>
      </c>
      <c r="AD37" t="str">
        <f>IFERROR(J37&amp;"*"&amp;ROUND(L37*(K37/(G37+I37+K37))/VLOOKUP(J37,商品!$A$4:$D$67,4,FALSE),0),"")</f>
        <v/>
      </c>
      <c r="AE37" t="str">
        <f>IFERROR(M37&amp;"*"&amp;ROUND(Q37*(N37/(N37+P37))/VLOOKUP(M37,职业!$A$3:$E$16,4,FALSE),0),"")</f>
        <v/>
      </c>
      <c r="AF37" t="str">
        <f>IFERROR(O37&amp;"*"&amp;ROUND(Q37*(P37/(N37+P37))/VLOOKUP(O37,职业!$A$3:$E$16,4,FALSE),0),"")</f>
        <v/>
      </c>
      <c r="AG37" t="str">
        <f>IFERROR(R37&amp;"*"&amp;ROUND(V37*(S37/(S37+U37))/VLOOKUP(R37,商品!$A$4:$D$67,4,FALSE),0),"")</f>
        <v/>
      </c>
      <c r="AH37" t="str">
        <f>IFERROR(T37&amp;"*"&amp;ROUND(V37*(U37/(S37+U37))/VLOOKUP(T37,商品!$A$4:$D$67,4,FALSE),0),"")</f>
        <v/>
      </c>
    </row>
    <row r="38" customHeight="1" spans="1:34">
      <c r="A38" s="14" t="s">
        <v>294</v>
      </c>
      <c r="C38" s="2">
        <v>4</v>
      </c>
      <c r="D38" s="2" t="s">
        <v>220</v>
      </c>
      <c r="E38" s="2" t="s">
        <v>223</v>
      </c>
      <c r="L38" s="2">
        <f>IFERROR(VLOOKUP($D38&amp;$C38,生产方式定位!$A$2:$E$39,2,FALSE)+VLOOKUP($E38&amp;$C38,生产方式定位!$F$3:$J$39,2,FALSE),0)</f>
        <v>6500</v>
      </c>
      <c r="Q38" s="2">
        <f>IFERROR(VLOOKUP($D38&amp;$C38,生产方式定位!$A$2:$E$39,3,FALSE)+VLOOKUP($E38&amp;$C38,生产方式定位!$F$3:$J$39,3,FALSE),0)</f>
        <v>6600</v>
      </c>
      <c r="V38" s="2">
        <f>IFERROR(VLOOKUP($D38&amp;$C38,生产方式定位!$A$2:$E$39,5,FALSE)+VLOOKUP($E38&amp;$C38,生产方式定位!$F$3:$J$39,5,FALSE),"错误")</f>
        <v>6865</v>
      </c>
      <c r="W38" s="3" t="str">
        <f t="shared" si="0"/>
        <v/>
      </c>
      <c r="X38" s="4" t="str">
        <f t="shared" si="1"/>
        <v/>
      </c>
      <c r="Y38" s="4" t="str">
        <f t="shared" si="2"/>
        <v/>
      </c>
      <c r="Z38" s="5">
        <f t="shared" si="3"/>
        <v>0.95</v>
      </c>
      <c r="AA38" s="6">
        <f t="shared" si="4"/>
        <v>4</v>
      </c>
      <c r="AB38" t="str">
        <f>IFERROR(F38&amp;"*"&amp;ROUND(L38*(G38/(G38+I38+K38))/VLOOKUP(F38,商品!$A$4:$D$67,4,FALSE),0),"")</f>
        <v/>
      </c>
      <c r="AC38" t="str">
        <f>IFERROR(H38&amp;"*"&amp;ROUND(L38*(I38/(G38+I38+K38))/VLOOKUP(H38,商品!$A$4:$D$67,4,FALSE),0),"")</f>
        <v/>
      </c>
      <c r="AD38" t="str">
        <f>IFERROR(J38&amp;"*"&amp;ROUND(L38*(K38/(G38+I38+K38))/VLOOKUP(J38,商品!$A$4:$D$67,4,FALSE),0),"")</f>
        <v/>
      </c>
      <c r="AE38" t="str">
        <f>IFERROR(M38&amp;"*"&amp;ROUND(Q38*(N38/(N38+P38))/VLOOKUP(M38,职业!$A$3:$E$16,4,FALSE),0),"")</f>
        <v/>
      </c>
      <c r="AF38" t="str">
        <f>IFERROR(O38&amp;"*"&amp;ROUND(Q38*(P38/(N38+P38))/VLOOKUP(O38,职业!$A$3:$E$16,4,FALSE),0),"")</f>
        <v/>
      </c>
      <c r="AG38" t="str">
        <f>IFERROR(R38&amp;"*"&amp;ROUND(V38*(S38/(S38+U38))/VLOOKUP(R38,商品!$A$4:$D$67,4,FALSE),0),"")</f>
        <v/>
      </c>
      <c r="AH38" t="str">
        <f>IFERROR(T38&amp;"*"&amp;ROUND(V38*(U38/(S38+U38))/VLOOKUP(T38,商品!$A$4:$D$67,4,FALSE),0),"")</f>
        <v/>
      </c>
    </row>
    <row r="39" customHeight="1" spans="1:34">
      <c r="A39" s="14" t="s">
        <v>294</v>
      </c>
      <c r="C39" s="2">
        <v>5</v>
      </c>
      <c r="D39" s="2" t="s">
        <v>220</v>
      </c>
      <c r="E39" s="2" t="s">
        <v>223</v>
      </c>
      <c r="L39" s="2">
        <f>IFERROR(VLOOKUP($D39&amp;$C39,生产方式定位!$A$2:$E$39,2,FALSE)+VLOOKUP($E39&amp;$C39,生产方式定位!$F$3:$J$39,2,FALSE),0)</f>
        <v>8000</v>
      </c>
      <c r="Q39" s="2">
        <f>IFERROR(VLOOKUP($D39&amp;$C39,生产方式定位!$A$2:$E$39,3,FALSE)+VLOOKUP($E39&amp;$C39,生产方式定位!$F$3:$J$39,3,FALSE),0)</f>
        <v>7800</v>
      </c>
      <c r="V39" s="2">
        <f>IFERROR(VLOOKUP($D39&amp;$C39,生产方式定位!$A$2:$E$39,5,FALSE)+VLOOKUP($E39&amp;$C39,生产方式定位!$F$3:$J$39,5,FALSE),"错误")</f>
        <v>8463</v>
      </c>
      <c r="W39" s="3" t="str">
        <f t="shared" si="0"/>
        <v/>
      </c>
      <c r="X39" s="4" t="str">
        <f t="shared" si="1"/>
        <v/>
      </c>
      <c r="Y39" s="4" t="str">
        <f t="shared" si="2"/>
        <v/>
      </c>
      <c r="Z39" s="5">
        <f t="shared" si="3"/>
        <v>0.95</v>
      </c>
      <c r="AA39" s="6">
        <f t="shared" si="4"/>
        <v>5</v>
      </c>
      <c r="AB39" t="str">
        <f>IFERROR(F39&amp;"*"&amp;ROUND(L39*(G39/(G39+I39+K39))/VLOOKUP(F39,商品!$A$4:$D$67,4,FALSE),0),"")</f>
        <v/>
      </c>
      <c r="AC39" t="str">
        <f>IFERROR(H39&amp;"*"&amp;ROUND(L39*(I39/(G39+I39+K39))/VLOOKUP(H39,商品!$A$4:$D$67,4,FALSE),0),"")</f>
        <v/>
      </c>
      <c r="AD39" t="str">
        <f>IFERROR(J39&amp;"*"&amp;ROUND(L39*(K39/(G39+I39+K39))/VLOOKUP(J39,商品!$A$4:$D$67,4,FALSE),0),"")</f>
        <v/>
      </c>
      <c r="AE39" t="str">
        <f>IFERROR(M39&amp;"*"&amp;ROUND(Q39*(N39/(N39+P39))/VLOOKUP(M39,职业!$A$3:$E$16,4,FALSE),0),"")</f>
        <v/>
      </c>
      <c r="AF39" t="str">
        <f>IFERROR(O39&amp;"*"&amp;ROUND(Q39*(P39/(N39+P39))/VLOOKUP(O39,职业!$A$3:$E$16,4,FALSE),0),"")</f>
        <v/>
      </c>
      <c r="AG39" t="str">
        <f>IFERROR(R39&amp;"*"&amp;ROUND(V39*(S39/(S39+U39))/VLOOKUP(R39,商品!$A$4:$D$67,4,FALSE),0),"")</f>
        <v/>
      </c>
      <c r="AH39" t="str">
        <f>IFERROR(T39&amp;"*"&amp;ROUND(V39*(U39/(S39+U39))/VLOOKUP(T39,商品!$A$4:$D$67,4,FALSE),0),"")</f>
        <v/>
      </c>
    </row>
    <row r="40" customHeight="1" spans="1:34">
      <c r="A40" s="14" t="s">
        <v>294</v>
      </c>
      <c r="C40" s="2">
        <v>1</v>
      </c>
      <c r="D40" s="2" t="s">
        <v>220</v>
      </c>
      <c r="E40" s="2" t="s">
        <v>223</v>
      </c>
      <c r="L40" s="2">
        <f>IFERROR(VLOOKUP($D40&amp;$C40,生产方式定位!$A$2:$E$39,2,FALSE)+VLOOKUP($E40&amp;$C40,生产方式定位!$F$3:$J$39,2,FALSE),0)</f>
        <v>2000</v>
      </c>
      <c r="Q40" s="2">
        <f>IFERROR(VLOOKUP($D40&amp;$C40,生产方式定位!$A$2:$E$39,3,FALSE)+VLOOKUP($E40&amp;$C40,生产方式定位!$F$3:$J$39,3,FALSE),0)</f>
        <v>2000</v>
      </c>
      <c r="V40" s="2">
        <f>IFERROR(VLOOKUP($D40&amp;$C40,生产方式定位!$A$2:$E$39,5,FALSE)+VLOOKUP($E40&amp;$C40,生产方式定位!$F$3:$J$39,5,FALSE),"错误")</f>
        <v>2000</v>
      </c>
      <c r="W40" s="3" t="str">
        <f t="shared" si="0"/>
        <v/>
      </c>
      <c r="X40" s="4" t="str">
        <f t="shared" si="1"/>
        <v/>
      </c>
      <c r="Y40" s="4" t="str">
        <f t="shared" si="2"/>
        <v/>
      </c>
      <c r="Z40" s="5">
        <f t="shared" si="3"/>
        <v>1</v>
      </c>
      <c r="AA40" s="6">
        <f t="shared" si="4"/>
        <v>1</v>
      </c>
      <c r="AB40" t="str">
        <f>IFERROR(F40&amp;"*"&amp;ROUND(L40*(G40/(G40+I40+K40))/VLOOKUP(F40,商品!$A$4:$D$67,4,FALSE),0),"")</f>
        <v/>
      </c>
      <c r="AC40" t="str">
        <f>IFERROR(H40&amp;"*"&amp;ROUND(L40*(I40/(G40+I40+K40))/VLOOKUP(H40,商品!$A$4:$D$67,4,FALSE),0),"")</f>
        <v/>
      </c>
      <c r="AD40" t="str">
        <f>IFERROR(J40&amp;"*"&amp;ROUND(L40*(K40/(G40+I40+K40))/VLOOKUP(J40,商品!$A$4:$D$67,4,FALSE),0),"")</f>
        <v/>
      </c>
      <c r="AE40" t="str">
        <f>IFERROR(M40&amp;"*"&amp;ROUND(Q40*(N40/(N40+P40))/VLOOKUP(M40,职业!$A$3:$E$16,4,FALSE),0),"")</f>
        <v/>
      </c>
      <c r="AF40" t="str">
        <f>IFERROR(O40&amp;"*"&amp;ROUND(Q40*(P40/(N40+P40))/VLOOKUP(O40,职业!$A$3:$E$16,4,FALSE),0),"")</f>
        <v/>
      </c>
      <c r="AG40" t="str">
        <f>IFERROR(R40&amp;"*"&amp;ROUND(V40*(S40/(S40+U40))/VLOOKUP(R40,商品!$A$4:$D$67,4,FALSE),0),"")</f>
        <v/>
      </c>
      <c r="AH40" t="str">
        <f>IFERROR(T40&amp;"*"&amp;ROUND(V40*(U40/(S40+U40))/VLOOKUP(T40,商品!$A$4:$D$67,4,FALSE),0),"")</f>
        <v/>
      </c>
    </row>
    <row r="41" customHeight="1" spans="1:34">
      <c r="A41" s="14" t="s">
        <v>294</v>
      </c>
      <c r="C41" s="2">
        <v>2</v>
      </c>
      <c r="D41" s="2" t="s">
        <v>220</v>
      </c>
      <c r="E41" s="2" t="s">
        <v>223</v>
      </c>
      <c r="L41" s="2">
        <f>IFERROR(VLOOKUP($D41&amp;$C41,生产方式定位!$A$2:$E$39,2,FALSE)+VLOOKUP($E41&amp;$C41,生产方式定位!$F$3:$J$39,2,FALSE),0)</f>
        <v>3500</v>
      </c>
      <c r="Q41" s="2">
        <f>IFERROR(VLOOKUP($D41&amp;$C41,生产方式定位!$A$2:$E$39,3,FALSE)+VLOOKUP($E41&amp;$C41,生产方式定位!$F$3:$J$39,3,FALSE),0)</f>
        <v>4200</v>
      </c>
      <c r="V41" s="2">
        <f>IFERROR(VLOOKUP($D41&amp;$C41,生产方式定位!$A$2:$E$39,5,FALSE)+VLOOKUP($E41&amp;$C41,生产方式定位!$F$3:$J$39,5,FALSE),"错误")</f>
        <v>3895</v>
      </c>
      <c r="W41" s="3" t="str">
        <f t="shared" si="0"/>
        <v/>
      </c>
      <c r="X41" s="4" t="str">
        <f t="shared" si="1"/>
        <v/>
      </c>
      <c r="Y41" s="4" t="str">
        <f t="shared" si="2"/>
        <v/>
      </c>
      <c r="Z41" s="5">
        <f t="shared" si="3"/>
        <v>0.9</v>
      </c>
      <c r="AA41" s="6">
        <f t="shared" si="4"/>
        <v>2</v>
      </c>
      <c r="AB41" t="str">
        <f>IFERROR(F41&amp;"*"&amp;ROUND(L41*(G41/(G41+I41+K41))/VLOOKUP(F41,商品!$A$4:$D$67,4,FALSE),0),"")</f>
        <v/>
      </c>
      <c r="AC41" t="str">
        <f>IFERROR(H41&amp;"*"&amp;ROUND(L41*(I41/(G41+I41+K41))/VLOOKUP(H41,商品!$A$4:$D$67,4,FALSE),0),"")</f>
        <v/>
      </c>
      <c r="AD41" t="str">
        <f>IFERROR(J41&amp;"*"&amp;ROUND(L41*(K41/(G41+I41+K41))/VLOOKUP(J41,商品!$A$4:$D$67,4,FALSE),0),"")</f>
        <v/>
      </c>
      <c r="AE41" t="str">
        <f>IFERROR(M41&amp;"*"&amp;ROUND(Q41*(N41/(N41+P41))/VLOOKUP(M41,职业!$A$3:$E$16,4,FALSE),0),"")</f>
        <v/>
      </c>
      <c r="AF41" t="str">
        <f>IFERROR(O41&amp;"*"&amp;ROUND(Q41*(P41/(N41+P41))/VLOOKUP(O41,职业!$A$3:$E$16,4,FALSE),0),"")</f>
        <v/>
      </c>
      <c r="AG41" t="str">
        <f>IFERROR(R41&amp;"*"&amp;ROUND(V41*(S41/(S41+U41))/VLOOKUP(R41,商品!$A$4:$D$67,4,FALSE),0),"")</f>
        <v/>
      </c>
      <c r="AH41" t="str">
        <f>IFERROR(T41&amp;"*"&amp;ROUND(V41*(U41/(S41+U41))/VLOOKUP(T41,商品!$A$4:$D$67,4,FALSE),0),"")</f>
        <v/>
      </c>
    </row>
    <row r="42" customHeight="1" spans="1:34">
      <c r="A42" s="14" t="s">
        <v>294</v>
      </c>
      <c r="C42" s="2">
        <v>3</v>
      </c>
      <c r="D42" s="2" t="s">
        <v>220</v>
      </c>
      <c r="E42" s="2" t="s">
        <v>223</v>
      </c>
      <c r="L42" s="2">
        <f>IFERROR(VLOOKUP($D42&amp;$C42,生产方式定位!$A$2:$E$39,2,FALSE)+VLOOKUP($E42&amp;$C42,生产方式定位!$F$3:$J$39,2,FALSE),0)</f>
        <v>5000</v>
      </c>
      <c r="Q42" s="2">
        <f>IFERROR(VLOOKUP($D42&amp;$C42,生产方式定位!$A$2:$E$39,3,FALSE)+VLOOKUP($E42&amp;$C42,生产方式定位!$F$3:$J$39,3,FALSE),0)</f>
        <v>5400</v>
      </c>
      <c r="V42" s="2">
        <f>IFERROR(VLOOKUP($D42&amp;$C42,生产方式定位!$A$2:$E$39,5,FALSE)+VLOOKUP($E42&amp;$C42,生产方式定位!$F$3:$J$39,5,FALSE),"错误")</f>
        <v>5350</v>
      </c>
      <c r="W42" s="3" t="str">
        <f t="shared" si="0"/>
        <v/>
      </c>
      <c r="X42" s="4" t="str">
        <f t="shared" si="1"/>
        <v/>
      </c>
      <c r="Y42" s="4" t="str">
        <f t="shared" si="2"/>
        <v/>
      </c>
      <c r="Z42" s="5">
        <f t="shared" si="3"/>
        <v>0.93</v>
      </c>
      <c r="AA42" s="6">
        <f t="shared" si="4"/>
        <v>3</v>
      </c>
      <c r="AB42" t="str">
        <f>IFERROR(F42&amp;"*"&amp;ROUND(L42*(G42/(G42+I42+K42))/VLOOKUP(F42,商品!$A$4:$D$67,4,FALSE),0),"")</f>
        <v/>
      </c>
      <c r="AC42" t="str">
        <f>IFERROR(H42&amp;"*"&amp;ROUND(L42*(I42/(G42+I42+K42))/VLOOKUP(H42,商品!$A$4:$D$67,4,FALSE),0),"")</f>
        <v/>
      </c>
      <c r="AD42" t="str">
        <f>IFERROR(J42&amp;"*"&amp;ROUND(L42*(K42/(G42+I42+K42))/VLOOKUP(J42,商品!$A$4:$D$67,4,FALSE),0),"")</f>
        <v/>
      </c>
      <c r="AE42" t="str">
        <f>IFERROR(M42&amp;"*"&amp;ROUND(Q42*(N42/(N42+P42))/VLOOKUP(M42,职业!$A$3:$E$16,4,FALSE),0),"")</f>
        <v/>
      </c>
      <c r="AF42" t="str">
        <f>IFERROR(O42&amp;"*"&amp;ROUND(Q42*(P42/(N42+P42))/VLOOKUP(O42,职业!$A$3:$E$16,4,FALSE),0),"")</f>
        <v/>
      </c>
      <c r="AG42" t="str">
        <f>IFERROR(R42&amp;"*"&amp;ROUND(V42*(S42/(S42+U42))/VLOOKUP(R42,商品!$A$4:$D$67,4,FALSE),0),"")</f>
        <v/>
      </c>
      <c r="AH42" t="str">
        <f>IFERROR(T42&amp;"*"&amp;ROUND(V42*(U42/(S42+U42))/VLOOKUP(T42,商品!$A$4:$D$67,4,FALSE),0),"")</f>
        <v/>
      </c>
    </row>
    <row r="43" customHeight="1" spans="1:34">
      <c r="A43" s="15" t="s">
        <v>295</v>
      </c>
      <c r="C43" s="2">
        <v>4</v>
      </c>
      <c r="D43" s="2" t="s">
        <v>220</v>
      </c>
      <c r="E43" s="2" t="s">
        <v>224</v>
      </c>
      <c r="L43" s="2">
        <f>IFERROR(VLOOKUP($D43&amp;$C43,生产方式定位!$A$2:$E$39,2,FALSE)+VLOOKUP($E43&amp;$C43,生产方式定位!$F$3:$J$39,2,FALSE),0)</f>
        <v>7500</v>
      </c>
      <c r="Q43" s="2">
        <f>IFERROR(VLOOKUP($D43&amp;$C43,生产方式定位!$A$2:$E$39,3,FALSE)+VLOOKUP($E43&amp;$C43,生产方式定位!$F$3:$J$39,3,FALSE),0)</f>
        <v>2000</v>
      </c>
      <c r="V43" s="2">
        <f>IFERROR(VLOOKUP($D43&amp;$C43,生产方式定位!$A$2:$E$39,5,FALSE)+VLOOKUP($E43&amp;$C43,生产方式定位!$F$3:$J$39,5,FALSE),"错误")</f>
        <v>5260</v>
      </c>
      <c r="W43" s="3" t="str">
        <f t="shared" si="0"/>
        <v/>
      </c>
      <c r="X43" s="4" t="str">
        <f t="shared" si="1"/>
        <v/>
      </c>
      <c r="Y43" s="4" t="str">
        <f t="shared" si="2"/>
        <v/>
      </c>
      <c r="Z43" s="5">
        <f t="shared" si="3"/>
        <v>1.43</v>
      </c>
      <c r="AA43" s="6">
        <f t="shared" si="4"/>
        <v>4</v>
      </c>
      <c r="AB43" t="str">
        <f>IFERROR(F43&amp;"*"&amp;ROUND(L43*(G43/(G43+I43+K43))/VLOOKUP(F43,商品!$A$4:$D$67,4,FALSE),0),"")</f>
        <v/>
      </c>
      <c r="AC43" t="str">
        <f>IFERROR(H43&amp;"*"&amp;ROUND(L43*(I43/(G43+I43+K43))/VLOOKUP(H43,商品!$A$4:$D$67,4,FALSE),0),"")</f>
        <v/>
      </c>
      <c r="AD43" t="str">
        <f>IFERROR(J43&amp;"*"&amp;ROUND(L43*(K43/(G43+I43+K43))/VLOOKUP(J43,商品!$A$4:$D$67,4,FALSE),0),"")</f>
        <v/>
      </c>
      <c r="AE43" t="str">
        <f>IFERROR(M43&amp;"*"&amp;ROUND(Q43*(N43/(N43+P43))/VLOOKUP(M43,职业!$A$3:$E$16,4,FALSE),0),"")</f>
        <v/>
      </c>
      <c r="AF43" t="str">
        <f>IFERROR(O43&amp;"*"&amp;ROUND(Q43*(P43/(N43+P43))/VLOOKUP(O43,职业!$A$3:$E$16,4,FALSE),0),"")</f>
        <v/>
      </c>
      <c r="AG43" t="str">
        <f>IFERROR(R43&amp;"*"&amp;ROUND(V43*(S43/(S43+U43))/VLOOKUP(R43,商品!$A$4:$D$67,4,FALSE),0),"")</f>
        <v/>
      </c>
      <c r="AH43" t="str">
        <f>IFERROR(T43&amp;"*"&amp;ROUND(V43*(U43/(S43+U43))/VLOOKUP(T43,商品!$A$4:$D$67,4,FALSE),0),"")</f>
        <v/>
      </c>
    </row>
    <row r="44" customHeight="1" spans="1:34">
      <c r="A44" s="15" t="s">
        <v>295</v>
      </c>
      <c r="C44" s="2">
        <v>5</v>
      </c>
      <c r="D44" s="2" t="s">
        <v>220</v>
      </c>
      <c r="E44" s="2" t="s">
        <v>224</v>
      </c>
      <c r="L44" s="2">
        <f>IFERROR(VLOOKUP($D44&amp;$C44,生产方式定位!$A$2:$E$39,2,FALSE)+VLOOKUP($E44&amp;$C44,生产方式定位!$F$3:$J$39,2,FALSE),0)</f>
        <v>9000</v>
      </c>
      <c r="Q44" s="2">
        <f>IFERROR(VLOOKUP($D44&amp;$C44,生产方式定位!$A$2:$E$39,3,FALSE)+VLOOKUP($E44&amp;$C44,生产方式定位!$F$3:$J$39,3,FALSE),0)</f>
        <v>2000</v>
      </c>
      <c r="V44" s="2">
        <f>IFERROR(VLOOKUP($D44&amp;$C44,生产方式定位!$A$2:$E$39,5,FALSE)+VLOOKUP($E44&amp;$C44,生产方式定位!$F$3:$J$39,5,FALSE),"错误")</f>
        <v>6340</v>
      </c>
      <c r="W44" s="3" t="str">
        <f t="shared" si="0"/>
        <v/>
      </c>
      <c r="X44" s="4" t="str">
        <f t="shared" si="1"/>
        <v/>
      </c>
      <c r="Y44" s="4" t="str">
        <f t="shared" si="2"/>
        <v/>
      </c>
      <c r="Z44" s="5">
        <f t="shared" si="3"/>
        <v>1.42</v>
      </c>
      <c r="AA44" s="6">
        <f t="shared" si="4"/>
        <v>5</v>
      </c>
      <c r="AB44" t="str">
        <f>IFERROR(F44&amp;"*"&amp;ROUND(L44*(G44/(G44+I44+K44))/VLOOKUP(F44,商品!$A$4:$D$67,4,FALSE),0),"")</f>
        <v/>
      </c>
      <c r="AC44" t="str">
        <f>IFERROR(H44&amp;"*"&amp;ROUND(L44*(I44/(G44+I44+K44))/VLOOKUP(H44,商品!$A$4:$D$67,4,FALSE),0),"")</f>
        <v/>
      </c>
      <c r="AD44" t="str">
        <f>IFERROR(J44&amp;"*"&amp;ROUND(L44*(K44/(G44+I44+K44))/VLOOKUP(J44,商品!$A$4:$D$67,4,FALSE),0),"")</f>
        <v/>
      </c>
      <c r="AE44" t="str">
        <f>IFERROR(M44&amp;"*"&amp;ROUND(Q44*(N44/(N44+P44))/VLOOKUP(M44,职业!$A$3:$E$16,4,FALSE),0),"")</f>
        <v/>
      </c>
      <c r="AF44" t="str">
        <f>IFERROR(O44&amp;"*"&amp;ROUND(Q44*(P44/(N44+P44))/VLOOKUP(O44,职业!$A$3:$E$16,4,FALSE),0),"")</f>
        <v/>
      </c>
      <c r="AG44" t="str">
        <f>IFERROR(R44&amp;"*"&amp;ROUND(V44*(S44/(S44+U44))/VLOOKUP(R44,商品!$A$4:$D$67,4,FALSE),0),"")</f>
        <v/>
      </c>
      <c r="AH44" t="str">
        <f>IFERROR(T44&amp;"*"&amp;ROUND(V44*(U44/(S44+U44))/VLOOKUP(T44,商品!$A$4:$D$67,4,FALSE),0),"")</f>
        <v/>
      </c>
    </row>
    <row r="45" customHeight="1" spans="1:34">
      <c r="A45" s="15" t="s">
        <v>295</v>
      </c>
      <c r="C45" s="2">
        <v>1</v>
      </c>
      <c r="D45" s="2" t="s">
        <v>220</v>
      </c>
      <c r="E45" s="2" t="s">
        <v>224</v>
      </c>
      <c r="L45" s="2">
        <f>IFERROR(VLOOKUP($D45&amp;$C45,生产方式定位!$A$2:$E$39,2,FALSE)+VLOOKUP($E45&amp;$C45,生产方式定位!$F$3:$J$39,2,FALSE),0)</f>
        <v>2000</v>
      </c>
      <c r="Q45" s="2">
        <f>IFERROR(VLOOKUP($D45&amp;$C45,生产方式定位!$A$2:$E$39,3,FALSE)+VLOOKUP($E45&amp;$C45,生产方式定位!$F$3:$J$39,3,FALSE),0)</f>
        <v>2000</v>
      </c>
      <c r="V45" s="2">
        <f>IFERROR(VLOOKUP($D45&amp;$C45,生产方式定位!$A$2:$E$39,5,FALSE)+VLOOKUP($E45&amp;$C45,生产方式定位!$F$3:$J$39,5,FALSE),"错误")</f>
        <v>2000</v>
      </c>
      <c r="W45" s="3" t="str">
        <f t="shared" si="0"/>
        <v/>
      </c>
      <c r="X45" s="4" t="str">
        <f t="shared" si="1"/>
        <v/>
      </c>
      <c r="Y45" s="4" t="str">
        <f t="shared" si="2"/>
        <v/>
      </c>
      <c r="Z45" s="5">
        <f t="shared" si="3"/>
        <v>1</v>
      </c>
      <c r="AA45" s="6">
        <f t="shared" si="4"/>
        <v>1</v>
      </c>
      <c r="AB45" t="str">
        <f>IFERROR(F45&amp;"*"&amp;ROUND(L45*(G45/(G45+I45+K45))/VLOOKUP(F45,商品!$A$4:$D$67,4,FALSE),0),"")</f>
        <v/>
      </c>
      <c r="AC45" t="str">
        <f>IFERROR(H45&amp;"*"&amp;ROUND(L45*(I45/(G45+I45+K45))/VLOOKUP(H45,商品!$A$4:$D$67,4,FALSE),0),"")</f>
        <v/>
      </c>
      <c r="AD45" t="str">
        <f>IFERROR(J45&amp;"*"&amp;ROUND(L45*(K45/(G45+I45+K45))/VLOOKUP(J45,商品!$A$4:$D$67,4,FALSE),0),"")</f>
        <v/>
      </c>
      <c r="AE45" t="str">
        <f>IFERROR(M45&amp;"*"&amp;ROUND(Q45*(N45/(N45+P45))/VLOOKUP(M45,职业!$A$3:$E$16,4,FALSE),0),"")</f>
        <v/>
      </c>
      <c r="AF45" t="str">
        <f>IFERROR(O45&amp;"*"&amp;ROUND(Q45*(P45/(N45+P45))/VLOOKUP(O45,职业!$A$3:$E$16,4,FALSE),0),"")</f>
        <v/>
      </c>
      <c r="AG45" t="str">
        <f>IFERROR(R45&amp;"*"&amp;ROUND(V45*(S45/(S45+U45))/VLOOKUP(R45,商品!$A$4:$D$67,4,FALSE),0),"")</f>
        <v/>
      </c>
      <c r="AH45" t="str">
        <f>IFERROR(T45&amp;"*"&amp;ROUND(V45*(U45/(S45+U45))/VLOOKUP(T45,商品!$A$4:$D$67,4,FALSE),0),"")</f>
        <v/>
      </c>
    </row>
    <row r="46" customHeight="1" spans="1:34">
      <c r="A46" s="15" t="s">
        <v>295</v>
      </c>
      <c r="C46" s="2">
        <v>2</v>
      </c>
      <c r="D46" s="2" t="s">
        <v>220</v>
      </c>
      <c r="E46" s="2" t="s">
        <v>224</v>
      </c>
      <c r="L46" s="2">
        <f>IFERROR(VLOOKUP($D46&amp;$C46,生产方式定位!$A$2:$E$39,2,FALSE)+VLOOKUP($E46&amp;$C46,生产方式定位!$F$3:$J$39,2,FALSE),0)</f>
        <v>4500</v>
      </c>
      <c r="Q46" s="2">
        <f>IFERROR(VLOOKUP($D46&amp;$C46,生产方式定位!$A$2:$E$39,3,FALSE)+VLOOKUP($E46&amp;$C46,生产方式定位!$F$3:$J$39,3,FALSE),0)</f>
        <v>2000</v>
      </c>
      <c r="V46" s="2">
        <f>IFERROR(VLOOKUP($D46&amp;$C46,生产方式定位!$A$2:$E$39,5,FALSE)+VLOOKUP($E46&amp;$C46,生产方式定位!$F$3:$J$39,5,FALSE),"错误")</f>
        <v>3340</v>
      </c>
      <c r="W46" s="3" t="str">
        <f t="shared" si="0"/>
        <v/>
      </c>
      <c r="X46" s="4" t="str">
        <f t="shared" si="1"/>
        <v/>
      </c>
      <c r="Y46" s="4" t="str">
        <f t="shared" si="2"/>
        <v/>
      </c>
      <c r="Z46" s="5">
        <f t="shared" si="3"/>
        <v>1.35</v>
      </c>
      <c r="AA46" s="6">
        <f t="shared" si="4"/>
        <v>2</v>
      </c>
      <c r="AB46" t="str">
        <f>IFERROR(F46&amp;"*"&amp;ROUND(L46*(G46/(G46+I46+K46))/VLOOKUP(F46,商品!$A$4:$D$67,4,FALSE),0),"")</f>
        <v/>
      </c>
      <c r="AC46" t="str">
        <f>IFERROR(H46&amp;"*"&amp;ROUND(L46*(I46/(G46+I46+K46))/VLOOKUP(H46,商品!$A$4:$D$67,4,FALSE),0),"")</f>
        <v/>
      </c>
      <c r="AD46" t="str">
        <f>IFERROR(J46&amp;"*"&amp;ROUND(L46*(K46/(G46+I46+K46))/VLOOKUP(J46,商品!$A$4:$D$67,4,FALSE),0),"")</f>
        <v/>
      </c>
      <c r="AE46" t="str">
        <f>IFERROR(M46&amp;"*"&amp;ROUND(Q46*(N46/(N46+P46))/VLOOKUP(M46,职业!$A$3:$E$16,4,FALSE),0),"")</f>
        <v/>
      </c>
      <c r="AF46" t="str">
        <f>IFERROR(O46&amp;"*"&amp;ROUND(Q46*(P46/(N46+P46))/VLOOKUP(O46,职业!$A$3:$E$16,4,FALSE),0),"")</f>
        <v/>
      </c>
      <c r="AG46" t="str">
        <f>IFERROR(R46&amp;"*"&amp;ROUND(V46*(S46/(S46+U46))/VLOOKUP(R46,商品!$A$4:$D$67,4,FALSE),0),"")</f>
        <v/>
      </c>
      <c r="AH46" t="str">
        <f>IFERROR(T46&amp;"*"&amp;ROUND(V46*(U46/(S46+U46))/VLOOKUP(T46,商品!$A$4:$D$67,4,FALSE),0),"")</f>
        <v/>
      </c>
    </row>
    <row r="47" customHeight="1" spans="1:34">
      <c r="A47" s="15" t="s">
        <v>295</v>
      </c>
      <c r="C47" s="2">
        <v>3</v>
      </c>
      <c r="D47" s="2" t="s">
        <v>220</v>
      </c>
      <c r="E47" s="2" t="s">
        <v>224</v>
      </c>
      <c r="L47" s="2">
        <f>IFERROR(VLOOKUP($D47&amp;$C47,生产方式定位!$A$2:$E$39,2,FALSE)+VLOOKUP($E47&amp;$C47,生产方式定位!$F$3:$J$39,2,FALSE),0)</f>
        <v>6000</v>
      </c>
      <c r="Q47" s="2">
        <f>IFERROR(VLOOKUP($D47&amp;$C47,生产方式定位!$A$2:$E$39,3,FALSE)+VLOOKUP($E47&amp;$C47,生产方式定位!$F$3:$J$39,3,FALSE),0)</f>
        <v>2000</v>
      </c>
      <c r="V47" s="2">
        <f>IFERROR(VLOOKUP($D47&amp;$C47,生产方式定位!$A$2:$E$39,5,FALSE)+VLOOKUP($E47&amp;$C47,生产方式定位!$F$3:$J$39,5,FALSE),"错误")</f>
        <v>4260</v>
      </c>
      <c r="W47" s="3" t="str">
        <f t="shared" si="0"/>
        <v/>
      </c>
      <c r="X47" s="4" t="str">
        <f t="shared" si="1"/>
        <v/>
      </c>
      <c r="Y47" s="4" t="str">
        <f t="shared" si="2"/>
        <v/>
      </c>
      <c r="Z47" s="5">
        <f t="shared" si="3"/>
        <v>1.41</v>
      </c>
      <c r="AA47" s="6">
        <f t="shared" si="4"/>
        <v>3</v>
      </c>
      <c r="AB47" t="str">
        <f>IFERROR(F47&amp;"*"&amp;ROUND(L47*(G47/(G47+I47+K47))/VLOOKUP(F47,商品!$A$4:$D$67,4,FALSE),0),"")</f>
        <v/>
      </c>
      <c r="AC47" t="str">
        <f>IFERROR(H47&amp;"*"&amp;ROUND(L47*(I47/(G47+I47+K47))/VLOOKUP(H47,商品!$A$4:$D$67,4,FALSE),0),"")</f>
        <v/>
      </c>
      <c r="AD47" t="str">
        <f>IFERROR(J47&amp;"*"&amp;ROUND(L47*(K47/(G47+I47+K47))/VLOOKUP(J47,商品!$A$4:$D$67,4,FALSE),0),"")</f>
        <v/>
      </c>
      <c r="AE47" t="str">
        <f>IFERROR(M47&amp;"*"&amp;ROUND(Q47*(N47/(N47+P47))/VLOOKUP(M47,职业!$A$3:$E$16,4,FALSE),0),"")</f>
        <v/>
      </c>
      <c r="AF47" t="str">
        <f>IFERROR(O47&amp;"*"&amp;ROUND(Q47*(P47/(N47+P47))/VLOOKUP(O47,职业!$A$3:$E$16,4,FALSE),0),"")</f>
        <v/>
      </c>
      <c r="AG47" t="str">
        <f>IFERROR(R47&amp;"*"&amp;ROUND(V47*(S47/(S47+U47))/VLOOKUP(R47,商品!$A$4:$D$67,4,FALSE),0),"")</f>
        <v/>
      </c>
      <c r="AH47" t="str">
        <f>IFERROR(T47&amp;"*"&amp;ROUND(V47*(U47/(S47+U47))/VLOOKUP(T47,商品!$A$4:$D$67,4,FALSE),0),"")</f>
        <v/>
      </c>
    </row>
    <row r="48" customHeight="1" spans="1:34">
      <c r="A48" s="14" t="s">
        <v>295</v>
      </c>
      <c r="C48" s="2">
        <v>4</v>
      </c>
      <c r="D48" s="2" t="s">
        <v>220</v>
      </c>
      <c r="E48" s="2" t="s">
        <v>224</v>
      </c>
      <c r="L48" s="2">
        <f>IFERROR(VLOOKUP($D48&amp;$C48,生产方式定位!$A$2:$E$39,2,FALSE)+VLOOKUP($E48&amp;$C48,生产方式定位!$F$3:$J$39,2,FALSE),0)</f>
        <v>7500</v>
      </c>
      <c r="Q48" s="2">
        <f>IFERROR(VLOOKUP($D48&amp;$C48,生产方式定位!$A$2:$E$39,3,FALSE)+VLOOKUP($E48&amp;$C48,生产方式定位!$F$3:$J$39,3,FALSE),0)</f>
        <v>2000</v>
      </c>
      <c r="V48" s="2">
        <f>IFERROR(VLOOKUP($D48&amp;$C48,生产方式定位!$A$2:$E$39,5,FALSE)+VLOOKUP($E48&amp;$C48,生产方式定位!$F$3:$J$39,5,FALSE),"错误")</f>
        <v>5260</v>
      </c>
      <c r="W48" s="3" t="str">
        <f t="shared" si="0"/>
        <v/>
      </c>
      <c r="X48" s="4" t="str">
        <f t="shared" si="1"/>
        <v/>
      </c>
      <c r="Y48" s="4" t="str">
        <f t="shared" si="2"/>
        <v/>
      </c>
      <c r="Z48" s="5">
        <f t="shared" si="3"/>
        <v>1.43</v>
      </c>
      <c r="AA48" s="6">
        <f t="shared" si="4"/>
        <v>4</v>
      </c>
      <c r="AB48" t="str">
        <f>IFERROR(F48&amp;"*"&amp;ROUND(L48*(G48/(G48+I48+K48))/VLOOKUP(F48,商品!$A$4:$D$67,4,FALSE),0),"")</f>
        <v/>
      </c>
      <c r="AC48" t="str">
        <f>IFERROR(H48&amp;"*"&amp;ROUND(L48*(I48/(G48+I48+K48))/VLOOKUP(H48,商品!$A$4:$D$67,4,FALSE),0),"")</f>
        <v/>
      </c>
      <c r="AD48" t="str">
        <f>IFERROR(J48&amp;"*"&amp;ROUND(L48*(K48/(G48+I48+K48))/VLOOKUP(J48,商品!$A$4:$D$67,4,FALSE),0),"")</f>
        <v/>
      </c>
      <c r="AE48" t="str">
        <f>IFERROR(M48&amp;"*"&amp;ROUND(Q48*(N48/(N48+P48))/VLOOKUP(M48,职业!$A$3:$E$16,4,FALSE),0),"")</f>
        <v/>
      </c>
      <c r="AF48" t="str">
        <f>IFERROR(O48&amp;"*"&amp;ROUND(Q48*(P48/(N48+P48))/VLOOKUP(O48,职业!$A$3:$E$16,4,FALSE),0),"")</f>
        <v/>
      </c>
      <c r="AG48" t="str">
        <f>IFERROR(R48&amp;"*"&amp;ROUND(V48*(S48/(S48+U48))/VLOOKUP(R48,商品!$A$4:$D$67,4,FALSE),0),"")</f>
        <v/>
      </c>
      <c r="AH48" t="str">
        <f>IFERROR(T48&amp;"*"&amp;ROUND(V48*(U48/(S48+U48))/VLOOKUP(T48,商品!$A$4:$D$67,4,FALSE),0),"")</f>
        <v/>
      </c>
    </row>
    <row r="49" customHeight="1" spans="1:34">
      <c r="A49" s="14" t="s">
        <v>295</v>
      </c>
      <c r="C49" s="2">
        <v>5</v>
      </c>
      <c r="D49" s="2" t="s">
        <v>220</v>
      </c>
      <c r="E49" s="2" t="s">
        <v>224</v>
      </c>
      <c r="L49" s="2">
        <f>IFERROR(VLOOKUP($D49&amp;$C49,生产方式定位!$A$2:$E$39,2,FALSE)+VLOOKUP($E49&amp;$C49,生产方式定位!$F$3:$J$39,2,FALSE),0)</f>
        <v>9000</v>
      </c>
      <c r="Q49" s="2">
        <f>IFERROR(VLOOKUP($D49&amp;$C49,生产方式定位!$A$2:$E$39,3,FALSE)+VLOOKUP($E49&amp;$C49,生产方式定位!$F$3:$J$39,3,FALSE),0)</f>
        <v>2000</v>
      </c>
      <c r="V49" s="2">
        <f>IFERROR(VLOOKUP($D49&amp;$C49,生产方式定位!$A$2:$E$39,5,FALSE)+VLOOKUP($E49&amp;$C49,生产方式定位!$F$3:$J$39,5,FALSE),"错误")</f>
        <v>6340</v>
      </c>
      <c r="W49" s="3" t="str">
        <f t="shared" si="0"/>
        <v/>
      </c>
      <c r="X49" s="4" t="str">
        <f t="shared" si="1"/>
        <v/>
      </c>
      <c r="Y49" s="4" t="str">
        <f t="shared" si="2"/>
        <v/>
      </c>
      <c r="Z49" s="5">
        <f t="shared" si="3"/>
        <v>1.42</v>
      </c>
      <c r="AA49" s="6">
        <f t="shared" si="4"/>
        <v>5</v>
      </c>
      <c r="AB49" t="str">
        <f>IFERROR(F49&amp;"*"&amp;ROUND(L49*(G49/(G49+I49+K49))/VLOOKUP(F49,商品!$A$4:$D$67,4,FALSE),0),"")</f>
        <v/>
      </c>
      <c r="AC49" t="str">
        <f>IFERROR(H49&amp;"*"&amp;ROUND(L49*(I49/(G49+I49+K49))/VLOOKUP(H49,商品!$A$4:$D$67,4,FALSE),0),"")</f>
        <v/>
      </c>
      <c r="AD49" t="str">
        <f>IFERROR(J49&amp;"*"&amp;ROUND(L49*(K49/(G49+I49+K49))/VLOOKUP(J49,商品!$A$4:$D$67,4,FALSE),0),"")</f>
        <v/>
      </c>
      <c r="AE49" t="str">
        <f>IFERROR(M49&amp;"*"&amp;ROUND(Q49*(N49/(N49+P49))/VLOOKUP(M49,职业!$A$3:$E$16,4,FALSE),0),"")</f>
        <v/>
      </c>
      <c r="AF49" t="str">
        <f>IFERROR(O49&amp;"*"&amp;ROUND(Q49*(P49/(N49+P49))/VLOOKUP(O49,职业!$A$3:$E$16,4,FALSE),0),"")</f>
        <v/>
      </c>
      <c r="AG49" t="str">
        <f>IFERROR(R49&amp;"*"&amp;ROUND(V49*(S49/(S49+U49))/VLOOKUP(R49,商品!$A$4:$D$67,4,FALSE),0),"")</f>
        <v/>
      </c>
      <c r="AH49" t="str">
        <f>IFERROR(T49&amp;"*"&amp;ROUND(V49*(U49/(S49+U49))/VLOOKUP(T49,商品!$A$4:$D$67,4,FALSE),0),"")</f>
        <v/>
      </c>
    </row>
    <row r="50" customHeight="1" spans="1:34">
      <c r="A50" s="14" t="s">
        <v>295</v>
      </c>
      <c r="C50" s="2">
        <v>1</v>
      </c>
      <c r="D50" s="2" t="s">
        <v>220</v>
      </c>
      <c r="E50" s="2" t="s">
        <v>224</v>
      </c>
      <c r="L50" s="2">
        <f>IFERROR(VLOOKUP($D50&amp;$C50,生产方式定位!$A$2:$E$39,2,FALSE)+VLOOKUP($E50&amp;$C50,生产方式定位!$F$3:$J$39,2,FALSE),0)</f>
        <v>2000</v>
      </c>
      <c r="Q50" s="2">
        <f>IFERROR(VLOOKUP($D50&amp;$C50,生产方式定位!$A$2:$E$39,3,FALSE)+VLOOKUP($E50&amp;$C50,生产方式定位!$F$3:$J$39,3,FALSE),0)</f>
        <v>2000</v>
      </c>
      <c r="V50" s="2">
        <f>IFERROR(VLOOKUP($D50&amp;$C50,生产方式定位!$A$2:$E$39,5,FALSE)+VLOOKUP($E50&amp;$C50,生产方式定位!$F$3:$J$39,5,FALSE),"错误")</f>
        <v>2000</v>
      </c>
      <c r="W50" s="3" t="str">
        <f t="shared" si="0"/>
        <v/>
      </c>
      <c r="X50" s="4" t="str">
        <f t="shared" si="1"/>
        <v/>
      </c>
      <c r="Y50" s="4" t="str">
        <f t="shared" si="2"/>
        <v/>
      </c>
      <c r="Z50" s="5">
        <f t="shared" si="3"/>
        <v>1</v>
      </c>
      <c r="AA50" s="6">
        <f t="shared" si="4"/>
        <v>1</v>
      </c>
      <c r="AB50" t="str">
        <f>IFERROR(F50&amp;"*"&amp;ROUND(L50*(G50/(G50+I50+K50))/VLOOKUP(F50,商品!$A$4:$D$67,4,FALSE),0),"")</f>
        <v/>
      </c>
      <c r="AC50" t="str">
        <f>IFERROR(H50&amp;"*"&amp;ROUND(L50*(I50/(G50+I50+K50))/VLOOKUP(H50,商品!$A$4:$D$67,4,FALSE),0),"")</f>
        <v/>
      </c>
      <c r="AD50" t="str">
        <f>IFERROR(J50&amp;"*"&amp;ROUND(L50*(K50/(G50+I50+K50))/VLOOKUP(J50,商品!$A$4:$D$67,4,FALSE),0),"")</f>
        <v/>
      </c>
      <c r="AE50" t="str">
        <f>IFERROR(M50&amp;"*"&amp;ROUND(Q50*(N50/(N50+P50))/VLOOKUP(M50,职业!$A$3:$E$16,4,FALSE),0),"")</f>
        <v/>
      </c>
      <c r="AF50" t="str">
        <f>IFERROR(O50&amp;"*"&amp;ROUND(Q50*(P50/(N50+P50))/VLOOKUP(O50,职业!$A$3:$E$16,4,FALSE),0),"")</f>
        <v/>
      </c>
      <c r="AG50" t="str">
        <f>IFERROR(R50&amp;"*"&amp;ROUND(V50*(S50/(S50+U50))/VLOOKUP(R50,商品!$A$4:$D$67,4,FALSE),0),"")</f>
        <v/>
      </c>
      <c r="AH50" t="str">
        <f>IFERROR(T50&amp;"*"&amp;ROUND(V50*(U50/(S50+U50))/VLOOKUP(T50,商品!$A$4:$D$67,4,FALSE),0),"")</f>
        <v/>
      </c>
    </row>
    <row r="51" customHeight="1" spans="1:34">
      <c r="A51" s="14" t="s">
        <v>295</v>
      </c>
      <c r="C51" s="2">
        <v>2</v>
      </c>
      <c r="D51" s="2" t="s">
        <v>220</v>
      </c>
      <c r="E51" s="2" t="s">
        <v>224</v>
      </c>
      <c r="L51" s="2">
        <f>IFERROR(VLOOKUP($D51&amp;$C51,生产方式定位!$A$2:$E$39,2,FALSE)+VLOOKUP($E51&amp;$C51,生产方式定位!$F$3:$J$39,2,FALSE),0)</f>
        <v>4500</v>
      </c>
      <c r="Q51" s="2">
        <f>IFERROR(VLOOKUP($D51&amp;$C51,生产方式定位!$A$2:$E$39,3,FALSE)+VLOOKUP($E51&amp;$C51,生产方式定位!$F$3:$J$39,3,FALSE),0)</f>
        <v>2000</v>
      </c>
      <c r="V51" s="2">
        <f>IFERROR(VLOOKUP($D51&amp;$C51,生产方式定位!$A$2:$E$39,5,FALSE)+VLOOKUP($E51&amp;$C51,生产方式定位!$F$3:$J$39,5,FALSE),"错误")</f>
        <v>3340</v>
      </c>
      <c r="W51" s="3" t="str">
        <f t="shared" si="0"/>
        <v/>
      </c>
      <c r="X51" s="4" t="str">
        <f t="shared" si="1"/>
        <v/>
      </c>
      <c r="Y51" s="4" t="str">
        <f t="shared" si="2"/>
        <v/>
      </c>
      <c r="Z51" s="5">
        <f t="shared" si="3"/>
        <v>1.35</v>
      </c>
      <c r="AA51" s="6">
        <f t="shared" si="4"/>
        <v>2</v>
      </c>
      <c r="AB51" t="str">
        <f>IFERROR(F51&amp;"*"&amp;ROUND(L51*(G51/(G51+I51+K51))/VLOOKUP(F51,商品!$A$4:$D$67,4,FALSE),0),"")</f>
        <v/>
      </c>
      <c r="AC51" t="str">
        <f>IFERROR(H51&amp;"*"&amp;ROUND(L51*(I51/(G51+I51+K51))/VLOOKUP(H51,商品!$A$4:$D$67,4,FALSE),0),"")</f>
        <v/>
      </c>
      <c r="AD51" t="str">
        <f>IFERROR(J51&amp;"*"&amp;ROUND(L51*(K51/(G51+I51+K51))/VLOOKUP(J51,商品!$A$4:$D$67,4,FALSE),0),"")</f>
        <v/>
      </c>
      <c r="AE51" t="str">
        <f>IFERROR(M51&amp;"*"&amp;ROUND(Q51*(N51/(N51+P51))/VLOOKUP(M51,职业!$A$3:$E$16,4,FALSE),0),"")</f>
        <v/>
      </c>
      <c r="AF51" t="str">
        <f>IFERROR(O51&amp;"*"&amp;ROUND(Q51*(P51/(N51+P51))/VLOOKUP(O51,职业!$A$3:$E$16,4,FALSE),0),"")</f>
        <v/>
      </c>
      <c r="AG51" t="str">
        <f>IFERROR(R51&amp;"*"&amp;ROUND(V51*(S51/(S51+U51))/VLOOKUP(R51,商品!$A$4:$D$67,4,FALSE),0),"")</f>
        <v/>
      </c>
      <c r="AH51" t="str">
        <f>IFERROR(T51&amp;"*"&amp;ROUND(V51*(U51/(S51+U51))/VLOOKUP(T51,商品!$A$4:$D$67,4,FALSE),0),"")</f>
        <v/>
      </c>
    </row>
    <row r="52" customHeight="1" spans="1:34">
      <c r="A52" s="14" t="s">
        <v>295</v>
      </c>
      <c r="C52" s="2">
        <v>3</v>
      </c>
      <c r="D52" s="2" t="s">
        <v>220</v>
      </c>
      <c r="E52" s="2" t="s">
        <v>224</v>
      </c>
      <c r="L52" s="2">
        <f>IFERROR(VLOOKUP($D52&amp;$C52,生产方式定位!$A$2:$E$39,2,FALSE)+VLOOKUP($E52&amp;$C52,生产方式定位!$F$3:$J$39,2,FALSE),0)</f>
        <v>6000</v>
      </c>
      <c r="Q52" s="2">
        <f>IFERROR(VLOOKUP($D52&amp;$C52,生产方式定位!$A$2:$E$39,3,FALSE)+VLOOKUP($E52&amp;$C52,生产方式定位!$F$3:$J$39,3,FALSE),0)</f>
        <v>2000</v>
      </c>
      <c r="V52" s="2">
        <f>IFERROR(VLOOKUP($D52&amp;$C52,生产方式定位!$A$2:$E$39,5,FALSE)+VLOOKUP($E52&amp;$C52,生产方式定位!$F$3:$J$39,5,FALSE),"错误")</f>
        <v>4260</v>
      </c>
      <c r="W52" s="3" t="str">
        <f t="shared" si="0"/>
        <v/>
      </c>
      <c r="X52" s="4" t="str">
        <f t="shared" si="1"/>
        <v/>
      </c>
      <c r="Y52" s="4" t="str">
        <f t="shared" si="2"/>
        <v/>
      </c>
      <c r="Z52" s="5">
        <f t="shared" si="3"/>
        <v>1.41</v>
      </c>
      <c r="AA52" s="6">
        <f t="shared" si="4"/>
        <v>3</v>
      </c>
      <c r="AB52" t="str">
        <f>IFERROR(F52&amp;"*"&amp;ROUND(L52*(G52/(G52+I52+K52))/VLOOKUP(F52,商品!$A$4:$D$67,4,FALSE),0),"")</f>
        <v/>
      </c>
      <c r="AC52" t="str">
        <f>IFERROR(H52&amp;"*"&amp;ROUND(L52*(I52/(G52+I52+K52))/VLOOKUP(H52,商品!$A$4:$D$67,4,FALSE),0),"")</f>
        <v/>
      </c>
      <c r="AD52" t="str">
        <f>IFERROR(J52&amp;"*"&amp;ROUND(L52*(K52/(G52+I52+K52))/VLOOKUP(J52,商品!$A$4:$D$67,4,FALSE),0),"")</f>
        <v/>
      </c>
      <c r="AE52" t="str">
        <f>IFERROR(M52&amp;"*"&amp;ROUND(Q52*(N52/(N52+P52))/VLOOKUP(M52,职业!$A$3:$E$16,4,FALSE),0),"")</f>
        <v/>
      </c>
      <c r="AF52" t="str">
        <f>IFERROR(O52&amp;"*"&amp;ROUND(Q52*(P52/(N52+P52))/VLOOKUP(O52,职业!$A$3:$E$16,4,FALSE),0),"")</f>
        <v/>
      </c>
      <c r="AG52" t="str">
        <f>IFERROR(R52&amp;"*"&amp;ROUND(V52*(S52/(S52+U52))/VLOOKUP(R52,商品!$A$4:$D$67,4,FALSE),0),"")</f>
        <v/>
      </c>
      <c r="AH52" t="str">
        <f>IFERROR(T52&amp;"*"&amp;ROUND(V52*(U52/(S52+U52))/VLOOKUP(T52,商品!$A$4:$D$67,4,FALSE),0),"")</f>
        <v/>
      </c>
    </row>
    <row r="53" customHeight="1" spans="1:34">
      <c r="A53" s="15" t="s">
        <v>296</v>
      </c>
      <c r="C53" s="2">
        <v>4</v>
      </c>
      <c r="D53" s="2" t="s">
        <v>220</v>
      </c>
      <c r="E53" s="2" t="s">
        <v>225</v>
      </c>
      <c r="L53" s="2">
        <f>IFERROR(VLOOKUP($D53&amp;$C53,生产方式定位!$A$2:$E$39,2,FALSE)+VLOOKUP($E53&amp;$C53,生产方式定位!$F$3:$J$39,2,FALSE),0)</f>
        <v>3500</v>
      </c>
      <c r="Q53" s="2">
        <f>IFERROR(VLOOKUP($D53&amp;$C53,生产方式定位!$A$2:$E$39,3,FALSE)+VLOOKUP($E53&amp;$C53,生产方式定位!$F$3:$J$39,3,FALSE),0)</f>
        <v>2600</v>
      </c>
      <c r="V53" s="2">
        <f>IFERROR(VLOOKUP($D53&amp;$C53,生产方式定位!$A$2:$E$39,5,FALSE)+VLOOKUP($E53&amp;$C53,生产方式定位!$F$3:$J$39,5,FALSE),"错误")</f>
        <v>3050</v>
      </c>
      <c r="W53" s="3" t="str">
        <f t="shared" si="0"/>
        <v/>
      </c>
      <c r="X53" s="4" t="str">
        <f t="shared" si="1"/>
        <v/>
      </c>
      <c r="Y53" s="4" t="str">
        <f t="shared" si="2"/>
        <v/>
      </c>
      <c r="Z53" s="5">
        <f t="shared" si="3"/>
        <v>1.15</v>
      </c>
      <c r="AA53" s="6">
        <f t="shared" si="4"/>
        <v>4</v>
      </c>
      <c r="AB53" t="str">
        <f>IFERROR(F53&amp;"*"&amp;ROUND(L53*(G53/(G53+I53+K53))/VLOOKUP(F53,商品!$A$4:$D$67,4,FALSE),0),"")</f>
        <v/>
      </c>
      <c r="AC53" t="str">
        <f>IFERROR(H53&amp;"*"&amp;ROUND(L53*(I53/(G53+I53+K53))/VLOOKUP(H53,商品!$A$4:$D$67,4,FALSE),0),"")</f>
        <v/>
      </c>
      <c r="AD53" t="str">
        <f>IFERROR(J53&amp;"*"&amp;ROUND(L53*(K53/(G53+I53+K53))/VLOOKUP(J53,商品!$A$4:$D$67,4,FALSE),0),"")</f>
        <v/>
      </c>
      <c r="AE53" t="str">
        <f>IFERROR(M53&amp;"*"&amp;ROUND(Q53*(N53/(N53+P53))/VLOOKUP(M53,职业!$A$3:$E$16,4,FALSE),0),"")</f>
        <v/>
      </c>
      <c r="AF53" t="str">
        <f>IFERROR(O53&amp;"*"&amp;ROUND(Q53*(P53/(N53+P53))/VLOOKUP(O53,职业!$A$3:$E$16,4,FALSE),0),"")</f>
        <v/>
      </c>
      <c r="AG53" t="str">
        <f>IFERROR(R53&amp;"*"&amp;ROUND(V53*(S53/(S53+U53))/VLOOKUP(R53,商品!$A$4:$D$67,4,FALSE),0),"")</f>
        <v/>
      </c>
      <c r="AH53" t="str">
        <f>IFERROR(T53&amp;"*"&amp;ROUND(V53*(U53/(S53+U53))/VLOOKUP(T53,商品!$A$4:$D$67,4,FALSE),0),"")</f>
        <v/>
      </c>
    </row>
    <row r="54" customHeight="1" spans="1:34">
      <c r="A54" s="15" t="s">
        <v>296</v>
      </c>
      <c r="C54" s="2">
        <v>5</v>
      </c>
      <c r="D54" s="2" t="s">
        <v>220</v>
      </c>
      <c r="E54" s="2" t="s">
        <v>225</v>
      </c>
      <c r="L54" s="2">
        <f>IFERROR(VLOOKUP($D54&amp;$C54,生产方式定位!$A$2:$E$39,2,FALSE)+VLOOKUP($E54&amp;$C54,生产方式定位!$F$3:$J$39,2,FALSE),0)</f>
        <v>4000</v>
      </c>
      <c r="Q54" s="2">
        <f>IFERROR(VLOOKUP($D54&amp;$C54,生产方式定位!$A$2:$E$39,3,FALSE)+VLOOKUP($E54&amp;$C54,生产方式定位!$F$3:$J$39,3,FALSE),0)</f>
        <v>2800</v>
      </c>
      <c r="V54" s="2">
        <f>IFERROR(VLOOKUP($D54&amp;$C54,生产方式定位!$A$2:$E$39,5,FALSE)+VLOOKUP($E54&amp;$C54,生产方式定位!$F$3:$J$39,5,FALSE),"错误")</f>
        <v>3400</v>
      </c>
      <c r="W54" s="3" t="str">
        <f t="shared" si="0"/>
        <v/>
      </c>
      <c r="X54" s="4" t="str">
        <f t="shared" si="1"/>
        <v/>
      </c>
      <c r="Y54" s="4" t="str">
        <f t="shared" si="2"/>
        <v/>
      </c>
      <c r="Z54" s="5">
        <f t="shared" si="3"/>
        <v>1.18</v>
      </c>
      <c r="AA54" s="6">
        <f t="shared" si="4"/>
        <v>5</v>
      </c>
      <c r="AB54" t="str">
        <f>IFERROR(F54&amp;"*"&amp;ROUND(L54*(G54/(G54+I54+K54))/VLOOKUP(F54,商品!$A$4:$D$67,4,FALSE),0),"")</f>
        <v/>
      </c>
      <c r="AC54" t="str">
        <f>IFERROR(H54&amp;"*"&amp;ROUND(L54*(I54/(G54+I54+K54))/VLOOKUP(H54,商品!$A$4:$D$67,4,FALSE),0),"")</f>
        <v/>
      </c>
      <c r="AD54" t="str">
        <f>IFERROR(J54&amp;"*"&amp;ROUND(L54*(K54/(G54+I54+K54))/VLOOKUP(J54,商品!$A$4:$D$67,4,FALSE),0),"")</f>
        <v/>
      </c>
      <c r="AE54" t="str">
        <f>IFERROR(M54&amp;"*"&amp;ROUND(Q54*(N54/(N54+P54))/VLOOKUP(M54,职业!$A$3:$E$16,4,FALSE),0),"")</f>
        <v/>
      </c>
      <c r="AF54" t="str">
        <f>IFERROR(O54&amp;"*"&amp;ROUND(Q54*(P54/(N54+P54))/VLOOKUP(O54,职业!$A$3:$E$16,4,FALSE),0),"")</f>
        <v/>
      </c>
      <c r="AG54" t="str">
        <f>IFERROR(R54&amp;"*"&amp;ROUND(V54*(S54/(S54+U54))/VLOOKUP(R54,商品!$A$4:$D$67,4,FALSE),0),"")</f>
        <v/>
      </c>
      <c r="AH54" t="str">
        <f>IFERROR(T54&amp;"*"&amp;ROUND(V54*(U54/(S54+U54))/VLOOKUP(T54,商品!$A$4:$D$67,4,FALSE),0),"")</f>
        <v/>
      </c>
    </row>
    <row r="55" customHeight="1" spans="1:34">
      <c r="A55" s="15" t="s">
        <v>296</v>
      </c>
      <c r="C55" s="2">
        <v>1</v>
      </c>
      <c r="D55" s="2" t="s">
        <v>220</v>
      </c>
      <c r="E55" s="2" t="s">
        <v>225</v>
      </c>
      <c r="L55" s="2">
        <f>IFERROR(VLOOKUP($D55&amp;$C55,生产方式定位!$A$2:$E$39,2,FALSE)+VLOOKUP($E55&amp;$C55,生产方式定位!$F$3:$J$39,2,FALSE),0)</f>
        <v>2000</v>
      </c>
      <c r="Q55" s="2">
        <f>IFERROR(VLOOKUP($D55&amp;$C55,生产方式定位!$A$2:$E$39,3,FALSE)+VLOOKUP($E55&amp;$C55,生产方式定位!$F$3:$J$39,3,FALSE),0)</f>
        <v>2000</v>
      </c>
      <c r="V55" s="2">
        <f>IFERROR(VLOOKUP($D55&amp;$C55,生产方式定位!$A$2:$E$39,5,FALSE)+VLOOKUP($E55&amp;$C55,生产方式定位!$F$3:$J$39,5,FALSE),"错误")</f>
        <v>2000</v>
      </c>
      <c r="W55" s="3" t="str">
        <f t="shared" si="0"/>
        <v/>
      </c>
      <c r="X55" s="4" t="str">
        <f t="shared" si="1"/>
        <v/>
      </c>
      <c r="Y55" s="4" t="str">
        <f t="shared" si="2"/>
        <v/>
      </c>
      <c r="Z55" s="5">
        <f t="shared" si="3"/>
        <v>1</v>
      </c>
      <c r="AA55" s="6">
        <f t="shared" si="4"/>
        <v>1</v>
      </c>
      <c r="AB55" t="str">
        <f>IFERROR(F55&amp;"*"&amp;ROUND(L55*(G55/(G55+I55+K55))/VLOOKUP(F55,商品!$A$4:$D$67,4,FALSE),0),"")</f>
        <v/>
      </c>
      <c r="AC55" t="str">
        <f>IFERROR(H55&amp;"*"&amp;ROUND(L55*(I55/(G55+I55+K55))/VLOOKUP(H55,商品!$A$4:$D$67,4,FALSE),0),"")</f>
        <v/>
      </c>
      <c r="AD55" t="str">
        <f>IFERROR(J55&amp;"*"&amp;ROUND(L55*(K55/(G55+I55+K55))/VLOOKUP(J55,商品!$A$4:$D$67,4,FALSE),0),"")</f>
        <v/>
      </c>
      <c r="AE55" t="str">
        <f>IFERROR(M55&amp;"*"&amp;ROUND(Q55*(N55/(N55+P55))/VLOOKUP(M55,职业!$A$3:$E$16,4,FALSE),0),"")</f>
        <v/>
      </c>
      <c r="AF55" t="str">
        <f>IFERROR(O55&amp;"*"&amp;ROUND(Q55*(P55/(N55+P55))/VLOOKUP(O55,职业!$A$3:$E$16,4,FALSE),0),"")</f>
        <v/>
      </c>
      <c r="AG55" t="str">
        <f>IFERROR(R55&amp;"*"&amp;ROUND(V55*(S55/(S55+U55))/VLOOKUP(R55,商品!$A$4:$D$67,4,FALSE),0),"")</f>
        <v/>
      </c>
      <c r="AH55" t="str">
        <f>IFERROR(T55&amp;"*"&amp;ROUND(V55*(U55/(S55+U55))/VLOOKUP(T55,商品!$A$4:$D$67,4,FALSE),0),"")</f>
        <v/>
      </c>
    </row>
    <row r="56" customHeight="1" spans="1:34">
      <c r="A56" s="15" t="s">
        <v>296</v>
      </c>
      <c r="C56" s="2">
        <v>2</v>
      </c>
      <c r="D56" s="2" t="s">
        <v>220</v>
      </c>
      <c r="E56" s="2" t="s">
        <v>225</v>
      </c>
      <c r="L56" s="2">
        <f>IFERROR(VLOOKUP($D56&amp;$C56,生产方式定位!$A$2:$E$39,2,FALSE)+VLOOKUP($E56&amp;$C56,生产方式定位!$F$3:$J$39,2,FALSE),0)</f>
        <v>2500</v>
      </c>
      <c r="Q56" s="2">
        <f>IFERROR(VLOOKUP($D56&amp;$C56,生产方式定位!$A$2:$E$39,3,FALSE)+VLOOKUP($E56&amp;$C56,生产方式定位!$F$3:$J$39,3,FALSE),0)</f>
        <v>2200</v>
      </c>
      <c r="V56" s="2">
        <f>IFERROR(VLOOKUP($D56&amp;$C56,生产方式定位!$A$2:$E$39,5,FALSE)+VLOOKUP($E56&amp;$C56,生产方式定位!$F$3:$J$39,5,FALSE),"错误")</f>
        <v>2350</v>
      </c>
      <c r="W56" s="3" t="str">
        <f t="shared" si="0"/>
        <v/>
      </c>
      <c r="X56" s="4" t="str">
        <f t="shared" si="1"/>
        <v/>
      </c>
      <c r="Y56" s="4" t="str">
        <f t="shared" si="2"/>
        <v/>
      </c>
      <c r="Z56" s="5">
        <f t="shared" si="3"/>
        <v>1.06</v>
      </c>
      <c r="AA56" s="6">
        <f t="shared" si="4"/>
        <v>2</v>
      </c>
      <c r="AB56" t="str">
        <f>IFERROR(F56&amp;"*"&amp;ROUND(L56*(G56/(G56+I56+K56))/VLOOKUP(F56,商品!$A$4:$D$67,4,FALSE),0),"")</f>
        <v/>
      </c>
      <c r="AC56" t="str">
        <f>IFERROR(H56&amp;"*"&amp;ROUND(L56*(I56/(G56+I56+K56))/VLOOKUP(H56,商品!$A$4:$D$67,4,FALSE),0),"")</f>
        <v/>
      </c>
      <c r="AD56" t="str">
        <f>IFERROR(J56&amp;"*"&amp;ROUND(L56*(K56/(G56+I56+K56))/VLOOKUP(J56,商品!$A$4:$D$67,4,FALSE),0),"")</f>
        <v/>
      </c>
      <c r="AE56" t="str">
        <f>IFERROR(M56&amp;"*"&amp;ROUND(Q56*(N56/(N56+P56))/VLOOKUP(M56,职业!$A$3:$E$16,4,FALSE),0),"")</f>
        <v/>
      </c>
      <c r="AF56" t="str">
        <f>IFERROR(O56&amp;"*"&amp;ROUND(Q56*(P56/(N56+P56))/VLOOKUP(O56,职业!$A$3:$E$16,4,FALSE),0),"")</f>
        <v/>
      </c>
      <c r="AG56" t="str">
        <f>IFERROR(R56&amp;"*"&amp;ROUND(V56*(S56/(S56+U56))/VLOOKUP(R56,商品!$A$4:$D$67,4,FALSE),0),"")</f>
        <v/>
      </c>
      <c r="AH56" t="str">
        <f>IFERROR(T56&amp;"*"&amp;ROUND(V56*(U56/(S56+U56))/VLOOKUP(T56,商品!$A$4:$D$67,4,FALSE),0),"")</f>
        <v/>
      </c>
    </row>
    <row r="57" customHeight="1" spans="1:34">
      <c r="A57" s="15" t="s">
        <v>296</v>
      </c>
      <c r="C57" s="2">
        <v>3</v>
      </c>
      <c r="D57" s="2" t="s">
        <v>220</v>
      </c>
      <c r="E57" s="2" t="s">
        <v>225</v>
      </c>
      <c r="L57" s="2">
        <f>IFERROR(VLOOKUP($D57&amp;$C57,生产方式定位!$A$2:$E$39,2,FALSE)+VLOOKUP($E57&amp;$C57,生产方式定位!$F$3:$J$39,2,FALSE),0)</f>
        <v>3000</v>
      </c>
      <c r="Q57" s="2">
        <f>IFERROR(VLOOKUP($D57&amp;$C57,生产方式定位!$A$2:$E$39,3,FALSE)+VLOOKUP($E57&amp;$C57,生产方式定位!$F$3:$J$39,3,FALSE),0)</f>
        <v>2400</v>
      </c>
      <c r="V57" s="2">
        <f>IFERROR(VLOOKUP($D57&amp;$C57,生产方式定位!$A$2:$E$39,5,FALSE)+VLOOKUP($E57&amp;$C57,生产方式定位!$F$3:$J$39,5,FALSE),"错误")</f>
        <v>2700</v>
      </c>
      <c r="W57" s="3" t="str">
        <f t="shared" si="0"/>
        <v/>
      </c>
      <c r="X57" s="4" t="str">
        <f t="shared" si="1"/>
        <v/>
      </c>
      <c r="Y57" s="4" t="str">
        <f t="shared" si="2"/>
        <v/>
      </c>
      <c r="Z57" s="5">
        <f t="shared" si="3"/>
        <v>1.11</v>
      </c>
      <c r="AA57" s="6">
        <f t="shared" si="4"/>
        <v>3</v>
      </c>
      <c r="AB57" t="str">
        <f>IFERROR(F57&amp;"*"&amp;ROUND(L57*(G57/(G57+I57+K57))/VLOOKUP(F57,商品!$A$4:$D$67,4,FALSE),0),"")</f>
        <v/>
      </c>
      <c r="AC57" t="str">
        <f>IFERROR(H57&amp;"*"&amp;ROUND(L57*(I57/(G57+I57+K57))/VLOOKUP(H57,商品!$A$4:$D$67,4,FALSE),0),"")</f>
        <v/>
      </c>
      <c r="AD57" t="str">
        <f>IFERROR(J57&amp;"*"&amp;ROUND(L57*(K57/(G57+I57+K57))/VLOOKUP(J57,商品!$A$4:$D$67,4,FALSE),0),"")</f>
        <v/>
      </c>
      <c r="AE57" t="str">
        <f>IFERROR(M57&amp;"*"&amp;ROUND(Q57*(N57/(N57+P57))/VLOOKUP(M57,职业!$A$3:$E$16,4,FALSE),0),"")</f>
        <v/>
      </c>
      <c r="AF57" t="str">
        <f>IFERROR(O57&amp;"*"&amp;ROUND(Q57*(P57/(N57+P57))/VLOOKUP(O57,职业!$A$3:$E$16,4,FALSE),0),"")</f>
        <v/>
      </c>
      <c r="AG57" t="str">
        <f>IFERROR(R57&amp;"*"&amp;ROUND(V57*(S57/(S57+U57))/VLOOKUP(R57,商品!$A$4:$D$67,4,FALSE),0),"")</f>
        <v/>
      </c>
      <c r="AH57" t="str">
        <f>IFERROR(T57&amp;"*"&amp;ROUND(V57*(U57/(S57+U57))/VLOOKUP(T57,商品!$A$4:$D$67,4,FALSE),0),"")</f>
        <v/>
      </c>
    </row>
    <row r="58" customHeight="1" spans="1:34">
      <c r="A58" s="15" t="s">
        <v>296</v>
      </c>
      <c r="C58" s="2">
        <v>4</v>
      </c>
      <c r="D58" s="2" t="s">
        <v>220</v>
      </c>
      <c r="E58" s="2" t="s">
        <v>225</v>
      </c>
      <c r="L58" s="2">
        <f>IFERROR(VLOOKUP($D58&amp;$C58,生产方式定位!$A$2:$E$39,2,FALSE)+VLOOKUP($E58&amp;$C58,生产方式定位!$F$3:$J$39,2,FALSE),0)</f>
        <v>3500</v>
      </c>
      <c r="Q58" s="2">
        <f>IFERROR(VLOOKUP($D58&amp;$C58,生产方式定位!$A$2:$E$39,3,FALSE)+VLOOKUP($E58&amp;$C58,生产方式定位!$F$3:$J$39,3,FALSE),0)</f>
        <v>2600</v>
      </c>
      <c r="V58" s="2">
        <f>IFERROR(VLOOKUP($D58&amp;$C58,生产方式定位!$A$2:$E$39,5,FALSE)+VLOOKUP($E58&amp;$C58,生产方式定位!$F$3:$J$39,5,FALSE),"错误")</f>
        <v>3050</v>
      </c>
      <c r="W58" s="3" t="str">
        <f t="shared" si="0"/>
        <v/>
      </c>
      <c r="X58" s="4" t="str">
        <f t="shared" si="1"/>
        <v/>
      </c>
      <c r="Y58" s="4" t="str">
        <f t="shared" si="2"/>
        <v/>
      </c>
      <c r="Z58" s="5">
        <f t="shared" si="3"/>
        <v>1.15</v>
      </c>
      <c r="AA58" s="6">
        <f t="shared" si="4"/>
        <v>4</v>
      </c>
      <c r="AB58" t="str">
        <f>IFERROR(F58&amp;"*"&amp;ROUND(L58*(G58/(G58+I58+K58))/VLOOKUP(F58,商品!$A$4:$D$67,4,FALSE),0),"")</f>
        <v/>
      </c>
      <c r="AC58" t="str">
        <f>IFERROR(H58&amp;"*"&amp;ROUND(L58*(I58/(G58+I58+K58))/VLOOKUP(H58,商品!$A$4:$D$67,4,FALSE),0),"")</f>
        <v/>
      </c>
      <c r="AD58" t="str">
        <f>IFERROR(J58&amp;"*"&amp;ROUND(L58*(K58/(G58+I58+K58))/VLOOKUP(J58,商品!$A$4:$D$67,4,FALSE),0),"")</f>
        <v/>
      </c>
      <c r="AE58" t="str">
        <f>IFERROR(M58&amp;"*"&amp;ROUND(Q58*(N58/(N58+P58))/VLOOKUP(M58,职业!$A$3:$E$16,4,FALSE),0),"")</f>
        <v/>
      </c>
      <c r="AF58" t="str">
        <f>IFERROR(O58&amp;"*"&amp;ROUND(Q58*(P58/(N58+P58))/VLOOKUP(O58,职业!$A$3:$E$16,4,FALSE),0),"")</f>
        <v/>
      </c>
      <c r="AG58" t="str">
        <f>IFERROR(R58&amp;"*"&amp;ROUND(V58*(S58/(S58+U58))/VLOOKUP(R58,商品!$A$4:$D$67,4,FALSE),0),"")</f>
        <v/>
      </c>
      <c r="AH58" t="str">
        <f>IFERROR(T58&amp;"*"&amp;ROUND(V58*(U58/(S58+U58))/VLOOKUP(T58,商品!$A$4:$D$67,4,FALSE),0),"")</f>
        <v/>
      </c>
    </row>
    <row r="59" customHeight="1" spans="1:34">
      <c r="A59" s="15" t="s">
        <v>296</v>
      </c>
      <c r="C59" s="2">
        <v>5</v>
      </c>
      <c r="D59" s="2" t="s">
        <v>220</v>
      </c>
      <c r="E59" s="2" t="s">
        <v>225</v>
      </c>
      <c r="L59" s="2">
        <f>IFERROR(VLOOKUP($D59&amp;$C59,生产方式定位!$A$2:$E$39,2,FALSE)+VLOOKUP($E59&amp;$C59,生产方式定位!$F$3:$J$39,2,FALSE),0)</f>
        <v>4000</v>
      </c>
      <c r="Q59" s="2">
        <f>IFERROR(VLOOKUP($D59&amp;$C59,生产方式定位!$A$2:$E$39,3,FALSE)+VLOOKUP($E59&amp;$C59,生产方式定位!$F$3:$J$39,3,FALSE),0)</f>
        <v>2800</v>
      </c>
      <c r="V59" s="2">
        <f>IFERROR(VLOOKUP($D59&amp;$C59,生产方式定位!$A$2:$E$39,5,FALSE)+VLOOKUP($E59&amp;$C59,生产方式定位!$F$3:$J$39,5,FALSE),"错误")</f>
        <v>3400</v>
      </c>
      <c r="W59" s="3" t="str">
        <f t="shared" si="0"/>
        <v/>
      </c>
      <c r="X59" s="4" t="str">
        <f t="shared" si="1"/>
        <v/>
      </c>
      <c r="Y59" s="4" t="str">
        <f t="shared" si="2"/>
        <v/>
      </c>
      <c r="Z59" s="5">
        <f t="shared" si="3"/>
        <v>1.18</v>
      </c>
      <c r="AA59" s="6">
        <f t="shared" si="4"/>
        <v>5</v>
      </c>
      <c r="AB59" t="str">
        <f>IFERROR(F59&amp;"*"&amp;ROUND(L59*(G59/(G59+I59+K59))/VLOOKUP(F59,商品!$A$4:$D$67,4,FALSE),0),"")</f>
        <v/>
      </c>
      <c r="AC59" t="str">
        <f>IFERROR(H59&amp;"*"&amp;ROUND(L59*(I59/(G59+I59+K59))/VLOOKUP(H59,商品!$A$4:$D$67,4,FALSE),0),"")</f>
        <v/>
      </c>
      <c r="AD59" t="str">
        <f>IFERROR(J59&amp;"*"&amp;ROUND(L59*(K59/(G59+I59+K59))/VLOOKUP(J59,商品!$A$4:$D$67,4,FALSE),0),"")</f>
        <v/>
      </c>
      <c r="AE59" t="str">
        <f>IFERROR(M59&amp;"*"&amp;ROUND(Q59*(N59/(N59+P59))/VLOOKUP(M59,职业!$A$3:$E$16,4,FALSE),0),"")</f>
        <v/>
      </c>
      <c r="AF59" t="str">
        <f>IFERROR(O59&amp;"*"&amp;ROUND(Q59*(P59/(N59+P59))/VLOOKUP(O59,职业!$A$3:$E$16,4,FALSE),0),"")</f>
        <v/>
      </c>
      <c r="AG59" t="str">
        <f>IFERROR(R59&amp;"*"&amp;ROUND(V59*(S59/(S59+U59))/VLOOKUP(R59,商品!$A$4:$D$67,4,FALSE),0),"")</f>
        <v/>
      </c>
      <c r="AH59" t="str">
        <f>IFERROR(T59&amp;"*"&amp;ROUND(V59*(U59/(S59+U59))/VLOOKUP(T59,商品!$A$4:$D$67,4,FALSE),0),"")</f>
        <v/>
      </c>
    </row>
    <row r="60" customHeight="1" spans="1:34">
      <c r="A60" s="15" t="s">
        <v>296</v>
      </c>
      <c r="C60" s="2">
        <v>1</v>
      </c>
      <c r="D60" s="2" t="s">
        <v>220</v>
      </c>
      <c r="E60" s="2" t="s">
        <v>225</v>
      </c>
      <c r="L60" s="2">
        <f>IFERROR(VLOOKUP($D60&amp;$C60,生产方式定位!$A$2:$E$39,2,FALSE)+VLOOKUP($E60&amp;$C60,生产方式定位!$F$3:$J$39,2,FALSE),0)</f>
        <v>2000</v>
      </c>
      <c r="Q60" s="2">
        <f>IFERROR(VLOOKUP($D60&amp;$C60,生产方式定位!$A$2:$E$39,3,FALSE)+VLOOKUP($E60&amp;$C60,生产方式定位!$F$3:$J$39,3,FALSE),0)</f>
        <v>2000</v>
      </c>
      <c r="V60" s="2">
        <f>IFERROR(VLOOKUP($D60&amp;$C60,生产方式定位!$A$2:$E$39,5,FALSE)+VLOOKUP($E60&amp;$C60,生产方式定位!$F$3:$J$39,5,FALSE),"错误")</f>
        <v>2000</v>
      </c>
      <c r="W60" s="3" t="str">
        <f t="shared" si="0"/>
        <v/>
      </c>
      <c r="X60" s="4" t="str">
        <f t="shared" si="1"/>
        <v/>
      </c>
      <c r="Y60" s="4" t="str">
        <f t="shared" si="2"/>
        <v/>
      </c>
      <c r="Z60" s="5">
        <f t="shared" si="3"/>
        <v>1</v>
      </c>
      <c r="AA60" s="6">
        <f t="shared" si="4"/>
        <v>1</v>
      </c>
      <c r="AB60" t="str">
        <f>IFERROR(F60&amp;"*"&amp;ROUND(L60*(G60/(G60+I60+K60))/VLOOKUP(F60,商品!$A$4:$D$67,4,FALSE),0),"")</f>
        <v/>
      </c>
      <c r="AC60" t="str">
        <f>IFERROR(H60&amp;"*"&amp;ROUND(L60*(I60/(G60+I60+K60))/VLOOKUP(H60,商品!$A$4:$D$67,4,FALSE),0),"")</f>
        <v/>
      </c>
      <c r="AD60" t="str">
        <f>IFERROR(J60&amp;"*"&amp;ROUND(L60*(K60/(G60+I60+K60))/VLOOKUP(J60,商品!$A$4:$D$67,4,FALSE),0),"")</f>
        <v/>
      </c>
      <c r="AE60" t="str">
        <f>IFERROR(M60&amp;"*"&amp;ROUND(Q60*(N60/(N60+P60))/VLOOKUP(M60,职业!$A$3:$E$16,4,FALSE),0),"")</f>
        <v/>
      </c>
      <c r="AF60" t="str">
        <f>IFERROR(O60&amp;"*"&amp;ROUND(Q60*(P60/(N60+P60))/VLOOKUP(O60,职业!$A$3:$E$16,4,FALSE),0),"")</f>
        <v/>
      </c>
      <c r="AG60" t="str">
        <f>IFERROR(R60&amp;"*"&amp;ROUND(V60*(S60/(S60+U60))/VLOOKUP(R60,商品!$A$4:$D$67,4,FALSE),0),"")</f>
        <v/>
      </c>
      <c r="AH60" t="str">
        <f>IFERROR(T60&amp;"*"&amp;ROUND(V60*(U60/(S60+U60))/VLOOKUP(T60,商品!$A$4:$D$67,4,FALSE),0),"")</f>
        <v/>
      </c>
    </row>
    <row r="61" customHeight="1" spans="1:34">
      <c r="A61" s="14" t="s">
        <v>298</v>
      </c>
      <c r="C61" s="2">
        <v>2</v>
      </c>
      <c r="D61" s="2" t="s">
        <v>220</v>
      </c>
      <c r="E61" s="2" t="s">
        <v>222</v>
      </c>
      <c r="L61" s="2">
        <f>IFERROR(VLOOKUP($D61&amp;$C61,生产方式定位!$A$2:$E$39,2,FALSE)+VLOOKUP($E61&amp;$C61,生产方式定位!$F$3:$J$39,2,FALSE),0)</f>
        <v>3500</v>
      </c>
      <c r="Q61" s="2">
        <f>IFERROR(VLOOKUP($D61&amp;$C61,生产方式定位!$A$2:$E$39,3,FALSE)+VLOOKUP($E61&amp;$C61,生产方式定位!$F$3:$J$39,3,FALSE),0)</f>
        <v>2400</v>
      </c>
      <c r="V61" s="2">
        <f>IFERROR(VLOOKUP($D61&amp;$C61,生产方式定位!$A$2:$E$39,5,FALSE)+VLOOKUP($E61&amp;$C61,生产方式定位!$F$3:$J$39,5,FALSE),"错误")</f>
        <v>3022</v>
      </c>
      <c r="W61" s="3" t="str">
        <f t="shared" si="0"/>
        <v/>
      </c>
      <c r="X61" s="4" t="str">
        <f t="shared" si="1"/>
        <v/>
      </c>
      <c r="Y61" s="4" t="str">
        <f t="shared" si="2"/>
        <v/>
      </c>
      <c r="Z61" s="5">
        <f t="shared" si="3"/>
        <v>1.16</v>
      </c>
      <c r="AA61" s="6">
        <f t="shared" si="4"/>
        <v>2</v>
      </c>
      <c r="AB61" t="str">
        <f>IFERROR(F61&amp;"*"&amp;ROUND(L61*(G61/(G61+I61+K61))/VLOOKUP(F61,商品!$A$4:$D$67,4,FALSE),0),"")</f>
        <v/>
      </c>
      <c r="AC61" t="str">
        <f>IFERROR(H61&amp;"*"&amp;ROUND(L61*(I61/(G61+I61+K61))/VLOOKUP(H61,商品!$A$4:$D$67,4,FALSE),0),"")</f>
        <v/>
      </c>
      <c r="AD61" t="str">
        <f>IFERROR(J61&amp;"*"&amp;ROUND(L61*(K61/(G61+I61+K61))/VLOOKUP(J61,商品!$A$4:$D$67,4,FALSE),0),"")</f>
        <v/>
      </c>
      <c r="AE61" t="str">
        <f>IFERROR(M61&amp;"*"&amp;ROUND(Q61*(N61/(N61+P61))/VLOOKUP(M61,职业!$A$3:$E$16,4,FALSE),0),"")</f>
        <v/>
      </c>
      <c r="AF61" t="str">
        <f>IFERROR(O61&amp;"*"&amp;ROUND(Q61*(P61/(N61+P61))/VLOOKUP(O61,职业!$A$3:$E$16,4,FALSE),0),"")</f>
        <v/>
      </c>
      <c r="AG61" t="str">
        <f>IFERROR(R61&amp;"*"&amp;ROUND(V61*(S61/(S61+U61))/VLOOKUP(R61,商品!$A$4:$D$67,4,FALSE),0),"")</f>
        <v/>
      </c>
      <c r="AH61" t="str">
        <f>IFERROR(T61&amp;"*"&amp;ROUND(V61*(U61/(S61+U61))/VLOOKUP(T61,商品!$A$4:$D$67,4,FALSE),0),"")</f>
        <v/>
      </c>
    </row>
    <row r="62" customHeight="1" spans="1:34">
      <c r="A62" s="14" t="s">
        <v>298</v>
      </c>
      <c r="C62" s="2">
        <v>3</v>
      </c>
      <c r="D62" s="2" t="s">
        <v>220</v>
      </c>
      <c r="E62" s="2" t="s">
        <v>222</v>
      </c>
      <c r="L62" s="2">
        <f>IFERROR(VLOOKUP($D62&amp;$C62,生产方式定位!$A$2:$E$39,2,FALSE)+VLOOKUP($E62&amp;$C62,生产方式定位!$F$3:$J$39,2,FALSE),0)</f>
        <v>5000</v>
      </c>
      <c r="Q62" s="2">
        <f>IFERROR(VLOOKUP($D62&amp;$C62,生产方式定位!$A$2:$E$39,3,FALSE)+VLOOKUP($E62&amp;$C62,生产方式定位!$F$3:$J$39,3,FALSE),0)</f>
        <v>2800</v>
      </c>
      <c r="V62" s="2">
        <f>IFERROR(VLOOKUP($D62&amp;$C62,生产方式定位!$A$2:$E$39,5,FALSE)+VLOOKUP($E62&amp;$C62,生产方式定位!$F$3:$J$39,5,FALSE),"错误")</f>
        <v>4188</v>
      </c>
      <c r="W62" s="3" t="str">
        <f t="shared" si="0"/>
        <v/>
      </c>
      <c r="X62" s="4" t="str">
        <f t="shared" si="1"/>
        <v/>
      </c>
      <c r="Y62" s="4" t="str">
        <f t="shared" si="2"/>
        <v/>
      </c>
      <c r="Z62" s="5">
        <f t="shared" si="3"/>
        <v>1.19</v>
      </c>
      <c r="AA62" s="6">
        <f t="shared" si="4"/>
        <v>3</v>
      </c>
      <c r="AB62" t="str">
        <f>IFERROR(F62&amp;"*"&amp;ROUND(L62*(G62/(G62+I62+K62))/VLOOKUP(F62,商品!$A$4:$D$67,4,FALSE),0),"")</f>
        <v/>
      </c>
      <c r="AC62" t="str">
        <f>IFERROR(H62&amp;"*"&amp;ROUND(L62*(I62/(G62+I62+K62))/VLOOKUP(H62,商品!$A$4:$D$67,4,FALSE),0),"")</f>
        <v/>
      </c>
      <c r="AD62" t="str">
        <f>IFERROR(J62&amp;"*"&amp;ROUND(L62*(K62/(G62+I62+K62))/VLOOKUP(J62,商品!$A$4:$D$67,4,FALSE),0),"")</f>
        <v/>
      </c>
      <c r="AE62" t="str">
        <f>IFERROR(M62&amp;"*"&amp;ROUND(Q62*(N62/(N62+P62))/VLOOKUP(M62,职业!$A$3:$E$16,4,FALSE),0),"")</f>
        <v/>
      </c>
      <c r="AF62" t="str">
        <f>IFERROR(O62&amp;"*"&amp;ROUND(Q62*(P62/(N62+P62))/VLOOKUP(O62,职业!$A$3:$E$16,4,FALSE),0),"")</f>
        <v/>
      </c>
      <c r="AG62" t="str">
        <f>IFERROR(R62&amp;"*"&amp;ROUND(V62*(S62/(S62+U62))/VLOOKUP(R62,商品!$A$4:$D$67,4,FALSE),0),"")</f>
        <v/>
      </c>
      <c r="AH62" t="str">
        <f>IFERROR(T62&amp;"*"&amp;ROUND(V62*(U62/(S62+U62))/VLOOKUP(T62,商品!$A$4:$D$67,4,FALSE),0),"")</f>
        <v/>
      </c>
    </row>
    <row r="63" customHeight="1" spans="1:34">
      <c r="A63" s="14" t="s">
        <v>298</v>
      </c>
      <c r="C63" s="2">
        <v>4</v>
      </c>
      <c r="D63" s="2" t="s">
        <v>220</v>
      </c>
      <c r="E63" s="2" t="s">
        <v>222</v>
      </c>
      <c r="L63" s="2">
        <f>IFERROR(VLOOKUP($D63&amp;$C63,生产方式定位!$A$2:$E$39,2,FALSE)+VLOOKUP($E63&amp;$C63,生产方式定位!$F$3:$J$39,2,FALSE),0)</f>
        <v>6500</v>
      </c>
      <c r="Q63" s="2">
        <f>IFERROR(VLOOKUP($D63&amp;$C63,生产方式定位!$A$2:$E$39,3,FALSE)+VLOOKUP($E63&amp;$C63,生产方式定位!$F$3:$J$39,3,FALSE),0)</f>
        <v>3200</v>
      </c>
      <c r="V63" s="2">
        <f>IFERROR(VLOOKUP($D63&amp;$C63,生产方式定位!$A$2:$E$39,5,FALSE)+VLOOKUP($E63&amp;$C63,生产方式定位!$F$3:$J$39,5,FALSE),"错误")</f>
        <v>5498</v>
      </c>
      <c r="W63" s="3" t="str">
        <f t="shared" si="0"/>
        <v/>
      </c>
      <c r="X63" s="4" t="str">
        <f t="shared" si="1"/>
        <v/>
      </c>
      <c r="Y63" s="4" t="str">
        <f t="shared" si="2"/>
        <v/>
      </c>
      <c r="Z63" s="5">
        <f t="shared" si="3"/>
        <v>1.18</v>
      </c>
      <c r="AA63" s="6">
        <f t="shared" si="4"/>
        <v>4</v>
      </c>
      <c r="AB63" t="str">
        <f>IFERROR(F63&amp;"*"&amp;ROUND(L63*(G63/(G63+I63+K63))/VLOOKUP(F63,商品!$A$4:$D$67,4,FALSE),0),"")</f>
        <v/>
      </c>
      <c r="AC63" t="str">
        <f>IFERROR(H63&amp;"*"&amp;ROUND(L63*(I63/(G63+I63+K63))/VLOOKUP(H63,商品!$A$4:$D$67,4,FALSE),0),"")</f>
        <v/>
      </c>
      <c r="AD63" t="str">
        <f>IFERROR(J63&amp;"*"&amp;ROUND(L63*(K63/(G63+I63+K63))/VLOOKUP(J63,商品!$A$4:$D$67,4,FALSE),0),"")</f>
        <v/>
      </c>
      <c r="AE63" t="str">
        <f>IFERROR(M63&amp;"*"&amp;ROUND(Q63*(N63/(N63+P63))/VLOOKUP(M63,职业!$A$3:$E$16,4,FALSE),0),"")</f>
        <v/>
      </c>
      <c r="AF63" t="str">
        <f>IFERROR(O63&amp;"*"&amp;ROUND(Q63*(P63/(N63+P63))/VLOOKUP(O63,职业!$A$3:$E$16,4,FALSE),0),"")</f>
        <v/>
      </c>
      <c r="AG63" t="str">
        <f>IFERROR(R63&amp;"*"&amp;ROUND(V63*(S63/(S63+U63))/VLOOKUP(R63,商品!$A$4:$D$67,4,FALSE),0),"")</f>
        <v/>
      </c>
      <c r="AH63" t="str">
        <f>IFERROR(T63&amp;"*"&amp;ROUND(V63*(U63/(S63+U63))/VLOOKUP(T63,商品!$A$4:$D$67,4,FALSE),0),"")</f>
        <v/>
      </c>
    </row>
    <row r="64" customHeight="1" spans="1:34">
      <c r="A64" s="14" t="s">
        <v>298</v>
      </c>
      <c r="C64" s="2">
        <v>5</v>
      </c>
      <c r="D64" s="2" t="s">
        <v>220</v>
      </c>
      <c r="E64" s="2" t="s">
        <v>222</v>
      </c>
      <c r="L64" s="2">
        <f>IFERROR(VLOOKUP($D64&amp;$C64,生产方式定位!$A$2:$E$39,2,FALSE)+VLOOKUP($E64&amp;$C64,生产方式定位!$F$3:$J$39,2,FALSE),0)</f>
        <v>8000</v>
      </c>
      <c r="Q64" s="2">
        <f>IFERROR(VLOOKUP($D64&amp;$C64,生产方式定位!$A$2:$E$39,3,FALSE)+VLOOKUP($E64&amp;$C64,生产方式定位!$F$3:$J$39,3,FALSE),0)</f>
        <v>3600</v>
      </c>
      <c r="V64" s="2">
        <f>IFERROR(VLOOKUP($D64&amp;$C64,生产方式定位!$A$2:$E$39,5,FALSE)+VLOOKUP($E64&amp;$C64,生产方式定位!$F$3:$J$39,5,FALSE),"错误")</f>
        <v>7000</v>
      </c>
      <c r="W64" s="3" t="str">
        <f t="shared" si="0"/>
        <v/>
      </c>
      <c r="X64" s="4" t="str">
        <f t="shared" si="1"/>
        <v/>
      </c>
      <c r="Y64" s="4" t="str">
        <f t="shared" si="2"/>
        <v/>
      </c>
      <c r="Z64" s="5">
        <f t="shared" si="3"/>
        <v>1.14</v>
      </c>
      <c r="AA64" s="6">
        <f t="shared" si="4"/>
        <v>5</v>
      </c>
      <c r="AB64" t="str">
        <f>IFERROR(F64&amp;"*"&amp;ROUND(L64*(G64/(G64+I64+K64))/VLOOKUP(F64,商品!$A$4:$D$67,4,FALSE),0),"")</f>
        <v/>
      </c>
      <c r="AC64" t="str">
        <f>IFERROR(H64&amp;"*"&amp;ROUND(L64*(I64/(G64+I64+K64))/VLOOKUP(H64,商品!$A$4:$D$67,4,FALSE),0),"")</f>
        <v/>
      </c>
      <c r="AD64" t="str">
        <f>IFERROR(J64&amp;"*"&amp;ROUND(L64*(K64/(G64+I64+K64))/VLOOKUP(J64,商品!$A$4:$D$67,4,FALSE),0),"")</f>
        <v/>
      </c>
      <c r="AE64" t="str">
        <f>IFERROR(M64&amp;"*"&amp;ROUND(Q64*(N64/(N64+P64))/VLOOKUP(M64,职业!$A$3:$E$16,4,FALSE),0),"")</f>
        <v/>
      </c>
      <c r="AF64" t="str">
        <f>IFERROR(O64&amp;"*"&amp;ROUND(Q64*(P64/(N64+P64))/VLOOKUP(O64,职业!$A$3:$E$16,4,FALSE),0),"")</f>
        <v/>
      </c>
      <c r="AG64" t="str">
        <f>IFERROR(R64&amp;"*"&amp;ROUND(V64*(S64/(S64+U64))/VLOOKUP(R64,商品!$A$4:$D$67,4,FALSE),0),"")</f>
        <v/>
      </c>
      <c r="AH64" t="str">
        <f>IFERROR(T64&amp;"*"&amp;ROUND(V64*(U64/(S64+U64))/VLOOKUP(T64,商品!$A$4:$D$67,4,FALSE),0),"")</f>
        <v/>
      </c>
    </row>
    <row r="65" customHeight="1" spans="1:34">
      <c r="A65" s="14" t="s">
        <v>298</v>
      </c>
      <c r="C65" s="2">
        <v>6</v>
      </c>
      <c r="D65" s="2" t="s">
        <v>220</v>
      </c>
      <c r="E65" s="2" t="s">
        <v>222</v>
      </c>
      <c r="L65" s="2">
        <f>IFERROR(VLOOKUP($D65&amp;$C65,生产方式定位!$A$2:$E$39,2,FALSE)+VLOOKUP($E65&amp;$C65,生产方式定位!$F$3:$J$39,2,FALSE),0)</f>
        <v>0</v>
      </c>
      <c r="Q65" s="2">
        <f>IFERROR(VLOOKUP($D65&amp;$C65,生产方式定位!$A$2:$E$39,3,FALSE)+VLOOKUP($E65&amp;$C65,生产方式定位!$F$3:$J$39,3,FALSE),0)</f>
        <v>0</v>
      </c>
      <c r="V65" s="2" t="str">
        <f>IFERROR(VLOOKUP($D65&amp;$C65,生产方式定位!$A$2:$E$39,5,FALSE)+VLOOKUP($E65&amp;$C65,生产方式定位!$F$3:$J$39,5,FALSE),"错误")</f>
        <v>错误</v>
      </c>
      <c r="W65" s="3" t="str">
        <f t="shared" si="0"/>
        <v/>
      </c>
      <c r="X65" s="4" t="str">
        <f t="shared" si="1"/>
        <v/>
      </c>
      <c r="Y65" s="4" t="str">
        <f t="shared" si="2"/>
        <v/>
      </c>
      <c r="Z65" s="5" t="str">
        <f t="shared" si="3"/>
        <v/>
      </c>
      <c r="AA65" s="6">
        <f t="shared" si="4"/>
        <v>6</v>
      </c>
      <c r="AB65" t="str">
        <f>IFERROR(F65&amp;"*"&amp;ROUND(L65*(G65/(G65+I65+K65))/VLOOKUP(F65,商品!$A$4:$D$67,4,FALSE),0),"")</f>
        <v/>
      </c>
      <c r="AC65" t="str">
        <f>IFERROR(H65&amp;"*"&amp;ROUND(L65*(I65/(G65+I65+K65))/VLOOKUP(H65,商品!$A$4:$D$67,4,FALSE),0),"")</f>
        <v/>
      </c>
      <c r="AD65" t="str">
        <f>IFERROR(J65&amp;"*"&amp;ROUND(L65*(K65/(G65+I65+K65))/VLOOKUP(J65,商品!$A$4:$D$67,4,FALSE),0),"")</f>
        <v/>
      </c>
      <c r="AE65" t="str">
        <f>IFERROR(M65&amp;"*"&amp;ROUND(Q65*(N65/(N65+P65))/VLOOKUP(M65,职业!$A$3:$E$16,4,FALSE),0),"")</f>
        <v/>
      </c>
      <c r="AF65" t="str">
        <f>IFERROR(O65&amp;"*"&amp;ROUND(Q65*(P65/(N65+P65))/VLOOKUP(O65,职业!$A$3:$E$16,4,FALSE),0),"")</f>
        <v/>
      </c>
      <c r="AG65" t="str">
        <f>IFERROR(R65&amp;"*"&amp;ROUND(V65*(S65/(S65+U65))/VLOOKUP(R65,商品!$A$4:$D$67,4,FALSE),0),"")</f>
        <v/>
      </c>
      <c r="AH65" t="str">
        <f>IFERROR(T65&amp;"*"&amp;ROUND(V65*(U65/(S65+U65))/VLOOKUP(T65,商品!$A$4:$D$67,4,FALSE),0),"")</f>
        <v/>
      </c>
    </row>
    <row r="66" customHeight="1" spans="1:34">
      <c r="A66" s="15" t="s">
        <v>299</v>
      </c>
      <c r="C66" s="2">
        <v>7</v>
      </c>
      <c r="D66" s="2" t="s">
        <v>220</v>
      </c>
      <c r="E66" s="2" t="s">
        <v>224</v>
      </c>
      <c r="L66" s="2">
        <f>IFERROR(VLOOKUP($D66&amp;$C66,生产方式定位!$A$2:$E$39,2,FALSE)+VLOOKUP($E66&amp;$C66,生产方式定位!$F$3:$J$39,2,FALSE),0)</f>
        <v>0</v>
      </c>
      <c r="Q66" s="2">
        <f>IFERROR(VLOOKUP($D66&amp;$C66,生产方式定位!$A$2:$E$39,3,FALSE)+VLOOKUP($E66&amp;$C66,生产方式定位!$F$3:$J$39,3,FALSE),0)</f>
        <v>0</v>
      </c>
      <c r="V66" s="2" t="str">
        <f>IFERROR(VLOOKUP($D66&amp;$C66,生产方式定位!$A$2:$E$39,5,FALSE)+VLOOKUP($E66&amp;$C66,生产方式定位!$F$3:$J$39,5,FALSE),"错误")</f>
        <v>错误</v>
      </c>
      <c r="W66" s="3" t="str">
        <f t="shared" si="0"/>
        <v/>
      </c>
      <c r="X66" s="4" t="str">
        <f t="shared" si="1"/>
        <v/>
      </c>
      <c r="Y66" s="4" t="str">
        <f t="shared" si="2"/>
        <v/>
      </c>
      <c r="Z66" s="5" t="str">
        <f t="shared" si="3"/>
        <v/>
      </c>
      <c r="AA66" s="6">
        <f t="shared" si="4"/>
        <v>7</v>
      </c>
      <c r="AB66" t="str">
        <f>IFERROR(F66&amp;"*"&amp;ROUND(L66*(G66/(G66+I66+K66))/VLOOKUP(F66,商品!$A$4:$D$67,4,FALSE),0),"")</f>
        <v/>
      </c>
      <c r="AC66" t="str">
        <f>IFERROR(H66&amp;"*"&amp;ROUND(L66*(I66/(G66+I66+K66))/VLOOKUP(H66,商品!$A$4:$D$67,4,FALSE),0),"")</f>
        <v/>
      </c>
      <c r="AD66" t="str">
        <f>IFERROR(J66&amp;"*"&amp;ROUND(L66*(K66/(G66+I66+K66))/VLOOKUP(J66,商品!$A$4:$D$67,4,FALSE),0),"")</f>
        <v/>
      </c>
      <c r="AE66" t="str">
        <f>IFERROR(M66&amp;"*"&amp;ROUND(Q66*(N66/(N66+P66))/VLOOKUP(M66,职业!$A$3:$E$16,4,FALSE),0),"")</f>
        <v/>
      </c>
      <c r="AF66" t="str">
        <f>IFERROR(O66&amp;"*"&amp;ROUND(Q66*(P66/(N66+P66))/VLOOKUP(O66,职业!$A$3:$E$16,4,FALSE),0),"")</f>
        <v/>
      </c>
      <c r="AG66" t="str">
        <f>IFERROR(R66&amp;"*"&amp;ROUND(V66*(S66/(S66+U66))/VLOOKUP(R66,商品!$A$4:$D$67,4,FALSE),0),"")</f>
        <v/>
      </c>
      <c r="AH66" t="str">
        <f>IFERROR(T66&amp;"*"&amp;ROUND(V66*(U66/(S66+U66))/VLOOKUP(T66,商品!$A$4:$D$67,4,FALSE),0),"")</f>
        <v/>
      </c>
    </row>
    <row r="67" customHeight="1" spans="1:34">
      <c r="A67" s="15" t="s">
        <v>299</v>
      </c>
      <c r="C67" s="2">
        <v>8</v>
      </c>
      <c r="D67" s="2" t="s">
        <v>220</v>
      </c>
      <c r="E67" s="2" t="s">
        <v>224</v>
      </c>
      <c r="L67" s="2">
        <f>IFERROR(VLOOKUP($D67&amp;$C67,生产方式定位!$A$2:$E$39,2,FALSE)+VLOOKUP($E67&amp;$C67,生产方式定位!$F$3:$J$39,2,FALSE),0)</f>
        <v>0</v>
      </c>
      <c r="Q67" s="2">
        <f>IFERROR(VLOOKUP($D67&amp;$C67,生产方式定位!$A$2:$E$39,3,FALSE)+VLOOKUP($E67&amp;$C67,生产方式定位!$F$3:$J$39,3,FALSE),0)</f>
        <v>0</v>
      </c>
      <c r="V67" s="2" t="str">
        <f>IFERROR(VLOOKUP($D67&amp;$C67,生产方式定位!$A$2:$E$39,5,FALSE)+VLOOKUP($E67&amp;$C67,生产方式定位!$F$3:$J$39,5,FALSE),"错误")</f>
        <v>错误</v>
      </c>
      <c r="W67" s="3" t="str">
        <f t="shared" si="0"/>
        <v/>
      </c>
      <c r="X67" s="4" t="str">
        <f t="shared" si="1"/>
        <v/>
      </c>
      <c r="Y67" s="4" t="str">
        <f t="shared" si="2"/>
        <v/>
      </c>
      <c r="Z67" s="5" t="str">
        <f t="shared" si="3"/>
        <v/>
      </c>
      <c r="AA67" s="6">
        <f t="shared" si="4"/>
        <v>8</v>
      </c>
      <c r="AB67" t="str">
        <f>IFERROR(F67&amp;"*"&amp;ROUND(L67*(G67/(G67+I67+K67))/VLOOKUP(F67,商品!$A$4:$D$67,4,FALSE),0),"")</f>
        <v/>
      </c>
      <c r="AC67" t="str">
        <f>IFERROR(H67&amp;"*"&amp;ROUND(L67*(I67/(G67+I67+K67))/VLOOKUP(H67,商品!$A$4:$D$67,4,FALSE),0),"")</f>
        <v/>
      </c>
      <c r="AD67" t="str">
        <f>IFERROR(J67&amp;"*"&amp;ROUND(L67*(K67/(G67+I67+K67))/VLOOKUP(J67,商品!$A$4:$D$67,4,FALSE),0),"")</f>
        <v/>
      </c>
      <c r="AE67" t="str">
        <f>IFERROR(M67&amp;"*"&amp;ROUND(Q67*(N67/(N67+P67))/VLOOKUP(M67,职业!$A$3:$E$16,4,FALSE),0),"")</f>
        <v/>
      </c>
      <c r="AF67" t="str">
        <f>IFERROR(O67&amp;"*"&amp;ROUND(Q67*(P67/(N67+P67))/VLOOKUP(O67,职业!$A$3:$E$16,4,FALSE),0),"")</f>
        <v/>
      </c>
      <c r="AG67" t="str">
        <f>IFERROR(R67&amp;"*"&amp;ROUND(V67*(S67/(S67+U67))/VLOOKUP(R67,商品!$A$4:$D$67,4,FALSE),0),"")</f>
        <v/>
      </c>
      <c r="AH67" t="str">
        <f>IFERROR(T67&amp;"*"&amp;ROUND(V67*(U67/(S67+U67))/VLOOKUP(T67,商品!$A$4:$D$67,4,FALSE),0),"")</f>
        <v/>
      </c>
    </row>
    <row r="68" customHeight="1" spans="1:34">
      <c r="A68" s="15" t="s">
        <v>299</v>
      </c>
      <c r="C68" s="2">
        <v>1</v>
      </c>
      <c r="D68" s="2" t="s">
        <v>220</v>
      </c>
      <c r="E68" s="2" t="s">
        <v>224</v>
      </c>
      <c r="L68" s="2">
        <f>IFERROR(VLOOKUP($D68&amp;$C68,生产方式定位!$A$2:$E$39,2,FALSE)+VLOOKUP($E68&amp;$C68,生产方式定位!$F$3:$J$39,2,FALSE),0)</f>
        <v>2000</v>
      </c>
      <c r="Q68" s="2">
        <f>IFERROR(VLOOKUP($D68&amp;$C68,生产方式定位!$A$2:$E$39,3,FALSE)+VLOOKUP($E68&amp;$C68,生产方式定位!$F$3:$J$39,3,FALSE),0)</f>
        <v>2000</v>
      </c>
      <c r="V68" s="2">
        <f>IFERROR(VLOOKUP($D68&amp;$C68,生产方式定位!$A$2:$E$39,5,FALSE)+VLOOKUP($E68&amp;$C68,生产方式定位!$F$3:$J$39,5,FALSE),"错误")</f>
        <v>2000</v>
      </c>
      <c r="W68" s="3" t="str">
        <f t="shared" si="0"/>
        <v/>
      </c>
      <c r="X68" s="4" t="str">
        <f t="shared" si="1"/>
        <v/>
      </c>
      <c r="Y68" s="4" t="str">
        <f t="shared" si="2"/>
        <v/>
      </c>
      <c r="Z68" s="5">
        <f t="shared" si="3"/>
        <v>1</v>
      </c>
      <c r="AA68" s="6">
        <f t="shared" si="4"/>
        <v>1</v>
      </c>
      <c r="AB68" t="str">
        <f>IFERROR(F68&amp;"*"&amp;ROUND(L68*(G68/(G68+I68+K68))/VLOOKUP(F68,商品!$A$4:$D$67,4,FALSE),0),"")</f>
        <v/>
      </c>
      <c r="AC68" t="str">
        <f>IFERROR(H68&amp;"*"&amp;ROUND(L68*(I68/(G68+I68+K68))/VLOOKUP(H68,商品!$A$4:$D$67,4,FALSE),0),"")</f>
        <v/>
      </c>
      <c r="AD68" t="str">
        <f>IFERROR(J68&amp;"*"&amp;ROUND(L68*(K68/(G68+I68+K68))/VLOOKUP(J68,商品!$A$4:$D$67,4,FALSE),0),"")</f>
        <v/>
      </c>
      <c r="AE68" t="str">
        <f>IFERROR(M68&amp;"*"&amp;ROUND(Q68*(N68/(N68+P68))/VLOOKUP(M68,职业!$A$3:$E$16,4,FALSE),0),"")</f>
        <v/>
      </c>
      <c r="AF68" t="str">
        <f>IFERROR(O68&amp;"*"&amp;ROUND(Q68*(P68/(N68+P68))/VLOOKUP(O68,职业!$A$3:$E$16,4,FALSE),0),"")</f>
        <v/>
      </c>
      <c r="AG68" t="str">
        <f>IFERROR(R68&amp;"*"&amp;ROUND(V68*(S68/(S68+U68))/VLOOKUP(R68,商品!$A$4:$D$67,4,FALSE),0),"")</f>
        <v/>
      </c>
      <c r="AH68" t="str">
        <f>IFERROR(T68&amp;"*"&amp;ROUND(V68*(U68/(S68+U68))/VLOOKUP(T68,商品!$A$4:$D$67,4,FALSE),0),"")</f>
        <v/>
      </c>
    </row>
    <row r="69" customHeight="1" spans="1:34">
      <c r="A69" s="15" t="s">
        <v>299</v>
      </c>
      <c r="C69" s="2">
        <v>2</v>
      </c>
      <c r="D69" s="2" t="s">
        <v>220</v>
      </c>
      <c r="E69" s="2" t="s">
        <v>224</v>
      </c>
      <c r="L69" s="2">
        <f>IFERROR(VLOOKUP($D69&amp;$C69,生产方式定位!$A$2:$E$39,2,FALSE)+VLOOKUP($E69&amp;$C69,生产方式定位!$F$3:$J$39,2,FALSE),0)</f>
        <v>4500</v>
      </c>
      <c r="Q69" s="2">
        <f>IFERROR(VLOOKUP($D69&amp;$C69,生产方式定位!$A$2:$E$39,3,FALSE)+VLOOKUP($E69&amp;$C69,生产方式定位!$F$3:$J$39,3,FALSE),0)</f>
        <v>2000</v>
      </c>
      <c r="V69" s="2">
        <f>IFERROR(VLOOKUP($D69&amp;$C69,生产方式定位!$A$2:$E$39,5,FALSE)+VLOOKUP($E69&amp;$C69,生产方式定位!$F$3:$J$39,5,FALSE),"错误")</f>
        <v>3340</v>
      </c>
      <c r="W69" s="3" t="str">
        <f t="shared" ref="W69:W132" si="5">IF(AB69="","",AB69)&amp;IF(AC69="","",","&amp;AC69)&amp;IF(AD69="","",","&amp;AD69)</f>
        <v/>
      </c>
      <c r="X69" s="4" t="str">
        <f t="shared" ref="X69:X132" si="6">IF(AE69="","",AE69)&amp;IF(AF69="","",","&amp;AF69)</f>
        <v/>
      </c>
      <c r="Y69" s="4" t="str">
        <f t="shared" ref="Y69:Y132" si="7">IF(AG69="","",AG69)&amp;IF(AH69="","",","&amp;AH69)</f>
        <v/>
      </c>
      <c r="Z69" s="5">
        <f t="shared" ref="Z69:Z132" si="8">IFERROR(ROUND(L69/V69,2),"")</f>
        <v>1.35</v>
      </c>
      <c r="AA69" s="6">
        <f t="shared" ref="AA69:AA132" si="9">C69</f>
        <v>2</v>
      </c>
      <c r="AB69" t="str">
        <f>IFERROR(F69&amp;"*"&amp;ROUND(L69*(G69/(G69+I69+K69))/VLOOKUP(F69,商品!$A$4:$D$67,4,FALSE),0),"")</f>
        <v/>
      </c>
      <c r="AC69" t="str">
        <f>IFERROR(H69&amp;"*"&amp;ROUND(L69*(I69/(G69+I69+K69))/VLOOKUP(H69,商品!$A$4:$D$67,4,FALSE),0),"")</f>
        <v/>
      </c>
      <c r="AD69" t="str">
        <f>IFERROR(J69&amp;"*"&amp;ROUND(L69*(K69/(G69+I69+K69))/VLOOKUP(J69,商品!$A$4:$D$67,4,FALSE),0),"")</f>
        <v/>
      </c>
      <c r="AE69" t="str">
        <f>IFERROR(M69&amp;"*"&amp;ROUND(Q69*(N69/(N69+P69))/VLOOKUP(M69,职业!$A$3:$E$16,4,FALSE),0),"")</f>
        <v/>
      </c>
      <c r="AF69" t="str">
        <f>IFERROR(O69&amp;"*"&amp;ROUND(Q69*(P69/(N69+P69))/VLOOKUP(O69,职业!$A$3:$E$16,4,FALSE),0),"")</f>
        <v/>
      </c>
      <c r="AG69" t="str">
        <f>IFERROR(R69&amp;"*"&amp;ROUND(V69*(S69/(S69+U69))/VLOOKUP(R69,商品!$A$4:$D$67,4,FALSE),0),"")</f>
        <v/>
      </c>
      <c r="AH69" t="str">
        <f>IFERROR(T69&amp;"*"&amp;ROUND(V69*(U69/(S69+U69))/VLOOKUP(T69,商品!$A$4:$D$67,4,FALSE),0),"")</f>
        <v/>
      </c>
    </row>
    <row r="70" customHeight="1" spans="1:34">
      <c r="A70" s="15" t="s">
        <v>299</v>
      </c>
      <c r="C70" s="2">
        <v>3</v>
      </c>
      <c r="D70" s="2" t="s">
        <v>220</v>
      </c>
      <c r="E70" s="2" t="s">
        <v>224</v>
      </c>
      <c r="L70" s="2">
        <f>IFERROR(VLOOKUP($D70&amp;$C70,生产方式定位!$A$2:$E$39,2,FALSE)+VLOOKUP($E70&amp;$C70,生产方式定位!$F$3:$J$39,2,FALSE),0)</f>
        <v>6000</v>
      </c>
      <c r="Q70" s="2">
        <f>IFERROR(VLOOKUP($D70&amp;$C70,生产方式定位!$A$2:$E$39,3,FALSE)+VLOOKUP($E70&amp;$C70,生产方式定位!$F$3:$J$39,3,FALSE),0)</f>
        <v>2000</v>
      </c>
      <c r="V70" s="2">
        <f>IFERROR(VLOOKUP($D70&amp;$C70,生产方式定位!$A$2:$E$39,5,FALSE)+VLOOKUP($E70&amp;$C70,生产方式定位!$F$3:$J$39,5,FALSE),"错误")</f>
        <v>4260</v>
      </c>
      <c r="W70" s="3" t="str">
        <f t="shared" si="5"/>
        <v/>
      </c>
      <c r="X70" s="4" t="str">
        <f t="shared" si="6"/>
        <v/>
      </c>
      <c r="Y70" s="4" t="str">
        <f t="shared" si="7"/>
        <v/>
      </c>
      <c r="Z70" s="5">
        <f t="shared" si="8"/>
        <v>1.41</v>
      </c>
      <c r="AA70" s="6">
        <f t="shared" si="9"/>
        <v>3</v>
      </c>
      <c r="AB70" t="str">
        <f>IFERROR(F70&amp;"*"&amp;ROUND(L70*(G70/(G70+I70+K70))/VLOOKUP(F70,商品!$A$4:$D$67,4,FALSE),0),"")</f>
        <v/>
      </c>
      <c r="AC70" t="str">
        <f>IFERROR(H70&amp;"*"&amp;ROUND(L70*(I70/(G70+I70+K70))/VLOOKUP(H70,商品!$A$4:$D$67,4,FALSE),0),"")</f>
        <v/>
      </c>
      <c r="AD70" t="str">
        <f>IFERROR(J70&amp;"*"&amp;ROUND(L70*(K70/(G70+I70+K70))/VLOOKUP(J70,商品!$A$4:$D$67,4,FALSE),0),"")</f>
        <v/>
      </c>
      <c r="AE70" t="str">
        <f>IFERROR(M70&amp;"*"&amp;ROUND(Q70*(N70/(N70+P70))/VLOOKUP(M70,职业!$A$3:$E$16,4,FALSE),0),"")</f>
        <v/>
      </c>
      <c r="AF70" t="str">
        <f>IFERROR(O70&amp;"*"&amp;ROUND(Q70*(P70/(N70+P70))/VLOOKUP(O70,职业!$A$3:$E$16,4,FALSE),0),"")</f>
        <v/>
      </c>
      <c r="AG70" t="str">
        <f>IFERROR(R70&amp;"*"&amp;ROUND(V70*(S70/(S70+U70))/VLOOKUP(R70,商品!$A$4:$D$67,4,FALSE),0),"")</f>
        <v/>
      </c>
      <c r="AH70" t="str">
        <f>IFERROR(T70&amp;"*"&amp;ROUND(V70*(U70/(S70+U70))/VLOOKUP(T70,商品!$A$4:$D$67,4,FALSE),0),"")</f>
        <v/>
      </c>
    </row>
    <row r="71" customHeight="1" spans="1:34">
      <c r="A71" s="14" t="s">
        <v>299</v>
      </c>
      <c r="C71" s="2">
        <v>4</v>
      </c>
      <c r="D71" s="2" t="s">
        <v>220</v>
      </c>
      <c r="E71" s="2" t="s">
        <v>224</v>
      </c>
      <c r="L71" s="2">
        <f>IFERROR(VLOOKUP($D71&amp;$C71,生产方式定位!$A$2:$E$39,2,FALSE)+VLOOKUP($E71&amp;$C71,生产方式定位!$F$3:$J$39,2,FALSE),0)</f>
        <v>7500</v>
      </c>
      <c r="Q71" s="2">
        <f>IFERROR(VLOOKUP($D71&amp;$C71,生产方式定位!$A$2:$E$39,3,FALSE)+VLOOKUP($E71&amp;$C71,生产方式定位!$F$3:$J$39,3,FALSE),0)</f>
        <v>2000</v>
      </c>
      <c r="V71" s="2">
        <f>IFERROR(VLOOKUP($D71&amp;$C71,生产方式定位!$A$2:$E$39,5,FALSE)+VLOOKUP($E71&amp;$C71,生产方式定位!$F$3:$J$39,5,FALSE),"错误")</f>
        <v>5260</v>
      </c>
      <c r="W71" s="3" t="str">
        <f t="shared" si="5"/>
        <v/>
      </c>
      <c r="X71" s="4" t="str">
        <f t="shared" si="6"/>
        <v/>
      </c>
      <c r="Y71" s="4" t="str">
        <f t="shared" si="7"/>
        <v/>
      </c>
      <c r="Z71" s="5">
        <f t="shared" si="8"/>
        <v>1.43</v>
      </c>
      <c r="AA71" s="6">
        <f t="shared" si="9"/>
        <v>4</v>
      </c>
      <c r="AB71" t="str">
        <f>IFERROR(F71&amp;"*"&amp;ROUND(L71*(G71/(G71+I71+K71))/VLOOKUP(F71,商品!$A$4:$D$67,4,FALSE),0),"")</f>
        <v/>
      </c>
      <c r="AC71" t="str">
        <f>IFERROR(H71&amp;"*"&amp;ROUND(L71*(I71/(G71+I71+K71))/VLOOKUP(H71,商品!$A$4:$D$67,4,FALSE),0),"")</f>
        <v/>
      </c>
      <c r="AD71" t="str">
        <f>IFERROR(J71&amp;"*"&amp;ROUND(L71*(K71/(G71+I71+K71))/VLOOKUP(J71,商品!$A$4:$D$67,4,FALSE),0),"")</f>
        <v/>
      </c>
      <c r="AE71" t="str">
        <f>IFERROR(M71&amp;"*"&amp;ROUND(Q71*(N71/(N71+P71))/VLOOKUP(M71,职业!$A$3:$E$16,4,FALSE),0),"")</f>
        <v/>
      </c>
      <c r="AF71" t="str">
        <f>IFERROR(O71&amp;"*"&amp;ROUND(Q71*(P71/(N71+P71))/VLOOKUP(O71,职业!$A$3:$E$16,4,FALSE),0),"")</f>
        <v/>
      </c>
      <c r="AG71" t="str">
        <f>IFERROR(R71&amp;"*"&amp;ROUND(V71*(S71/(S71+U71))/VLOOKUP(R71,商品!$A$4:$D$67,4,FALSE),0),"")</f>
        <v/>
      </c>
      <c r="AH71" t="str">
        <f>IFERROR(T71&amp;"*"&amp;ROUND(V71*(U71/(S71+U71))/VLOOKUP(T71,商品!$A$4:$D$67,4,FALSE),0),"")</f>
        <v/>
      </c>
    </row>
    <row r="72" customHeight="1" spans="1:34">
      <c r="A72" s="14" t="s">
        <v>299</v>
      </c>
      <c r="C72" s="2">
        <v>5</v>
      </c>
      <c r="D72" s="2" t="s">
        <v>220</v>
      </c>
      <c r="E72" s="2" t="s">
        <v>224</v>
      </c>
      <c r="L72" s="2">
        <f>IFERROR(VLOOKUP($D72&amp;$C72,生产方式定位!$A$2:$E$39,2,FALSE)+VLOOKUP($E72&amp;$C72,生产方式定位!$F$3:$J$39,2,FALSE),0)</f>
        <v>9000</v>
      </c>
      <c r="Q72" s="2">
        <f>IFERROR(VLOOKUP($D72&amp;$C72,生产方式定位!$A$2:$E$39,3,FALSE)+VLOOKUP($E72&amp;$C72,生产方式定位!$F$3:$J$39,3,FALSE),0)</f>
        <v>2000</v>
      </c>
      <c r="V72" s="2">
        <f>IFERROR(VLOOKUP($D72&amp;$C72,生产方式定位!$A$2:$E$39,5,FALSE)+VLOOKUP($E72&amp;$C72,生产方式定位!$F$3:$J$39,5,FALSE),"错误")</f>
        <v>6340</v>
      </c>
      <c r="W72" s="3" t="str">
        <f t="shared" si="5"/>
        <v/>
      </c>
      <c r="X72" s="4" t="str">
        <f t="shared" si="6"/>
        <v/>
      </c>
      <c r="Y72" s="4" t="str">
        <f t="shared" si="7"/>
        <v/>
      </c>
      <c r="Z72" s="5">
        <f t="shared" si="8"/>
        <v>1.42</v>
      </c>
      <c r="AA72" s="6">
        <f t="shared" si="9"/>
        <v>5</v>
      </c>
      <c r="AB72" t="str">
        <f>IFERROR(F72&amp;"*"&amp;ROUND(L72*(G72/(G72+I72+K72))/VLOOKUP(F72,商品!$A$4:$D$67,4,FALSE),0),"")</f>
        <v/>
      </c>
      <c r="AC72" t="str">
        <f>IFERROR(H72&amp;"*"&amp;ROUND(L72*(I72/(G72+I72+K72))/VLOOKUP(H72,商品!$A$4:$D$67,4,FALSE),0),"")</f>
        <v/>
      </c>
      <c r="AD72" t="str">
        <f>IFERROR(J72&amp;"*"&amp;ROUND(L72*(K72/(G72+I72+K72))/VLOOKUP(J72,商品!$A$4:$D$67,4,FALSE),0),"")</f>
        <v/>
      </c>
      <c r="AE72" t="str">
        <f>IFERROR(M72&amp;"*"&amp;ROUND(Q72*(N72/(N72+P72))/VLOOKUP(M72,职业!$A$3:$E$16,4,FALSE),0),"")</f>
        <v/>
      </c>
      <c r="AF72" t="str">
        <f>IFERROR(O72&amp;"*"&amp;ROUND(Q72*(P72/(N72+P72))/VLOOKUP(O72,职业!$A$3:$E$16,4,FALSE),0),"")</f>
        <v/>
      </c>
      <c r="AG72" t="str">
        <f>IFERROR(R72&amp;"*"&amp;ROUND(V72*(S72/(S72+U72))/VLOOKUP(R72,商品!$A$4:$D$67,4,FALSE),0),"")</f>
        <v/>
      </c>
      <c r="AH72" t="str">
        <f>IFERROR(T72&amp;"*"&amp;ROUND(V72*(U72/(S72+U72))/VLOOKUP(T72,商品!$A$4:$D$67,4,FALSE),0),"")</f>
        <v/>
      </c>
    </row>
    <row r="73" customHeight="1" spans="1:34">
      <c r="A73" s="14" t="s">
        <v>299</v>
      </c>
      <c r="C73" s="2">
        <v>1</v>
      </c>
      <c r="D73" s="2" t="s">
        <v>220</v>
      </c>
      <c r="E73" s="2" t="s">
        <v>224</v>
      </c>
      <c r="L73" s="2">
        <f>IFERROR(VLOOKUP($D73&amp;$C73,生产方式定位!$A$2:$E$39,2,FALSE)+VLOOKUP($E73&amp;$C73,生产方式定位!$F$3:$J$39,2,FALSE),0)</f>
        <v>2000</v>
      </c>
      <c r="Q73" s="2">
        <f>IFERROR(VLOOKUP($D73&amp;$C73,生产方式定位!$A$2:$E$39,3,FALSE)+VLOOKUP($E73&amp;$C73,生产方式定位!$F$3:$J$39,3,FALSE),0)</f>
        <v>2000</v>
      </c>
      <c r="V73" s="2">
        <f>IFERROR(VLOOKUP($D73&amp;$C73,生产方式定位!$A$2:$E$39,5,FALSE)+VLOOKUP($E73&amp;$C73,生产方式定位!$F$3:$J$39,5,FALSE),"错误")</f>
        <v>2000</v>
      </c>
      <c r="W73" s="3" t="str">
        <f t="shared" si="5"/>
        <v/>
      </c>
      <c r="X73" s="4" t="str">
        <f t="shared" si="6"/>
        <v/>
      </c>
      <c r="Y73" s="4" t="str">
        <f t="shared" si="7"/>
        <v/>
      </c>
      <c r="Z73" s="5">
        <f t="shared" si="8"/>
        <v>1</v>
      </c>
      <c r="AA73" s="6">
        <f t="shared" si="9"/>
        <v>1</v>
      </c>
      <c r="AB73" t="str">
        <f>IFERROR(F73&amp;"*"&amp;ROUND(L73*(G73/(G73+I73+K73))/VLOOKUP(F73,商品!$A$4:$D$67,4,FALSE),0),"")</f>
        <v/>
      </c>
      <c r="AC73" t="str">
        <f>IFERROR(H73&amp;"*"&amp;ROUND(L73*(I73/(G73+I73+K73))/VLOOKUP(H73,商品!$A$4:$D$67,4,FALSE),0),"")</f>
        <v/>
      </c>
      <c r="AD73" t="str">
        <f>IFERROR(J73&amp;"*"&amp;ROUND(L73*(K73/(G73+I73+K73))/VLOOKUP(J73,商品!$A$4:$D$67,4,FALSE),0),"")</f>
        <v/>
      </c>
      <c r="AE73" t="str">
        <f>IFERROR(M73&amp;"*"&amp;ROUND(Q73*(N73/(N73+P73))/VLOOKUP(M73,职业!$A$3:$E$16,4,FALSE),0),"")</f>
        <v/>
      </c>
      <c r="AF73" t="str">
        <f>IFERROR(O73&amp;"*"&amp;ROUND(Q73*(P73/(N73+P73))/VLOOKUP(O73,职业!$A$3:$E$16,4,FALSE),0),"")</f>
        <v/>
      </c>
      <c r="AG73" t="str">
        <f>IFERROR(R73&amp;"*"&amp;ROUND(V73*(S73/(S73+U73))/VLOOKUP(R73,商品!$A$4:$D$67,4,FALSE),0),"")</f>
        <v/>
      </c>
      <c r="AH73" t="str">
        <f>IFERROR(T73&amp;"*"&amp;ROUND(V73*(U73/(S73+U73))/VLOOKUP(T73,商品!$A$4:$D$67,4,FALSE),0),"")</f>
        <v/>
      </c>
    </row>
    <row r="74" customHeight="1" spans="1:34">
      <c r="A74" s="14" t="s">
        <v>299</v>
      </c>
      <c r="C74" s="2">
        <v>2</v>
      </c>
      <c r="D74" s="2" t="s">
        <v>220</v>
      </c>
      <c r="E74" s="2" t="s">
        <v>224</v>
      </c>
      <c r="L74" s="2">
        <f>IFERROR(VLOOKUP($D74&amp;$C74,生产方式定位!$A$2:$E$39,2,FALSE)+VLOOKUP($E74&amp;$C74,生产方式定位!$F$3:$J$39,2,FALSE),0)</f>
        <v>4500</v>
      </c>
      <c r="Q74" s="2">
        <f>IFERROR(VLOOKUP($D74&amp;$C74,生产方式定位!$A$2:$E$39,3,FALSE)+VLOOKUP($E74&amp;$C74,生产方式定位!$F$3:$J$39,3,FALSE),0)</f>
        <v>2000</v>
      </c>
      <c r="V74" s="2">
        <f>IFERROR(VLOOKUP($D74&amp;$C74,生产方式定位!$A$2:$E$39,5,FALSE)+VLOOKUP($E74&amp;$C74,生产方式定位!$F$3:$J$39,5,FALSE),"错误")</f>
        <v>3340</v>
      </c>
      <c r="W74" s="3" t="str">
        <f t="shared" si="5"/>
        <v/>
      </c>
      <c r="X74" s="4" t="str">
        <f t="shared" si="6"/>
        <v/>
      </c>
      <c r="Y74" s="4" t="str">
        <f t="shared" si="7"/>
        <v/>
      </c>
      <c r="Z74" s="5">
        <f t="shared" si="8"/>
        <v>1.35</v>
      </c>
      <c r="AA74" s="6">
        <f t="shared" si="9"/>
        <v>2</v>
      </c>
      <c r="AB74" t="str">
        <f>IFERROR(F74&amp;"*"&amp;ROUND(L74*(G74/(G74+I74+K74))/VLOOKUP(F74,商品!$A$4:$D$67,4,FALSE),0),"")</f>
        <v/>
      </c>
      <c r="AC74" t="str">
        <f>IFERROR(H74&amp;"*"&amp;ROUND(L74*(I74/(G74+I74+K74))/VLOOKUP(H74,商品!$A$4:$D$67,4,FALSE),0),"")</f>
        <v/>
      </c>
      <c r="AD74" t="str">
        <f>IFERROR(J74&amp;"*"&amp;ROUND(L74*(K74/(G74+I74+K74))/VLOOKUP(J74,商品!$A$4:$D$67,4,FALSE),0),"")</f>
        <v/>
      </c>
      <c r="AE74" t="str">
        <f>IFERROR(M74&amp;"*"&amp;ROUND(Q74*(N74/(N74+P74))/VLOOKUP(M74,职业!$A$3:$E$16,4,FALSE),0),"")</f>
        <v/>
      </c>
      <c r="AF74" t="str">
        <f>IFERROR(O74&amp;"*"&amp;ROUND(Q74*(P74/(N74+P74))/VLOOKUP(O74,职业!$A$3:$E$16,4,FALSE),0),"")</f>
        <v/>
      </c>
      <c r="AG74" t="str">
        <f>IFERROR(R74&amp;"*"&amp;ROUND(V74*(S74/(S74+U74))/VLOOKUP(R74,商品!$A$4:$D$67,4,FALSE),0),"")</f>
        <v/>
      </c>
      <c r="AH74" t="str">
        <f>IFERROR(T74&amp;"*"&amp;ROUND(V74*(U74/(S74+U74))/VLOOKUP(T74,商品!$A$4:$D$67,4,FALSE),0),"")</f>
        <v/>
      </c>
    </row>
    <row r="75" customHeight="1" spans="1:34">
      <c r="A75" s="14" t="s">
        <v>299</v>
      </c>
      <c r="C75" s="2">
        <v>3</v>
      </c>
      <c r="D75" s="2" t="s">
        <v>220</v>
      </c>
      <c r="E75" s="2" t="s">
        <v>224</v>
      </c>
      <c r="L75" s="2">
        <f>IFERROR(VLOOKUP($D75&amp;$C75,生产方式定位!$A$2:$E$39,2,FALSE)+VLOOKUP($E75&amp;$C75,生产方式定位!$F$3:$J$39,2,FALSE),0)</f>
        <v>6000</v>
      </c>
      <c r="Q75" s="2">
        <f>IFERROR(VLOOKUP($D75&amp;$C75,生产方式定位!$A$2:$E$39,3,FALSE)+VLOOKUP($E75&amp;$C75,生产方式定位!$F$3:$J$39,3,FALSE),0)</f>
        <v>2000</v>
      </c>
      <c r="V75" s="2">
        <f>IFERROR(VLOOKUP($D75&amp;$C75,生产方式定位!$A$2:$E$39,5,FALSE)+VLOOKUP($E75&amp;$C75,生产方式定位!$F$3:$J$39,5,FALSE),"错误")</f>
        <v>4260</v>
      </c>
      <c r="W75" s="3" t="str">
        <f t="shared" si="5"/>
        <v/>
      </c>
      <c r="X75" s="4" t="str">
        <f t="shared" si="6"/>
        <v/>
      </c>
      <c r="Y75" s="4" t="str">
        <f t="shared" si="7"/>
        <v/>
      </c>
      <c r="Z75" s="5">
        <f t="shared" si="8"/>
        <v>1.41</v>
      </c>
      <c r="AA75" s="6">
        <f t="shared" si="9"/>
        <v>3</v>
      </c>
      <c r="AB75" t="str">
        <f>IFERROR(F75&amp;"*"&amp;ROUND(L75*(G75/(G75+I75+K75))/VLOOKUP(F75,商品!$A$4:$D$67,4,FALSE),0),"")</f>
        <v/>
      </c>
      <c r="AC75" t="str">
        <f>IFERROR(H75&amp;"*"&amp;ROUND(L75*(I75/(G75+I75+K75))/VLOOKUP(H75,商品!$A$4:$D$67,4,FALSE),0),"")</f>
        <v/>
      </c>
      <c r="AD75" t="str">
        <f>IFERROR(J75&amp;"*"&amp;ROUND(L75*(K75/(G75+I75+K75))/VLOOKUP(J75,商品!$A$4:$D$67,4,FALSE),0),"")</f>
        <v/>
      </c>
      <c r="AE75" t="str">
        <f>IFERROR(M75&amp;"*"&amp;ROUND(Q75*(N75/(N75+P75))/VLOOKUP(M75,职业!$A$3:$E$16,4,FALSE),0),"")</f>
        <v/>
      </c>
      <c r="AF75" t="str">
        <f>IFERROR(O75&amp;"*"&amp;ROUND(Q75*(P75/(N75+P75))/VLOOKUP(O75,职业!$A$3:$E$16,4,FALSE),0),"")</f>
        <v/>
      </c>
      <c r="AG75" t="str">
        <f>IFERROR(R75&amp;"*"&amp;ROUND(V75*(S75/(S75+U75))/VLOOKUP(R75,商品!$A$4:$D$67,4,FALSE),0),"")</f>
        <v/>
      </c>
      <c r="AH75" t="str">
        <f>IFERROR(T75&amp;"*"&amp;ROUND(V75*(U75/(S75+U75))/VLOOKUP(T75,商品!$A$4:$D$67,4,FALSE),0),"")</f>
        <v/>
      </c>
    </row>
    <row r="76" customHeight="1" spans="1:34">
      <c r="A76" s="15" t="s">
        <v>300</v>
      </c>
      <c r="C76" s="2">
        <v>4</v>
      </c>
      <c r="D76" s="2" t="s">
        <v>220</v>
      </c>
      <c r="E76" s="2" t="s">
        <v>225</v>
      </c>
      <c r="L76" s="2">
        <f>IFERROR(VLOOKUP($D76&amp;$C76,生产方式定位!$A$2:$E$39,2,FALSE)+VLOOKUP($E76&amp;$C76,生产方式定位!$F$3:$J$39,2,FALSE),0)</f>
        <v>3500</v>
      </c>
      <c r="Q76" s="2">
        <f>IFERROR(VLOOKUP($D76&amp;$C76,生产方式定位!$A$2:$E$39,3,FALSE)+VLOOKUP($E76&amp;$C76,生产方式定位!$F$3:$J$39,3,FALSE),0)</f>
        <v>2600</v>
      </c>
      <c r="V76" s="2">
        <f>IFERROR(VLOOKUP($D76&amp;$C76,生产方式定位!$A$2:$E$39,5,FALSE)+VLOOKUP($E76&amp;$C76,生产方式定位!$F$3:$J$39,5,FALSE),"错误")</f>
        <v>3050</v>
      </c>
      <c r="W76" s="3" t="str">
        <f t="shared" si="5"/>
        <v/>
      </c>
      <c r="X76" s="4" t="str">
        <f t="shared" si="6"/>
        <v/>
      </c>
      <c r="Y76" s="4" t="str">
        <f t="shared" si="7"/>
        <v/>
      </c>
      <c r="Z76" s="5">
        <f t="shared" si="8"/>
        <v>1.15</v>
      </c>
      <c r="AA76" s="6">
        <f t="shared" si="9"/>
        <v>4</v>
      </c>
      <c r="AB76" t="str">
        <f>IFERROR(F76&amp;"*"&amp;ROUND(L76*(G76/(G76+I76+K76))/VLOOKUP(F76,商品!$A$4:$D$67,4,FALSE),0),"")</f>
        <v/>
      </c>
      <c r="AC76" t="str">
        <f>IFERROR(H76&amp;"*"&amp;ROUND(L76*(I76/(G76+I76+K76))/VLOOKUP(H76,商品!$A$4:$D$67,4,FALSE),0),"")</f>
        <v/>
      </c>
      <c r="AD76" t="str">
        <f>IFERROR(J76&amp;"*"&amp;ROUND(L76*(K76/(G76+I76+K76))/VLOOKUP(J76,商品!$A$4:$D$67,4,FALSE),0),"")</f>
        <v/>
      </c>
      <c r="AE76" t="str">
        <f>IFERROR(M76&amp;"*"&amp;ROUND(Q76*(N76/(N76+P76))/VLOOKUP(M76,职业!$A$3:$E$16,4,FALSE),0),"")</f>
        <v/>
      </c>
      <c r="AF76" t="str">
        <f>IFERROR(O76&amp;"*"&amp;ROUND(Q76*(P76/(N76+P76))/VLOOKUP(O76,职业!$A$3:$E$16,4,FALSE),0),"")</f>
        <v/>
      </c>
      <c r="AG76" t="str">
        <f>IFERROR(R76&amp;"*"&amp;ROUND(V76*(S76/(S76+U76))/VLOOKUP(R76,商品!$A$4:$D$67,4,FALSE),0),"")</f>
        <v/>
      </c>
      <c r="AH76" t="str">
        <f>IFERROR(T76&amp;"*"&amp;ROUND(V76*(U76/(S76+U76))/VLOOKUP(T76,商品!$A$4:$D$67,4,FALSE),0),"")</f>
        <v/>
      </c>
    </row>
    <row r="77" customHeight="1" spans="1:34">
      <c r="A77" s="15" t="s">
        <v>300</v>
      </c>
      <c r="C77" s="2">
        <v>5</v>
      </c>
      <c r="D77" s="2" t="s">
        <v>220</v>
      </c>
      <c r="E77" s="2" t="s">
        <v>225</v>
      </c>
      <c r="L77" s="2">
        <f>IFERROR(VLOOKUP($D77&amp;$C77,生产方式定位!$A$2:$E$39,2,FALSE)+VLOOKUP($E77&amp;$C77,生产方式定位!$F$3:$J$39,2,FALSE),0)</f>
        <v>4000</v>
      </c>
      <c r="Q77" s="2">
        <f>IFERROR(VLOOKUP($D77&amp;$C77,生产方式定位!$A$2:$E$39,3,FALSE)+VLOOKUP($E77&amp;$C77,生产方式定位!$F$3:$J$39,3,FALSE),0)</f>
        <v>2800</v>
      </c>
      <c r="V77" s="2">
        <f>IFERROR(VLOOKUP($D77&amp;$C77,生产方式定位!$A$2:$E$39,5,FALSE)+VLOOKUP($E77&amp;$C77,生产方式定位!$F$3:$J$39,5,FALSE),"错误")</f>
        <v>3400</v>
      </c>
      <c r="W77" s="3" t="str">
        <f t="shared" si="5"/>
        <v/>
      </c>
      <c r="X77" s="4" t="str">
        <f t="shared" si="6"/>
        <v/>
      </c>
      <c r="Y77" s="4" t="str">
        <f t="shared" si="7"/>
        <v/>
      </c>
      <c r="Z77" s="5">
        <f t="shared" si="8"/>
        <v>1.18</v>
      </c>
      <c r="AA77" s="6">
        <f t="shared" si="9"/>
        <v>5</v>
      </c>
      <c r="AB77" t="str">
        <f>IFERROR(F77&amp;"*"&amp;ROUND(L77*(G77/(G77+I77+K77))/VLOOKUP(F77,商品!$A$4:$D$67,4,FALSE),0),"")</f>
        <v/>
      </c>
      <c r="AC77" t="str">
        <f>IFERROR(H77&amp;"*"&amp;ROUND(L77*(I77/(G77+I77+K77))/VLOOKUP(H77,商品!$A$4:$D$67,4,FALSE),0),"")</f>
        <v/>
      </c>
      <c r="AD77" t="str">
        <f>IFERROR(J77&amp;"*"&amp;ROUND(L77*(K77/(G77+I77+K77))/VLOOKUP(J77,商品!$A$4:$D$67,4,FALSE),0),"")</f>
        <v/>
      </c>
      <c r="AE77" t="str">
        <f>IFERROR(M77&amp;"*"&amp;ROUND(Q77*(N77/(N77+P77))/VLOOKUP(M77,职业!$A$3:$E$16,4,FALSE),0),"")</f>
        <v/>
      </c>
      <c r="AF77" t="str">
        <f>IFERROR(O77&amp;"*"&amp;ROUND(Q77*(P77/(N77+P77))/VLOOKUP(O77,职业!$A$3:$E$16,4,FALSE),0),"")</f>
        <v/>
      </c>
      <c r="AG77" t="str">
        <f>IFERROR(R77&amp;"*"&amp;ROUND(V77*(S77/(S77+U77))/VLOOKUP(R77,商品!$A$4:$D$67,4,FALSE),0),"")</f>
        <v/>
      </c>
      <c r="AH77" t="str">
        <f>IFERROR(T77&amp;"*"&amp;ROUND(V77*(U77/(S77+U77))/VLOOKUP(T77,商品!$A$4:$D$67,4,FALSE),0),"")</f>
        <v/>
      </c>
    </row>
    <row r="78" customHeight="1" spans="1:34">
      <c r="A78" s="15" t="s">
        <v>300</v>
      </c>
      <c r="C78" s="2">
        <v>1</v>
      </c>
      <c r="D78" s="2" t="s">
        <v>220</v>
      </c>
      <c r="E78" s="2" t="s">
        <v>225</v>
      </c>
      <c r="L78" s="2">
        <f>IFERROR(VLOOKUP($D78&amp;$C78,生产方式定位!$A$2:$E$39,2,FALSE)+VLOOKUP($E78&amp;$C78,生产方式定位!$F$3:$J$39,2,FALSE),0)</f>
        <v>2000</v>
      </c>
      <c r="Q78" s="2">
        <f>IFERROR(VLOOKUP($D78&amp;$C78,生产方式定位!$A$2:$E$39,3,FALSE)+VLOOKUP($E78&amp;$C78,生产方式定位!$F$3:$J$39,3,FALSE),0)</f>
        <v>2000</v>
      </c>
      <c r="V78" s="2">
        <f>IFERROR(VLOOKUP($D78&amp;$C78,生产方式定位!$A$2:$E$39,5,FALSE)+VLOOKUP($E78&amp;$C78,生产方式定位!$F$3:$J$39,5,FALSE),"错误")</f>
        <v>2000</v>
      </c>
      <c r="W78" s="3" t="str">
        <f t="shared" si="5"/>
        <v/>
      </c>
      <c r="X78" s="4" t="str">
        <f t="shared" si="6"/>
        <v/>
      </c>
      <c r="Y78" s="4" t="str">
        <f t="shared" si="7"/>
        <v/>
      </c>
      <c r="Z78" s="5">
        <f t="shared" si="8"/>
        <v>1</v>
      </c>
      <c r="AA78" s="6">
        <f t="shared" si="9"/>
        <v>1</v>
      </c>
      <c r="AB78" t="str">
        <f>IFERROR(F78&amp;"*"&amp;ROUND(L78*(G78/(G78+I78+K78))/VLOOKUP(F78,商品!$A$4:$D$67,4,FALSE),0),"")</f>
        <v/>
      </c>
      <c r="AC78" t="str">
        <f>IFERROR(H78&amp;"*"&amp;ROUND(L78*(I78/(G78+I78+K78))/VLOOKUP(H78,商品!$A$4:$D$67,4,FALSE),0),"")</f>
        <v/>
      </c>
      <c r="AD78" t="str">
        <f>IFERROR(J78&amp;"*"&amp;ROUND(L78*(K78/(G78+I78+K78))/VLOOKUP(J78,商品!$A$4:$D$67,4,FALSE),0),"")</f>
        <v/>
      </c>
      <c r="AE78" t="str">
        <f>IFERROR(M78&amp;"*"&amp;ROUND(Q78*(N78/(N78+P78))/VLOOKUP(M78,职业!$A$3:$E$16,4,FALSE),0),"")</f>
        <v/>
      </c>
      <c r="AF78" t="str">
        <f>IFERROR(O78&amp;"*"&amp;ROUND(Q78*(P78/(N78+P78))/VLOOKUP(O78,职业!$A$3:$E$16,4,FALSE),0),"")</f>
        <v/>
      </c>
      <c r="AG78" t="str">
        <f>IFERROR(R78&amp;"*"&amp;ROUND(V78*(S78/(S78+U78))/VLOOKUP(R78,商品!$A$4:$D$67,4,FALSE),0),"")</f>
        <v/>
      </c>
      <c r="AH78" t="str">
        <f>IFERROR(T78&amp;"*"&amp;ROUND(V78*(U78/(S78+U78))/VLOOKUP(T78,商品!$A$4:$D$67,4,FALSE),0),"")</f>
        <v/>
      </c>
    </row>
    <row r="79" customHeight="1" spans="1:34">
      <c r="A79" s="15" t="s">
        <v>300</v>
      </c>
      <c r="C79" s="2">
        <v>2</v>
      </c>
      <c r="D79" s="2" t="s">
        <v>220</v>
      </c>
      <c r="E79" s="2" t="s">
        <v>225</v>
      </c>
      <c r="L79" s="2">
        <f>IFERROR(VLOOKUP($D79&amp;$C79,生产方式定位!$A$2:$E$39,2,FALSE)+VLOOKUP($E79&amp;$C79,生产方式定位!$F$3:$J$39,2,FALSE),0)</f>
        <v>2500</v>
      </c>
      <c r="Q79" s="2">
        <f>IFERROR(VLOOKUP($D79&amp;$C79,生产方式定位!$A$2:$E$39,3,FALSE)+VLOOKUP($E79&amp;$C79,生产方式定位!$F$3:$J$39,3,FALSE),0)</f>
        <v>2200</v>
      </c>
      <c r="V79" s="2">
        <f>IFERROR(VLOOKUP($D79&amp;$C79,生产方式定位!$A$2:$E$39,5,FALSE)+VLOOKUP($E79&amp;$C79,生产方式定位!$F$3:$J$39,5,FALSE),"错误")</f>
        <v>2350</v>
      </c>
      <c r="W79" s="3" t="str">
        <f t="shared" si="5"/>
        <v/>
      </c>
      <c r="X79" s="4" t="str">
        <f t="shared" si="6"/>
        <v/>
      </c>
      <c r="Y79" s="4" t="str">
        <f t="shared" si="7"/>
        <v/>
      </c>
      <c r="Z79" s="5">
        <f t="shared" si="8"/>
        <v>1.06</v>
      </c>
      <c r="AA79" s="6">
        <f t="shared" si="9"/>
        <v>2</v>
      </c>
      <c r="AB79" t="str">
        <f>IFERROR(F79&amp;"*"&amp;ROUND(L79*(G79/(G79+I79+K79))/VLOOKUP(F79,商品!$A$4:$D$67,4,FALSE),0),"")</f>
        <v/>
      </c>
      <c r="AC79" t="str">
        <f>IFERROR(H79&amp;"*"&amp;ROUND(L79*(I79/(G79+I79+K79))/VLOOKUP(H79,商品!$A$4:$D$67,4,FALSE),0),"")</f>
        <v/>
      </c>
      <c r="AD79" t="str">
        <f>IFERROR(J79&amp;"*"&amp;ROUND(L79*(K79/(G79+I79+K79))/VLOOKUP(J79,商品!$A$4:$D$67,4,FALSE),0),"")</f>
        <v/>
      </c>
      <c r="AE79" t="str">
        <f>IFERROR(M79&amp;"*"&amp;ROUND(Q79*(N79/(N79+P79))/VLOOKUP(M79,职业!$A$3:$E$16,4,FALSE),0),"")</f>
        <v/>
      </c>
      <c r="AF79" t="str">
        <f>IFERROR(O79&amp;"*"&amp;ROUND(Q79*(P79/(N79+P79))/VLOOKUP(O79,职业!$A$3:$E$16,4,FALSE),0),"")</f>
        <v/>
      </c>
      <c r="AG79" t="str">
        <f>IFERROR(R79&amp;"*"&amp;ROUND(V79*(S79/(S79+U79))/VLOOKUP(R79,商品!$A$4:$D$67,4,FALSE),0),"")</f>
        <v/>
      </c>
      <c r="AH79" t="str">
        <f>IFERROR(T79&amp;"*"&amp;ROUND(V79*(U79/(S79+U79))/VLOOKUP(T79,商品!$A$4:$D$67,4,FALSE),0),"")</f>
        <v/>
      </c>
    </row>
    <row r="80" customHeight="1" spans="1:34">
      <c r="A80" s="15" t="s">
        <v>300</v>
      </c>
      <c r="C80" s="2">
        <v>3</v>
      </c>
      <c r="D80" s="2" t="s">
        <v>220</v>
      </c>
      <c r="E80" s="2" t="s">
        <v>225</v>
      </c>
      <c r="L80" s="2">
        <f>IFERROR(VLOOKUP($D80&amp;$C80,生产方式定位!$A$2:$E$39,2,FALSE)+VLOOKUP($E80&amp;$C80,生产方式定位!$F$3:$J$39,2,FALSE),0)</f>
        <v>3000</v>
      </c>
      <c r="Q80" s="2">
        <f>IFERROR(VLOOKUP($D80&amp;$C80,生产方式定位!$A$2:$E$39,3,FALSE)+VLOOKUP($E80&amp;$C80,生产方式定位!$F$3:$J$39,3,FALSE),0)</f>
        <v>2400</v>
      </c>
      <c r="V80" s="2">
        <f>IFERROR(VLOOKUP($D80&amp;$C80,生产方式定位!$A$2:$E$39,5,FALSE)+VLOOKUP($E80&amp;$C80,生产方式定位!$F$3:$J$39,5,FALSE),"错误")</f>
        <v>2700</v>
      </c>
      <c r="W80" s="3" t="str">
        <f t="shared" si="5"/>
        <v/>
      </c>
      <c r="X80" s="4" t="str">
        <f t="shared" si="6"/>
        <v/>
      </c>
      <c r="Y80" s="4" t="str">
        <f t="shared" si="7"/>
        <v/>
      </c>
      <c r="Z80" s="5">
        <f t="shared" si="8"/>
        <v>1.11</v>
      </c>
      <c r="AA80" s="6">
        <f t="shared" si="9"/>
        <v>3</v>
      </c>
      <c r="AB80" t="str">
        <f>IFERROR(F80&amp;"*"&amp;ROUND(L80*(G80/(G80+I80+K80))/VLOOKUP(F80,商品!$A$4:$D$67,4,FALSE),0),"")</f>
        <v/>
      </c>
      <c r="AC80" t="str">
        <f>IFERROR(H80&amp;"*"&amp;ROUND(L80*(I80/(G80+I80+K80))/VLOOKUP(H80,商品!$A$4:$D$67,4,FALSE),0),"")</f>
        <v/>
      </c>
      <c r="AD80" t="str">
        <f>IFERROR(J80&amp;"*"&amp;ROUND(L80*(K80/(G80+I80+K80))/VLOOKUP(J80,商品!$A$4:$D$67,4,FALSE),0),"")</f>
        <v/>
      </c>
      <c r="AE80" t="str">
        <f>IFERROR(M80&amp;"*"&amp;ROUND(Q80*(N80/(N80+P80))/VLOOKUP(M80,职业!$A$3:$E$16,4,FALSE),0),"")</f>
        <v/>
      </c>
      <c r="AF80" t="str">
        <f>IFERROR(O80&amp;"*"&amp;ROUND(Q80*(P80/(N80+P80))/VLOOKUP(O80,职业!$A$3:$E$16,4,FALSE),0),"")</f>
        <v/>
      </c>
      <c r="AG80" t="str">
        <f>IFERROR(R80&amp;"*"&amp;ROUND(V80*(S80/(S80+U80))/VLOOKUP(R80,商品!$A$4:$D$67,4,FALSE),0),"")</f>
        <v/>
      </c>
      <c r="AH80" t="str">
        <f>IFERROR(T80&amp;"*"&amp;ROUND(V80*(U80/(S80+U80))/VLOOKUP(T80,商品!$A$4:$D$67,4,FALSE),0),"")</f>
        <v/>
      </c>
    </row>
    <row r="81" customHeight="1" spans="1:34">
      <c r="A81" s="15" t="s">
        <v>300</v>
      </c>
      <c r="C81" s="2">
        <v>4</v>
      </c>
      <c r="D81" s="2" t="s">
        <v>220</v>
      </c>
      <c r="E81" s="2" t="s">
        <v>225</v>
      </c>
      <c r="L81" s="2">
        <f>IFERROR(VLOOKUP($D81&amp;$C81,生产方式定位!$A$2:$E$39,2,FALSE)+VLOOKUP($E81&amp;$C81,生产方式定位!$F$3:$J$39,2,FALSE),0)</f>
        <v>3500</v>
      </c>
      <c r="Q81" s="2">
        <f>IFERROR(VLOOKUP($D81&amp;$C81,生产方式定位!$A$2:$E$39,3,FALSE)+VLOOKUP($E81&amp;$C81,生产方式定位!$F$3:$J$39,3,FALSE),0)</f>
        <v>2600</v>
      </c>
      <c r="V81" s="2">
        <f>IFERROR(VLOOKUP($D81&amp;$C81,生产方式定位!$A$2:$E$39,5,FALSE)+VLOOKUP($E81&amp;$C81,生产方式定位!$F$3:$J$39,5,FALSE),"错误")</f>
        <v>3050</v>
      </c>
      <c r="W81" s="3" t="str">
        <f t="shared" si="5"/>
        <v/>
      </c>
      <c r="X81" s="4" t="str">
        <f t="shared" si="6"/>
        <v/>
      </c>
      <c r="Y81" s="4" t="str">
        <f t="shared" si="7"/>
        <v/>
      </c>
      <c r="Z81" s="5">
        <f t="shared" si="8"/>
        <v>1.15</v>
      </c>
      <c r="AA81" s="6">
        <f t="shared" si="9"/>
        <v>4</v>
      </c>
      <c r="AB81" t="str">
        <f>IFERROR(F81&amp;"*"&amp;ROUND(L81*(G81/(G81+I81+K81))/VLOOKUP(F81,商品!$A$4:$D$67,4,FALSE),0),"")</f>
        <v/>
      </c>
      <c r="AC81" t="str">
        <f>IFERROR(H81&amp;"*"&amp;ROUND(L81*(I81/(G81+I81+K81))/VLOOKUP(H81,商品!$A$4:$D$67,4,FALSE),0),"")</f>
        <v/>
      </c>
      <c r="AD81" t="str">
        <f>IFERROR(J81&amp;"*"&amp;ROUND(L81*(K81/(G81+I81+K81))/VLOOKUP(J81,商品!$A$4:$D$67,4,FALSE),0),"")</f>
        <v/>
      </c>
      <c r="AE81" t="str">
        <f>IFERROR(M81&amp;"*"&amp;ROUND(Q81*(N81/(N81+P81))/VLOOKUP(M81,职业!$A$3:$E$16,4,FALSE),0),"")</f>
        <v/>
      </c>
      <c r="AF81" t="str">
        <f>IFERROR(O81&amp;"*"&amp;ROUND(Q81*(P81/(N81+P81))/VLOOKUP(O81,职业!$A$3:$E$16,4,FALSE),0),"")</f>
        <v/>
      </c>
      <c r="AG81" t="str">
        <f>IFERROR(R81&amp;"*"&amp;ROUND(V81*(S81/(S81+U81))/VLOOKUP(R81,商品!$A$4:$D$67,4,FALSE),0),"")</f>
        <v/>
      </c>
      <c r="AH81" t="str">
        <f>IFERROR(T81&amp;"*"&amp;ROUND(V81*(U81/(S81+U81))/VLOOKUP(T81,商品!$A$4:$D$67,4,FALSE),0),"")</f>
        <v/>
      </c>
    </row>
    <row r="82" customHeight="1" spans="1:34">
      <c r="A82" s="15" t="s">
        <v>300</v>
      </c>
      <c r="C82" s="2">
        <v>5</v>
      </c>
      <c r="D82" s="2" t="s">
        <v>220</v>
      </c>
      <c r="E82" s="2" t="s">
        <v>225</v>
      </c>
      <c r="L82" s="2">
        <f>IFERROR(VLOOKUP($D82&amp;$C82,生产方式定位!$A$2:$E$39,2,FALSE)+VLOOKUP($E82&amp;$C82,生产方式定位!$F$3:$J$39,2,FALSE),0)</f>
        <v>4000</v>
      </c>
      <c r="Q82" s="2">
        <f>IFERROR(VLOOKUP($D82&amp;$C82,生产方式定位!$A$2:$E$39,3,FALSE)+VLOOKUP($E82&amp;$C82,生产方式定位!$F$3:$J$39,3,FALSE),0)</f>
        <v>2800</v>
      </c>
      <c r="V82" s="2">
        <f>IFERROR(VLOOKUP($D82&amp;$C82,生产方式定位!$A$2:$E$39,5,FALSE)+VLOOKUP($E82&amp;$C82,生产方式定位!$F$3:$J$39,5,FALSE),"错误")</f>
        <v>3400</v>
      </c>
      <c r="W82" s="3" t="str">
        <f t="shared" si="5"/>
        <v/>
      </c>
      <c r="X82" s="4" t="str">
        <f t="shared" si="6"/>
        <v/>
      </c>
      <c r="Y82" s="4" t="str">
        <f t="shared" si="7"/>
        <v/>
      </c>
      <c r="Z82" s="5">
        <f t="shared" si="8"/>
        <v>1.18</v>
      </c>
      <c r="AA82" s="6">
        <f t="shared" si="9"/>
        <v>5</v>
      </c>
      <c r="AB82" t="str">
        <f>IFERROR(F82&amp;"*"&amp;ROUND(L82*(G82/(G82+I82+K82))/VLOOKUP(F82,商品!$A$4:$D$67,4,FALSE),0),"")</f>
        <v/>
      </c>
      <c r="AC82" t="str">
        <f>IFERROR(H82&amp;"*"&amp;ROUND(L82*(I82/(G82+I82+K82))/VLOOKUP(H82,商品!$A$4:$D$67,4,FALSE),0),"")</f>
        <v/>
      </c>
      <c r="AD82" t="str">
        <f>IFERROR(J82&amp;"*"&amp;ROUND(L82*(K82/(G82+I82+K82))/VLOOKUP(J82,商品!$A$4:$D$67,4,FALSE),0),"")</f>
        <v/>
      </c>
      <c r="AE82" t="str">
        <f>IFERROR(M82&amp;"*"&amp;ROUND(Q82*(N82/(N82+P82))/VLOOKUP(M82,职业!$A$3:$E$16,4,FALSE),0),"")</f>
        <v/>
      </c>
      <c r="AF82" t="str">
        <f>IFERROR(O82&amp;"*"&amp;ROUND(Q82*(P82/(N82+P82))/VLOOKUP(O82,职业!$A$3:$E$16,4,FALSE),0),"")</f>
        <v/>
      </c>
      <c r="AG82" t="str">
        <f>IFERROR(R82&amp;"*"&amp;ROUND(V82*(S82/(S82+U82))/VLOOKUP(R82,商品!$A$4:$D$67,4,FALSE),0),"")</f>
        <v/>
      </c>
      <c r="AH82" t="str">
        <f>IFERROR(T82&amp;"*"&amp;ROUND(V82*(U82/(S82+U82))/VLOOKUP(T82,商品!$A$4:$D$67,4,FALSE),0),"")</f>
        <v/>
      </c>
    </row>
    <row r="83" customHeight="1" spans="1:34">
      <c r="A83" s="15" t="s">
        <v>300</v>
      </c>
      <c r="C83" s="2">
        <v>1</v>
      </c>
      <c r="D83" s="2" t="s">
        <v>220</v>
      </c>
      <c r="E83" s="2" t="s">
        <v>225</v>
      </c>
      <c r="L83" s="2">
        <f>IFERROR(VLOOKUP($D83&amp;$C83,生产方式定位!$A$2:$E$39,2,FALSE)+VLOOKUP($E83&amp;$C83,生产方式定位!$F$3:$J$39,2,FALSE),0)</f>
        <v>2000</v>
      </c>
      <c r="Q83" s="2">
        <f>IFERROR(VLOOKUP($D83&amp;$C83,生产方式定位!$A$2:$E$39,3,FALSE)+VLOOKUP($E83&amp;$C83,生产方式定位!$F$3:$J$39,3,FALSE),0)</f>
        <v>2000</v>
      </c>
      <c r="V83" s="2">
        <f>IFERROR(VLOOKUP($D83&amp;$C83,生产方式定位!$A$2:$E$39,5,FALSE)+VLOOKUP($E83&amp;$C83,生产方式定位!$F$3:$J$39,5,FALSE),"错误")</f>
        <v>2000</v>
      </c>
      <c r="W83" s="3" t="str">
        <f t="shared" si="5"/>
        <v/>
      </c>
      <c r="X83" s="4" t="str">
        <f t="shared" si="6"/>
        <v/>
      </c>
      <c r="Y83" s="4" t="str">
        <f t="shared" si="7"/>
        <v/>
      </c>
      <c r="Z83" s="5">
        <f t="shared" si="8"/>
        <v>1</v>
      </c>
      <c r="AA83" s="6">
        <f t="shared" si="9"/>
        <v>1</v>
      </c>
      <c r="AB83" t="str">
        <f>IFERROR(F83&amp;"*"&amp;ROUND(L83*(G83/(G83+I83+K83))/VLOOKUP(F83,商品!$A$4:$D$67,4,FALSE),0),"")</f>
        <v/>
      </c>
      <c r="AC83" t="str">
        <f>IFERROR(H83&amp;"*"&amp;ROUND(L83*(I83/(G83+I83+K83))/VLOOKUP(H83,商品!$A$4:$D$67,4,FALSE),0),"")</f>
        <v/>
      </c>
      <c r="AD83" t="str">
        <f>IFERROR(J83&amp;"*"&amp;ROUND(L83*(K83/(G83+I83+K83))/VLOOKUP(J83,商品!$A$4:$D$67,4,FALSE),0),"")</f>
        <v/>
      </c>
      <c r="AE83" t="str">
        <f>IFERROR(M83&amp;"*"&amp;ROUND(Q83*(N83/(N83+P83))/VLOOKUP(M83,职业!$A$3:$E$16,4,FALSE),0),"")</f>
        <v/>
      </c>
      <c r="AF83" t="str">
        <f>IFERROR(O83&amp;"*"&amp;ROUND(Q83*(P83/(N83+P83))/VLOOKUP(O83,职业!$A$3:$E$16,4,FALSE),0),"")</f>
        <v/>
      </c>
      <c r="AG83" t="str">
        <f>IFERROR(R83&amp;"*"&amp;ROUND(V83*(S83/(S83+U83))/VLOOKUP(R83,商品!$A$4:$D$67,4,FALSE),0),"")</f>
        <v/>
      </c>
      <c r="AH83" t="str">
        <f>IFERROR(T83&amp;"*"&amp;ROUND(V83*(U83/(S83+U83))/VLOOKUP(T83,商品!$A$4:$D$67,4,FALSE),0),"")</f>
        <v/>
      </c>
    </row>
    <row r="84" customHeight="1" spans="1:34">
      <c r="A84" s="14" t="s">
        <v>302</v>
      </c>
      <c r="C84" s="2">
        <v>2</v>
      </c>
      <c r="D84" s="2" t="s">
        <v>220</v>
      </c>
      <c r="E84" s="2" t="s">
        <v>222</v>
      </c>
      <c r="L84" s="2">
        <f>IFERROR(VLOOKUP($D84&amp;$C84,生产方式定位!$A$2:$E$39,2,FALSE)+VLOOKUP($E84&amp;$C84,生产方式定位!$F$3:$J$39,2,FALSE),0)</f>
        <v>3500</v>
      </c>
      <c r="Q84" s="2">
        <f>IFERROR(VLOOKUP($D84&amp;$C84,生产方式定位!$A$2:$E$39,3,FALSE)+VLOOKUP($E84&amp;$C84,生产方式定位!$F$3:$J$39,3,FALSE),0)</f>
        <v>2400</v>
      </c>
      <c r="V84" s="2">
        <f>IFERROR(VLOOKUP($D84&amp;$C84,生产方式定位!$A$2:$E$39,5,FALSE)+VLOOKUP($E84&amp;$C84,生产方式定位!$F$3:$J$39,5,FALSE),"错误")</f>
        <v>3022</v>
      </c>
      <c r="W84" s="3" t="str">
        <f t="shared" si="5"/>
        <v/>
      </c>
      <c r="X84" s="4" t="str">
        <f t="shared" si="6"/>
        <v/>
      </c>
      <c r="Y84" s="4" t="str">
        <f t="shared" si="7"/>
        <v/>
      </c>
      <c r="Z84" s="5">
        <f t="shared" si="8"/>
        <v>1.16</v>
      </c>
      <c r="AA84" s="6">
        <f t="shared" si="9"/>
        <v>2</v>
      </c>
      <c r="AB84" t="str">
        <f>IFERROR(F84&amp;"*"&amp;ROUND(L84*(G84/(G84+I84+K84))/VLOOKUP(F84,商品!$A$4:$D$67,4,FALSE),0),"")</f>
        <v/>
      </c>
      <c r="AC84" t="str">
        <f>IFERROR(H84&amp;"*"&amp;ROUND(L84*(I84/(G84+I84+K84))/VLOOKUP(H84,商品!$A$4:$D$67,4,FALSE),0),"")</f>
        <v/>
      </c>
      <c r="AD84" t="str">
        <f>IFERROR(J84&amp;"*"&amp;ROUND(L84*(K84/(G84+I84+K84))/VLOOKUP(J84,商品!$A$4:$D$67,4,FALSE),0),"")</f>
        <v/>
      </c>
      <c r="AE84" t="str">
        <f>IFERROR(M84&amp;"*"&amp;ROUND(Q84*(N84/(N84+P84))/VLOOKUP(M84,职业!$A$3:$E$16,4,FALSE),0),"")</f>
        <v/>
      </c>
      <c r="AF84" t="str">
        <f>IFERROR(O84&amp;"*"&amp;ROUND(Q84*(P84/(N84+P84))/VLOOKUP(O84,职业!$A$3:$E$16,4,FALSE),0),"")</f>
        <v/>
      </c>
      <c r="AG84" t="str">
        <f>IFERROR(R84&amp;"*"&amp;ROUND(V84*(S84/(S84+U84))/VLOOKUP(R84,商品!$A$4:$D$67,4,FALSE),0),"")</f>
        <v/>
      </c>
      <c r="AH84" t="str">
        <f>IFERROR(T84&amp;"*"&amp;ROUND(V84*(U84/(S84+U84))/VLOOKUP(T84,商品!$A$4:$D$67,4,FALSE),0),"")</f>
        <v/>
      </c>
    </row>
    <row r="85" customHeight="1" spans="1:34">
      <c r="A85" s="14" t="s">
        <v>302</v>
      </c>
      <c r="C85" s="2">
        <v>3</v>
      </c>
      <c r="D85" s="2" t="s">
        <v>220</v>
      </c>
      <c r="E85" s="2" t="s">
        <v>222</v>
      </c>
      <c r="L85" s="2">
        <f>IFERROR(VLOOKUP($D85&amp;$C85,生产方式定位!$A$2:$E$39,2,FALSE)+VLOOKUP($E85&amp;$C85,生产方式定位!$F$3:$J$39,2,FALSE),0)</f>
        <v>5000</v>
      </c>
      <c r="Q85" s="2">
        <f>IFERROR(VLOOKUP($D85&amp;$C85,生产方式定位!$A$2:$E$39,3,FALSE)+VLOOKUP($E85&amp;$C85,生产方式定位!$F$3:$J$39,3,FALSE),0)</f>
        <v>2800</v>
      </c>
      <c r="V85" s="2">
        <f>IFERROR(VLOOKUP($D85&amp;$C85,生产方式定位!$A$2:$E$39,5,FALSE)+VLOOKUP($E85&amp;$C85,生产方式定位!$F$3:$J$39,5,FALSE),"错误")</f>
        <v>4188</v>
      </c>
      <c r="W85" s="3" t="str">
        <f t="shared" si="5"/>
        <v/>
      </c>
      <c r="X85" s="4" t="str">
        <f t="shared" si="6"/>
        <v/>
      </c>
      <c r="Y85" s="4" t="str">
        <f t="shared" si="7"/>
        <v/>
      </c>
      <c r="Z85" s="5">
        <f t="shared" si="8"/>
        <v>1.19</v>
      </c>
      <c r="AA85" s="6">
        <f t="shared" si="9"/>
        <v>3</v>
      </c>
      <c r="AB85" t="str">
        <f>IFERROR(F85&amp;"*"&amp;ROUND(L85*(G85/(G85+I85+K85))/VLOOKUP(F85,商品!$A$4:$D$67,4,FALSE),0),"")</f>
        <v/>
      </c>
      <c r="AC85" t="str">
        <f>IFERROR(H85&amp;"*"&amp;ROUND(L85*(I85/(G85+I85+K85))/VLOOKUP(H85,商品!$A$4:$D$67,4,FALSE),0),"")</f>
        <v/>
      </c>
      <c r="AD85" t="str">
        <f>IFERROR(J85&amp;"*"&amp;ROUND(L85*(K85/(G85+I85+K85))/VLOOKUP(J85,商品!$A$4:$D$67,4,FALSE),0),"")</f>
        <v/>
      </c>
      <c r="AE85" t="str">
        <f>IFERROR(M85&amp;"*"&amp;ROUND(Q85*(N85/(N85+P85))/VLOOKUP(M85,职业!$A$3:$E$16,4,FALSE),0),"")</f>
        <v/>
      </c>
      <c r="AF85" t="str">
        <f>IFERROR(O85&amp;"*"&amp;ROUND(Q85*(P85/(N85+P85))/VLOOKUP(O85,职业!$A$3:$E$16,4,FALSE),0),"")</f>
        <v/>
      </c>
      <c r="AG85" t="str">
        <f>IFERROR(R85&amp;"*"&amp;ROUND(V85*(S85/(S85+U85))/VLOOKUP(R85,商品!$A$4:$D$67,4,FALSE),0),"")</f>
        <v/>
      </c>
      <c r="AH85" t="str">
        <f>IFERROR(T85&amp;"*"&amp;ROUND(V85*(U85/(S85+U85))/VLOOKUP(T85,商品!$A$4:$D$67,4,FALSE),0),"")</f>
        <v/>
      </c>
    </row>
    <row r="86" customHeight="1" spans="1:34">
      <c r="A86" s="14" t="s">
        <v>302</v>
      </c>
      <c r="C86" s="2">
        <v>4</v>
      </c>
      <c r="D86" s="2" t="s">
        <v>220</v>
      </c>
      <c r="E86" s="2" t="s">
        <v>222</v>
      </c>
      <c r="L86" s="2">
        <f>IFERROR(VLOOKUP($D86&amp;$C86,生产方式定位!$A$2:$E$39,2,FALSE)+VLOOKUP($E86&amp;$C86,生产方式定位!$F$3:$J$39,2,FALSE),0)</f>
        <v>6500</v>
      </c>
      <c r="Q86" s="2">
        <f>IFERROR(VLOOKUP($D86&amp;$C86,生产方式定位!$A$2:$E$39,3,FALSE)+VLOOKUP($E86&amp;$C86,生产方式定位!$F$3:$J$39,3,FALSE),0)</f>
        <v>3200</v>
      </c>
      <c r="V86" s="2">
        <f>IFERROR(VLOOKUP($D86&amp;$C86,生产方式定位!$A$2:$E$39,5,FALSE)+VLOOKUP($E86&amp;$C86,生产方式定位!$F$3:$J$39,5,FALSE),"错误")</f>
        <v>5498</v>
      </c>
      <c r="W86" s="3" t="str">
        <f t="shared" si="5"/>
        <v/>
      </c>
      <c r="X86" s="4" t="str">
        <f t="shared" si="6"/>
        <v/>
      </c>
      <c r="Y86" s="4" t="str">
        <f t="shared" si="7"/>
        <v/>
      </c>
      <c r="Z86" s="5">
        <f t="shared" si="8"/>
        <v>1.18</v>
      </c>
      <c r="AA86" s="6">
        <f t="shared" si="9"/>
        <v>4</v>
      </c>
      <c r="AB86" t="str">
        <f>IFERROR(F86&amp;"*"&amp;ROUND(L86*(G86/(G86+I86+K86))/VLOOKUP(F86,商品!$A$4:$D$67,4,FALSE),0),"")</f>
        <v/>
      </c>
      <c r="AC86" t="str">
        <f>IFERROR(H86&amp;"*"&amp;ROUND(L86*(I86/(G86+I86+K86))/VLOOKUP(H86,商品!$A$4:$D$67,4,FALSE),0),"")</f>
        <v/>
      </c>
      <c r="AD86" t="str">
        <f>IFERROR(J86&amp;"*"&amp;ROUND(L86*(K86/(G86+I86+K86))/VLOOKUP(J86,商品!$A$4:$D$67,4,FALSE),0),"")</f>
        <v/>
      </c>
      <c r="AE86" t="str">
        <f>IFERROR(M86&amp;"*"&amp;ROUND(Q86*(N86/(N86+P86))/VLOOKUP(M86,职业!$A$3:$E$16,4,FALSE),0),"")</f>
        <v/>
      </c>
      <c r="AF86" t="str">
        <f>IFERROR(O86&amp;"*"&amp;ROUND(Q86*(P86/(N86+P86))/VLOOKUP(O86,职业!$A$3:$E$16,4,FALSE),0),"")</f>
        <v/>
      </c>
      <c r="AG86" t="str">
        <f>IFERROR(R86&amp;"*"&amp;ROUND(V86*(S86/(S86+U86))/VLOOKUP(R86,商品!$A$4:$D$67,4,FALSE),0),"")</f>
        <v/>
      </c>
      <c r="AH86" t="str">
        <f>IFERROR(T86&amp;"*"&amp;ROUND(V86*(U86/(S86+U86))/VLOOKUP(T86,商品!$A$4:$D$67,4,FALSE),0),"")</f>
        <v/>
      </c>
    </row>
    <row r="87" customHeight="1" spans="1:34">
      <c r="A87" s="14" t="s">
        <v>302</v>
      </c>
      <c r="C87" s="2">
        <v>5</v>
      </c>
      <c r="D87" s="2" t="s">
        <v>220</v>
      </c>
      <c r="E87" s="2" t="s">
        <v>222</v>
      </c>
      <c r="L87" s="2">
        <f>IFERROR(VLOOKUP($D87&amp;$C87,生产方式定位!$A$2:$E$39,2,FALSE)+VLOOKUP($E87&amp;$C87,生产方式定位!$F$3:$J$39,2,FALSE),0)</f>
        <v>8000</v>
      </c>
      <c r="Q87" s="2">
        <f>IFERROR(VLOOKUP($D87&amp;$C87,生产方式定位!$A$2:$E$39,3,FALSE)+VLOOKUP($E87&amp;$C87,生产方式定位!$F$3:$J$39,3,FALSE),0)</f>
        <v>3600</v>
      </c>
      <c r="V87" s="2">
        <f>IFERROR(VLOOKUP($D87&amp;$C87,生产方式定位!$A$2:$E$39,5,FALSE)+VLOOKUP($E87&amp;$C87,生产方式定位!$F$3:$J$39,5,FALSE),"错误")</f>
        <v>7000</v>
      </c>
      <c r="W87" s="3" t="str">
        <f t="shared" si="5"/>
        <v/>
      </c>
      <c r="X87" s="4" t="str">
        <f t="shared" si="6"/>
        <v/>
      </c>
      <c r="Y87" s="4" t="str">
        <f t="shared" si="7"/>
        <v/>
      </c>
      <c r="Z87" s="5">
        <f t="shared" si="8"/>
        <v>1.14</v>
      </c>
      <c r="AA87" s="6">
        <f t="shared" si="9"/>
        <v>5</v>
      </c>
      <c r="AB87" t="str">
        <f>IFERROR(F87&amp;"*"&amp;ROUND(L87*(G87/(G87+I87+K87))/VLOOKUP(F87,商品!$A$4:$D$67,4,FALSE),0),"")</f>
        <v/>
      </c>
      <c r="AC87" t="str">
        <f>IFERROR(H87&amp;"*"&amp;ROUND(L87*(I87/(G87+I87+K87))/VLOOKUP(H87,商品!$A$4:$D$67,4,FALSE),0),"")</f>
        <v/>
      </c>
      <c r="AD87" t="str">
        <f>IFERROR(J87&amp;"*"&amp;ROUND(L87*(K87/(G87+I87+K87))/VLOOKUP(J87,商品!$A$4:$D$67,4,FALSE),0),"")</f>
        <v/>
      </c>
      <c r="AE87" t="str">
        <f>IFERROR(M87&amp;"*"&amp;ROUND(Q87*(N87/(N87+P87))/VLOOKUP(M87,职业!$A$3:$E$16,4,FALSE),0),"")</f>
        <v/>
      </c>
      <c r="AF87" t="str">
        <f>IFERROR(O87&amp;"*"&amp;ROUND(Q87*(P87/(N87+P87))/VLOOKUP(O87,职业!$A$3:$E$16,4,FALSE),0),"")</f>
        <v/>
      </c>
      <c r="AG87" t="str">
        <f>IFERROR(R87&amp;"*"&amp;ROUND(V87*(S87/(S87+U87))/VLOOKUP(R87,商品!$A$4:$D$67,4,FALSE),0),"")</f>
        <v/>
      </c>
      <c r="AH87" t="str">
        <f>IFERROR(T87&amp;"*"&amp;ROUND(V87*(U87/(S87+U87))/VLOOKUP(T87,商品!$A$4:$D$67,4,FALSE),0),"")</f>
        <v/>
      </c>
    </row>
    <row r="88" customHeight="1" spans="1:34">
      <c r="A88" s="14" t="s">
        <v>302</v>
      </c>
      <c r="C88" s="2">
        <v>1</v>
      </c>
      <c r="D88" s="2" t="s">
        <v>220</v>
      </c>
      <c r="E88" s="2" t="s">
        <v>222</v>
      </c>
      <c r="L88" s="2">
        <f>IFERROR(VLOOKUP($D88&amp;$C88,生产方式定位!$A$2:$E$39,2,FALSE)+VLOOKUP($E88&amp;$C88,生产方式定位!$F$3:$J$39,2,FALSE),0)</f>
        <v>2000</v>
      </c>
      <c r="Q88" s="2">
        <f>IFERROR(VLOOKUP($D88&amp;$C88,生产方式定位!$A$2:$E$39,3,FALSE)+VLOOKUP($E88&amp;$C88,生产方式定位!$F$3:$J$39,3,FALSE),0)</f>
        <v>2000</v>
      </c>
      <c r="V88" s="2">
        <f>IFERROR(VLOOKUP($D88&amp;$C88,生产方式定位!$A$2:$E$39,5,FALSE)+VLOOKUP($E88&amp;$C88,生产方式定位!$F$3:$J$39,5,FALSE),"错误")</f>
        <v>2000</v>
      </c>
      <c r="W88" s="3" t="str">
        <f t="shared" si="5"/>
        <v/>
      </c>
      <c r="X88" s="4" t="str">
        <f t="shared" si="6"/>
        <v/>
      </c>
      <c r="Y88" s="4" t="str">
        <f t="shared" si="7"/>
        <v/>
      </c>
      <c r="Z88" s="5">
        <f t="shared" si="8"/>
        <v>1</v>
      </c>
      <c r="AA88" s="6">
        <f t="shared" si="9"/>
        <v>1</v>
      </c>
      <c r="AB88" t="str">
        <f>IFERROR(F88&amp;"*"&amp;ROUND(L88*(G88/(G88+I88+K88))/VLOOKUP(F88,商品!$A$4:$D$67,4,FALSE),0),"")</f>
        <v/>
      </c>
      <c r="AC88" t="str">
        <f>IFERROR(H88&amp;"*"&amp;ROUND(L88*(I88/(G88+I88+K88))/VLOOKUP(H88,商品!$A$4:$D$67,4,FALSE),0),"")</f>
        <v/>
      </c>
      <c r="AD88" t="str">
        <f>IFERROR(J88&amp;"*"&amp;ROUND(L88*(K88/(G88+I88+K88))/VLOOKUP(J88,商品!$A$4:$D$67,4,FALSE),0),"")</f>
        <v/>
      </c>
      <c r="AE88" t="str">
        <f>IFERROR(M88&amp;"*"&amp;ROUND(Q88*(N88/(N88+P88))/VLOOKUP(M88,职业!$A$3:$E$16,4,FALSE),0),"")</f>
        <v/>
      </c>
      <c r="AF88" t="str">
        <f>IFERROR(O88&amp;"*"&amp;ROUND(Q88*(P88/(N88+P88))/VLOOKUP(O88,职业!$A$3:$E$16,4,FALSE),0),"")</f>
        <v/>
      </c>
      <c r="AG88" t="str">
        <f>IFERROR(R88&amp;"*"&amp;ROUND(V88*(S88/(S88+U88))/VLOOKUP(R88,商品!$A$4:$D$67,4,FALSE),0),"")</f>
        <v/>
      </c>
      <c r="AH88" t="str">
        <f>IFERROR(T88&amp;"*"&amp;ROUND(V88*(U88/(S88+U88))/VLOOKUP(T88,商品!$A$4:$D$67,4,FALSE),0),"")</f>
        <v/>
      </c>
    </row>
    <row r="89" customHeight="1" spans="1:34">
      <c r="A89" s="15" t="s">
        <v>303</v>
      </c>
      <c r="C89" s="2">
        <v>2</v>
      </c>
      <c r="D89" s="2" t="s">
        <v>220</v>
      </c>
      <c r="E89" s="2" t="s">
        <v>223</v>
      </c>
      <c r="L89" s="2">
        <f>IFERROR(VLOOKUP($D89&amp;$C89,生产方式定位!$A$2:$E$39,2,FALSE)+VLOOKUP($E89&amp;$C89,生产方式定位!$F$3:$J$39,2,FALSE),0)</f>
        <v>3500</v>
      </c>
      <c r="Q89" s="2">
        <f>IFERROR(VLOOKUP($D89&amp;$C89,生产方式定位!$A$2:$E$39,3,FALSE)+VLOOKUP($E89&amp;$C89,生产方式定位!$F$3:$J$39,3,FALSE),0)</f>
        <v>4200</v>
      </c>
      <c r="V89" s="2">
        <f>IFERROR(VLOOKUP($D89&amp;$C89,生产方式定位!$A$2:$E$39,5,FALSE)+VLOOKUP($E89&amp;$C89,生产方式定位!$F$3:$J$39,5,FALSE),"错误")</f>
        <v>3895</v>
      </c>
      <c r="W89" s="3" t="str">
        <f t="shared" si="5"/>
        <v/>
      </c>
      <c r="X89" s="4" t="str">
        <f t="shared" si="6"/>
        <v/>
      </c>
      <c r="Y89" s="4" t="str">
        <f t="shared" si="7"/>
        <v/>
      </c>
      <c r="Z89" s="5">
        <f t="shared" si="8"/>
        <v>0.9</v>
      </c>
      <c r="AA89" s="6">
        <f t="shared" si="9"/>
        <v>2</v>
      </c>
      <c r="AB89" t="str">
        <f>IFERROR(F89&amp;"*"&amp;ROUND(L89*(G89/(G89+I89+K89))/VLOOKUP(F89,商品!$A$4:$D$67,4,FALSE),0),"")</f>
        <v/>
      </c>
      <c r="AC89" t="str">
        <f>IFERROR(H89&amp;"*"&amp;ROUND(L89*(I89/(G89+I89+K89))/VLOOKUP(H89,商品!$A$4:$D$67,4,FALSE),0),"")</f>
        <v/>
      </c>
      <c r="AD89" t="str">
        <f>IFERROR(J89&amp;"*"&amp;ROUND(L89*(K89/(G89+I89+K89))/VLOOKUP(J89,商品!$A$4:$D$67,4,FALSE),0),"")</f>
        <v/>
      </c>
      <c r="AE89" t="str">
        <f>IFERROR(M89&amp;"*"&amp;ROUND(Q89*(N89/(N89+P89))/VLOOKUP(M89,职业!$A$3:$E$16,4,FALSE),0),"")</f>
        <v/>
      </c>
      <c r="AF89" t="str">
        <f>IFERROR(O89&amp;"*"&amp;ROUND(Q89*(P89/(N89+P89))/VLOOKUP(O89,职业!$A$3:$E$16,4,FALSE),0),"")</f>
        <v/>
      </c>
      <c r="AG89" t="str">
        <f>IFERROR(R89&amp;"*"&amp;ROUND(V89*(S89/(S89+U89))/VLOOKUP(R89,商品!$A$4:$D$67,4,FALSE),0),"")</f>
        <v/>
      </c>
      <c r="AH89" t="str">
        <f>IFERROR(T89&amp;"*"&amp;ROUND(V89*(U89/(S89+U89))/VLOOKUP(T89,商品!$A$4:$D$67,4,FALSE),0),"")</f>
        <v/>
      </c>
    </row>
    <row r="90" customHeight="1" spans="1:34">
      <c r="A90" s="15" t="s">
        <v>303</v>
      </c>
      <c r="C90" s="2">
        <v>3</v>
      </c>
      <c r="D90" s="2" t="s">
        <v>220</v>
      </c>
      <c r="E90" s="2" t="s">
        <v>223</v>
      </c>
      <c r="L90" s="2">
        <f>IFERROR(VLOOKUP($D90&amp;$C90,生产方式定位!$A$2:$E$39,2,FALSE)+VLOOKUP($E90&amp;$C90,生产方式定位!$F$3:$J$39,2,FALSE),0)</f>
        <v>5000</v>
      </c>
      <c r="Q90" s="2">
        <f>IFERROR(VLOOKUP($D90&amp;$C90,生产方式定位!$A$2:$E$39,3,FALSE)+VLOOKUP($E90&amp;$C90,生产方式定位!$F$3:$J$39,3,FALSE),0)</f>
        <v>5400</v>
      </c>
      <c r="V90" s="2">
        <f>IFERROR(VLOOKUP($D90&amp;$C90,生产方式定位!$A$2:$E$39,5,FALSE)+VLOOKUP($E90&amp;$C90,生产方式定位!$F$3:$J$39,5,FALSE),"错误")</f>
        <v>5350</v>
      </c>
      <c r="W90" s="3" t="str">
        <f t="shared" si="5"/>
        <v/>
      </c>
      <c r="X90" s="4" t="str">
        <f t="shared" si="6"/>
        <v/>
      </c>
      <c r="Y90" s="4" t="str">
        <f t="shared" si="7"/>
        <v/>
      </c>
      <c r="Z90" s="5">
        <f t="shared" si="8"/>
        <v>0.93</v>
      </c>
      <c r="AA90" s="6">
        <f t="shared" si="9"/>
        <v>3</v>
      </c>
      <c r="AB90" t="str">
        <f>IFERROR(F90&amp;"*"&amp;ROUND(L90*(G90/(G90+I90+K90))/VLOOKUP(F90,商品!$A$4:$D$67,4,FALSE),0),"")</f>
        <v/>
      </c>
      <c r="AC90" t="str">
        <f>IFERROR(H90&amp;"*"&amp;ROUND(L90*(I90/(G90+I90+K90))/VLOOKUP(H90,商品!$A$4:$D$67,4,FALSE),0),"")</f>
        <v/>
      </c>
      <c r="AD90" t="str">
        <f>IFERROR(J90&amp;"*"&amp;ROUND(L90*(K90/(G90+I90+K90))/VLOOKUP(J90,商品!$A$4:$D$67,4,FALSE),0),"")</f>
        <v/>
      </c>
      <c r="AE90" t="str">
        <f>IFERROR(M90&amp;"*"&amp;ROUND(Q90*(N90/(N90+P90))/VLOOKUP(M90,职业!$A$3:$E$16,4,FALSE),0),"")</f>
        <v/>
      </c>
      <c r="AF90" t="str">
        <f>IFERROR(O90&amp;"*"&amp;ROUND(Q90*(P90/(N90+P90))/VLOOKUP(O90,职业!$A$3:$E$16,4,FALSE),0),"")</f>
        <v/>
      </c>
      <c r="AG90" t="str">
        <f>IFERROR(R90&amp;"*"&amp;ROUND(V90*(S90/(S90+U90))/VLOOKUP(R90,商品!$A$4:$D$67,4,FALSE),0),"")</f>
        <v/>
      </c>
      <c r="AH90" t="str">
        <f>IFERROR(T90&amp;"*"&amp;ROUND(V90*(U90/(S90+U90))/VLOOKUP(T90,商品!$A$4:$D$67,4,FALSE),0),"")</f>
        <v/>
      </c>
    </row>
    <row r="91" customHeight="1" spans="1:34">
      <c r="A91" s="15" t="s">
        <v>303</v>
      </c>
      <c r="C91" s="2">
        <v>4</v>
      </c>
      <c r="D91" s="2" t="s">
        <v>220</v>
      </c>
      <c r="E91" s="2" t="s">
        <v>223</v>
      </c>
      <c r="L91" s="2">
        <f>IFERROR(VLOOKUP($D91&amp;$C91,生产方式定位!$A$2:$E$39,2,FALSE)+VLOOKUP($E91&amp;$C91,生产方式定位!$F$3:$J$39,2,FALSE),0)</f>
        <v>6500</v>
      </c>
      <c r="Q91" s="2">
        <f>IFERROR(VLOOKUP($D91&amp;$C91,生产方式定位!$A$2:$E$39,3,FALSE)+VLOOKUP($E91&amp;$C91,生产方式定位!$F$3:$J$39,3,FALSE),0)</f>
        <v>6600</v>
      </c>
      <c r="V91" s="2">
        <f>IFERROR(VLOOKUP($D91&amp;$C91,生产方式定位!$A$2:$E$39,5,FALSE)+VLOOKUP($E91&amp;$C91,生产方式定位!$F$3:$J$39,5,FALSE),"错误")</f>
        <v>6865</v>
      </c>
      <c r="W91" s="3" t="str">
        <f t="shared" si="5"/>
        <v/>
      </c>
      <c r="X91" s="4" t="str">
        <f t="shared" si="6"/>
        <v/>
      </c>
      <c r="Y91" s="4" t="str">
        <f t="shared" si="7"/>
        <v/>
      </c>
      <c r="Z91" s="5">
        <f t="shared" si="8"/>
        <v>0.95</v>
      </c>
      <c r="AA91" s="6">
        <f t="shared" si="9"/>
        <v>4</v>
      </c>
      <c r="AB91" t="str">
        <f>IFERROR(F91&amp;"*"&amp;ROUND(L91*(G91/(G91+I91+K91))/VLOOKUP(F91,商品!$A$4:$D$67,4,FALSE),0),"")</f>
        <v/>
      </c>
      <c r="AC91" t="str">
        <f>IFERROR(H91&amp;"*"&amp;ROUND(L91*(I91/(G91+I91+K91))/VLOOKUP(H91,商品!$A$4:$D$67,4,FALSE),0),"")</f>
        <v/>
      </c>
      <c r="AD91" t="str">
        <f>IFERROR(J91&amp;"*"&amp;ROUND(L91*(K91/(G91+I91+K91))/VLOOKUP(J91,商品!$A$4:$D$67,4,FALSE),0),"")</f>
        <v/>
      </c>
      <c r="AE91" t="str">
        <f>IFERROR(M91&amp;"*"&amp;ROUND(Q91*(N91/(N91+P91))/VLOOKUP(M91,职业!$A$3:$E$16,4,FALSE),0),"")</f>
        <v/>
      </c>
      <c r="AF91" t="str">
        <f>IFERROR(O91&amp;"*"&amp;ROUND(Q91*(P91/(N91+P91))/VLOOKUP(O91,职业!$A$3:$E$16,4,FALSE),0),"")</f>
        <v/>
      </c>
      <c r="AG91" t="str">
        <f>IFERROR(R91&amp;"*"&amp;ROUND(V91*(S91/(S91+U91))/VLOOKUP(R91,商品!$A$4:$D$67,4,FALSE),0),"")</f>
        <v/>
      </c>
      <c r="AH91" t="str">
        <f>IFERROR(T91&amp;"*"&amp;ROUND(V91*(U91/(S91+U91))/VLOOKUP(T91,商品!$A$4:$D$67,4,FALSE),0),"")</f>
        <v/>
      </c>
    </row>
    <row r="92" customHeight="1" spans="1:34">
      <c r="A92" s="15" t="s">
        <v>303</v>
      </c>
      <c r="C92" s="2">
        <v>5</v>
      </c>
      <c r="D92" s="2" t="s">
        <v>220</v>
      </c>
      <c r="E92" s="2" t="s">
        <v>223</v>
      </c>
      <c r="L92" s="2">
        <f>IFERROR(VLOOKUP($D92&amp;$C92,生产方式定位!$A$2:$E$39,2,FALSE)+VLOOKUP($E92&amp;$C92,生产方式定位!$F$3:$J$39,2,FALSE),0)</f>
        <v>8000</v>
      </c>
      <c r="Q92" s="2">
        <f>IFERROR(VLOOKUP($D92&amp;$C92,生产方式定位!$A$2:$E$39,3,FALSE)+VLOOKUP($E92&amp;$C92,生产方式定位!$F$3:$J$39,3,FALSE),0)</f>
        <v>7800</v>
      </c>
      <c r="V92" s="2">
        <f>IFERROR(VLOOKUP($D92&amp;$C92,生产方式定位!$A$2:$E$39,5,FALSE)+VLOOKUP($E92&amp;$C92,生产方式定位!$F$3:$J$39,5,FALSE),"错误")</f>
        <v>8463</v>
      </c>
      <c r="W92" s="3" t="str">
        <f t="shared" si="5"/>
        <v/>
      </c>
      <c r="X92" s="4" t="str">
        <f t="shared" si="6"/>
        <v/>
      </c>
      <c r="Y92" s="4" t="str">
        <f t="shared" si="7"/>
        <v/>
      </c>
      <c r="Z92" s="5">
        <f t="shared" si="8"/>
        <v>0.95</v>
      </c>
      <c r="AA92" s="6">
        <f t="shared" si="9"/>
        <v>5</v>
      </c>
      <c r="AB92" t="str">
        <f>IFERROR(F92&amp;"*"&amp;ROUND(L92*(G92/(G92+I92+K92))/VLOOKUP(F92,商品!$A$4:$D$67,4,FALSE),0),"")</f>
        <v/>
      </c>
      <c r="AC92" t="str">
        <f>IFERROR(H92&amp;"*"&amp;ROUND(L92*(I92/(G92+I92+K92))/VLOOKUP(H92,商品!$A$4:$D$67,4,FALSE),0),"")</f>
        <v/>
      </c>
      <c r="AD92" t="str">
        <f>IFERROR(J92&amp;"*"&amp;ROUND(L92*(K92/(G92+I92+K92))/VLOOKUP(J92,商品!$A$4:$D$67,4,FALSE),0),"")</f>
        <v/>
      </c>
      <c r="AE92" t="str">
        <f>IFERROR(M92&amp;"*"&amp;ROUND(Q92*(N92/(N92+P92))/VLOOKUP(M92,职业!$A$3:$E$16,4,FALSE),0),"")</f>
        <v/>
      </c>
      <c r="AF92" t="str">
        <f>IFERROR(O92&amp;"*"&amp;ROUND(Q92*(P92/(N92+P92))/VLOOKUP(O92,职业!$A$3:$E$16,4,FALSE),0),"")</f>
        <v/>
      </c>
      <c r="AG92" t="str">
        <f>IFERROR(R92&amp;"*"&amp;ROUND(V92*(S92/(S92+U92))/VLOOKUP(R92,商品!$A$4:$D$67,4,FALSE),0),"")</f>
        <v/>
      </c>
      <c r="AH92" t="str">
        <f>IFERROR(T92&amp;"*"&amp;ROUND(V92*(U92/(S92+U92))/VLOOKUP(T92,商品!$A$4:$D$67,4,FALSE),0),"")</f>
        <v/>
      </c>
    </row>
    <row r="93" customHeight="1" spans="1:34">
      <c r="A93" s="15" t="s">
        <v>303</v>
      </c>
      <c r="C93" s="2">
        <v>1</v>
      </c>
      <c r="D93" s="2" t="s">
        <v>220</v>
      </c>
      <c r="E93" s="2" t="s">
        <v>223</v>
      </c>
      <c r="L93" s="2">
        <f>IFERROR(VLOOKUP($D93&amp;$C93,生产方式定位!$A$2:$E$39,2,FALSE)+VLOOKUP($E93&amp;$C93,生产方式定位!$F$3:$J$39,2,FALSE),0)</f>
        <v>2000</v>
      </c>
      <c r="Q93" s="2">
        <f>IFERROR(VLOOKUP($D93&amp;$C93,生产方式定位!$A$2:$E$39,3,FALSE)+VLOOKUP($E93&amp;$C93,生产方式定位!$F$3:$J$39,3,FALSE),0)</f>
        <v>2000</v>
      </c>
      <c r="V93" s="2">
        <f>IFERROR(VLOOKUP($D93&amp;$C93,生产方式定位!$A$2:$E$39,5,FALSE)+VLOOKUP($E93&amp;$C93,生产方式定位!$F$3:$J$39,5,FALSE),"错误")</f>
        <v>2000</v>
      </c>
      <c r="W93" s="3" t="str">
        <f t="shared" si="5"/>
        <v/>
      </c>
      <c r="X93" s="4" t="str">
        <f t="shared" si="6"/>
        <v/>
      </c>
      <c r="Y93" s="4" t="str">
        <f t="shared" si="7"/>
        <v/>
      </c>
      <c r="Z93" s="5">
        <f t="shared" si="8"/>
        <v>1</v>
      </c>
      <c r="AA93" s="6">
        <f t="shared" si="9"/>
        <v>1</v>
      </c>
      <c r="AB93" t="str">
        <f>IFERROR(F93&amp;"*"&amp;ROUND(L93*(G93/(G93+I93+K93))/VLOOKUP(F93,商品!$A$4:$D$67,4,FALSE),0),"")</f>
        <v/>
      </c>
      <c r="AC93" t="str">
        <f>IFERROR(H93&amp;"*"&amp;ROUND(L93*(I93/(G93+I93+K93))/VLOOKUP(H93,商品!$A$4:$D$67,4,FALSE),0),"")</f>
        <v/>
      </c>
      <c r="AD93" t="str">
        <f>IFERROR(J93&amp;"*"&amp;ROUND(L93*(K93/(G93+I93+K93))/VLOOKUP(J93,商品!$A$4:$D$67,4,FALSE),0),"")</f>
        <v/>
      </c>
      <c r="AE93" t="str">
        <f>IFERROR(M93&amp;"*"&amp;ROUND(Q93*(N93/(N93+P93))/VLOOKUP(M93,职业!$A$3:$E$16,4,FALSE),0),"")</f>
        <v/>
      </c>
      <c r="AF93" t="str">
        <f>IFERROR(O93&amp;"*"&amp;ROUND(Q93*(P93/(N93+P93))/VLOOKUP(O93,职业!$A$3:$E$16,4,FALSE),0),"")</f>
        <v/>
      </c>
      <c r="AG93" t="str">
        <f>IFERROR(R93&amp;"*"&amp;ROUND(V93*(S93/(S93+U93))/VLOOKUP(R93,商品!$A$4:$D$67,4,FALSE),0),"")</f>
        <v/>
      </c>
      <c r="AH93" t="str">
        <f>IFERROR(T93&amp;"*"&amp;ROUND(V93*(U93/(S93+U93))/VLOOKUP(T93,商品!$A$4:$D$67,4,FALSE),0),"")</f>
        <v/>
      </c>
    </row>
    <row r="94" customHeight="1" spans="1:34">
      <c r="A94" s="14" t="s">
        <v>304</v>
      </c>
      <c r="C94" s="2">
        <v>2</v>
      </c>
      <c r="D94" s="2" t="s">
        <v>220</v>
      </c>
      <c r="E94" s="2" t="s">
        <v>224</v>
      </c>
      <c r="L94" s="2">
        <f>IFERROR(VLOOKUP($D94&amp;$C94,生产方式定位!$A$2:$E$39,2,FALSE)+VLOOKUP($E94&amp;$C94,生产方式定位!$F$3:$J$39,2,FALSE),0)</f>
        <v>4500</v>
      </c>
      <c r="Q94" s="2">
        <f>IFERROR(VLOOKUP($D94&amp;$C94,生产方式定位!$A$2:$E$39,3,FALSE)+VLOOKUP($E94&amp;$C94,生产方式定位!$F$3:$J$39,3,FALSE),0)</f>
        <v>2000</v>
      </c>
      <c r="V94" s="2">
        <f>IFERROR(VLOOKUP($D94&amp;$C94,生产方式定位!$A$2:$E$39,5,FALSE)+VLOOKUP($E94&amp;$C94,生产方式定位!$F$3:$J$39,5,FALSE),"错误")</f>
        <v>3340</v>
      </c>
      <c r="W94" s="3" t="str">
        <f t="shared" si="5"/>
        <v/>
      </c>
      <c r="X94" s="4" t="str">
        <f t="shared" si="6"/>
        <v/>
      </c>
      <c r="Y94" s="4" t="str">
        <f t="shared" si="7"/>
        <v/>
      </c>
      <c r="Z94" s="5">
        <f t="shared" si="8"/>
        <v>1.35</v>
      </c>
      <c r="AA94" s="6">
        <f t="shared" si="9"/>
        <v>2</v>
      </c>
      <c r="AB94" t="str">
        <f>IFERROR(F94&amp;"*"&amp;ROUND(L94*(G94/(G94+I94+K94))/VLOOKUP(F94,商品!$A$4:$D$67,4,FALSE),0),"")</f>
        <v/>
      </c>
      <c r="AC94" t="str">
        <f>IFERROR(H94&amp;"*"&amp;ROUND(L94*(I94/(G94+I94+K94))/VLOOKUP(H94,商品!$A$4:$D$67,4,FALSE),0),"")</f>
        <v/>
      </c>
      <c r="AD94" t="str">
        <f>IFERROR(J94&amp;"*"&amp;ROUND(L94*(K94/(G94+I94+K94))/VLOOKUP(J94,商品!$A$4:$D$67,4,FALSE),0),"")</f>
        <v/>
      </c>
      <c r="AE94" t="str">
        <f>IFERROR(M94&amp;"*"&amp;ROUND(Q94*(N94/(N94+P94))/VLOOKUP(M94,职业!$A$3:$E$16,4,FALSE),0),"")</f>
        <v/>
      </c>
      <c r="AF94" t="str">
        <f>IFERROR(O94&amp;"*"&amp;ROUND(Q94*(P94/(N94+P94))/VLOOKUP(O94,职业!$A$3:$E$16,4,FALSE),0),"")</f>
        <v/>
      </c>
      <c r="AG94" t="str">
        <f>IFERROR(R94&amp;"*"&amp;ROUND(V94*(S94/(S94+U94))/VLOOKUP(R94,商品!$A$4:$D$67,4,FALSE),0),"")</f>
        <v/>
      </c>
      <c r="AH94" t="str">
        <f>IFERROR(T94&amp;"*"&amp;ROUND(V94*(U94/(S94+U94))/VLOOKUP(T94,商品!$A$4:$D$67,4,FALSE),0),"")</f>
        <v/>
      </c>
    </row>
    <row r="95" customHeight="1" spans="1:34">
      <c r="A95" s="14" t="s">
        <v>304</v>
      </c>
      <c r="C95" s="2">
        <v>3</v>
      </c>
      <c r="D95" s="2" t="s">
        <v>220</v>
      </c>
      <c r="E95" s="2" t="s">
        <v>224</v>
      </c>
      <c r="L95" s="2">
        <f>IFERROR(VLOOKUP($D95&amp;$C95,生产方式定位!$A$2:$E$39,2,FALSE)+VLOOKUP($E95&amp;$C95,生产方式定位!$F$3:$J$39,2,FALSE),0)</f>
        <v>6000</v>
      </c>
      <c r="Q95" s="2">
        <f>IFERROR(VLOOKUP($D95&amp;$C95,生产方式定位!$A$2:$E$39,3,FALSE)+VLOOKUP($E95&amp;$C95,生产方式定位!$F$3:$J$39,3,FALSE),0)</f>
        <v>2000</v>
      </c>
      <c r="V95" s="2">
        <f>IFERROR(VLOOKUP($D95&amp;$C95,生产方式定位!$A$2:$E$39,5,FALSE)+VLOOKUP($E95&amp;$C95,生产方式定位!$F$3:$J$39,5,FALSE),"错误")</f>
        <v>4260</v>
      </c>
      <c r="W95" s="3" t="str">
        <f t="shared" si="5"/>
        <v/>
      </c>
      <c r="X95" s="4" t="str">
        <f t="shared" si="6"/>
        <v/>
      </c>
      <c r="Y95" s="4" t="str">
        <f t="shared" si="7"/>
        <v/>
      </c>
      <c r="Z95" s="5">
        <f t="shared" si="8"/>
        <v>1.41</v>
      </c>
      <c r="AA95" s="6">
        <f t="shared" si="9"/>
        <v>3</v>
      </c>
      <c r="AB95" t="str">
        <f>IFERROR(F95&amp;"*"&amp;ROUND(L95*(G95/(G95+I95+K95))/VLOOKUP(F95,商品!$A$4:$D$67,4,FALSE),0),"")</f>
        <v/>
      </c>
      <c r="AC95" t="str">
        <f>IFERROR(H95&amp;"*"&amp;ROUND(L95*(I95/(G95+I95+K95))/VLOOKUP(H95,商品!$A$4:$D$67,4,FALSE),0),"")</f>
        <v/>
      </c>
      <c r="AD95" t="str">
        <f>IFERROR(J95&amp;"*"&amp;ROUND(L95*(K95/(G95+I95+K95))/VLOOKUP(J95,商品!$A$4:$D$67,4,FALSE),0),"")</f>
        <v/>
      </c>
      <c r="AE95" t="str">
        <f>IFERROR(M95&amp;"*"&amp;ROUND(Q95*(N95/(N95+P95))/VLOOKUP(M95,职业!$A$3:$E$16,4,FALSE),0),"")</f>
        <v/>
      </c>
      <c r="AF95" t="str">
        <f>IFERROR(O95&amp;"*"&amp;ROUND(Q95*(P95/(N95+P95))/VLOOKUP(O95,职业!$A$3:$E$16,4,FALSE),0),"")</f>
        <v/>
      </c>
      <c r="AG95" t="str">
        <f>IFERROR(R95&amp;"*"&amp;ROUND(V95*(S95/(S95+U95))/VLOOKUP(R95,商品!$A$4:$D$67,4,FALSE),0),"")</f>
        <v/>
      </c>
      <c r="AH95" t="str">
        <f>IFERROR(T95&amp;"*"&amp;ROUND(V95*(U95/(S95+U95))/VLOOKUP(T95,商品!$A$4:$D$67,4,FALSE),0),"")</f>
        <v/>
      </c>
    </row>
    <row r="96" customHeight="1" spans="1:34">
      <c r="A96" s="14" t="s">
        <v>304</v>
      </c>
      <c r="C96" s="2">
        <v>4</v>
      </c>
      <c r="D96" s="2" t="s">
        <v>220</v>
      </c>
      <c r="E96" s="2" t="s">
        <v>224</v>
      </c>
      <c r="L96" s="2">
        <f>IFERROR(VLOOKUP($D96&amp;$C96,生产方式定位!$A$2:$E$39,2,FALSE)+VLOOKUP($E96&amp;$C96,生产方式定位!$F$3:$J$39,2,FALSE),0)</f>
        <v>7500</v>
      </c>
      <c r="Q96" s="2">
        <f>IFERROR(VLOOKUP($D96&amp;$C96,生产方式定位!$A$2:$E$39,3,FALSE)+VLOOKUP($E96&amp;$C96,生产方式定位!$F$3:$J$39,3,FALSE),0)</f>
        <v>2000</v>
      </c>
      <c r="V96" s="2">
        <f>IFERROR(VLOOKUP($D96&amp;$C96,生产方式定位!$A$2:$E$39,5,FALSE)+VLOOKUP($E96&amp;$C96,生产方式定位!$F$3:$J$39,5,FALSE),"错误")</f>
        <v>5260</v>
      </c>
      <c r="W96" s="3" t="str">
        <f t="shared" si="5"/>
        <v/>
      </c>
      <c r="X96" s="4" t="str">
        <f t="shared" si="6"/>
        <v/>
      </c>
      <c r="Y96" s="4" t="str">
        <f t="shared" si="7"/>
        <v/>
      </c>
      <c r="Z96" s="5">
        <f t="shared" si="8"/>
        <v>1.43</v>
      </c>
      <c r="AA96" s="6">
        <f t="shared" si="9"/>
        <v>4</v>
      </c>
      <c r="AB96" t="str">
        <f>IFERROR(F96&amp;"*"&amp;ROUND(L96*(G96/(G96+I96+K96))/VLOOKUP(F96,商品!$A$4:$D$67,4,FALSE),0),"")</f>
        <v/>
      </c>
      <c r="AC96" t="str">
        <f>IFERROR(H96&amp;"*"&amp;ROUND(L96*(I96/(G96+I96+K96))/VLOOKUP(H96,商品!$A$4:$D$67,4,FALSE),0),"")</f>
        <v/>
      </c>
      <c r="AD96" t="str">
        <f>IFERROR(J96&amp;"*"&amp;ROUND(L96*(K96/(G96+I96+K96))/VLOOKUP(J96,商品!$A$4:$D$67,4,FALSE),0),"")</f>
        <v/>
      </c>
      <c r="AE96" t="str">
        <f>IFERROR(M96&amp;"*"&amp;ROUND(Q96*(N96/(N96+P96))/VLOOKUP(M96,职业!$A$3:$E$16,4,FALSE),0),"")</f>
        <v/>
      </c>
      <c r="AF96" t="str">
        <f>IFERROR(O96&amp;"*"&amp;ROUND(Q96*(P96/(N96+P96))/VLOOKUP(O96,职业!$A$3:$E$16,4,FALSE),0),"")</f>
        <v/>
      </c>
      <c r="AG96" t="str">
        <f>IFERROR(R96&amp;"*"&amp;ROUND(V96*(S96/(S96+U96))/VLOOKUP(R96,商品!$A$4:$D$67,4,FALSE),0),"")</f>
        <v/>
      </c>
      <c r="AH96" t="str">
        <f>IFERROR(T96&amp;"*"&amp;ROUND(V96*(U96/(S96+U96))/VLOOKUP(T96,商品!$A$4:$D$67,4,FALSE),0),"")</f>
        <v/>
      </c>
    </row>
    <row r="97" customHeight="1" spans="1:34">
      <c r="A97" s="14" t="s">
        <v>304</v>
      </c>
      <c r="C97" s="2">
        <v>5</v>
      </c>
      <c r="D97" s="2" t="s">
        <v>220</v>
      </c>
      <c r="E97" s="2" t="s">
        <v>224</v>
      </c>
      <c r="L97" s="2">
        <f>IFERROR(VLOOKUP($D97&amp;$C97,生产方式定位!$A$2:$E$39,2,FALSE)+VLOOKUP($E97&amp;$C97,生产方式定位!$F$3:$J$39,2,FALSE),0)</f>
        <v>9000</v>
      </c>
      <c r="Q97" s="2">
        <f>IFERROR(VLOOKUP($D97&amp;$C97,生产方式定位!$A$2:$E$39,3,FALSE)+VLOOKUP($E97&amp;$C97,生产方式定位!$F$3:$J$39,3,FALSE),0)</f>
        <v>2000</v>
      </c>
      <c r="V97" s="2">
        <f>IFERROR(VLOOKUP($D97&amp;$C97,生产方式定位!$A$2:$E$39,5,FALSE)+VLOOKUP($E97&amp;$C97,生产方式定位!$F$3:$J$39,5,FALSE),"错误")</f>
        <v>6340</v>
      </c>
      <c r="W97" s="3" t="str">
        <f t="shared" si="5"/>
        <v/>
      </c>
      <c r="X97" s="4" t="str">
        <f t="shared" si="6"/>
        <v/>
      </c>
      <c r="Y97" s="4" t="str">
        <f t="shared" si="7"/>
        <v/>
      </c>
      <c r="Z97" s="5">
        <f t="shared" si="8"/>
        <v>1.42</v>
      </c>
      <c r="AA97" s="6">
        <f t="shared" si="9"/>
        <v>5</v>
      </c>
      <c r="AB97" t="str">
        <f>IFERROR(F97&amp;"*"&amp;ROUND(L97*(G97/(G97+I97+K97))/VLOOKUP(F97,商品!$A$4:$D$67,4,FALSE),0),"")</f>
        <v/>
      </c>
      <c r="AC97" t="str">
        <f>IFERROR(H97&amp;"*"&amp;ROUND(L97*(I97/(G97+I97+K97))/VLOOKUP(H97,商品!$A$4:$D$67,4,FALSE),0),"")</f>
        <v/>
      </c>
      <c r="AD97" t="str">
        <f>IFERROR(J97&amp;"*"&amp;ROUND(L97*(K97/(G97+I97+K97))/VLOOKUP(J97,商品!$A$4:$D$67,4,FALSE),0),"")</f>
        <v/>
      </c>
      <c r="AE97" t="str">
        <f>IFERROR(M97&amp;"*"&amp;ROUND(Q97*(N97/(N97+P97))/VLOOKUP(M97,职业!$A$3:$E$16,4,FALSE),0),"")</f>
        <v/>
      </c>
      <c r="AF97" t="str">
        <f>IFERROR(O97&amp;"*"&amp;ROUND(Q97*(P97/(N97+P97))/VLOOKUP(O97,职业!$A$3:$E$16,4,FALSE),0),"")</f>
        <v/>
      </c>
      <c r="AG97" t="str">
        <f>IFERROR(R97&amp;"*"&amp;ROUND(V97*(S97/(S97+U97))/VLOOKUP(R97,商品!$A$4:$D$67,4,FALSE),0),"")</f>
        <v/>
      </c>
      <c r="AH97" t="str">
        <f>IFERROR(T97&amp;"*"&amp;ROUND(V97*(U97/(S97+U97))/VLOOKUP(T97,商品!$A$4:$D$67,4,FALSE),0),"")</f>
        <v/>
      </c>
    </row>
    <row r="98" customHeight="1" spans="1:34">
      <c r="A98" s="14" t="s">
        <v>304</v>
      </c>
      <c r="C98" s="2">
        <v>1</v>
      </c>
      <c r="D98" s="2" t="s">
        <v>220</v>
      </c>
      <c r="E98" s="2" t="s">
        <v>224</v>
      </c>
      <c r="L98" s="2">
        <f>IFERROR(VLOOKUP($D98&amp;$C98,生产方式定位!$A$2:$E$39,2,FALSE)+VLOOKUP($E98&amp;$C98,生产方式定位!$F$3:$J$39,2,FALSE),0)</f>
        <v>2000</v>
      </c>
      <c r="Q98" s="2">
        <f>IFERROR(VLOOKUP($D98&amp;$C98,生产方式定位!$A$2:$E$39,3,FALSE)+VLOOKUP($E98&amp;$C98,生产方式定位!$F$3:$J$39,3,FALSE),0)</f>
        <v>2000</v>
      </c>
      <c r="V98" s="2">
        <f>IFERROR(VLOOKUP($D98&amp;$C98,生产方式定位!$A$2:$E$39,5,FALSE)+VLOOKUP($E98&amp;$C98,生产方式定位!$F$3:$J$39,5,FALSE),"错误")</f>
        <v>2000</v>
      </c>
      <c r="W98" s="3" t="str">
        <f t="shared" si="5"/>
        <v/>
      </c>
      <c r="X98" s="4" t="str">
        <f t="shared" si="6"/>
        <v/>
      </c>
      <c r="Y98" s="4" t="str">
        <f t="shared" si="7"/>
        <v/>
      </c>
      <c r="Z98" s="5">
        <f t="shared" si="8"/>
        <v>1</v>
      </c>
      <c r="AA98" s="6">
        <f t="shared" si="9"/>
        <v>1</v>
      </c>
      <c r="AB98" t="str">
        <f>IFERROR(F98&amp;"*"&amp;ROUND(L98*(G98/(G98+I98+K98))/VLOOKUP(F98,商品!$A$4:$D$67,4,FALSE),0),"")</f>
        <v/>
      </c>
      <c r="AC98" t="str">
        <f>IFERROR(H98&amp;"*"&amp;ROUND(L98*(I98/(G98+I98+K98))/VLOOKUP(H98,商品!$A$4:$D$67,4,FALSE),0),"")</f>
        <v/>
      </c>
      <c r="AD98" t="str">
        <f>IFERROR(J98&amp;"*"&amp;ROUND(L98*(K98/(G98+I98+K98))/VLOOKUP(J98,商品!$A$4:$D$67,4,FALSE),0),"")</f>
        <v/>
      </c>
      <c r="AE98" t="str">
        <f>IFERROR(M98&amp;"*"&amp;ROUND(Q98*(N98/(N98+P98))/VLOOKUP(M98,职业!$A$3:$E$16,4,FALSE),0),"")</f>
        <v/>
      </c>
      <c r="AF98" t="str">
        <f>IFERROR(O98&amp;"*"&amp;ROUND(Q98*(P98/(N98+P98))/VLOOKUP(O98,职业!$A$3:$E$16,4,FALSE),0),"")</f>
        <v/>
      </c>
      <c r="AG98" t="str">
        <f>IFERROR(R98&amp;"*"&amp;ROUND(V98*(S98/(S98+U98))/VLOOKUP(R98,商品!$A$4:$D$67,4,FALSE),0),"")</f>
        <v/>
      </c>
      <c r="AH98" t="str">
        <f>IFERROR(T98&amp;"*"&amp;ROUND(V98*(U98/(S98+U98))/VLOOKUP(T98,商品!$A$4:$D$67,4,FALSE),0),"")</f>
        <v/>
      </c>
    </row>
    <row r="99" customHeight="1" spans="1:34">
      <c r="A99" s="15" t="s">
        <v>304</v>
      </c>
      <c r="C99" s="2">
        <v>2</v>
      </c>
      <c r="D99" s="2" t="s">
        <v>220</v>
      </c>
      <c r="E99" s="2" t="s">
        <v>224</v>
      </c>
      <c r="L99" s="2">
        <f>IFERROR(VLOOKUP($D99&amp;$C99,生产方式定位!$A$2:$E$39,2,FALSE)+VLOOKUP($E99&amp;$C99,生产方式定位!$F$3:$J$39,2,FALSE),0)</f>
        <v>4500</v>
      </c>
      <c r="Q99" s="2">
        <f>IFERROR(VLOOKUP($D99&amp;$C99,生产方式定位!$A$2:$E$39,3,FALSE)+VLOOKUP($E99&amp;$C99,生产方式定位!$F$3:$J$39,3,FALSE),0)</f>
        <v>2000</v>
      </c>
      <c r="V99" s="2">
        <f>IFERROR(VLOOKUP($D99&amp;$C99,生产方式定位!$A$2:$E$39,5,FALSE)+VLOOKUP($E99&amp;$C99,生产方式定位!$F$3:$J$39,5,FALSE),"错误")</f>
        <v>3340</v>
      </c>
      <c r="W99" s="3" t="str">
        <f t="shared" si="5"/>
        <v/>
      </c>
      <c r="X99" s="4" t="str">
        <f t="shared" si="6"/>
        <v/>
      </c>
      <c r="Y99" s="4" t="str">
        <f t="shared" si="7"/>
        <v/>
      </c>
      <c r="Z99" s="5">
        <f t="shared" si="8"/>
        <v>1.35</v>
      </c>
      <c r="AA99" s="6">
        <f t="shared" si="9"/>
        <v>2</v>
      </c>
      <c r="AB99" t="str">
        <f>IFERROR(F99&amp;"*"&amp;ROUND(L99*(G99/(G99+I99+K99))/VLOOKUP(F99,商品!$A$4:$D$67,4,FALSE),0),"")</f>
        <v/>
      </c>
      <c r="AC99" t="str">
        <f>IFERROR(H99&amp;"*"&amp;ROUND(L99*(I99/(G99+I99+K99))/VLOOKUP(H99,商品!$A$4:$D$67,4,FALSE),0),"")</f>
        <v/>
      </c>
      <c r="AD99" t="str">
        <f>IFERROR(J99&amp;"*"&amp;ROUND(L99*(K99/(G99+I99+K99))/VLOOKUP(J99,商品!$A$4:$D$67,4,FALSE),0),"")</f>
        <v/>
      </c>
      <c r="AE99" t="str">
        <f>IFERROR(M99&amp;"*"&amp;ROUND(Q99*(N99/(N99+P99))/VLOOKUP(M99,职业!$A$3:$E$16,4,FALSE),0),"")</f>
        <v/>
      </c>
      <c r="AF99" t="str">
        <f>IFERROR(O99&amp;"*"&amp;ROUND(Q99*(P99/(N99+P99))/VLOOKUP(O99,职业!$A$3:$E$16,4,FALSE),0),"")</f>
        <v/>
      </c>
      <c r="AG99" t="str">
        <f>IFERROR(R99&amp;"*"&amp;ROUND(V99*(S99/(S99+U99))/VLOOKUP(R99,商品!$A$4:$D$67,4,FALSE),0),"")</f>
        <v/>
      </c>
      <c r="AH99" t="str">
        <f>IFERROR(T99&amp;"*"&amp;ROUND(V99*(U99/(S99+U99))/VLOOKUP(T99,商品!$A$4:$D$67,4,FALSE),0),"")</f>
        <v/>
      </c>
    </row>
    <row r="100" customHeight="1" spans="1:34">
      <c r="A100" s="15" t="s">
        <v>304</v>
      </c>
      <c r="C100" s="2">
        <v>3</v>
      </c>
      <c r="D100" s="2" t="s">
        <v>220</v>
      </c>
      <c r="E100" s="2" t="s">
        <v>224</v>
      </c>
      <c r="L100" s="2">
        <f>IFERROR(VLOOKUP($D100&amp;$C100,生产方式定位!$A$2:$E$39,2,FALSE)+VLOOKUP($E100&amp;$C100,生产方式定位!$F$3:$J$39,2,FALSE),0)</f>
        <v>6000</v>
      </c>
      <c r="Q100" s="2">
        <f>IFERROR(VLOOKUP($D100&amp;$C100,生产方式定位!$A$2:$E$39,3,FALSE)+VLOOKUP($E100&amp;$C100,生产方式定位!$F$3:$J$39,3,FALSE),0)</f>
        <v>2000</v>
      </c>
      <c r="V100" s="2">
        <f>IFERROR(VLOOKUP($D100&amp;$C100,生产方式定位!$A$2:$E$39,5,FALSE)+VLOOKUP($E100&amp;$C100,生产方式定位!$F$3:$J$39,5,FALSE),"错误")</f>
        <v>4260</v>
      </c>
      <c r="W100" s="3" t="str">
        <f t="shared" si="5"/>
        <v/>
      </c>
      <c r="X100" s="4" t="str">
        <f t="shared" si="6"/>
        <v/>
      </c>
      <c r="Y100" s="4" t="str">
        <f t="shared" si="7"/>
        <v/>
      </c>
      <c r="Z100" s="5">
        <f t="shared" si="8"/>
        <v>1.41</v>
      </c>
      <c r="AA100" s="6">
        <f t="shared" si="9"/>
        <v>3</v>
      </c>
      <c r="AB100" t="str">
        <f>IFERROR(F100&amp;"*"&amp;ROUND(L100*(G100/(G100+I100+K100))/VLOOKUP(F100,商品!$A$4:$D$67,4,FALSE),0),"")</f>
        <v/>
      </c>
      <c r="AC100" t="str">
        <f>IFERROR(H100&amp;"*"&amp;ROUND(L100*(I100/(G100+I100+K100))/VLOOKUP(H100,商品!$A$4:$D$67,4,FALSE),0),"")</f>
        <v/>
      </c>
      <c r="AD100" t="str">
        <f>IFERROR(J100&amp;"*"&amp;ROUND(L100*(K100/(G100+I100+K100))/VLOOKUP(J100,商品!$A$4:$D$67,4,FALSE),0),"")</f>
        <v/>
      </c>
      <c r="AE100" t="str">
        <f>IFERROR(M100&amp;"*"&amp;ROUND(Q100*(N100/(N100+P100))/VLOOKUP(M100,职业!$A$3:$E$16,4,FALSE),0),"")</f>
        <v/>
      </c>
      <c r="AF100" t="str">
        <f>IFERROR(O100&amp;"*"&amp;ROUND(Q100*(P100/(N100+P100))/VLOOKUP(O100,职业!$A$3:$E$16,4,FALSE),0),"")</f>
        <v/>
      </c>
      <c r="AG100" t="str">
        <f>IFERROR(R100&amp;"*"&amp;ROUND(V100*(S100/(S100+U100))/VLOOKUP(R100,商品!$A$4:$D$67,4,FALSE),0),"")</f>
        <v/>
      </c>
      <c r="AH100" t="str">
        <f>IFERROR(T100&amp;"*"&amp;ROUND(V100*(U100/(S100+U100))/VLOOKUP(T100,商品!$A$4:$D$67,4,FALSE),0),"")</f>
        <v/>
      </c>
    </row>
    <row r="101" customHeight="1" spans="1:34">
      <c r="A101" s="15" t="s">
        <v>304</v>
      </c>
      <c r="C101" s="2">
        <v>4</v>
      </c>
      <c r="D101" s="2" t="s">
        <v>220</v>
      </c>
      <c r="E101" s="2" t="s">
        <v>224</v>
      </c>
      <c r="L101" s="2">
        <f>IFERROR(VLOOKUP($D101&amp;$C101,生产方式定位!$A$2:$E$39,2,FALSE)+VLOOKUP($E101&amp;$C101,生产方式定位!$F$3:$J$39,2,FALSE),0)</f>
        <v>7500</v>
      </c>
      <c r="Q101" s="2">
        <f>IFERROR(VLOOKUP($D101&amp;$C101,生产方式定位!$A$2:$E$39,3,FALSE)+VLOOKUP($E101&amp;$C101,生产方式定位!$F$3:$J$39,3,FALSE),0)</f>
        <v>2000</v>
      </c>
      <c r="V101" s="2">
        <f>IFERROR(VLOOKUP($D101&amp;$C101,生产方式定位!$A$2:$E$39,5,FALSE)+VLOOKUP($E101&amp;$C101,生产方式定位!$F$3:$J$39,5,FALSE),"错误")</f>
        <v>5260</v>
      </c>
      <c r="W101" s="3" t="str">
        <f t="shared" si="5"/>
        <v/>
      </c>
      <c r="X101" s="4" t="str">
        <f t="shared" si="6"/>
        <v/>
      </c>
      <c r="Y101" s="4" t="str">
        <f t="shared" si="7"/>
        <v/>
      </c>
      <c r="Z101" s="5">
        <f t="shared" si="8"/>
        <v>1.43</v>
      </c>
      <c r="AA101" s="6">
        <f t="shared" si="9"/>
        <v>4</v>
      </c>
      <c r="AB101" t="str">
        <f>IFERROR(F101&amp;"*"&amp;ROUND(L101*(G101/(G101+I101+K101))/VLOOKUP(F101,商品!$A$4:$D$67,4,FALSE),0),"")</f>
        <v/>
      </c>
      <c r="AC101" t="str">
        <f>IFERROR(H101&amp;"*"&amp;ROUND(L101*(I101/(G101+I101+K101))/VLOOKUP(H101,商品!$A$4:$D$67,4,FALSE),0),"")</f>
        <v/>
      </c>
      <c r="AD101" t="str">
        <f>IFERROR(J101&amp;"*"&amp;ROUND(L101*(K101/(G101+I101+K101))/VLOOKUP(J101,商品!$A$4:$D$67,4,FALSE),0),"")</f>
        <v/>
      </c>
      <c r="AE101" t="str">
        <f>IFERROR(M101&amp;"*"&amp;ROUND(Q101*(N101/(N101+P101))/VLOOKUP(M101,职业!$A$3:$E$16,4,FALSE),0),"")</f>
        <v/>
      </c>
      <c r="AF101" t="str">
        <f>IFERROR(O101&amp;"*"&amp;ROUND(Q101*(P101/(N101+P101))/VLOOKUP(O101,职业!$A$3:$E$16,4,FALSE),0),"")</f>
        <v/>
      </c>
      <c r="AG101" t="str">
        <f>IFERROR(R101&amp;"*"&amp;ROUND(V101*(S101/(S101+U101))/VLOOKUP(R101,商品!$A$4:$D$67,4,FALSE),0),"")</f>
        <v/>
      </c>
      <c r="AH101" t="str">
        <f>IFERROR(T101&amp;"*"&amp;ROUND(V101*(U101/(S101+U101))/VLOOKUP(T101,商品!$A$4:$D$67,4,FALSE),0),"")</f>
        <v/>
      </c>
    </row>
    <row r="102" customHeight="1" spans="1:34">
      <c r="A102" s="15" t="s">
        <v>304</v>
      </c>
      <c r="C102" s="2">
        <v>5</v>
      </c>
      <c r="D102" s="2" t="s">
        <v>220</v>
      </c>
      <c r="E102" s="2" t="s">
        <v>224</v>
      </c>
      <c r="L102" s="2">
        <f>IFERROR(VLOOKUP($D102&amp;$C102,生产方式定位!$A$2:$E$39,2,FALSE)+VLOOKUP($E102&amp;$C102,生产方式定位!$F$3:$J$39,2,FALSE),0)</f>
        <v>9000</v>
      </c>
      <c r="Q102" s="2">
        <f>IFERROR(VLOOKUP($D102&amp;$C102,生产方式定位!$A$2:$E$39,3,FALSE)+VLOOKUP($E102&amp;$C102,生产方式定位!$F$3:$J$39,3,FALSE),0)</f>
        <v>2000</v>
      </c>
      <c r="V102" s="2">
        <f>IFERROR(VLOOKUP($D102&amp;$C102,生产方式定位!$A$2:$E$39,5,FALSE)+VLOOKUP($E102&amp;$C102,生产方式定位!$F$3:$J$39,5,FALSE),"错误")</f>
        <v>6340</v>
      </c>
      <c r="W102" s="3" t="str">
        <f t="shared" si="5"/>
        <v/>
      </c>
      <c r="X102" s="4" t="str">
        <f t="shared" si="6"/>
        <v/>
      </c>
      <c r="Y102" s="4" t="str">
        <f t="shared" si="7"/>
        <v/>
      </c>
      <c r="Z102" s="5">
        <f t="shared" si="8"/>
        <v>1.42</v>
      </c>
      <c r="AA102" s="6">
        <f t="shared" si="9"/>
        <v>5</v>
      </c>
      <c r="AB102" t="str">
        <f>IFERROR(F102&amp;"*"&amp;ROUND(L102*(G102/(G102+I102+K102))/VLOOKUP(F102,商品!$A$4:$D$67,4,FALSE),0),"")</f>
        <v/>
      </c>
      <c r="AC102" t="str">
        <f>IFERROR(H102&amp;"*"&amp;ROUND(L102*(I102/(G102+I102+K102))/VLOOKUP(H102,商品!$A$4:$D$67,4,FALSE),0),"")</f>
        <v/>
      </c>
      <c r="AD102" t="str">
        <f>IFERROR(J102&amp;"*"&amp;ROUND(L102*(K102/(G102+I102+K102))/VLOOKUP(J102,商品!$A$4:$D$67,4,FALSE),0),"")</f>
        <v/>
      </c>
      <c r="AE102" t="str">
        <f>IFERROR(M102&amp;"*"&amp;ROUND(Q102*(N102/(N102+P102))/VLOOKUP(M102,职业!$A$3:$E$16,4,FALSE),0),"")</f>
        <v/>
      </c>
      <c r="AF102" t="str">
        <f>IFERROR(O102&amp;"*"&amp;ROUND(Q102*(P102/(N102+P102))/VLOOKUP(O102,职业!$A$3:$E$16,4,FALSE),0),"")</f>
        <v/>
      </c>
      <c r="AG102" t="str">
        <f>IFERROR(R102&amp;"*"&amp;ROUND(V102*(S102/(S102+U102))/VLOOKUP(R102,商品!$A$4:$D$67,4,FALSE),0),"")</f>
        <v/>
      </c>
      <c r="AH102" t="str">
        <f>IFERROR(T102&amp;"*"&amp;ROUND(V102*(U102/(S102+U102))/VLOOKUP(T102,商品!$A$4:$D$67,4,FALSE),0),"")</f>
        <v/>
      </c>
    </row>
    <row r="103" customHeight="1" spans="1:34">
      <c r="A103" s="15" t="s">
        <v>304</v>
      </c>
      <c r="C103" s="2">
        <v>1</v>
      </c>
      <c r="D103" s="2" t="s">
        <v>220</v>
      </c>
      <c r="E103" s="2" t="s">
        <v>224</v>
      </c>
      <c r="L103" s="2">
        <f>IFERROR(VLOOKUP($D103&amp;$C103,生产方式定位!$A$2:$E$39,2,FALSE)+VLOOKUP($E103&amp;$C103,生产方式定位!$F$3:$J$39,2,FALSE),0)</f>
        <v>2000</v>
      </c>
      <c r="Q103" s="2">
        <f>IFERROR(VLOOKUP($D103&amp;$C103,生产方式定位!$A$2:$E$39,3,FALSE)+VLOOKUP($E103&amp;$C103,生产方式定位!$F$3:$J$39,3,FALSE),0)</f>
        <v>2000</v>
      </c>
      <c r="V103" s="2">
        <f>IFERROR(VLOOKUP($D103&amp;$C103,生产方式定位!$A$2:$E$39,5,FALSE)+VLOOKUP($E103&amp;$C103,生产方式定位!$F$3:$J$39,5,FALSE),"错误")</f>
        <v>2000</v>
      </c>
      <c r="W103" s="3" t="str">
        <f t="shared" si="5"/>
        <v/>
      </c>
      <c r="X103" s="4" t="str">
        <f t="shared" si="6"/>
        <v/>
      </c>
      <c r="Y103" s="4" t="str">
        <f t="shared" si="7"/>
        <v/>
      </c>
      <c r="Z103" s="5">
        <f t="shared" si="8"/>
        <v>1</v>
      </c>
      <c r="AA103" s="6">
        <f t="shared" si="9"/>
        <v>1</v>
      </c>
      <c r="AB103" t="str">
        <f>IFERROR(F103&amp;"*"&amp;ROUND(L103*(G103/(G103+I103+K103))/VLOOKUP(F103,商品!$A$4:$D$67,4,FALSE),0),"")</f>
        <v/>
      </c>
      <c r="AC103" t="str">
        <f>IFERROR(H103&amp;"*"&amp;ROUND(L103*(I103/(G103+I103+K103))/VLOOKUP(H103,商品!$A$4:$D$67,4,FALSE),0),"")</f>
        <v/>
      </c>
      <c r="AD103" t="str">
        <f>IFERROR(J103&amp;"*"&amp;ROUND(L103*(K103/(G103+I103+K103))/VLOOKUP(J103,商品!$A$4:$D$67,4,FALSE),0),"")</f>
        <v/>
      </c>
      <c r="AE103" t="str">
        <f>IFERROR(M103&amp;"*"&amp;ROUND(Q103*(N103/(N103+P103))/VLOOKUP(M103,职业!$A$3:$E$16,4,FALSE),0),"")</f>
        <v/>
      </c>
      <c r="AF103" t="str">
        <f>IFERROR(O103&amp;"*"&amp;ROUND(Q103*(P103/(N103+P103))/VLOOKUP(O103,职业!$A$3:$E$16,4,FALSE),0),"")</f>
        <v/>
      </c>
      <c r="AG103" t="str">
        <f>IFERROR(R103&amp;"*"&amp;ROUND(V103*(S103/(S103+U103))/VLOOKUP(R103,商品!$A$4:$D$67,4,FALSE),0),"")</f>
        <v/>
      </c>
      <c r="AH103" t="str">
        <f>IFERROR(T103&amp;"*"&amp;ROUND(V103*(U103/(S103+U103))/VLOOKUP(T103,商品!$A$4:$D$67,4,FALSE),0),"")</f>
        <v/>
      </c>
    </row>
    <row r="104" customHeight="1" spans="1:34">
      <c r="A104" s="14" t="s">
        <v>305</v>
      </c>
      <c r="C104" s="2">
        <v>2</v>
      </c>
      <c r="D104" s="2" t="s">
        <v>220</v>
      </c>
      <c r="E104" s="2" t="s">
        <v>225</v>
      </c>
      <c r="L104" s="2">
        <f>IFERROR(VLOOKUP($D104&amp;$C104,生产方式定位!$A$2:$E$39,2,FALSE)+VLOOKUP($E104&amp;$C104,生产方式定位!$F$3:$J$39,2,FALSE),0)</f>
        <v>2500</v>
      </c>
      <c r="Q104" s="2">
        <f>IFERROR(VLOOKUP($D104&amp;$C104,生产方式定位!$A$2:$E$39,3,FALSE)+VLOOKUP($E104&amp;$C104,生产方式定位!$F$3:$J$39,3,FALSE),0)</f>
        <v>2200</v>
      </c>
      <c r="V104" s="2">
        <f>IFERROR(VLOOKUP($D104&amp;$C104,生产方式定位!$A$2:$E$39,5,FALSE)+VLOOKUP($E104&amp;$C104,生产方式定位!$F$3:$J$39,5,FALSE),"错误")</f>
        <v>2350</v>
      </c>
      <c r="W104" s="3" t="str">
        <f t="shared" si="5"/>
        <v/>
      </c>
      <c r="X104" s="4" t="str">
        <f t="shared" si="6"/>
        <v/>
      </c>
      <c r="Y104" s="4" t="str">
        <f t="shared" si="7"/>
        <v/>
      </c>
      <c r="Z104" s="5">
        <f t="shared" si="8"/>
        <v>1.06</v>
      </c>
      <c r="AA104" s="6">
        <f t="shared" si="9"/>
        <v>2</v>
      </c>
      <c r="AB104" t="str">
        <f>IFERROR(F104&amp;"*"&amp;ROUND(L104*(G104/(G104+I104+K104))/VLOOKUP(F104,商品!$A$4:$D$67,4,FALSE),0),"")</f>
        <v/>
      </c>
      <c r="AC104" t="str">
        <f>IFERROR(H104&amp;"*"&amp;ROUND(L104*(I104/(G104+I104+K104))/VLOOKUP(H104,商品!$A$4:$D$67,4,FALSE),0),"")</f>
        <v/>
      </c>
      <c r="AD104" t="str">
        <f>IFERROR(J104&amp;"*"&amp;ROUND(L104*(K104/(G104+I104+K104))/VLOOKUP(J104,商品!$A$4:$D$67,4,FALSE),0),"")</f>
        <v/>
      </c>
      <c r="AE104" t="str">
        <f>IFERROR(M104&amp;"*"&amp;ROUND(Q104*(N104/(N104+P104))/VLOOKUP(M104,职业!$A$3:$E$16,4,FALSE),0),"")</f>
        <v/>
      </c>
      <c r="AF104" t="str">
        <f>IFERROR(O104&amp;"*"&amp;ROUND(Q104*(P104/(N104+P104))/VLOOKUP(O104,职业!$A$3:$E$16,4,FALSE),0),"")</f>
        <v/>
      </c>
      <c r="AG104" t="str">
        <f>IFERROR(R104&amp;"*"&amp;ROUND(V104*(S104/(S104+U104))/VLOOKUP(R104,商品!$A$4:$D$67,4,FALSE),0),"")</f>
        <v/>
      </c>
      <c r="AH104" t="str">
        <f>IFERROR(T104&amp;"*"&amp;ROUND(V104*(U104/(S104+U104))/VLOOKUP(T104,商品!$A$4:$D$67,4,FALSE),0),"")</f>
        <v/>
      </c>
    </row>
    <row r="105" customHeight="1" spans="1:34">
      <c r="A105" s="14" t="s">
        <v>305</v>
      </c>
      <c r="C105" s="2">
        <v>3</v>
      </c>
      <c r="D105" s="2" t="s">
        <v>220</v>
      </c>
      <c r="E105" s="2" t="s">
        <v>225</v>
      </c>
      <c r="L105" s="2">
        <f>IFERROR(VLOOKUP($D105&amp;$C105,生产方式定位!$A$2:$E$39,2,FALSE)+VLOOKUP($E105&amp;$C105,生产方式定位!$F$3:$J$39,2,FALSE),0)</f>
        <v>3000</v>
      </c>
      <c r="Q105" s="2">
        <f>IFERROR(VLOOKUP($D105&amp;$C105,生产方式定位!$A$2:$E$39,3,FALSE)+VLOOKUP($E105&amp;$C105,生产方式定位!$F$3:$J$39,3,FALSE),0)</f>
        <v>2400</v>
      </c>
      <c r="V105" s="2">
        <f>IFERROR(VLOOKUP($D105&amp;$C105,生产方式定位!$A$2:$E$39,5,FALSE)+VLOOKUP($E105&amp;$C105,生产方式定位!$F$3:$J$39,5,FALSE),"错误")</f>
        <v>2700</v>
      </c>
      <c r="W105" s="3" t="str">
        <f t="shared" si="5"/>
        <v/>
      </c>
      <c r="X105" s="4" t="str">
        <f t="shared" si="6"/>
        <v/>
      </c>
      <c r="Y105" s="4" t="str">
        <f t="shared" si="7"/>
        <v/>
      </c>
      <c r="Z105" s="5">
        <f t="shared" si="8"/>
        <v>1.11</v>
      </c>
      <c r="AA105" s="6">
        <f t="shared" si="9"/>
        <v>3</v>
      </c>
      <c r="AB105" t="str">
        <f>IFERROR(F105&amp;"*"&amp;ROUND(L105*(G105/(G105+I105+K105))/VLOOKUP(F105,商品!$A$4:$D$67,4,FALSE),0),"")</f>
        <v/>
      </c>
      <c r="AC105" t="str">
        <f>IFERROR(H105&amp;"*"&amp;ROUND(L105*(I105/(G105+I105+K105))/VLOOKUP(H105,商品!$A$4:$D$67,4,FALSE),0),"")</f>
        <v/>
      </c>
      <c r="AD105" t="str">
        <f>IFERROR(J105&amp;"*"&amp;ROUND(L105*(K105/(G105+I105+K105))/VLOOKUP(J105,商品!$A$4:$D$67,4,FALSE),0),"")</f>
        <v/>
      </c>
      <c r="AE105" t="str">
        <f>IFERROR(M105&amp;"*"&amp;ROUND(Q105*(N105/(N105+P105))/VLOOKUP(M105,职业!$A$3:$E$16,4,FALSE),0),"")</f>
        <v/>
      </c>
      <c r="AF105" t="str">
        <f>IFERROR(O105&amp;"*"&amp;ROUND(Q105*(P105/(N105+P105))/VLOOKUP(O105,职业!$A$3:$E$16,4,FALSE),0),"")</f>
        <v/>
      </c>
      <c r="AG105" t="str">
        <f>IFERROR(R105&amp;"*"&amp;ROUND(V105*(S105/(S105+U105))/VLOOKUP(R105,商品!$A$4:$D$67,4,FALSE),0),"")</f>
        <v/>
      </c>
      <c r="AH105" t="str">
        <f>IFERROR(T105&amp;"*"&amp;ROUND(V105*(U105/(S105+U105))/VLOOKUP(T105,商品!$A$4:$D$67,4,FALSE),0),"")</f>
        <v/>
      </c>
    </row>
    <row r="106" customHeight="1" spans="1:34">
      <c r="A106" s="14" t="s">
        <v>305</v>
      </c>
      <c r="C106" s="2">
        <v>4</v>
      </c>
      <c r="D106" s="2" t="s">
        <v>220</v>
      </c>
      <c r="E106" s="2" t="s">
        <v>225</v>
      </c>
      <c r="L106" s="2">
        <f>IFERROR(VLOOKUP($D106&amp;$C106,生产方式定位!$A$2:$E$39,2,FALSE)+VLOOKUP($E106&amp;$C106,生产方式定位!$F$3:$J$39,2,FALSE),0)</f>
        <v>3500</v>
      </c>
      <c r="Q106" s="2">
        <f>IFERROR(VLOOKUP($D106&amp;$C106,生产方式定位!$A$2:$E$39,3,FALSE)+VLOOKUP($E106&amp;$C106,生产方式定位!$F$3:$J$39,3,FALSE),0)</f>
        <v>2600</v>
      </c>
      <c r="V106" s="2">
        <f>IFERROR(VLOOKUP($D106&amp;$C106,生产方式定位!$A$2:$E$39,5,FALSE)+VLOOKUP($E106&amp;$C106,生产方式定位!$F$3:$J$39,5,FALSE),"错误")</f>
        <v>3050</v>
      </c>
      <c r="W106" s="3" t="str">
        <f t="shared" si="5"/>
        <v/>
      </c>
      <c r="X106" s="4" t="str">
        <f t="shared" si="6"/>
        <v/>
      </c>
      <c r="Y106" s="4" t="str">
        <f t="shared" si="7"/>
        <v/>
      </c>
      <c r="Z106" s="5">
        <f t="shared" si="8"/>
        <v>1.15</v>
      </c>
      <c r="AA106" s="6">
        <f t="shared" si="9"/>
        <v>4</v>
      </c>
      <c r="AB106" t="str">
        <f>IFERROR(F106&amp;"*"&amp;ROUND(L106*(G106/(G106+I106+K106))/VLOOKUP(F106,商品!$A$4:$D$67,4,FALSE),0),"")</f>
        <v/>
      </c>
      <c r="AC106" t="str">
        <f>IFERROR(H106&amp;"*"&amp;ROUND(L106*(I106/(G106+I106+K106))/VLOOKUP(H106,商品!$A$4:$D$67,4,FALSE),0),"")</f>
        <v/>
      </c>
      <c r="AD106" t="str">
        <f>IFERROR(J106&amp;"*"&amp;ROUND(L106*(K106/(G106+I106+K106))/VLOOKUP(J106,商品!$A$4:$D$67,4,FALSE),0),"")</f>
        <v/>
      </c>
      <c r="AE106" t="str">
        <f>IFERROR(M106&amp;"*"&amp;ROUND(Q106*(N106/(N106+P106))/VLOOKUP(M106,职业!$A$3:$E$16,4,FALSE),0),"")</f>
        <v/>
      </c>
      <c r="AF106" t="str">
        <f>IFERROR(O106&amp;"*"&amp;ROUND(Q106*(P106/(N106+P106))/VLOOKUP(O106,职业!$A$3:$E$16,4,FALSE),0),"")</f>
        <v/>
      </c>
      <c r="AG106" t="str">
        <f>IFERROR(R106&amp;"*"&amp;ROUND(V106*(S106/(S106+U106))/VLOOKUP(R106,商品!$A$4:$D$67,4,FALSE),0),"")</f>
        <v/>
      </c>
      <c r="AH106" t="str">
        <f>IFERROR(T106&amp;"*"&amp;ROUND(V106*(U106/(S106+U106))/VLOOKUP(T106,商品!$A$4:$D$67,4,FALSE),0),"")</f>
        <v/>
      </c>
    </row>
    <row r="107" customHeight="1" spans="1:34">
      <c r="A107" s="14" t="s">
        <v>305</v>
      </c>
      <c r="C107" s="2">
        <v>5</v>
      </c>
      <c r="D107" s="2" t="s">
        <v>220</v>
      </c>
      <c r="E107" s="2" t="s">
        <v>225</v>
      </c>
      <c r="L107" s="2">
        <f>IFERROR(VLOOKUP($D107&amp;$C107,生产方式定位!$A$2:$E$39,2,FALSE)+VLOOKUP($E107&amp;$C107,生产方式定位!$F$3:$J$39,2,FALSE),0)</f>
        <v>4000</v>
      </c>
      <c r="Q107" s="2">
        <f>IFERROR(VLOOKUP($D107&amp;$C107,生产方式定位!$A$2:$E$39,3,FALSE)+VLOOKUP($E107&amp;$C107,生产方式定位!$F$3:$J$39,3,FALSE),0)</f>
        <v>2800</v>
      </c>
      <c r="V107" s="2">
        <f>IFERROR(VLOOKUP($D107&amp;$C107,生产方式定位!$A$2:$E$39,5,FALSE)+VLOOKUP($E107&amp;$C107,生产方式定位!$F$3:$J$39,5,FALSE),"错误")</f>
        <v>3400</v>
      </c>
      <c r="W107" s="3" t="str">
        <f t="shared" si="5"/>
        <v/>
      </c>
      <c r="X107" s="4" t="str">
        <f t="shared" si="6"/>
        <v/>
      </c>
      <c r="Y107" s="4" t="str">
        <f t="shared" si="7"/>
        <v/>
      </c>
      <c r="Z107" s="5">
        <f t="shared" si="8"/>
        <v>1.18</v>
      </c>
      <c r="AA107" s="6">
        <f t="shared" si="9"/>
        <v>5</v>
      </c>
      <c r="AB107" t="str">
        <f>IFERROR(F107&amp;"*"&amp;ROUND(L107*(G107/(G107+I107+K107))/VLOOKUP(F107,商品!$A$4:$D$67,4,FALSE),0),"")</f>
        <v/>
      </c>
      <c r="AC107" t="str">
        <f>IFERROR(H107&amp;"*"&amp;ROUND(L107*(I107/(G107+I107+K107))/VLOOKUP(H107,商品!$A$4:$D$67,4,FALSE),0),"")</f>
        <v/>
      </c>
      <c r="AD107" t="str">
        <f>IFERROR(J107&amp;"*"&amp;ROUND(L107*(K107/(G107+I107+K107))/VLOOKUP(J107,商品!$A$4:$D$67,4,FALSE),0),"")</f>
        <v/>
      </c>
      <c r="AE107" t="str">
        <f>IFERROR(M107&amp;"*"&amp;ROUND(Q107*(N107/(N107+P107))/VLOOKUP(M107,职业!$A$3:$E$16,4,FALSE),0),"")</f>
        <v/>
      </c>
      <c r="AF107" t="str">
        <f>IFERROR(O107&amp;"*"&amp;ROUND(Q107*(P107/(N107+P107))/VLOOKUP(O107,职业!$A$3:$E$16,4,FALSE),0),"")</f>
        <v/>
      </c>
      <c r="AG107" t="str">
        <f>IFERROR(R107&amp;"*"&amp;ROUND(V107*(S107/(S107+U107))/VLOOKUP(R107,商品!$A$4:$D$67,4,FALSE),0),"")</f>
        <v/>
      </c>
      <c r="AH107" t="str">
        <f>IFERROR(T107&amp;"*"&amp;ROUND(V107*(U107/(S107+U107))/VLOOKUP(T107,商品!$A$4:$D$67,4,FALSE),0),"")</f>
        <v/>
      </c>
    </row>
    <row r="108" customHeight="1" spans="1:34">
      <c r="A108" s="14" t="s">
        <v>305</v>
      </c>
      <c r="C108" s="2">
        <v>1</v>
      </c>
      <c r="D108" s="2" t="s">
        <v>220</v>
      </c>
      <c r="E108" s="2" t="s">
        <v>225</v>
      </c>
      <c r="L108" s="2">
        <f>IFERROR(VLOOKUP($D108&amp;$C108,生产方式定位!$A$2:$E$39,2,FALSE)+VLOOKUP($E108&amp;$C108,生产方式定位!$F$3:$J$39,2,FALSE),0)</f>
        <v>2000</v>
      </c>
      <c r="Q108" s="2">
        <f>IFERROR(VLOOKUP($D108&amp;$C108,生产方式定位!$A$2:$E$39,3,FALSE)+VLOOKUP($E108&amp;$C108,生产方式定位!$F$3:$J$39,3,FALSE),0)</f>
        <v>2000</v>
      </c>
      <c r="V108" s="2">
        <f>IFERROR(VLOOKUP($D108&amp;$C108,生产方式定位!$A$2:$E$39,5,FALSE)+VLOOKUP($E108&amp;$C108,生产方式定位!$F$3:$J$39,5,FALSE),"错误")</f>
        <v>2000</v>
      </c>
      <c r="W108" s="3" t="str">
        <f t="shared" si="5"/>
        <v/>
      </c>
      <c r="X108" s="4" t="str">
        <f t="shared" si="6"/>
        <v/>
      </c>
      <c r="Y108" s="4" t="str">
        <f t="shared" si="7"/>
        <v/>
      </c>
      <c r="Z108" s="5">
        <f t="shared" si="8"/>
        <v>1</v>
      </c>
      <c r="AA108" s="6">
        <f t="shared" si="9"/>
        <v>1</v>
      </c>
      <c r="AB108" t="str">
        <f>IFERROR(F108&amp;"*"&amp;ROUND(L108*(G108/(G108+I108+K108))/VLOOKUP(F108,商品!$A$4:$D$67,4,FALSE),0),"")</f>
        <v/>
      </c>
      <c r="AC108" t="str">
        <f>IFERROR(H108&amp;"*"&amp;ROUND(L108*(I108/(G108+I108+K108))/VLOOKUP(H108,商品!$A$4:$D$67,4,FALSE),0),"")</f>
        <v/>
      </c>
      <c r="AD108" t="str">
        <f>IFERROR(J108&amp;"*"&amp;ROUND(L108*(K108/(G108+I108+K108))/VLOOKUP(J108,商品!$A$4:$D$67,4,FALSE),0),"")</f>
        <v/>
      </c>
      <c r="AE108" t="str">
        <f>IFERROR(M108&amp;"*"&amp;ROUND(Q108*(N108/(N108+P108))/VLOOKUP(M108,职业!$A$3:$E$16,4,FALSE),0),"")</f>
        <v/>
      </c>
      <c r="AF108" t="str">
        <f>IFERROR(O108&amp;"*"&amp;ROUND(Q108*(P108/(N108+P108))/VLOOKUP(O108,职业!$A$3:$E$16,4,FALSE),0),"")</f>
        <v/>
      </c>
      <c r="AG108" t="str">
        <f>IFERROR(R108&amp;"*"&amp;ROUND(V108*(S108/(S108+U108))/VLOOKUP(R108,商品!$A$4:$D$67,4,FALSE),0),"")</f>
        <v/>
      </c>
      <c r="AH108" t="str">
        <f>IFERROR(T108&amp;"*"&amp;ROUND(V108*(U108/(S108+U108))/VLOOKUP(T108,商品!$A$4:$D$67,4,FALSE),0),"")</f>
        <v/>
      </c>
    </row>
    <row r="109" customHeight="1" spans="1:34">
      <c r="A109" s="14" t="s">
        <v>305</v>
      </c>
      <c r="C109" s="2">
        <v>2</v>
      </c>
      <c r="D109" s="2" t="s">
        <v>220</v>
      </c>
      <c r="E109" s="2" t="s">
        <v>225</v>
      </c>
      <c r="L109" s="2">
        <f>IFERROR(VLOOKUP($D109&amp;$C109,生产方式定位!$A$2:$E$39,2,FALSE)+VLOOKUP($E109&amp;$C109,生产方式定位!$F$3:$J$39,2,FALSE),0)</f>
        <v>2500</v>
      </c>
      <c r="Q109" s="2">
        <f>IFERROR(VLOOKUP($D109&amp;$C109,生产方式定位!$A$2:$E$39,3,FALSE)+VLOOKUP($E109&amp;$C109,生产方式定位!$F$3:$J$39,3,FALSE),0)</f>
        <v>2200</v>
      </c>
      <c r="V109" s="2">
        <f>IFERROR(VLOOKUP($D109&amp;$C109,生产方式定位!$A$2:$E$39,5,FALSE)+VLOOKUP($E109&amp;$C109,生产方式定位!$F$3:$J$39,5,FALSE),"错误")</f>
        <v>2350</v>
      </c>
      <c r="W109" s="3" t="str">
        <f t="shared" si="5"/>
        <v/>
      </c>
      <c r="X109" s="4" t="str">
        <f t="shared" si="6"/>
        <v/>
      </c>
      <c r="Y109" s="4" t="str">
        <f t="shared" si="7"/>
        <v/>
      </c>
      <c r="Z109" s="5">
        <f t="shared" si="8"/>
        <v>1.06</v>
      </c>
      <c r="AA109" s="6">
        <f t="shared" si="9"/>
        <v>2</v>
      </c>
      <c r="AB109" t="str">
        <f>IFERROR(F109&amp;"*"&amp;ROUND(L109*(G109/(G109+I109+K109))/VLOOKUP(F109,商品!$A$4:$D$67,4,FALSE),0),"")</f>
        <v/>
      </c>
      <c r="AC109" t="str">
        <f>IFERROR(H109&amp;"*"&amp;ROUND(L109*(I109/(G109+I109+K109))/VLOOKUP(H109,商品!$A$4:$D$67,4,FALSE),0),"")</f>
        <v/>
      </c>
      <c r="AD109" t="str">
        <f>IFERROR(J109&amp;"*"&amp;ROUND(L109*(K109/(G109+I109+K109))/VLOOKUP(J109,商品!$A$4:$D$67,4,FALSE),0),"")</f>
        <v/>
      </c>
      <c r="AE109" t="str">
        <f>IFERROR(M109&amp;"*"&amp;ROUND(Q109*(N109/(N109+P109))/VLOOKUP(M109,职业!$A$3:$E$16,4,FALSE),0),"")</f>
        <v/>
      </c>
      <c r="AF109" t="str">
        <f>IFERROR(O109&amp;"*"&amp;ROUND(Q109*(P109/(N109+P109))/VLOOKUP(O109,职业!$A$3:$E$16,4,FALSE),0),"")</f>
        <v/>
      </c>
      <c r="AG109" t="str">
        <f>IFERROR(R109&amp;"*"&amp;ROUND(V109*(S109/(S109+U109))/VLOOKUP(R109,商品!$A$4:$D$67,4,FALSE),0),"")</f>
        <v/>
      </c>
      <c r="AH109" t="str">
        <f>IFERROR(T109&amp;"*"&amp;ROUND(V109*(U109/(S109+U109))/VLOOKUP(T109,商品!$A$4:$D$67,4,FALSE),0),"")</f>
        <v/>
      </c>
    </row>
    <row r="110" customHeight="1" spans="1:34">
      <c r="A110" s="14" t="s">
        <v>305</v>
      </c>
      <c r="C110" s="2">
        <v>3</v>
      </c>
      <c r="D110" s="2" t="s">
        <v>220</v>
      </c>
      <c r="E110" s="2" t="s">
        <v>225</v>
      </c>
      <c r="L110" s="2">
        <f>IFERROR(VLOOKUP($D110&amp;$C110,生产方式定位!$A$2:$E$39,2,FALSE)+VLOOKUP($E110&amp;$C110,生产方式定位!$F$3:$J$39,2,FALSE),0)</f>
        <v>3000</v>
      </c>
      <c r="Q110" s="2">
        <f>IFERROR(VLOOKUP($D110&amp;$C110,生产方式定位!$A$2:$E$39,3,FALSE)+VLOOKUP($E110&amp;$C110,生产方式定位!$F$3:$J$39,3,FALSE),0)</f>
        <v>2400</v>
      </c>
      <c r="V110" s="2">
        <f>IFERROR(VLOOKUP($D110&amp;$C110,生产方式定位!$A$2:$E$39,5,FALSE)+VLOOKUP($E110&amp;$C110,生产方式定位!$F$3:$J$39,5,FALSE),"错误")</f>
        <v>2700</v>
      </c>
      <c r="W110" s="3" t="str">
        <f t="shared" si="5"/>
        <v/>
      </c>
      <c r="X110" s="4" t="str">
        <f t="shared" si="6"/>
        <v/>
      </c>
      <c r="Y110" s="4" t="str">
        <f t="shared" si="7"/>
        <v/>
      </c>
      <c r="Z110" s="5">
        <f t="shared" si="8"/>
        <v>1.11</v>
      </c>
      <c r="AA110" s="6">
        <f t="shared" si="9"/>
        <v>3</v>
      </c>
      <c r="AB110" t="str">
        <f>IFERROR(F110&amp;"*"&amp;ROUND(L110*(G110/(G110+I110+K110))/VLOOKUP(F110,商品!$A$4:$D$67,4,FALSE),0),"")</f>
        <v/>
      </c>
      <c r="AC110" t="str">
        <f>IFERROR(H110&amp;"*"&amp;ROUND(L110*(I110/(G110+I110+K110))/VLOOKUP(H110,商品!$A$4:$D$67,4,FALSE),0),"")</f>
        <v/>
      </c>
      <c r="AD110" t="str">
        <f>IFERROR(J110&amp;"*"&amp;ROUND(L110*(K110/(G110+I110+K110))/VLOOKUP(J110,商品!$A$4:$D$67,4,FALSE),0),"")</f>
        <v/>
      </c>
      <c r="AE110" t="str">
        <f>IFERROR(M110&amp;"*"&amp;ROUND(Q110*(N110/(N110+P110))/VLOOKUP(M110,职业!$A$3:$E$16,4,FALSE),0),"")</f>
        <v/>
      </c>
      <c r="AF110" t="str">
        <f>IFERROR(O110&amp;"*"&amp;ROUND(Q110*(P110/(N110+P110))/VLOOKUP(O110,职业!$A$3:$E$16,4,FALSE),0),"")</f>
        <v/>
      </c>
      <c r="AG110" t="str">
        <f>IFERROR(R110&amp;"*"&amp;ROUND(V110*(S110/(S110+U110))/VLOOKUP(R110,商品!$A$4:$D$67,4,FALSE),0),"")</f>
        <v/>
      </c>
      <c r="AH110" t="str">
        <f>IFERROR(T110&amp;"*"&amp;ROUND(V110*(U110/(S110+U110))/VLOOKUP(T110,商品!$A$4:$D$67,4,FALSE),0),"")</f>
        <v/>
      </c>
    </row>
    <row r="111" customHeight="1" spans="1:34">
      <c r="A111" s="14" t="s">
        <v>305</v>
      </c>
      <c r="C111" s="2">
        <v>4</v>
      </c>
      <c r="D111" s="2" t="s">
        <v>220</v>
      </c>
      <c r="E111" s="2" t="s">
        <v>225</v>
      </c>
      <c r="L111" s="2">
        <f>IFERROR(VLOOKUP($D111&amp;$C111,生产方式定位!$A$2:$E$39,2,FALSE)+VLOOKUP($E111&amp;$C111,生产方式定位!$F$3:$J$39,2,FALSE),0)</f>
        <v>3500</v>
      </c>
      <c r="Q111" s="2">
        <f>IFERROR(VLOOKUP($D111&amp;$C111,生产方式定位!$A$2:$E$39,3,FALSE)+VLOOKUP($E111&amp;$C111,生产方式定位!$F$3:$J$39,3,FALSE),0)</f>
        <v>2600</v>
      </c>
      <c r="V111" s="2">
        <f>IFERROR(VLOOKUP($D111&amp;$C111,生产方式定位!$A$2:$E$39,5,FALSE)+VLOOKUP($E111&amp;$C111,生产方式定位!$F$3:$J$39,5,FALSE),"错误")</f>
        <v>3050</v>
      </c>
      <c r="W111" s="3" t="str">
        <f t="shared" si="5"/>
        <v/>
      </c>
      <c r="X111" s="4" t="str">
        <f t="shared" si="6"/>
        <v/>
      </c>
      <c r="Y111" s="4" t="str">
        <f t="shared" si="7"/>
        <v/>
      </c>
      <c r="Z111" s="5">
        <f t="shared" si="8"/>
        <v>1.15</v>
      </c>
      <c r="AA111" s="6">
        <f t="shared" si="9"/>
        <v>4</v>
      </c>
      <c r="AB111" t="str">
        <f>IFERROR(F111&amp;"*"&amp;ROUND(L111*(G111/(G111+I111+K111))/VLOOKUP(F111,商品!$A$4:$D$67,4,FALSE),0),"")</f>
        <v/>
      </c>
      <c r="AC111" t="str">
        <f>IFERROR(H111&amp;"*"&amp;ROUND(L111*(I111/(G111+I111+K111))/VLOOKUP(H111,商品!$A$4:$D$67,4,FALSE),0),"")</f>
        <v/>
      </c>
      <c r="AD111" t="str">
        <f>IFERROR(J111&amp;"*"&amp;ROUND(L111*(K111/(G111+I111+K111))/VLOOKUP(J111,商品!$A$4:$D$67,4,FALSE),0),"")</f>
        <v/>
      </c>
      <c r="AE111" t="str">
        <f>IFERROR(M111&amp;"*"&amp;ROUND(Q111*(N111/(N111+P111))/VLOOKUP(M111,职业!$A$3:$E$16,4,FALSE),0),"")</f>
        <v/>
      </c>
      <c r="AF111" t="str">
        <f>IFERROR(O111&amp;"*"&amp;ROUND(Q111*(P111/(N111+P111))/VLOOKUP(O111,职业!$A$3:$E$16,4,FALSE),0),"")</f>
        <v/>
      </c>
      <c r="AG111" t="str">
        <f>IFERROR(R111&amp;"*"&amp;ROUND(V111*(S111/(S111+U111))/VLOOKUP(R111,商品!$A$4:$D$67,4,FALSE),0),"")</f>
        <v/>
      </c>
      <c r="AH111" t="str">
        <f>IFERROR(T111&amp;"*"&amp;ROUND(V111*(U111/(S111+U111))/VLOOKUP(T111,商品!$A$4:$D$67,4,FALSE),0),"")</f>
        <v/>
      </c>
    </row>
    <row r="112" customHeight="1" spans="1:34">
      <c r="A112" s="15" t="s">
        <v>307</v>
      </c>
      <c r="C112" s="2">
        <v>5</v>
      </c>
      <c r="D112" s="2" t="s">
        <v>220</v>
      </c>
      <c r="E112" s="2" t="s">
        <v>222</v>
      </c>
      <c r="L112" s="2">
        <f>IFERROR(VLOOKUP($D112&amp;$C112,生产方式定位!$A$2:$E$39,2,FALSE)+VLOOKUP($E112&amp;$C112,生产方式定位!$F$3:$J$39,2,FALSE),0)</f>
        <v>8000</v>
      </c>
      <c r="Q112" s="2">
        <f>IFERROR(VLOOKUP($D112&amp;$C112,生产方式定位!$A$2:$E$39,3,FALSE)+VLOOKUP($E112&amp;$C112,生产方式定位!$F$3:$J$39,3,FALSE),0)</f>
        <v>3600</v>
      </c>
      <c r="V112" s="2">
        <f>IFERROR(VLOOKUP($D112&amp;$C112,生产方式定位!$A$2:$E$39,5,FALSE)+VLOOKUP($E112&amp;$C112,生产方式定位!$F$3:$J$39,5,FALSE),"错误")</f>
        <v>7000</v>
      </c>
      <c r="W112" s="3" t="str">
        <f t="shared" si="5"/>
        <v/>
      </c>
      <c r="X112" s="4" t="str">
        <f t="shared" si="6"/>
        <v/>
      </c>
      <c r="Y112" s="4" t="str">
        <f t="shared" si="7"/>
        <v/>
      </c>
      <c r="Z112" s="5">
        <f t="shared" si="8"/>
        <v>1.14</v>
      </c>
      <c r="AA112" s="6">
        <f t="shared" si="9"/>
        <v>5</v>
      </c>
      <c r="AB112" t="str">
        <f>IFERROR(F112&amp;"*"&amp;ROUND(L112*(G112/(G112+I112+K112))/VLOOKUP(F112,商品!$A$4:$D$67,4,FALSE),0),"")</f>
        <v/>
      </c>
      <c r="AC112" t="str">
        <f>IFERROR(H112&amp;"*"&amp;ROUND(L112*(I112/(G112+I112+K112))/VLOOKUP(H112,商品!$A$4:$D$67,4,FALSE),0),"")</f>
        <v/>
      </c>
      <c r="AD112" t="str">
        <f>IFERROR(J112&amp;"*"&amp;ROUND(L112*(K112/(G112+I112+K112))/VLOOKUP(J112,商品!$A$4:$D$67,4,FALSE),0),"")</f>
        <v/>
      </c>
      <c r="AE112" t="str">
        <f>IFERROR(M112&amp;"*"&amp;ROUND(Q112*(N112/(N112+P112))/VLOOKUP(M112,职业!$A$3:$E$16,4,FALSE),0),"")</f>
        <v/>
      </c>
      <c r="AF112" t="str">
        <f>IFERROR(O112&amp;"*"&amp;ROUND(Q112*(P112/(N112+P112))/VLOOKUP(O112,职业!$A$3:$E$16,4,FALSE),0),"")</f>
        <v/>
      </c>
      <c r="AG112" t="str">
        <f>IFERROR(R112&amp;"*"&amp;ROUND(V112*(S112/(S112+U112))/VLOOKUP(R112,商品!$A$4:$D$67,4,FALSE),0),"")</f>
        <v/>
      </c>
      <c r="AH112" t="str">
        <f>IFERROR(T112&amp;"*"&amp;ROUND(V112*(U112/(S112+U112))/VLOOKUP(T112,商品!$A$4:$D$67,4,FALSE),0),"")</f>
        <v/>
      </c>
    </row>
    <row r="113" customHeight="1" spans="1:34">
      <c r="A113" s="15" t="s">
        <v>307</v>
      </c>
      <c r="C113" s="2">
        <v>1</v>
      </c>
      <c r="D113" s="2" t="s">
        <v>220</v>
      </c>
      <c r="E113" s="2" t="s">
        <v>222</v>
      </c>
      <c r="L113" s="2">
        <f>IFERROR(VLOOKUP($D113&amp;$C113,生产方式定位!$A$2:$E$39,2,FALSE)+VLOOKUP($E113&amp;$C113,生产方式定位!$F$3:$J$39,2,FALSE),0)</f>
        <v>2000</v>
      </c>
      <c r="Q113" s="2">
        <f>IFERROR(VLOOKUP($D113&amp;$C113,生产方式定位!$A$2:$E$39,3,FALSE)+VLOOKUP($E113&amp;$C113,生产方式定位!$F$3:$J$39,3,FALSE),0)</f>
        <v>2000</v>
      </c>
      <c r="V113" s="2">
        <f>IFERROR(VLOOKUP($D113&amp;$C113,生产方式定位!$A$2:$E$39,5,FALSE)+VLOOKUP($E113&amp;$C113,生产方式定位!$F$3:$J$39,5,FALSE),"错误")</f>
        <v>2000</v>
      </c>
      <c r="W113" s="3" t="str">
        <f t="shared" si="5"/>
        <v/>
      </c>
      <c r="X113" s="4" t="str">
        <f t="shared" si="6"/>
        <v/>
      </c>
      <c r="Y113" s="4" t="str">
        <f t="shared" si="7"/>
        <v/>
      </c>
      <c r="Z113" s="5">
        <f t="shared" si="8"/>
        <v>1</v>
      </c>
      <c r="AA113" s="6">
        <f t="shared" si="9"/>
        <v>1</v>
      </c>
      <c r="AB113" t="str">
        <f>IFERROR(F113&amp;"*"&amp;ROUND(L113*(G113/(G113+I113+K113))/VLOOKUP(F113,商品!$A$4:$D$67,4,FALSE),0),"")</f>
        <v/>
      </c>
      <c r="AC113" t="str">
        <f>IFERROR(H113&amp;"*"&amp;ROUND(L113*(I113/(G113+I113+K113))/VLOOKUP(H113,商品!$A$4:$D$67,4,FALSE),0),"")</f>
        <v/>
      </c>
      <c r="AD113" t="str">
        <f>IFERROR(J113&amp;"*"&amp;ROUND(L113*(K113/(G113+I113+K113))/VLOOKUP(J113,商品!$A$4:$D$67,4,FALSE),0),"")</f>
        <v/>
      </c>
      <c r="AE113" t="str">
        <f>IFERROR(M113&amp;"*"&amp;ROUND(Q113*(N113/(N113+P113))/VLOOKUP(M113,职业!$A$3:$E$16,4,FALSE),0),"")</f>
        <v/>
      </c>
      <c r="AF113" t="str">
        <f>IFERROR(O113&amp;"*"&amp;ROUND(Q113*(P113/(N113+P113))/VLOOKUP(O113,职业!$A$3:$E$16,4,FALSE),0),"")</f>
        <v/>
      </c>
      <c r="AG113" t="str">
        <f>IFERROR(R113&amp;"*"&amp;ROUND(V113*(S113/(S113+U113))/VLOOKUP(R113,商品!$A$4:$D$67,4,FALSE),0),"")</f>
        <v/>
      </c>
      <c r="AH113" t="str">
        <f>IFERROR(T113&amp;"*"&amp;ROUND(V113*(U113/(S113+U113))/VLOOKUP(T113,商品!$A$4:$D$67,4,FALSE),0),"")</f>
        <v/>
      </c>
    </row>
    <row r="114" customHeight="1" spans="1:34">
      <c r="A114" s="15" t="s">
        <v>307</v>
      </c>
      <c r="C114" s="2">
        <v>2</v>
      </c>
      <c r="D114" s="2" t="s">
        <v>220</v>
      </c>
      <c r="E114" s="2" t="s">
        <v>222</v>
      </c>
      <c r="L114" s="2">
        <f>IFERROR(VLOOKUP($D114&amp;$C114,生产方式定位!$A$2:$E$39,2,FALSE)+VLOOKUP($E114&amp;$C114,生产方式定位!$F$3:$J$39,2,FALSE),0)</f>
        <v>3500</v>
      </c>
      <c r="Q114" s="2">
        <f>IFERROR(VLOOKUP($D114&amp;$C114,生产方式定位!$A$2:$E$39,3,FALSE)+VLOOKUP($E114&amp;$C114,生产方式定位!$F$3:$J$39,3,FALSE),0)</f>
        <v>2400</v>
      </c>
      <c r="V114" s="2">
        <f>IFERROR(VLOOKUP($D114&amp;$C114,生产方式定位!$A$2:$E$39,5,FALSE)+VLOOKUP($E114&amp;$C114,生产方式定位!$F$3:$J$39,5,FALSE),"错误")</f>
        <v>3022</v>
      </c>
      <c r="W114" s="3" t="str">
        <f t="shared" si="5"/>
        <v/>
      </c>
      <c r="X114" s="4" t="str">
        <f t="shared" si="6"/>
        <v/>
      </c>
      <c r="Y114" s="4" t="str">
        <f t="shared" si="7"/>
        <v/>
      </c>
      <c r="Z114" s="5">
        <f t="shared" si="8"/>
        <v>1.16</v>
      </c>
      <c r="AA114" s="6">
        <f t="shared" si="9"/>
        <v>2</v>
      </c>
      <c r="AB114" t="str">
        <f>IFERROR(F114&amp;"*"&amp;ROUND(L114*(G114/(G114+I114+K114))/VLOOKUP(F114,商品!$A$4:$D$67,4,FALSE),0),"")</f>
        <v/>
      </c>
      <c r="AC114" t="str">
        <f>IFERROR(H114&amp;"*"&amp;ROUND(L114*(I114/(G114+I114+K114))/VLOOKUP(H114,商品!$A$4:$D$67,4,FALSE),0),"")</f>
        <v/>
      </c>
      <c r="AD114" t="str">
        <f>IFERROR(J114&amp;"*"&amp;ROUND(L114*(K114/(G114+I114+K114))/VLOOKUP(J114,商品!$A$4:$D$67,4,FALSE),0),"")</f>
        <v/>
      </c>
      <c r="AE114" t="str">
        <f>IFERROR(M114&amp;"*"&amp;ROUND(Q114*(N114/(N114+P114))/VLOOKUP(M114,职业!$A$3:$E$16,4,FALSE),0),"")</f>
        <v/>
      </c>
      <c r="AF114" t="str">
        <f>IFERROR(O114&amp;"*"&amp;ROUND(Q114*(P114/(N114+P114))/VLOOKUP(O114,职业!$A$3:$E$16,4,FALSE),0),"")</f>
        <v/>
      </c>
      <c r="AG114" t="str">
        <f>IFERROR(R114&amp;"*"&amp;ROUND(V114*(S114/(S114+U114))/VLOOKUP(R114,商品!$A$4:$D$67,4,FALSE),0),"")</f>
        <v/>
      </c>
      <c r="AH114" t="str">
        <f>IFERROR(T114&amp;"*"&amp;ROUND(V114*(U114/(S114+U114))/VLOOKUP(T114,商品!$A$4:$D$67,4,FALSE),0),"")</f>
        <v/>
      </c>
    </row>
    <row r="115" customHeight="1" spans="1:34">
      <c r="A115" s="15" t="s">
        <v>307</v>
      </c>
      <c r="C115" s="2">
        <v>3</v>
      </c>
      <c r="D115" s="2" t="s">
        <v>220</v>
      </c>
      <c r="E115" s="2" t="s">
        <v>222</v>
      </c>
      <c r="L115" s="2">
        <f>IFERROR(VLOOKUP($D115&amp;$C115,生产方式定位!$A$2:$E$39,2,FALSE)+VLOOKUP($E115&amp;$C115,生产方式定位!$F$3:$J$39,2,FALSE),0)</f>
        <v>5000</v>
      </c>
      <c r="Q115" s="2">
        <f>IFERROR(VLOOKUP($D115&amp;$C115,生产方式定位!$A$2:$E$39,3,FALSE)+VLOOKUP($E115&amp;$C115,生产方式定位!$F$3:$J$39,3,FALSE),0)</f>
        <v>2800</v>
      </c>
      <c r="V115" s="2">
        <f>IFERROR(VLOOKUP($D115&amp;$C115,生产方式定位!$A$2:$E$39,5,FALSE)+VLOOKUP($E115&amp;$C115,生产方式定位!$F$3:$J$39,5,FALSE),"错误")</f>
        <v>4188</v>
      </c>
      <c r="W115" s="3" t="str">
        <f t="shared" si="5"/>
        <v/>
      </c>
      <c r="X115" s="4" t="str">
        <f t="shared" si="6"/>
        <v/>
      </c>
      <c r="Y115" s="4" t="str">
        <f t="shared" si="7"/>
        <v/>
      </c>
      <c r="Z115" s="5">
        <f t="shared" si="8"/>
        <v>1.19</v>
      </c>
      <c r="AA115" s="6">
        <f t="shared" si="9"/>
        <v>3</v>
      </c>
      <c r="AB115" t="str">
        <f>IFERROR(F115&amp;"*"&amp;ROUND(L115*(G115/(G115+I115+K115))/VLOOKUP(F115,商品!$A$4:$D$67,4,FALSE),0),"")</f>
        <v/>
      </c>
      <c r="AC115" t="str">
        <f>IFERROR(H115&amp;"*"&amp;ROUND(L115*(I115/(G115+I115+K115))/VLOOKUP(H115,商品!$A$4:$D$67,4,FALSE),0),"")</f>
        <v/>
      </c>
      <c r="AD115" t="str">
        <f>IFERROR(J115&amp;"*"&amp;ROUND(L115*(K115/(G115+I115+K115))/VLOOKUP(J115,商品!$A$4:$D$67,4,FALSE),0),"")</f>
        <v/>
      </c>
      <c r="AE115" t="str">
        <f>IFERROR(M115&amp;"*"&amp;ROUND(Q115*(N115/(N115+P115))/VLOOKUP(M115,职业!$A$3:$E$16,4,FALSE),0),"")</f>
        <v/>
      </c>
      <c r="AF115" t="str">
        <f>IFERROR(O115&amp;"*"&amp;ROUND(Q115*(P115/(N115+P115))/VLOOKUP(O115,职业!$A$3:$E$16,4,FALSE),0),"")</f>
        <v/>
      </c>
      <c r="AG115" t="str">
        <f>IFERROR(R115&amp;"*"&amp;ROUND(V115*(S115/(S115+U115))/VLOOKUP(R115,商品!$A$4:$D$67,4,FALSE),0),"")</f>
        <v/>
      </c>
      <c r="AH115" t="str">
        <f>IFERROR(T115&amp;"*"&amp;ROUND(V115*(U115/(S115+U115))/VLOOKUP(T115,商品!$A$4:$D$67,4,FALSE),0),"")</f>
        <v/>
      </c>
    </row>
    <row r="116" customHeight="1" spans="1:34">
      <c r="A116" s="15" t="s">
        <v>307</v>
      </c>
      <c r="C116" s="2">
        <v>4</v>
      </c>
      <c r="D116" s="2" t="s">
        <v>220</v>
      </c>
      <c r="E116" s="2" t="s">
        <v>222</v>
      </c>
      <c r="L116" s="2">
        <f>IFERROR(VLOOKUP($D116&amp;$C116,生产方式定位!$A$2:$E$39,2,FALSE)+VLOOKUP($E116&amp;$C116,生产方式定位!$F$3:$J$39,2,FALSE),0)</f>
        <v>6500</v>
      </c>
      <c r="Q116" s="2">
        <f>IFERROR(VLOOKUP($D116&amp;$C116,生产方式定位!$A$2:$E$39,3,FALSE)+VLOOKUP($E116&amp;$C116,生产方式定位!$F$3:$J$39,3,FALSE),0)</f>
        <v>3200</v>
      </c>
      <c r="V116" s="2">
        <f>IFERROR(VLOOKUP($D116&amp;$C116,生产方式定位!$A$2:$E$39,5,FALSE)+VLOOKUP($E116&amp;$C116,生产方式定位!$F$3:$J$39,5,FALSE),"错误")</f>
        <v>5498</v>
      </c>
      <c r="W116" s="3" t="str">
        <f t="shared" si="5"/>
        <v/>
      </c>
      <c r="X116" s="4" t="str">
        <f t="shared" si="6"/>
        <v/>
      </c>
      <c r="Y116" s="4" t="str">
        <f t="shared" si="7"/>
        <v/>
      </c>
      <c r="Z116" s="5">
        <f t="shared" si="8"/>
        <v>1.18</v>
      </c>
      <c r="AA116" s="6">
        <f t="shared" si="9"/>
        <v>4</v>
      </c>
      <c r="AB116" t="str">
        <f>IFERROR(F116&amp;"*"&amp;ROUND(L116*(G116/(G116+I116+K116))/VLOOKUP(F116,商品!$A$4:$D$67,4,FALSE),0),"")</f>
        <v/>
      </c>
      <c r="AC116" t="str">
        <f>IFERROR(H116&amp;"*"&amp;ROUND(L116*(I116/(G116+I116+K116))/VLOOKUP(H116,商品!$A$4:$D$67,4,FALSE),0),"")</f>
        <v/>
      </c>
      <c r="AD116" t="str">
        <f>IFERROR(J116&amp;"*"&amp;ROUND(L116*(K116/(G116+I116+K116))/VLOOKUP(J116,商品!$A$4:$D$67,4,FALSE),0),"")</f>
        <v/>
      </c>
      <c r="AE116" t="str">
        <f>IFERROR(M116&amp;"*"&amp;ROUND(Q116*(N116/(N116+P116))/VLOOKUP(M116,职业!$A$3:$E$16,4,FALSE),0),"")</f>
        <v/>
      </c>
      <c r="AF116" t="str">
        <f>IFERROR(O116&amp;"*"&amp;ROUND(Q116*(P116/(N116+P116))/VLOOKUP(O116,职业!$A$3:$E$16,4,FALSE),0),"")</f>
        <v/>
      </c>
      <c r="AG116" t="str">
        <f>IFERROR(R116&amp;"*"&amp;ROUND(V116*(S116/(S116+U116))/VLOOKUP(R116,商品!$A$4:$D$67,4,FALSE),0),"")</f>
        <v/>
      </c>
      <c r="AH116" t="str">
        <f>IFERROR(T116&amp;"*"&amp;ROUND(V116*(U116/(S116+U116))/VLOOKUP(T116,商品!$A$4:$D$67,4,FALSE),0),"")</f>
        <v/>
      </c>
    </row>
    <row r="117" customHeight="1" spans="1:34">
      <c r="A117" s="14" t="s">
        <v>308</v>
      </c>
      <c r="C117" s="2">
        <v>5</v>
      </c>
      <c r="D117" s="2" t="s">
        <v>220</v>
      </c>
      <c r="E117" s="2" t="s">
        <v>223</v>
      </c>
      <c r="L117" s="2">
        <f>IFERROR(VLOOKUP($D117&amp;$C117,生产方式定位!$A$2:$E$39,2,FALSE)+VLOOKUP($E117&amp;$C117,生产方式定位!$F$3:$J$39,2,FALSE),0)</f>
        <v>8000</v>
      </c>
      <c r="Q117" s="2">
        <f>IFERROR(VLOOKUP($D117&amp;$C117,生产方式定位!$A$2:$E$39,3,FALSE)+VLOOKUP($E117&amp;$C117,生产方式定位!$F$3:$J$39,3,FALSE),0)</f>
        <v>7800</v>
      </c>
      <c r="V117" s="2">
        <f>IFERROR(VLOOKUP($D117&amp;$C117,生产方式定位!$A$2:$E$39,5,FALSE)+VLOOKUP($E117&amp;$C117,生产方式定位!$F$3:$J$39,5,FALSE),"错误")</f>
        <v>8463</v>
      </c>
      <c r="W117" s="3" t="str">
        <f t="shared" si="5"/>
        <v/>
      </c>
      <c r="X117" s="4" t="str">
        <f t="shared" si="6"/>
        <v/>
      </c>
      <c r="Y117" s="4" t="str">
        <f t="shared" si="7"/>
        <v/>
      </c>
      <c r="Z117" s="5">
        <f t="shared" si="8"/>
        <v>0.95</v>
      </c>
      <c r="AA117" s="6">
        <f t="shared" si="9"/>
        <v>5</v>
      </c>
      <c r="AB117" t="str">
        <f>IFERROR(F117&amp;"*"&amp;ROUND(L117*(G117/(G117+I117+K117))/VLOOKUP(F117,商品!$A$4:$D$67,4,FALSE),0),"")</f>
        <v/>
      </c>
      <c r="AC117" t="str">
        <f>IFERROR(H117&amp;"*"&amp;ROUND(L117*(I117/(G117+I117+K117))/VLOOKUP(H117,商品!$A$4:$D$67,4,FALSE),0),"")</f>
        <v/>
      </c>
      <c r="AD117" t="str">
        <f>IFERROR(J117&amp;"*"&amp;ROUND(L117*(K117/(G117+I117+K117))/VLOOKUP(J117,商品!$A$4:$D$67,4,FALSE),0),"")</f>
        <v/>
      </c>
      <c r="AE117" t="str">
        <f>IFERROR(M117&amp;"*"&amp;ROUND(Q117*(N117/(N117+P117))/VLOOKUP(M117,职业!$A$3:$E$16,4,FALSE),0),"")</f>
        <v/>
      </c>
      <c r="AF117" t="str">
        <f>IFERROR(O117&amp;"*"&amp;ROUND(Q117*(P117/(N117+P117))/VLOOKUP(O117,职业!$A$3:$E$16,4,FALSE),0),"")</f>
        <v/>
      </c>
      <c r="AG117" t="str">
        <f>IFERROR(R117&amp;"*"&amp;ROUND(V117*(S117/(S117+U117))/VLOOKUP(R117,商品!$A$4:$D$67,4,FALSE),0),"")</f>
        <v/>
      </c>
      <c r="AH117" t="str">
        <f>IFERROR(T117&amp;"*"&amp;ROUND(V117*(U117/(S117+U117))/VLOOKUP(T117,商品!$A$4:$D$67,4,FALSE),0),"")</f>
        <v/>
      </c>
    </row>
    <row r="118" customHeight="1" spans="1:34">
      <c r="A118" s="14" t="s">
        <v>308</v>
      </c>
      <c r="C118" s="2">
        <v>1</v>
      </c>
      <c r="D118" s="2" t="s">
        <v>220</v>
      </c>
      <c r="E118" s="2" t="s">
        <v>223</v>
      </c>
      <c r="L118" s="2">
        <f>IFERROR(VLOOKUP($D118&amp;$C118,生产方式定位!$A$2:$E$39,2,FALSE)+VLOOKUP($E118&amp;$C118,生产方式定位!$F$3:$J$39,2,FALSE),0)</f>
        <v>2000</v>
      </c>
      <c r="Q118" s="2">
        <f>IFERROR(VLOOKUP($D118&amp;$C118,生产方式定位!$A$2:$E$39,3,FALSE)+VLOOKUP($E118&amp;$C118,生产方式定位!$F$3:$J$39,3,FALSE),0)</f>
        <v>2000</v>
      </c>
      <c r="V118" s="2">
        <f>IFERROR(VLOOKUP($D118&amp;$C118,生产方式定位!$A$2:$E$39,5,FALSE)+VLOOKUP($E118&amp;$C118,生产方式定位!$F$3:$J$39,5,FALSE),"错误")</f>
        <v>2000</v>
      </c>
      <c r="W118" s="3" t="str">
        <f t="shared" si="5"/>
        <v/>
      </c>
      <c r="X118" s="4" t="str">
        <f t="shared" si="6"/>
        <v/>
      </c>
      <c r="Y118" s="4" t="str">
        <f t="shared" si="7"/>
        <v/>
      </c>
      <c r="Z118" s="5">
        <f t="shared" si="8"/>
        <v>1</v>
      </c>
      <c r="AA118" s="6">
        <f t="shared" si="9"/>
        <v>1</v>
      </c>
      <c r="AB118" t="str">
        <f>IFERROR(F118&amp;"*"&amp;ROUND(L118*(G118/(G118+I118+K118))/VLOOKUP(F118,商品!$A$4:$D$67,4,FALSE),0),"")</f>
        <v/>
      </c>
      <c r="AC118" t="str">
        <f>IFERROR(H118&amp;"*"&amp;ROUND(L118*(I118/(G118+I118+K118))/VLOOKUP(H118,商品!$A$4:$D$67,4,FALSE),0),"")</f>
        <v/>
      </c>
      <c r="AD118" t="str">
        <f>IFERROR(J118&amp;"*"&amp;ROUND(L118*(K118/(G118+I118+K118))/VLOOKUP(J118,商品!$A$4:$D$67,4,FALSE),0),"")</f>
        <v/>
      </c>
      <c r="AE118" t="str">
        <f>IFERROR(M118&amp;"*"&amp;ROUND(Q118*(N118/(N118+P118))/VLOOKUP(M118,职业!$A$3:$E$16,4,FALSE),0),"")</f>
        <v/>
      </c>
      <c r="AF118" t="str">
        <f>IFERROR(O118&amp;"*"&amp;ROUND(Q118*(P118/(N118+P118))/VLOOKUP(O118,职业!$A$3:$E$16,4,FALSE),0),"")</f>
        <v/>
      </c>
      <c r="AG118" t="str">
        <f>IFERROR(R118&amp;"*"&amp;ROUND(V118*(S118/(S118+U118))/VLOOKUP(R118,商品!$A$4:$D$67,4,FALSE),0),"")</f>
        <v/>
      </c>
      <c r="AH118" t="str">
        <f>IFERROR(T118&amp;"*"&amp;ROUND(V118*(U118/(S118+U118))/VLOOKUP(T118,商品!$A$4:$D$67,4,FALSE),0),"")</f>
        <v/>
      </c>
    </row>
    <row r="119" customHeight="1" spans="1:34">
      <c r="A119" s="14" t="s">
        <v>308</v>
      </c>
      <c r="C119" s="2">
        <v>2</v>
      </c>
      <c r="D119" s="2" t="s">
        <v>220</v>
      </c>
      <c r="E119" s="2" t="s">
        <v>223</v>
      </c>
      <c r="L119" s="2">
        <f>IFERROR(VLOOKUP($D119&amp;$C119,生产方式定位!$A$2:$E$39,2,FALSE)+VLOOKUP($E119&amp;$C119,生产方式定位!$F$3:$J$39,2,FALSE),0)</f>
        <v>3500</v>
      </c>
      <c r="Q119" s="2">
        <f>IFERROR(VLOOKUP($D119&amp;$C119,生产方式定位!$A$2:$E$39,3,FALSE)+VLOOKUP($E119&amp;$C119,生产方式定位!$F$3:$J$39,3,FALSE),0)</f>
        <v>4200</v>
      </c>
      <c r="V119" s="2">
        <f>IFERROR(VLOOKUP($D119&amp;$C119,生产方式定位!$A$2:$E$39,5,FALSE)+VLOOKUP($E119&amp;$C119,生产方式定位!$F$3:$J$39,5,FALSE),"错误")</f>
        <v>3895</v>
      </c>
      <c r="W119" s="3" t="str">
        <f t="shared" si="5"/>
        <v/>
      </c>
      <c r="X119" s="4" t="str">
        <f t="shared" si="6"/>
        <v/>
      </c>
      <c r="Y119" s="4" t="str">
        <f t="shared" si="7"/>
        <v/>
      </c>
      <c r="Z119" s="5">
        <f t="shared" si="8"/>
        <v>0.9</v>
      </c>
      <c r="AA119" s="6">
        <f t="shared" si="9"/>
        <v>2</v>
      </c>
      <c r="AB119" t="str">
        <f>IFERROR(F119&amp;"*"&amp;ROUND(L119*(G119/(G119+I119+K119))/VLOOKUP(F119,商品!$A$4:$D$67,4,FALSE),0),"")</f>
        <v/>
      </c>
      <c r="AC119" t="str">
        <f>IFERROR(H119&amp;"*"&amp;ROUND(L119*(I119/(G119+I119+K119))/VLOOKUP(H119,商品!$A$4:$D$67,4,FALSE),0),"")</f>
        <v/>
      </c>
      <c r="AD119" t="str">
        <f>IFERROR(J119&amp;"*"&amp;ROUND(L119*(K119/(G119+I119+K119))/VLOOKUP(J119,商品!$A$4:$D$67,4,FALSE),0),"")</f>
        <v/>
      </c>
      <c r="AE119" t="str">
        <f>IFERROR(M119&amp;"*"&amp;ROUND(Q119*(N119/(N119+P119))/VLOOKUP(M119,职业!$A$3:$E$16,4,FALSE),0),"")</f>
        <v/>
      </c>
      <c r="AF119" t="str">
        <f>IFERROR(O119&amp;"*"&amp;ROUND(Q119*(P119/(N119+P119))/VLOOKUP(O119,职业!$A$3:$E$16,4,FALSE),0),"")</f>
        <v/>
      </c>
      <c r="AG119" t="str">
        <f>IFERROR(R119&amp;"*"&amp;ROUND(V119*(S119/(S119+U119))/VLOOKUP(R119,商品!$A$4:$D$67,4,FALSE),0),"")</f>
        <v/>
      </c>
      <c r="AH119" t="str">
        <f>IFERROR(T119&amp;"*"&amp;ROUND(V119*(U119/(S119+U119))/VLOOKUP(T119,商品!$A$4:$D$67,4,FALSE),0),"")</f>
        <v/>
      </c>
    </row>
    <row r="120" customHeight="1" spans="1:34">
      <c r="A120" s="14" t="s">
        <v>308</v>
      </c>
      <c r="C120" s="2">
        <v>3</v>
      </c>
      <c r="D120" s="2" t="s">
        <v>220</v>
      </c>
      <c r="E120" s="2" t="s">
        <v>223</v>
      </c>
      <c r="L120" s="2">
        <f>IFERROR(VLOOKUP($D120&amp;$C120,生产方式定位!$A$2:$E$39,2,FALSE)+VLOOKUP($E120&amp;$C120,生产方式定位!$F$3:$J$39,2,FALSE),0)</f>
        <v>5000</v>
      </c>
      <c r="Q120" s="2">
        <f>IFERROR(VLOOKUP($D120&amp;$C120,生产方式定位!$A$2:$E$39,3,FALSE)+VLOOKUP($E120&amp;$C120,生产方式定位!$F$3:$J$39,3,FALSE),0)</f>
        <v>5400</v>
      </c>
      <c r="V120" s="2">
        <f>IFERROR(VLOOKUP($D120&amp;$C120,生产方式定位!$A$2:$E$39,5,FALSE)+VLOOKUP($E120&amp;$C120,生产方式定位!$F$3:$J$39,5,FALSE),"错误")</f>
        <v>5350</v>
      </c>
      <c r="W120" s="3" t="str">
        <f t="shared" si="5"/>
        <v/>
      </c>
      <c r="X120" s="4" t="str">
        <f t="shared" si="6"/>
        <v/>
      </c>
      <c r="Y120" s="4" t="str">
        <f t="shared" si="7"/>
        <v/>
      </c>
      <c r="Z120" s="5">
        <f t="shared" si="8"/>
        <v>0.93</v>
      </c>
      <c r="AA120" s="6">
        <f t="shared" si="9"/>
        <v>3</v>
      </c>
      <c r="AB120" t="str">
        <f>IFERROR(F120&amp;"*"&amp;ROUND(L120*(G120/(G120+I120+K120))/VLOOKUP(F120,商品!$A$4:$D$67,4,FALSE),0),"")</f>
        <v/>
      </c>
      <c r="AC120" t="str">
        <f>IFERROR(H120&amp;"*"&amp;ROUND(L120*(I120/(G120+I120+K120))/VLOOKUP(H120,商品!$A$4:$D$67,4,FALSE),0),"")</f>
        <v/>
      </c>
      <c r="AD120" t="str">
        <f>IFERROR(J120&amp;"*"&amp;ROUND(L120*(K120/(G120+I120+K120))/VLOOKUP(J120,商品!$A$4:$D$67,4,FALSE),0),"")</f>
        <v/>
      </c>
      <c r="AE120" t="str">
        <f>IFERROR(M120&amp;"*"&amp;ROUND(Q120*(N120/(N120+P120))/VLOOKUP(M120,职业!$A$3:$E$16,4,FALSE),0),"")</f>
        <v/>
      </c>
      <c r="AF120" t="str">
        <f>IFERROR(O120&amp;"*"&amp;ROUND(Q120*(P120/(N120+P120))/VLOOKUP(O120,职业!$A$3:$E$16,4,FALSE),0),"")</f>
        <v/>
      </c>
      <c r="AG120" t="str">
        <f>IFERROR(R120&amp;"*"&amp;ROUND(V120*(S120/(S120+U120))/VLOOKUP(R120,商品!$A$4:$D$67,4,FALSE),0),"")</f>
        <v/>
      </c>
      <c r="AH120" t="str">
        <f>IFERROR(T120&amp;"*"&amp;ROUND(V120*(U120/(S120+U120))/VLOOKUP(T120,商品!$A$4:$D$67,4,FALSE),0),"")</f>
        <v/>
      </c>
    </row>
    <row r="121" customHeight="1" spans="1:34">
      <c r="A121" s="14" t="s">
        <v>308</v>
      </c>
      <c r="C121" s="2">
        <v>4</v>
      </c>
      <c r="D121" s="2" t="s">
        <v>220</v>
      </c>
      <c r="E121" s="2" t="s">
        <v>223</v>
      </c>
      <c r="L121" s="2">
        <f>IFERROR(VLOOKUP($D121&amp;$C121,生产方式定位!$A$2:$E$39,2,FALSE)+VLOOKUP($E121&amp;$C121,生产方式定位!$F$3:$J$39,2,FALSE),0)</f>
        <v>6500</v>
      </c>
      <c r="Q121" s="2">
        <f>IFERROR(VLOOKUP($D121&amp;$C121,生产方式定位!$A$2:$E$39,3,FALSE)+VLOOKUP($E121&amp;$C121,生产方式定位!$F$3:$J$39,3,FALSE),0)</f>
        <v>6600</v>
      </c>
      <c r="V121" s="2">
        <f>IFERROR(VLOOKUP($D121&amp;$C121,生产方式定位!$A$2:$E$39,5,FALSE)+VLOOKUP($E121&amp;$C121,生产方式定位!$F$3:$J$39,5,FALSE),"错误")</f>
        <v>6865</v>
      </c>
      <c r="W121" s="3" t="str">
        <f t="shared" si="5"/>
        <v/>
      </c>
      <c r="X121" s="4" t="str">
        <f t="shared" si="6"/>
        <v/>
      </c>
      <c r="Y121" s="4" t="str">
        <f t="shared" si="7"/>
        <v/>
      </c>
      <c r="Z121" s="5">
        <f t="shared" si="8"/>
        <v>0.95</v>
      </c>
      <c r="AA121" s="6">
        <f t="shared" si="9"/>
        <v>4</v>
      </c>
      <c r="AB121" t="str">
        <f>IFERROR(F121&amp;"*"&amp;ROUND(L121*(G121/(G121+I121+K121))/VLOOKUP(F121,商品!$A$4:$D$67,4,FALSE),0),"")</f>
        <v/>
      </c>
      <c r="AC121" t="str">
        <f>IFERROR(H121&amp;"*"&amp;ROUND(L121*(I121/(G121+I121+K121))/VLOOKUP(H121,商品!$A$4:$D$67,4,FALSE),0),"")</f>
        <v/>
      </c>
      <c r="AD121" t="str">
        <f>IFERROR(J121&amp;"*"&amp;ROUND(L121*(K121/(G121+I121+K121))/VLOOKUP(J121,商品!$A$4:$D$67,4,FALSE),0),"")</f>
        <v/>
      </c>
      <c r="AE121" t="str">
        <f>IFERROR(M121&amp;"*"&amp;ROUND(Q121*(N121/(N121+P121))/VLOOKUP(M121,职业!$A$3:$E$16,4,FALSE),0),"")</f>
        <v/>
      </c>
      <c r="AF121" t="str">
        <f>IFERROR(O121&amp;"*"&amp;ROUND(Q121*(P121/(N121+P121))/VLOOKUP(O121,职业!$A$3:$E$16,4,FALSE),0),"")</f>
        <v/>
      </c>
      <c r="AG121" t="str">
        <f>IFERROR(R121&amp;"*"&amp;ROUND(V121*(S121/(S121+U121))/VLOOKUP(R121,商品!$A$4:$D$67,4,FALSE),0),"")</f>
        <v/>
      </c>
      <c r="AH121" t="str">
        <f>IFERROR(T121&amp;"*"&amp;ROUND(V121*(U121/(S121+U121))/VLOOKUP(T121,商品!$A$4:$D$67,4,FALSE),0),"")</f>
        <v/>
      </c>
    </row>
    <row r="122" customHeight="1" spans="1:34">
      <c r="A122" s="15" t="s">
        <v>309</v>
      </c>
      <c r="C122" s="2">
        <v>5</v>
      </c>
      <c r="D122" s="2" t="s">
        <v>220</v>
      </c>
      <c r="E122" s="2" t="s">
        <v>224</v>
      </c>
      <c r="L122" s="2">
        <f>IFERROR(VLOOKUP($D122&amp;$C122,生产方式定位!$A$2:$E$39,2,FALSE)+VLOOKUP($E122&amp;$C122,生产方式定位!$F$3:$J$39,2,FALSE),0)</f>
        <v>9000</v>
      </c>
      <c r="Q122" s="2">
        <f>IFERROR(VLOOKUP($D122&amp;$C122,生产方式定位!$A$2:$E$39,3,FALSE)+VLOOKUP($E122&amp;$C122,生产方式定位!$F$3:$J$39,3,FALSE),0)</f>
        <v>2000</v>
      </c>
      <c r="V122" s="2">
        <f>IFERROR(VLOOKUP($D122&amp;$C122,生产方式定位!$A$2:$E$39,5,FALSE)+VLOOKUP($E122&amp;$C122,生产方式定位!$F$3:$J$39,5,FALSE),"错误")</f>
        <v>6340</v>
      </c>
      <c r="W122" s="3" t="str">
        <f t="shared" si="5"/>
        <v/>
      </c>
      <c r="X122" s="4" t="str">
        <f t="shared" si="6"/>
        <v/>
      </c>
      <c r="Y122" s="4" t="str">
        <f t="shared" si="7"/>
        <v/>
      </c>
      <c r="Z122" s="5">
        <f t="shared" si="8"/>
        <v>1.42</v>
      </c>
      <c r="AA122" s="6">
        <f t="shared" si="9"/>
        <v>5</v>
      </c>
      <c r="AB122" t="str">
        <f>IFERROR(F122&amp;"*"&amp;ROUND(L122*(G122/(G122+I122+K122))/VLOOKUP(F122,商品!$A$4:$D$67,4,FALSE),0),"")</f>
        <v/>
      </c>
      <c r="AC122" t="str">
        <f>IFERROR(H122&amp;"*"&amp;ROUND(L122*(I122/(G122+I122+K122))/VLOOKUP(H122,商品!$A$4:$D$67,4,FALSE),0),"")</f>
        <v/>
      </c>
      <c r="AD122" t="str">
        <f>IFERROR(J122&amp;"*"&amp;ROUND(L122*(K122/(G122+I122+K122))/VLOOKUP(J122,商品!$A$4:$D$67,4,FALSE),0),"")</f>
        <v/>
      </c>
      <c r="AE122" t="str">
        <f>IFERROR(M122&amp;"*"&amp;ROUND(Q122*(N122/(N122+P122))/VLOOKUP(M122,职业!$A$3:$E$16,4,FALSE),0),"")</f>
        <v/>
      </c>
      <c r="AF122" t="str">
        <f>IFERROR(O122&amp;"*"&amp;ROUND(Q122*(P122/(N122+P122))/VLOOKUP(O122,职业!$A$3:$E$16,4,FALSE),0),"")</f>
        <v/>
      </c>
      <c r="AG122" t="str">
        <f>IFERROR(R122&amp;"*"&amp;ROUND(V122*(S122/(S122+U122))/VLOOKUP(R122,商品!$A$4:$D$67,4,FALSE),0),"")</f>
        <v/>
      </c>
      <c r="AH122" t="str">
        <f>IFERROR(T122&amp;"*"&amp;ROUND(V122*(U122/(S122+U122))/VLOOKUP(T122,商品!$A$4:$D$67,4,FALSE),0),"")</f>
        <v/>
      </c>
    </row>
    <row r="123" customHeight="1" spans="1:34">
      <c r="A123" s="15" t="s">
        <v>309</v>
      </c>
      <c r="C123" s="2">
        <v>1</v>
      </c>
      <c r="D123" s="2" t="s">
        <v>220</v>
      </c>
      <c r="E123" s="2" t="s">
        <v>224</v>
      </c>
      <c r="L123" s="2">
        <f>IFERROR(VLOOKUP($D123&amp;$C123,生产方式定位!$A$2:$E$39,2,FALSE)+VLOOKUP($E123&amp;$C123,生产方式定位!$F$3:$J$39,2,FALSE),0)</f>
        <v>2000</v>
      </c>
      <c r="Q123" s="2">
        <f>IFERROR(VLOOKUP($D123&amp;$C123,生产方式定位!$A$2:$E$39,3,FALSE)+VLOOKUP($E123&amp;$C123,生产方式定位!$F$3:$J$39,3,FALSE),0)</f>
        <v>2000</v>
      </c>
      <c r="V123" s="2">
        <f>IFERROR(VLOOKUP($D123&amp;$C123,生产方式定位!$A$2:$E$39,5,FALSE)+VLOOKUP($E123&amp;$C123,生产方式定位!$F$3:$J$39,5,FALSE),"错误")</f>
        <v>2000</v>
      </c>
      <c r="W123" s="3" t="str">
        <f t="shared" si="5"/>
        <v/>
      </c>
      <c r="X123" s="4" t="str">
        <f t="shared" si="6"/>
        <v/>
      </c>
      <c r="Y123" s="4" t="str">
        <f t="shared" si="7"/>
        <v/>
      </c>
      <c r="Z123" s="5">
        <f t="shared" si="8"/>
        <v>1</v>
      </c>
      <c r="AA123" s="6">
        <f t="shared" si="9"/>
        <v>1</v>
      </c>
      <c r="AB123" t="str">
        <f>IFERROR(F123&amp;"*"&amp;ROUND(L123*(G123/(G123+I123+K123))/VLOOKUP(F123,商品!$A$4:$D$67,4,FALSE),0),"")</f>
        <v/>
      </c>
      <c r="AC123" t="str">
        <f>IFERROR(H123&amp;"*"&amp;ROUND(L123*(I123/(G123+I123+K123))/VLOOKUP(H123,商品!$A$4:$D$67,4,FALSE),0),"")</f>
        <v/>
      </c>
      <c r="AD123" t="str">
        <f>IFERROR(J123&amp;"*"&amp;ROUND(L123*(K123/(G123+I123+K123))/VLOOKUP(J123,商品!$A$4:$D$67,4,FALSE),0),"")</f>
        <v/>
      </c>
      <c r="AE123" t="str">
        <f>IFERROR(M123&amp;"*"&amp;ROUND(Q123*(N123/(N123+P123))/VLOOKUP(M123,职业!$A$3:$E$16,4,FALSE),0),"")</f>
        <v/>
      </c>
      <c r="AF123" t="str">
        <f>IFERROR(O123&amp;"*"&amp;ROUND(Q123*(P123/(N123+P123))/VLOOKUP(O123,职业!$A$3:$E$16,4,FALSE),0),"")</f>
        <v/>
      </c>
      <c r="AG123" t="str">
        <f>IFERROR(R123&amp;"*"&amp;ROUND(V123*(S123/(S123+U123))/VLOOKUP(R123,商品!$A$4:$D$67,4,FALSE),0),"")</f>
        <v/>
      </c>
      <c r="AH123" t="str">
        <f>IFERROR(T123&amp;"*"&amp;ROUND(V123*(U123/(S123+U123))/VLOOKUP(T123,商品!$A$4:$D$67,4,FALSE),0),"")</f>
        <v/>
      </c>
    </row>
    <row r="124" customHeight="1" spans="1:34">
      <c r="A124" s="15" t="s">
        <v>309</v>
      </c>
      <c r="C124" s="2">
        <v>2</v>
      </c>
      <c r="D124" s="2" t="s">
        <v>220</v>
      </c>
      <c r="E124" s="2" t="s">
        <v>224</v>
      </c>
      <c r="L124" s="2">
        <f>IFERROR(VLOOKUP($D124&amp;$C124,生产方式定位!$A$2:$E$39,2,FALSE)+VLOOKUP($E124&amp;$C124,生产方式定位!$F$3:$J$39,2,FALSE),0)</f>
        <v>4500</v>
      </c>
      <c r="Q124" s="2">
        <f>IFERROR(VLOOKUP($D124&amp;$C124,生产方式定位!$A$2:$E$39,3,FALSE)+VLOOKUP($E124&amp;$C124,生产方式定位!$F$3:$J$39,3,FALSE),0)</f>
        <v>2000</v>
      </c>
      <c r="V124" s="2">
        <f>IFERROR(VLOOKUP($D124&amp;$C124,生产方式定位!$A$2:$E$39,5,FALSE)+VLOOKUP($E124&amp;$C124,生产方式定位!$F$3:$J$39,5,FALSE),"错误")</f>
        <v>3340</v>
      </c>
      <c r="W124" s="3" t="str">
        <f t="shared" si="5"/>
        <v/>
      </c>
      <c r="X124" s="4" t="str">
        <f t="shared" si="6"/>
        <v/>
      </c>
      <c r="Y124" s="4" t="str">
        <f t="shared" si="7"/>
        <v/>
      </c>
      <c r="Z124" s="5">
        <f t="shared" si="8"/>
        <v>1.35</v>
      </c>
      <c r="AA124" s="6">
        <f t="shared" si="9"/>
        <v>2</v>
      </c>
      <c r="AB124" t="str">
        <f>IFERROR(F124&amp;"*"&amp;ROUND(L124*(G124/(G124+I124+K124))/VLOOKUP(F124,商品!$A$4:$D$67,4,FALSE),0),"")</f>
        <v/>
      </c>
      <c r="AC124" t="str">
        <f>IFERROR(H124&amp;"*"&amp;ROUND(L124*(I124/(G124+I124+K124))/VLOOKUP(H124,商品!$A$4:$D$67,4,FALSE),0),"")</f>
        <v/>
      </c>
      <c r="AD124" t="str">
        <f>IFERROR(J124&amp;"*"&amp;ROUND(L124*(K124/(G124+I124+K124))/VLOOKUP(J124,商品!$A$4:$D$67,4,FALSE),0),"")</f>
        <v/>
      </c>
      <c r="AE124" t="str">
        <f>IFERROR(M124&amp;"*"&amp;ROUND(Q124*(N124/(N124+P124))/VLOOKUP(M124,职业!$A$3:$E$16,4,FALSE),0),"")</f>
        <v/>
      </c>
      <c r="AF124" t="str">
        <f>IFERROR(O124&amp;"*"&amp;ROUND(Q124*(P124/(N124+P124))/VLOOKUP(O124,职业!$A$3:$E$16,4,FALSE),0),"")</f>
        <v/>
      </c>
      <c r="AG124" t="str">
        <f>IFERROR(R124&amp;"*"&amp;ROUND(V124*(S124/(S124+U124))/VLOOKUP(R124,商品!$A$4:$D$67,4,FALSE),0),"")</f>
        <v/>
      </c>
      <c r="AH124" t="str">
        <f>IFERROR(T124&amp;"*"&amp;ROUND(V124*(U124/(S124+U124))/VLOOKUP(T124,商品!$A$4:$D$67,4,FALSE),0),"")</f>
        <v/>
      </c>
    </row>
    <row r="125" customHeight="1" spans="1:34">
      <c r="A125" s="15" t="s">
        <v>309</v>
      </c>
      <c r="C125" s="2">
        <v>3</v>
      </c>
      <c r="D125" s="2" t="s">
        <v>220</v>
      </c>
      <c r="E125" s="2" t="s">
        <v>224</v>
      </c>
      <c r="L125" s="2">
        <f>IFERROR(VLOOKUP($D125&amp;$C125,生产方式定位!$A$2:$E$39,2,FALSE)+VLOOKUP($E125&amp;$C125,生产方式定位!$F$3:$J$39,2,FALSE),0)</f>
        <v>6000</v>
      </c>
      <c r="Q125" s="2">
        <f>IFERROR(VLOOKUP($D125&amp;$C125,生产方式定位!$A$2:$E$39,3,FALSE)+VLOOKUP($E125&amp;$C125,生产方式定位!$F$3:$J$39,3,FALSE),0)</f>
        <v>2000</v>
      </c>
      <c r="V125" s="2">
        <f>IFERROR(VLOOKUP($D125&amp;$C125,生产方式定位!$A$2:$E$39,5,FALSE)+VLOOKUP($E125&amp;$C125,生产方式定位!$F$3:$J$39,5,FALSE),"错误")</f>
        <v>4260</v>
      </c>
      <c r="W125" s="3" t="str">
        <f t="shared" si="5"/>
        <v/>
      </c>
      <c r="X125" s="4" t="str">
        <f t="shared" si="6"/>
        <v/>
      </c>
      <c r="Y125" s="4" t="str">
        <f t="shared" si="7"/>
        <v/>
      </c>
      <c r="Z125" s="5">
        <f t="shared" si="8"/>
        <v>1.41</v>
      </c>
      <c r="AA125" s="6">
        <f t="shared" si="9"/>
        <v>3</v>
      </c>
      <c r="AB125" t="str">
        <f>IFERROR(F125&amp;"*"&amp;ROUND(L125*(G125/(G125+I125+K125))/VLOOKUP(F125,商品!$A$4:$D$67,4,FALSE),0),"")</f>
        <v/>
      </c>
      <c r="AC125" t="str">
        <f>IFERROR(H125&amp;"*"&amp;ROUND(L125*(I125/(G125+I125+K125))/VLOOKUP(H125,商品!$A$4:$D$67,4,FALSE),0),"")</f>
        <v/>
      </c>
      <c r="AD125" t="str">
        <f>IFERROR(J125&amp;"*"&amp;ROUND(L125*(K125/(G125+I125+K125))/VLOOKUP(J125,商品!$A$4:$D$67,4,FALSE),0),"")</f>
        <v/>
      </c>
      <c r="AE125" t="str">
        <f>IFERROR(M125&amp;"*"&amp;ROUND(Q125*(N125/(N125+P125))/VLOOKUP(M125,职业!$A$3:$E$16,4,FALSE),0),"")</f>
        <v/>
      </c>
      <c r="AF125" t="str">
        <f>IFERROR(O125&amp;"*"&amp;ROUND(Q125*(P125/(N125+P125))/VLOOKUP(O125,职业!$A$3:$E$16,4,FALSE),0),"")</f>
        <v/>
      </c>
      <c r="AG125" t="str">
        <f>IFERROR(R125&amp;"*"&amp;ROUND(V125*(S125/(S125+U125))/VLOOKUP(R125,商品!$A$4:$D$67,4,FALSE),0),"")</f>
        <v/>
      </c>
      <c r="AH125" t="str">
        <f>IFERROR(T125&amp;"*"&amp;ROUND(V125*(U125/(S125+U125))/VLOOKUP(T125,商品!$A$4:$D$67,4,FALSE),0),"")</f>
        <v/>
      </c>
    </row>
    <row r="126" customHeight="1" spans="1:34">
      <c r="A126" s="15" t="s">
        <v>309</v>
      </c>
      <c r="C126" s="2">
        <v>4</v>
      </c>
      <c r="D126" s="2" t="s">
        <v>220</v>
      </c>
      <c r="E126" s="2" t="s">
        <v>224</v>
      </c>
      <c r="L126" s="2">
        <f>IFERROR(VLOOKUP($D126&amp;$C126,生产方式定位!$A$2:$E$39,2,FALSE)+VLOOKUP($E126&amp;$C126,生产方式定位!$F$3:$J$39,2,FALSE),0)</f>
        <v>7500</v>
      </c>
      <c r="Q126" s="2">
        <f>IFERROR(VLOOKUP($D126&amp;$C126,生产方式定位!$A$2:$E$39,3,FALSE)+VLOOKUP($E126&amp;$C126,生产方式定位!$F$3:$J$39,3,FALSE),0)</f>
        <v>2000</v>
      </c>
      <c r="V126" s="2">
        <f>IFERROR(VLOOKUP($D126&amp;$C126,生产方式定位!$A$2:$E$39,5,FALSE)+VLOOKUP($E126&amp;$C126,生产方式定位!$F$3:$J$39,5,FALSE),"错误")</f>
        <v>5260</v>
      </c>
      <c r="W126" s="3" t="str">
        <f t="shared" si="5"/>
        <v/>
      </c>
      <c r="X126" s="4" t="str">
        <f t="shared" si="6"/>
        <v/>
      </c>
      <c r="Y126" s="4" t="str">
        <f t="shared" si="7"/>
        <v/>
      </c>
      <c r="Z126" s="5">
        <f t="shared" si="8"/>
        <v>1.43</v>
      </c>
      <c r="AA126" s="6">
        <f t="shared" si="9"/>
        <v>4</v>
      </c>
      <c r="AB126" t="str">
        <f>IFERROR(F126&amp;"*"&amp;ROUND(L126*(G126/(G126+I126+K126))/VLOOKUP(F126,商品!$A$4:$D$67,4,FALSE),0),"")</f>
        <v/>
      </c>
      <c r="AC126" t="str">
        <f>IFERROR(H126&amp;"*"&amp;ROUND(L126*(I126/(G126+I126+K126))/VLOOKUP(H126,商品!$A$4:$D$67,4,FALSE),0),"")</f>
        <v/>
      </c>
      <c r="AD126" t="str">
        <f>IFERROR(J126&amp;"*"&amp;ROUND(L126*(K126/(G126+I126+K126))/VLOOKUP(J126,商品!$A$4:$D$67,4,FALSE),0),"")</f>
        <v/>
      </c>
      <c r="AE126" t="str">
        <f>IFERROR(M126&amp;"*"&amp;ROUND(Q126*(N126/(N126+P126))/VLOOKUP(M126,职业!$A$3:$E$16,4,FALSE),0),"")</f>
        <v/>
      </c>
      <c r="AF126" t="str">
        <f>IFERROR(O126&amp;"*"&amp;ROUND(Q126*(P126/(N126+P126))/VLOOKUP(O126,职业!$A$3:$E$16,4,FALSE),0),"")</f>
        <v/>
      </c>
      <c r="AG126" t="str">
        <f>IFERROR(R126&amp;"*"&amp;ROUND(V126*(S126/(S126+U126))/VLOOKUP(R126,商品!$A$4:$D$67,4,FALSE),0),"")</f>
        <v/>
      </c>
      <c r="AH126" t="str">
        <f>IFERROR(T126&amp;"*"&amp;ROUND(V126*(U126/(S126+U126))/VLOOKUP(T126,商品!$A$4:$D$67,4,FALSE),0),"")</f>
        <v/>
      </c>
    </row>
    <row r="127" customHeight="1" spans="1:34">
      <c r="A127" s="14" t="s">
        <v>309</v>
      </c>
      <c r="C127" s="2">
        <v>5</v>
      </c>
      <c r="D127" s="2" t="s">
        <v>220</v>
      </c>
      <c r="E127" s="2" t="s">
        <v>224</v>
      </c>
      <c r="L127" s="2">
        <f>IFERROR(VLOOKUP($D127&amp;$C127,生产方式定位!$A$2:$E$39,2,FALSE)+VLOOKUP($E127&amp;$C127,生产方式定位!$F$3:$J$39,2,FALSE),0)</f>
        <v>9000</v>
      </c>
      <c r="Q127" s="2">
        <f>IFERROR(VLOOKUP($D127&amp;$C127,生产方式定位!$A$2:$E$39,3,FALSE)+VLOOKUP($E127&amp;$C127,生产方式定位!$F$3:$J$39,3,FALSE),0)</f>
        <v>2000</v>
      </c>
      <c r="V127" s="2">
        <f>IFERROR(VLOOKUP($D127&amp;$C127,生产方式定位!$A$2:$E$39,5,FALSE)+VLOOKUP($E127&amp;$C127,生产方式定位!$F$3:$J$39,5,FALSE),"错误")</f>
        <v>6340</v>
      </c>
      <c r="W127" s="3" t="str">
        <f t="shared" si="5"/>
        <v/>
      </c>
      <c r="X127" s="4" t="str">
        <f t="shared" si="6"/>
        <v/>
      </c>
      <c r="Y127" s="4" t="str">
        <f t="shared" si="7"/>
        <v/>
      </c>
      <c r="Z127" s="5">
        <f t="shared" si="8"/>
        <v>1.42</v>
      </c>
      <c r="AA127" s="6">
        <f t="shared" si="9"/>
        <v>5</v>
      </c>
      <c r="AB127" t="str">
        <f>IFERROR(F127&amp;"*"&amp;ROUND(L127*(G127/(G127+I127+K127))/VLOOKUP(F127,商品!$A$4:$D$67,4,FALSE),0),"")</f>
        <v/>
      </c>
      <c r="AC127" t="str">
        <f>IFERROR(H127&amp;"*"&amp;ROUND(L127*(I127/(G127+I127+K127))/VLOOKUP(H127,商品!$A$4:$D$67,4,FALSE),0),"")</f>
        <v/>
      </c>
      <c r="AD127" t="str">
        <f>IFERROR(J127&amp;"*"&amp;ROUND(L127*(K127/(G127+I127+K127))/VLOOKUP(J127,商品!$A$4:$D$67,4,FALSE),0),"")</f>
        <v/>
      </c>
      <c r="AE127" t="str">
        <f>IFERROR(M127&amp;"*"&amp;ROUND(Q127*(N127/(N127+P127))/VLOOKUP(M127,职业!$A$3:$E$16,4,FALSE),0),"")</f>
        <v/>
      </c>
      <c r="AF127" t="str">
        <f>IFERROR(O127&amp;"*"&amp;ROUND(Q127*(P127/(N127+P127))/VLOOKUP(O127,职业!$A$3:$E$16,4,FALSE),0),"")</f>
        <v/>
      </c>
      <c r="AG127" t="str">
        <f>IFERROR(R127&amp;"*"&amp;ROUND(V127*(S127/(S127+U127))/VLOOKUP(R127,商品!$A$4:$D$67,4,FALSE),0),"")</f>
        <v/>
      </c>
      <c r="AH127" t="str">
        <f>IFERROR(T127&amp;"*"&amp;ROUND(V127*(U127/(S127+U127))/VLOOKUP(T127,商品!$A$4:$D$67,4,FALSE),0),"")</f>
        <v/>
      </c>
    </row>
    <row r="128" customHeight="1" spans="1:34">
      <c r="A128" s="14" t="s">
        <v>309</v>
      </c>
      <c r="C128" s="2">
        <v>1</v>
      </c>
      <c r="D128" s="2" t="s">
        <v>220</v>
      </c>
      <c r="E128" s="2" t="s">
        <v>224</v>
      </c>
      <c r="L128" s="2">
        <f>IFERROR(VLOOKUP($D128&amp;$C128,生产方式定位!$A$2:$E$39,2,FALSE)+VLOOKUP($E128&amp;$C128,生产方式定位!$F$3:$J$39,2,FALSE),0)</f>
        <v>2000</v>
      </c>
      <c r="Q128" s="2">
        <f>IFERROR(VLOOKUP($D128&amp;$C128,生产方式定位!$A$2:$E$39,3,FALSE)+VLOOKUP($E128&amp;$C128,生产方式定位!$F$3:$J$39,3,FALSE),0)</f>
        <v>2000</v>
      </c>
      <c r="V128" s="2">
        <f>IFERROR(VLOOKUP($D128&amp;$C128,生产方式定位!$A$2:$E$39,5,FALSE)+VLOOKUP($E128&amp;$C128,生产方式定位!$F$3:$J$39,5,FALSE),"错误")</f>
        <v>2000</v>
      </c>
      <c r="W128" s="3" t="str">
        <f t="shared" si="5"/>
        <v/>
      </c>
      <c r="X128" s="4" t="str">
        <f t="shared" si="6"/>
        <v/>
      </c>
      <c r="Y128" s="4" t="str">
        <f t="shared" si="7"/>
        <v/>
      </c>
      <c r="Z128" s="5">
        <f t="shared" si="8"/>
        <v>1</v>
      </c>
      <c r="AA128" s="6">
        <f t="shared" si="9"/>
        <v>1</v>
      </c>
      <c r="AB128" t="str">
        <f>IFERROR(F128&amp;"*"&amp;ROUND(L128*(G128/(G128+I128+K128))/VLOOKUP(F128,商品!$A$4:$D$67,4,FALSE),0),"")</f>
        <v/>
      </c>
      <c r="AC128" t="str">
        <f>IFERROR(H128&amp;"*"&amp;ROUND(L128*(I128/(G128+I128+K128))/VLOOKUP(H128,商品!$A$4:$D$67,4,FALSE),0),"")</f>
        <v/>
      </c>
      <c r="AD128" t="str">
        <f>IFERROR(J128&amp;"*"&amp;ROUND(L128*(K128/(G128+I128+K128))/VLOOKUP(J128,商品!$A$4:$D$67,4,FALSE),0),"")</f>
        <v/>
      </c>
      <c r="AE128" t="str">
        <f>IFERROR(M128&amp;"*"&amp;ROUND(Q128*(N128/(N128+P128))/VLOOKUP(M128,职业!$A$3:$E$16,4,FALSE),0),"")</f>
        <v/>
      </c>
      <c r="AF128" t="str">
        <f>IFERROR(O128&amp;"*"&amp;ROUND(Q128*(P128/(N128+P128))/VLOOKUP(O128,职业!$A$3:$E$16,4,FALSE),0),"")</f>
        <v/>
      </c>
      <c r="AG128" t="str">
        <f>IFERROR(R128&amp;"*"&amp;ROUND(V128*(S128/(S128+U128))/VLOOKUP(R128,商品!$A$4:$D$67,4,FALSE),0),"")</f>
        <v/>
      </c>
      <c r="AH128" t="str">
        <f>IFERROR(T128&amp;"*"&amp;ROUND(V128*(U128/(S128+U128))/VLOOKUP(T128,商品!$A$4:$D$67,4,FALSE),0),"")</f>
        <v/>
      </c>
    </row>
    <row r="129" customHeight="1" spans="1:34">
      <c r="A129" s="14" t="s">
        <v>309</v>
      </c>
      <c r="C129" s="2">
        <v>2</v>
      </c>
      <c r="D129" s="2" t="s">
        <v>220</v>
      </c>
      <c r="E129" s="2" t="s">
        <v>224</v>
      </c>
      <c r="L129" s="2">
        <f>IFERROR(VLOOKUP($D129&amp;$C129,生产方式定位!$A$2:$E$39,2,FALSE)+VLOOKUP($E129&amp;$C129,生产方式定位!$F$3:$J$39,2,FALSE),0)</f>
        <v>4500</v>
      </c>
      <c r="Q129" s="2">
        <f>IFERROR(VLOOKUP($D129&amp;$C129,生产方式定位!$A$2:$E$39,3,FALSE)+VLOOKUP($E129&amp;$C129,生产方式定位!$F$3:$J$39,3,FALSE),0)</f>
        <v>2000</v>
      </c>
      <c r="V129" s="2">
        <f>IFERROR(VLOOKUP($D129&amp;$C129,生产方式定位!$A$2:$E$39,5,FALSE)+VLOOKUP($E129&amp;$C129,生产方式定位!$F$3:$J$39,5,FALSE),"错误")</f>
        <v>3340</v>
      </c>
      <c r="W129" s="3" t="str">
        <f t="shared" si="5"/>
        <v/>
      </c>
      <c r="X129" s="4" t="str">
        <f t="shared" si="6"/>
        <v/>
      </c>
      <c r="Y129" s="4" t="str">
        <f t="shared" si="7"/>
        <v/>
      </c>
      <c r="Z129" s="5">
        <f t="shared" si="8"/>
        <v>1.35</v>
      </c>
      <c r="AA129" s="6">
        <f t="shared" si="9"/>
        <v>2</v>
      </c>
      <c r="AB129" t="str">
        <f>IFERROR(F129&amp;"*"&amp;ROUND(L129*(G129/(G129+I129+K129))/VLOOKUP(F129,商品!$A$4:$D$67,4,FALSE),0),"")</f>
        <v/>
      </c>
      <c r="AC129" t="str">
        <f>IFERROR(H129&amp;"*"&amp;ROUND(L129*(I129/(G129+I129+K129))/VLOOKUP(H129,商品!$A$4:$D$67,4,FALSE),0),"")</f>
        <v/>
      </c>
      <c r="AD129" t="str">
        <f>IFERROR(J129&amp;"*"&amp;ROUND(L129*(K129/(G129+I129+K129))/VLOOKUP(J129,商品!$A$4:$D$67,4,FALSE),0),"")</f>
        <v/>
      </c>
      <c r="AE129" t="str">
        <f>IFERROR(M129&amp;"*"&amp;ROUND(Q129*(N129/(N129+P129))/VLOOKUP(M129,职业!$A$3:$E$16,4,FALSE),0),"")</f>
        <v/>
      </c>
      <c r="AF129" t="str">
        <f>IFERROR(O129&amp;"*"&amp;ROUND(Q129*(P129/(N129+P129))/VLOOKUP(O129,职业!$A$3:$E$16,4,FALSE),0),"")</f>
        <v/>
      </c>
      <c r="AG129" t="str">
        <f>IFERROR(R129&amp;"*"&amp;ROUND(V129*(S129/(S129+U129))/VLOOKUP(R129,商品!$A$4:$D$67,4,FALSE),0),"")</f>
        <v/>
      </c>
      <c r="AH129" t="str">
        <f>IFERROR(T129&amp;"*"&amp;ROUND(V129*(U129/(S129+U129))/VLOOKUP(T129,商品!$A$4:$D$67,4,FALSE),0),"")</f>
        <v/>
      </c>
    </row>
    <row r="130" customHeight="1" spans="1:34">
      <c r="A130" s="14" t="s">
        <v>309</v>
      </c>
      <c r="C130" s="2">
        <v>3</v>
      </c>
      <c r="D130" s="2" t="s">
        <v>220</v>
      </c>
      <c r="E130" s="2" t="s">
        <v>224</v>
      </c>
      <c r="L130" s="2">
        <f>IFERROR(VLOOKUP($D130&amp;$C130,生产方式定位!$A$2:$E$39,2,FALSE)+VLOOKUP($E130&amp;$C130,生产方式定位!$F$3:$J$39,2,FALSE),0)</f>
        <v>6000</v>
      </c>
      <c r="Q130" s="2">
        <f>IFERROR(VLOOKUP($D130&amp;$C130,生产方式定位!$A$2:$E$39,3,FALSE)+VLOOKUP($E130&amp;$C130,生产方式定位!$F$3:$J$39,3,FALSE),0)</f>
        <v>2000</v>
      </c>
      <c r="V130" s="2">
        <f>IFERROR(VLOOKUP($D130&amp;$C130,生产方式定位!$A$2:$E$39,5,FALSE)+VLOOKUP($E130&amp;$C130,生产方式定位!$F$3:$J$39,5,FALSE),"错误")</f>
        <v>4260</v>
      </c>
      <c r="W130" s="3" t="str">
        <f t="shared" si="5"/>
        <v/>
      </c>
      <c r="X130" s="4" t="str">
        <f t="shared" si="6"/>
        <v/>
      </c>
      <c r="Y130" s="4" t="str">
        <f t="shared" si="7"/>
        <v/>
      </c>
      <c r="Z130" s="5">
        <f t="shared" si="8"/>
        <v>1.41</v>
      </c>
      <c r="AA130" s="6">
        <f t="shared" si="9"/>
        <v>3</v>
      </c>
      <c r="AB130" t="str">
        <f>IFERROR(F130&amp;"*"&amp;ROUND(L130*(G130/(G130+I130+K130))/VLOOKUP(F130,商品!$A$4:$D$67,4,FALSE),0),"")</f>
        <v/>
      </c>
      <c r="AC130" t="str">
        <f>IFERROR(H130&amp;"*"&amp;ROUND(L130*(I130/(G130+I130+K130))/VLOOKUP(H130,商品!$A$4:$D$67,4,FALSE),0),"")</f>
        <v/>
      </c>
      <c r="AD130" t="str">
        <f>IFERROR(J130&amp;"*"&amp;ROUND(L130*(K130/(G130+I130+K130))/VLOOKUP(J130,商品!$A$4:$D$67,4,FALSE),0),"")</f>
        <v/>
      </c>
      <c r="AE130" t="str">
        <f>IFERROR(M130&amp;"*"&amp;ROUND(Q130*(N130/(N130+P130))/VLOOKUP(M130,职业!$A$3:$E$16,4,FALSE),0),"")</f>
        <v/>
      </c>
      <c r="AF130" t="str">
        <f>IFERROR(O130&amp;"*"&amp;ROUND(Q130*(P130/(N130+P130))/VLOOKUP(O130,职业!$A$3:$E$16,4,FALSE),0),"")</f>
        <v/>
      </c>
      <c r="AG130" t="str">
        <f>IFERROR(R130&amp;"*"&amp;ROUND(V130*(S130/(S130+U130))/VLOOKUP(R130,商品!$A$4:$D$67,4,FALSE),0),"")</f>
        <v/>
      </c>
      <c r="AH130" t="str">
        <f>IFERROR(T130&amp;"*"&amp;ROUND(V130*(U130/(S130+U130))/VLOOKUP(T130,商品!$A$4:$D$67,4,FALSE),0),"")</f>
        <v/>
      </c>
    </row>
    <row r="131" customHeight="1" spans="1:34">
      <c r="A131" s="14" t="s">
        <v>309</v>
      </c>
      <c r="C131" s="2">
        <v>4</v>
      </c>
      <c r="D131" s="2" t="s">
        <v>220</v>
      </c>
      <c r="E131" s="2" t="s">
        <v>224</v>
      </c>
      <c r="L131" s="2">
        <f>IFERROR(VLOOKUP($D131&amp;$C131,生产方式定位!$A$2:$E$39,2,FALSE)+VLOOKUP($E131&amp;$C131,生产方式定位!$F$3:$J$39,2,FALSE),0)</f>
        <v>7500</v>
      </c>
      <c r="Q131" s="2">
        <f>IFERROR(VLOOKUP($D131&amp;$C131,生产方式定位!$A$2:$E$39,3,FALSE)+VLOOKUP($E131&amp;$C131,生产方式定位!$F$3:$J$39,3,FALSE),0)</f>
        <v>2000</v>
      </c>
      <c r="V131" s="2">
        <f>IFERROR(VLOOKUP($D131&amp;$C131,生产方式定位!$A$2:$E$39,5,FALSE)+VLOOKUP($E131&amp;$C131,生产方式定位!$F$3:$J$39,5,FALSE),"错误")</f>
        <v>5260</v>
      </c>
      <c r="W131" s="3" t="str">
        <f t="shared" si="5"/>
        <v/>
      </c>
      <c r="X131" s="4" t="str">
        <f t="shared" si="6"/>
        <v/>
      </c>
      <c r="Y131" s="4" t="str">
        <f t="shared" si="7"/>
        <v/>
      </c>
      <c r="Z131" s="5">
        <f t="shared" si="8"/>
        <v>1.43</v>
      </c>
      <c r="AA131" s="6">
        <f t="shared" si="9"/>
        <v>4</v>
      </c>
      <c r="AB131" t="str">
        <f>IFERROR(F131&amp;"*"&amp;ROUND(L131*(G131/(G131+I131+K131))/VLOOKUP(F131,商品!$A$4:$D$67,4,FALSE),0),"")</f>
        <v/>
      </c>
      <c r="AC131" t="str">
        <f>IFERROR(H131&amp;"*"&amp;ROUND(L131*(I131/(G131+I131+K131))/VLOOKUP(H131,商品!$A$4:$D$67,4,FALSE),0),"")</f>
        <v/>
      </c>
      <c r="AD131" t="str">
        <f>IFERROR(J131&amp;"*"&amp;ROUND(L131*(K131/(G131+I131+K131))/VLOOKUP(J131,商品!$A$4:$D$67,4,FALSE),0),"")</f>
        <v/>
      </c>
      <c r="AE131" t="str">
        <f>IFERROR(M131&amp;"*"&amp;ROUND(Q131*(N131/(N131+P131))/VLOOKUP(M131,职业!$A$3:$E$16,4,FALSE),0),"")</f>
        <v/>
      </c>
      <c r="AF131" t="str">
        <f>IFERROR(O131&amp;"*"&amp;ROUND(Q131*(P131/(N131+P131))/VLOOKUP(O131,职业!$A$3:$E$16,4,FALSE),0),"")</f>
        <v/>
      </c>
      <c r="AG131" t="str">
        <f>IFERROR(R131&amp;"*"&amp;ROUND(V131*(S131/(S131+U131))/VLOOKUP(R131,商品!$A$4:$D$67,4,FALSE),0),"")</f>
        <v/>
      </c>
      <c r="AH131" t="str">
        <f>IFERROR(T131&amp;"*"&amp;ROUND(V131*(U131/(S131+U131))/VLOOKUP(T131,商品!$A$4:$D$67,4,FALSE),0),"")</f>
        <v/>
      </c>
    </row>
    <row r="132" customHeight="1" spans="1:34">
      <c r="A132" s="15" t="s">
        <v>310</v>
      </c>
      <c r="C132" s="2">
        <v>5</v>
      </c>
      <c r="D132" s="2" t="s">
        <v>220</v>
      </c>
      <c r="E132" s="2" t="s">
        <v>225</v>
      </c>
      <c r="L132" s="2">
        <f>IFERROR(VLOOKUP($D132&amp;$C132,生产方式定位!$A$2:$E$39,2,FALSE)+VLOOKUP($E132&amp;$C132,生产方式定位!$F$3:$J$39,2,FALSE),0)</f>
        <v>4000</v>
      </c>
      <c r="Q132" s="2">
        <f>IFERROR(VLOOKUP($D132&amp;$C132,生产方式定位!$A$2:$E$39,3,FALSE)+VLOOKUP($E132&amp;$C132,生产方式定位!$F$3:$J$39,3,FALSE),0)</f>
        <v>2800</v>
      </c>
      <c r="V132" s="2">
        <f>IFERROR(VLOOKUP($D132&amp;$C132,生产方式定位!$A$2:$E$39,5,FALSE)+VLOOKUP($E132&amp;$C132,生产方式定位!$F$3:$J$39,5,FALSE),"错误")</f>
        <v>3400</v>
      </c>
      <c r="W132" s="3" t="str">
        <f t="shared" si="5"/>
        <v/>
      </c>
      <c r="X132" s="4" t="str">
        <f t="shared" si="6"/>
        <v/>
      </c>
      <c r="Y132" s="4" t="str">
        <f t="shared" si="7"/>
        <v/>
      </c>
      <c r="Z132" s="5">
        <f t="shared" si="8"/>
        <v>1.18</v>
      </c>
      <c r="AA132" s="6">
        <f t="shared" si="9"/>
        <v>5</v>
      </c>
      <c r="AB132" t="str">
        <f>IFERROR(F132&amp;"*"&amp;ROUND(L132*(G132/(G132+I132+K132))/VLOOKUP(F132,商品!$A$4:$D$67,4,FALSE),0),"")</f>
        <v/>
      </c>
      <c r="AC132" t="str">
        <f>IFERROR(H132&amp;"*"&amp;ROUND(L132*(I132/(G132+I132+K132))/VLOOKUP(H132,商品!$A$4:$D$67,4,FALSE),0),"")</f>
        <v/>
      </c>
      <c r="AD132" t="str">
        <f>IFERROR(J132&amp;"*"&amp;ROUND(L132*(K132/(G132+I132+K132))/VLOOKUP(J132,商品!$A$4:$D$67,4,FALSE),0),"")</f>
        <v/>
      </c>
      <c r="AE132" t="str">
        <f>IFERROR(M132&amp;"*"&amp;ROUND(Q132*(N132/(N132+P132))/VLOOKUP(M132,职业!$A$3:$E$16,4,FALSE),0),"")</f>
        <v/>
      </c>
      <c r="AF132" t="str">
        <f>IFERROR(O132&amp;"*"&amp;ROUND(Q132*(P132/(N132+P132))/VLOOKUP(O132,职业!$A$3:$E$16,4,FALSE),0),"")</f>
        <v/>
      </c>
      <c r="AG132" t="str">
        <f>IFERROR(R132&amp;"*"&amp;ROUND(V132*(S132/(S132+U132))/VLOOKUP(R132,商品!$A$4:$D$67,4,FALSE),0),"")</f>
        <v/>
      </c>
      <c r="AH132" t="str">
        <f>IFERROR(T132&amp;"*"&amp;ROUND(V132*(U132/(S132+U132))/VLOOKUP(T132,商品!$A$4:$D$67,4,FALSE),0),"")</f>
        <v/>
      </c>
    </row>
    <row r="133" customHeight="1" spans="1:34">
      <c r="A133" s="15" t="s">
        <v>310</v>
      </c>
      <c r="C133" s="2">
        <v>1</v>
      </c>
      <c r="D133" s="2" t="s">
        <v>220</v>
      </c>
      <c r="E133" s="2" t="s">
        <v>225</v>
      </c>
      <c r="L133" s="2">
        <f>IFERROR(VLOOKUP($D133&amp;$C133,生产方式定位!$A$2:$E$39,2,FALSE)+VLOOKUP($E133&amp;$C133,生产方式定位!$F$3:$J$39,2,FALSE),0)</f>
        <v>2000</v>
      </c>
      <c r="Q133" s="2">
        <f>IFERROR(VLOOKUP($D133&amp;$C133,生产方式定位!$A$2:$E$39,3,FALSE)+VLOOKUP($E133&amp;$C133,生产方式定位!$F$3:$J$39,3,FALSE),0)</f>
        <v>2000</v>
      </c>
      <c r="V133" s="2">
        <f>IFERROR(VLOOKUP($D133&amp;$C133,生产方式定位!$A$2:$E$39,5,FALSE)+VLOOKUP($E133&amp;$C133,生产方式定位!$F$3:$J$39,5,FALSE),"错误")</f>
        <v>2000</v>
      </c>
      <c r="W133" s="3" t="str">
        <f t="shared" ref="W133:W196" si="10">IF(AB133="","",AB133)&amp;IF(AC133="","",","&amp;AC133)&amp;IF(AD133="","",","&amp;AD133)</f>
        <v/>
      </c>
      <c r="X133" s="4" t="str">
        <f t="shared" ref="X133:X196" si="11">IF(AE133="","",AE133)&amp;IF(AF133="","",","&amp;AF133)</f>
        <v/>
      </c>
      <c r="Y133" s="4" t="str">
        <f t="shared" ref="Y133:Y196" si="12">IF(AG133="","",AG133)&amp;IF(AH133="","",","&amp;AH133)</f>
        <v/>
      </c>
      <c r="Z133" s="5">
        <f t="shared" ref="Z133:Z196" si="13">IFERROR(ROUND(L133/V133,2),"")</f>
        <v>1</v>
      </c>
      <c r="AA133" s="6">
        <f t="shared" ref="AA133:AA196" si="14">C133</f>
        <v>1</v>
      </c>
      <c r="AB133" t="str">
        <f>IFERROR(F133&amp;"*"&amp;ROUND(L133*(G133/(G133+I133+K133))/VLOOKUP(F133,商品!$A$4:$D$67,4,FALSE),0),"")</f>
        <v/>
      </c>
      <c r="AC133" t="str">
        <f>IFERROR(H133&amp;"*"&amp;ROUND(L133*(I133/(G133+I133+K133))/VLOOKUP(H133,商品!$A$4:$D$67,4,FALSE),0),"")</f>
        <v/>
      </c>
      <c r="AD133" t="str">
        <f>IFERROR(J133&amp;"*"&amp;ROUND(L133*(K133/(G133+I133+K133))/VLOOKUP(J133,商品!$A$4:$D$67,4,FALSE),0),"")</f>
        <v/>
      </c>
      <c r="AE133" t="str">
        <f>IFERROR(M133&amp;"*"&amp;ROUND(Q133*(N133/(N133+P133))/VLOOKUP(M133,职业!$A$3:$E$16,4,FALSE),0),"")</f>
        <v/>
      </c>
      <c r="AF133" t="str">
        <f>IFERROR(O133&amp;"*"&amp;ROUND(Q133*(P133/(N133+P133))/VLOOKUP(O133,职业!$A$3:$E$16,4,FALSE),0),"")</f>
        <v/>
      </c>
      <c r="AG133" t="str">
        <f>IFERROR(R133&amp;"*"&amp;ROUND(V133*(S133/(S133+U133))/VLOOKUP(R133,商品!$A$4:$D$67,4,FALSE),0),"")</f>
        <v/>
      </c>
      <c r="AH133" t="str">
        <f>IFERROR(T133&amp;"*"&amp;ROUND(V133*(U133/(S133+U133))/VLOOKUP(T133,商品!$A$4:$D$67,4,FALSE),0),"")</f>
        <v/>
      </c>
    </row>
    <row r="134" customHeight="1" spans="1:34">
      <c r="A134" s="15" t="s">
        <v>310</v>
      </c>
      <c r="C134" s="2">
        <v>2</v>
      </c>
      <c r="D134" s="2" t="s">
        <v>220</v>
      </c>
      <c r="E134" s="2" t="s">
        <v>225</v>
      </c>
      <c r="L134" s="2">
        <f>IFERROR(VLOOKUP($D134&amp;$C134,生产方式定位!$A$2:$E$39,2,FALSE)+VLOOKUP($E134&amp;$C134,生产方式定位!$F$3:$J$39,2,FALSE),0)</f>
        <v>2500</v>
      </c>
      <c r="Q134" s="2">
        <f>IFERROR(VLOOKUP($D134&amp;$C134,生产方式定位!$A$2:$E$39,3,FALSE)+VLOOKUP($E134&amp;$C134,生产方式定位!$F$3:$J$39,3,FALSE),0)</f>
        <v>2200</v>
      </c>
      <c r="V134" s="2">
        <f>IFERROR(VLOOKUP($D134&amp;$C134,生产方式定位!$A$2:$E$39,5,FALSE)+VLOOKUP($E134&amp;$C134,生产方式定位!$F$3:$J$39,5,FALSE),"错误")</f>
        <v>2350</v>
      </c>
      <c r="W134" s="3" t="str">
        <f t="shared" si="10"/>
        <v/>
      </c>
      <c r="X134" s="4" t="str">
        <f t="shared" si="11"/>
        <v/>
      </c>
      <c r="Y134" s="4" t="str">
        <f t="shared" si="12"/>
        <v/>
      </c>
      <c r="Z134" s="5">
        <f t="shared" si="13"/>
        <v>1.06</v>
      </c>
      <c r="AA134" s="6">
        <f t="shared" si="14"/>
        <v>2</v>
      </c>
      <c r="AB134" t="str">
        <f>IFERROR(F134&amp;"*"&amp;ROUND(L134*(G134/(G134+I134+K134))/VLOOKUP(F134,商品!$A$4:$D$67,4,FALSE),0),"")</f>
        <v/>
      </c>
      <c r="AC134" t="str">
        <f>IFERROR(H134&amp;"*"&amp;ROUND(L134*(I134/(G134+I134+K134))/VLOOKUP(H134,商品!$A$4:$D$67,4,FALSE),0),"")</f>
        <v/>
      </c>
      <c r="AD134" t="str">
        <f>IFERROR(J134&amp;"*"&amp;ROUND(L134*(K134/(G134+I134+K134))/VLOOKUP(J134,商品!$A$4:$D$67,4,FALSE),0),"")</f>
        <v/>
      </c>
      <c r="AE134" t="str">
        <f>IFERROR(M134&amp;"*"&amp;ROUND(Q134*(N134/(N134+P134))/VLOOKUP(M134,职业!$A$3:$E$16,4,FALSE),0),"")</f>
        <v/>
      </c>
      <c r="AF134" t="str">
        <f>IFERROR(O134&amp;"*"&amp;ROUND(Q134*(P134/(N134+P134))/VLOOKUP(O134,职业!$A$3:$E$16,4,FALSE),0),"")</f>
        <v/>
      </c>
      <c r="AG134" t="str">
        <f>IFERROR(R134&amp;"*"&amp;ROUND(V134*(S134/(S134+U134))/VLOOKUP(R134,商品!$A$4:$D$67,4,FALSE),0),"")</f>
        <v/>
      </c>
      <c r="AH134" t="str">
        <f>IFERROR(T134&amp;"*"&amp;ROUND(V134*(U134/(S134+U134))/VLOOKUP(T134,商品!$A$4:$D$67,4,FALSE),0),"")</f>
        <v/>
      </c>
    </row>
    <row r="135" customHeight="1" spans="1:34">
      <c r="A135" s="15" t="s">
        <v>310</v>
      </c>
      <c r="C135" s="2">
        <v>3</v>
      </c>
      <c r="D135" s="2" t="s">
        <v>220</v>
      </c>
      <c r="E135" s="2" t="s">
        <v>225</v>
      </c>
      <c r="L135" s="2">
        <f>IFERROR(VLOOKUP($D135&amp;$C135,生产方式定位!$A$2:$E$39,2,FALSE)+VLOOKUP($E135&amp;$C135,生产方式定位!$F$3:$J$39,2,FALSE),0)</f>
        <v>3000</v>
      </c>
      <c r="Q135" s="2">
        <f>IFERROR(VLOOKUP($D135&amp;$C135,生产方式定位!$A$2:$E$39,3,FALSE)+VLOOKUP($E135&amp;$C135,生产方式定位!$F$3:$J$39,3,FALSE),0)</f>
        <v>2400</v>
      </c>
      <c r="V135" s="2">
        <f>IFERROR(VLOOKUP($D135&amp;$C135,生产方式定位!$A$2:$E$39,5,FALSE)+VLOOKUP($E135&amp;$C135,生产方式定位!$F$3:$J$39,5,FALSE),"错误")</f>
        <v>2700</v>
      </c>
      <c r="W135" s="3" t="str">
        <f t="shared" si="10"/>
        <v/>
      </c>
      <c r="X135" s="4" t="str">
        <f t="shared" si="11"/>
        <v/>
      </c>
      <c r="Y135" s="4" t="str">
        <f t="shared" si="12"/>
        <v/>
      </c>
      <c r="Z135" s="5">
        <f t="shared" si="13"/>
        <v>1.11</v>
      </c>
      <c r="AA135" s="6">
        <f t="shared" si="14"/>
        <v>3</v>
      </c>
      <c r="AB135" t="str">
        <f>IFERROR(F135&amp;"*"&amp;ROUND(L135*(G135/(G135+I135+K135))/VLOOKUP(F135,商品!$A$4:$D$67,4,FALSE),0),"")</f>
        <v/>
      </c>
      <c r="AC135" t="str">
        <f>IFERROR(H135&amp;"*"&amp;ROUND(L135*(I135/(G135+I135+K135))/VLOOKUP(H135,商品!$A$4:$D$67,4,FALSE),0),"")</f>
        <v/>
      </c>
      <c r="AD135" t="str">
        <f>IFERROR(J135&amp;"*"&amp;ROUND(L135*(K135/(G135+I135+K135))/VLOOKUP(J135,商品!$A$4:$D$67,4,FALSE),0),"")</f>
        <v/>
      </c>
      <c r="AE135" t="str">
        <f>IFERROR(M135&amp;"*"&amp;ROUND(Q135*(N135/(N135+P135))/VLOOKUP(M135,职业!$A$3:$E$16,4,FALSE),0),"")</f>
        <v/>
      </c>
      <c r="AF135" t="str">
        <f>IFERROR(O135&amp;"*"&amp;ROUND(Q135*(P135/(N135+P135))/VLOOKUP(O135,职业!$A$3:$E$16,4,FALSE),0),"")</f>
        <v/>
      </c>
      <c r="AG135" t="str">
        <f>IFERROR(R135&amp;"*"&amp;ROUND(V135*(S135/(S135+U135))/VLOOKUP(R135,商品!$A$4:$D$67,4,FALSE),0),"")</f>
        <v/>
      </c>
      <c r="AH135" t="str">
        <f>IFERROR(T135&amp;"*"&amp;ROUND(V135*(U135/(S135+U135))/VLOOKUP(T135,商品!$A$4:$D$67,4,FALSE),0),"")</f>
        <v/>
      </c>
    </row>
    <row r="136" customHeight="1" spans="1:34">
      <c r="A136" s="15" t="s">
        <v>310</v>
      </c>
      <c r="C136" s="2">
        <v>4</v>
      </c>
      <c r="D136" s="2" t="s">
        <v>220</v>
      </c>
      <c r="E136" s="2" t="s">
        <v>225</v>
      </c>
      <c r="L136" s="2">
        <f>IFERROR(VLOOKUP($D136&amp;$C136,生产方式定位!$A$2:$E$39,2,FALSE)+VLOOKUP($E136&amp;$C136,生产方式定位!$F$3:$J$39,2,FALSE),0)</f>
        <v>3500</v>
      </c>
      <c r="Q136" s="2">
        <f>IFERROR(VLOOKUP($D136&amp;$C136,生产方式定位!$A$2:$E$39,3,FALSE)+VLOOKUP($E136&amp;$C136,生产方式定位!$F$3:$J$39,3,FALSE),0)</f>
        <v>2600</v>
      </c>
      <c r="V136" s="2">
        <f>IFERROR(VLOOKUP($D136&amp;$C136,生产方式定位!$A$2:$E$39,5,FALSE)+VLOOKUP($E136&amp;$C136,生产方式定位!$F$3:$J$39,5,FALSE),"错误")</f>
        <v>3050</v>
      </c>
      <c r="W136" s="3" t="str">
        <f t="shared" si="10"/>
        <v/>
      </c>
      <c r="X136" s="4" t="str">
        <f t="shared" si="11"/>
        <v/>
      </c>
      <c r="Y136" s="4" t="str">
        <f t="shared" si="12"/>
        <v/>
      </c>
      <c r="Z136" s="5">
        <f t="shared" si="13"/>
        <v>1.15</v>
      </c>
      <c r="AA136" s="6">
        <f t="shared" si="14"/>
        <v>4</v>
      </c>
      <c r="AB136" t="str">
        <f>IFERROR(F136&amp;"*"&amp;ROUND(L136*(G136/(G136+I136+K136))/VLOOKUP(F136,商品!$A$4:$D$67,4,FALSE),0),"")</f>
        <v/>
      </c>
      <c r="AC136" t="str">
        <f>IFERROR(H136&amp;"*"&amp;ROUND(L136*(I136/(G136+I136+K136))/VLOOKUP(H136,商品!$A$4:$D$67,4,FALSE),0),"")</f>
        <v/>
      </c>
      <c r="AD136" t="str">
        <f>IFERROR(J136&amp;"*"&amp;ROUND(L136*(K136/(G136+I136+K136))/VLOOKUP(J136,商品!$A$4:$D$67,4,FALSE),0),"")</f>
        <v/>
      </c>
      <c r="AE136" t="str">
        <f>IFERROR(M136&amp;"*"&amp;ROUND(Q136*(N136/(N136+P136))/VLOOKUP(M136,职业!$A$3:$E$16,4,FALSE),0),"")</f>
        <v/>
      </c>
      <c r="AF136" t="str">
        <f>IFERROR(O136&amp;"*"&amp;ROUND(Q136*(P136/(N136+P136))/VLOOKUP(O136,职业!$A$3:$E$16,4,FALSE),0),"")</f>
        <v/>
      </c>
      <c r="AG136" t="str">
        <f>IFERROR(R136&amp;"*"&amp;ROUND(V136*(S136/(S136+U136))/VLOOKUP(R136,商品!$A$4:$D$67,4,FALSE),0),"")</f>
        <v/>
      </c>
      <c r="AH136" t="str">
        <f>IFERROR(T136&amp;"*"&amp;ROUND(V136*(U136/(S136+U136))/VLOOKUP(T136,商品!$A$4:$D$67,4,FALSE),0),"")</f>
        <v/>
      </c>
    </row>
    <row r="137" customHeight="1" spans="1:34">
      <c r="A137" s="15" t="s">
        <v>310</v>
      </c>
      <c r="C137" s="2">
        <v>5</v>
      </c>
      <c r="D137" s="2" t="s">
        <v>220</v>
      </c>
      <c r="E137" s="2" t="s">
        <v>225</v>
      </c>
      <c r="L137" s="2">
        <f>IFERROR(VLOOKUP($D137&amp;$C137,生产方式定位!$A$2:$E$39,2,FALSE)+VLOOKUP($E137&amp;$C137,生产方式定位!$F$3:$J$39,2,FALSE),0)</f>
        <v>4000</v>
      </c>
      <c r="Q137" s="2">
        <f>IFERROR(VLOOKUP($D137&amp;$C137,生产方式定位!$A$2:$E$39,3,FALSE)+VLOOKUP($E137&amp;$C137,生产方式定位!$F$3:$J$39,3,FALSE),0)</f>
        <v>2800</v>
      </c>
      <c r="V137" s="2">
        <f>IFERROR(VLOOKUP($D137&amp;$C137,生产方式定位!$A$2:$E$39,5,FALSE)+VLOOKUP($E137&amp;$C137,生产方式定位!$F$3:$J$39,5,FALSE),"错误")</f>
        <v>3400</v>
      </c>
      <c r="W137" s="3" t="str">
        <f t="shared" si="10"/>
        <v/>
      </c>
      <c r="X137" s="4" t="str">
        <f t="shared" si="11"/>
        <v/>
      </c>
      <c r="Y137" s="4" t="str">
        <f t="shared" si="12"/>
        <v/>
      </c>
      <c r="Z137" s="5">
        <f t="shared" si="13"/>
        <v>1.18</v>
      </c>
      <c r="AA137" s="6">
        <f t="shared" si="14"/>
        <v>5</v>
      </c>
      <c r="AB137" t="str">
        <f>IFERROR(F137&amp;"*"&amp;ROUND(L137*(G137/(G137+I137+K137))/VLOOKUP(F137,商品!$A$4:$D$67,4,FALSE),0),"")</f>
        <v/>
      </c>
      <c r="AC137" t="str">
        <f>IFERROR(H137&amp;"*"&amp;ROUND(L137*(I137/(G137+I137+K137))/VLOOKUP(H137,商品!$A$4:$D$67,4,FALSE),0),"")</f>
        <v/>
      </c>
      <c r="AD137" t="str">
        <f>IFERROR(J137&amp;"*"&amp;ROUND(L137*(K137/(G137+I137+K137))/VLOOKUP(J137,商品!$A$4:$D$67,4,FALSE),0),"")</f>
        <v/>
      </c>
      <c r="AE137" t="str">
        <f>IFERROR(M137&amp;"*"&amp;ROUND(Q137*(N137/(N137+P137))/VLOOKUP(M137,职业!$A$3:$E$16,4,FALSE),0),"")</f>
        <v/>
      </c>
      <c r="AF137" t="str">
        <f>IFERROR(O137&amp;"*"&amp;ROUND(Q137*(P137/(N137+P137))/VLOOKUP(O137,职业!$A$3:$E$16,4,FALSE),0),"")</f>
        <v/>
      </c>
      <c r="AG137" t="str">
        <f>IFERROR(R137&amp;"*"&amp;ROUND(V137*(S137/(S137+U137))/VLOOKUP(R137,商品!$A$4:$D$67,4,FALSE),0),"")</f>
        <v/>
      </c>
      <c r="AH137" t="str">
        <f>IFERROR(T137&amp;"*"&amp;ROUND(V137*(U137/(S137+U137))/VLOOKUP(T137,商品!$A$4:$D$67,4,FALSE),0),"")</f>
        <v/>
      </c>
    </row>
    <row r="138" customHeight="1" spans="1:34">
      <c r="A138" s="15" t="s">
        <v>310</v>
      </c>
      <c r="C138" s="2">
        <v>1</v>
      </c>
      <c r="D138" s="2" t="s">
        <v>220</v>
      </c>
      <c r="E138" s="2" t="s">
        <v>225</v>
      </c>
      <c r="L138" s="2">
        <f>IFERROR(VLOOKUP($D138&amp;$C138,生产方式定位!$A$2:$E$39,2,FALSE)+VLOOKUP($E138&amp;$C138,生产方式定位!$F$3:$J$39,2,FALSE),0)</f>
        <v>2000</v>
      </c>
      <c r="Q138" s="2">
        <f>IFERROR(VLOOKUP($D138&amp;$C138,生产方式定位!$A$2:$E$39,3,FALSE)+VLOOKUP($E138&amp;$C138,生产方式定位!$F$3:$J$39,3,FALSE),0)</f>
        <v>2000</v>
      </c>
      <c r="V138" s="2">
        <f>IFERROR(VLOOKUP($D138&amp;$C138,生产方式定位!$A$2:$E$39,5,FALSE)+VLOOKUP($E138&amp;$C138,生产方式定位!$F$3:$J$39,5,FALSE),"错误")</f>
        <v>2000</v>
      </c>
      <c r="W138" s="3" t="str">
        <f t="shared" si="10"/>
        <v/>
      </c>
      <c r="X138" s="4" t="str">
        <f t="shared" si="11"/>
        <v/>
      </c>
      <c r="Y138" s="4" t="str">
        <f t="shared" si="12"/>
        <v/>
      </c>
      <c r="Z138" s="5">
        <f t="shared" si="13"/>
        <v>1</v>
      </c>
      <c r="AA138" s="6">
        <f t="shared" si="14"/>
        <v>1</v>
      </c>
      <c r="AB138" t="str">
        <f>IFERROR(F138&amp;"*"&amp;ROUND(L138*(G138/(G138+I138+K138))/VLOOKUP(F138,商品!$A$4:$D$67,4,FALSE),0),"")</f>
        <v/>
      </c>
      <c r="AC138" t="str">
        <f>IFERROR(H138&amp;"*"&amp;ROUND(L138*(I138/(G138+I138+K138))/VLOOKUP(H138,商品!$A$4:$D$67,4,FALSE),0),"")</f>
        <v/>
      </c>
      <c r="AD138" t="str">
        <f>IFERROR(J138&amp;"*"&amp;ROUND(L138*(K138/(G138+I138+K138))/VLOOKUP(J138,商品!$A$4:$D$67,4,FALSE),0),"")</f>
        <v/>
      </c>
      <c r="AE138" t="str">
        <f>IFERROR(M138&amp;"*"&amp;ROUND(Q138*(N138/(N138+P138))/VLOOKUP(M138,职业!$A$3:$E$16,4,FALSE),0),"")</f>
        <v/>
      </c>
      <c r="AF138" t="str">
        <f>IFERROR(O138&amp;"*"&amp;ROUND(Q138*(P138/(N138+P138))/VLOOKUP(O138,职业!$A$3:$E$16,4,FALSE),0),"")</f>
        <v/>
      </c>
      <c r="AG138" t="str">
        <f>IFERROR(R138&amp;"*"&amp;ROUND(V138*(S138/(S138+U138))/VLOOKUP(R138,商品!$A$4:$D$67,4,FALSE),0),"")</f>
        <v/>
      </c>
      <c r="AH138" t="str">
        <f>IFERROR(T138&amp;"*"&amp;ROUND(V138*(U138/(S138+U138))/VLOOKUP(T138,商品!$A$4:$D$67,4,FALSE),0),"")</f>
        <v/>
      </c>
    </row>
    <row r="139" customHeight="1" spans="1:34">
      <c r="A139" s="15" t="s">
        <v>310</v>
      </c>
      <c r="C139" s="2">
        <v>2</v>
      </c>
      <c r="D139" s="2" t="s">
        <v>220</v>
      </c>
      <c r="E139" s="2" t="s">
        <v>225</v>
      </c>
      <c r="L139" s="2">
        <f>IFERROR(VLOOKUP($D139&amp;$C139,生产方式定位!$A$2:$E$39,2,FALSE)+VLOOKUP($E139&amp;$C139,生产方式定位!$F$3:$J$39,2,FALSE),0)</f>
        <v>2500</v>
      </c>
      <c r="Q139" s="2">
        <f>IFERROR(VLOOKUP($D139&amp;$C139,生产方式定位!$A$2:$E$39,3,FALSE)+VLOOKUP($E139&amp;$C139,生产方式定位!$F$3:$J$39,3,FALSE),0)</f>
        <v>2200</v>
      </c>
      <c r="V139" s="2">
        <f>IFERROR(VLOOKUP($D139&amp;$C139,生产方式定位!$A$2:$E$39,5,FALSE)+VLOOKUP($E139&amp;$C139,生产方式定位!$F$3:$J$39,5,FALSE),"错误")</f>
        <v>2350</v>
      </c>
      <c r="W139" s="3" t="str">
        <f t="shared" si="10"/>
        <v/>
      </c>
      <c r="X139" s="4" t="str">
        <f t="shared" si="11"/>
        <v/>
      </c>
      <c r="Y139" s="4" t="str">
        <f t="shared" si="12"/>
        <v/>
      </c>
      <c r="Z139" s="5">
        <f t="shared" si="13"/>
        <v>1.06</v>
      </c>
      <c r="AA139" s="6">
        <f t="shared" si="14"/>
        <v>2</v>
      </c>
      <c r="AB139" t="str">
        <f>IFERROR(F139&amp;"*"&amp;ROUND(L139*(G139/(G139+I139+K139))/VLOOKUP(F139,商品!$A$4:$D$67,4,FALSE),0),"")</f>
        <v/>
      </c>
      <c r="AC139" t="str">
        <f>IFERROR(H139&amp;"*"&amp;ROUND(L139*(I139/(G139+I139+K139))/VLOOKUP(H139,商品!$A$4:$D$67,4,FALSE),0),"")</f>
        <v/>
      </c>
      <c r="AD139" t="str">
        <f>IFERROR(J139&amp;"*"&amp;ROUND(L139*(K139/(G139+I139+K139))/VLOOKUP(J139,商品!$A$4:$D$67,4,FALSE),0),"")</f>
        <v/>
      </c>
      <c r="AE139" t="str">
        <f>IFERROR(M139&amp;"*"&amp;ROUND(Q139*(N139/(N139+P139))/VLOOKUP(M139,职业!$A$3:$E$16,4,FALSE),0),"")</f>
        <v/>
      </c>
      <c r="AF139" t="str">
        <f>IFERROR(O139&amp;"*"&amp;ROUND(Q139*(P139/(N139+P139))/VLOOKUP(O139,职业!$A$3:$E$16,4,FALSE),0),"")</f>
        <v/>
      </c>
      <c r="AG139" t="str">
        <f>IFERROR(R139&amp;"*"&amp;ROUND(V139*(S139/(S139+U139))/VLOOKUP(R139,商品!$A$4:$D$67,4,FALSE),0),"")</f>
        <v/>
      </c>
      <c r="AH139" t="str">
        <f>IFERROR(T139&amp;"*"&amp;ROUND(V139*(U139/(S139+U139))/VLOOKUP(T139,商品!$A$4:$D$67,4,FALSE),0),"")</f>
        <v/>
      </c>
    </row>
    <row r="140" customHeight="1" spans="1:34">
      <c r="A140" s="14" t="s">
        <v>312</v>
      </c>
      <c r="C140" s="2">
        <v>3</v>
      </c>
      <c r="D140" s="2" t="s">
        <v>220</v>
      </c>
      <c r="E140" s="2" t="s">
        <v>222</v>
      </c>
      <c r="L140" s="2">
        <f>IFERROR(VLOOKUP($D140&amp;$C140,生产方式定位!$A$2:$E$39,2,FALSE)+VLOOKUP($E140&amp;$C140,生产方式定位!$F$3:$J$39,2,FALSE),0)</f>
        <v>5000</v>
      </c>
      <c r="Q140" s="2">
        <f>IFERROR(VLOOKUP($D140&amp;$C140,生产方式定位!$A$2:$E$39,3,FALSE)+VLOOKUP($E140&amp;$C140,生产方式定位!$F$3:$J$39,3,FALSE),0)</f>
        <v>2800</v>
      </c>
      <c r="V140" s="2">
        <f>IFERROR(VLOOKUP($D140&amp;$C140,生产方式定位!$A$2:$E$39,5,FALSE)+VLOOKUP($E140&amp;$C140,生产方式定位!$F$3:$J$39,5,FALSE),"错误")</f>
        <v>4188</v>
      </c>
      <c r="W140" s="3" t="str">
        <f t="shared" si="10"/>
        <v/>
      </c>
      <c r="X140" s="4" t="str">
        <f t="shared" si="11"/>
        <v/>
      </c>
      <c r="Y140" s="4" t="str">
        <f t="shared" si="12"/>
        <v/>
      </c>
      <c r="Z140" s="5">
        <f t="shared" si="13"/>
        <v>1.19</v>
      </c>
      <c r="AA140" s="6">
        <f t="shared" si="14"/>
        <v>3</v>
      </c>
      <c r="AB140" t="str">
        <f>IFERROR(F140&amp;"*"&amp;ROUND(L140*(G140/(G140+I140+K140))/VLOOKUP(F140,商品!$A$4:$D$67,4,FALSE),0),"")</f>
        <v/>
      </c>
      <c r="AC140" t="str">
        <f>IFERROR(H140&amp;"*"&amp;ROUND(L140*(I140/(G140+I140+K140))/VLOOKUP(H140,商品!$A$4:$D$67,4,FALSE),0),"")</f>
        <v/>
      </c>
      <c r="AD140" t="str">
        <f>IFERROR(J140&amp;"*"&amp;ROUND(L140*(K140/(G140+I140+K140))/VLOOKUP(J140,商品!$A$4:$D$67,4,FALSE),0),"")</f>
        <v/>
      </c>
      <c r="AE140" t="str">
        <f>IFERROR(M140&amp;"*"&amp;ROUND(Q140*(N140/(N140+P140))/VLOOKUP(M140,职业!$A$3:$E$16,4,FALSE),0),"")</f>
        <v/>
      </c>
      <c r="AF140" t="str">
        <f>IFERROR(O140&amp;"*"&amp;ROUND(Q140*(P140/(N140+P140))/VLOOKUP(O140,职业!$A$3:$E$16,4,FALSE),0),"")</f>
        <v/>
      </c>
      <c r="AG140" t="str">
        <f>IFERROR(R140&amp;"*"&amp;ROUND(V140*(S140/(S140+U140))/VLOOKUP(R140,商品!$A$4:$D$67,4,FALSE),0),"")</f>
        <v/>
      </c>
      <c r="AH140" t="str">
        <f>IFERROR(T140&amp;"*"&amp;ROUND(V140*(U140/(S140+U140))/VLOOKUP(T140,商品!$A$4:$D$67,4,FALSE),0),"")</f>
        <v/>
      </c>
    </row>
    <row r="141" customHeight="1" spans="1:34">
      <c r="A141" s="14" t="s">
        <v>312</v>
      </c>
      <c r="C141" s="2">
        <v>4</v>
      </c>
      <c r="D141" s="2" t="s">
        <v>220</v>
      </c>
      <c r="E141" s="2" t="s">
        <v>222</v>
      </c>
      <c r="L141" s="2">
        <f>IFERROR(VLOOKUP($D141&amp;$C141,生产方式定位!$A$2:$E$39,2,FALSE)+VLOOKUP($E141&amp;$C141,生产方式定位!$F$3:$J$39,2,FALSE),0)</f>
        <v>6500</v>
      </c>
      <c r="Q141" s="2">
        <f>IFERROR(VLOOKUP($D141&amp;$C141,生产方式定位!$A$2:$E$39,3,FALSE)+VLOOKUP($E141&amp;$C141,生产方式定位!$F$3:$J$39,3,FALSE),0)</f>
        <v>3200</v>
      </c>
      <c r="V141" s="2">
        <f>IFERROR(VLOOKUP($D141&amp;$C141,生产方式定位!$A$2:$E$39,5,FALSE)+VLOOKUP($E141&amp;$C141,生产方式定位!$F$3:$J$39,5,FALSE),"错误")</f>
        <v>5498</v>
      </c>
      <c r="W141" s="3" t="str">
        <f t="shared" si="10"/>
        <v/>
      </c>
      <c r="X141" s="4" t="str">
        <f t="shared" si="11"/>
        <v/>
      </c>
      <c r="Y141" s="4" t="str">
        <f t="shared" si="12"/>
        <v/>
      </c>
      <c r="Z141" s="5">
        <f t="shared" si="13"/>
        <v>1.18</v>
      </c>
      <c r="AA141" s="6">
        <f t="shared" si="14"/>
        <v>4</v>
      </c>
      <c r="AB141" t="str">
        <f>IFERROR(F141&amp;"*"&amp;ROUND(L141*(G141/(G141+I141+K141))/VLOOKUP(F141,商品!$A$4:$D$67,4,FALSE),0),"")</f>
        <v/>
      </c>
      <c r="AC141" t="str">
        <f>IFERROR(H141&amp;"*"&amp;ROUND(L141*(I141/(G141+I141+K141))/VLOOKUP(H141,商品!$A$4:$D$67,4,FALSE),0),"")</f>
        <v/>
      </c>
      <c r="AD141" t="str">
        <f>IFERROR(J141&amp;"*"&amp;ROUND(L141*(K141/(G141+I141+K141))/VLOOKUP(J141,商品!$A$4:$D$67,4,FALSE),0),"")</f>
        <v/>
      </c>
      <c r="AE141" t="str">
        <f>IFERROR(M141&amp;"*"&amp;ROUND(Q141*(N141/(N141+P141))/VLOOKUP(M141,职业!$A$3:$E$16,4,FALSE),0),"")</f>
        <v/>
      </c>
      <c r="AF141" t="str">
        <f>IFERROR(O141&amp;"*"&amp;ROUND(Q141*(P141/(N141+P141))/VLOOKUP(O141,职业!$A$3:$E$16,4,FALSE),0),"")</f>
        <v/>
      </c>
      <c r="AG141" t="str">
        <f>IFERROR(R141&amp;"*"&amp;ROUND(V141*(S141/(S141+U141))/VLOOKUP(R141,商品!$A$4:$D$67,4,FALSE),0),"")</f>
        <v/>
      </c>
      <c r="AH141" t="str">
        <f>IFERROR(T141&amp;"*"&amp;ROUND(V141*(U141/(S141+U141))/VLOOKUP(T141,商品!$A$4:$D$67,4,FALSE),0),"")</f>
        <v/>
      </c>
    </row>
    <row r="142" customHeight="1" spans="1:34">
      <c r="A142" s="14" t="s">
        <v>312</v>
      </c>
      <c r="C142" s="2">
        <v>5</v>
      </c>
      <c r="D142" s="2" t="s">
        <v>220</v>
      </c>
      <c r="E142" s="2" t="s">
        <v>222</v>
      </c>
      <c r="L142" s="2">
        <f>IFERROR(VLOOKUP($D142&amp;$C142,生产方式定位!$A$2:$E$39,2,FALSE)+VLOOKUP($E142&amp;$C142,生产方式定位!$F$3:$J$39,2,FALSE),0)</f>
        <v>8000</v>
      </c>
      <c r="Q142" s="2">
        <f>IFERROR(VLOOKUP($D142&amp;$C142,生产方式定位!$A$2:$E$39,3,FALSE)+VLOOKUP($E142&amp;$C142,生产方式定位!$F$3:$J$39,3,FALSE),0)</f>
        <v>3600</v>
      </c>
      <c r="V142" s="2">
        <f>IFERROR(VLOOKUP($D142&amp;$C142,生产方式定位!$A$2:$E$39,5,FALSE)+VLOOKUP($E142&amp;$C142,生产方式定位!$F$3:$J$39,5,FALSE),"错误")</f>
        <v>7000</v>
      </c>
      <c r="W142" s="3" t="str">
        <f t="shared" si="10"/>
        <v/>
      </c>
      <c r="X142" s="4" t="str">
        <f t="shared" si="11"/>
        <v/>
      </c>
      <c r="Y142" s="4" t="str">
        <f t="shared" si="12"/>
        <v/>
      </c>
      <c r="Z142" s="5">
        <f t="shared" si="13"/>
        <v>1.14</v>
      </c>
      <c r="AA142" s="6">
        <f t="shared" si="14"/>
        <v>5</v>
      </c>
      <c r="AB142" t="str">
        <f>IFERROR(F142&amp;"*"&amp;ROUND(L142*(G142/(G142+I142+K142))/VLOOKUP(F142,商品!$A$4:$D$67,4,FALSE),0),"")</f>
        <v/>
      </c>
      <c r="AC142" t="str">
        <f>IFERROR(H142&amp;"*"&amp;ROUND(L142*(I142/(G142+I142+K142))/VLOOKUP(H142,商品!$A$4:$D$67,4,FALSE),0),"")</f>
        <v/>
      </c>
      <c r="AD142" t="str">
        <f>IFERROR(J142&amp;"*"&amp;ROUND(L142*(K142/(G142+I142+K142))/VLOOKUP(J142,商品!$A$4:$D$67,4,FALSE),0),"")</f>
        <v/>
      </c>
      <c r="AE142" t="str">
        <f>IFERROR(M142&amp;"*"&amp;ROUND(Q142*(N142/(N142+P142))/VLOOKUP(M142,职业!$A$3:$E$16,4,FALSE),0),"")</f>
        <v/>
      </c>
      <c r="AF142" t="str">
        <f>IFERROR(O142&amp;"*"&amp;ROUND(Q142*(P142/(N142+P142))/VLOOKUP(O142,职业!$A$3:$E$16,4,FALSE),0),"")</f>
        <v/>
      </c>
      <c r="AG142" t="str">
        <f>IFERROR(R142&amp;"*"&amp;ROUND(V142*(S142/(S142+U142))/VLOOKUP(R142,商品!$A$4:$D$67,4,FALSE),0),"")</f>
        <v/>
      </c>
      <c r="AH142" t="str">
        <f>IFERROR(T142&amp;"*"&amp;ROUND(V142*(U142/(S142+U142))/VLOOKUP(T142,商品!$A$4:$D$67,4,FALSE),0),"")</f>
        <v/>
      </c>
    </row>
    <row r="143" customHeight="1" spans="1:34">
      <c r="A143" s="14" t="s">
        <v>312</v>
      </c>
      <c r="C143" s="2">
        <v>1</v>
      </c>
      <c r="D143" s="2" t="s">
        <v>220</v>
      </c>
      <c r="E143" s="2" t="s">
        <v>222</v>
      </c>
      <c r="L143" s="2">
        <f>IFERROR(VLOOKUP($D143&amp;$C143,生产方式定位!$A$2:$E$39,2,FALSE)+VLOOKUP($E143&amp;$C143,生产方式定位!$F$3:$J$39,2,FALSE),0)</f>
        <v>2000</v>
      </c>
      <c r="Q143" s="2">
        <f>IFERROR(VLOOKUP($D143&amp;$C143,生产方式定位!$A$2:$E$39,3,FALSE)+VLOOKUP($E143&amp;$C143,生产方式定位!$F$3:$J$39,3,FALSE),0)</f>
        <v>2000</v>
      </c>
      <c r="V143" s="2">
        <f>IFERROR(VLOOKUP($D143&amp;$C143,生产方式定位!$A$2:$E$39,5,FALSE)+VLOOKUP($E143&amp;$C143,生产方式定位!$F$3:$J$39,5,FALSE),"错误")</f>
        <v>2000</v>
      </c>
      <c r="W143" s="3" t="str">
        <f t="shared" si="10"/>
        <v/>
      </c>
      <c r="X143" s="4" t="str">
        <f t="shared" si="11"/>
        <v/>
      </c>
      <c r="Y143" s="4" t="str">
        <f t="shared" si="12"/>
        <v/>
      </c>
      <c r="Z143" s="5">
        <f t="shared" si="13"/>
        <v>1</v>
      </c>
      <c r="AA143" s="6">
        <f t="shared" si="14"/>
        <v>1</v>
      </c>
      <c r="AB143" t="str">
        <f>IFERROR(F143&amp;"*"&amp;ROUND(L143*(G143/(G143+I143+K143))/VLOOKUP(F143,商品!$A$4:$D$67,4,FALSE),0),"")</f>
        <v/>
      </c>
      <c r="AC143" t="str">
        <f>IFERROR(H143&amp;"*"&amp;ROUND(L143*(I143/(G143+I143+K143))/VLOOKUP(H143,商品!$A$4:$D$67,4,FALSE),0),"")</f>
        <v/>
      </c>
      <c r="AD143" t="str">
        <f>IFERROR(J143&amp;"*"&amp;ROUND(L143*(K143/(G143+I143+K143))/VLOOKUP(J143,商品!$A$4:$D$67,4,FALSE),0),"")</f>
        <v/>
      </c>
      <c r="AE143" t="str">
        <f>IFERROR(M143&amp;"*"&amp;ROUND(Q143*(N143/(N143+P143))/VLOOKUP(M143,职业!$A$3:$E$16,4,FALSE),0),"")</f>
        <v/>
      </c>
      <c r="AF143" t="str">
        <f>IFERROR(O143&amp;"*"&amp;ROUND(Q143*(P143/(N143+P143))/VLOOKUP(O143,职业!$A$3:$E$16,4,FALSE),0),"")</f>
        <v/>
      </c>
      <c r="AG143" t="str">
        <f>IFERROR(R143&amp;"*"&amp;ROUND(V143*(S143/(S143+U143))/VLOOKUP(R143,商品!$A$4:$D$67,4,FALSE),0),"")</f>
        <v/>
      </c>
      <c r="AH143" t="str">
        <f>IFERROR(T143&amp;"*"&amp;ROUND(V143*(U143/(S143+U143))/VLOOKUP(T143,商品!$A$4:$D$67,4,FALSE),0),"")</f>
        <v/>
      </c>
    </row>
    <row r="144" customHeight="1" spans="1:34">
      <c r="A144" s="14" t="s">
        <v>312</v>
      </c>
      <c r="C144" s="2">
        <v>2</v>
      </c>
      <c r="D144" s="2" t="s">
        <v>220</v>
      </c>
      <c r="E144" s="2" t="s">
        <v>222</v>
      </c>
      <c r="L144" s="2">
        <f>IFERROR(VLOOKUP($D144&amp;$C144,生产方式定位!$A$2:$E$39,2,FALSE)+VLOOKUP($E144&amp;$C144,生产方式定位!$F$3:$J$39,2,FALSE),0)</f>
        <v>3500</v>
      </c>
      <c r="Q144" s="2">
        <f>IFERROR(VLOOKUP($D144&amp;$C144,生产方式定位!$A$2:$E$39,3,FALSE)+VLOOKUP($E144&amp;$C144,生产方式定位!$F$3:$J$39,3,FALSE),0)</f>
        <v>2400</v>
      </c>
      <c r="V144" s="2">
        <f>IFERROR(VLOOKUP($D144&amp;$C144,生产方式定位!$A$2:$E$39,5,FALSE)+VLOOKUP($E144&amp;$C144,生产方式定位!$F$3:$J$39,5,FALSE),"错误")</f>
        <v>3022</v>
      </c>
      <c r="W144" s="3" t="str">
        <f t="shared" si="10"/>
        <v/>
      </c>
      <c r="X144" s="4" t="str">
        <f t="shared" si="11"/>
        <v/>
      </c>
      <c r="Y144" s="4" t="str">
        <f t="shared" si="12"/>
        <v/>
      </c>
      <c r="Z144" s="5">
        <f t="shared" si="13"/>
        <v>1.16</v>
      </c>
      <c r="AA144" s="6">
        <f t="shared" si="14"/>
        <v>2</v>
      </c>
      <c r="AB144" t="str">
        <f>IFERROR(F144&amp;"*"&amp;ROUND(L144*(G144/(G144+I144+K144))/VLOOKUP(F144,商品!$A$4:$D$67,4,FALSE),0),"")</f>
        <v/>
      </c>
      <c r="AC144" t="str">
        <f>IFERROR(H144&amp;"*"&amp;ROUND(L144*(I144/(G144+I144+K144))/VLOOKUP(H144,商品!$A$4:$D$67,4,FALSE),0),"")</f>
        <v/>
      </c>
      <c r="AD144" t="str">
        <f>IFERROR(J144&amp;"*"&amp;ROUND(L144*(K144/(G144+I144+K144))/VLOOKUP(J144,商品!$A$4:$D$67,4,FALSE),0),"")</f>
        <v/>
      </c>
      <c r="AE144" t="str">
        <f>IFERROR(M144&amp;"*"&amp;ROUND(Q144*(N144/(N144+P144))/VLOOKUP(M144,职业!$A$3:$E$16,4,FALSE),0),"")</f>
        <v/>
      </c>
      <c r="AF144" t="str">
        <f>IFERROR(O144&amp;"*"&amp;ROUND(Q144*(P144/(N144+P144))/VLOOKUP(O144,职业!$A$3:$E$16,4,FALSE),0),"")</f>
        <v/>
      </c>
      <c r="AG144" t="str">
        <f>IFERROR(R144&amp;"*"&amp;ROUND(V144*(S144/(S144+U144))/VLOOKUP(R144,商品!$A$4:$D$67,4,FALSE),0),"")</f>
        <v/>
      </c>
      <c r="AH144" t="str">
        <f>IFERROR(T144&amp;"*"&amp;ROUND(V144*(U144/(S144+U144))/VLOOKUP(T144,商品!$A$4:$D$67,4,FALSE),0),"")</f>
        <v/>
      </c>
    </row>
    <row r="145" customHeight="1" spans="1:34">
      <c r="A145" s="15" t="s">
        <v>313</v>
      </c>
      <c r="C145" s="2">
        <v>3</v>
      </c>
      <c r="D145" s="2" t="s">
        <v>220</v>
      </c>
      <c r="E145" s="2" t="s">
        <v>223</v>
      </c>
      <c r="L145" s="2">
        <f>IFERROR(VLOOKUP($D145&amp;$C145,生产方式定位!$A$2:$E$39,2,FALSE)+VLOOKUP($E145&amp;$C145,生产方式定位!$F$3:$J$39,2,FALSE),0)</f>
        <v>5000</v>
      </c>
      <c r="Q145" s="2">
        <f>IFERROR(VLOOKUP($D145&amp;$C145,生产方式定位!$A$2:$E$39,3,FALSE)+VLOOKUP($E145&amp;$C145,生产方式定位!$F$3:$J$39,3,FALSE),0)</f>
        <v>5400</v>
      </c>
      <c r="V145" s="2">
        <f>IFERROR(VLOOKUP($D145&amp;$C145,生产方式定位!$A$2:$E$39,5,FALSE)+VLOOKUP($E145&amp;$C145,生产方式定位!$F$3:$J$39,5,FALSE),"错误")</f>
        <v>5350</v>
      </c>
      <c r="W145" s="3" t="str">
        <f t="shared" si="10"/>
        <v/>
      </c>
      <c r="X145" s="4" t="str">
        <f t="shared" si="11"/>
        <v/>
      </c>
      <c r="Y145" s="4" t="str">
        <f t="shared" si="12"/>
        <v/>
      </c>
      <c r="Z145" s="5">
        <f t="shared" si="13"/>
        <v>0.93</v>
      </c>
      <c r="AA145" s="6">
        <f t="shared" si="14"/>
        <v>3</v>
      </c>
      <c r="AB145" t="str">
        <f>IFERROR(F145&amp;"*"&amp;ROUND(L145*(G145/(G145+I145+K145))/VLOOKUP(F145,商品!$A$4:$D$67,4,FALSE),0),"")</f>
        <v/>
      </c>
      <c r="AC145" t="str">
        <f>IFERROR(H145&amp;"*"&amp;ROUND(L145*(I145/(G145+I145+K145))/VLOOKUP(H145,商品!$A$4:$D$67,4,FALSE),0),"")</f>
        <v/>
      </c>
      <c r="AD145" t="str">
        <f>IFERROR(J145&amp;"*"&amp;ROUND(L145*(K145/(G145+I145+K145))/VLOOKUP(J145,商品!$A$4:$D$67,4,FALSE),0),"")</f>
        <v/>
      </c>
      <c r="AE145" t="str">
        <f>IFERROR(M145&amp;"*"&amp;ROUND(Q145*(N145/(N145+P145))/VLOOKUP(M145,职业!$A$3:$E$16,4,FALSE),0),"")</f>
        <v/>
      </c>
      <c r="AF145" t="str">
        <f>IFERROR(O145&amp;"*"&amp;ROUND(Q145*(P145/(N145+P145))/VLOOKUP(O145,职业!$A$3:$E$16,4,FALSE),0),"")</f>
        <v/>
      </c>
      <c r="AG145" t="str">
        <f>IFERROR(R145&amp;"*"&amp;ROUND(V145*(S145/(S145+U145))/VLOOKUP(R145,商品!$A$4:$D$67,4,FALSE),0),"")</f>
        <v/>
      </c>
      <c r="AH145" t="str">
        <f>IFERROR(T145&amp;"*"&amp;ROUND(V145*(U145/(S145+U145))/VLOOKUP(T145,商品!$A$4:$D$67,4,FALSE),0),"")</f>
        <v/>
      </c>
    </row>
    <row r="146" customHeight="1" spans="1:34">
      <c r="A146" s="15" t="s">
        <v>313</v>
      </c>
      <c r="C146" s="2">
        <v>4</v>
      </c>
      <c r="D146" s="2" t="s">
        <v>220</v>
      </c>
      <c r="E146" s="2" t="s">
        <v>223</v>
      </c>
      <c r="L146" s="2">
        <f>IFERROR(VLOOKUP($D146&amp;$C146,生产方式定位!$A$2:$E$39,2,FALSE)+VLOOKUP($E146&amp;$C146,生产方式定位!$F$3:$J$39,2,FALSE),0)</f>
        <v>6500</v>
      </c>
      <c r="Q146" s="2">
        <f>IFERROR(VLOOKUP($D146&amp;$C146,生产方式定位!$A$2:$E$39,3,FALSE)+VLOOKUP($E146&amp;$C146,生产方式定位!$F$3:$J$39,3,FALSE),0)</f>
        <v>6600</v>
      </c>
      <c r="V146" s="2">
        <f>IFERROR(VLOOKUP($D146&amp;$C146,生产方式定位!$A$2:$E$39,5,FALSE)+VLOOKUP($E146&amp;$C146,生产方式定位!$F$3:$J$39,5,FALSE),"错误")</f>
        <v>6865</v>
      </c>
      <c r="W146" s="3" t="str">
        <f t="shared" si="10"/>
        <v/>
      </c>
      <c r="X146" s="4" t="str">
        <f t="shared" si="11"/>
        <v/>
      </c>
      <c r="Y146" s="4" t="str">
        <f t="shared" si="12"/>
        <v/>
      </c>
      <c r="Z146" s="5">
        <f t="shared" si="13"/>
        <v>0.95</v>
      </c>
      <c r="AA146" s="6">
        <f t="shared" si="14"/>
        <v>4</v>
      </c>
      <c r="AB146" t="str">
        <f>IFERROR(F146&amp;"*"&amp;ROUND(L146*(G146/(G146+I146+K146))/VLOOKUP(F146,商品!$A$4:$D$67,4,FALSE),0),"")</f>
        <v/>
      </c>
      <c r="AC146" t="str">
        <f>IFERROR(H146&amp;"*"&amp;ROUND(L146*(I146/(G146+I146+K146))/VLOOKUP(H146,商品!$A$4:$D$67,4,FALSE),0),"")</f>
        <v/>
      </c>
      <c r="AD146" t="str">
        <f>IFERROR(J146&amp;"*"&amp;ROUND(L146*(K146/(G146+I146+K146))/VLOOKUP(J146,商品!$A$4:$D$67,4,FALSE),0),"")</f>
        <v/>
      </c>
      <c r="AE146" t="str">
        <f>IFERROR(M146&amp;"*"&amp;ROUND(Q146*(N146/(N146+P146))/VLOOKUP(M146,职业!$A$3:$E$16,4,FALSE),0),"")</f>
        <v/>
      </c>
      <c r="AF146" t="str">
        <f>IFERROR(O146&amp;"*"&amp;ROUND(Q146*(P146/(N146+P146))/VLOOKUP(O146,职业!$A$3:$E$16,4,FALSE),0),"")</f>
        <v/>
      </c>
      <c r="AG146" t="str">
        <f>IFERROR(R146&amp;"*"&amp;ROUND(V146*(S146/(S146+U146))/VLOOKUP(R146,商品!$A$4:$D$67,4,FALSE),0),"")</f>
        <v/>
      </c>
      <c r="AH146" t="str">
        <f>IFERROR(T146&amp;"*"&amp;ROUND(V146*(U146/(S146+U146))/VLOOKUP(T146,商品!$A$4:$D$67,4,FALSE),0),"")</f>
        <v/>
      </c>
    </row>
    <row r="147" customHeight="1" spans="1:34">
      <c r="A147" s="15" t="s">
        <v>313</v>
      </c>
      <c r="C147" s="2">
        <v>5</v>
      </c>
      <c r="D147" s="2" t="s">
        <v>220</v>
      </c>
      <c r="E147" s="2" t="s">
        <v>223</v>
      </c>
      <c r="L147" s="2">
        <f>IFERROR(VLOOKUP($D147&amp;$C147,生产方式定位!$A$2:$E$39,2,FALSE)+VLOOKUP($E147&amp;$C147,生产方式定位!$F$3:$J$39,2,FALSE),0)</f>
        <v>8000</v>
      </c>
      <c r="Q147" s="2">
        <f>IFERROR(VLOOKUP($D147&amp;$C147,生产方式定位!$A$2:$E$39,3,FALSE)+VLOOKUP($E147&amp;$C147,生产方式定位!$F$3:$J$39,3,FALSE),0)</f>
        <v>7800</v>
      </c>
      <c r="V147" s="2">
        <f>IFERROR(VLOOKUP($D147&amp;$C147,生产方式定位!$A$2:$E$39,5,FALSE)+VLOOKUP($E147&amp;$C147,生产方式定位!$F$3:$J$39,5,FALSE),"错误")</f>
        <v>8463</v>
      </c>
      <c r="W147" s="3" t="str">
        <f t="shared" si="10"/>
        <v/>
      </c>
      <c r="X147" s="4" t="str">
        <f t="shared" si="11"/>
        <v/>
      </c>
      <c r="Y147" s="4" t="str">
        <f t="shared" si="12"/>
        <v/>
      </c>
      <c r="Z147" s="5">
        <f t="shared" si="13"/>
        <v>0.95</v>
      </c>
      <c r="AA147" s="6">
        <f t="shared" si="14"/>
        <v>5</v>
      </c>
      <c r="AB147" t="str">
        <f>IFERROR(F147&amp;"*"&amp;ROUND(L147*(G147/(G147+I147+K147))/VLOOKUP(F147,商品!$A$4:$D$67,4,FALSE),0),"")</f>
        <v/>
      </c>
      <c r="AC147" t="str">
        <f>IFERROR(H147&amp;"*"&amp;ROUND(L147*(I147/(G147+I147+K147))/VLOOKUP(H147,商品!$A$4:$D$67,4,FALSE),0),"")</f>
        <v/>
      </c>
      <c r="AD147" t="str">
        <f>IFERROR(J147&amp;"*"&amp;ROUND(L147*(K147/(G147+I147+K147))/VLOOKUP(J147,商品!$A$4:$D$67,4,FALSE),0),"")</f>
        <v/>
      </c>
      <c r="AE147" t="str">
        <f>IFERROR(M147&amp;"*"&amp;ROUND(Q147*(N147/(N147+P147))/VLOOKUP(M147,职业!$A$3:$E$16,4,FALSE),0),"")</f>
        <v/>
      </c>
      <c r="AF147" t="str">
        <f>IFERROR(O147&amp;"*"&amp;ROUND(Q147*(P147/(N147+P147))/VLOOKUP(O147,职业!$A$3:$E$16,4,FALSE),0),"")</f>
        <v/>
      </c>
      <c r="AG147" t="str">
        <f>IFERROR(R147&amp;"*"&amp;ROUND(V147*(S147/(S147+U147))/VLOOKUP(R147,商品!$A$4:$D$67,4,FALSE),0),"")</f>
        <v/>
      </c>
      <c r="AH147" t="str">
        <f>IFERROR(T147&amp;"*"&amp;ROUND(V147*(U147/(S147+U147))/VLOOKUP(T147,商品!$A$4:$D$67,4,FALSE),0),"")</f>
        <v/>
      </c>
    </row>
    <row r="148" customHeight="1" spans="1:34">
      <c r="A148" s="15" t="s">
        <v>313</v>
      </c>
      <c r="C148" s="2">
        <v>1</v>
      </c>
      <c r="D148" s="2" t="s">
        <v>220</v>
      </c>
      <c r="E148" s="2" t="s">
        <v>223</v>
      </c>
      <c r="L148" s="2">
        <f>IFERROR(VLOOKUP($D148&amp;$C148,生产方式定位!$A$2:$E$39,2,FALSE)+VLOOKUP($E148&amp;$C148,生产方式定位!$F$3:$J$39,2,FALSE),0)</f>
        <v>2000</v>
      </c>
      <c r="Q148" s="2">
        <f>IFERROR(VLOOKUP($D148&amp;$C148,生产方式定位!$A$2:$E$39,3,FALSE)+VLOOKUP($E148&amp;$C148,生产方式定位!$F$3:$J$39,3,FALSE),0)</f>
        <v>2000</v>
      </c>
      <c r="V148" s="2">
        <f>IFERROR(VLOOKUP($D148&amp;$C148,生产方式定位!$A$2:$E$39,5,FALSE)+VLOOKUP($E148&amp;$C148,生产方式定位!$F$3:$J$39,5,FALSE),"错误")</f>
        <v>2000</v>
      </c>
      <c r="W148" s="3" t="str">
        <f t="shared" si="10"/>
        <v/>
      </c>
      <c r="X148" s="4" t="str">
        <f t="shared" si="11"/>
        <v/>
      </c>
      <c r="Y148" s="4" t="str">
        <f t="shared" si="12"/>
        <v/>
      </c>
      <c r="Z148" s="5">
        <f t="shared" si="13"/>
        <v>1</v>
      </c>
      <c r="AA148" s="6">
        <f t="shared" si="14"/>
        <v>1</v>
      </c>
      <c r="AB148" t="str">
        <f>IFERROR(F148&amp;"*"&amp;ROUND(L148*(G148/(G148+I148+K148))/VLOOKUP(F148,商品!$A$4:$D$67,4,FALSE),0),"")</f>
        <v/>
      </c>
      <c r="AC148" t="str">
        <f>IFERROR(H148&amp;"*"&amp;ROUND(L148*(I148/(G148+I148+K148))/VLOOKUP(H148,商品!$A$4:$D$67,4,FALSE),0),"")</f>
        <v/>
      </c>
      <c r="AD148" t="str">
        <f>IFERROR(J148&amp;"*"&amp;ROUND(L148*(K148/(G148+I148+K148))/VLOOKUP(J148,商品!$A$4:$D$67,4,FALSE),0),"")</f>
        <v/>
      </c>
      <c r="AE148" t="str">
        <f>IFERROR(M148&amp;"*"&amp;ROUND(Q148*(N148/(N148+P148))/VLOOKUP(M148,职业!$A$3:$E$16,4,FALSE),0),"")</f>
        <v/>
      </c>
      <c r="AF148" t="str">
        <f>IFERROR(O148&amp;"*"&amp;ROUND(Q148*(P148/(N148+P148))/VLOOKUP(O148,职业!$A$3:$E$16,4,FALSE),0),"")</f>
        <v/>
      </c>
      <c r="AG148" t="str">
        <f>IFERROR(R148&amp;"*"&amp;ROUND(V148*(S148/(S148+U148))/VLOOKUP(R148,商品!$A$4:$D$67,4,FALSE),0),"")</f>
        <v/>
      </c>
      <c r="AH148" t="str">
        <f>IFERROR(T148&amp;"*"&amp;ROUND(V148*(U148/(S148+U148))/VLOOKUP(T148,商品!$A$4:$D$67,4,FALSE),0),"")</f>
        <v/>
      </c>
    </row>
    <row r="149" customHeight="1" spans="1:34">
      <c r="A149" s="15" t="s">
        <v>313</v>
      </c>
      <c r="C149" s="2">
        <v>2</v>
      </c>
      <c r="D149" s="2" t="s">
        <v>220</v>
      </c>
      <c r="E149" s="2" t="s">
        <v>223</v>
      </c>
      <c r="L149" s="2">
        <f>IFERROR(VLOOKUP($D149&amp;$C149,生产方式定位!$A$2:$E$39,2,FALSE)+VLOOKUP($E149&amp;$C149,生产方式定位!$F$3:$J$39,2,FALSE),0)</f>
        <v>3500</v>
      </c>
      <c r="Q149" s="2">
        <f>IFERROR(VLOOKUP($D149&amp;$C149,生产方式定位!$A$2:$E$39,3,FALSE)+VLOOKUP($E149&amp;$C149,生产方式定位!$F$3:$J$39,3,FALSE),0)</f>
        <v>4200</v>
      </c>
      <c r="V149" s="2">
        <f>IFERROR(VLOOKUP($D149&amp;$C149,生产方式定位!$A$2:$E$39,5,FALSE)+VLOOKUP($E149&amp;$C149,生产方式定位!$F$3:$J$39,5,FALSE),"错误")</f>
        <v>3895</v>
      </c>
      <c r="W149" s="3" t="str">
        <f t="shared" si="10"/>
        <v/>
      </c>
      <c r="X149" s="4" t="str">
        <f t="shared" si="11"/>
        <v/>
      </c>
      <c r="Y149" s="4" t="str">
        <f t="shared" si="12"/>
        <v/>
      </c>
      <c r="Z149" s="5">
        <f t="shared" si="13"/>
        <v>0.9</v>
      </c>
      <c r="AA149" s="6">
        <f t="shared" si="14"/>
        <v>2</v>
      </c>
      <c r="AB149" t="str">
        <f>IFERROR(F149&amp;"*"&amp;ROUND(L149*(G149/(G149+I149+K149))/VLOOKUP(F149,商品!$A$4:$D$67,4,FALSE),0),"")</f>
        <v/>
      </c>
      <c r="AC149" t="str">
        <f>IFERROR(H149&amp;"*"&amp;ROUND(L149*(I149/(G149+I149+K149))/VLOOKUP(H149,商品!$A$4:$D$67,4,FALSE),0),"")</f>
        <v/>
      </c>
      <c r="AD149" t="str">
        <f>IFERROR(J149&amp;"*"&amp;ROUND(L149*(K149/(G149+I149+K149))/VLOOKUP(J149,商品!$A$4:$D$67,4,FALSE),0),"")</f>
        <v/>
      </c>
      <c r="AE149" t="str">
        <f>IFERROR(M149&amp;"*"&amp;ROUND(Q149*(N149/(N149+P149))/VLOOKUP(M149,职业!$A$3:$E$16,4,FALSE),0),"")</f>
        <v/>
      </c>
      <c r="AF149" t="str">
        <f>IFERROR(O149&amp;"*"&amp;ROUND(Q149*(P149/(N149+P149))/VLOOKUP(O149,职业!$A$3:$E$16,4,FALSE),0),"")</f>
        <v/>
      </c>
      <c r="AG149" t="str">
        <f>IFERROR(R149&amp;"*"&amp;ROUND(V149*(S149/(S149+U149))/VLOOKUP(R149,商品!$A$4:$D$67,4,FALSE),0),"")</f>
        <v/>
      </c>
      <c r="AH149" t="str">
        <f>IFERROR(T149&amp;"*"&amp;ROUND(V149*(U149/(S149+U149))/VLOOKUP(T149,商品!$A$4:$D$67,4,FALSE),0),"")</f>
        <v/>
      </c>
    </row>
    <row r="150" customHeight="1" spans="1:34">
      <c r="A150" s="14" t="s">
        <v>314</v>
      </c>
      <c r="C150" s="2">
        <v>3</v>
      </c>
      <c r="D150" s="2" t="s">
        <v>220</v>
      </c>
      <c r="E150" s="2" t="s">
        <v>224</v>
      </c>
      <c r="L150" s="2">
        <f>IFERROR(VLOOKUP($D150&amp;$C150,生产方式定位!$A$2:$E$39,2,FALSE)+VLOOKUP($E150&amp;$C150,生产方式定位!$F$3:$J$39,2,FALSE),0)</f>
        <v>6000</v>
      </c>
      <c r="Q150" s="2">
        <f>IFERROR(VLOOKUP($D150&amp;$C150,生产方式定位!$A$2:$E$39,3,FALSE)+VLOOKUP($E150&amp;$C150,生产方式定位!$F$3:$J$39,3,FALSE),0)</f>
        <v>2000</v>
      </c>
      <c r="V150" s="2">
        <f>IFERROR(VLOOKUP($D150&amp;$C150,生产方式定位!$A$2:$E$39,5,FALSE)+VLOOKUP($E150&amp;$C150,生产方式定位!$F$3:$J$39,5,FALSE),"错误")</f>
        <v>4260</v>
      </c>
      <c r="W150" s="3" t="str">
        <f t="shared" si="10"/>
        <v/>
      </c>
      <c r="X150" s="4" t="str">
        <f t="shared" si="11"/>
        <v/>
      </c>
      <c r="Y150" s="4" t="str">
        <f t="shared" si="12"/>
        <v/>
      </c>
      <c r="Z150" s="5">
        <f t="shared" si="13"/>
        <v>1.41</v>
      </c>
      <c r="AA150" s="6">
        <f t="shared" si="14"/>
        <v>3</v>
      </c>
      <c r="AB150" t="str">
        <f>IFERROR(F150&amp;"*"&amp;ROUND(L150*(G150/(G150+I150+K150))/VLOOKUP(F150,商品!$A$4:$D$67,4,FALSE),0),"")</f>
        <v/>
      </c>
      <c r="AC150" t="str">
        <f>IFERROR(H150&amp;"*"&amp;ROUND(L150*(I150/(G150+I150+K150))/VLOOKUP(H150,商品!$A$4:$D$67,4,FALSE),0),"")</f>
        <v/>
      </c>
      <c r="AD150" t="str">
        <f>IFERROR(J150&amp;"*"&amp;ROUND(L150*(K150/(G150+I150+K150))/VLOOKUP(J150,商品!$A$4:$D$67,4,FALSE),0),"")</f>
        <v/>
      </c>
      <c r="AE150" t="str">
        <f>IFERROR(M150&amp;"*"&amp;ROUND(Q150*(N150/(N150+P150))/VLOOKUP(M150,职业!$A$3:$E$16,4,FALSE),0),"")</f>
        <v/>
      </c>
      <c r="AF150" t="str">
        <f>IFERROR(O150&amp;"*"&amp;ROUND(Q150*(P150/(N150+P150))/VLOOKUP(O150,职业!$A$3:$E$16,4,FALSE),0),"")</f>
        <v/>
      </c>
      <c r="AG150" t="str">
        <f>IFERROR(R150&amp;"*"&amp;ROUND(V150*(S150/(S150+U150))/VLOOKUP(R150,商品!$A$4:$D$67,4,FALSE),0),"")</f>
        <v/>
      </c>
      <c r="AH150" t="str">
        <f>IFERROR(T150&amp;"*"&amp;ROUND(V150*(U150/(S150+U150))/VLOOKUP(T150,商品!$A$4:$D$67,4,FALSE),0),"")</f>
        <v/>
      </c>
    </row>
    <row r="151" customHeight="1" spans="1:34">
      <c r="A151" s="14" t="s">
        <v>314</v>
      </c>
      <c r="C151" s="2">
        <v>4</v>
      </c>
      <c r="D151" s="2" t="s">
        <v>220</v>
      </c>
      <c r="E151" s="2" t="s">
        <v>224</v>
      </c>
      <c r="L151" s="2">
        <f>IFERROR(VLOOKUP($D151&amp;$C151,生产方式定位!$A$2:$E$39,2,FALSE)+VLOOKUP($E151&amp;$C151,生产方式定位!$F$3:$J$39,2,FALSE),0)</f>
        <v>7500</v>
      </c>
      <c r="Q151" s="2">
        <f>IFERROR(VLOOKUP($D151&amp;$C151,生产方式定位!$A$2:$E$39,3,FALSE)+VLOOKUP($E151&amp;$C151,生产方式定位!$F$3:$J$39,3,FALSE),0)</f>
        <v>2000</v>
      </c>
      <c r="V151" s="2">
        <f>IFERROR(VLOOKUP($D151&amp;$C151,生产方式定位!$A$2:$E$39,5,FALSE)+VLOOKUP($E151&amp;$C151,生产方式定位!$F$3:$J$39,5,FALSE),"错误")</f>
        <v>5260</v>
      </c>
      <c r="W151" s="3" t="str">
        <f t="shared" si="10"/>
        <v/>
      </c>
      <c r="X151" s="4" t="str">
        <f t="shared" si="11"/>
        <v/>
      </c>
      <c r="Y151" s="4" t="str">
        <f t="shared" si="12"/>
        <v/>
      </c>
      <c r="Z151" s="5">
        <f t="shared" si="13"/>
        <v>1.43</v>
      </c>
      <c r="AA151" s="6">
        <f t="shared" si="14"/>
        <v>4</v>
      </c>
      <c r="AB151" t="str">
        <f>IFERROR(F151&amp;"*"&amp;ROUND(L151*(G151/(G151+I151+K151))/VLOOKUP(F151,商品!$A$4:$D$67,4,FALSE),0),"")</f>
        <v/>
      </c>
      <c r="AC151" t="str">
        <f>IFERROR(H151&amp;"*"&amp;ROUND(L151*(I151/(G151+I151+K151))/VLOOKUP(H151,商品!$A$4:$D$67,4,FALSE),0),"")</f>
        <v/>
      </c>
      <c r="AD151" t="str">
        <f>IFERROR(J151&amp;"*"&amp;ROUND(L151*(K151/(G151+I151+K151))/VLOOKUP(J151,商品!$A$4:$D$67,4,FALSE),0),"")</f>
        <v/>
      </c>
      <c r="AE151" t="str">
        <f>IFERROR(M151&amp;"*"&amp;ROUND(Q151*(N151/(N151+P151))/VLOOKUP(M151,职业!$A$3:$E$16,4,FALSE),0),"")</f>
        <v/>
      </c>
      <c r="AF151" t="str">
        <f>IFERROR(O151&amp;"*"&amp;ROUND(Q151*(P151/(N151+P151))/VLOOKUP(O151,职业!$A$3:$E$16,4,FALSE),0),"")</f>
        <v/>
      </c>
      <c r="AG151" t="str">
        <f>IFERROR(R151&amp;"*"&amp;ROUND(V151*(S151/(S151+U151))/VLOOKUP(R151,商品!$A$4:$D$67,4,FALSE),0),"")</f>
        <v/>
      </c>
      <c r="AH151" t="str">
        <f>IFERROR(T151&amp;"*"&amp;ROUND(V151*(U151/(S151+U151))/VLOOKUP(T151,商品!$A$4:$D$67,4,FALSE),0),"")</f>
        <v/>
      </c>
    </row>
    <row r="152" customHeight="1" spans="1:34">
      <c r="A152" s="14" t="s">
        <v>314</v>
      </c>
      <c r="C152" s="2">
        <v>5</v>
      </c>
      <c r="D152" s="2" t="s">
        <v>220</v>
      </c>
      <c r="E152" s="2" t="s">
        <v>224</v>
      </c>
      <c r="L152" s="2">
        <f>IFERROR(VLOOKUP($D152&amp;$C152,生产方式定位!$A$2:$E$39,2,FALSE)+VLOOKUP($E152&amp;$C152,生产方式定位!$F$3:$J$39,2,FALSE),0)</f>
        <v>9000</v>
      </c>
      <c r="Q152" s="2">
        <f>IFERROR(VLOOKUP($D152&amp;$C152,生产方式定位!$A$2:$E$39,3,FALSE)+VLOOKUP($E152&amp;$C152,生产方式定位!$F$3:$J$39,3,FALSE),0)</f>
        <v>2000</v>
      </c>
      <c r="V152" s="2">
        <f>IFERROR(VLOOKUP($D152&amp;$C152,生产方式定位!$A$2:$E$39,5,FALSE)+VLOOKUP($E152&amp;$C152,生产方式定位!$F$3:$J$39,5,FALSE),"错误")</f>
        <v>6340</v>
      </c>
      <c r="W152" s="3" t="str">
        <f t="shared" si="10"/>
        <v/>
      </c>
      <c r="X152" s="4" t="str">
        <f t="shared" si="11"/>
        <v/>
      </c>
      <c r="Y152" s="4" t="str">
        <f t="shared" si="12"/>
        <v/>
      </c>
      <c r="Z152" s="5">
        <f t="shared" si="13"/>
        <v>1.42</v>
      </c>
      <c r="AA152" s="6">
        <f t="shared" si="14"/>
        <v>5</v>
      </c>
      <c r="AB152" t="str">
        <f>IFERROR(F152&amp;"*"&amp;ROUND(L152*(G152/(G152+I152+K152))/VLOOKUP(F152,商品!$A$4:$D$67,4,FALSE),0),"")</f>
        <v/>
      </c>
      <c r="AC152" t="str">
        <f>IFERROR(H152&amp;"*"&amp;ROUND(L152*(I152/(G152+I152+K152))/VLOOKUP(H152,商品!$A$4:$D$67,4,FALSE),0),"")</f>
        <v/>
      </c>
      <c r="AD152" t="str">
        <f>IFERROR(J152&amp;"*"&amp;ROUND(L152*(K152/(G152+I152+K152))/VLOOKUP(J152,商品!$A$4:$D$67,4,FALSE),0),"")</f>
        <v/>
      </c>
      <c r="AE152" t="str">
        <f>IFERROR(M152&amp;"*"&amp;ROUND(Q152*(N152/(N152+P152))/VLOOKUP(M152,职业!$A$3:$E$16,4,FALSE),0),"")</f>
        <v/>
      </c>
      <c r="AF152" t="str">
        <f>IFERROR(O152&amp;"*"&amp;ROUND(Q152*(P152/(N152+P152))/VLOOKUP(O152,职业!$A$3:$E$16,4,FALSE),0),"")</f>
        <v/>
      </c>
      <c r="AG152" t="str">
        <f>IFERROR(R152&amp;"*"&amp;ROUND(V152*(S152/(S152+U152))/VLOOKUP(R152,商品!$A$4:$D$67,4,FALSE),0),"")</f>
        <v/>
      </c>
      <c r="AH152" t="str">
        <f>IFERROR(T152&amp;"*"&amp;ROUND(V152*(U152/(S152+U152))/VLOOKUP(T152,商品!$A$4:$D$67,4,FALSE),0),"")</f>
        <v/>
      </c>
    </row>
    <row r="153" customHeight="1" spans="1:34">
      <c r="A153" s="14" t="s">
        <v>314</v>
      </c>
      <c r="C153" s="2">
        <v>1</v>
      </c>
      <c r="D153" s="2" t="s">
        <v>220</v>
      </c>
      <c r="E153" s="2" t="s">
        <v>224</v>
      </c>
      <c r="L153" s="2">
        <f>IFERROR(VLOOKUP($D153&amp;$C153,生产方式定位!$A$2:$E$39,2,FALSE)+VLOOKUP($E153&amp;$C153,生产方式定位!$F$3:$J$39,2,FALSE),0)</f>
        <v>2000</v>
      </c>
      <c r="Q153" s="2">
        <f>IFERROR(VLOOKUP($D153&amp;$C153,生产方式定位!$A$2:$E$39,3,FALSE)+VLOOKUP($E153&amp;$C153,生产方式定位!$F$3:$J$39,3,FALSE),0)</f>
        <v>2000</v>
      </c>
      <c r="V153" s="2">
        <f>IFERROR(VLOOKUP($D153&amp;$C153,生产方式定位!$A$2:$E$39,5,FALSE)+VLOOKUP($E153&amp;$C153,生产方式定位!$F$3:$J$39,5,FALSE),"错误")</f>
        <v>2000</v>
      </c>
      <c r="W153" s="3" t="str">
        <f t="shared" si="10"/>
        <v/>
      </c>
      <c r="X153" s="4" t="str">
        <f t="shared" si="11"/>
        <v/>
      </c>
      <c r="Y153" s="4" t="str">
        <f t="shared" si="12"/>
        <v/>
      </c>
      <c r="Z153" s="5">
        <f t="shared" si="13"/>
        <v>1</v>
      </c>
      <c r="AA153" s="6">
        <f t="shared" si="14"/>
        <v>1</v>
      </c>
      <c r="AB153" t="str">
        <f>IFERROR(F153&amp;"*"&amp;ROUND(L153*(G153/(G153+I153+K153))/VLOOKUP(F153,商品!$A$4:$D$67,4,FALSE),0),"")</f>
        <v/>
      </c>
      <c r="AC153" t="str">
        <f>IFERROR(H153&amp;"*"&amp;ROUND(L153*(I153/(G153+I153+K153))/VLOOKUP(H153,商品!$A$4:$D$67,4,FALSE),0),"")</f>
        <v/>
      </c>
      <c r="AD153" t="str">
        <f>IFERROR(J153&amp;"*"&amp;ROUND(L153*(K153/(G153+I153+K153))/VLOOKUP(J153,商品!$A$4:$D$67,4,FALSE),0),"")</f>
        <v/>
      </c>
      <c r="AE153" t="str">
        <f>IFERROR(M153&amp;"*"&amp;ROUND(Q153*(N153/(N153+P153))/VLOOKUP(M153,职业!$A$3:$E$16,4,FALSE),0),"")</f>
        <v/>
      </c>
      <c r="AF153" t="str">
        <f>IFERROR(O153&amp;"*"&amp;ROUND(Q153*(P153/(N153+P153))/VLOOKUP(O153,职业!$A$3:$E$16,4,FALSE),0),"")</f>
        <v/>
      </c>
      <c r="AG153" t="str">
        <f>IFERROR(R153&amp;"*"&amp;ROUND(V153*(S153/(S153+U153))/VLOOKUP(R153,商品!$A$4:$D$67,4,FALSE),0),"")</f>
        <v/>
      </c>
      <c r="AH153" t="str">
        <f>IFERROR(T153&amp;"*"&amp;ROUND(V153*(U153/(S153+U153))/VLOOKUP(T153,商品!$A$4:$D$67,4,FALSE),0),"")</f>
        <v/>
      </c>
    </row>
    <row r="154" customHeight="1" spans="1:34">
      <c r="A154" s="14" t="s">
        <v>314</v>
      </c>
      <c r="C154" s="2">
        <v>2</v>
      </c>
      <c r="D154" s="2" t="s">
        <v>220</v>
      </c>
      <c r="E154" s="2" t="s">
        <v>224</v>
      </c>
      <c r="L154" s="2">
        <f>IFERROR(VLOOKUP($D154&amp;$C154,生产方式定位!$A$2:$E$39,2,FALSE)+VLOOKUP($E154&amp;$C154,生产方式定位!$F$3:$J$39,2,FALSE),0)</f>
        <v>4500</v>
      </c>
      <c r="Q154" s="2">
        <f>IFERROR(VLOOKUP($D154&amp;$C154,生产方式定位!$A$2:$E$39,3,FALSE)+VLOOKUP($E154&amp;$C154,生产方式定位!$F$3:$J$39,3,FALSE),0)</f>
        <v>2000</v>
      </c>
      <c r="V154" s="2">
        <f>IFERROR(VLOOKUP($D154&amp;$C154,生产方式定位!$A$2:$E$39,5,FALSE)+VLOOKUP($E154&amp;$C154,生产方式定位!$F$3:$J$39,5,FALSE),"错误")</f>
        <v>3340</v>
      </c>
      <c r="W154" s="3" t="str">
        <f t="shared" si="10"/>
        <v/>
      </c>
      <c r="X154" s="4" t="str">
        <f t="shared" si="11"/>
        <v/>
      </c>
      <c r="Y154" s="4" t="str">
        <f t="shared" si="12"/>
        <v/>
      </c>
      <c r="Z154" s="5">
        <f t="shared" si="13"/>
        <v>1.35</v>
      </c>
      <c r="AA154" s="6">
        <f t="shared" si="14"/>
        <v>2</v>
      </c>
      <c r="AB154" t="str">
        <f>IFERROR(F154&amp;"*"&amp;ROUND(L154*(G154/(G154+I154+K154))/VLOOKUP(F154,商品!$A$4:$D$67,4,FALSE),0),"")</f>
        <v/>
      </c>
      <c r="AC154" t="str">
        <f>IFERROR(H154&amp;"*"&amp;ROUND(L154*(I154/(G154+I154+K154))/VLOOKUP(H154,商品!$A$4:$D$67,4,FALSE),0),"")</f>
        <v/>
      </c>
      <c r="AD154" t="str">
        <f>IFERROR(J154&amp;"*"&amp;ROUND(L154*(K154/(G154+I154+K154))/VLOOKUP(J154,商品!$A$4:$D$67,4,FALSE),0),"")</f>
        <v/>
      </c>
      <c r="AE154" t="str">
        <f>IFERROR(M154&amp;"*"&amp;ROUND(Q154*(N154/(N154+P154))/VLOOKUP(M154,职业!$A$3:$E$16,4,FALSE),0),"")</f>
        <v/>
      </c>
      <c r="AF154" t="str">
        <f>IFERROR(O154&amp;"*"&amp;ROUND(Q154*(P154/(N154+P154))/VLOOKUP(O154,职业!$A$3:$E$16,4,FALSE),0),"")</f>
        <v/>
      </c>
      <c r="AG154" t="str">
        <f>IFERROR(R154&amp;"*"&amp;ROUND(V154*(S154/(S154+U154))/VLOOKUP(R154,商品!$A$4:$D$67,4,FALSE),0),"")</f>
        <v/>
      </c>
      <c r="AH154" t="str">
        <f>IFERROR(T154&amp;"*"&amp;ROUND(V154*(U154/(S154+U154))/VLOOKUP(T154,商品!$A$4:$D$67,4,FALSE),0),"")</f>
        <v/>
      </c>
    </row>
    <row r="155" customHeight="1" spans="1:34">
      <c r="A155" s="15" t="s">
        <v>314</v>
      </c>
      <c r="C155" s="2">
        <v>3</v>
      </c>
      <c r="D155" s="2" t="s">
        <v>220</v>
      </c>
      <c r="E155" s="2" t="s">
        <v>224</v>
      </c>
      <c r="L155" s="2">
        <f>IFERROR(VLOOKUP($D155&amp;$C155,生产方式定位!$A$2:$E$39,2,FALSE)+VLOOKUP($E155&amp;$C155,生产方式定位!$F$3:$J$39,2,FALSE),0)</f>
        <v>6000</v>
      </c>
      <c r="Q155" s="2">
        <f>IFERROR(VLOOKUP($D155&amp;$C155,生产方式定位!$A$2:$E$39,3,FALSE)+VLOOKUP($E155&amp;$C155,生产方式定位!$F$3:$J$39,3,FALSE),0)</f>
        <v>2000</v>
      </c>
      <c r="V155" s="2">
        <f>IFERROR(VLOOKUP($D155&amp;$C155,生产方式定位!$A$2:$E$39,5,FALSE)+VLOOKUP($E155&amp;$C155,生产方式定位!$F$3:$J$39,5,FALSE),"错误")</f>
        <v>4260</v>
      </c>
      <c r="W155" s="3" t="str">
        <f t="shared" si="10"/>
        <v/>
      </c>
      <c r="X155" s="4" t="str">
        <f t="shared" si="11"/>
        <v/>
      </c>
      <c r="Y155" s="4" t="str">
        <f t="shared" si="12"/>
        <v/>
      </c>
      <c r="Z155" s="5">
        <f t="shared" si="13"/>
        <v>1.41</v>
      </c>
      <c r="AA155" s="6">
        <f t="shared" si="14"/>
        <v>3</v>
      </c>
      <c r="AB155" t="str">
        <f>IFERROR(F155&amp;"*"&amp;ROUND(L155*(G155/(G155+I155+K155))/VLOOKUP(F155,商品!$A$4:$D$67,4,FALSE),0),"")</f>
        <v/>
      </c>
      <c r="AC155" t="str">
        <f>IFERROR(H155&amp;"*"&amp;ROUND(L155*(I155/(G155+I155+K155))/VLOOKUP(H155,商品!$A$4:$D$67,4,FALSE),0),"")</f>
        <v/>
      </c>
      <c r="AD155" t="str">
        <f>IFERROR(J155&amp;"*"&amp;ROUND(L155*(K155/(G155+I155+K155))/VLOOKUP(J155,商品!$A$4:$D$67,4,FALSE),0),"")</f>
        <v/>
      </c>
      <c r="AE155" t="str">
        <f>IFERROR(M155&amp;"*"&amp;ROUND(Q155*(N155/(N155+P155))/VLOOKUP(M155,职业!$A$3:$E$16,4,FALSE),0),"")</f>
        <v/>
      </c>
      <c r="AF155" t="str">
        <f>IFERROR(O155&amp;"*"&amp;ROUND(Q155*(P155/(N155+P155))/VLOOKUP(O155,职业!$A$3:$E$16,4,FALSE),0),"")</f>
        <v/>
      </c>
      <c r="AG155" t="str">
        <f>IFERROR(R155&amp;"*"&amp;ROUND(V155*(S155/(S155+U155))/VLOOKUP(R155,商品!$A$4:$D$67,4,FALSE),0),"")</f>
        <v/>
      </c>
      <c r="AH155" t="str">
        <f>IFERROR(T155&amp;"*"&amp;ROUND(V155*(U155/(S155+U155))/VLOOKUP(T155,商品!$A$4:$D$67,4,FALSE),0),"")</f>
        <v/>
      </c>
    </row>
    <row r="156" customHeight="1" spans="1:34">
      <c r="A156" s="15" t="s">
        <v>314</v>
      </c>
      <c r="C156" s="2">
        <v>4</v>
      </c>
      <c r="D156" s="2" t="s">
        <v>220</v>
      </c>
      <c r="E156" s="2" t="s">
        <v>224</v>
      </c>
      <c r="L156" s="2">
        <f>IFERROR(VLOOKUP($D156&amp;$C156,生产方式定位!$A$2:$E$39,2,FALSE)+VLOOKUP($E156&amp;$C156,生产方式定位!$F$3:$J$39,2,FALSE),0)</f>
        <v>7500</v>
      </c>
      <c r="Q156" s="2">
        <f>IFERROR(VLOOKUP($D156&amp;$C156,生产方式定位!$A$2:$E$39,3,FALSE)+VLOOKUP($E156&amp;$C156,生产方式定位!$F$3:$J$39,3,FALSE),0)</f>
        <v>2000</v>
      </c>
      <c r="V156" s="2">
        <f>IFERROR(VLOOKUP($D156&amp;$C156,生产方式定位!$A$2:$E$39,5,FALSE)+VLOOKUP($E156&amp;$C156,生产方式定位!$F$3:$J$39,5,FALSE),"错误")</f>
        <v>5260</v>
      </c>
      <c r="W156" s="3" t="str">
        <f t="shared" si="10"/>
        <v/>
      </c>
      <c r="X156" s="4" t="str">
        <f t="shared" si="11"/>
        <v/>
      </c>
      <c r="Y156" s="4" t="str">
        <f t="shared" si="12"/>
        <v/>
      </c>
      <c r="Z156" s="5">
        <f t="shared" si="13"/>
        <v>1.43</v>
      </c>
      <c r="AA156" s="6">
        <f t="shared" si="14"/>
        <v>4</v>
      </c>
      <c r="AB156" t="str">
        <f>IFERROR(F156&amp;"*"&amp;ROUND(L156*(G156/(G156+I156+K156))/VLOOKUP(F156,商品!$A$4:$D$67,4,FALSE),0),"")</f>
        <v/>
      </c>
      <c r="AC156" t="str">
        <f>IFERROR(H156&amp;"*"&amp;ROUND(L156*(I156/(G156+I156+K156))/VLOOKUP(H156,商品!$A$4:$D$67,4,FALSE),0),"")</f>
        <v/>
      </c>
      <c r="AD156" t="str">
        <f>IFERROR(J156&amp;"*"&amp;ROUND(L156*(K156/(G156+I156+K156))/VLOOKUP(J156,商品!$A$4:$D$67,4,FALSE),0),"")</f>
        <v/>
      </c>
      <c r="AE156" t="str">
        <f>IFERROR(M156&amp;"*"&amp;ROUND(Q156*(N156/(N156+P156))/VLOOKUP(M156,职业!$A$3:$E$16,4,FALSE),0),"")</f>
        <v/>
      </c>
      <c r="AF156" t="str">
        <f>IFERROR(O156&amp;"*"&amp;ROUND(Q156*(P156/(N156+P156))/VLOOKUP(O156,职业!$A$3:$E$16,4,FALSE),0),"")</f>
        <v/>
      </c>
      <c r="AG156" t="str">
        <f>IFERROR(R156&amp;"*"&amp;ROUND(V156*(S156/(S156+U156))/VLOOKUP(R156,商品!$A$4:$D$67,4,FALSE),0),"")</f>
        <v/>
      </c>
      <c r="AH156" t="str">
        <f>IFERROR(T156&amp;"*"&amp;ROUND(V156*(U156/(S156+U156))/VLOOKUP(T156,商品!$A$4:$D$67,4,FALSE),0),"")</f>
        <v/>
      </c>
    </row>
    <row r="157" customHeight="1" spans="1:34">
      <c r="A157" s="15" t="s">
        <v>314</v>
      </c>
      <c r="C157" s="2">
        <v>5</v>
      </c>
      <c r="D157" s="2" t="s">
        <v>220</v>
      </c>
      <c r="E157" s="2" t="s">
        <v>224</v>
      </c>
      <c r="L157" s="2">
        <f>IFERROR(VLOOKUP($D157&amp;$C157,生产方式定位!$A$2:$E$39,2,FALSE)+VLOOKUP($E157&amp;$C157,生产方式定位!$F$3:$J$39,2,FALSE),0)</f>
        <v>9000</v>
      </c>
      <c r="Q157" s="2">
        <f>IFERROR(VLOOKUP($D157&amp;$C157,生产方式定位!$A$2:$E$39,3,FALSE)+VLOOKUP($E157&amp;$C157,生产方式定位!$F$3:$J$39,3,FALSE),0)</f>
        <v>2000</v>
      </c>
      <c r="V157" s="2">
        <f>IFERROR(VLOOKUP($D157&amp;$C157,生产方式定位!$A$2:$E$39,5,FALSE)+VLOOKUP($E157&amp;$C157,生产方式定位!$F$3:$J$39,5,FALSE),"错误")</f>
        <v>6340</v>
      </c>
      <c r="W157" s="3" t="str">
        <f t="shared" si="10"/>
        <v/>
      </c>
      <c r="X157" s="4" t="str">
        <f t="shared" si="11"/>
        <v/>
      </c>
      <c r="Y157" s="4" t="str">
        <f t="shared" si="12"/>
        <v/>
      </c>
      <c r="Z157" s="5">
        <f t="shared" si="13"/>
        <v>1.42</v>
      </c>
      <c r="AA157" s="6">
        <f t="shared" si="14"/>
        <v>5</v>
      </c>
      <c r="AB157" t="str">
        <f>IFERROR(F157&amp;"*"&amp;ROUND(L157*(G157/(G157+I157+K157))/VLOOKUP(F157,商品!$A$4:$D$67,4,FALSE),0),"")</f>
        <v/>
      </c>
      <c r="AC157" t="str">
        <f>IFERROR(H157&amp;"*"&amp;ROUND(L157*(I157/(G157+I157+K157))/VLOOKUP(H157,商品!$A$4:$D$67,4,FALSE),0),"")</f>
        <v/>
      </c>
      <c r="AD157" t="str">
        <f>IFERROR(J157&amp;"*"&amp;ROUND(L157*(K157/(G157+I157+K157))/VLOOKUP(J157,商品!$A$4:$D$67,4,FALSE),0),"")</f>
        <v/>
      </c>
      <c r="AE157" t="str">
        <f>IFERROR(M157&amp;"*"&amp;ROUND(Q157*(N157/(N157+P157))/VLOOKUP(M157,职业!$A$3:$E$16,4,FALSE),0),"")</f>
        <v/>
      </c>
      <c r="AF157" t="str">
        <f>IFERROR(O157&amp;"*"&amp;ROUND(Q157*(P157/(N157+P157))/VLOOKUP(O157,职业!$A$3:$E$16,4,FALSE),0),"")</f>
        <v/>
      </c>
      <c r="AG157" t="str">
        <f>IFERROR(R157&amp;"*"&amp;ROUND(V157*(S157/(S157+U157))/VLOOKUP(R157,商品!$A$4:$D$67,4,FALSE),0),"")</f>
        <v/>
      </c>
      <c r="AH157" t="str">
        <f>IFERROR(T157&amp;"*"&amp;ROUND(V157*(U157/(S157+U157))/VLOOKUP(T157,商品!$A$4:$D$67,4,FALSE),0),"")</f>
        <v/>
      </c>
    </row>
    <row r="158" customHeight="1" spans="1:34">
      <c r="A158" s="15" t="s">
        <v>314</v>
      </c>
      <c r="C158" s="2">
        <v>1</v>
      </c>
      <c r="D158" s="2" t="s">
        <v>220</v>
      </c>
      <c r="E158" s="2" t="s">
        <v>224</v>
      </c>
      <c r="L158" s="2">
        <f>IFERROR(VLOOKUP($D158&amp;$C158,生产方式定位!$A$2:$E$39,2,FALSE)+VLOOKUP($E158&amp;$C158,生产方式定位!$F$3:$J$39,2,FALSE),0)</f>
        <v>2000</v>
      </c>
      <c r="Q158" s="2">
        <f>IFERROR(VLOOKUP($D158&amp;$C158,生产方式定位!$A$2:$E$39,3,FALSE)+VLOOKUP($E158&amp;$C158,生产方式定位!$F$3:$J$39,3,FALSE),0)</f>
        <v>2000</v>
      </c>
      <c r="V158" s="2">
        <f>IFERROR(VLOOKUP($D158&amp;$C158,生产方式定位!$A$2:$E$39,5,FALSE)+VLOOKUP($E158&amp;$C158,生产方式定位!$F$3:$J$39,5,FALSE),"错误")</f>
        <v>2000</v>
      </c>
      <c r="W158" s="3" t="str">
        <f t="shared" si="10"/>
        <v/>
      </c>
      <c r="X158" s="4" t="str">
        <f t="shared" si="11"/>
        <v/>
      </c>
      <c r="Y158" s="4" t="str">
        <f t="shared" si="12"/>
        <v/>
      </c>
      <c r="Z158" s="5">
        <f t="shared" si="13"/>
        <v>1</v>
      </c>
      <c r="AA158" s="6">
        <f t="shared" si="14"/>
        <v>1</v>
      </c>
      <c r="AB158" t="str">
        <f>IFERROR(F158&amp;"*"&amp;ROUND(L158*(G158/(G158+I158+K158))/VLOOKUP(F158,商品!$A$4:$D$67,4,FALSE),0),"")</f>
        <v/>
      </c>
      <c r="AC158" t="str">
        <f>IFERROR(H158&amp;"*"&amp;ROUND(L158*(I158/(G158+I158+K158))/VLOOKUP(H158,商品!$A$4:$D$67,4,FALSE),0),"")</f>
        <v/>
      </c>
      <c r="AD158" t="str">
        <f>IFERROR(J158&amp;"*"&amp;ROUND(L158*(K158/(G158+I158+K158))/VLOOKUP(J158,商品!$A$4:$D$67,4,FALSE),0),"")</f>
        <v/>
      </c>
      <c r="AE158" t="str">
        <f>IFERROR(M158&amp;"*"&amp;ROUND(Q158*(N158/(N158+P158))/VLOOKUP(M158,职业!$A$3:$E$16,4,FALSE),0),"")</f>
        <v/>
      </c>
      <c r="AF158" t="str">
        <f>IFERROR(O158&amp;"*"&amp;ROUND(Q158*(P158/(N158+P158))/VLOOKUP(O158,职业!$A$3:$E$16,4,FALSE),0),"")</f>
        <v/>
      </c>
      <c r="AG158" t="str">
        <f>IFERROR(R158&amp;"*"&amp;ROUND(V158*(S158/(S158+U158))/VLOOKUP(R158,商品!$A$4:$D$67,4,FALSE),0),"")</f>
        <v/>
      </c>
      <c r="AH158" t="str">
        <f>IFERROR(T158&amp;"*"&amp;ROUND(V158*(U158/(S158+U158))/VLOOKUP(T158,商品!$A$4:$D$67,4,FALSE),0),"")</f>
        <v/>
      </c>
    </row>
    <row r="159" customHeight="1" spans="1:34">
      <c r="A159" s="15" t="s">
        <v>314</v>
      </c>
      <c r="C159" s="2">
        <v>2</v>
      </c>
      <c r="D159" s="2" t="s">
        <v>220</v>
      </c>
      <c r="E159" s="2" t="s">
        <v>224</v>
      </c>
      <c r="L159" s="2">
        <f>IFERROR(VLOOKUP($D159&amp;$C159,生产方式定位!$A$2:$E$39,2,FALSE)+VLOOKUP($E159&amp;$C159,生产方式定位!$F$3:$J$39,2,FALSE),0)</f>
        <v>4500</v>
      </c>
      <c r="Q159" s="2">
        <f>IFERROR(VLOOKUP($D159&amp;$C159,生产方式定位!$A$2:$E$39,3,FALSE)+VLOOKUP($E159&amp;$C159,生产方式定位!$F$3:$J$39,3,FALSE),0)</f>
        <v>2000</v>
      </c>
      <c r="V159" s="2">
        <f>IFERROR(VLOOKUP($D159&amp;$C159,生产方式定位!$A$2:$E$39,5,FALSE)+VLOOKUP($E159&amp;$C159,生产方式定位!$F$3:$J$39,5,FALSE),"错误")</f>
        <v>3340</v>
      </c>
      <c r="W159" s="3" t="str">
        <f t="shared" si="10"/>
        <v/>
      </c>
      <c r="X159" s="4" t="str">
        <f t="shared" si="11"/>
        <v/>
      </c>
      <c r="Y159" s="4" t="str">
        <f t="shared" si="12"/>
        <v/>
      </c>
      <c r="Z159" s="5">
        <f t="shared" si="13"/>
        <v>1.35</v>
      </c>
      <c r="AA159" s="6">
        <f t="shared" si="14"/>
        <v>2</v>
      </c>
      <c r="AB159" t="str">
        <f>IFERROR(F159&amp;"*"&amp;ROUND(L159*(G159/(G159+I159+K159))/VLOOKUP(F159,商品!$A$4:$D$67,4,FALSE),0),"")</f>
        <v/>
      </c>
      <c r="AC159" t="str">
        <f>IFERROR(H159&amp;"*"&amp;ROUND(L159*(I159/(G159+I159+K159))/VLOOKUP(H159,商品!$A$4:$D$67,4,FALSE),0),"")</f>
        <v/>
      </c>
      <c r="AD159" t="str">
        <f>IFERROR(J159&amp;"*"&amp;ROUND(L159*(K159/(G159+I159+K159))/VLOOKUP(J159,商品!$A$4:$D$67,4,FALSE),0),"")</f>
        <v/>
      </c>
      <c r="AE159" t="str">
        <f>IFERROR(M159&amp;"*"&amp;ROUND(Q159*(N159/(N159+P159))/VLOOKUP(M159,职业!$A$3:$E$16,4,FALSE),0),"")</f>
        <v/>
      </c>
      <c r="AF159" t="str">
        <f>IFERROR(O159&amp;"*"&amp;ROUND(Q159*(P159/(N159+P159))/VLOOKUP(O159,职业!$A$3:$E$16,4,FALSE),0),"")</f>
        <v/>
      </c>
      <c r="AG159" t="str">
        <f>IFERROR(R159&amp;"*"&amp;ROUND(V159*(S159/(S159+U159))/VLOOKUP(R159,商品!$A$4:$D$67,4,FALSE),0),"")</f>
        <v/>
      </c>
      <c r="AH159" t="str">
        <f>IFERROR(T159&amp;"*"&amp;ROUND(V159*(U159/(S159+U159))/VLOOKUP(T159,商品!$A$4:$D$67,4,FALSE),0),"")</f>
        <v/>
      </c>
    </row>
    <row r="160" customHeight="1" spans="1:34">
      <c r="A160" s="14" t="s">
        <v>315</v>
      </c>
      <c r="C160" s="2">
        <v>3</v>
      </c>
      <c r="D160" s="2" t="s">
        <v>220</v>
      </c>
      <c r="E160" s="2" t="s">
        <v>225</v>
      </c>
      <c r="L160" s="2">
        <f>IFERROR(VLOOKUP($D160&amp;$C160,生产方式定位!$A$2:$E$39,2,FALSE)+VLOOKUP($E160&amp;$C160,生产方式定位!$F$3:$J$39,2,FALSE),0)</f>
        <v>3000</v>
      </c>
      <c r="Q160" s="2">
        <f>IFERROR(VLOOKUP($D160&amp;$C160,生产方式定位!$A$2:$E$39,3,FALSE)+VLOOKUP($E160&amp;$C160,生产方式定位!$F$3:$J$39,3,FALSE),0)</f>
        <v>2400</v>
      </c>
      <c r="V160" s="2">
        <f>IFERROR(VLOOKUP($D160&amp;$C160,生产方式定位!$A$2:$E$39,5,FALSE)+VLOOKUP($E160&amp;$C160,生产方式定位!$F$3:$J$39,5,FALSE),"错误")</f>
        <v>2700</v>
      </c>
      <c r="W160" s="3" t="str">
        <f t="shared" si="10"/>
        <v/>
      </c>
      <c r="X160" s="4" t="str">
        <f t="shared" si="11"/>
        <v/>
      </c>
      <c r="Y160" s="4" t="str">
        <f t="shared" si="12"/>
        <v/>
      </c>
      <c r="Z160" s="5">
        <f t="shared" si="13"/>
        <v>1.11</v>
      </c>
      <c r="AA160" s="6">
        <f t="shared" si="14"/>
        <v>3</v>
      </c>
      <c r="AB160" t="str">
        <f>IFERROR(F160&amp;"*"&amp;ROUND(L160*(G160/(G160+I160+K160))/VLOOKUP(F160,商品!$A$4:$D$67,4,FALSE),0),"")</f>
        <v/>
      </c>
      <c r="AC160" t="str">
        <f>IFERROR(H160&amp;"*"&amp;ROUND(L160*(I160/(G160+I160+K160))/VLOOKUP(H160,商品!$A$4:$D$67,4,FALSE),0),"")</f>
        <v/>
      </c>
      <c r="AD160" t="str">
        <f>IFERROR(J160&amp;"*"&amp;ROUND(L160*(K160/(G160+I160+K160))/VLOOKUP(J160,商品!$A$4:$D$67,4,FALSE),0),"")</f>
        <v/>
      </c>
      <c r="AE160" t="str">
        <f>IFERROR(M160&amp;"*"&amp;ROUND(Q160*(N160/(N160+P160))/VLOOKUP(M160,职业!$A$3:$E$16,4,FALSE),0),"")</f>
        <v/>
      </c>
      <c r="AF160" t="str">
        <f>IFERROR(O160&amp;"*"&amp;ROUND(Q160*(P160/(N160+P160))/VLOOKUP(O160,职业!$A$3:$E$16,4,FALSE),0),"")</f>
        <v/>
      </c>
      <c r="AG160" t="str">
        <f>IFERROR(R160&amp;"*"&amp;ROUND(V160*(S160/(S160+U160))/VLOOKUP(R160,商品!$A$4:$D$67,4,FALSE),0),"")</f>
        <v/>
      </c>
      <c r="AH160" t="str">
        <f>IFERROR(T160&amp;"*"&amp;ROUND(V160*(U160/(S160+U160))/VLOOKUP(T160,商品!$A$4:$D$67,4,FALSE),0),"")</f>
        <v/>
      </c>
    </row>
    <row r="161" customHeight="1" spans="1:34">
      <c r="A161" s="14" t="s">
        <v>315</v>
      </c>
      <c r="C161" s="2">
        <v>4</v>
      </c>
      <c r="D161" s="2" t="s">
        <v>220</v>
      </c>
      <c r="E161" s="2" t="s">
        <v>225</v>
      </c>
      <c r="L161" s="2">
        <f>IFERROR(VLOOKUP($D161&amp;$C161,生产方式定位!$A$2:$E$39,2,FALSE)+VLOOKUP($E161&amp;$C161,生产方式定位!$F$3:$J$39,2,FALSE),0)</f>
        <v>3500</v>
      </c>
      <c r="Q161" s="2">
        <f>IFERROR(VLOOKUP($D161&amp;$C161,生产方式定位!$A$2:$E$39,3,FALSE)+VLOOKUP($E161&amp;$C161,生产方式定位!$F$3:$J$39,3,FALSE),0)</f>
        <v>2600</v>
      </c>
      <c r="V161" s="2">
        <f>IFERROR(VLOOKUP($D161&amp;$C161,生产方式定位!$A$2:$E$39,5,FALSE)+VLOOKUP($E161&amp;$C161,生产方式定位!$F$3:$J$39,5,FALSE),"错误")</f>
        <v>3050</v>
      </c>
      <c r="W161" s="3" t="str">
        <f t="shared" si="10"/>
        <v/>
      </c>
      <c r="X161" s="4" t="str">
        <f t="shared" si="11"/>
        <v/>
      </c>
      <c r="Y161" s="4" t="str">
        <f t="shared" si="12"/>
        <v/>
      </c>
      <c r="Z161" s="5">
        <f t="shared" si="13"/>
        <v>1.15</v>
      </c>
      <c r="AA161" s="6">
        <f t="shared" si="14"/>
        <v>4</v>
      </c>
      <c r="AB161" t="str">
        <f>IFERROR(F161&amp;"*"&amp;ROUND(L161*(G161/(G161+I161+K161))/VLOOKUP(F161,商品!$A$4:$D$67,4,FALSE),0),"")</f>
        <v/>
      </c>
      <c r="AC161" t="str">
        <f>IFERROR(H161&amp;"*"&amp;ROUND(L161*(I161/(G161+I161+K161))/VLOOKUP(H161,商品!$A$4:$D$67,4,FALSE),0),"")</f>
        <v/>
      </c>
      <c r="AD161" t="str">
        <f>IFERROR(J161&amp;"*"&amp;ROUND(L161*(K161/(G161+I161+K161))/VLOOKUP(J161,商品!$A$4:$D$67,4,FALSE),0),"")</f>
        <v/>
      </c>
      <c r="AE161" t="str">
        <f>IFERROR(M161&amp;"*"&amp;ROUND(Q161*(N161/(N161+P161))/VLOOKUP(M161,职业!$A$3:$E$16,4,FALSE),0),"")</f>
        <v/>
      </c>
      <c r="AF161" t="str">
        <f>IFERROR(O161&amp;"*"&amp;ROUND(Q161*(P161/(N161+P161))/VLOOKUP(O161,职业!$A$3:$E$16,4,FALSE),0),"")</f>
        <v/>
      </c>
      <c r="AG161" t="str">
        <f>IFERROR(R161&amp;"*"&amp;ROUND(V161*(S161/(S161+U161))/VLOOKUP(R161,商品!$A$4:$D$67,4,FALSE),0),"")</f>
        <v/>
      </c>
      <c r="AH161" t="str">
        <f>IFERROR(T161&amp;"*"&amp;ROUND(V161*(U161/(S161+U161))/VLOOKUP(T161,商品!$A$4:$D$67,4,FALSE),0),"")</f>
        <v/>
      </c>
    </row>
    <row r="162" customHeight="1" spans="1:34">
      <c r="A162" s="14" t="s">
        <v>315</v>
      </c>
      <c r="C162" s="2">
        <v>5</v>
      </c>
      <c r="D162" s="2" t="s">
        <v>220</v>
      </c>
      <c r="E162" s="2" t="s">
        <v>225</v>
      </c>
      <c r="L162" s="2">
        <f>IFERROR(VLOOKUP($D162&amp;$C162,生产方式定位!$A$2:$E$39,2,FALSE)+VLOOKUP($E162&amp;$C162,生产方式定位!$F$3:$J$39,2,FALSE),0)</f>
        <v>4000</v>
      </c>
      <c r="Q162" s="2">
        <f>IFERROR(VLOOKUP($D162&amp;$C162,生产方式定位!$A$2:$E$39,3,FALSE)+VLOOKUP($E162&amp;$C162,生产方式定位!$F$3:$J$39,3,FALSE),0)</f>
        <v>2800</v>
      </c>
      <c r="V162" s="2">
        <f>IFERROR(VLOOKUP($D162&amp;$C162,生产方式定位!$A$2:$E$39,5,FALSE)+VLOOKUP($E162&amp;$C162,生产方式定位!$F$3:$J$39,5,FALSE),"错误")</f>
        <v>3400</v>
      </c>
      <c r="W162" s="3" t="str">
        <f t="shared" si="10"/>
        <v/>
      </c>
      <c r="X162" s="4" t="str">
        <f t="shared" si="11"/>
        <v/>
      </c>
      <c r="Y162" s="4" t="str">
        <f t="shared" si="12"/>
        <v/>
      </c>
      <c r="Z162" s="5">
        <f t="shared" si="13"/>
        <v>1.18</v>
      </c>
      <c r="AA162" s="6">
        <f t="shared" si="14"/>
        <v>5</v>
      </c>
      <c r="AB162" t="str">
        <f>IFERROR(F162&amp;"*"&amp;ROUND(L162*(G162/(G162+I162+K162))/VLOOKUP(F162,商品!$A$4:$D$67,4,FALSE),0),"")</f>
        <v/>
      </c>
      <c r="AC162" t="str">
        <f>IFERROR(H162&amp;"*"&amp;ROUND(L162*(I162/(G162+I162+K162))/VLOOKUP(H162,商品!$A$4:$D$67,4,FALSE),0),"")</f>
        <v/>
      </c>
      <c r="AD162" t="str">
        <f>IFERROR(J162&amp;"*"&amp;ROUND(L162*(K162/(G162+I162+K162))/VLOOKUP(J162,商品!$A$4:$D$67,4,FALSE),0),"")</f>
        <v/>
      </c>
      <c r="AE162" t="str">
        <f>IFERROR(M162&amp;"*"&amp;ROUND(Q162*(N162/(N162+P162))/VLOOKUP(M162,职业!$A$3:$E$16,4,FALSE),0),"")</f>
        <v/>
      </c>
      <c r="AF162" t="str">
        <f>IFERROR(O162&amp;"*"&amp;ROUND(Q162*(P162/(N162+P162))/VLOOKUP(O162,职业!$A$3:$E$16,4,FALSE),0),"")</f>
        <v/>
      </c>
      <c r="AG162" t="str">
        <f>IFERROR(R162&amp;"*"&amp;ROUND(V162*(S162/(S162+U162))/VLOOKUP(R162,商品!$A$4:$D$67,4,FALSE),0),"")</f>
        <v/>
      </c>
      <c r="AH162" t="str">
        <f>IFERROR(T162&amp;"*"&amp;ROUND(V162*(U162/(S162+U162))/VLOOKUP(T162,商品!$A$4:$D$67,4,FALSE),0),"")</f>
        <v/>
      </c>
    </row>
    <row r="163" customHeight="1" spans="1:34">
      <c r="A163" s="14" t="s">
        <v>315</v>
      </c>
      <c r="C163" s="2">
        <v>1</v>
      </c>
      <c r="D163" s="2" t="s">
        <v>220</v>
      </c>
      <c r="E163" s="2" t="s">
        <v>225</v>
      </c>
      <c r="L163" s="2">
        <f>IFERROR(VLOOKUP($D163&amp;$C163,生产方式定位!$A$2:$E$39,2,FALSE)+VLOOKUP($E163&amp;$C163,生产方式定位!$F$3:$J$39,2,FALSE),0)</f>
        <v>2000</v>
      </c>
      <c r="Q163" s="2">
        <f>IFERROR(VLOOKUP($D163&amp;$C163,生产方式定位!$A$2:$E$39,3,FALSE)+VLOOKUP($E163&amp;$C163,生产方式定位!$F$3:$J$39,3,FALSE),0)</f>
        <v>2000</v>
      </c>
      <c r="V163" s="2">
        <f>IFERROR(VLOOKUP($D163&amp;$C163,生产方式定位!$A$2:$E$39,5,FALSE)+VLOOKUP($E163&amp;$C163,生产方式定位!$F$3:$J$39,5,FALSE),"错误")</f>
        <v>2000</v>
      </c>
      <c r="W163" s="3" t="str">
        <f t="shared" si="10"/>
        <v/>
      </c>
      <c r="X163" s="4" t="str">
        <f t="shared" si="11"/>
        <v/>
      </c>
      <c r="Y163" s="4" t="str">
        <f t="shared" si="12"/>
        <v/>
      </c>
      <c r="Z163" s="5">
        <f t="shared" si="13"/>
        <v>1</v>
      </c>
      <c r="AA163" s="6">
        <f t="shared" si="14"/>
        <v>1</v>
      </c>
      <c r="AB163" t="str">
        <f>IFERROR(F163&amp;"*"&amp;ROUND(L163*(G163/(G163+I163+K163))/VLOOKUP(F163,商品!$A$4:$D$67,4,FALSE),0),"")</f>
        <v/>
      </c>
      <c r="AC163" t="str">
        <f>IFERROR(H163&amp;"*"&amp;ROUND(L163*(I163/(G163+I163+K163))/VLOOKUP(H163,商品!$A$4:$D$67,4,FALSE),0),"")</f>
        <v/>
      </c>
      <c r="AD163" t="str">
        <f>IFERROR(J163&amp;"*"&amp;ROUND(L163*(K163/(G163+I163+K163))/VLOOKUP(J163,商品!$A$4:$D$67,4,FALSE),0),"")</f>
        <v/>
      </c>
      <c r="AE163" t="str">
        <f>IFERROR(M163&amp;"*"&amp;ROUND(Q163*(N163/(N163+P163))/VLOOKUP(M163,职业!$A$3:$E$16,4,FALSE),0),"")</f>
        <v/>
      </c>
      <c r="AF163" t="str">
        <f>IFERROR(O163&amp;"*"&amp;ROUND(Q163*(P163/(N163+P163))/VLOOKUP(O163,职业!$A$3:$E$16,4,FALSE),0),"")</f>
        <v/>
      </c>
      <c r="AG163" t="str">
        <f>IFERROR(R163&amp;"*"&amp;ROUND(V163*(S163/(S163+U163))/VLOOKUP(R163,商品!$A$4:$D$67,4,FALSE),0),"")</f>
        <v/>
      </c>
      <c r="AH163" t="str">
        <f>IFERROR(T163&amp;"*"&amp;ROUND(V163*(U163/(S163+U163))/VLOOKUP(T163,商品!$A$4:$D$67,4,FALSE),0),"")</f>
        <v/>
      </c>
    </row>
    <row r="164" customHeight="1" spans="1:34">
      <c r="A164" s="14" t="s">
        <v>315</v>
      </c>
      <c r="C164" s="2">
        <v>2</v>
      </c>
      <c r="D164" s="2" t="s">
        <v>220</v>
      </c>
      <c r="E164" s="2" t="s">
        <v>225</v>
      </c>
      <c r="L164" s="2">
        <f>IFERROR(VLOOKUP($D164&amp;$C164,生产方式定位!$A$2:$E$39,2,FALSE)+VLOOKUP($E164&amp;$C164,生产方式定位!$F$3:$J$39,2,FALSE),0)</f>
        <v>2500</v>
      </c>
      <c r="Q164" s="2">
        <f>IFERROR(VLOOKUP($D164&amp;$C164,生产方式定位!$A$2:$E$39,3,FALSE)+VLOOKUP($E164&amp;$C164,生产方式定位!$F$3:$J$39,3,FALSE),0)</f>
        <v>2200</v>
      </c>
      <c r="V164" s="2">
        <f>IFERROR(VLOOKUP($D164&amp;$C164,生产方式定位!$A$2:$E$39,5,FALSE)+VLOOKUP($E164&amp;$C164,生产方式定位!$F$3:$J$39,5,FALSE),"错误")</f>
        <v>2350</v>
      </c>
      <c r="W164" s="3" t="str">
        <f t="shared" si="10"/>
        <v/>
      </c>
      <c r="X164" s="4" t="str">
        <f t="shared" si="11"/>
        <v/>
      </c>
      <c r="Y164" s="4" t="str">
        <f t="shared" si="12"/>
        <v/>
      </c>
      <c r="Z164" s="5">
        <f t="shared" si="13"/>
        <v>1.06</v>
      </c>
      <c r="AA164" s="6">
        <f t="shared" si="14"/>
        <v>2</v>
      </c>
      <c r="AB164" t="str">
        <f>IFERROR(F164&amp;"*"&amp;ROUND(L164*(G164/(G164+I164+K164))/VLOOKUP(F164,商品!$A$4:$D$67,4,FALSE),0),"")</f>
        <v/>
      </c>
      <c r="AC164" t="str">
        <f>IFERROR(H164&amp;"*"&amp;ROUND(L164*(I164/(G164+I164+K164))/VLOOKUP(H164,商品!$A$4:$D$67,4,FALSE),0),"")</f>
        <v/>
      </c>
      <c r="AD164" t="str">
        <f>IFERROR(J164&amp;"*"&amp;ROUND(L164*(K164/(G164+I164+K164))/VLOOKUP(J164,商品!$A$4:$D$67,4,FALSE),0),"")</f>
        <v/>
      </c>
      <c r="AE164" t="str">
        <f>IFERROR(M164&amp;"*"&amp;ROUND(Q164*(N164/(N164+P164))/VLOOKUP(M164,职业!$A$3:$E$16,4,FALSE),0),"")</f>
        <v/>
      </c>
      <c r="AF164" t="str">
        <f>IFERROR(O164&amp;"*"&amp;ROUND(Q164*(P164/(N164+P164))/VLOOKUP(O164,职业!$A$3:$E$16,4,FALSE),0),"")</f>
        <v/>
      </c>
      <c r="AG164" t="str">
        <f>IFERROR(R164&amp;"*"&amp;ROUND(V164*(S164/(S164+U164))/VLOOKUP(R164,商品!$A$4:$D$67,4,FALSE),0),"")</f>
        <v/>
      </c>
      <c r="AH164" t="str">
        <f>IFERROR(T164&amp;"*"&amp;ROUND(V164*(U164/(S164+U164))/VLOOKUP(T164,商品!$A$4:$D$67,4,FALSE),0),"")</f>
        <v/>
      </c>
    </row>
    <row r="165" customHeight="1" spans="1:34">
      <c r="A165" s="14" t="s">
        <v>315</v>
      </c>
      <c r="C165" s="2">
        <v>3</v>
      </c>
      <c r="D165" s="2" t="s">
        <v>220</v>
      </c>
      <c r="E165" s="2" t="s">
        <v>225</v>
      </c>
      <c r="L165" s="2">
        <f>IFERROR(VLOOKUP($D165&amp;$C165,生产方式定位!$A$2:$E$39,2,FALSE)+VLOOKUP($E165&amp;$C165,生产方式定位!$F$3:$J$39,2,FALSE),0)</f>
        <v>3000</v>
      </c>
      <c r="Q165" s="2">
        <f>IFERROR(VLOOKUP($D165&amp;$C165,生产方式定位!$A$2:$E$39,3,FALSE)+VLOOKUP($E165&amp;$C165,生产方式定位!$F$3:$J$39,3,FALSE),0)</f>
        <v>2400</v>
      </c>
      <c r="V165" s="2">
        <f>IFERROR(VLOOKUP($D165&amp;$C165,生产方式定位!$A$2:$E$39,5,FALSE)+VLOOKUP($E165&amp;$C165,生产方式定位!$F$3:$J$39,5,FALSE),"错误")</f>
        <v>2700</v>
      </c>
      <c r="W165" s="3" t="str">
        <f t="shared" si="10"/>
        <v/>
      </c>
      <c r="X165" s="4" t="str">
        <f t="shared" si="11"/>
        <v/>
      </c>
      <c r="Y165" s="4" t="str">
        <f t="shared" si="12"/>
        <v/>
      </c>
      <c r="Z165" s="5">
        <f t="shared" si="13"/>
        <v>1.11</v>
      </c>
      <c r="AA165" s="6">
        <f t="shared" si="14"/>
        <v>3</v>
      </c>
      <c r="AB165" t="str">
        <f>IFERROR(F165&amp;"*"&amp;ROUND(L165*(G165/(G165+I165+K165))/VLOOKUP(F165,商品!$A$4:$D$67,4,FALSE),0),"")</f>
        <v/>
      </c>
      <c r="AC165" t="str">
        <f>IFERROR(H165&amp;"*"&amp;ROUND(L165*(I165/(G165+I165+K165))/VLOOKUP(H165,商品!$A$4:$D$67,4,FALSE),0),"")</f>
        <v/>
      </c>
      <c r="AD165" t="str">
        <f>IFERROR(J165&amp;"*"&amp;ROUND(L165*(K165/(G165+I165+K165))/VLOOKUP(J165,商品!$A$4:$D$67,4,FALSE),0),"")</f>
        <v/>
      </c>
      <c r="AE165" t="str">
        <f>IFERROR(M165&amp;"*"&amp;ROUND(Q165*(N165/(N165+P165))/VLOOKUP(M165,职业!$A$3:$E$16,4,FALSE),0),"")</f>
        <v/>
      </c>
      <c r="AF165" t="str">
        <f>IFERROR(O165&amp;"*"&amp;ROUND(Q165*(P165/(N165+P165))/VLOOKUP(O165,职业!$A$3:$E$16,4,FALSE),0),"")</f>
        <v/>
      </c>
      <c r="AG165" t="str">
        <f>IFERROR(R165&amp;"*"&amp;ROUND(V165*(S165/(S165+U165))/VLOOKUP(R165,商品!$A$4:$D$67,4,FALSE),0),"")</f>
        <v/>
      </c>
      <c r="AH165" t="str">
        <f>IFERROR(T165&amp;"*"&amp;ROUND(V165*(U165/(S165+U165))/VLOOKUP(T165,商品!$A$4:$D$67,4,FALSE),0),"")</f>
        <v/>
      </c>
    </row>
    <row r="166" customHeight="1" spans="1:34">
      <c r="A166" s="14" t="s">
        <v>315</v>
      </c>
      <c r="C166" s="2">
        <v>4</v>
      </c>
      <c r="D166" s="2" t="s">
        <v>220</v>
      </c>
      <c r="E166" s="2" t="s">
        <v>225</v>
      </c>
      <c r="L166" s="2">
        <f>IFERROR(VLOOKUP($D166&amp;$C166,生产方式定位!$A$2:$E$39,2,FALSE)+VLOOKUP($E166&amp;$C166,生产方式定位!$F$3:$J$39,2,FALSE),0)</f>
        <v>3500</v>
      </c>
      <c r="Q166" s="2">
        <f>IFERROR(VLOOKUP($D166&amp;$C166,生产方式定位!$A$2:$E$39,3,FALSE)+VLOOKUP($E166&amp;$C166,生产方式定位!$F$3:$J$39,3,FALSE),0)</f>
        <v>2600</v>
      </c>
      <c r="V166" s="2">
        <f>IFERROR(VLOOKUP($D166&amp;$C166,生产方式定位!$A$2:$E$39,5,FALSE)+VLOOKUP($E166&amp;$C166,生产方式定位!$F$3:$J$39,5,FALSE),"错误")</f>
        <v>3050</v>
      </c>
      <c r="W166" s="3" t="str">
        <f t="shared" si="10"/>
        <v/>
      </c>
      <c r="X166" s="4" t="str">
        <f t="shared" si="11"/>
        <v/>
      </c>
      <c r="Y166" s="4" t="str">
        <f t="shared" si="12"/>
        <v/>
      </c>
      <c r="Z166" s="5">
        <f t="shared" si="13"/>
        <v>1.15</v>
      </c>
      <c r="AA166" s="6">
        <f t="shared" si="14"/>
        <v>4</v>
      </c>
      <c r="AB166" t="str">
        <f>IFERROR(F166&amp;"*"&amp;ROUND(L166*(G166/(G166+I166+K166))/VLOOKUP(F166,商品!$A$4:$D$67,4,FALSE),0),"")</f>
        <v/>
      </c>
      <c r="AC166" t="str">
        <f>IFERROR(H166&amp;"*"&amp;ROUND(L166*(I166/(G166+I166+K166))/VLOOKUP(H166,商品!$A$4:$D$67,4,FALSE),0),"")</f>
        <v/>
      </c>
      <c r="AD166" t="str">
        <f>IFERROR(J166&amp;"*"&amp;ROUND(L166*(K166/(G166+I166+K166))/VLOOKUP(J166,商品!$A$4:$D$67,4,FALSE),0),"")</f>
        <v/>
      </c>
      <c r="AE166" t="str">
        <f>IFERROR(M166&amp;"*"&amp;ROUND(Q166*(N166/(N166+P166))/VLOOKUP(M166,职业!$A$3:$E$16,4,FALSE),0),"")</f>
        <v/>
      </c>
      <c r="AF166" t="str">
        <f>IFERROR(O166&amp;"*"&amp;ROUND(Q166*(P166/(N166+P166))/VLOOKUP(O166,职业!$A$3:$E$16,4,FALSE),0),"")</f>
        <v/>
      </c>
      <c r="AG166" t="str">
        <f>IFERROR(R166&amp;"*"&amp;ROUND(V166*(S166/(S166+U166))/VLOOKUP(R166,商品!$A$4:$D$67,4,FALSE),0),"")</f>
        <v/>
      </c>
      <c r="AH166" t="str">
        <f>IFERROR(T166&amp;"*"&amp;ROUND(V166*(U166/(S166+U166))/VLOOKUP(T166,商品!$A$4:$D$67,4,FALSE),0),"")</f>
        <v/>
      </c>
    </row>
    <row r="167" customHeight="1" spans="1:34">
      <c r="A167" s="14" t="s">
        <v>315</v>
      </c>
      <c r="C167" s="2">
        <v>5</v>
      </c>
      <c r="D167" s="2" t="s">
        <v>220</v>
      </c>
      <c r="E167" s="2" t="s">
        <v>225</v>
      </c>
      <c r="L167" s="2">
        <f>IFERROR(VLOOKUP($D167&amp;$C167,生产方式定位!$A$2:$E$39,2,FALSE)+VLOOKUP($E167&amp;$C167,生产方式定位!$F$3:$J$39,2,FALSE),0)</f>
        <v>4000</v>
      </c>
      <c r="Q167" s="2">
        <f>IFERROR(VLOOKUP($D167&amp;$C167,生产方式定位!$A$2:$E$39,3,FALSE)+VLOOKUP($E167&amp;$C167,生产方式定位!$F$3:$J$39,3,FALSE),0)</f>
        <v>2800</v>
      </c>
      <c r="V167" s="2">
        <f>IFERROR(VLOOKUP($D167&amp;$C167,生产方式定位!$A$2:$E$39,5,FALSE)+VLOOKUP($E167&amp;$C167,生产方式定位!$F$3:$J$39,5,FALSE),"错误")</f>
        <v>3400</v>
      </c>
      <c r="W167" s="3" t="str">
        <f t="shared" si="10"/>
        <v/>
      </c>
      <c r="X167" s="4" t="str">
        <f t="shared" si="11"/>
        <v/>
      </c>
      <c r="Y167" s="4" t="str">
        <f t="shared" si="12"/>
        <v/>
      </c>
      <c r="Z167" s="5">
        <f t="shared" si="13"/>
        <v>1.18</v>
      </c>
      <c r="AA167" s="6">
        <f t="shared" si="14"/>
        <v>5</v>
      </c>
      <c r="AB167" t="str">
        <f>IFERROR(F167&amp;"*"&amp;ROUND(L167*(G167/(G167+I167+K167))/VLOOKUP(F167,商品!$A$4:$D$67,4,FALSE),0),"")</f>
        <v/>
      </c>
      <c r="AC167" t="str">
        <f>IFERROR(H167&amp;"*"&amp;ROUND(L167*(I167/(G167+I167+K167))/VLOOKUP(H167,商品!$A$4:$D$67,4,FALSE),0),"")</f>
        <v/>
      </c>
      <c r="AD167" t="str">
        <f>IFERROR(J167&amp;"*"&amp;ROUND(L167*(K167/(G167+I167+K167))/VLOOKUP(J167,商品!$A$4:$D$67,4,FALSE),0),"")</f>
        <v/>
      </c>
      <c r="AE167" t="str">
        <f>IFERROR(M167&amp;"*"&amp;ROUND(Q167*(N167/(N167+P167))/VLOOKUP(M167,职业!$A$3:$E$16,4,FALSE),0),"")</f>
        <v/>
      </c>
      <c r="AF167" t="str">
        <f>IFERROR(O167&amp;"*"&amp;ROUND(Q167*(P167/(N167+P167))/VLOOKUP(O167,职业!$A$3:$E$16,4,FALSE),0),"")</f>
        <v/>
      </c>
      <c r="AG167" t="str">
        <f>IFERROR(R167&amp;"*"&amp;ROUND(V167*(S167/(S167+U167))/VLOOKUP(R167,商品!$A$4:$D$67,4,FALSE),0),"")</f>
        <v/>
      </c>
      <c r="AH167" t="str">
        <f>IFERROR(T167&amp;"*"&amp;ROUND(V167*(U167/(S167+U167))/VLOOKUP(T167,商品!$A$4:$D$67,4,FALSE),0),"")</f>
        <v/>
      </c>
    </row>
    <row r="168" customHeight="1" spans="1:34">
      <c r="A168" s="15" t="s">
        <v>317</v>
      </c>
      <c r="C168" s="2">
        <v>6</v>
      </c>
      <c r="D168" s="2" t="s">
        <v>220</v>
      </c>
      <c r="E168" s="2" t="s">
        <v>222</v>
      </c>
      <c r="L168" s="2">
        <f>IFERROR(VLOOKUP($D168&amp;$C168,生产方式定位!$A$2:$E$39,2,FALSE)+VLOOKUP($E168&amp;$C168,生产方式定位!$F$3:$J$39,2,FALSE),0)</f>
        <v>0</v>
      </c>
      <c r="Q168" s="2">
        <f>IFERROR(VLOOKUP($D168&amp;$C168,生产方式定位!$A$2:$E$39,3,FALSE)+VLOOKUP($E168&amp;$C168,生产方式定位!$F$3:$J$39,3,FALSE),0)</f>
        <v>0</v>
      </c>
      <c r="V168" s="2" t="str">
        <f>IFERROR(VLOOKUP($D168&amp;$C168,生产方式定位!$A$2:$E$39,5,FALSE)+VLOOKUP($E168&amp;$C168,生产方式定位!$F$3:$J$39,5,FALSE),"错误")</f>
        <v>错误</v>
      </c>
      <c r="W168" s="3" t="str">
        <f t="shared" si="10"/>
        <v/>
      </c>
      <c r="X168" s="4" t="str">
        <f t="shared" si="11"/>
        <v/>
      </c>
      <c r="Y168" s="4" t="str">
        <f t="shared" si="12"/>
        <v/>
      </c>
      <c r="Z168" s="5" t="str">
        <f t="shared" si="13"/>
        <v/>
      </c>
      <c r="AA168" s="6">
        <f t="shared" si="14"/>
        <v>6</v>
      </c>
      <c r="AB168" t="str">
        <f>IFERROR(F168&amp;"*"&amp;ROUND(L168*(G168/(G168+I168+K168))/VLOOKUP(F168,商品!$A$4:$D$67,4,FALSE),0),"")</f>
        <v/>
      </c>
      <c r="AC168" t="str">
        <f>IFERROR(H168&amp;"*"&amp;ROUND(L168*(I168/(G168+I168+K168))/VLOOKUP(H168,商品!$A$4:$D$67,4,FALSE),0),"")</f>
        <v/>
      </c>
      <c r="AD168" t="str">
        <f>IFERROR(J168&amp;"*"&amp;ROUND(L168*(K168/(G168+I168+K168))/VLOOKUP(J168,商品!$A$4:$D$67,4,FALSE),0),"")</f>
        <v/>
      </c>
      <c r="AE168" t="str">
        <f>IFERROR(M168&amp;"*"&amp;ROUND(Q168*(N168/(N168+P168))/VLOOKUP(M168,职业!$A$3:$E$16,4,FALSE),0),"")</f>
        <v/>
      </c>
      <c r="AF168" t="str">
        <f>IFERROR(O168&amp;"*"&amp;ROUND(Q168*(P168/(N168+P168))/VLOOKUP(O168,职业!$A$3:$E$16,4,FALSE),0),"")</f>
        <v/>
      </c>
      <c r="AG168" t="str">
        <f>IFERROR(R168&amp;"*"&amp;ROUND(V168*(S168/(S168+U168))/VLOOKUP(R168,商品!$A$4:$D$67,4,FALSE),0),"")</f>
        <v/>
      </c>
      <c r="AH168" t="str">
        <f>IFERROR(T168&amp;"*"&amp;ROUND(V168*(U168/(S168+U168))/VLOOKUP(T168,商品!$A$4:$D$67,4,FALSE),0),"")</f>
        <v/>
      </c>
    </row>
    <row r="169" customHeight="1" spans="1:34">
      <c r="A169" s="15" t="s">
        <v>317</v>
      </c>
      <c r="C169" s="2">
        <v>7</v>
      </c>
      <c r="D169" s="2" t="s">
        <v>220</v>
      </c>
      <c r="E169" s="2" t="s">
        <v>222</v>
      </c>
      <c r="L169" s="2">
        <f>IFERROR(VLOOKUP($D169&amp;$C169,生产方式定位!$A$2:$E$39,2,FALSE)+VLOOKUP($E169&amp;$C169,生产方式定位!$F$3:$J$39,2,FALSE),0)</f>
        <v>0</v>
      </c>
      <c r="Q169" s="2">
        <f>IFERROR(VLOOKUP($D169&amp;$C169,生产方式定位!$A$2:$E$39,3,FALSE)+VLOOKUP($E169&amp;$C169,生产方式定位!$F$3:$J$39,3,FALSE),0)</f>
        <v>0</v>
      </c>
      <c r="V169" s="2" t="str">
        <f>IFERROR(VLOOKUP($D169&amp;$C169,生产方式定位!$A$2:$E$39,5,FALSE)+VLOOKUP($E169&amp;$C169,生产方式定位!$F$3:$J$39,5,FALSE),"错误")</f>
        <v>错误</v>
      </c>
      <c r="W169" s="3" t="str">
        <f t="shared" si="10"/>
        <v/>
      </c>
      <c r="X169" s="4" t="str">
        <f t="shared" si="11"/>
        <v/>
      </c>
      <c r="Y169" s="4" t="str">
        <f t="shared" si="12"/>
        <v/>
      </c>
      <c r="Z169" s="5" t="str">
        <f t="shared" si="13"/>
        <v/>
      </c>
      <c r="AA169" s="6">
        <f t="shared" si="14"/>
        <v>7</v>
      </c>
      <c r="AB169" t="str">
        <f>IFERROR(F169&amp;"*"&amp;ROUND(L169*(G169/(G169+I169+K169))/VLOOKUP(F169,商品!$A$4:$D$67,4,FALSE),0),"")</f>
        <v/>
      </c>
      <c r="AC169" t="str">
        <f>IFERROR(H169&amp;"*"&amp;ROUND(L169*(I169/(G169+I169+K169))/VLOOKUP(H169,商品!$A$4:$D$67,4,FALSE),0),"")</f>
        <v/>
      </c>
      <c r="AD169" t="str">
        <f>IFERROR(J169&amp;"*"&amp;ROUND(L169*(K169/(G169+I169+K169))/VLOOKUP(J169,商品!$A$4:$D$67,4,FALSE),0),"")</f>
        <v/>
      </c>
      <c r="AE169" t="str">
        <f>IFERROR(M169&amp;"*"&amp;ROUND(Q169*(N169/(N169+P169))/VLOOKUP(M169,职业!$A$3:$E$16,4,FALSE),0),"")</f>
        <v/>
      </c>
      <c r="AF169" t="str">
        <f>IFERROR(O169&amp;"*"&amp;ROUND(Q169*(P169/(N169+P169))/VLOOKUP(O169,职业!$A$3:$E$16,4,FALSE),0),"")</f>
        <v/>
      </c>
      <c r="AG169" t="str">
        <f>IFERROR(R169&amp;"*"&amp;ROUND(V169*(S169/(S169+U169))/VLOOKUP(R169,商品!$A$4:$D$67,4,FALSE),0),"")</f>
        <v/>
      </c>
      <c r="AH169" t="str">
        <f>IFERROR(T169&amp;"*"&amp;ROUND(V169*(U169/(S169+U169))/VLOOKUP(T169,商品!$A$4:$D$67,4,FALSE),0),"")</f>
        <v/>
      </c>
    </row>
    <row r="170" customHeight="1" spans="1:34">
      <c r="A170" s="15" t="s">
        <v>317</v>
      </c>
      <c r="C170" s="2">
        <v>8</v>
      </c>
      <c r="D170" s="2" t="s">
        <v>220</v>
      </c>
      <c r="E170" s="2" t="s">
        <v>222</v>
      </c>
      <c r="L170" s="2">
        <f>IFERROR(VLOOKUP($D170&amp;$C170,生产方式定位!$A$2:$E$39,2,FALSE)+VLOOKUP($E170&amp;$C170,生产方式定位!$F$3:$J$39,2,FALSE),0)</f>
        <v>0</v>
      </c>
      <c r="Q170" s="2">
        <f>IFERROR(VLOOKUP($D170&amp;$C170,生产方式定位!$A$2:$E$39,3,FALSE)+VLOOKUP($E170&amp;$C170,生产方式定位!$F$3:$J$39,3,FALSE),0)</f>
        <v>0</v>
      </c>
      <c r="V170" s="2" t="str">
        <f>IFERROR(VLOOKUP($D170&amp;$C170,生产方式定位!$A$2:$E$39,5,FALSE)+VLOOKUP($E170&amp;$C170,生产方式定位!$F$3:$J$39,5,FALSE),"错误")</f>
        <v>错误</v>
      </c>
      <c r="W170" s="3" t="str">
        <f t="shared" si="10"/>
        <v/>
      </c>
      <c r="X170" s="4" t="str">
        <f t="shared" si="11"/>
        <v/>
      </c>
      <c r="Y170" s="4" t="str">
        <f t="shared" si="12"/>
        <v/>
      </c>
      <c r="Z170" s="5" t="str">
        <f t="shared" si="13"/>
        <v/>
      </c>
      <c r="AA170" s="6">
        <f t="shared" si="14"/>
        <v>8</v>
      </c>
      <c r="AB170" t="str">
        <f>IFERROR(F170&amp;"*"&amp;ROUND(L170*(G170/(G170+I170+K170))/VLOOKUP(F170,商品!$A$4:$D$67,4,FALSE),0),"")</f>
        <v/>
      </c>
      <c r="AC170" t="str">
        <f>IFERROR(H170&amp;"*"&amp;ROUND(L170*(I170/(G170+I170+K170))/VLOOKUP(H170,商品!$A$4:$D$67,4,FALSE),0),"")</f>
        <v/>
      </c>
      <c r="AD170" t="str">
        <f>IFERROR(J170&amp;"*"&amp;ROUND(L170*(K170/(G170+I170+K170))/VLOOKUP(J170,商品!$A$4:$D$67,4,FALSE),0),"")</f>
        <v/>
      </c>
      <c r="AE170" t="str">
        <f>IFERROR(M170&amp;"*"&amp;ROUND(Q170*(N170/(N170+P170))/VLOOKUP(M170,职业!$A$3:$E$16,4,FALSE),0),"")</f>
        <v/>
      </c>
      <c r="AF170" t="str">
        <f>IFERROR(O170&amp;"*"&amp;ROUND(Q170*(P170/(N170+P170))/VLOOKUP(O170,职业!$A$3:$E$16,4,FALSE),0),"")</f>
        <v/>
      </c>
      <c r="AG170" t="str">
        <f>IFERROR(R170&amp;"*"&amp;ROUND(V170*(S170/(S170+U170))/VLOOKUP(R170,商品!$A$4:$D$67,4,FALSE),0),"")</f>
        <v/>
      </c>
      <c r="AH170" t="str">
        <f>IFERROR(T170&amp;"*"&amp;ROUND(V170*(U170/(S170+U170))/VLOOKUP(T170,商品!$A$4:$D$67,4,FALSE),0),"")</f>
        <v/>
      </c>
    </row>
    <row r="171" customHeight="1" spans="1:34">
      <c r="A171" s="15" t="s">
        <v>317</v>
      </c>
      <c r="C171" s="2">
        <v>1</v>
      </c>
      <c r="D171" s="2" t="s">
        <v>220</v>
      </c>
      <c r="E171" s="2" t="s">
        <v>222</v>
      </c>
      <c r="L171" s="2">
        <f>IFERROR(VLOOKUP($D171&amp;$C171,生产方式定位!$A$2:$E$39,2,FALSE)+VLOOKUP($E171&amp;$C171,生产方式定位!$F$3:$J$39,2,FALSE),0)</f>
        <v>2000</v>
      </c>
      <c r="Q171" s="2">
        <f>IFERROR(VLOOKUP($D171&amp;$C171,生产方式定位!$A$2:$E$39,3,FALSE)+VLOOKUP($E171&amp;$C171,生产方式定位!$F$3:$J$39,3,FALSE),0)</f>
        <v>2000</v>
      </c>
      <c r="V171" s="2">
        <f>IFERROR(VLOOKUP($D171&amp;$C171,生产方式定位!$A$2:$E$39,5,FALSE)+VLOOKUP($E171&amp;$C171,生产方式定位!$F$3:$J$39,5,FALSE),"错误")</f>
        <v>2000</v>
      </c>
      <c r="W171" s="3" t="str">
        <f t="shared" si="10"/>
        <v/>
      </c>
      <c r="X171" s="4" t="str">
        <f t="shared" si="11"/>
        <v/>
      </c>
      <c r="Y171" s="4" t="str">
        <f t="shared" si="12"/>
        <v/>
      </c>
      <c r="Z171" s="5">
        <f t="shared" si="13"/>
        <v>1</v>
      </c>
      <c r="AA171" s="6">
        <f t="shared" si="14"/>
        <v>1</v>
      </c>
      <c r="AB171" t="str">
        <f>IFERROR(F171&amp;"*"&amp;ROUND(L171*(G171/(G171+I171+K171))/VLOOKUP(F171,商品!$A$4:$D$67,4,FALSE),0),"")</f>
        <v/>
      </c>
      <c r="AC171" t="str">
        <f>IFERROR(H171&amp;"*"&amp;ROUND(L171*(I171/(G171+I171+K171))/VLOOKUP(H171,商品!$A$4:$D$67,4,FALSE),0),"")</f>
        <v/>
      </c>
      <c r="AD171" t="str">
        <f>IFERROR(J171&amp;"*"&amp;ROUND(L171*(K171/(G171+I171+K171))/VLOOKUP(J171,商品!$A$4:$D$67,4,FALSE),0),"")</f>
        <v/>
      </c>
      <c r="AE171" t="str">
        <f>IFERROR(M171&amp;"*"&amp;ROUND(Q171*(N171/(N171+P171))/VLOOKUP(M171,职业!$A$3:$E$16,4,FALSE),0),"")</f>
        <v/>
      </c>
      <c r="AF171" t="str">
        <f>IFERROR(O171&amp;"*"&amp;ROUND(Q171*(P171/(N171+P171))/VLOOKUP(O171,职业!$A$3:$E$16,4,FALSE),0),"")</f>
        <v/>
      </c>
      <c r="AG171" t="str">
        <f>IFERROR(R171&amp;"*"&amp;ROUND(V171*(S171/(S171+U171))/VLOOKUP(R171,商品!$A$4:$D$67,4,FALSE),0),"")</f>
        <v/>
      </c>
      <c r="AH171" t="str">
        <f>IFERROR(T171&amp;"*"&amp;ROUND(V171*(U171/(S171+U171))/VLOOKUP(T171,商品!$A$4:$D$67,4,FALSE),0),"")</f>
        <v/>
      </c>
    </row>
    <row r="172" customHeight="1" spans="1:34">
      <c r="A172" s="15" t="s">
        <v>317</v>
      </c>
      <c r="C172" s="2">
        <v>2</v>
      </c>
      <c r="D172" s="2" t="s">
        <v>220</v>
      </c>
      <c r="E172" s="2" t="s">
        <v>222</v>
      </c>
      <c r="L172" s="2">
        <f>IFERROR(VLOOKUP($D172&amp;$C172,生产方式定位!$A$2:$E$39,2,FALSE)+VLOOKUP($E172&amp;$C172,生产方式定位!$F$3:$J$39,2,FALSE),0)</f>
        <v>3500</v>
      </c>
      <c r="Q172" s="2">
        <f>IFERROR(VLOOKUP($D172&amp;$C172,生产方式定位!$A$2:$E$39,3,FALSE)+VLOOKUP($E172&amp;$C172,生产方式定位!$F$3:$J$39,3,FALSE),0)</f>
        <v>2400</v>
      </c>
      <c r="V172" s="2">
        <f>IFERROR(VLOOKUP($D172&amp;$C172,生产方式定位!$A$2:$E$39,5,FALSE)+VLOOKUP($E172&amp;$C172,生产方式定位!$F$3:$J$39,5,FALSE),"错误")</f>
        <v>3022</v>
      </c>
      <c r="W172" s="3" t="str">
        <f t="shared" si="10"/>
        <v/>
      </c>
      <c r="X172" s="4" t="str">
        <f t="shared" si="11"/>
        <v/>
      </c>
      <c r="Y172" s="4" t="str">
        <f t="shared" si="12"/>
        <v/>
      </c>
      <c r="Z172" s="5">
        <f t="shared" si="13"/>
        <v>1.16</v>
      </c>
      <c r="AA172" s="6">
        <f t="shared" si="14"/>
        <v>2</v>
      </c>
      <c r="AB172" t="str">
        <f>IFERROR(F172&amp;"*"&amp;ROUND(L172*(G172/(G172+I172+K172))/VLOOKUP(F172,商品!$A$4:$D$67,4,FALSE),0),"")</f>
        <v/>
      </c>
      <c r="AC172" t="str">
        <f>IFERROR(H172&amp;"*"&amp;ROUND(L172*(I172/(G172+I172+K172))/VLOOKUP(H172,商品!$A$4:$D$67,4,FALSE),0),"")</f>
        <v/>
      </c>
      <c r="AD172" t="str">
        <f>IFERROR(J172&amp;"*"&amp;ROUND(L172*(K172/(G172+I172+K172))/VLOOKUP(J172,商品!$A$4:$D$67,4,FALSE),0),"")</f>
        <v/>
      </c>
      <c r="AE172" t="str">
        <f>IFERROR(M172&amp;"*"&amp;ROUND(Q172*(N172/(N172+P172))/VLOOKUP(M172,职业!$A$3:$E$16,4,FALSE),0),"")</f>
        <v/>
      </c>
      <c r="AF172" t="str">
        <f>IFERROR(O172&amp;"*"&amp;ROUND(Q172*(P172/(N172+P172))/VLOOKUP(O172,职业!$A$3:$E$16,4,FALSE),0),"")</f>
        <v/>
      </c>
      <c r="AG172" t="str">
        <f>IFERROR(R172&amp;"*"&amp;ROUND(V172*(S172/(S172+U172))/VLOOKUP(R172,商品!$A$4:$D$67,4,FALSE),0),"")</f>
        <v/>
      </c>
      <c r="AH172" t="str">
        <f>IFERROR(T172&amp;"*"&amp;ROUND(V172*(U172/(S172+U172))/VLOOKUP(T172,商品!$A$4:$D$67,4,FALSE),0),"")</f>
        <v/>
      </c>
    </row>
    <row r="173" customHeight="1" spans="1:34">
      <c r="A173" s="14" t="s">
        <v>318</v>
      </c>
      <c r="C173" s="2">
        <v>3</v>
      </c>
      <c r="D173" s="2" t="s">
        <v>220</v>
      </c>
      <c r="E173" s="2" t="s">
        <v>223</v>
      </c>
      <c r="L173" s="2">
        <f>IFERROR(VLOOKUP($D173&amp;$C173,生产方式定位!$A$2:$E$39,2,FALSE)+VLOOKUP($E173&amp;$C173,生产方式定位!$F$3:$J$39,2,FALSE),0)</f>
        <v>5000</v>
      </c>
      <c r="Q173" s="2">
        <f>IFERROR(VLOOKUP($D173&amp;$C173,生产方式定位!$A$2:$E$39,3,FALSE)+VLOOKUP($E173&amp;$C173,生产方式定位!$F$3:$J$39,3,FALSE),0)</f>
        <v>5400</v>
      </c>
      <c r="V173" s="2">
        <f>IFERROR(VLOOKUP($D173&amp;$C173,生产方式定位!$A$2:$E$39,5,FALSE)+VLOOKUP($E173&amp;$C173,生产方式定位!$F$3:$J$39,5,FALSE),"错误")</f>
        <v>5350</v>
      </c>
      <c r="W173" s="3" t="str">
        <f t="shared" si="10"/>
        <v/>
      </c>
      <c r="X173" s="4" t="str">
        <f t="shared" si="11"/>
        <v/>
      </c>
      <c r="Y173" s="4" t="str">
        <f t="shared" si="12"/>
        <v/>
      </c>
      <c r="Z173" s="5">
        <f t="shared" si="13"/>
        <v>0.93</v>
      </c>
      <c r="AA173" s="6">
        <f t="shared" si="14"/>
        <v>3</v>
      </c>
      <c r="AB173" t="str">
        <f>IFERROR(F173&amp;"*"&amp;ROUND(L173*(G173/(G173+I173+K173))/VLOOKUP(F173,商品!$A$4:$D$67,4,FALSE),0),"")</f>
        <v/>
      </c>
      <c r="AC173" t="str">
        <f>IFERROR(H173&amp;"*"&amp;ROUND(L173*(I173/(G173+I173+K173))/VLOOKUP(H173,商品!$A$4:$D$67,4,FALSE),0),"")</f>
        <v/>
      </c>
      <c r="AD173" t="str">
        <f>IFERROR(J173&amp;"*"&amp;ROUND(L173*(K173/(G173+I173+K173))/VLOOKUP(J173,商品!$A$4:$D$67,4,FALSE),0),"")</f>
        <v/>
      </c>
      <c r="AE173" t="str">
        <f>IFERROR(M173&amp;"*"&amp;ROUND(Q173*(N173/(N173+P173))/VLOOKUP(M173,职业!$A$3:$E$16,4,FALSE),0),"")</f>
        <v/>
      </c>
      <c r="AF173" t="str">
        <f>IFERROR(O173&amp;"*"&amp;ROUND(Q173*(P173/(N173+P173))/VLOOKUP(O173,职业!$A$3:$E$16,4,FALSE),0),"")</f>
        <v/>
      </c>
      <c r="AG173" t="str">
        <f>IFERROR(R173&amp;"*"&amp;ROUND(V173*(S173/(S173+U173))/VLOOKUP(R173,商品!$A$4:$D$67,4,FALSE),0),"")</f>
        <v/>
      </c>
      <c r="AH173" t="str">
        <f>IFERROR(T173&amp;"*"&amp;ROUND(V173*(U173/(S173+U173))/VLOOKUP(T173,商品!$A$4:$D$67,4,FALSE),0),"")</f>
        <v/>
      </c>
    </row>
    <row r="174" customHeight="1" spans="1:34">
      <c r="A174" s="14" t="s">
        <v>318</v>
      </c>
      <c r="C174" s="2">
        <v>4</v>
      </c>
      <c r="D174" s="2" t="s">
        <v>220</v>
      </c>
      <c r="E174" s="2" t="s">
        <v>223</v>
      </c>
      <c r="L174" s="2">
        <f>IFERROR(VLOOKUP($D174&amp;$C174,生产方式定位!$A$2:$E$39,2,FALSE)+VLOOKUP($E174&amp;$C174,生产方式定位!$F$3:$J$39,2,FALSE),0)</f>
        <v>6500</v>
      </c>
      <c r="Q174" s="2">
        <f>IFERROR(VLOOKUP($D174&amp;$C174,生产方式定位!$A$2:$E$39,3,FALSE)+VLOOKUP($E174&amp;$C174,生产方式定位!$F$3:$J$39,3,FALSE),0)</f>
        <v>6600</v>
      </c>
      <c r="V174" s="2">
        <f>IFERROR(VLOOKUP($D174&amp;$C174,生产方式定位!$A$2:$E$39,5,FALSE)+VLOOKUP($E174&amp;$C174,生产方式定位!$F$3:$J$39,5,FALSE),"错误")</f>
        <v>6865</v>
      </c>
      <c r="W174" s="3" t="str">
        <f t="shared" si="10"/>
        <v/>
      </c>
      <c r="X174" s="4" t="str">
        <f t="shared" si="11"/>
        <v/>
      </c>
      <c r="Y174" s="4" t="str">
        <f t="shared" si="12"/>
        <v/>
      </c>
      <c r="Z174" s="5">
        <f t="shared" si="13"/>
        <v>0.95</v>
      </c>
      <c r="AA174" s="6">
        <f t="shared" si="14"/>
        <v>4</v>
      </c>
      <c r="AB174" t="str">
        <f>IFERROR(F174&amp;"*"&amp;ROUND(L174*(G174/(G174+I174+K174))/VLOOKUP(F174,商品!$A$4:$D$67,4,FALSE),0),"")</f>
        <v/>
      </c>
      <c r="AC174" t="str">
        <f>IFERROR(H174&amp;"*"&amp;ROUND(L174*(I174/(G174+I174+K174))/VLOOKUP(H174,商品!$A$4:$D$67,4,FALSE),0),"")</f>
        <v/>
      </c>
      <c r="AD174" t="str">
        <f>IFERROR(J174&amp;"*"&amp;ROUND(L174*(K174/(G174+I174+K174))/VLOOKUP(J174,商品!$A$4:$D$67,4,FALSE),0),"")</f>
        <v/>
      </c>
      <c r="AE174" t="str">
        <f>IFERROR(M174&amp;"*"&amp;ROUND(Q174*(N174/(N174+P174))/VLOOKUP(M174,职业!$A$3:$E$16,4,FALSE),0),"")</f>
        <v/>
      </c>
      <c r="AF174" t="str">
        <f>IFERROR(O174&amp;"*"&amp;ROUND(Q174*(P174/(N174+P174))/VLOOKUP(O174,职业!$A$3:$E$16,4,FALSE),0),"")</f>
        <v/>
      </c>
      <c r="AG174" t="str">
        <f>IFERROR(R174&amp;"*"&amp;ROUND(V174*(S174/(S174+U174))/VLOOKUP(R174,商品!$A$4:$D$67,4,FALSE),0),"")</f>
        <v/>
      </c>
      <c r="AH174" t="str">
        <f>IFERROR(T174&amp;"*"&amp;ROUND(V174*(U174/(S174+U174))/VLOOKUP(T174,商品!$A$4:$D$67,4,FALSE),0),"")</f>
        <v/>
      </c>
    </row>
    <row r="175" customHeight="1" spans="1:34">
      <c r="A175" s="14" t="s">
        <v>318</v>
      </c>
      <c r="C175" s="2">
        <v>5</v>
      </c>
      <c r="D175" s="2" t="s">
        <v>220</v>
      </c>
      <c r="E175" s="2" t="s">
        <v>223</v>
      </c>
      <c r="L175" s="2">
        <f>IFERROR(VLOOKUP($D175&amp;$C175,生产方式定位!$A$2:$E$39,2,FALSE)+VLOOKUP($E175&amp;$C175,生产方式定位!$F$3:$J$39,2,FALSE),0)</f>
        <v>8000</v>
      </c>
      <c r="Q175" s="2">
        <f>IFERROR(VLOOKUP($D175&amp;$C175,生产方式定位!$A$2:$E$39,3,FALSE)+VLOOKUP($E175&amp;$C175,生产方式定位!$F$3:$J$39,3,FALSE),0)</f>
        <v>7800</v>
      </c>
      <c r="V175" s="2">
        <f>IFERROR(VLOOKUP($D175&amp;$C175,生产方式定位!$A$2:$E$39,5,FALSE)+VLOOKUP($E175&amp;$C175,生产方式定位!$F$3:$J$39,5,FALSE),"错误")</f>
        <v>8463</v>
      </c>
      <c r="W175" s="3" t="str">
        <f t="shared" si="10"/>
        <v/>
      </c>
      <c r="X175" s="4" t="str">
        <f t="shared" si="11"/>
        <v/>
      </c>
      <c r="Y175" s="4" t="str">
        <f t="shared" si="12"/>
        <v/>
      </c>
      <c r="Z175" s="5">
        <f t="shared" si="13"/>
        <v>0.95</v>
      </c>
      <c r="AA175" s="6">
        <f t="shared" si="14"/>
        <v>5</v>
      </c>
      <c r="AB175" t="str">
        <f>IFERROR(F175&amp;"*"&amp;ROUND(L175*(G175/(G175+I175+K175))/VLOOKUP(F175,商品!$A$4:$D$67,4,FALSE),0),"")</f>
        <v/>
      </c>
      <c r="AC175" t="str">
        <f>IFERROR(H175&amp;"*"&amp;ROUND(L175*(I175/(G175+I175+K175))/VLOOKUP(H175,商品!$A$4:$D$67,4,FALSE),0),"")</f>
        <v/>
      </c>
      <c r="AD175" t="str">
        <f>IFERROR(J175&amp;"*"&amp;ROUND(L175*(K175/(G175+I175+K175))/VLOOKUP(J175,商品!$A$4:$D$67,4,FALSE),0),"")</f>
        <v/>
      </c>
      <c r="AE175" t="str">
        <f>IFERROR(M175&amp;"*"&amp;ROUND(Q175*(N175/(N175+P175))/VLOOKUP(M175,职业!$A$3:$E$16,4,FALSE),0),"")</f>
        <v/>
      </c>
      <c r="AF175" t="str">
        <f>IFERROR(O175&amp;"*"&amp;ROUND(Q175*(P175/(N175+P175))/VLOOKUP(O175,职业!$A$3:$E$16,4,FALSE),0),"")</f>
        <v/>
      </c>
      <c r="AG175" t="str">
        <f>IFERROR(R175&amp;"*"&amp;ROUND(V175*(S175/(S175+U175))/VLOOKUP(R175,商品!$A$4:$D$67,4,FALSE),0),"")</f>
        <v/>
      </c>
      <c r="AH175" t="str">
        <f>IFERROR(T175&amp;"*"&amp;ROUND(V175*(U175/(S175+U175))/VLOOKUP(T175,商品!$A$4:$D$67,4,FALSE),0),"")</f>
        <v/>
      </c>
    </row>
    <row r="176" customHeight="1" spans="1:34">
      <c r="A176" s="14" t="s">
        <v>318</v>
      </c>
      <c r="C176" s="2">
        <v>1</v>
      </c>
      <c r="D176" s="2" t="s">
        <v>220</v>
      </c>
      <c r="E176" s="2" t="s">
        <v>223</v>
      </c>
      <c r="L176" s="2">
        <f>IFERROR(VLOOKUP($D176&amp;$C176,生产方式定位!$A$2:$E$39,2,FALSE)+VLOOKUP($E176&amp;$C176,生产方式定位!$F$3:$J$39,2,FALSE),0)</f>
        <v>2000</v>
      </c>
      <c r="Q176" s="2">
        <f>IFERROR(VLOOKUP($D176&amp;$C176,生产方式定位!$A$2:$E$39,3,FALSE)+VLOOKUP($E176&amp;$C176,生产方式定位!$F$3:$J$39,3,FALSE),0)</f>
        <v>2000</v>
      </c>
      <c r="V176" s="2">
        <f>IFERROR(VLOOKUP($D176&amp;$C176,生产方式定位!$A$2:$E$39,5,FALSE)+VLOOKUP($E176&amp;$C176,生产方式定位!$F$3:$J$39,5,FALSE),"错误")</f>
        <v>2000</v>
      </c>
      <c r="W176" s="3" t="str">
        <f t="shared" si="10"/>
        <v/>
      </c>
      <c r="X176" s="4" t="str">
        <f t="shared" si="11"/>
        <v/>
      </c>
      <c r="Y176" s="4" t="str">
        <f t="shared" si="12"/>
        <v/>
      </c>
      <c r="Z176" s="5">
        <f t="shared" si="13"/>
        <v>1</v>
      </c>
      <c r="AA176" s="6">
        <f t="shared" si="14"/>
        <v>1</v>
      </c>
      <c r="AB176" t="str">
        <f>IFERROR(F176&amp;"*"&amp;ROUND(L176*(G176/(G176+I176+K176))/VLOOKUP(F176,商品!$A$4:$D$67,4,FALSE),0),"")</f>
        <v/>
      </c>
      <c r="AC176" t="str">
        <f>IFERROR(H176&amp;"*"&amp;ROUND(L176*(I176/(G176+I176+K176))/VLOOKUP(H176,商品!$A$4:$D$67,4,FALSE),0),"")</f>
        <v/>
      </c>
      <c r="AD176" t="str">
        <f>IFERROR(J176&amp;"*"&amp;ROUND(L176*(K176/(G176+I176+K176))/VLOOKUP(J176,商品!$A$4:$D$67,4,FALSE),0),"")</f>
        <v/>
      </c>
      <c r="AE176" t="str">
        <f>IFERROR(M176&amp;"*"&amp;ROUND(Q176*(N176/(N176+P176))/VLOOKUP(M176,职业!$A$3:$E$16,4,FALSE),0),"")</f>
        <v/>
      </c>
      <c r="AF176" t="str">
        <f>IFERROR(O176&amp;"*"&amp;ROUND(Q176*(P176/(N176+P176))/VLOOKUP(O176,职业!$A$3:$E$16,4,FALSE),0),"")</f>
        <v/>
      </c>
      <c r="AG176" t="str">
        <f>IFERROR(R176&amp;"*"&amp;ROUND(V176*(S176/(S176+U176))/VLOOKUP(R176,商品!$A$4:$D$67,4,FALSE),0),"")</f>
        <v/>
      </c>
      <c r="AH176" t="str">
        <f>IFERROR(T176&amp;"*"&amp;ROUND(V176*(U176/(S176+U176))/VLOOKUP(T176,商品!$A$4:$D$67,4,FALSE),0),"")</f>
        <v/>
      </c>
    </row>
    <row r="177" customHeight="1" spans="1:34">
      <c r="A177" s="14" t="s">
        <v>318</v>
      </c>
      <c r="C177" s="2">
        <v>2</v>
      </c>
      <c r="D177" s="2" t="s">
        <v>220</v>
      </c>
      <c r="E177" s="2" t="s">
        <v>223</v>
      </c>
      <c r="L177" s="2">
        <f>IFERROR(VLOOKUP($D177&amp;$C177,生产方式定位!$A$2:$E$39,2,FALSE)+VLOOKUP($E177&amp;$C177,生产方式定位!$F$3:$J$39,2,FALSE),0)</f>
        <v>3500</v>
      </c>
      <c r="Q177" s="2">
        <f>IFERROR(VLOOKUP($D177&amp;$C177,生产方式定位!$A$2:$E$39,3,FALSE)+VLOOKUP($E177&amp;$C177,生产方式定位!$F$3:$J$39,3,FALSE),0)</f>
        <v>4200</v>
      </c>
      <c r="V177" s="2">
        <f>IFERROR(VLOOKUP($D177&amp;$C177,生产方式定位!$A$2:$E$39,5,FALSE)+VLOOKUP($E177&amp;$C177,生产方式定位!$F$3:$J$39,5,FALSE),"错误")</f>
        <v>3895</v>
      </c>
      <c r="W177" s="3" t="str">
        <f t="shared" si="10"/>
        <v/>
      </c>
      <c r="X177" s="4" t="str">
        <f t="shared" si="11"/>
        <v/>
      </c>
      <c r="Y177" s="4" t="str">
        <f t="shared" si="12"/>
        <v/>
      </c>
      <c r="Z177" s="5">
        <f t="shared" si="13"/>
        <v>0.9</v>
      </c>
      <c r="AA177" s="6">
        <f t="shared" si="14"/>
        <v>2</v>
      </c>
      <c r="AB177" t="str">
        <f>IFERROR(F177&amp;"*"&amp;ROUND(L177*(G177/(G177+I177+K177))/VLOOKUP(F177,商品!$A$4:$D$67,4,FALSE),0),"")</f>
        <v/>
      </c>
      <c r="AC177" t="str">
        <f>IFERROR(H177&amp;"*"&amp;ROUND(L177*(I177/(G177+I177+K177))/VLOOKUP(H177,商品!$A$4:$D$67,4,FALSE),0),"")</f>
        <v/>
      </c>
      <c r="AD177" t="str">
        <f>IFERROR(J177&amp;"*"&amp;ROUND(L177*(K177/(G177+I177+K177))/VLOOKUP(J177,商品!$A$4:$D$67,4,FALSE),0),"")</f>
        <v/>
      </c>
      <c r="AE177" t="str">
        <f>IFERROR(M177&amp;"*"&amp;ROUND(Q177*(N177/(N177+P177))/VLOOKUP(M177,职业!$A$3:$E$16,4,FALSE),0),"")</f>
        <v/>
      </c>
      <c r="AF177" t="str">
        <f>IFERROR(O177&amp;"*"&amp;ROUND(Q177*(P177/(N177+P177))/VLOOKUP(O177,职业!$A$3:$E$16,4,FALSE),0),"")</f>
        <v/>
      </c>
      <c r="AG177" t="str">
        <f>IFERROR(R177&amp;"*"&amp;ROUND(V177*(S177/(S177+U177))/VLOOKUP(R177,商品!$A$4:$D$67,4,FALSE),0),"")</f>
        <v/>
      </c>
      <c r="AH177" t="str">
        <f>IFERROR(T177&amp;"*"&amp;ROUND(V177*(U177/(S177+U177))/VLOOKUP(T177,商品!$A$4:$D$67,4,FALSE),0),"")</f>
        <v/>
      </c>
    </row>
    <row r="178" customHeight="1" spans="1:34">
      <c r="A178" s="15" t="s">
        <v>319</v>
      </c>
      <c r="C178" s="2">
        <v>3</v>
      </c>
      <c r="D178" s="2" t="s">
        <v>220</v>
      </c>
      <c r="E178" s="2" t="s">
        <v>224</v>
      </c>
      <c r="L178" s="2">
        <f>IFERROR(VLOOKUP($D178&amp;$C178,生产方式定位!$A$2:$E$39,2,FALSE)+VLOOKUP($E178&amp;$C178,生产方式定位!$F$3:$J$39,2,FALSE),0)</f>
        <v>6000</v>
      </c>
      <c r="Q178" s="2">
        <f>IFERROR(VLOOKUP($D178&amp;$C178,生产方式定位!$A$2:$E$39,3,FALSE)+VLOOKUP($E178&amp;$C178,生产方式定位!$F$3:$J$39,3,FALSE),0)</f>
        <v>2000</v>
      </c>
      <c r="V178" s="2">
        <f>IFERROR(VLOOKUP($D178&amp;$C178,生产方式定位!$A$2:$E$39,5,FALSE)+VLOOKUP($E178&amp;$C178,生产方式定位!$F$3:$J$39,5,FALSE),"错误")</f>
        <v>4260</v>
      </c>
      <c r="W178" s="3" t="str">
        <f t="shared" si="10"/>
        <v/>
      </c>
      <c r="X178" s="4" t="str">
        <f t="shared" si="11"/>
        <v/>
      </c>
      <c r="Y178" s="4" t="str">
        <f t="shared" si="12"/>
        <v/>
      </c>
      <c r="Z178" s="5">
        <f t="shared" si="13"/>
        <v>1.41</v>
      </c>
      <c r="AA178" s="6">
        <f t="shared" si="14"/>
        <v>3</v>
      </c>
      <c r="AB178" t="str">
        <f>IFERROR(F178&amp;"*"&amp;ROUND(L178*(G178/(G178+I178+K178))/VLOOKUP(F178,商品!$A$4:$D$67,4,FALSE),0),"")</f>
        <v/>
      </c>
      <c r="AC178" t="str">
        <f>IFERROR(H178&amp;"*"&amp;ROUND(L178*(I178/(G178+I178+K178))/VLOOKUP(H178,商品!$A$4:$D$67,4,FALSE),0),"")</f>
        <v/>
      </c>
      <c r="AD178" t="str">
        <f>IFERROR(J178&amp;"*"&amp;ROUND(L178*(K178/(G178+I178+K178))/VLOOKUP(J178,商品!$A$4:$D$67,4,FALSE),0),"")</f>
        <v/>
      </c>
      <c r="AE178" t="str">
        <f>IFERROR(M178&amp;"*"&amp;ROUND(Q178*(N178/(N178+P178))/VLOOKUP(M178,职业!$A$3:$E$16,4,FALSE),0),"")</f>
        <v/>
      </c>
      <c r="AF178" t="str">
        <f>IFERROR(O178&amp;"*"&amp;ROUND(Q178*(P178/(N178+P178))/VLOOKUP(O178,职业!$A$3:$E$16,4,FALSE),0),"")</f>
        <v/>
      </c>
      <c r="AG178" t="str">
        <f>IFERROR(R178&amp;"*"&amp;ROUND(V178*(S178/(S178+U178))/VLOOKUP(R178,商品!$A$4:$D$67,4,FALSE),0),"")</f>
        <v/>
      </c>
      <c r="AH178" t="str">
        <f>IFERROR(T178&amp;"*"&amp;ROUND(V178*(U178/(S178+U178))/VLOOKUP(T178,商品!$A$4:$D$67,4,FALSE),0),"")</f>
        <v/>
      </c>
    </row>
    <row r="179" customHeight="1" spans="1:34">
      <c r="A179" s="15" t="s">
        <v>319</v>
      </c>
      <c r="C179" s="2">
        <v>4</v>
      </c>
      <c r="D179" s="2" t="s">
        <v>220</v>
      </c>
      <c r="E179" s="2" t="s">
        <v>224</v>
      </c>
      <c r="L179" s="2">
        <f>IFERROR(VLOOKUP($D179&amp;$C179,生产方式定位!$A$2:$E$39,2,FALSE)+VLOOKUP($E179&amp;$C179,生产方式定位!$F$3:$J$39,2,FALSE),0)</f>
        <v>7500</v>
      </c>
      <c r="Q179" s="2">
        <f>IFERROR(VLOOKUP($D179&amp;$C179,生产方式定位!$A$2:$E$39,3,FALSE)+VLOOKUP($E179&amp;$C179,生产方式定位!$F$3:$J$39,3,FALSE),0)</f>
        <v>2000</v>
      </c>
      <c r="V179" s="2">
        <f>IFERROR(VLOOKUP($D179&amp;$C179,生产方式定位!$A$2:$E$39,5,FALSE)+VLOOKUP($E179&amp;$C179,生产方式定位!$F$3:$J$39,5,FALSE),"错误")</f>
        <v>5260</v>
      </c>
      <c r="W179" s="3" t="str">
        <f t="shared" si="10"/>
        <v/>
      </c>
      <c r="X179" s="4" t="str">
        <f t="shared" si="11"/>
        <v/>
      </c>
      <c r="Y179" s="4" t="str">
        <f t="shared" si="12"/>
        <v/>
      </c>
      <c r="Z179" s="5">
        <f t="shared" si="13"/>
        <v>1.43</v>
      </c>
      <c r="AA179" s="6">
        <f t="shared" si="14"/>
        <v>4</v>
      </c>
      <c r="AB179" t="str">
        <f>IFERROR(F179&amp;"*"&amp;ROUND(L179*(G179/(G179+I179+K179))/VLOOKUP(F179,商品!$A$4:$D$67,4,FALSE),0),"")</f>
        <v/>
      </c>
      <c r="AC179" t="str">
        <f>IFERROR(H179&amp;"*"&amp;ROUND(L179*(I179/(G179+I179+K179))/VLOOKUP(H179,商品!$A$4:$D$67,4,FALSE),0),"")</f>
        <v/>
      </c>
      <c r="AD179" t="str">
        <f>IFERROR(J179&amp;"*"&amp;ROUND(L179*(K179/(G179+I179+K179))/VLOOKUP(J179,商品!$A$4:$D$67,4,FALSE),0),"")</f>
        <v/>
      </c>
      <c r="AE179" t="str">
        <f>IFERROR(M179&amp;"*"&amp;ROUND(Q179*(N179/(N179+P179))/VLOOKUP(M179,职业!$A$3:$E$16,4,FALSE),0),"")</f>
        <v/>
      </c>
      <c r="AF179" t="str">
        <f>IFERROR(O179&amp;"*"&amp;ROUND(Q179*(P179/(N179+P179))/VLOOKUP(O179,职业!$A$3:$E$16,4,FALSE),0),"")</f>
        <v/>
      </c>
      <c r="AG179" t="str">
        <f>IFERROR(R179&amp;"*"&amp;ROUND(V179*(S179/(S179+U179))/VLOOKUP(R179,商品!$A$4:$D$67,4,FALSE),0),"")</f>
        <v/>
      </c>
      <c r="AH179" t="str">
        <f>IFERROR(T179&amp;"*"&amp;ROUND(V179*(U179/(S179+U179))/VLOOKUP(T179,商品!$A$4:$D$67,4,FALSE),0),"")</f>
        <v/>
      </c>
    </row>
    <row r="180" customHeight="1" spans="1:34">
      <c r="A180" s="15" t="s">
        <v>319</v>
      </c>
      <c r="C180" s="2">
        <v>5</v>
      </c>
      <c r="D180" s="2" t="s">
        <v>220</v>
      </c>
      <c r="E180" s="2" t="s">
        <v>224</v>
      </c>
      <c r="L180" s="2">
        <f>IFERROR(VLOOKUP($D180&amp;$C180,生产方式定位!$A$2:$E$39,2,FALSE)+VLOOKUP($E180&amp;$C180,生产方式定位!$F$3:$J$39,2,FALSE),0)</f>
        <v>9000</v>
      </c>
      <c r="Q180" s="2">
        <f>IFERROR(VLOOKUP($D180&amp;$C180,生产方式定位!$A$2:$E$39,3,FALSE)+VLOOKUP($E180&amp;$C180,生产方式定位!$F$3:$J$39,3,FALSE),0)</f>
        <v>2000</v>
      </c>
      <c r="V180" s="2">
        <f>IFERROR(VLOOKUP($D180&amp;$C180,生产方式定位!$A$2:$E$39,5,FALSE)+VLOOKUP($E180&amp;$C180,生产方式定位!$F$3:$J$39,5,FALSE),"错误")</f>
        <v>6340</v>
      </c>
      <c r="W180" s="3" t="str">
        <f t="shared" si="10"/>
        <v/>
      </c>
      <c r="X180" s="4" t="str">
        <f t="shared" si="11"/>
        <v/>
      </c>
      <c r="Y180" s="4" t="str">
        <f t="shared" si="12"/>
        <v/>
      </c>
      <c r="Z180" s="5">
        <f t="shared" si="13"/>
        <v>1.42</v>
      </c>
      <c r="AA180" s="6">
        <f t="shared" si="14"/>
        <v>5</v>
      </c>
      <c r="AB180" t="str">
        <f>IFERROR(F180&amp;"*"&amp;ROUND(L180*(G180/(G180+I180+K180))/VLOOKUP(F180,商品!$A$4:$D$67,4,FALSE),0),"")</f>
        <v/>
      </c>
      <c r="AC180" t="str">
        <f>IFERROR(H180&amp;"*"&amp;ROUND(L180*(I180/(G180+I180+K180))/VLOOKUP(H180,商品!$A$4:$D$67,4,FALSE),0),"")</f>
        <v/>
      </c>
      <c r="AD180" t="str">
        <f>IFERROR(J180&amp;"*"&amp;ROUND(L180*(K180/(G180+I180+K180))/VLOOKUP(J180,商品!$A$4:$D$67,4,FALSE),0),"")</f>
        <v/>
      </c>
      <c r="AE180" t="str">
        <f>IFERROR(M180&amp;"*"&amp;ROUND(Q180*(N180/(N180+P180))/VLOOKUP(M180,职业!$A$3:$E$16,4,FALSE),0),"")</f>
        <v/>
      </c>
      <c r="AF180" t="str">
        <f>IFERROR(O180&amp;"*"&amp;ROUND(Q180*(P180/(N180+P180))/VLOOKUP(O180,职业!$A$3:$E$16,4,FALSE),0),"")</f>
        <v/>
      </c>
      <c r="AG180" t="str">
        <f>IFERROR(R180&amp;"*"&amp;ROUND(V180*(S180/(S180+U180))/VLOOKUP(R180,商品!$A$4:$D$67,4,FALSE),0),"")</f>
        <v/>
      </c>
      <c r="AH180" t="str">
        <f>IFERROR(T180&amp;"*"&amp;ROUND(V180*(U180/(S180+U180))/VLOOKUP(T180,商品!$A$4:$D$67,4,FALSE),0),"")</f>
        <v/>
      </c>
    </row>
    <row r="181" customHeight="1" spans="1:34">
      <c r="A181" s="15" t="s">
        <v>319</v>
      </c>
      <c r="C181" s="2">
        <v>1</v>
      </c>
      <c r="D181" s="2" t="s">
        <v>220</v>
      </c>
      <c r="E181" s="2" t="s">
        <v>224</v>
      </c>
      <c r="L181" s="2">
        <f>IFERROR(VLOOKUP($D181&amp;$C181,生产方式定位!$A$2:$E$39,2,FALSE)+VLOOKUP($E181&amp;$C181,生产方式定位!$F$3:$J$39,2,FALSE),0)</f>
        <v>2000</v>
      </c>
      <c r="Q181" s="2">
        <f>IFERROR(VLOOKUP($D181&amp;$C181,生产方式定位!$A$2:$E$39,3,FALSE)+VLOOKUP($E181&amp;$C181,生产方式定位!$F$3:$J$39,3,FALSE),0)</f>
        <v>2000</v>
      </c>
      <c r="V181" s="2">
        <f>IFERROR(VLOOKUP($D181&amp;$C181,生产方式定位!$A$2:$E$39,5,FALSE)+VLOOKUP($E181&amp;$C181,生产方式定位!$F$3:$J$39,5,FALSE),"错误")</f>
        <v>2000</v>
      </c>
      <c r="W181" s="3" t="str">
        <f t="shared" si="10"/>
        <v/>
      </c>
      <c r="X181" s="4" t="str">
        <f t="shared" si="11"/>
        <v/>
      </c>
      <c r="Y181" s="4" t="str">
        <f t="shared" si="12"/>
        <v/>
      </c>
      <c r="Z181" s="5">
        <f t="shared" si="13"/>
        <v>1</v>
      </c>
      <c r="AA181" s="6">
        <f t="shared" si="14"/>
        <v>1</v>
      </c>
      <c r="AB181" t="str">
        <f>IFERROR(F181&amp;"*"&amp;ROUND(L181*(G181/(G181+I181+K181))/VLOOKUP(F181,商品!$A$4:$D$67,4,FALSE),0),"")</f>
        <v/>
      </c>
      <c r="AC181" t="str">
        <f>IFERROR(H181&amp;"*"&amp;ROUND(L181*(I181/(G181+I181+K181))/VLOOKUP(H181,商品!$A$4:$D$67,4,FALSE),0),"")</f>
        <v/>
      </c>
      <c r="AD181" t="str">
        <f>IFERROR(J181&amp;"*"&amp;ROUND(L181*(K181/(G181+I181+K181))/VLOOKUP(J181,商品!$A$4:$D$67,4,FALSE),0),"")</f>
        <v/>
      </c>
      <c r="AE181" t="str">
        <f>IFERROR(M181&amp;"*"&amp;ROUND(Q181*(N181/(N181+P181))/VLOOKUP(M181,职业!$A$3:$E$16,4,FALSE),0),"")</f>
        <v/>
      </c>
      <c r="AF181" t="str">
        <f>IFERROR(O181&amp;"*"&amp;ROUND(Q181*(P181/(N181+P181))/VLOOKUP(O181,职业!$A$3:$E$16,4,FALSE),0),"")</f>
        <v/>
      </c>
      <c r="AG181" t="str">
        <f>IFERROR(R181&amp;"*"&amp;ROUND(V181*(S181/(S181+U181))/VLOOKUP(R181,商品!$A$4:$D$67,4,FALSE),0),"")</f>
        <v/>
      </c>
      <c r="AH181" t="str">
        <f>IFERROR(T181&amp;"*"&amp;ROUND(V181*(U181/(S181+U181))/VLOOKUP(T181,商品!$A$4:$D$67,4,FALSE),0),"")</f>
        <v/>
      </c>
    </row>
    <row r="182" customHeight="1" spans="1:34">
      <c r="A182" s="15" t="s">
        <v>319</v>
      </c>
      <c r="C182" s="2">
        <v>2</v>
      </c>
      <c r="D182" s="2" t="s">
        <v>220</v>
      </c>
      <c r="E182" s="2" t="s">
        <v>224</v>
      </c>
      <c r="L182" s="2">
        <f>IFERROR(VLOOKUP($D182&amp;$C182,生产方式定位!$A$2:$E$39,2,FALSE)+VLOOKUP($E182&amp;$C182,生产方式定位!$F$3:$J$39,2,FALSE),0)</f>
        <v>4500</v>
      </c>
      <c r="Q182" s="2">
        <f>IFERROR(VLOOKUP($D182&amp;$C182,生产方式定位!$A$2:$E$39,3,FALSE)+VLOOKUP($E182&amp;$C182,生产方式定位!$F$3:$J$39,3,FALSE),0)</f>
        <v>2000</v>
      </c>
      <c r="V182" s="2">
        <f>IFERROR(VLOOKUP($D182&amp;$C182,生产方式定位!$A$2:$E$39,5,FALSE)+VLOOKUP($E182&amp;$C182,生产方式定位!$F$3:$J$39,5,FALSE),"错误")</f>
        <v>3340</v>
      </c>
      <c r="W182" s="3" t="str">
        <f t="shared" si="10"/>
        <v/>
      </c>
      <c r="X182" s="4" t="str">
        <f t="shared" si="11"/>
        <v/>
      </c>
      <c r="Y182" s="4" t="str">
        <f t="shared" si="12"/>
        <v/>
      </c>
      <c r="Z182" s="5">
        <f t="shared" si="13"/>
        <v>1.35</v>
      </c>
      <c r="AA182" s="6">
        <f t="shared" si="14"/>
        <v>2</v>
      </c>
      <c r="AB182" t="str">
        <f>IFERROR(F182&amp;"*"&amp;ROUND(L182*(G182/(G182+I182+K182))/VLOOKUP(F182,商品!$A$4:$D$67,4,FALSE),0),"")</f>
        <v/>
      </c>
      <c r="AC182" t="str">
        <f>IFERROR(H182&amp;"*"&amp;ROUND(L182*(I182/(G182+I182+K182))/VLOOKUP(H182,商品!$A$4:$D$67,4,FALSE),0),"")</f>
        <v/>
      </c>
      <c r="AD182" t="str">
        <f>IFERROR(J182&amp;"*"&amp;ROUND(L182*(K182/(G182+I182+K182))/VLOOKUP(J182,商品!$A$4:$D$67,4,FALSE),0),"")</f>
        <v/>
      </c>
      <c r="AE182" t="str">
        <f>IFERROR(M182&amp;"*"&amp;ROUND(Q182*(N182/(N182+P182))/VLOOKUP(M182,职业!$A$3:$E$16,4,FALSE),0),"")</f>
        <v/>
      </c>
      <c r="AF182" t="str">
        <f>IFERROR(O182&amp;"*"&amp;ROUND(Q182*(P182/(N182+P182))/VLOOKUP(O182,职业!$A$3:$E$16,4,FALSE),0),"")</f>
        <v/>
      </c>
      <c r="AG182" t="str">
        <f>IFERROR(R182&amp;"*"&amp;ROUND(V182*(S182/(S182+U182))/VLOOKUP(R182,商品!$A$4:$D$67,4,FALSE),0),"")</f>
        <v/>
      </c>
      <c r="AH182" t="str">
        <f>IFERROR(T182&amp;"*"&amp;ROUND(V182*(U182/(S182+U182))/VLOOKUP(T182,商品!$A$4:$D$67,4,FALSE),0),"")</f>
        <v/>
      </c>
    </row>
    <row r="183" customHeight="1" spans="1:34">
      <c r="A183" s="14" t="s">
        <v>319</v>
      </c>
      <c r="C183" s="2">
        <v>3</v>
      </c>
      <c r="D183" s="2" t="s">
        <v>220</v>
      </c>
      <c r="E183" s="2" t="s">
        <v>224</v>
      </c>
      <c r="L183" s="2">
        <f>IFERROR(VLOOKUP($D183&amp;$C183,生产方式定位!$A$2:$E$39,2,FALSE)+VLOOKUP($E183&amp;$C183,生产方式定位!$F$3:$J$39,2,FALSE),0)</f>
        <v>6000</v>
      </c>
      <c r="Q183" s="2">
        <f>IFERROR(VLOOKUP($D183&amp;$C183,生产方式定位!$A$2:$E$39,3,FALSE)+VLOOKUP($E183&amp;$C183,生产方式定位!$F$3:$J$39,3,FALSE),0)</f>
        <v>2000</v>
      </c>
      <c r="V183" s="2">
        <f>IFERROR(VLOOKUP($D183&amp;$C183,生产方式定位!$A$2:$E$39,5,FALSE)+VLOOKUP($E183&amp;$C183,生产方式定位!$F$3:$J$39,5,FALSE),"错误")</f>
        <v>4260</v>
      </c>
      <c r="W183" s="3" t="str">
        <f t="shared" si="10"/>
        <v/>
      </c>
      <c r="X183" s="4" t="str">
        <f t="shared" si="11"/>
        <v/>
      </c>
      <c r="Y183" s="4" t="str">
        <f t="shared" si="12"/>
        <v/>
      </c>
      <c r="Z183" s="5">
        <f t="shared" si="13"/>
        <v>1.41</v>
      </c>
      <c r="AA183" s="6">
        <f t="shared" si="14"/>
        <v>3</v>
      </c>
      <c r="AB183" t="str">
        <f>IFERROR(F183&amp;"*"&amp;ROUND(L183*(G183/(G183+I183+K183))/VLOOKUP(F183,商品!$A$4:$D$67,4,FALSE),0),"")</f>
        <v/>
      </c>
      <c r="AC183" t="str">
        <f>IFERROR(H183&amp;"*"&amp;ROUND(L183*(I183/(G183+I183+K183))/VLOOKUP(H183,商品!$A$4:$D$67,4,FALSE),0),"")</f>
        <v/>
      </c>
      <c r="AD183" t="str">
        <f>IFERROR(J183&amp;"*"&amp;ROUND(L183*(K183/(G183+I183+K183))/VLOOKUP(J183,商品!$A$4:$D$67,4,FALSE),0),"")</f>
        <v/>
      </c>
      <c r="AE183" t="str">
        <f>IFERROR(M183&amp;"*"&amp;ROUND(Q183*(N183/(N183+P183))/VLOOKUP(M183,职业!$A$3:$E$16,4,FALSE),0),"")</f>
        <v/>
      </c>
      <c r="AF183" t="str">
        <f>IFERROR(O183&amp;"*"&amp;ROUND(Q183*(P183/(N183+P183))/VLOOKUP(O183,职业!$A$3:$E$16,4,FALSE),0),"")</f>
        <v/>
      </c>
      <c r="AG183" t="str">
        <f>IFERROR(R183&amp;"*"&amp;ROUND(V183*(S183/(S183+U183))/VLOOKUP(R183,商品!$A$4:$D$67,4,FALSE),0),"")</f>
        <v/>
      </c>
      <c r="AH183" t="str">
        <f>IFERROR(T183&amp;"*"&amp;ROUND(V183*(U183/(S183+U183))/VLOOKUP(T183,商品!$A$4:$D$67,4,FALSE),0),"")</f>
        <v/>
      </c>
    </row>
    <row r="184" customHeight="1" spans="1:34">
      <c r="A184" s="14" t="s">
        <v>319</v>
      </c>
      <c r="C184" s="2">
        <v>4</v>
      </c>
      <c r="D184" s="2" t="s">
        <v>220</v>
      </c>
      <c r="E184" s="2" t="s">
        <v>224</v>
      </c>
      <c r="L184" s="2">
        <f>IFERROR(VLOOKUP($D184&amp;$C184,生产方式定位!$A$2:$E$39,2,FALSE)+VLOOKUP($E184&amp;$C184,生产方式定位!$F$3:$J$39,2,FALSE),0)</f>
        <v>7500</v>
      </c>
      <c r="Q184" s="2">
        <f>IFERROR(VLOOKUP($D184&amp;$C184,生产方式定位!$A$2:$E$39,3,FALSE)+VLOOKUP($E184&amp;$C184,生产方式定位!$F$3:$J$39,3,FALSE),0)</f>
        <v>2000</v>
      </c>
      <c r="V184" s="2">
        <f>IFERROR(VLOOKUP($D184&amp;$C184,生产方式定位!$A$2:$E$39,5,FALSE)+VLOOKUP($E184&amp;$C184,生产方式定位!$F$3:$J$39,5,FALSE),"错误")</f>
        <v>5260</v>
      </c>
      <c r="W184" s="3" t="str">
        <f t="shared" si="10"/>
        <v/>
      </c>
      <c r="X184" s="4" t="str">
        <f t="shared" si="11"/>
        <v/>
      </c>
      <c r="Y184" s="4" t="str">
        <f t="shared" si="12"/>
        <v/>
      </c>
      <c r="Z184" s="5">
        <f t="shared" si="13"/>
        <v>1.43</v>
      </c>
      <c r="AA184" s="6">
        <f t="shared" si="14"/>
        <v>4</v>
      </c>
      <c r="AB184" t="str">
        <f>IFERROR(F184&amp;"*"&amp;ROUND(L184*(G184/(G184+I184+K184))/VLOOKUP(F184,商品!$A$4:$D$67,4,FALSE),0),"")</f>
        <v/>
      </c>
      <c r="AC184" t="str">
        <f>IFERROR(H184&amp;"*"&amp;ROUND(L184*(I184/(G184+I184+K184))/VLOOKUP(H184,商品!$A$4:$D$67,4,FALSE),0),"")</f>
        <v/>
      </c>
      <c r="AD184" t="str">
        <f>IFERROR(J184&amp;"*"&amp;ROUND(L184*(K184/(G184+I184+K184))/VLOOKUP(J184,商品!$A$4:$D$67,4,FALSE),0),"")</f>
        <v/>
      </c>
      <c r="AE184" t="str">
        <f>IFERROR(M184&amp;"*"&amp;ROUND(Q184*(N184/(N184+P184))/VLOOKUP(M184,职业!$A$3:$E$16,4,FALSE),0),"")</f>
        <v/>
      </c>
      <c r="AF184" t="str">
        <f>IFERROR(O184&amp;"*"&amp;ROUND(Q184*(P184/(N184+P184))/VLOOKUP(O184,职业!$A$3:$E$16,4,FALSE),0),"")</f>
        <v/>
      </c>
      <c r="AG184" t="str">
        <f>IFERROR(R184&amp;"*"&amp;ROUND(V184*(S184/(S184+U184))/VLOOKUP(R184,商品!$A$4:$D$67,4,FALSE),0),"")</f>
        <v/>
      </c>
      <c r="AH184" t="str">
        <f>IFERROR(T184&amp;"*"&amp;ROUND(V184*(U184/(S184+U184))/VLOOKUP(T184,商品!$A$4:$D$67,4,FALSE),0),"")</f>
        <v/>
      </c>
    </row>
    <row r="185" customHeight="1" spans="1:34">
      <c r="A185" s="14" t="s">
        <v>319</v>
      </c>
      <c r="C185" s="2">
        <v>5</v>
      </c>
      <c r="D185" s="2" t="s">
        <v>220</v>
      </c>
      <c r="E185" s="2" t="s">
        <v>224</v>
      </c>
      <c r="L185" s="2">
        <f>IFERROR(VLOOKUP($D185&amp;$C185,生产方式定位!$A$2:$E$39,2,FALSE)+VLOOKUP($E185&amp;$C185,生产方式定位!$F$3:$J$39,2,FALSE),0)</f>
        <v>9000</v>
      </c>
      <c r="Q185" s="2">
        <f>IFERROR(VLOOKUP($D185&amp;$C185,生产方式定位!$A$2:$E$39,3,FALSE)+VLOOKUP($E185&amp;$C185,生产方式定位!$F$3:$J$39,3,FALSE),0)</f>
        <v>2000</v>
      </c>
      <c r="V185" s="2">
        <f>IFERROR(VLOOKUP($D185&amp;$C185,生产方式定位!$A$2:$E$39,5,FALSE)+VLOOKUP($E185&amp;$C185,生产方式定位!$F$3:$J$39,5,FALSE),"错误")</f>
        <v>6340</v>
      </c>
      <c r="W185" s="3" t="str">
        <f t="shared" si="10"/>
        <v/>
      </c>
      <c r="X185" s="4" t="str">
        <f t="shared" si="11"/>
        <v/>
      </c>
      <c r="Y185" s="4" t="str">
        <f t="shared" si="12"/>
        <v/>
      </c>
      <c r="Z185" s="5">
        <f t="shared" si="13"/>
        <v>1.42</v>
      </c>
      <c r="AA185" s="6">
        <f t="shared" si="14"/>
        <v>5</v>
      </c>
      <c r="AB185" t="str">
        <f>IFERROR(F185&amp;"*"&amp;ROUND(L185*(G185/(G185+I185+K185))/VLOOKUP(F185,商品!$A$4:$D$67,4,FALSE),0),"")</f>
        <v/>
      </c>
      <c r="AC185" t="str">
        <f>IFERROR(H185&amp;"*"&amp;ROUND(L185*(I185/(G185+I185+K185))/VLOOKUP(H185,商品!$A$4:$D$67,4,FALSE),0),"")</f>
        <v/>
      </c>
      <c r="AD185" t="str">
        <f>IFERROR(J185&amp;"*"&amp;ROUND(L185*(K185/(G185+I185+K185))/VLOOKUP(J185,商品!$A$4:$D$67,4,FALSE),0),"")</f>
        <v/>
      </c>
      <c r="AE185" t="str">
        <f>IFERROR(M185&amp;"*"&amp;ROUND(Q185*(N185/(N185+P185))/VLOOKUP(M185,职业!$A$3:$E$16,4,FALSE),0),"")</f>
        <v/>
      </c>
      <c r="AF185" t="str">
        <f>IFERROR(O185&amp;"*"&amp;ROUND(Q185*(P185/(N185+P185))/VLOOKUP(O185,职业!$A$3:$E$16,4,FALSE),0),"")</f>
        <v/>
      </c>
      <c r="AG185" t="str">
        <f>IFERROR(R185&amp;"*"&amp;ROUND(V185*(S185/(S185+U185))/VLOOKUP(R185,商品!$A$4:$D$67,4,FALSE),0),"")</f>
        <v/>
      </c>
      <c r="AH185" t="str">
        <f>IFERROR(T185&amp;"*"&amp;ROUND(V185*(U185/(S185+U185))/VLOOKUP(T185,商品!$A$4:$D$67,4,FALSE),0),"")</f>
        <v/>
      </c>
    </row>
    <row r="186" customHeight="1" spans="1:34">
      <c r="A186" s="14" t="s">
        <v>319</v>
      </c>
      <c r="C186" s="2">
        <v>1</v>
      </c>
      <c r="D186" s="2" t="s">
        <v>220</v>
      </c>
      <c r="E186" s="2" t="s">
        <v>224</v>
      </c>
      <c r="L186" s="2">
        <f>IFERROR(VLOOKUP($D186&amp;$C186,生产方式定位!$A$2:$E$39,2,FALSE)+VLOOKUP($E186&amp;$C186,生产方式定位!$F$3:$J$39,2,FALSE),0)</f>
        <v>2000</v>
      </c>
      <c r="Q186" s="2">
        <f>IFERROR(VLOOKUP($D186&amp;$C186,生产方式定位!$A$2:$E$39,3,FALSE)+VLOOKUP($E186&amp;$C186,生产方式定位!$F$3:$J$39,3,FALSE),0)</f>
        <v>2000</v>
      </c>
      <c r="V186" s="2">
        <f>IFERROR(VLOOKUP($D186&amp;$C186,生产方式定位!$A$2:$E$39,5,FALSE)+VLOOKUP($E186&amp;$C186,生产方式定位!$F$3:$J$39,5,FALSE),"错误")</f>
        <v>2000</v>
      </c>
      <c r="W186" s="3" t="str">
        <f t="shared" si="10"/>
        <v/>
      </c>
      <c r="X186" s="4" t="str">
        <f t="shared" si="11"/>
        <v/>
      </c>
      <c r="Y186" s="4" t="str">
        <f t="shared" si="12"/>
        <v/>
      </c>
      <c r="Z186" s="5">
        <f t="shared" si="13"/>
        <v>1</v>
      </c>
      <c r="AA186" s="6">
        <f t="shared" si="14"/>
        <v>1</v>
      </c>
      <c r="AB186" t="str">
        <f>IFERROR(F186&amp;"*"&amp;ROUND(L186*(G186/(G186+I186+K186))/VLOOKUP(F186,商品!$A$4:$D$67,4,FALSE),0),"")</f>
        <v/>
      </c>
      <c r="AC186" t="str">
        <f>IFERROR(H186&amp;"*"&amp;ROUND(L186*(I186/(G186+I186+K186))/VLOOKUP(H186,商品!$A$4:$D$67,4,FALSE),0),"")</f>
        <v/>
      </c>
      <c r="AD186" t="str">
        <f>IFERROR(J186&amp;"*"&amp;ROUND(L186*(K186/(G186+I186+K186))/VLOOKUP(J186,商品!$A$4:$D$67,4,FALSE),0),"")</f>
        <v/>
      </c>
      <c r="AE186" t="str">
        <f>IFERROR(M186&amp;"*"&amp;ROUND(Q186*(N186/(N186+P186))/VLOOKUP(M186,职业!$A$3:$E$16,4,FALSE),0),"")</f>
        <v/>
      </c>
      <c r="AF186" t="str">
        <f>IFERROR(O186&amp;"*"&amp;ROUND(Q186*(P186/(N186+P186))/VLOOKUP(O186,职业!$A$3:$E$16,4,FALSE),0),"")</f>
        <v/>
      </c>
      <c r="AG186" t="str">
        <f>IFERROR(R186&amp;"*"&amp;ROUND(V186*(S186/(S186+U186))/VLOOKUP(R186,商品!$A$4:$D$67,4,FALSE),0),"")</f>
        <v/>
      </c>
      <c r="AH186" t="str">
        <f>IFERROR(T186&amp;"*"&amp;ROUND(V186*(U186/(S186+U186))/VLOOKUP(T186,商品!$A$4:$D$67,4,FALSE),0),"")</f>
        <v/>
      </c>
    </row>
    <row r="187" customHeight="1" spans="1:34">
      <c r="A187" s="14" t="s">
        <v>319</v>
      </c>
      <c r="C187" s="2">
        <v>2</v>
      </c>
      <c r="D187" s="2" t="s">
        <v>220</v>
      </c>
      <c r="E187" s="2" t="s">
        <v>224</v>
      </c>
      <c r="L187" s="2">
        <f>IFERROR(VLOOKUP($D187&amp;$C187,生产方式定位!$A$2:$E$39,2,FALSE)+VLOOKUP($E187&amp;$C187,生产方式定位!$F$3:$J$39,2,FALSE),0)</f>
        <v>4500</v>
      </c>
      <c r="Q187" s="2">
        <f>IFERROR(VLOOKUP($D187&amp;$C187,生产方式定位!$A$2:$E$39,3,FALSE)+VLOOKUP($E187&amp;$C187,生产方式定位!$F$3:$J$39,3,FALSE),0)</f>
        <v>2000</v>
      </c>
      <c r="V187" s="2">
        <f>IFERROR(VLOOKUP($D187&amp;$C187,生产方式定位!$A$2:$E$39,5,FALSE)+VLOOKUP($E187&amp;$C187,生产方式定位!$F$3:$J$39,5,FALSE),"错误")</f>
        <v>3340</v>
      </c>
      <c r="W187" s="3" t="str">
        <f t="shared" si="10"/>
        <v/>
      </c>
      <c r="X187" s="4" t="str">
        <f t="shared" si="11"/>
        <v/>
      </c>
      <c r="Y187" s="4" t="str">
        <f t="shared" si="12"/>
        <v/>
      </c>
      <c r="Z187" s="5">
        <f t="shared" si="13"/>
        <v>1.35</v>
      </c>
      <c r="AA187" s="6">
        <f t="shared" si="14"/>
        <v>2</v>
      </c>
      <c r="AB187" t="str">
        <f>IFERROR(F187&amp;"*"&amp;ROUND(L187*(G187/(G187+I187+K187))/VLOOKUP(F187,商品!$A$4:$D$67,4,FALSE),0),"")</f>
        <v/>
      </c>
      <c r="AC187" t="str">
        <f>IFERROR(H187&amp;"*"&amp;ROUND(L187*(I187/(G187+I187+K187))/VLOOKUP(H187,商品!$A$4:$D$67,4,FALSE),0),"")</f>
        <v/>
      </c>
      <c r="AD187" t="str">
        <f>IFERROR(J187&amp;"*"&amp;ROUND(L187*(K187/(G187+I187+K187))/VLOOKUP(J187,商品!$A$4:$D$67,4,FALSE),0),"")</f>
        <v/>
      </c>
      <c r="AE187" t="str">
        <f>IFERROR(M187&amp;"*"&amp;ROUND(Q187*(N187/(N187+P187))/VLOOKUP(M187,职业!$A$3:$E$16,4,FALSE),0),"")</f>
        <v/>
      </c>
      <c r="AF187" t="str">
        <f>IFERROR(O187&amp;"*"&amp;ROUND(Q187*(P187/(N187+P187))/VLOOKUP(O187,职业!$A$3:$E$16,4,FALSE),0),"")</f>
        <v/>
      </c>
      <c r="AG187" t="str">
        <f>IFERROR(R187&amp;"*"&amp;ROUND(V187*(S187/(S187+U187))/VLOOKUP(R187,商品!$A$4:$D$67,4,FALSE),0),"")</f>
        <v/>
      </c>
      <c r="AH187" t="str">
        <f>IFERROR(T187&amp;"*"&amp;ROUND(V187*(U187/(S187+U187))/VLOOKUP(T187,商品!$A$4:$D$67,4,FALSE),0),"")</f>
        <v/>
      </c>
    </row>
    <row r="188" customHeight="1" spans="1:34">
      <c r="A188" s="15" t="s">
        <v>320</v>
      </c>
      <c r="C188" s="2">
        <v>3</v>
      </c>
      <c r="D188" s="2" t="s">
        <v>220</v>
      </c>
      <c r="E188" s="2" t="s">
        <v>225</v>
      </c>
      <c r="L188" s="2">
        <f>IFERROR(VLOOKUP($D188&amp;$C188,生产方式定位!$A$2:$E$39,2,FALSE)+VLOOKUP($E188&amp;$C188,生产方式定位!$F$3:$J$39,2,FALSE),0)</f>
        <v>3000</v>
      </c>
      <c r="Q188" s="2">
        <f>IFERROR(VLOOKUP($D188&amp;$C188,生产方式定位!$A$2:$E$39,3,FALSE)+VLOOKUP($E188&amp;$C188,生产方式定位!$F$3:$J$39,3,FALSE),0)</f>
        <v>2400</v>
      </c>
      <c r="V188" s="2">
        <f>IFERROR(VLOOKUP($D188&amp;$C188,生产方式定位!$A$2:$E$39,5,FALSE)+VLOOKUP($E188&amp;$C188,生产方式定位!$F$3:$J$39,5,FALSE),"错误")</f>
        <v>2700</v>
      </c>
      <c r="W188" s="3" t="str">
        <f t="shared" si="10"/>
        <v/>
      </c>
      <c r="X188" s="4" t="str">
        <f t="shared" si="11"/>
        <v/>
      </c>
      <c r="Y188" s="4" t="str">
        <f t="shared" si="12"/>
        <v/>
      </c>
      <c r="Z188" s="5">
        <f t="shared" si="13"/>
        <v>1.11</v>
      </c>
      <c r="AA188" s="6">
        <f t="shared" si="14"/>
        <v>3</v>
      </c>
      <c r="AB188" t="str">
        <f>IFERROR(F188&amp;"*"&amp;ROUND(L188*(G188/(G188+I188+K188))/VLOOKUP(F188,商品!$A$4:$D$67,4,FALSE),0),"")</f>
        <v/>
      </c>
      <c r="AC188" t="str">
        <f>IFERROR(H188&amp;"*"&amp;ROUND(L188*(I188/(G188+I188+K188))/VLOOKUP(H188,商品!$A$4:$D$67,4,FALSE),0),"")</f>
        <v/>
      </c>
      <c r="AD188" t="str">
        <f>IFERROR(J188&amp;"*"&amp;ROUND(L188*(K188/(G188+I188+K188))/VLOOKUP(J188,商品!$A$4:$D$67,4,FALSE),0),"")</f>
        <v/>
      </c>
      <c r="AE188" t="str">
        <f>IFERROR(M188&amp;"*"&amp;ROUND(Q188*(N188/(N188+P188))/VLOOKUP(M188,职业!$A$3:$E$16,4,FALSE),0),"")</f>
        <v/>
      </c>
      <c r="AF188" t="str">
        <f>IFERROR(O188&amp;"*"&amp;ROUND(Q188*(P188/(N188+P188))/VLOOKUP(O188,职业!$A$3:$E$16,4,FALSE),0),"")</f>
        <v/>
      </c>
      <c r="AG188" t="str">
        <f>IFERROR(R188&amp;"*"&amp;ROUND(V188*(S188/(S188+U188))/VLOOKUP(R188,商品!$A$4:$D$67,4,FALSE),0),"")</f>
        <v/>
      </c>
      <c r="AH188" t="str">
        <f>IFERROR(T188&amp;"*"&amp;ROUND(V188*(U188/(S188+U188))/VLOOKUP(T188,商品!$A$4:$D$67,4,FALSE),0),"")</f>
        <v/>
      </c>
    </row>
    <row r="189" customHeight="1" spans="1:34">
      <c r="A189" s="15" t="s">
        <v>320</v>
      </c>
      <c r="C189" s="2">
        <v>4</v>
      </c>
      <c r="D189" s="2" t="s">
        <v>220</v>
      </c>
      <c r="E189" s="2" t="s">
        <v>225</v>
      </c>
      <c r="L189" s="2">
        <f>IFERROR(VLOOKUP($D189&amp;$C189,生产方式定位!$A$2:$E$39,2,FALSE)+VLOOKUP($E189&amp;$C189,生产方式定位!$F$3:$J$39,2,FALSE),0)</f>
        <v>3500</v>
      </c>
      <c r="Q189" s="2">
        <f>IFERROR(VLOOKUP($D189&amp;$C189,生产方式定位!$A$2:$E$39,3,FALSE)+VLOOKUP($E189&amp;$C189,生产方式定位!$F$3:$J$39,3,FALSE),0)</f>
        <v>2600</v>
      </c>
      <c r="V189" s="2">
        <f>IFERROR(VLOOKUP($D189&amp;$C189,生产方式定位!$A$2:$E$39,5,FALSE)+VLOOKUP($E189&amp;$C189,生产方式定位!$F$3:$J$39,5,FALSE),"错误")</f>
        <v>3050</v>
      </c>
      <c r="W189" s="3" t="str">
        <f t="shared" si="10"/>
        <v/>
      </c>
      <c r="X189" s="4" t="str">
        <f t="shared" si="11"/>
        <v/>
      </c>
      <c r="Y189" s="4" t="str">
        <f t="shared" si="12"/>
        <v/>
      </c>
      <c r="Z189" s="5">
        <f t="shared" si="13"/>
        <v>1.15</v>
      </c>
      <c r="AA189" s="6">
        <f t="shared" si="14"/>
        <v>4</v>
      </c>
      <c r="AB189" t="str">
        <f>IFERROR(F189&amp;"*"&amp;ROUND(L189*(G189/(G189+I189+K189))/VLOOKUP(F189,商品!$A$4:$D$67,4,FALSE),0),"")</f>
        <v/>
      </c>
      <c r="AC189" t="str">
        <f>IFERROR(H189&amp;"*"&amp;ROUND(L189*(I189/(G189+I189+K189))/VLOOKUP(H189,商品!$A$4:$D$67,4,FALSE),0),"")</f>
        <v/>
      </c>
      <c r="AD189" t="str">
        <f>IFERROR(J189&amp;"*"&amp;ROUND(L189*(K189/(G189+I189+K189))/VLOOKUP(J189,商品!$A$4:$D$67,4,FALSE),0),"")</f>
        <v/>
      </c>
      <c r="AE189" t="str">
        <f>IFERROR(M189&amp;"*"&amp;ROUND(Q189*(N189/(N189+P189))/VLOOKUP(M189,职业!$A$3:$E$16,4,FALSE),0),"")</f>
        <v/>
      </c>
      <c r="AF189" t="str">
        <f>IFERROR(O189&amp;"*"&amp;ROUND(Q189*(P189/(N189+P189))/VLOOKUP(O189,职业!$A$3:$E$16,4,FALSE),0),"")</f>
        <v/>
      </c>
      <c r="AG189" t="str">
        <f>IFERROR(R189&amp;"*"&amp;ROUND(V189*(S189/(S189+U189))/VLOOKUP(R189,商品!$A$4:$D$67,4,FALSE),0),"")</f>
        <v/>
      </c>
      <c r="AH189" t="str">
        <f>IFERROR(T189&amp;"*"&amp;ROUND(V189*(U189/(S189+U189))/VLOOKUP(T189,商品!$A$4:$D$67,4,FALSE),0),"")</f>
        <v/>
      </c>
    </row>
    <row r="190" customHeight="1" spans="1:34">
      <c r="A190" s="15" t="s">
        <v>320</v>
      </c>
      <c r="C190" s="2">
        <v>5</v>
      </c>
      <c r="D190" s="2" t="s">
        <v>220</v>
      </c>
      <c r="E190" s="2" t="s">
        <v>225</v>
      </c>
      <c r="L190" s="2">
        <f>IFERROR(VLOOKUP($D190&amp;$C190,生产方式定位!$A$2:$E$39,2,FALSE)+VLOOKUP($E190&amp;$C190,生产方式定位!$F$3:$J$39,2,FALSE),0)</f>
        <v>4000</v>
      </c>
      <c r="Q190" s="2">
        <f>IFERROR(VLOOKUP($D190&amp;$C190,生产方式定位!$A$2:$E$39,3,FALSE)+VLOOKUP($E190&amp;$C190,生产方式定位!$F$3:$J$39,3,FALSE),0)</f>
        <v>2800</v>
      </c>
      <c r="V190" s="2">
        <f>IFERROR(VLOOKUP($D190&amp;$C190,生产方式定位!$A$2:$E$39,5,FALSE)+VLOOKUP($E190&amp;$C190,生产方式定位!$F$3:$J$39,5,FALSE),"错误")</f>
        <v>3400</v>
      </c>
      <c r="W190" s="3" t="str">
        <f t="shared" si="10"/>
        <v/>
      </c>
      <c r="X190" s="4" t="str">
        <f t="shared" si="11"/>
        <v/>
      </c>
      <c r="Y190" s="4" t="str">
        <f t="shared" si="12"/>
        <v/>
      </c>
      <c r="Z190" s="5">
        <f t="shared" si="13"/>
        <v>1.18</v>
      </c>
      <c r="AA190" s="6">
        <f t="shared" si="14"/>
        <v>5</v>
      </c>
      <c r="AB190" t="str">
        <f>IFERROR(F190&amp;"*"&amp;ROUND(L190*(G190/(G190+I190+K190))/VLOOKUP(F190,商品!$A$4:$D$67,4,FALSE),0),"")</f>
        <v/>
      </c>
      <c r="AC190" t="str">
        <f>IFERROR(H190&amp;"*"&amp;ROUND(L190*(I190/(G190+I190+K190))/VLOOKUP(H190,商品!$A$4:$D$67,4,FALSE),0),"")</f>
        <v/>
      </c>
      <c r="AD190" t="str">
        <f>IFERROR(J190&amp;"*"&amp;ROUND(L190*(K190/(G190+I190+K190))/VLOOKUP(J190,商品!$A$4:$D$67,4,FALSE),0),"")</f>
        <v/>
      </c>
      <c r="AE190" t="str">
        <f>IFERROR(M190&amp;"*"&amp;ROUND(Q190*(N190/(N190+P190))/VLOOKUP(M190,职业!$A$3:$E$16,4,FALSE),0),"")</f>
        <v/>
      </c>
      <c r="AF190" t="str">
        <f>IFERROR(O190&amp;"*"&amp;ROUND(Q190*(P190/(N190+P190))/VLOOKUP(O190,职业!$A$3:$E$16,4,FALSE),0),"")</f>
        <v/>
      </c>
      <c r="AG190" t="str">
        <f>IFERROR(R190&amp;"*"&amp;ROUND(V190*(S190/(S190+U190))/VLOOKUP(R190,商品!$A$4:$D$67,4,FALSE),0),"")</f>
        <v/>
      </c>
      <c r="AH190" t="str">
        <f>IFERROR(T190&amp;"*"&amp;ROUND(V190*(U190/(S190+U190))/VLOOKUP(T190,商品!$A$4:$D$67,4,FALSE),0),"")</f>
        <v/>
      </c>
    </row>
    <row r="191" customHeight="1" spans="1:34">
      <c r="A191" s="15" t="s">
        <v>320</v>
      </c>
      <c r="C191" s="2">
        <v>6</v>
      </c>
      <c r="D191" s="2" t="s">
        <v>220</v>
      </c>
      <c r="E191" s="2" t="s">
        <v>225</v>
      </c>
      <c r="L191" s="2">
        <f>IFERROR(VLOOKUP($D191&amp;$C191,生产方式定位!$A$2:$E$39,2,FALSE)+VLOOKUP($E191&amp;$C191,生产方式定位!$F$3:$J$39,2,FALSE),0)</f>
        <v>0</v>
      </c>
      <c r="Q191" s="2">
        <f>IFERROR(VLOOKUP($D191&amp;$C191,生产方式定位!$A$2:$E$39,3,FALSE)+VLOOKUP($E191&amp;$C191,生产方式定位!$F$3:$J$39,3,FALSE),0)</f>
        <v>0</v>
      </c>
      <c r="V191" s="2" t="str">
        <f>IFERROR(VLOOKUP($D191&amp;$C191,生产方式定位!$A$2:$E$39,5,FALSE)+VLOOKUP($E191&amp;$C191,生产方式定位!$F$3:$J$39,5,FALSE),"错误")</f>
        <v>错误</v>
      </c>
      <c r="W191" s="3" t="str">
        <f t="shared" si="10"/>
        <v/>
      </c>
      <c r="X191" s="4" t="str">
        <f t="shared" si="11"/>
        <v/>
      </c>
      <c r="Y191" s="4" t="str">
        <f t="shared" si="12"/>
        <v/>
      </c>
      <c r="Z191" s="5" t="str">
        <f t="shared" si="13"/>
        <v/>
      </c>
      <c r="AA191" s="6">
        <f t="shared" si="14"/>
        <v>6</v>
      </c>
      <c r="AB191" t="str">
        <f>IFERROR(F191&amp;"*"&amp;ROUND(L191*(G191/(G191+I191+K191))/VLOOKUP(F191,商品!$A$4:$D$67,4,FALSE),0),"")</f>
        <v/>
      </c>
      <c r="AC191" t="str">
        <f>IFERROR(H191&amp;"*"&amp;ROUND(L191*(I191/(G191+I191+K191))/VLOOKUP(H191,商品!$A$4:$D$67,4,FALSE),0),"")</f>
        <v/>
      </c>
      <c r="AD191" t="str">
        <f>IFERROR(J191&amp;"*"&amp;ROUND(L191*(K191/(G191+I191+K191))/VLOOKUP(J191,商品!$A$4:$D$67,4,FALSE),0),"")</f>
        <v/>
      </c>
      <c r="AE191" t="str">
        <f>IFERROR(M191&amp;"*"&amp;ROUND(Q191*(N191/(N191+P191))/VLOOKUP(M191,职业!$A$3:$E$16,4,FALSE),0),"")</f>
        <v/>
      </c>
      <c r="AF191" t="str">
        <f>IFERROR(O191&amp;"*"&amp;ROUND(Q191*(P191/(N191+P191))/VLOOKUP(O191,职业!$A$3:$E$16,4,FALSE),0),"")</f>
        <v/>
      </c>
      <c r="AG191" t="str">
        <f>IFERROR(R191&amp;"*"&amp;ROUND(V191*(S191/(S191+U191))/VLOOKUP(R191,商品!$A$4:$D$67,4,FALSE),0),"")</f>
        <v/>
      </c>
      <c r="AH191" t="str">
        <f>IFERROR(T191&amp;"*"&amp;ROUND(V191*(U191/(S191+U191))/VLOOKUP(T191,商品!$A$4:$D$67,4,FALSE),0),"")</f>
        <v/>
      </c>
    </row>
    <row r="192" customHeight="1" spans="1:34">
      <c r="A192" s="15" t="s">
        <v>320</v>
      </c>
      <c r="C192" s="2">
        <v>7</v>
      </c>
      <c r="D192" s="2" t="s">
        <v>220</v>
      </c>
      <c r="E192" s="2" t="s">
        <v>225</v>
      </c>
      <c r="L192" s="2">
        <f>IFERROR(VLOOKUP($D192&amp;$C192,生产方式定位!$A$2:$E$39,2,FALSE)+VLOOKUP($E192&amp;$C192,生产方式定位!$F$3:$J$39,2,FALSE),0)</f>
        <v>0</v>
      </c>
      <c r="Q192" s="2">
        <f>IFERROR(VLOOKUP($D192&amp;$C192,生产方式定位!$A$2:$E$39,3,FALSE)+VLOOKUP($E192&amp;$C192,生产方式定位!$F$3:$J$39,3,FALSE),0)</f>
        <v>0</v>
      </c>
      <c r="V192" s="2" t="str">
        <f>IFERROR(VLOOKUP($D192&amp;$C192,生产方式定位!$A$2:$E$39,5,FALSE)+VLOOKUP($E192&amp;$C192,生产方式定位!$F$3:$J$39,5,FALSE),"错误")</f>
        <v>错误</v>
      </c>
      <c r="W192" s="3" t="str">
        <f t="shared" si="10"/>
        <v/>
      </c>
      <c r="X192" s="4" t="str">
        <f t="shared" si="11"/>
        <v/>
      </c>
      <c r="Y192" s="4" t="str">
        <f t="shared" si="12"/>
        <v/>
      </c>
      <c r="Z192" s="5" t="str">
        <f t="shared" si="13"/>
        <v/>
      </c>
      <c r="AA192" s="6">
        <f t="shared" si="14"/>
        <v>7</v>
      </c>
      <c r="AB192" t="str">
        <f>IFERROR(F192&amp;"*"&amp;ROUND(L192*(G192/(G192+I192+K192))/VLOOKUP(F192,商品!$A$4:$D$67,4,FALSE),0),"")</f>
        <v/>
      </c>
      <c r="AC192" t="str">
        <f>IFERROR(H192&amp;"*"&amp;ROUND(L192*(I192/(G192+I192+K192))/VLOOKUP(H192,商品!$A$4:$D$67,4,FALSE),0),"")</f>
        <v/>
      </c>
      <c r="AD192" t="str">
        <f>IFERROR(J192&amp;"*"&amp;ROUND(L192*(K192/(G192+I192+K192))/VLOOKUP(J192,商品!$A$4:$D$67,4,FALSE),0),"")</f>
        <v/>
      </c>
      <c r="AE192" t="str">
        <f>IFERROR(M192&amp;"*"&amp;ROUND(Q192*(N192/(N192+P192))/VLOOKUP(M192,职业!$A$3:$E$16,4,FALSE),0),"")</f>
        <v/>
      </c>
      <c r="AF192" t="str">
        <f>IFERROR(O192&amp;"*"&amp;ROUND(Q192*(P192/(N192+P192))/VLOOKUP(O192,职业!$A$3:$E$16,4,FALSE),0),"")</f>
        <v/>
      </c>
      <c r="AG192" t="str">
        <f>IFERROR(R192&amp;"*"&amp;ROUND(V192*(S192/(S192+U192))/VLOOKUP(R192,商品!$A$4:$D$67,4,FALSE),0),"")</f>
        <v/>
      </c>
      <c r="AH192" t="str">
        <f>IFERROR(T192&amp;"*"&amp;ROUND(V192*(U192/(S192+U192))/VLOOKUP(T192,商品!$A$4:$D$67,4,FALSE),0),"")</f>
        <v/>
      </c>
    </row>
    <row r="193" customHeight="1" spans="1:34">
      <c r="A193" s="15" t="s">
        <v>320</v>
      </c>
      <c r="C193" s="2">
        <v>8</v>
      </c>
      <c r="D193" s="2" t="s">
        <v>220</v>
      </c>
      <c r="E193" s="2" t="s">
        <v>225</v>
      </c>
      <c r="L193" s="2">
        <f>IFERROR(VLOOKUP($D193&amp;$C193,生产方式定位!$A$2:$E$39,2,FALSE)+VLOOKUP($E193&amp;$C193,生产方式定位!$F$3:$J$39,2,FALSE),0)</f>
        <v>0</v>
      </c>
      <c r="Q193" s="2">
        <f>IFERROR(VLOOKUP($D193&amp;$C193,生产方式定位!$A$2:$E$39,3,FALSE)+VLOOKUP($E193&amp;$C193,生产方式定位!$F$3:$J$39,3,FALSE),0)</f>
        <v>0</v>
      </c>
      <c r="V193" s="2" t="str">
        <f>IFERROR(VLOOKUP($D193&amp;$C193,生产方式定位!$A$2:$E$39,5,FALSE)+VLOOKUP($E193&amp;$C193,生产方式定位!$F$3:$J$39,5,FALSE),"错误")</f>
        <v>错误</v>
      </c>
      <c r="W193" s="3" t="str">
        <f t="shared" si="10"/>
        <v/>
      </c>
      <c r="X193" s="4" t="str">
        <f t="shared" si="11"/>
        <v/>
      </c>
      <c r="Y193" s="4" t="str">
        <f t="shared" si="12"/>
        <v/>
      </c>
      <c r="Z193" s="5" t="str">
        <f t="shared" si="13"/>
        <v/>
      </c>
      <c r="AA193" s="6">
        <f t="shared" si="14"/>
        <v>8</v>
      </c>
      <c r="AB193" t="str">
        <f>IFERROR(F193&amp;"*"&amp;ROUND(L193*(G193/(G193+I193+K193))/VLOOKUP(F193,商品!$A$4:$D$67,4,FALSE),0),"")</f>
        <v/>
      </c>
      <c r="AC193" t="str">
        <f>IFERROR(H193&amp;"*"&amp;ROUND(L193*(I193/(G193+I193+K193))/VLOOKUP(H193,商品!$A$4:$D$67,4,FALSE),0),"")</f>
        <v/>
      </c>
      <c r="AD193" t="str">
        <f>IFERROR(J193&amp;"*"&amp;ROUND(L193*(K193/(G193+I193+K193))/VLOOKUP(J193,商品!$A$4:$D$67,4,FALSE),0),"")</f>
        <v/>
      </c>
      <c r="AE193" t="str">
        <f>IFERROR(M193&amp;"*"&amp;ROUND(Q193*(N193/(N193+P193))/VLOOKUP(M193,职业!$A$3:$E$16,4,FALSE),0),"")</f>
        <v/>
      </c>
      <c r="AF193" t="str">
        <f>IFERROR(O193&amp;"*"&amp;ROUND(Q193*(P193/(N193+P193))/VLOOKUP(O193,职业!$A$3:$E$16,4,FALSE),0),"")</f>
        <v/>
      </c>
      <c r="AG193" t="str">
        <f>IFERROR(R193&amp;"*"&amp;ROUND(V193*(S193/(S193+U193))/VLOOKUP(R193,商品!$A$4:$D$67,4,FALSE),0),"")</f>
        <v/>
      </c>
      <c r="AH193" t="str">
        <f>IFERROR(T193&amp;"*"&amp;ROUND(V193*(U193/(S193+U193))/VLOOKUP(T193,商品!$A$4:$D$67,4,FALSE),0),"")</f>
        <v/>
      </c>
    </row>
    <row r="194" customHeight="1" spans="1:34">
      <c r="A194" s="15" t="s">
        <v>320</v>
      </c>
      <c r="C194" s="2">
        <v>1</v>
      </c>
      <c r="D194" s="2" t="s">
        <v>220</v>
      </c>
      <c r="E194" s="2" t="s">
        <v>225</v>
      </c>
      <c r="L194" s="2">
        <f>IFERROR(VLOOKUP($D194&amp;$C194,生产方式定位!$A$2:$E$39,2,FALSE)+VLOOKUP($E194&amp;$C194,生产方式定位!$F$3:$J$39,2,FALSE),0)</f>
        <v>2000</v>
      </c>
      <c r="Q194" s="2">
        <f>IFERROR(VLOOKUP($D194&amp;$C194,生产方式定位!$A$2:$E$39,3,FALSE)+VLOOKUP($E194&amp;$C194,生产方式定位!$F$3:$J$39,3,FALSE),0)</f>
        <v>2000</v>
      </c>
      <c r="V194" s="2">
        <f>IFERROR(VLOOKUP($D194&amp;$C194,生产方式定位!$A$2:$E$39,5,FALSE)+VLOOKUP($E194&amp;$C194,生产方式定位!$F$3:$J$39,5,FALSE),"错误")</f>
        <v>2000</v>
      </c>
      <c r="W194" s="3" t="str">
        <f t="shared" si="10"/>
        <v/>
      </c>
      <c r="X194" s="4" t="str">
        <f t="shared" si="11"/>
        <v/>
      </c>
      <c r="Y194" s="4" t="str">
        <f t="shared" si="12"/>
        <v/>
      </c>
      <c r="Z194" s="5">
        <f t="shared" si="13"/>
        <v>1</v>
      </c>
      <c r="AA194" s="6">
        <f t="shared" si="14"/>
        <v>1</v>
      </c>
      <c r="AB194" t="str">
        <f>IFERROR(F194&amp;"*"&amp;ROUND(L194*(G194/(G194+I194+K194))/VLOOKUP(F194,商品!$A$4:$D$67,4,FALSE),0),"")</f>
        <v/>
      </c>
      <c r="AC194" t="str">
        <f>IFERROR(H194&amp;"*"&amp;ROUND(L194*(I194/(G194+I194+K194))/VLOOKUP(H194,商品!$A$4:$D$67,4,FALSE),0),"")</f>
        <v/>
      </c>
      <c r="AD194" t="str">
        <f>IFERROR(J194&amp;"*"&amp;ROUND(L194*(K194/(G194+I194+K194))/VLOOKUP(J194,商品!$A$4:$D$67,4,FALSE),0),"")</f>
        <v/>
      </c>
      <c r="AE194" t="str">
        <f>IFERROR(M194&amp;"*"&amp;ROUND(Q194*(N194/(N194+P194))/VLOOKUP(M194,职业!$A$3:$E$16,4,FALSE),0),"")</f>
        <v/>
      </c>
      <c r="AF194" t="str">
        <f>IFERROR(O194&amp;"*"&amp;ROUND(Q194*(P194/(N194+P194))/VLOOKUP(O194,职业!$A$3:$E$16,4,FALSE),0),"")</f>
        <v/>
      </c>
      <c r="AG194" t="str">
        <f>IFERROR(R194&amp;"*"&amp;ROUND(V194*(S194/(S194+U194))/VLOOKUP(R194,商品!$A$4:$D$67,4,FALSE),0),"")</f>
        <v/>
      </c>
      <c r="AH194" t="str">
        <f>IFERROR(T194&amp;"*"&amp;ROUND(V194*(U194/(S194+U194))/VLOOKUP(T194,商品!$A$4:$D$67,4,FALSE),0),"")</f>
        <v/>
      </c>
    </row>
    <row r="195" customHeight="1" spans="1:34">
      <c r="A195" s="15" t="s">
        <v>320</v>
      </c>
      <c r="C195" s="2">
        <v>2</v>
      </c>
      <c r="D195" s="2" t="s">
        <v>220</v>
      </c>
      <c r="E195" s="2" t="s">
        <v>225</v>
      </c>
      <c r="L195" s="2">
        <f>IFERROR(VLOOKUP($D195&amp;$C195,生产方式定位!$A$2:$E$39,2,FALSE)+VLOOKUP($E195&amp;$C195,生产方式定位!$F$3:$J$39,2,FALSE),0)</f>
        <v>2500</v>
      </c>
      <c r="Q195" s="2">
        <f>IFERROR(VLOOKUP($D195&amp;$C195,生产方式定位!$A$2:$E$39,3,FALSE)+VLOOKUP($E195&amp;$C195,生产方式定位!$F$3:$J$39,3,FALSE),0)</f>
        <v>2200</v>
      </c>
      <c r="V195" s="2">
        <f>IFERROR(VLOOKUP($D195&amp;$C195,生产方式定位!$A$2:$E$39,5,FALSE)+VLOOKUP($E195&amp;$C195,生产方式定位!$F$3:$J$39,5,FALSE),"错误")</f>
        <v>2350</v>
      </c>
      <c r="W195" s="3" t="str">
        <f t="shared" si="10"/>
        <v/>
      </c>
      <c r="X195" s="4" t="str">
        <f t="shared" si="11"/>
        <v/>
      </c>
      <c r="Y195" s="4" t="str">
        <f t="shared" si="12"/>
        <v/>
      </c>
      <c r="Z195" s="5">
        <f t="shared" si="13"/>
        <v>1.06</v>
      </c>
      <c r="AA195" s="6">
        <f t="shared" si="14"/>
        <v>2</v>
      </c>
      <c r="AB195" t="str">
        <f>IFERROR(F195&amp;"*"&amp;ROUND(L195*(G195/(G195+I195+K195))/VLOOKUP(F195,商品!$A$4:$D$67,4,FALSE),0),"")</f>
        <v/>
      </c>
      <c r="AC195" t="str">
        <f>IFERROR(H195&amp;"*"&amp;ROUND(L195*(I195/(G195+I195+K195))/VLOOKUP(H195,商品!$A$4:$D$67,4,FALSE),0),"")</f>
        <v/>
      </c>
      <c r="AD195" t="str">
        <f>IFERROR(J195&amp;"*"&amp;ROUND(L195*(K195/(G195+I195+K195))/VLOOKUP(J195,商品!$A$4:$D$67,4,FALSE),0),"")</f>
        <v/>
      </c>
      <c r="AE195" t="str">
        <f>IFERROR(M195&amp;"*"&amp;ROUND(Q195*(N195/(N195+P195))/VLOOKUP(M195,职业!$A$3:$E$16,4,FALSE),0),"")</f>
        <v/>
      </c>
      <c r="AF195" t="str">
        <f>IFERROR(O195&amp;"*"&amp;ROUND(Q195*(P195/(N195+P195))/VLOOKUP(O195,职业!$A$3:$E$16,4,FALSE),0),"")</f>
        <v/>
      </c>
      <c r="AG195" t="str">
        <f>IFERROR(R195&amp;"*"&amp;ROUND(V195*(S195/(S195+U195))/VLOOKUP(R195,商品!$A$4:$D$67,4,FALSE),0),"")</f>
        <v/>
      </c>
      <c r="AH195" t="str">
        <f>IFERROR(T195&amp;"*"&amp;ROUND(V195*(U195/(S195+U195))/VLOOKUP(T195,商品!$A$4:$D$67,4,FALSE),0),"")</f>
        <v/>
      </c>
    </row>
    <row r="196" customHeight="1" spans="1:34">
      <c r="A196" s="14" t="s">
        <v>322</v>
      </c>
      <c r="C196" s="2">
        <v>3</v>
      </c>
      <c r="D196" s="2" t="s">
        <v>220</v>
      </c>
      <c r="E196" s="2" t="s">
        <v>222</v>
      </c>
      <c r="L196" s="2">
        <f>IFERROR(VLOOKUP($D196&amp;$C196,生产方式定位!$A$2:$E$39,2,FALSE)+VLOOKUP($E196&amp;$C196,生产方式定位!$F$3:$J$39,2,FALSE),0)</f>
        <v>5000</v>
      </c>
      <c r="Q196" s="2">
        <f>IFERROR(VLOOKUP($D196&amp;$C196,生产方式定位!$A$2:$E$39,3,FALSE)+VLOOKUP($E196&amp;$C196,生产方式定位!$F$3:$J$39,3,FALSE),0)</f>
        <v>2800</v>
      </c>
      <c r="V196" s="2">
        <f>IFERROR(VLOOKUP($D196&amp;$C196,生产方式定位!$A$2:$E$39,5,FALSE)+VLOOKUP($E196&amp;$C196,生产方式定位!$F$3:$J$39,5,FALSE),"错误")</f>
        <v>4188</v>
      </c>
      <c r="W196" s="3" t="str">
        <f t="shared" si="10"/>
        <v/>
      </c>
      <c r="X196" s="4" t="str">
        <f t="shared" si="11"/>
        <v/>
      </c>
      <c r="Y196" s="4" t="str">
        <f t="shared" si="12"/>
        <v/>
      </c>
      <c r="Z196" s="5">
        <f t="shared" si="13"/>
        <v>1.19</v>
      </c>
      <c r="AA196" s="6">
        <f t="shared" si="14"/>
        <v>3</v>
      </c>
      <c r="AB196" t="str">
        <f>IFERROR(F196&amp;"*"&amp;ROUND(L196*(G196/(G196+I196+K196))/VLOOKUP(F196,商品!$A$4:$D$67,4,FALSE),0),"")</f>
        <v/>
      </c>
      <c r="AC196" t="str">
        <f>IFERROR(H196&amp;"*"&amp;ROUND(L196*(I196/(G196+I196+K196))/VLOOKUP(H196,商品!$A$4:$D$67,4,FALSE),0),"")</f>
        <v/>
      </c>
      <c r="AD196" t="str">
        <f>IFERROR(J196&amp;"*"&amp;ROUND(L196*(K196/(G196+I196+K196))/VLOOKUP(J196,商品!$A$4:$D$67,4,FALSE),0),"")</f>
        <v/>
      </c>
      <c r="AE196" t="str">
        <f>IFERROR(M196&amp;"*"&amp;ROUND(Q196*(N196/(N196+P196))/VLOOKUP(M196,职业!$A$3:$E$16,4,FALSE),0),"")</f>
        <v/>
      </c>
      <c r="AF196" t="str">
        <f>IFERROR(O196&amp;"*"&amp;ROUND(Q196*(P196/(N196+P196))/VLOOKUP(O196,职业!$A$3:$E$16,4,FALSE),0),"")</f>
        <v/>
      </c>
      <c r="AG196" t="str">
        <f>IFERROR(R196&amp;"*"&amp;ROUND(V196*(S196/(S196+U196))/VLOOKUP(R196,商品!$A$4:$D$67,4,FALSE),0),"")</f>
        <v/>
      </c>
      <c r="AH196" t="str">
        <f>IFERROR(T196&amp;"*"&amp;ROUND(V196*(U196/(S196+U196))/VLOOKUP(T196,商品!$A$4:$D$67,4,FALSE),0),"")</f>
        <v/>
      </c>
    </row>
    <row r="197" customHeight="1" spans="1:34">
      <c r="A197" s="14" t="s">
        <v>322</v>
      </c>
      <c r="C197" s="2">
        <v>4</v>
      </c>
      <c r="D197" s="2" t="s">
        <v>220</v>
      </c>
      <c r="E197" s="2" t="s">
        <v>222</v>
      </c>
      <c r="L197" s="2">
        <f>IFERROR(VLOOKUP($D197&amp;$C197,生产方式定位!$A$2:$E$39,2,FALSE)+VLOOKUP($E197&amp;$C197,生产方式定位!$F$3:$J$39,2,FALSE),0)</f>
        <v>6500</v>
      </c>
      <c r="Q197" s="2">
        <f>IFERROR(VLOOKUP($D197&amp;$C197,生产方式定位!$A$2:$E$39,3,FALSE)+VLOOKUP($E197&amp;$C197,生产方式定位!$F$3:$J$39,3,FALSE),0)</f>
        <v>3200</v>
      </c>
      <c r="V197" s="2">
        <f>IFERROR(VLOOKUP($D197&amp;$C197,生产方式定位!$A$2:$E$39,5,FALSE)+VLOOKUP($E197&amp;$C197,生产方式定位!$F$3:$J$39,5,FALSE),"错误")</f>
        <v>5498</v>
      </c>
      <c r="W197" s="3" t="str">
        <f t="shared" ref="W197:W260" si="15">IF(AB197="","",AB197)&amp;IF(AC197="","",","&amp;AC197)&amp;IF(AD197="","",","&amp;AD197)</f>
        <v/>
      </c>
      <c r="X197" s="4" t="str">
        <f t="shared" ref="X197:X260" si="16">IF(AE197="","",AE197)&amp;IF(AF197="","",","&amp;AF197)</f>
        <v/>
      </c>
      <c r="Y197" s="4" t="str">
        <f t="shared" ref="Y197:Y260" si="17">IF(AG197="","",AG197)&amp;IF(AH197="","",","&amp;AH197)</f>
        <v/>
      </c>
      <c r="Z197" s="5">
        <f t="shared" ref="Z197:Z260" si="18">IFERROR(ROUND(L197/V197,2),"")</f>
        <v>1.18</v>
      </c>
      <c r="AA197" s="6">
        <f t="shared" ref="AA197:AA260" si="19">C197</f>
        <v>4</v>
      </c>
      <c r="AB197" t="str">
        <f>IFERROR(F197&amp;"*"&amp;ROUND(L197*(G197/(G197+I197+K197))/VLOOKUP(F197,商品!$A$4:$D$67,4,FALSE),0),"")</f>
        <v/>
      </c>
      <c r="AC197" t="str">
        <f>IFERROR(H197&amp;"*"&amp;ROUND(L197*(I197/(G197+I197+K197))/VLOOKUP(H197,商品!$A$4:$D$67,4,FALSE),0),"")</f>
        <v/>
      </c>
      <c r="AD197" t="str">
        <f>IFERROR(J197&amp;"*"&amp;ROUND(L197*(K197/(G197+I197+K197))/VLOOKUP(J197,商品!$A$4:$D$67,4,FALSE),0),"")</f>
        <v/>
      </c>
      <c r="AE197" t="str">
        <f>IFERROR(M197&amp;"*"&amp;ROUND(Q197*(N197/(N197+P197))/VLOOKUP(M197,职业!$A$3:$E$16,4,FALSE),0),"")</f>
        <v/>
      </c>
      <c r="AF197" t="str">
        <f>IFERROR(O197&amp;"*"&amp;ROUND(Q197*(P197/(N197+P197))/VLOOKUP(O197,职业!$A$3:$E$16,4,FALSE),0),"")</f>
        <v/>
      </c>
      <c r="AG197" t="str">
        <f>IFERROR(R197&amp;"*"&amp;ROUND(V197*(S197/(S197+U197))/VLOOKUP(R197,商品!$A$4:$D$67,4,FALSE),0),"")</f>
        <v/>
      </c>
      <c r="AH197" t="str">
        <f>IFERROR(T197&amp;"*"&amp;ROUND(V197*(U197/(S197+U197))/VLOOKUP(T197,商品!$A$4:$D$67,4,FALSE),0),"")</f>
        <v/>
      </c>
    </row>
    <row r="198" customHeight="1" spans="1:34">
      <c r="A198" s="14" t="s">
        <v>322</v>
      </c>
      <c r="C198" s="2">
        <v>5</v>
      </c>
      <c r="D198" s="2" t="s">
        <v>220</v>
      </c>
      <c r="E198" s="2" t="s">
        <v>222</v>
      </c>
      <c r="L198" s="2">
        <f>IFERROR(VLOOKUP($D198&amp;$C198,生产方式定位!$A$2:$E$39,2,FALSE)+VLOOKUP($E198&amp;$C198,生产方式定位!$F$3:$J$39,2,FALSE),0)</f>
        <v>8000</v>
      </c>
      <c r="Q198" s="2">
        <f>IFERROR(VLOOKUP($D198&amp;$C198,生产方式定位!$A$2:$E$39,3,FALSE)+VLOOKUP($E198&amp;$C198,生产方式定位!$F$3:$J$39,3,FALSE),0)</f>
        <v>3600</v>
      </c>
      <c r="V198" s="2">
        <f>IFERROR(VLOOKUP($D198&amp;$C198,生产方式定位!$A$2:$E$39,5,FALSE)+VLOOKUP($E198&amp;$C198,生产方式定位!$F$3:$J$39,5,FALSE),"错误")</f>
        <v>7000</v>
      </c>
      <c r="W198" s="3" t="str">
        <f t="shared" si="15"/>
        <v/>
      </c>
      <c r="X198" s="4" t="str">
        <f t="shared" si="16"/>
        <v/>
      </c>
      <c r="Y198" s="4" t="str">
        <f t="shared" si="17"/>
        <v/>
      </c>
      <c r="Z198" s="5">
        <f t="shared" si="18"/>
        <v>1.14</v>
      </c>
      <c r="AA198" s="6">
        <f t="shared" si="19"/>
        <v>5</v>
      </c>
      <c r="AB198" t="str">
        <f>IFERROR(F198&amp;"*"&amp;ROUND(L198*(G198/(G198+I198+K198))/VLOOKUP(F198,商品!$A$4:$D$67,4,FALSE),0),"")</f>
        <v/>
      </c>
      <c r="AC198" t="str">
        <f>IFERROR(H198&amp;"*"&amp;ROUND(L198*(I198/(G198+I198+K198))/VLOOKUP(H198,商品!$A$4:$D$67,4,FALSE),0),"")</f>
        <v/>
      </c>
      <c r="AD198" t="str">
        <f>IFERROR(J198&amp;"*"&amp;ROUND(L198*(K198/(G198+I198+K198))/VLOOKUP(J198,商品!$A$4:$D$67,4,FALSE),0),"")</f>
        <v/>
      </c>
      <c r="AE198" t="str">
        <f>IFERROR(M198&amp;"*"&amp;ROUND(Q198*(N198/(N198+P198))/VLOOKUP(M198,职业!$A$3:$E$16,4,FALSE),0),"")</f>
        <v/>
      </c>
      <c r="AF198" t="str">
        <f>IFERROR(O198&amp;"*"&amp;ROUND(Q198*(P198/(N198+P198))/VLOOKUP(O198,职业!$A$3:$E$16,4,FALSE),0),"")</f>
        <v/>
      </c>
      <c r="AG198" t="str">
        <f>IFERROR(R198&amp;"*"&amp;ROUND(V198*(S198/(S198+U198))/VLOOKUP(R198,商品!$A$4:$D$67,4,FALSE),0),"")</f>
        <v/>
      </c>
      <c r="AH198" t="str">
        <f>IFERROR(T198&amp;"*"&amp;ROUND(V198*(U198/(S198+U198))/VLOOKUP(T198,商品!$A$4:$D$67,4,FALSE),0),"")</f>
        <v/>
      </c>
    </row>
    <row r="199" customHeight="1" spans="1:34">
      <c r="A199" s="14" t="s">
        <v>322</v>
      </c>
      <c r="C199" s="2">
        <v>1</v>
      </c>
      <c r="D199" s="2" t="s">
        <v>220</v>
      </c>
      <c r="E199" s="2" t="s">
        <v>222</v>
      </c>
      <c r="L199" s="2">
        <f>IFERROR(VLOOKUP($D199&amp;$C199,生产方式定位!$A$2:$E$39,2,FALSE)+VLOOKUP($E199&amp;$C199,生产方式定位!$F$3:$J$39,2,FALSE),0)</f>
        <v>2000</v>
      </c>
      <c r="Q199" s="2">
        <f>IFERROR(VLOOKUP($D199&amp;$C199,生产方式定位!$A$2:$E$39,3,FALSE)+VLOOKUP($E199&amp;$C199,生产方式定位!$F$3:$J$39,3,FALSE),0)</f>
        <v>2000</v>
      </c>
      <c r="V199" s="2">
        <f>IFERROR(VLOOKUP($D199&amp;$C199,生产方式定位!$A$2:$E$39,5,FALSE)+VLOOKUP($E199&amp;$C199,生产方式定位!$F$3:$J$39,5,FALSE),"错误")</f>
        <v>2000</v>
      </c>
      <c r="W199" s="3" t="str">
        <f t="shared" si="15"/>
        <v/>
      </c>
      <c r="X199" s="4" t="str">
        <f t="shared" si="16"/>
        <v/>
      </c>
      <c r="Y199" s="4" t="str">
        <f t="shared" si="17"/>
        <v/>
      </c>
      <c r="Z199" s="5">
        <f t="shared" si="18"/>
        <v>1</v>
      </c>
      <c r="AA199" s="6">
        <f t="shared" si="19"/>
        <v>1</v>
      </c>
      <c r="AB199" t="str">
        <f>IFERROR(F199&amp;"*"&amp;ROUND(L199*(G199/(G199+I199+K199))/VLOOKUP(F199,商品!$A$4:$D$67,4,FALSE),0),"")</f>
        <v/>
      </c>
      <c r="AC199" t="str">
        <f>IFERROR(H199&amp;"*"&amp;ROUND(L199*(I199/(G199+I199+K199))/VLOOKUP(H199,商品!$A$4:$D$67,4,FALSE),0),"")</f>
        <v/>
      </c>
      <c r="AD199" t="str">
        <f>IFERROR(J199&amp;"*"&amp;ROUND(L199*(K199/(G199+I199+K199))/VLOOKUP(J199,商品!$A$4:$D$67,4,FALSE),0),"")</f>
        <v/>
      </c>
      <c r="AE199" t="str">
        <f>IFERROR(M199&amp;"*"&amp;ROUND(Q199*(N199/(N199+P199))/VLOOKUP(M199,职业!$A$3:$E$16,4,FALSE),0),"")</f>
        <v/>
      </c>
      <c r="AF199" t="str">
        <f>IFERROR(O199&amp;"*"&amp;ROUND(Q199*(P199/(N199+P199))/VLOOKUP(O199,职业!$A$3:$E$16,4,FALSE),0),"")</f>
        <v/>
      </c>
      <c r="AG199" t="str">
        <f>IFERROR(R199&amp;"*"&amp;ROUND(V199*(S199/(S199+U199))/VLOOKUP(R199,商品!$A$4:$D$67,4,FALSE),0),"")</f>
        <v/>
      </c>
      <c r="AH199" t="str">
        <f>IFERROR(T199&amp;"*"&amp;ROUND(V199*(U199/(S199+U199))/VLOOKUP(T199,商品!$A$4:$D$67,4,FALSE),0),"")</f>
        <v/>
      </c>
    </row>
    <row r="200" customHeight="1" spans="1:34">
      <c r="A200" s="14" t="s">
        <v>322</v>
      </c>
      <c r="C200" s="2">
        <v>2</v>
      </c>
      <c r="D200" s="2" t="s">
        <v>220</v>
      </c>
      <c r="E200" s="2" t="s">
        <v>222</v>
      </c>
      <c r="L200" s="2">
        <f>IFERROR(VLOOKUP($D200&amp;$C200,生产方式定位!$A$2:$E$39,2,FALSE)+VLOOKUP($E200&amp;$C200,生产方式定位!$F$3:$J$39,2,FALSE),0)</f>
        <v>3500</v>
      </c>
      <c r="Q200" s="2">
        <f>IFERROR(VLOOKUP($D200&amp;$C200,生产方式定位!$A$2:$E$39,3,FALSE)+VLOOKUP($E200&amp;$C200,生产方式定位!$F$3:$J$39,3,FALSE),0)</f>
        <v>2400</v>
      </c>
      <c r="V200" s="2">
        <f>IFERROR(VLOOKUP($D200&amp;$C200,生产方式定位!$A$2:$E$39,5,FALSE)+VLOOKUP($E200&amp;$C200,生产方式定位!$F$3:$J$39,5,FALSE),"错误")</f>
        <v>3022</v>
      </c>
      <c r="W200" s="3" t="str">
        <f t="shared" si="15"/>
        <v/>
      </c>
      <c r="X200" s="4" t="str">
        <f t="shared" si="16"/>
        <v/>
      </c>
      <c r="Y200" s="4" t="str">
        <f t="shared" si="17"/>
        <v/>
      </c>
      <c r="Z200" s="5">
        <f t="shared" si="18"/>
        <v>1.16</v>
      </c>
      <c r="AA200" s="6">
        <f t="shared" si="19"/>
        <v>2</v>
      </c>
      <c r="AB200" t="str">
        <f>IFERROR(F200&amp;"*"&amp;ROUND(L200*(G200/(G200+I200+K200))/VLOOKUP(F200,商品!$A$4:$D$67,4,FALSE),0),"")</f>
        <v/>
      </c>
      <c r="AC200" t="str">
        <f>IFERROR(H200&amp;"*"&amp;ROUND(L200*(I200/(G200+I200+K200))/VLOOKUP(H200,商品!$A$4:$D$67,4,FALSE),0),"")</f>
        <v/>
      </c>
      <c r="AD200" t="str">
        <f>IFERROR(J200&amp;"*"&amp;ROUND(L200*(K200/(G200+I200+K200))/VLOOKUP(J200,商品!$A$4:$D$67,4,FALSE),0),"")</f>
        <v/>
      </c>
      <c r="AE200" t="str">
        <f>IFERROR(M200&amp;"*"&amp;ROUND(Q200*(N200/(N200+P200))/VLOOKUP(M200,职业!$A$3:$E$16,4,FALSE),0),"")</f>
        <v/>
      </c>
      <c r="AF200" t="str">
        <f>IFERROR(O200&amp;"*"&amp;ROUND(Q200*(P200/(N200+P200))/VLOOKUP(O200,职业!$A$3:$E$16,4,FALSE),0),"")</f>
        <v/>
      </c>
      <c r="AG200" t="str">
        <f>IFERROR(R200&amp;"*"&amp;ROUND(V200*(S200/(S200+U200))/VLOOKUP(R200,商品!$A$4:$D$67,4,FALSE),0),"")</f>
        <v/>
      </c>
      <c r="AH200" t="str">
        <f>IFERROR(T200&amp;"*"&amp;ROUND(V200*(U200/(S200+U200))/VLOOKUP(T200,商品!$A$4:$D$67,4,FALSE),0),"")</f>
        <v/>
      </c>
    </row>
    <row r="201" customHeight="1" spans="1:34">
      <c r="A201" s="15" t="s">
        <v>323</v>
      </c>
      <c r="C201" s="2">
        <v>3</v>
      </c>
      <c r="D201" s="2" t="s">
        <v>220</v>
      </c>
      <c r="E201" s="2" t="s">
        <v>224</v>
      </c>
      <c r="L201" s="2">
        <f>IFERROR(VLOOKUP($D201&amp;$C201,生产方式定位!$A$2:$E$39,2,FALSE)+VLOOKUP($E201&amp;$C201,生产方式定位!$F$3:$J$39,2,FALSE),0)</f>
        <v>6000</v>
      </c>
      <c r="Q201" s="2">
        <f>IFERROR(VLOOKUP($D201&amp;$C201,生产方式定位!$A$2:$E$39,3,FALSE)+VLOOKUP($E201&amp;$C201,生产方式定位!$F$3:$J$39,3,FALSE),0)</f>
        <v>2000</v>
      </c>
      <c r="V201" s="2">
        <f>IFERROR(VLOOKUP($D201&amp;$C201,生产方式定位!$A$2:$E$39,5,FALSE)+VLOOKUP($E201&amp;$C201,生产方式定位!$F$3:$J$39,5,FALSE),"错误")</f>
        <v>4260</v>
      </c>
      <c r="W201" s="3" t="str">
        <f t="shared" si="15"/>
        <v/>
      </c>
      <c r="X201" s="4" t="str">
        <f t="shared" si="16"/>
        <v/>
      </c>
      <c r="Y201" s="4" t="str">
        <f t="shared" si="17"/>
        <v/>
      </c>
      <c r="Z201" s="5">
        <f t="shared" si="18"/>
        <v>1.41</v>
      </c>
      <c r="AA201" s="6">
        <f t="shared" si="19"/>
        <v>3</v>
      </c>
      <c r="AB201" t="str">
        <f>IFERROR(F201&amp;"*"&amp;ROUND(L201*(G201/(G201+I201+K201))/VLOOKUP(F201,商品!$A$4:$D$67,4,FALSE),0),"")</f>
        <v/>
      </c>
      <c r="AC201" t="str">
        <f>IFERROR(H201&amp;"*"&amp;ROUND(L201*(I201/(G201+I201+K201))/VLOOKUP(H201,商品!$A$4:$D$67,4,FALSE),0),"")</f>
        <v/>
      </c>
      <c r="AD201" t="str">
        <f>IFERROR(J201&amp;"*"&amp;ROUND(L201*(K201/(G201+I201+K201))/VLOOKUP(J201,商品!$A$4:$D$67,4,FALSE),0),"")</f>
        <v/>
      </c>
      <c r="AE201" t="str">
        <f>IFERROR(M201&amp;"*"&amp;ROUND(Q201*(N201/(N201+P201))/VLOOKUP(M201,职业!$A$3:$E$16,4,FALSE),0),"")</f>
        <v/>
      </c>
      <c r="AF201" t="str">
        <f>IFERROR(O201&amp;"*"&amp;ROUND(Q201*(P201/(N201+P201))/VLOOKUP(O201,职业!$A$3:$E$16,4,FALSE),0),"")</f>
        <v/>
      </c>
      <c r="AG201" t="str">
        <f>IFERROR(R201&amp;"*"&amp;ROUND(V201*(S201/(S201+U201))/VLOOKUP(R201,商品!$A$4:$D$67,4,FALSE),0),"")</f>
        <v/>
      </c>
      <c r="AH201" t="str">
        <f>IFERROR(T201&amp;"*"&amp;ROUND(V201*(U201/(S201+U201))/VLOOKUP(T201,商品!$A$4:$D$67,4,FALSE),0),"")</f>
        <v/>
      </c>
    </row>
    <row r="202" customHeight="1" spans="1:34">
      <c r="A202" s="15" t="s">
        <v>323</v>
      </c>
      <c r="C202" s="2">
        <v>4</v>
      </c>
      <c r="D202" s="2" t="s">
        <v>220</v>
      </c>
      <c r="E202" s="2" t="s">
        <v>224</v>
      </c>
      <c r="L202" s="2">
        <f>IFERROR(VLOOKUP($D202&amp;$C202,生产方式定位!$A$2:$E$39,2,FALSE)+VLOOKUP($E202&amp;$C202,生产方式定位!$F$3:$J$39,2,FALSE),0)</f>
        <v>7500</v>
      </c>
      <c r="Q202" s="2">
        <f>IFERROR(VLOOKUP($D202&amp;$C202,生产方式定位!$A$2:$E$39,3,FALSE)+VLOOKUP($E202&amp;$C202,生产方式定位!$F$3:$J$39,3,FALSE),0)</f>
        <v>2000</v>
      </c>
      <c r="V202" s="2">
        <f>IFERROR(VLOOKUP($D202&amp;$C202,生产方式定位!$A$2:$E$39,5,FALSE)+VLOOKUP($E202&amp;$C202,生产方式定位!$F$3:$J$39,5,FALSE),"错误")</f>
        <v>5260</v>
      </c>
      <c r="W202" s="3" t="str">
        <f t="shared" si="15"/>
        <v/>
      </c>
      <c r="X202" s="4" t="str">
        <f t="shared" si="16"/>
        <v/>
      </c>
      <c r="Y202" s="4" t="str">
        <f t="shared" si="17"/>
        <v/>
      </c>
      <c r="Z202" s="5">
        <f t="shared" si="18"/>
        <v>1.43</v>
      </c>
      <c r="AA202" s="6">
        <f t="shared" si="19"/>
        <v>4</v>
      </c>
      <c r="AB202" t="str">
        <f>IFERROR(F202&amp;"*"&amp;ROUND(L202*(G202/(G202+I202+K202))/VLOOKUP(F202,商品!$A$4:$D$67,4,FALSE),0),"")</f>
        <v/>
      </c>
      <c r="AC202" t="str">
        <f>IFERROR(H202&amp;"*"&amp;ROUND(L202*(I202/(G202+I202+K202))/VLOOKUP(H202,商品!$A$4:$D$67,4,FALSE),0),"")</f>
        <v/>
      </c>
      <c r="AD202" t="str">
        <f>IFERROR(J202&amp;"*"&amp;ROUND(L202*(K202/(G202+I202+K202))/VLOOKUP(J202,商品!$A$4:$D$67,4,FALSE),0),"")</f>
        <v/>
      </c>
      <c r="AE202" t="str">
        <f>IFERROR(M202&amp;"*"&amp;ROUND(Q202*(N202/(N202+P202))/VLOOKUP(M202,职业!$A$3:$E$16,4,FALSE),0),"")</f>
        <v/>
      </c>
      <c r="AF202" t="str">
        <f>IFERROR(O202&amp;"*"&amp;ROUND(Q202*(P202/(N202+P202))/VLOOKUP(O202,职业!$A$3:$E$16,4,FALSE),0),"")</f>
        <v/>
      </c>
      <c r="AG202" t="str">
        <f>IFERROR(R202&amp;"*"&amp;ROUND(V202*(S202/(S202+U202))/VLOOKUP(R202,商品!$A$4:$D$67,4,FALSE),0),"")</f>
        <v/>
      </c>
      <c r="AH202" t="str">
        <f>IFERROR(T202&amp;"*"&amp;ROUND(V202*(U202/(S202+U202))/VLOOKUP(T202,商品!$A$4:$D$67,4,FALSE),0),"")</f>
        <v/>
      </c>
    </row>
    <row r="203" customHeight="1" spans="1:34">
      <c r="A203" s="15" t="s">
        <v>323</v>
      </c>
      <c r="C203" s="2">
        <v>5</v>
      </c>
      <c r="D203" s="2" t="s">
        <v>220</v>
      </c>
      <c r="E203" s="2" t="s">
        <v>224</v>
      </c>
      <c r="L203" s="2">
        <f>IFERROR(VLOOKUP($D203&amp;$C203,生产方式定位!$A$2:$E$39,2,FALSE)+VLOOKUP($E203&amp;$C203,生产方式定位!$F$3:$J$39,2,FALSE),0)</f>
        <v>9000</v>
      </c>
      <c r="Q203" s="2">
        <f>IFERROR(VLOOKUP($D203&amp;$C203,生产方式定位!$A$2:$E$39,3,FALSE)+VLOOKUP($E203&amp;$C203,生产方式定位!$F$3:$J$39,3,FALSE),0)</f>
        <v>2000</v>
      </c>
      <c r="V203" s="2">
        <f>IFERROR(VLOOKUP($D203&amp;$C203,生产方式定位!$A$2:$E$39,5,FALSE)+VLOOKUP($E203&amp;$C203,生产方式定位!$F$3:$J$39,5,FALSE),"错误")</f>
        <v>6340</v>
      </c>
      <c r="W203" s="3" t="str">
        <f t="shared" si="15"/>
        <v/>
      </c>
      <c r="X203" s="4" t="str">
        <f t="shared" si="16"/>
        <v/>
      </c>
      <c r="Y203" s="4" t="str">
        <f t="shared" si="17"/>
        <v/>
      </c>
      <c r="Z203" s="5">
        <f t="shared" si="18"/>
        <v>1.42</v>
      </c>
      <c r="AA203" s="6">
        <f t="shared" si="19"/>
        <v>5</v>
      </c>
      <c r="AB203" t="str">
        <f>IFERROR(F203&amp;"*"&amp;ROUND(L203*(G203/(G203+I203+K203))/VLOOKUP(F203,商品!$A$4:$D$67,4,FALSE),0),"")</f>
        <v/>
      </c>
      <c r="AC203" t="str">
        <f>IFERROR(H203&amp;"*"&amp;ROUND(L203*(I203/(G203+I203+K203))/VLOOKUP(H203,商品!$A$4:$D$67,4,FALSE),0),"")</f>
        <v/>
      </c>
      <c r="AD203" t="str">
        <f>IFERROR(J203&amp;"*"&amp;ROUND(L203*(K203/(G203+I203+K203))/VLOOKUP(J203,商品!$A$4:$D$67,4,FALSE),0),"")</f>
        <v/>
      </c>
      <c r="AE203" t="str">
        <f>IFERROR(M203&amp;"*"&amp;ROUND(Q203*(N203/(N203+P203))/VLOOKUP(M203,职业!$A$3:$E$16,4,FALSE),0),"")</f>
        <v/>
      </c>
      <c r="AF203" t="str">
        <f>IFERROR(O203&amp;"*"&amp;ROUND(Q203*(P203/(N203+P203))/VLOOKUP(O203,职业!$A$3:$E$16,4,FALSE),0),"")</f>
        <v/>
      </c>
      <c r="AG203" t="str">
        <f>IFERROR(R203&amp;"*"&amp;ROUND(V203*(S203/(S203+U203))/VLOOKUP(R203,商品!$A$4:$D$67,4,FALSE),0),"")</f>
        <v/>
      </c>
      <c r="AH203" t="str">
        <f>IFERROR(T203&amp;"*"&amp;ROUND(V203*(U203/(S203+U203))/VLOOKUP(T203,商品!$A$4:$D$67,4,FALSE),0),"")</f>
        <v/>
      </c>
    </row>
    <row r="204" customHeight="1" spans="1:34">
      <c r="A204" s="15" t="s">
        <v>323</v>
      </c>
      <c r="C204" s="2">
        <v>1</v>
      </c>
      <c r="D204" s="2" t="s">
        <v>220</v>
      </c>
      <c r="E204" s="2" t="s">
        <v>224</v>
      </c>
      <c r="L204" s="2">
        <f>IFERROR(VLOOKUP($D204&amp;$C204,生产方式定位!$A$2:$E$39,2,FALSE)+VLOOKUP($E204&amp;$C204,生产方式定位!$F$3:$J$39,2,FALSE),0)</f>
        <v>2000</v>
      </c>
      <c r="Q204" s="2">
        <f>IFERROR(VLOOKUP($D204&amp;$C204,生产方式定位!$A$2:$E$39,3,FALSE)+VLOOKUP($E204&amp;$C204,生产方式定位!$F$3:$J$39,3,FALSE),0)</f>
        <v>2000</v>
      </c>
      <c r="V204" s="2">
        <f>IFERROR(VLOOKUP($D204&amp;$C204,生产方式定位!$A$2:$E$39,5,FALSE)+VLOOKUP($E204&amp;$C204,生产方式定位!$F$3:$J$39,5,FALSE),"错误")</f>
        <v>2000</v>
      </c>
      <c r="W204" s="3" t="str">
        <f t="shared" si="15"/>
        <v/>
      </c>
      <c r="X204" s="4" t="str">
        <f t="shared" si="16"/>
        <v/>
      </c>
      <c r="Y204" s="4" t="str">
        <f t="shared" si="17"/>
        <v/>
      </c>
      <c r="Z204" s="5">
        <f t="shared" si="18"/>
        <v>1</v>
      </c>
      <c r="AA204" s="6">
        <f t="shared" si="19"/>
        <v>1</v>
      </c>
      <c r="AB204" t="str">
        <f>IFERROR(F204&amp;"*"&amp;ROUND(L204*(G204/(G204+I204+K204))/VLOOKUP(F204,商品!$A$4:$D$67,4,FALSE),0),"")</f>
        <v/>
      </c>
      <c r="AC204" t="str">
        <f>IFERROR(H204&amp;"*"&amp;ROUND(L204*(I204/(G204+I204+K204))/VLOOKUP(H204,商品!$A$4:$D$67,4,FALSE),0),"")</f>
        <v/>
      </c>
      <c r="AD204" t="str">
        <f>IFERROR(J204&amp;"*"&amp;ROUND(L204*(K204/(G204+I204+K204))/VLOOKUP(J204,商品!$A$4:$D$67,4,FALSE),0),"")</f>
        <v/>
      </c>
      <c r="AE204" t="str">
        <f>IFERROR(M204&amp;"*"&amp;ROUND(Q204*(N204/(N204+P204))/VLOOKUP(M204,职业!$A$3:$E$16,4,FALSE),0),"")</f>
        <v/>
      </c>
      <c r="AF204" t="str">
        <f>IFERROR(O204&amp;"*"&amp;ROUND(Q204*(P204/(N204+P204))/VLOOKUP(O204,职业!$A$3:$E$16,4,FALSE),0),"")</f>
        <v/>
      </c>
      <c r="AG204" t="str">
        <f>IFERROR(R204&amp;"*"&amp;ROUND(V204*(S204/(S204+U204))/VLOOKUP(R204,商品!$A$4:$D$67,4,FALSE),0),"")</f>
        <v/>
      </c>
      <c r="AH204" t="str">
        <f>IFERROR(T204&amp;"*"&amp;ROUND(V204*(U204/(S204+U204))/VLOOKUP(T204,商品!$A$4:$D$67,4,FALSE),0),"")</f>
        <v/>
      </c>
    </row>
    <row r="205" customHeight="1" spans="1:34">
      <c r="A205" s="15" t="s">
        <v>323</v>
      </c>
      <c r="C205" s="2">
        <v>2</v>
      </c>
      <c r="D205" s="2" t="s">
        <v>220</v>
      </c>
      <c r="E205" s="2" t="s">
        <v>224</v>
      </c>
      <c r="L205" s="2">
        <f>IFERROR(VLOOKUP($D205&amp;$C205,生产方式定位!$A$2:$E$39,2,FALSE)+VLOOKUP($E205&amp;$C205,生产方式定位!$F$3:$J$39,2,FALSE),0)</f>
        <v>4500</v>
      </c>
      <c r="Q205" s="2">
        <f>IFERROR(VLOOKUP($D205&amp;$C205,生产方式定位!$A$2:$E$39,3,FALSE)+VLOOKUP($E205&amp;$C205,生产方式定位!$F$3:$J$39,3,FALSE),0)</f>
        <v>2000</v>
      </c>
      <c r="V205" s="2">
        <f>IFERROR(VLOOKUP($D205&amp;$C205,生产方式定位!$A$2:$E$39,5,FALSE)+VLOOKUP($E205&amp;$C205,生产方式定位!$F$3:$J$39,5,FALSE),"错误")</f>
        <v>3340</v>
      </c>
      <c r="W205" s="3" t="str">
        <f t="shared" si="15"/>
        <v/>
      </c>
      <c r="X205" s="4" t="str">
        <f t="shared" si="16"/>
        <v/>
      </c>
      <c r="Y205" s="4" t="str">
        <f t="shared" si="17"/>
        <v/>
      </c>
      <c r="Z205" s="5">
        <f t="shared" si="18"/>
        <v>1.35</v>
      </c>
      <c r="AA205" s="6">
        <f t="shared" si="19"/>
        <v>2</v>
      </c>
      <c r="AB205" t="str">
        <f>IFERROR(F205&amp;"*"&amp;ROUND(L205*(G205/(G205+I205+K205))/VLOOKUP(F205,商品!$A$4:$D$67,4,FALSE),0),"")</f>
        <v/>
      </c>
      <c r="AC205" t="str">
        <f>IFERROR(H205&amp;"*"&amp;ROUND(L205*(I205/(G205+I205+K205))/VLOOKUP(H205,商品!$A$4:$D$67,4,FALSE),0),"")</f>
        <v/>
      </c>
      <c r="AD205" t="str">
        <f>IFERROR(J205&amp;"*"&amp;ROUND(L205*(K205/(G205+I205+K205))/VLOOKUP(J205,商品!$A$4:$D$67,4,FALSE),0),"")</f>
        <v/>
      </c>
      <c r="AE205" t="str">
        <f>IFERROR(M205&amp;"*"&amp;ROUND(Q205*(N205/(N205+P205))/VLOOKUP(M205,职业!$A$3:$E$16,4,FALSE),0),"")</f>
        <v/>
      </c>
      <c r="AF205" t="str">
        <f>IFERROR(O205&amp;"*"&amp;ROUND(Q205*(P205/(N205+P205))/VLOOKUP(O205,职业!$A$3:$E$16,4,FALSE),0),"")</f>
        <v/>
      </c>
      <c r="AG205" t="str">
        <f>IFERROR(R205&amp;"*"&amp;ROUND(V205*(S205/(S205+U205))/VLOOKUP(R205,商品!$A$4:$D$67,4,FALSE),0),"")</f>
        <v/>
      </c>
      <c r="AH205" t="str">
        <f>IFERROR(T205&amp;"*"&amp;ROUND(V205*(U205/(S205+U205))/VLOOKUP(T205,商品!$A$4:$D$67,4,FALSE),0),"")</f>
        <v/>
      </c>
    </row>
    <row r="206" customHeight="1" spans="1:34">
      <c r="A206" s="14" t="s">
        <v>323</v>
      </c>
      <c r="C206" s="2">
        <v>3</v>
      </c>
      <c r="D206" s="2" t="s">
        <v>220</v>
      </c>
      <c r="E206" s="2" t="s">
        <v>224</v>
      </c>
      <c r="L206" s="2">
        <f>IFERROR(VLOOKUP($D206&amp;$C206,生产方式定位!$A$2:$E$39,2,FALSE)+VLOOKUP($E206&amp;$C206,生产方式定位!$F$3:$J$39,2,FALSE),0)</f>
        <v>6000</v>
      </c>
      <c r="Q206" s="2">
        <f>IFERROR(VLOOKUP($D206&amp;$C206,生产方式定位!$A$2:$E$39,3,FALSE)+VLOOKUP($E206&amp;$C206,生产方式定位!$F$3:$J$39,3,FALSE),0)</f>
        <v>2000</v>
      </c>
      <c r="V206" s="2">
        <f>IFERROR(VLOOKUP($D206&amp;$C206,生产方式定位!$A$2:$E$39,5,FALSE)+VLOOKUP($E206&amp;$C206,生产方式定位!$F$3:$J$39,5,FALSE),"错误")</f>
        <v>4260</v>
      </c>
      <c r="W206" s="3" t="str">
        <f t="shared" si="15"/>
        <v/>
      </c>
      <c r="X206" s="4" t="str">
        <f t="shared" si="16"/>
        <v/>
      </c>
      <c r="Y206" s="4" t="str">
        <f t="shared" si="17"/>
        <v/>
      </c>
      <c r="Z206" s="5">
        <f t="shared" si="18"/>
        <v>1.41</v>
      </c>
      <c r="AA206" s="6">
        <f t="shared" si="19"/>
        <v>3</v>
      </c>
      <c r="AB206" t="str">
        <f>IFERROR(F206&amp;"*"&amp;ROUND(L206*(G206/(G206+I206+K206))/VLOOKUP(F206,商品!$A$4:$D$67,4,FALSE),0),"")</f>
        <v/>
      </c>
      <c r="AC206" t="str">
        <f>IFERROR(H206&amp;"*"&amp;ROUND(L206*(I206/(G206+I206+K206))/VLOOKUP(H206,商品!$A$4:$D$67,4,FALSE),0),"")</f>
        <v/>
      </c>
      <c r="AD206" t="str">
        <f>IFERROR(J206&amp;"*"&amp;ROUND(L206*(K206/(G206+I206+K206))/VLOOKUP(J206,商品!$A$4:$D$67,4,FALSE),0),"")</f>
        <v/>
      </c>
      <c r="AE206" t="str">
        <f>IFERROR(M206&amp;"*"&amp;ROUND(Q206*(N206/(N206+P206))/VLOOKUP(M206,职业!$A$3:$E$16,4,FALSE),0),"")</f>
        <v/>
      </c>
      <c r="AF206" t="str">
        <f>IFERROR(O206&amp;"*"&amp;ROUND(Q206*(P206/(N206+P206))/VLOOKUP(O206,职业!$A$3:$E$16,4,FALSE),0),"")</f>
        <v/>
      </c>
      <c r="AG206" t="str">
        <f>IFERROR(R206&amp;"*"&amp;ROUND(V206*(S206/(S206+U206))/VLOOKUP(R206,商品!$A$4:$D$67,4,FALSE),0),"")</f>
        <v/>
      </c>
      <c r="AH206" t="str">
        <f>IFERROR(T206&amp;"*"&amp;ROUND(V206*(U206/(S206+U206))/VLOOKUP(T206,商品!$A$4:$D$67,4,FALSE),0),"")</f>
        <v/>
      </c>
    </row>
    <row r="207" customHeight="1" spans="1:34">
      <c r="A207" s="14" t="s">
        <v>323</v>
      </c>
      <c r="C207" s="2">
        <v>4</v>
      </c>
      <c r="D207" s="2" t="s">
        <v>220</v>
      </c>
      <c r="E207" s="2" t="s">
        <v>224</v>
      </c>
      <c r="L207" s="2">
        <f>IFERROR(VLOOKUP($D207&amp;$C207,生产方式定位!$A$2:$E$39,2,FALSE)+VLOOKUP($E207&amp;$C207,生产方式定位!$F$3:$J$39,2,FALSE),0)</f>
        <v>7500</v>
      </c>
      <c r="Q207" s="2">
        <f>IFERROR(VLOOKUP($D207&amp;$C207,生产方式定位!$A$2:$E$39,3,FALSE)+VLOOKUP($E207&amp;$C207,生产方式定位!$F$3:$J$39,3,FALSE),0)</f>
        <v>2000</v>
      </c>
      <c r="V207" s="2">
        <f>IFERROR(VLOOKUP($D207&amp;$C207,生产方式定位!$A$2:$E$39,5,FALSE)+VLOOKUP($E207&amp;$C207,生产方式定位!$F$3:$J$39,5,FALSE),"错误")</f>
        <v>5260</v>
      </c>
      <c r="W207" s="3" t="str">
        <f t="shared" si="15"/>
        <v/>
      </c>
      <c r="X207" s="4" t="str">
        <f t="shared" si="16"/>
        <v/>
      </c>
      <c r="Y207" s="4" t="str">
        <f t="shared" si="17"/>
        <v/>
      </c>
      <c r="Z207" s="5">
        <f t="shared" si="18"/>
        <v>1.43</v>
      </c>
      <c r="AA207" s="6">
        <f t="shared" si="19"/>
        <v>4</v>
      </c>
      <c r="AB207" t="str">
        <f>IFERROR(F207&amp;"*"&amp;ROUND(L207*(G207/(G207+I207+K207))/VLOOKUP(F207,商品!$A$4:$D$67,4,FALSE),0),"")</f>
        <v/>
      </c>
      <c r="AC207" t="str">
        <f>IFERROR(H207&amp;"*"&amp;ROUND(L207*(I207/(G207+I207+K207))/VLOOKUP(H207,商品!$A$4:$D$67,4,FALSE),0),"")</f>
        <v/>
      </c>
      <c r="AD207" t="str">
        <f>IFERROR(J207&amp;"*"&amp;ROUND(L207*(K207/(G207+I207+K207))/VLOOKUP(J207,商品!$A$4:$D$67,4,FALSE),0),"")</f>
        <v/>
      </c>
      <c r="AE207" t="str">
        <f>IFERROR(M207&amp;"*"&amp;ROUND(Q207*(N207/(N207+P207))/VLOOKUP(M207,职业!$A$3:$E$16,4,FALSE),0),"")</f>
        <v/>
      </c>
      <c r="AF207" t="str">
        <f>IFERROR(O207&amp;"*"&amp;ROUND(Q207*(P207/(N207+P207))/VLOOKUP(O207,职业!$A$3:$E$16,4,FALSE),0),"")</f>
        <v/>
      </c>
      <c r="AG207" t="str">
        <f>IFERROR(R207&amp;"*"&amp;ROUND(V207*(S207/(S207+U207))/VLOOKUP(R207,商品!$A$4:$D$67,4,FALSE),0),"")</f>
        <v/>
      </c>
      <c r="AH207" t="str">
        <f>IFERROR(T207&amp;"*"&amp;ROUND(V207*(U207/(S207+U207))/VLOOKUP(T207,商品!$A$4:$D$67,4,FALSE),0),"")</f>
        <v/>
      </c>
    </row>
    <row r="208" customHeight="1" spans="1:34">
      <c r="A208" s="14" t="s">
        <v>323</v>
      </c>
      <c r="C208" s="2">
        <v>5</v>
      </c>
      <c r="D208" s="2" t="s">
        <v>220</v>
      </c>
      <c r="E208" s="2" t="s">
        <v>224</v>
      </c>
      <c r="L208" s="2">
        <f>IFERROR(VLOOKUP($D208&amp;$C208,生产方式定位!$A$2:$E$39,2,FALSE)+VLOOKUP($E208&amp;$C208,生产方式定位!$F$3:$J$39,2,FALSE),0)</f>
        <v>9000</v>
      </c>
      <c r="Q208" s="2">
        <f>IFERROR(VLOOKUP($D208&amp;$C208,生产方式定位!$A$2:$E$39,3,FALSE)+VLOOKUP($E208&amp;$C208,生产方式定位!$F$3:$J$39,3,FALSE),0)</f>
        <v>2000</v>
      </c>
      <c r="V208" s="2">
        <f>IFERROR(VLOOKUP($D208&amp;$C208,生产方式定位!$A$2:$E$39,5,FALSE)+VLOOKUP($E208&amp;$C208,生产方式定位!$F$3:$J$39,5,FALSE),"错误")</f>
        <v>6340</v>
      </c>
      <c r="W208" s="3" t="str">
        <f t="shared" si="15"/>
        <v/>
      </c>
      <c r="X208" s="4" t="str">
        <f t="shared" si="16"/>
        <v/>
      </c>
      <c r="Y208" s="4" t="str">
        <f t="shared" si="17"/>
        <v/>
      </c>
      <c r="Z208" s="5">
        <f t="shared" si="18"/>
        <v>1.42</v>
      </c>
      <c r="AA208" s="6">
        <f t="shared" si="19"/>
        <v>5</v>
      </c>
      <c r="AB208" t="str">
        <f>IFERROR(F208&amp;"*"&amp;ROUND(L208*(G208/(G208+I208+K208))/VLOOKUP(F208,商品!$A$4:$D$67,4,FALSE),0),"")</f>
        <v/>
      </c>
      <c r="AC208" t="str">
        <f>IFERROR(H208&amp;"*"&amp;ROUND(L208*(I208/(G208+I208+K208))/VLOOKUP(H208,商品!$A$4:$D$67,4,FALSE),0),"")</f>
        <v/>
      </c>
      <c r="AD208" t="str">
        <f>IFERROR(J208&amp;"*"&amp;ROUND(L208*(K208/(G208+I208+K208))/VLOOKUP(J208,商品!$A$4:$D$67,4,FALSE),0),"")</f>
        <v/>
      </c>
      <c r="AE208" t="str">
        <f>IFERROR(M208&amp;"*"&amp;ROUND(Q208*(N208/(N208+P208))/VLOOKUP(M208,职业!$A$3:$E$16,4,FALSE),0),"")</f>
        <v/>
      </c>
      <c r="AF208" t="str">
        <f>IFERROR(O208&amp;"*"&amp;ROUND(Q208*(P208/(N208+P208))/VLOOKUP(O208,职业!$A$3:$E$16,4,FALSE),0),"")</f>
        <v/>
      </c>
      <c r="AG208" t="str">
        <f>IFERROR(R208&amp;"*"&amp;ROUND(V208*(S208/(S208+U208))/VLOOKUP(R208,商品!$A$4:$D$67,4,FALSE),0),"")</f>
        <v/>
      </c>
      <c r="AH208" t="str">
        <f>IFERROR(T208&amp;"*"&amp;ROUND(V208*(U208/(S208+U208))/VLOOKUP(T208,商品!$A$4:$D$67,4,FALSE),0),"")</f>
        <v/>
      </c>
    </row>
    <row r="209" customHeight="1" spans="1:34">
      <c r="A209" s="14" t="s">
        <v>323</v>
      </c>
      <c r="C209" s="2">
        <v>1</v>
      </c>
      <c r="D209" s="2" t="s">
        <v>220</v>
      </c>
      <c r="E209" s="2" t="s">
        <v>224</v>
      </c>
      <c r="L209" s="2">
        <f>IFERROR(VLOOKUP($D209&amp;$C209,生产方式定位!$A$2:$E$39,2,FALSE)+VLOOKUP($E209&amp;$C209,生产方式定位!$F$3:$J$39,2,FALSE),0)</f>
        <v>2000</v>
      </c>
      <c r="Q209" s="2">
        <f>IFERROR(VLOOKUP($D209&amp;$C209,生产方式定位!$A$2:$E$39,3,FALSE)+VLOOKUP($E209&amp;$C209,生产方式定位!$F$3:$J$39,3,FALSE),0)</f>
        <v>2000</v>
      </c>
      <c r="V209" s="2">
        <f>IFERROR(VLOOKUP($D209&amp;$C209,生产方式定位!$A$2:$E$39,5,FALSE)+VLOOKUP($E209&amp;$C209,生产方式定位!$F$3:$J$39,5,FALSE),"错误")</f>
        <v>2000</v>
      </c>
      <c r="W209" s="3" t="str">
        <f t="shared" si="15"/>
        <v/>
      </c>
      <c r="X209" s="4" t="str">
        <f t="shared" si="16"/>
        <v/>
      </c>
      <c r="Y209" s="4" t="str">
        <f t="shared" si="17"/>
        <v/>
      </c>
      <c r="Z209" s="5">
        <f t="shared" si="18"/>
        <v>1</v>
      </c>
      <c r="AA209" s="6">
        <f t="shared" si="19"/>
        <v>1</v>
      </c>
      <c r="AB209" t="str">
        <f>IFERROR(F209&amp;"*"&amp;ROUND(L209*(G209/(G209+I209+K209))/VLOOKUP(F209,商品!$A$4:$D$67,4,FALSE),0),"")</f>
        <v/>
      </c>
      <c r="AC209" t="str">
        <f>IFERROR(H209&amp;"*"&amp;ROUND(L209*(I209/(G209+I209+K209))/VLOOKUP(H209,商品!$A$4:$D$67,4,FALSE),0),"")</f>
        <v/>
      </c>
      <c r="AD209" t="str">
        <f>IFERROR(J209&amp;"*"&amp;ROUND(L209*(K209/(G209+I209+K209))/VLOOKUP(J209,商品!$A$4:$D$67,4,FALSE),0),"")</f>
        <v/>
      </c>
      <c r="AE209" t="str">
        <f>IFERROR(M209&amp;"*"&amp;ROUND(Q209*(N209/(N209+P209))/VLOOKUP(M209,职业!$A$3:$E$16,4,FALSE),0),"")</f>
        <v/>
      </c>
      <c r="AF209" t="str">
        <f>IFERROR(O209&amp;"*"&amp;ROUND(Q209*(P209/(N209+P209))/VLOOKUP(O209,职业!$A$3:$E$16,4,FALSE),0),"")</f>
        <v/>
      </c>
      <c r="AG209" t="str">
        <f>IFERROR(R209&amp;"*"&amp;ROUND(V209*(S209/(S209+U209))/VLOOKUP(R209,商品!$A$4:$D$67,4,FALSE),0),"")</f>
        <v/>
      </c>
      <c r="AH209" t="str">
        <f>IFERROR(T209&amp;"*"&amp;ROUND(V209*(U209/(S209+U209))/VLOOKUP(T209,商品!$A$4:$D$67,4,FALSE),0),"")</f>
        <v/>
      </c>
    </row>
    <row r="210" customHeight="1" spans="1:34">
      <c r="A210" s="14" t="s">
        <v>323</v>
      </c>
      <c r="C210" s="2">
        <v>2</v>
      </c>
      <c r="D210" s="2" t="s">
        <v>220</v>
      </c>
      <c r="E210" s="2" t="s">
        <v>224</v>
      </c>
      <c r="L210" s="2">
        <f>IFERROR(VLOOKUP($D210&amp;$C210,生产方式定位!$A$2:$E$39,2,FALSE)+VLOOKUP($E210&amp;$C210,生产方式定位!$F$3:$J$39,2,FALSE),0)</f>
        <v>4500</v>
      </c>
      <c r="Q210" s="2">
        <f>IFERROR(VLOOKUP($D210&amp;$C210,生产方式定位!$A$2:$E$39,3,FALSE)+VLOOKUP($E210&amp;$C210,生产方式定位!$F$3:$J$39,3,FALSE),0)</f>
        <v>2000</v>
      </c>
      <c r="V210" s="2">
        <f>IFERROR(VLOOKUP($D210&amp;$C210,生产方式定位!$A$2:$E$39,5,FALSE)+VLOOKUP($E210&amp;$C210,生产方式定位!$F$3:$J$39,5,FALSE),"错误")</f>
        <v>3340</v>
      </c>
      <c r="W210" s="3" t="str">
        <f t="shared" si="15"/>
        <v/>
      </c>
      <c r="X210" s="4" t="str">
        <f t="shared" si="16"/>
        <v/>
      </c>
      <c r="Y210" s="4" t="str">
        <f t="shared" si="17"/>
        <v/>
      </c>
      <c r="Z210" s="5">
        <f t="shared" si="18"/>
        <v>1.35</v>
      </c>
      <c r="AA210" s="6">
        <f t="shared" si="19"/>
        <v>2</v>
      </c>
      <c r="AB210" t="str">
        <f>IFERROR(F210&amp;"*"&amp;ROUND(L210*(G210/(G210+I210+K210))/VLOOKUP(F210,商品!$A$4:$D$67,4,FALSE),0),"")</f>
        <v/>
      </c>
      <c r="AC210" t="str">
        <f>IFERROR(H210&amp;"*"&amp;ROUND(L210*(I210/(G210+I210+K210))/VLOOKUP(H210,商品!$A$4:$D$67,4,FALSE),0),"")</f>
        <v/>
      </c>
      <c r="AD210" t="str">
        <f>IFERROR(J210&amp;"*"&amp;ROUND(L210*(K210/(G210+I210+K210))/VLOOKUP(J210,商品!$A$4:$D$67,4,FALSE),0),"")</f>
        <v/>
      </c>
      <c r="AE210" t="str">
        <f>IFERROR(M210&amp;"*"&amp;ROUND(Q210*(N210/(N210+P210))/VLOOKUP(M210,职业!$A$3:$E$16,4,FALSE),0),"")</f>
        <v/>
      </c>
      <c r="AF210" t="str">
        <f>IFERROR(O210&amp;"*"&amp;ROUND(Q210*(P210/(N210+P210))/VLOOKUP(O210,职业!$A$3:$E$16,4,FALSE),0),"")</f>
        <v/>
      </c>
      <c r="AG210" t="str">
        <f>IFERROR(R210&amp;"*"&amp;ROUND(V210*(S210/(S210+U210))/VLOOKUP(R210,商品!$A$4:$D$67,4,FALSE),0),"")</f>
        <v/>
      </c>
      <c r="AH210" t="str">
        <f>IFERROR(T210&amp;"*"&amp;ROUND(V210*(U210/(S210+U210))/VLOOKUP(T210,商品!$A$4:$D$67,4,FALSE),0),"")</f>
        <v/>
      </c>
    </row>
    <row r="211" customHeight="1" spans="1:34">
      <c r="A211" s="15" t="s">
        <v>324</v>
      </c>
      <c r="C211" s="2">
        <v>3</v>
      </c>
      <c r="D211" s="2" t="s">
        <v>220</v>
      </c>
      <c r="E211" s="2" t="s">
        <v>225</v>
      </c>
      <c r="L211" s="2">
        <f>IFERROR(VLOOKUP($D211&amp;$C211,生产方式定位!$A$2:$E$39,2,FALSE)+VLOOKUP($E211&amp;$C211,生产方式定位!$F$3:$J$39,2,FALSE),0)</f>
        <v>3000</v>
      </c>
      <c r="Q211" s="2">
        <f>IFERROR(VLOOKUP($D211&amp;$C211,生产方式定位!$A$2:$E$39,3,FALSE)+VLOOKUP($E211&amp;$C211,生产方式定位!$F$3:$J$39,3,FALSE),0)</f>
        <v>2400</v>
      </c>
      <c r="V211" s="2">
        <f>IFERROR(VLOOKUP($D211&amp;$C211,生产方式定位!$A$2:$E$39,5,FALSE)+VLOOKUP($E211&amp;$C211,生产方式定位!$F$3:$J$39,5,FALSE),"错误")</f>
        <v>2700</v>
      </c>
      <c r="W211" s="3" t="str">
        <f t="shared" si="15"/>
        <v/>
      </c>
      <c r="X211" s="4" t="str">
        <f t="shared" si="16"/>
        <v/>
      </c>
      <c r="Y211" s="4" t="str">
        <f t="shared" si="17"/>
        <v/>
      </c>
      <c r="Z211" s="5">
        <f t="shared" si="18"/>
        <v>1.11</v>
      </c>
      <c r="AA211" s="6">
        <f t="shared" si="19"/>
        <v>3</v>
      </c>
      <c r="AB211" t="str">
        <f>IFERROR(F211&amp;"*"&amp;ROUND(L211*(G211/(G211+I211+K211))/VLOOKUP(F211,商品!$A$4:$D$67,4,FALSE),0),"")</f>
        <v/>
      </c>
      <c r="AC211" t="str">
        <f>IFERROR(H211&amp;"*"&amp;ROUND(L211*(I211/(G211+I211+K211))/VLOOKUP(H211,商品!$A$4:$D$67,4,FALSE),0),"")</f>
        <v/>
      </c>
      <c r="AD211" t="str">
        <f>IFERROR(J211&amp;"*"&amp;ROUND(L211*(K211/(G211+I211+K211))/VLOOKUP(J211,商品!$A$4:$D$67,4,FALSE),0),"")</f>
        <v/>
      </c>
      <c r="AE211" t="str">
        <f>IFERROR(M211&amp;"*"&amp;ROUND(Q211*(N211/(N211+P211))/VLOOKUP(M211,职业!$A$3:$E$16,4,FALSE),0),"")</f>
        <v/>
      </c>
      <c r="AF211" t="str">
        <f>IFERROR(O211&amp;"*"&amp;ROUND(Q211*(P211/(N211+P211))/VLOOKUP(O211,职业!$A$3:$E$16,4,FALSE),0),"")</f>
        <v/>
      </c>
      <c r="AG211" t="str">
        <f>IFERROR(R211&amp;"*"&amp;ROUND(V211*(S211/(S211+U211))/VLOOKUP(R211,商品!$A$4:$D$67,4,FALSE),0),"")</f>
        <v/>
      </c>
      <c r="AH211" t="str">
        <f>IFERROR(T211&amp;"*"&amp;ROUND(V211*(U211/(S211+U211))/VLOOKUP(T211,商品!$A$4:$D$67,4,FALSE),0),"")</f>
        <v/>
      </c>
    </row>
    <row r="212" customHeight="1" spans="1:34">
      <c r="A212" s="15" t="s">
        <v>324</v>
      </c>
      <c r="C212" s="2">
        <v>4</v>
      </c>
      <c r="D212" s="2" t="s">
        <v>220</v>
      </c>
      <c r="E212" s="2" t="s">
        <v>225</v>
      </c>
      <c r="L212" s="2">
        <f>IFERROR(VLOOKUP($D212&amp;$C212,生产方式定位!$A$2:$E$39,2,FALSE)+VLOOKUP($E212&amp;$C212,生产方式定位!$F$3:$J$39,2,FALSE),0)</f>
        <v>3500</v>
      </c>
      <c r="Q212" s="2">
        <f>IFERROR(VLOOKUP($D212&amp;$C212,生产方式定位!$A$2:$E$39,3,FALSE)+VLOOKUP($E212&amp;$C212,生产方式定位!$F$3:$J$39,3,FALSE),0)</f>
        <v>2600</v>
      </c>
      <c r="V212" s="2">
        <f>IFERROR(VLOOKUP($D212&amp;$C212,生产方式定位!$A$2:$E$39,5,FALSE)+VLOOKUP($E212&amp;$C212,生产方式定位!$F$3:$J$39,5,FALSE),"错误")</f>
        <v>3050</v>
      </c>
      <c r="W212" s="3" t="str">
        <f t="shared" si="15"/>
        <v/>
      </c>
      <c r="X212" s="4" t="str">
        <f t="shared" si="16"/>
        <v/>
      </c>
      <c r="Y212" s="4" t="str">
        <f t="shared" si="17"/>
        <v/>
      </c>
      <c r="Z212" s="5">
        <f t="shared" si="18"/>
        <v>1.15</v>
      </c>
      <c r="AA212" s="6">
        <f t="shared" si="19"/>
        <v>4</v>
      </c>
      <c r="AB212" t="str">
        <f>IFERROR(F212&amp;"*"&amp;ROUND(L212*(G212/(G212+I212+K212))/VLOOKUP(F212,商品!$A$4:$D$67,4,FALSE),0),"")</f>
        <v/>
      </c>
      <c r="AC212" t="str">
        <f>IFERROR(H212&amp;"*"&amp;ROUND(L212*(I212/(G212+I212+K212))/VLOOKUP(H212,商品!$A$4:$D$67,4,FALSE),0),"")</f>
        <v/>
      </c>
      <c r="AD212" t="str">
        <f>IFERROR(J212&amp;"*"&amp;ROUND(L212*(K212/(G212+I212+K212))/VLOOKUP(J212,商品!$A$4:$D$67,4,FALSE),0),"")</f>
        <v/>
      </c>
      <c r="AE212" t="str">
        <f>IFERROR(M212&amp;"*"&amp;ROUND(Q212*(N212/(N212+P212))/VLOOKUP(M212,职业!$A$3:$E$16,4,FALSE),0),"")</f>
        <v/>
      </c>
      <c r="AF212" t="str">
        <f>IFERROR(O212&amp;"*"&amp;ROUND(Q212*(P212/(N212+P212))/VLOOKUP(O212,职业!$A$3:$E$16,4,FALSE),0),"")</f>
        <v/>
      </c>
      <c r="AG212" t="str">
        <f>IFERROR(R212&amp;"*"&amp;ROUND(V212*(S212/(S212+U212))/VLOOKUP(R212,商品!$A$4:$D$67,4,FALSE),0),"")</f>
        <v/>
      </c>
      <c r="AH212" t="str">
        <f>IFERROR(T212&amp;"*"&amp;ROUND(V212*(U212/(S212+U212))/VLOOKUP(T212,商品!$A$4:$D$67,4,FALSE),0),"")</f>
        <v/>
      </c>
    </row>
    <row r="213" customHeight="1" spans="1:34">
      <c r="A213" s="15" t="s">
        <v>324</v>
      </c>
      <c r="C213" s="2">
        <v>5</v>
      </c>
      <c r="D213" s="2" t="s">
        <v>220</v>
      </c>
      <c r="E213" s="2" t="s">
        <v>225</v>
      </c>
      <c r="L213" s="2">
        <f>IFERROR(VLOOKUP($D213&amp;$C213,生产方式定位!$A$2:$E$39,2,FALSE)+VLOOKUP($E213&amp;$C213,生产方式定位!$F$3:$J$39,2,FALSE),0)</f>
        <v>4000</v>
      </c>
      <c r="Q213" s="2">
        <f>IFERROR(VLOOKUP($D213&amp;$C213,生产方式定位!$A$2:$E$39,3,FALSE)+VLOOKUP($E213&amp;$C213,生产方式定位!$F$3:$J$39,3,FALSE),0)</f>
        <v>2800</v>
      </c>
      <c r="V213" s="2">
        <f>IFERROR(VLOOKUP($D213&amp;$C213,生产方式定位!$A$2:$E$39,5,FALSE)+VLOOKUP($E213&amp;$C213,生产方式定位!$F$3:$J$39,5,FALSE),"错误")</f>
        <v>3400</v>
      </c>
      <c r="W213" s="3" t="str">
        <f t="shared" si="15"/>
        <v/>
      </c>
      <c r="X213" s="4" t="str">
        <f t="shared" si="16"/>
        <v/>
      </c>
      <c r="Y213" s="4" t="str">
        <f t="shared" si="17"/>
        <v/>
      </c>
      <c r="Z213" s="5">
        <f t="shared" si="18"/>
        <v>1.18</v>
      </c>
      <c r="AA213" s="6">
        <f t="shared" si="19"/>
        <v>5</v>
      </c>
      <c r="AB213" t="str">
        <f>IFERROR(F213&amp;"*"&amp;ROUND(L213*(G213/(G213+I213+K213))/VLOOKUP(F213,商品!$A$4:$D$67,4,FALSE),0),"")</f>
        <v/>
      </c>
      <c r="AC213" t="str">
        <f>IFERROR(H213&amp;"*"&amp;ROUND(L213*(I213/(G213+I213+K213))/VLOOKUP(H213,商品!$A$4:$D$67,4,FALSE),0),"")</f>
        <v/>
      </c>
      <c r="AD213" t="str">
        <f>IFERROR(J213&amp;"*"&amp;ROUND(L213*(K213/(G213+I213+K213))/VLOOKUP(J213,商品!$A$4:$D$67,4,FALSE),0),"")</f>
        <v/>
      </c>
      <c r="AE213" t="str">
        <f>IFERROR(M213&amp;"*"&amp;ROUND(Q213*(N213/(N213+P213))/VLOOKUP(M213,职业!$A$3:$E$16,4,FALSE),0),"")</f>
        <v/>
      </c>
      <c r="AF213" t="str">
        <f>IFERROR(O213&amp;"*"&amp;ROUND(Q213*(P213/(N213+P213))/VLOOKUP(O213,职业!$A$3:$E$16,4,FALSE),0),"")</f>
        <v/>
      </c>
      <c r="AG213" t="str">
        <f>IFERROR(R213&amp;"*"&amp;ROUND(V213*(S213/(S213+U213))/VLOOKUP(R213,商品!$A$4:$D$67,4,FALSE),0),"")</f>
        <v/>
      </c>
      <c r="AH213" t="str">
        <f>IFERROR(T213&amp;"*"&amp;ROUND(V213*(U213/(S213+U213))/VLOOKUP(T213,商品!$A$4:$D$67,4,FALSE),0),"")</f>
        <v/>
      </c>
    </row>
    <row r="214" customHeight="1" spans="1:34">
      <c r="A214" s="15" t="s">
        <v>324</v>
      </c>
      <c r="C214" s="2">
        <v>1</v>
      </c>
      <c r="D214" s="2" t="s">
        <v>220</v>
      </c>
      <c r="E214" s="2" t="s">
        <v>225</v>
      </c>
      <c r="L214" s="2">
        <f>IFERROR(VLOOKUP($D214&amp;$C214,生产方式定位!$A$2:$E$39,2,FALSE)+VLOOKUP($E214&amp;$C214,生产方式定位!$F$3:$J$39,2,FALSE),0)</f>
        <v>2000</v>
      </c>
      <c r="Q214" s="2">
        <f>IFERROR(VLOOKUP($D214&amp;$C214,生产方式定位!$A$2:$E$39,3,FALSE)+VLOOKUP($E214&amp;$C214,生产方式定位!$F$3:$J$39,3,FALSE),0)</f>
        <v>2000</v>
      </c>
      <c r="V214" s="2">
        <f>IFERROR(VLOOKUP($D214&amp;$C214,生产方式定位!$A$2:$E$39,5,FALSE)+VLOOKUP($E214&amp;$C214,生产方式定位!$F$3:$J$39,5,FALSE),"错误")</f>
        <v>2000</v>
      </c>
      <c r="W214" s="3" t="str">
        <f t="shared" si="15"/>
        <v/>
      </c>
      <c r="X214" s="4" t="str">
        <f t="shared" si="16"/>
        <v/>
      </c>
      <c r="Y214" s="4" t="str">
        <f t="shared" si="17"/>
        <v/>
      </c>
      <c r="Z214" s="5">
        <f t="shared" si="18"/>
        <v>1</v>
      </c>
      <c r="AA214" s="6">
        <f t="shared" si="19"/>
        <v>1</v>
      </c>
      <c r="AB214" t="str">
        <f>IFERROR(F214&amp;"*"&amp;ROUND(L214*(G214/(G214+I214+K214))/VLOOKUP(F214,商品!$A$4:$D$67,4,FALSE),0),"")</f>
        <v/>
      </c>
      <c r="AC214" t="str">
        <f>IFERROR(H214&amp;"*"&amp;ROUND(L214*(I214/(G214+I214+K214))/VLOOKUP(H214,商品!$A$4:$D$67,4,FALSE),0),"")</f>
        <v/>
      </c>
      <c r="AD214" t="str">
        <f>IFERROR(J214&amp;"*"&amp;ROUND(L214*(K214/(G214+I214+K214))/VLOOKUP(J214,商品!$A$4:$D$67,4,FALSE),0),"")</f>
        <v/>
      </c>
      <c r="AE214" t="str">
        <f>IFERROR(M214&amp;"*"&amp;ROUND(Q214*(N214/(N214+P214))/VLOOKUP(M214,职业!$A$3:$E$16,4,FALSE),0),"")</f>
        <v/>
      </c>
      <c r="AF214" t="str">
        <f>IFERROR(O214&amp;"*"&amp;ROUND(Q214*(P214/(N214+P214))/VLOOKUP(O214,职业!$A$3:$E$16,4,FALSE),0),"")</f>
        <v/>
      </c>
      <c r="AG214" t="str">
        <f>IFERROR(R214&amp;"*"&amp;ROUND(V214*(S214/(S214+U214))/VLOOKUP(R214,商品!$A$4:$D$67,4,FALSE),0),"")</f>
        <v/>
      </c>
      <c r="AH214" t="str">
        <f>IFERROR(T214&amp;"*"&amp;ROUND(V214*(U214/(S214+U214))/VLOOKUP(T214,商品!$A$4:$D$67,4,FALSE),0),"")</f>
        <v/>
      </c>
    </row>
    <row r="215" customHeight="1" spans="1:34">
      <c r="A215" s="15" t="s">
        <v>324</v>
      </c>
      <c r="C215" s="2">
        <v>2</v>
      </c>
      <c r="D215" s="2" t="s">
        <v>220</v>
      </c>
      <c r="E215" s="2" t="s">
        <v>225</v>
      </c>
      <c r="L215" s="2">
        <f>IFERROR(VLOOKUP($D215&amp;$C215,生产方式定位!$A$2:$E$39,2,FALSE)+VLOOKUP($E215&amp;$C215,生产方式定位!$F$3:$J$39,2,FALSE),0)</f>
        <v>2500</v>
      </c>
      <c r="Q215" s="2">
        <f>IFERROR(VLOOKUP($D215&amp;$C215,生产方式定位!$A$2:$E$39,3,FALSE)+VLOOKUP($E215&amp;$C215,生产方式定位!$F$3:$J$39,3,FALSE),0)</f>
        <v>2200</v>
      </c>
      <c r="V215" s="2">
        <f>IFERROR(VLOOKUP($D215&amp;$C215,生产方式定位!$A$2:$E$39,5,FALSE)+VLOOKUP($E215&amp;$C215,生产方式定位!$F$3:$J$39,5,FALSE),"错误")</f>
        <v>2350</v>
      </c>
      <c r="W215" s="3" t="str">
        <f t="shared" si="15"/>
        <v/>
      </c>
      <c r="X215" s="4" t="str">
        <f t="shared" si="16"/>
        <v/>
      </c>
      <c r="Y215" s="4" t="str">
        <f t="shared" si="17"/>
        <v/>
      </c>
      <c r="Z215" s="5">
        <f t="shared" si="18"/>
        <v>1.06</v>
      </c>
      <c r="AA215" s="6">
        <f t="shared" si="19"/>
        <v>2</v>
      </c>
      <c r="AB215" t="str">
        <f>IFERROR(F215&amp;"*"&amp;ROUND(L215*(G215/(G215+I215+K215))/VLOOKUP(F215,商品!$A$4:$D$67,4,FALSE),0),"")</f>
        <v/>
      </c>
      <c r="AC215" t="str">
        <f>IFERROR(H215&amp;"*"&amp;ROUND(L215*(I215/(G215+I215+K215))/VLOOKUP(H215,商品!$A$4:$D$67,4,FALSE),0),"")</f>
        <v/>
      </c>
      <c r="AD215" t="str">
        <f>IFERROR(J215&amp;"*"&amp;ROUND(L215*(K215/(G215+I215+K215))/VLOOKUP(J215,商品!$A$4:$D$67,4,FALSE),0),"")</f>
        <v/>
      </c>
      <c r="AE215" t="str">
        <f>IFERROR(M215&amp;"*"&amp;ROUND(Q215*(N215/(N215+P215))/VLOOKUP(M215,职业!$A$3:$E$16,4,FALSE),0),"")</f>
        <v/>
      </c>
      <c r="AF215" t="str">
        <f>IFERROR(O215&amp;"*"&amp;ROUND(Q215*(P215/(N215+P215))/VLOOKUP(O215,职业!$A$3:$E$16,4,FALSE),0),"")</f>
        <v/>
      </c>
      <c r="AG215" t="str">
        <f>IFERROR(R215&amp;"*"&amp;ROUND(V215*(S215/(S215+U215))/VLOOKUP(R215,商品!$A$4:$D$67,4,FALSE),0),"")</f>
        <v/>
      </c>
      <c r="AH215" t="str">
        <f>IFERROR(T215&amp;"*"&amp;ROUND(V215*(U215/(S215+U215))/VLOOKUP(T215,商品!$A$4:$D$67,4,FALSE),0),"")</f>
        <v/>
      </c>
    </row>
    <row r="216" customHeight="1" spans="1:34">
      <c r="A216" s="15" t="s">
        <v>324</v>
      </c>
      <c r="C216" s="2">
        <v>3</v>
      </c>
      <c r="D216" s="2" t="s">
        <v>220</v>
      </c>
      <c r="E216" s="2" t="s">
        <v>225</v>
      </c>
      <c r="L216" s="2">
        <f>IFERROR(VLOOKUP($D216&amp;$C216,生产方式定位!$A$2:$E$39,2,FALSE)+VLOOKUP($E216&amp;$C216,生产方式定位!$F$3:$J$39,2,FALSE),0)</f>
        <v>3000</v>
      </c>
      <c r="Q216" s="2">
        <f>IFERROR(VLOOKUP($D216&amp;$C216,生产方式定位!$A$2:$E$39,3,FALSE)+VLOOKUP($E216&amp;$C216,生产方式定位!$F$3:$J$39,3,FALSE),0)</f>
        <v>2400</v>
      </c>
      <c r="V216" s="2">
        <f>IFERROR(VLOOKUP($D216&amp;$C216,生产方式定位!$A$2:$E$39,5,FALSE)+VLOOKUP($E216&amp;$C216,生产方式定位!$F$3:$J$39,5,FALSE),"错误")</f>
        <v>2700</v>
      </c>
      <c r="W216" s="3" t="str">
        <f t="shared" si="15"/>
        <v/>
      </c>
      <c r="X216" s="4" t="str">
        <f t="shared" si="16"/>
        <v/>
      </c>
      <c r="Y216" s="4" t="str">
        <f t="shared" si="17"/>
        <v/>
      </c>
      <c r="Z216" s="5">
        <f t="shared" si="18"/>
        <v>1.11</v>
      </c>
      <c r="AA216" s="6">
        <f t="shared" si="19"/>
        <v>3</v>
      </c>
      <c r="AB216" t="str">
        <f>IFERROR(F216&amp;"*"&amp;ROUND(L216*(G216/(G216+I216+K216))/VLOOKUP(F216,商品!$A$4:$D$67,4,FALSE),0),"")</f>
        <v/>
      </c>
      <c r="AC216" t="str">
        <f>IFERROR(H216&amp;"*"&amp;ROUND(L216*(I216/(G216+I216+K216))/VLOOKUP(H216,商品!$A$4:$D$67,4,FALSE),0),"")</f>
        <v/>
      </c>
      <c r="AD216" t="str">
        <f>IFERROR(J216&amp;"*"&amp;ROUND(L216*(K216/(G216+I216+K216))/VLOOKUP(J216,商品!$A$4:$D$67,4,FALSE),0),"")</f>
        <v/>
      </c>
      <c r="AE216" t="str">
        <f>IFERROR(M216&amp;"*"&amp;ROUND(Q216*(N216/(N216+P216))/VLOOKUP(M216,职业!$A$3:$E$16,4,FALSE),0),"")</f>
        <v/>
      </c>
      <c r="AF216" t="str">
        <f>IFERROR(O216&amp;"*"&amp;ROUND(Q216*(P216/(N216+P216))/VLOOKUP(O216,职业!$A$3:$E$16,4,FALSE),0),"")</f>
        <v/>
      </c>
      <c r="AG216" t="str">
        <f>IFERROR(R216&amp;"*"&amp;ROUND(V216*(S216/(S216+U216))/VLOOKUP(R216,商品!$A$4:$D$67,4,FALSE),0),"")</f>
        <v/>
      </c>
      <c r="AH216" t="str">
        <f>IFERROR(T216&amp;"*"&amp;ROUND(V216*(U216/(S216+U216))/VLOOKUP(T216,商品!$A$4:$D$67,4,FALSE),0),"")</f>
        <v/>
      </c>
    </row>
    <row r="217" customHeight="1" spans="1:34">
      <c r="A217" s="15" t="s">
        <v>324</v>
      </c>
      <c r="C217" s="2">
        <v>4</v>
      </c>
      <c r="D217" s="2" t="s">
        <v>220</v>
      </c>
      <c r="E217" s="2" t="s">
        <v>225</v>
      </c>
      <c r="L217" s="2">
        <f>IFERROR(VLOOKUP($D217&amp;$C217,生产方式定位!$A$2:$E$39,2,FALSE)+VLOOKUP($E217&amp;$C217,生产方式定位!$F$3:$J$39,2,FALSE),0)</f>
        <v>3500</v>
      </c>
      <c r="Q217" s="2">
        <f>IFERROR(VLOOKUP($D217&amp;$C217,生产方式定位!$A$2:$E$39,3,FALSE)+VLOOKUP($E217&amp;$C217,生产方式定位!$F$3:$J$39,3,FALSE),0)</f>
        <v>2600</v>
      </c>
      <c r="V217" s="2">
        <f>IFERROR(VLOOKUP($D217&amp;$C217,生产方式定位!$A$2:$E$39,5,FALSE)+VLOOKUP($E217&amp;$C217,生产方式定位!$F$3:$J$39,5,FALSE),"错误")</f>
        <v>3050</v>
      </c>
      <c r="W217" s="3" t="str">
        <f t="shared" si="15"/>
        <v/>
      </c>
      <c r="X217" s="4" t="str">
        <f t="shared" si="16"/>
        <v/>
      </c>
      <c r="Y217" s="4" t="str">
        <f t="shared" si="17"/>
        <v/>
      </c>
      <c r="Z217" s="5">
        <f t="shared" si="18"/>
        <v>1.15</v>
      </c>
      <c r="AA217" s="6">
        <f t="shared" si="19"/>
        <v>4</v>
      </c>
      <c r="AB217" t="str">
        <f>IFERROR(F217&amp;"*"&amp;ROUND(L217*(G217/(G217+I217+K217))/VLOOKUP(F217,商品!$A$4:$D$67,4,FALSE),0),"")</f>
        <v/>
      </c>
      <c r="AC217" t="str">
        <f>IFERROR(H217&amp;"*"&amp;ROUND(L217*(I217/(G217+I217+K217))/VLOOKUP(H217,商品!$A$4:$D$67,4,FALSE),0),"")</f>
        <v/>
      </c>
      <c r="AD217" t="str">
        <f>IFERROR(J217&amp;"*"&amp;ROUND(L217*(K217/(G217+I217+K217))/VLOOKUP(J217,商品!$A$4:$D$67,4,FALSE),0),"")</f>
        <v/>
      </c>
      <c r="AE217" t="str">
        <f>IFERROR(M217&amp;"*"&amp;ROUND(Q217*(N217/(N217+P217))/VLOOKUP(M217,职业!$A$3:$E$16,4,FALSE),0),"")</f>
        <v/>
      </c>
      <c r="AF217" t="str">
        <f>IFERROR(O217&amp;"*"&amp;ROUND(Q217*(P217/(N217+P217))/VLOOKUP(O217,职业!$A$3:$E$16,4,FALSE),0),"")</f>
        <v/>
      </c>
      <c r="AG217" t="str">
        <f>IFERROR(R217&amp;"*"&amp;ROUND(V217*(S217/(S217+U217))/VLOOKUP(R217,商品!$A$4:$D$67,4,FALSE),0),"")</f>
        <v/>
      </c>
      <c r="AH217" t="str">
        <f>IFERROR(T217&amp;"*"&amp;ROUND(V217*(U217/(S217+U217))/VLOOKUP(T217,商品!$A$4:$D$67,4,FALSE),0),"")</f>
        <v/>
      </c>
    </row>
    <row r="218" customHeight="1" spans="1:34">
      <c r="A218" s="15" t="s">
        <v>324</v>
      </c>
      <c r="C218" s="2">
        <v>5</v>
      </c>
      <c r="D218" s="2" t="s">
        <v>220</v>
      </c>
      <c r="E218" s="2" t="s">
        <v>225</v>
      </c>
      <c r="L218" s="2">
        <f>IFERROR(VLOOKUP($D218&amp;$C218,生产方式定位!$A$2:$E$39,2,FALSE)+VLOOKUP($E218&amp;$C218,生产方式定位!$F$3:$J$39,2,FALSE),0)</f>
        <v>4000</v>
      </c>
      <c r="Q218" s="2">
        <f>IFERROR(VLOOKUP($D218&amp;$C218,生产方式定位!$A$2:$E$39,3,FALSE)+VLOOKUP($E218&amp;$C218,生产方式定位!$F$3:$J$39,3,FALSE),0)</f>
        <v>2800</v>
      </c>
      <c r="V218" s="2">
        <f>IFERROR(VLOOKUP($D218&amp;$C218,生产方式定位!$A$2:$E$39,5,FALSE)+VLOOKUP($E218&amp;$C218,生产方式定位!$F$3:$J$39,5,FALSE),"错误")</f>
        <v>3400</v>
      </c>
      <c r="W218" s="3" t="str">
        <f t="shared" si="15"/>
        <v/>
      </c>
      <c r="X218" s="4" t="str">
        <f t="shared" si="16"/>
        <v/>
      </c>
      <c r="Y218" s="4" t="str">
        <f t="shared" si="17"/>
        <v/>
      </c>
      <c r="Z218" s="5">
        <f t="shared" si="18"/>
        <v>1.18</v>
      </c>
      <c r="AA218" s="6">
        <f t="shared" si="19"/>
        <v>5</v>
      </c>
      <c r="AB218" t="str">
        <f>IFERROR(F218&amp;"*"&amp;ROUND(L218*(G218/(G218+I218+K218))/VLOOKUP(F218,商品!$A$4:$D$67,4,FALSE),0),"")</f>
        <v/>
      </c>
      <c r="AC218" t="str">
        <f>IFERROR(H218&amp;"*"&amp;ROUND(L218*(I218/(G218+I218+K218))/VLOOKUP(H218,商品!$A$4:$D$67,4,FALSE),0),"")</f>
        <v/>
      </c>
      <c r="AD218" t="str">
        <f>IFERROR(J218&amp;"*"&amp;ROUND(L218*(K218/(G218+I218+K218))/VLOOKUP(J218,商品!$A$4:$D$67,4,FALSE),0),"")</f>
        <v/>
      </c>
      <c r="AE218" t="str">
        <f>IFERROR(M218&amp;"*"&amp;ROUND(Q218*(N218/(N218+P218))/VLOOKUP(M218,职业!$A$3:$E$16,4,FALSE),0),"")</f>
        <v/>
      </c>
      <c r="AF218" t="str">
        <f>IFERROR(O218&amp;"*"&amp;ROUND(Q218*(P218/(N218+P218))/VLOOKUP(O218,职业!$A$3:$E$16,4,FALSE),0),"")</f>
        <v/>
      </c>
      <c r="AG218" t="str">
        <f>IFERROR(R218&amp;"*"&amp;ROUND(V218*(S218/(S218+U218))/VLOOKUP(R218,商品!$A$4:$D$67,4,FALSE),0),"")</f>
        <v/>
      </c>
      <c r="AH218" t="str">
        <f>IFERROR(T218&amp;"*"&amp;ROUND(V218*(U218/(S218+U218))/VLOOKUP(T218,商品!$A$4:$D$67,4,FALSE),0),"")</f>
        <v/>
      </c>
    </row>
    <row r="219" customHeight="1" spans="1:34">
      <c r="A219" s="14" t="s">
        <v>326</v>
      </c>
      <c r="C219" s="2">
        <v>1</v>
      </c>
      <c r="D219" s="2" t="s">
        <v>220</v>
      </c>
      <c r="E219" s="2" t="s">
        <v>222</v>
      </c>
      <c r="L219" s="2">
        <f>IFERROR(VLOOKUP($D219&amp;$C219,生产方式定位!$A$2:$E$39,2,FALSE)+VLOOKUP($E219&amp;$C219,生产方式定位!$F$3:$J$39,2,FALSE),0)</f>
        <v>2000</v>
      </c>
      <c r="Q219" s="2">
        <f>IFERROR(VLOOKUP($D219&amp;$C219,生产方式定位!$A$2:$E$39,3,FALSE)+VLOOKUP($E219&amp;$C219,生产方式定位!$F$3:$J$39,3,FALSE),0)</f>
        <v>2000</v>
      </c>
      <c r="V219" s="2">
        <f>IFERROR(VLOOKUP($D219&amp;$C219,生产方式定位!$A$2:$E$39,5,FALSE)+VLOOKUP($E219&amp;$C219,生产方式定位!$F$3:$J$39,5,FALSE),"错误")</f>
        <v>2000</v>
      </c>
      <c r="W219" s="3" t="str">
        <f t="shared" si="15"/>
        <v/>
      </c>
      <c r="X219" s="4" t="str">
        <f t="shared" si="16"/>
        <v/>
      </c>
      <c r="Y219" s="4" t="str">
        <f t="shared" si="17"/>
        <v/>
      </c>
      <c r="Z219" s="5">
        <f t="shared" si="18"/>
        <v>1</v>
      </c>
      <c r="AA219" s="6">
        <f t="shared" si="19"/>
        <v>1</v>
      </c>
      <c r="AB219" t="str">
        <f>IFERROR(F219&amp;"*"&amp;ROUND(L219*(G219/(G219+I219+K219))/VLOOKUP(F219,商品!$A$4:$D$67,4,FALSE),0),"")</f>
        <v/>
      </c>
      <c r="AC219" t="str">
        <f>IFERROR(H219&amp;"*"&amp;ROUND(L219*(I219/(G219+I219+K219))/VLOOKUP(H219,商品!$A$4:$D$67,4,FALSE),0),"")</f>
        <v/>
      </c>
      <c r="AD219" t="str">
        <f>IFERROR(J219&amp;"*"&amp;ROUND(L219*(K219/(G219+I219+K219))/VLOOKUP(J219,商品!$A$4:$D$67,4,FALSE),0),"")</f>
        <v/>
      </c>
      <c r="AE219" t="str">
        <f>IFERROR(M219&amp;"*"&amp;ROUND(Q219*(N219/(N219+P219))/VLOOKUP(M219,职业!$A$3:$E$16,4,FALSE),0),"")</f>
        <v/>
      </c>
      <c r="AF219" t="str">
        <f>IFERROR(O219&amp;"*"&amp;ROUND(Q219*(P219/(N219+P219))/VLOOKUP(O219,职业!$A$3:$E$16,4,FALSE),0),"")</f>
        <v/>
      </c>
      <c r="AG219" t="str">
        <f>IFERROR(R219&amp;"*"&amp;ROUND(V219*(S219/(S219+U219))/VLOOKUP(R219,商品!$A$4:$D$67,4,FALSE),0),"")</f>
        <v/>
      </c>
      <c r="AH219" t="str">
        <f>IFERROR(T219&amp;"*"&amp;ROUND(V219*(U219/(S219+U219))/VLOOKUP(T219,商品!$A$4:$D$67,4,FALSE),0),"")</f>
        <v/>
      </c>
    </row>
    <row r="220" customHeight="1" spans="1:34">
      <c r="A220" s="14" t="s">
        <v>326</v>
      </c>
      <c r="C220" s="2">
        <v>2</v>
      </c>
      <c r="D220" s="2" t="s">
        <v>220</v>
      </c>
      <c r="E220" s="2" t="s">
        <v>222</v>
      </c>
      <c r="L220" s="2">
        <f>IFERROR(VLOOKUP($D220&amp;$C220,生产方式定位!$A$2:$E$39,2,FALSE)+VLOOKUP($E220&amp;$C220,生产方式定位!$F$3:$J$39,2,FALSE),0)</f>
        <v>3500</v>
      </c>
      <c r="Q220" s="2">
        <f>IFERROR(VLOOKUP($D220&amp;$C220,生产方式定位!$A$2:$E$39,3,FALSE)+VLOOKUP($E220&amp;$C220,生产方式定位!$F$3:$J$39,3,FALSE),0)</f>
        <v>2400</v>
      </c>
      <c r="V220" s="2">
        <f>IFERROR(VLOOKUP($D220&amp;$C220,生产方式定位!$A$2:$E$39,5,FALSE)+VLOOKUP($E220&amp;$C220,生产方式定位!$F$3:$J$39,5,FALSE),"错误")</f>
        <v>3022</v>
      </c>
      <c r="W220" s="3" t="str">
        <f t="shared" si="15"/>
        <v/>
      </c>
      <c r="X220" s="4" t="str">
        <f t="shared" si="16"/>
        <v/>
      </c>
      <c r="Y220" s="4" t="str">
        <f t="shared" si="17"/>
        <v/>
      </c>
      <c r="Z220" s="5">
        <f t="shared" si="18"/>
        <v>1.16</v>
      </c>
      <c r="AA220" s="6">
        <f t="shared" si="19"/>
        <v>2</v>
      </c>
      <c r="AB220" t="str">
        <f>IFERROR(F220&amp;"*"&amp;ROUND(L220*(G220/(G220+I220+K220))/VLOOKUP(F220,商品!$A$4:$D$67,4,FALSE),0),"")</f>
        <v/>
      </c>
      <c r="AC220" t="str">
        <f>IFERROR(H220&amp;"*"&amp;ROUND(L220*(I220/(G220+I220+K220))/VLOOKUP(H220,商品!$A$4:$D$67,4,FALSE),0),"")</f>
        <v/>
      </c>
      <c r="AD220" t="str">
        <f>IFERROR(J220&amp;"*"&amp;ROUND(L220*(K220/(G220+I220+K220))/VLOOKUP(J220,商品!$A$4:$D$67,4,FALSE),0),"")</f>
        <v/>
      </c>
      <c r="AE220" t="str">
        <f>IFERROR(M220&amp;"*"&amp;ROUND(Q220*(N220/(N220+P220))/VLOOKUP(M220,职业!$A$3:$E$16,4,FALSE),0),"")</f>
        <v/>
      </c>
      <c r="AF220" t="str">
        <f>IFERROR(O220&amp;"*"&amp;ROUND(Q220*(P220/(N220+P220))/VLOOKUP(O220,职业!$A$3:$E$16,4,FALSE),0),"")</f>
        <v/>
      </c>
      <c r="AG220" t="str">
        <f>IFERROR(R220&amp;"*"&amp;ROUND(V220*(S220/(S220+U220))/VLOOKUP(R220,商品!$A$4:$D$67,4,FALSE),0),"")</f>
        <v/>
      </c>
      <c r="AH220" t="str">
        <f>IFERROR(T220&amp;"*"&amp;ROUND(V220*(U220/(S220+U220))/VLOOKUP(T220,商品!$A$4:$D$67,4,FALSE),0),"")</f>
        <v/>
      </c>
    </row>
    <row r="221" customHeight="1" spans="1:34">
      <c r="A221" s="14" t="s">
        <v>326</v>
      </c>
      <c r="C221" s="2">
        <v>3</v>
      </c>
      <c r="D221" s="2" t="s">
        <v>220</v>
      </c>
      <c r="E221" s="2" t="s">
        <v>222</v>
      </c>
      <c r="L221" s="2">
        <f>IFERROR(VLOOKUP($D221&amp;$C221,生产方式定位!$A$2:$E$39,2,FALSE)+VLOOKUP($E221&amp;$C221,生产方式定位!$F$3:$J$39,2,FALSE),0)</f>
        <v>5000</v>
      </c>
      <c r="Q221" s="2">
        <f>IFERROR(VLOOKUP($D221&amp;$C221,生产方式定位!$A$2:$E$39,3,FALSE)+VLOOKUP($E221&amp;$C221,生产方式定位!$F$3:$J$39,3,FALSE),0)</f>
        <v>2800</v>
      </c>
      <c r="V221" s="2">
        <f>IFERROR(VLOOKUP($D221&amp;$C221,生产方式定位!$A$2:$E$39,5,FALSE)+VLOOKUP($E221&amp;$C221,生产方式定位!$F$3:$J$39,5,FALSE),"错误")</f>
        <v>4188</v>
      </c>
      <c r="W221" s="3" t="str">
        <f t="shared" si="15"/>
        <v/>
      </c>
      <c r="X221" s="4" t="str">
        <f t="shared" si="16"/>
        <v/>
      </c>
      <c r="Y221" s="4" t="str">
        <f t="shared" si="17"/>
        <v/>
      </c>
      <c r="Z221" s="5">
        <f t="shared" si="18"/>
        <v>1.19</v>
      </c>
      <c r="AA221" s="6">
        <f t="shared" si="19"/>
        <v>3</v>
      </c>
      <c r="AB221" t="str">
        <f>IFERROR(F221&amp;"*"&amp;ROUND(L221*(G221/(G221+I221+K221))/VLOOKUP(F221,商品!$A$4:$D$67,4,FALSE),0),"")</f>
        <v/>
      </c>
      <c r="AC221" t="str">
        <f>IFERROR(H221&amp;"*"&amp;ROUND(L221*(I221/(G221+I221+K221))/VLOOKUP(H221,商品!$A$4:$D$67,4,FALSE),0),"")</f>
        <v/>
      </c>
      <c r="AD221" t="str">
        <f>IFERROR(J221&amp;"*"&amp;ROUND(L221*(K221/(G221+I221+K221))/VLOOKUP(J221,商品!$A$4:$D$67,4,FALSE),0),"")</f>
        <v/>
      </c>
      <c r="AE221" t="str">
        <f>IFERROR(M221&amp;"*"&amp;ROUND(Q221*(N221/(N221+P221))/VLOOKUP(M221,职业!$A$3:$E$16,4,FALSE),0),"")</f>
        <v/>
      </c>
      <c r="AF221" t="str">
        <f>IFERROR(O221&amp;"*"&amp;ROUND(Q221*(P221/(N221+P221))/VLOOKUP(O221,职业!$A$3:$E$16,4,FALSE),0),"")</f>
        <v/>
      </c>
      <c r="AG221" t="str">
        <f>IFERROR(R221&amp;"*"&amp;ROUND(V221*(S221/(S221+U221))/VLOOKUP(R221,商品!$A$4:$D$67,4,FALSE),0),"")</f>
        <v/>
      </c>
      <c r="AH221" t="str">
        <f>IFERROR(T221&amp;"*"&amp;ROUND(V221*(U221/(S221+U221))/VLOOKUP(T221,商品!$A$4:$D$67,4,FALSE),0),"")</f>
        <v/>
      </c>
    </row>
    <row r="222" customHeight="1" spans="1:34">
      <c r="A222" s="14" t="s">
        <v>326</v>
      </c>
      <c r="C222" s="2">
        <v>4</v>
      </c>
      <c r="D222" s="2" t="s">
        <v>220</v>
      </c>
      <c r="E222" s="2" t="s">
        <v>222</v>
      </c>
      <c r="L222" s="2">
        <f>IFERROR(VLOOKUP($D222&amp;$C222,生产方式定位!$A$2:$E$39,2,FALSE)+VLOOKUP($E222&amp;$C222,生产方式定位!$F$3:$J$39,2,FALSE),0)</f>
        <v>6500</v>
      </c>
      <c r="Q222" s="2">
        <f>IFERROR(VLOOKUP($D222&amp;$C222,生产方式定位!$A$2:$E$39,3,FALSE)+VLOOKUP($E222&amp;$C222,生产方式定位!$F$3:$J$39,3,FALSE),0)</f>
        <v>3200</v>
      </c>
      <c r="V222" s="2">
        <f>IFERROR(VLOOKUP($D222&amp;$C222,生产方式定位!$A$2:$E$39,5,FALSE)+VLOOKUP($E222&amp;$C222,生产方式定位!$F$3:$J$39,5,FALSE),"错误")</f>
        <v>5498</v>
      </c>
      <c r="W222" s="3" t="str">
        <f t="shared" si="15"/>
        <v/>
      </c>
      <c r="X222" s="4" t="str">
        <f t="shared" si="16"/>
        <v/>
      </c>
      <c r="Y222" s="4" t="str">
        <f t="shared" si="17"/>
        <v/>
      </c>
      <c r="Z222" s="5">
        <f t="shared" si="18"/>
        <v>1.18</v>
      </c>
      <c r="AA222" s="6">
        <f t="shared" si="19"/>
        <v>4</v>
      </c>
      <c r="AB222" t="str">
        <f>IFERROR(F222&amp;"*"&amp;ROUND(L222*(G222/(G222+I222+K222))/VLOOKUP(F222,商品!$A$4:$D$67,4,FALSE),0),"")</f>
        <v/>
      </c>
      <c r="AC222" t="str">
        <f>IFERROR(H222&amp;"*"&amp;ROUND(L222*(I222/(G222+I222+K222))/VLOOKUP(H222,商品!$A$4:$D$67,4,FALSE),0),"")</f>
        <v/>
      </c>
      <c r="AD222" t="str">
        <f>IFERROR(J222&amp;"*"&amp;ROUND(L222*(K222/(G222+I222+K222))/VLOOKUP(J222,商品!$A$4:$D$67,4,FALSE),0),"")</f>
        <v/>
      </c>
      <c r="AE222" t="str">
        <f>IFERROR(M222&amp;"*"&amp;ROUND(Q222*(N222/(N222+P222))/VLOOKUP(M222,职业!$A$3:$E$16,4,FALSE),0),"")</f>
        <v/>
      </c>
      <c r="AF222" t="str">
        <f>IFERROR(O222&amp;"*"&amp;ROUND(Q222*(P222/(N222+P222))/VLOOKUP(O222,职业!$A$3:$E$16,4,FALSE),0),"")</f>
        <v/>
      </c>
      <c r="AG222" t="str">
        <f>IFERROR(R222&amp;"*"&amp;ROUND(V222*(S222/(S222+U222))/VLOOKUP(R222,商品!$A$4:$D$67,4,FALSE),0),"")</f>
        <v/>
      </c>
      <c r="AH222" t="str">
        <f>IFERROR(T222&amp;"*"&amp;ROUND(V222*(U222/(S222+U222))/VLOOKUP(T222,商品!$A$4:$D$67,4,FALSE),0),"")</f>
        <v/>
      </c>
    </row>
    <row r="223" customHeight="1" spans="1:34">
      <c r="A223" s="14" t="s">
        <v>326</v>
      </c>
      <c r="C223" s="2">
        <v>5</v>
      </c>
      <c r="D223" s="2" t="s">
        <v>220</v>
      </c>
      <c r="E223" s="2" t="s">
        <v>222</v>
      </c>
      <c r="L223" s="2">
        <f>IFERROR(VLOOKUP($D223&amp;$C223,生产方式定位!$A$2:$E$39,2,FALSE)+VLOOKUP($E223&amp;$C223,生产方式定位!$F$3:$J$39,2,FALSE),0)</f>
        <v>8000</v>
      </c>
      <c r="Q223" s="2">
        <f>IFERROR(VLOOKUP($D223&amp;$C223,生产方式定位!$A$2:$E$39,3,FALSE)+VLOOKUP($E223&amp;$C223,生产方式定位!$F$3:$J$39,3,FALSE),0)</f>
        <v>3600</v>
      </c>
      <c r="V223" s="2">
        <f>IFERROR(VLOOKUP($D223&amp;$C223,生产方式定位!$A$2:$E$39,5,FALSE)+VLOOKUP($E223&amp;$C223,生产方式定位!$F$3:$J$39,5,FALSE),"错误")</f>
        <v>7000</v>
      </c>
      <c r="W223" s="3" t="str">
        <f t="shared" si="15"/>
        <v/>
      </c>
      <c r="X223" s="4" t="str">
        <f t="shared" si="16"/>
        <v/>
      </c>
      <c r="Y223" s="4" t="str">
        <f t="shared" si="17"/>
        <v/>
      </c>
      <c r="Z223" s="5">
        <f t="shared" si="18"/>
        <v>1.14</v>
      </c>
      <c r="AA223" s="6">
        <f t="shared" si="19"/>
        <v>5</v>
      </c>
      <c r="AB223" t="str">
        <f>IFERROR(F223&amp;"*"&amp;ROUND(L223*(G223/(G223+I223+K223))/VLOOKUP(F223,商品!$A$4:$D$67,4,FALSE),0),"")</f>
        <v/>
      </c>
      <c r="AC223" t="str">
        <f>IFERROR(H223&amp;"*"&amp;ROUND(L223*(I223/(G223+I223+K223))/VLOOKUP(H223,商品!$A$4:$D$67,4,FALSE),0),"")</f>
        <v/>
      </c>
      <c r="AD223" t="str">
        <f>IFERROR(J223&amp;"*"&amp;ROUND(L223*(K223/(G223+I223+K223))/VLOOKUP(J223,商品!$A$4:$D$67,4,FALSE),0),"")</f>
        <v/>
      </c>
      <c r="AE223" t="str">
        <f>IFERROR(M223&amp;"*"&amp;ROUND(Q223*(N223/(N223+P223))/VLOOKUP(M223,职业!$A$3:$E$16,4,FALSE),0),"")</f>
        <v/>
      </c>
      <c r="AF223" t="str">
        <f>IFERROR(O223&amp;"*"&amp;ROUND(Q223*(P223/(N223+P223))/VLOOKUP(O223,职业!$A$3:$E$16,4,FALSE),0),"")</f>
        <v/>
      </c>
      <c r="AG223" t="str">
        <f>IFERROR(R223&amp;"*"&amp;ROUND(V223*(S223/(S223+U223))/VLOOKUP(R223,商品!$A$4:$D$67,4,FALSE),0),"")</f>
        <v/>
      </c>
      <c r="AH223" t="str">
        <f>IFERROR(T223&amp;"*"&amp;ROUND(V223*(U223/(S223+U223))/VLOOKUP(T223,商品!$A$4:$D$67,4,FALSE),0),"")</f>
        <v/>
      </c>
    </row>
    <row r="224" customHeight="1" spans="1:34">
      <c r="A224" s="15" t="s">
        <v>327</v>
      </c>
      <c r="C224" s="2">
        <v>1</v>
      </c>
      <c r="D224" s="2" t="s">
        <v>220</v>
      </c>
      <c r="E224" s="2" t="s">
        <v>224</v>
      </c>
      <c r="L224" s="2">
        <f>IFERROR(VLOOKUP($D224&amp;$C224,生产方式定位!$A$2:$E$39,2,FALSE)+VLOOKUP($E224&amp;$C224,生产方式定位!$F$3:$J$39,2,FALSE),0)</f>
        <v>2000</v>
      </c>
      <c r="Q224" s="2">
        <f>IFERROR(VLOOKUP($D224&amp;$C224,生产方式定位!$A$2:$E$39,3,FALSE)+VLOOKUP($E224&amp;$C224,生产方式定位!$F$3:$J$39,3,FALSE),0)</f>
        <v>2000</v>
      </c>
      <c r="V224" s="2">
        <f>IFERROR(VLOOKUP($D224&amp;$C224,生产方式定位!$A$2:$E$39,5,FALSE)+VLOOKUP($E224&amp;$C224,生产方式定位!$F$3:$J$39,5,FALSE),"错误")</f>
        <v>2000</v>
      </c>
      <c r="W224" s="3" t="str">
        <f t="shared" si="15"/>
        <v/>
      </c>
      <c r="X224" s="4" t="str">
        <f t="shared" si="16"/>
        <v/>
      </c>
      <c r="Y224" s="4" t="str">
        <f t="shared" si="17"/>
        <v/>
      </c>
      <c r="Z224" s="5">
        <f t="shared" si="18"/>
        <v>1</v>
      </c>
      <c r="AA224" s="6">
        <f t="shared" si="19"/>
        <v>1</v>
      </c>
      <c r="AB224" t="str">
        <f>IFERROR(F224&amp;"*"&amp;ROUND(L224*(G224/(G224+I224+K224))/VLOOKUP(F224,商品!$A$4:$D$67,4,FALSE),0),"")</f>
        <v/>
      </c>
      <c r="AC224" t="str">
        <f>IFERROR(H224&amp;"*"&amp;ROUND(L224*(I224/(G224+I224+K224))/VLOOKUP(H224,商品!$A$4:$D$67,4,FALSE),0),"")</f>
        <v/>
      </c>
      <c r="AD224" t="str">
        <f>IFERROR(J224&amp;"*"&amp;ROUND(L224*(K224/(G224+I224+K224))/VLOOKUP(J224,商品!$A$4:$D$67,4,FALSE),0),"")</f>
        <v/>
      </c>
      <c r="AE224" t="str">
        <f>IFERROR(M224&amp;"*"&amp;ROUND(Q224*(N224/(N224+P224))/VLOOKUP(M224,职业!$A$3:$E$16,4,FALSE),0),"")</f>
        <v/>
      </c>
      <c r="AF224" t="str">
        <f>IFERROR(O224&amp;"*"&amp;ROUND(Q224*(P224/(N224+P224))/VLOOKUP(O224,职业!$A$3:$E$16,4,FALSE),0),"")</f>
        <v/>
      </c>
      <c r="AG224" t="str">
        <f>IFERROR(R224&amp;"*"&amp;ROUND(V224*(S224/(S224+U224))/VLOOKUP(R224,商品!$A$4:$D$67,4,FALSE),0),"")</f>
        <v/>
      </c>
      <c r="AH224" t="str">
        <f>IFERROR(T224&amp;"*"&amp;ROUND(V224*(U224/(S224+U224))/VLOOKUP(T224,商品!$A$4:$D$67,4,FALSE),0),"")</f>
        <v/>
      </c>
    </row>
    <row r="225" customHeight="1" spans="1:34">
      <c r="A225" s="15" t="s">
        <v>327</v>
      </c>
      <c r="C225" s="2">
        <v>2</v>
      </c>
      <c r="D225" s="2" t="s">
        <v>220</v>
      </c>
      <c r="E225" s="2" t="s">
        <v>224</v>
      </c>
      <c r="L225" s="2">
        <f>IFERROR(VLOOKUP($D225&amp;$C225,生产方式定位!$A$2:$E$39,2,FALSE)+VLOOKUP($E225&amp;$C225,生产方式定位!$F$3:$J$39,2,FALSE),0)</f>
        <v>4500</v>
      </c>
      <c r="Q225" s="2">
        <f>IFERROR(VLOOKUP($D225&amp;$C225,生产方式定位!$A$2:$E$39,3,FALSE)+VLOOKUP($E225&amp;$C225,生产方式定位!$F$3:$J$39,3,FALSE),0)</f>
        <v>2000</v>
      </c>
      <c r="V225" s="2">
        <f>IFERROR(VLOOKUP($D225&amp;$C225,生产方式定位!$A$2:$E$39,5,FALSE)+VLOOKUP($E225&amp;$C225,生产方式定位!$F$3:$J$39,5,FALSE),"错误")</f>
        <v>3340</v>
      </c>
      <c r="W225" s="3" t="str">
        <f t="shared" si="15"/>
        <v/>
      </c>
      <c r="X225" s="4" t="str">
        <f t="shared" si="16"/>
        <v/>
      </c>
      <c r="Y225" s="4" t="str">
        <f t="shared" si="17"/>
        <v/>
      </c>
      <c r="Z225" s="5">
        <f t="shared" si="18"/>
        <v>1.35</v>
      </c>
      <c r="AA225" s="6">
        <f t="shared" si="19"/>
        <v>2</v>
      </c>
      <c r="AB225" t="str">
        <f>IFERROR(F225&amp;"*"&amp;ROUND(L225*(G225/(G225+I225+K225))/VLOOKUP(F225,商品!$A$4:$D$67,4,FALSE),0),"")</f>
        <v/>
      </c>
      <c r="AC225" t="str">
        <f>IFERROR(H225&amp;"*"&amp;ROUND(L225*(I225/(G225+I225+K225))/VLOOKUP(H225,商品!$A$4:$D$67,4,FALSE),0),"")</f>
        <v/>
      </c>
      <c r="AD225" t="str">
        <f>IFERROR(J225&amp;"*"&amp;ROUND(L225*(K225/(G225+I225+K225))/VLOOKUP(J225,商品!$A$4:$D$67,4,FALSE),0),"")</f>
        <v/>
      </c>
      <c r="AE225" t="str">
        <f>IFERROR(M225&amp;"*"&amp;ROUND(Q225*(N225/(N225+P225))/VLOOKUP(M225,职业!$A$3:$E$16,4,FALSE),0),"")</f>
        <v/>
      </c>
      <c r="AF225" t="str">
        <f>IFERROR(O225&amp;"*"&amp;ROUND(Q225*(P225/(N225+P225))/VLOOKUP(O225,职业!$A$3:$E$16,4,FALSE),0),"")</f>
        <v/>
      </c>
      <c r="AG225" t="str">
        <f>IFERROR(R225&amp;"*"&amp;ROUND(V225*(S225/(S225+U225))/VLOOKUP(R225,商品!$A$4:$D$67,4,FALSE),0),"")</f>
        <v/>
      </c>
      <c r="AH225" t="str">
        <f>IFERROR(T225&amp;"*"&amp;ROUND(V225*(U225/(S225+U225))/VLOOKUP(T225,商品!$A$4:$D$67,4,FALSE),0),"")</f>
        <v/>
      </c>
    </row>
    <row r="226" customHeight="1" spans="1:34">
      <c r="A226" s="15" t="s">
        <v>327</v>
      </c>
      <c r="C226" s="2">
        <v>3</v>
      </c>
      <c r="D226" s="2" t="s">
        <v>220</v>
      </c>
      <c r="E226" s="2" t="s">
        <v>224</v>
      </c>
      <c r="L226" s="2">
        <f>IFERROR(VLOOKUP($D226&amp;$C226,生产方式定位!$A$2:$E$39,2,FALSE)+VLOOKUP($E226&amp;$C226,生产方式定位!$F$3:$J$39,2,FALSE),0)</f>
        <v>6000</v>
      </c>
      <c r="Q226" s="2">
        <f>IFERROR(VLOOKUP($D226&amp;$C226,生产方式定位!$A$2:$E$39,3,FALSE)+VLOOKUP($E226&amp;$C226,生产方式定位!$F$3:$J$39,3,FALSE),0)</f>
        <v>2000</v>
      </c>
      <c r="V226" s="2">
        <f>IFERROR(VLOOKUP($D226&amp;$C226,生产方式定位!$A$2:$E$39,5,FALSE)+VLOOKUP($E226&amp;$C226,生产方式定位!$F$3:$J$39,5,FALSE),"错误")</f>
        <v>4260</v>
      </c>
      <c r="W226" s="3" t="str">
        <f t="shared" si="15"/>
        <v/>
      </c>
      <c r="X226" s="4" t="str">
        <f t="shared" si="16"/>
        <v/>
      </c>
      <c r="Y226" s="4" t="str">
        <f t="shared" si="17"/>
        <v/>
      </c>
      <c r="Z226" s="5">
        <f t="shared" si="18"/>
        <v>1.41</v>
      </c>
      <c r="AA226" s="6">
        <f t="shared" si="19"/>
        <v>3</v>
      </c>
      <c r="AB226" t="str">
        <f>IFERROR(F226&amp;"*"&amp;ROUND(L226*(G226/(G226+I226+K226))/VLOOKUP(F226,商品!$A$4:$D$67,4,FALSE),0),"")</f>
        <v/>
      </c>
      <c r="AC226" t="str">
        <f>IFERROR(H226&amp;"*"&amp;ROUND(L226*(I226/(G226+I226+K226))/VLOOKUP(H226,商品!$A$4:$D$67,4,FALSE),0),"")</f>
        <v/>
      </c>
      <c r="AD226" t="str">
        <f>IFERROR(J226&amp;"*"&amp;ROUND(L226*(K226/(G226+I226+K226))/VLOOKUP(J226,商品!$A$4:$D$67,4,FALSE),0),"")</f>
        <v/>
      </c>
      <c r="AE226" t="str">
        <f>IFERROR(M226&amp;"*"&amp;ROUND(Q226*(N226/(N226+P226))/VLOOKUP(M226,职业!$A$3:$E$16,4,FALSE),0),"")</f>
        <v/>
      </c>
      <c r="AF226" t="str">
        <f>IFERROR(O226&amp;"*"&amp;ROUND(Q226*(P226/(N226+P226))/VLOOKUP(O226,职业!$A$3:$E$16,4,FALSE),0),"")</f>
        <v/>
      </c>
      <c r="AG226" t="str">
        <f>IFERROR(R226&amp;"*"&amp;ROUND(V226*(S226/(S226+U226))/VLOOKUP(R226,商品!$A$4:$D$67,4,FALSE),0),"")</f>
        <v/>
      </c>
      <c r="AH226" t="str">
        <f>IFERROR(T226&amp;"*"&amp;ROUND(V226*(U226/(S226+U226))/VLOOKUP(T226,商品!$A$4:$D$67,4,FALSE),0),"")</f>
        <v/>
      </c>
    </row>
    <row r="227" customHeight="1" spans="1:34">
      <c r="A227" s="15" t="s">
        <v>327</v>
      </c>
      <c r="C227" s="2">
        <v>4</v>
      </c>
      <c r="D227" s="2" t="s">
        <v>220</v>
      </c>
      <c r="E227" s="2" t="s">
        <v>224</v>
      </c>
      <c r="L227" s="2">
        <f>IFERROR(VLOOKUP($D227&amp;$C227,生产方式定位!$A$2:$E$39,2,FALSE)+VLOOKUP($E227&amp;$C227,生产方式定位!$F$3:$J$39,2,FALSE),0)</f>
        <v>7500</v>
      </c>
      <c r="Q227" s="2">
        <f>IFERROR(VLOOKUP($D227&amp;$C227,生产方式定位!$A$2:$E$39,3,FALSE)+VLOOKUP($E227&amp;$C227,生产方式定位!$F$3:$J$39,3,FALSE),0)</f>
        <v>2000</v>
      </c>
      <c r="V227" s="2">
        <f>IFERROR(VLOOKUP($D227&amp;$C227,生产方式定位!$A$2:$E$39,5,FALSE)+VLOOKUP($E227&amp;$C227,生产方式定位!$F$3:$J$39,5,FALSE),"错误")</f>
        <v>5260</v>
      </c>
      <c r="W227" s="3" t="str">
        <f t="shared" si="15"/>
        <v/>
      </c>
      <c r="X227" s="4" t="str">
        <f t="shared" si="16"/>
        <v/>
      </c>
      <c r="Y227" s="4" t="str">
        <f t="shared" si="17"/>
        <v/>
      </c>
      <c r="Z227" s="5">
        <f t="shared" si="18"/>
        <v>1.43</v>
      </c>
      <c r="AA227" s="6">
        <f t="shared" si="19"/>
        <v>4</v>
      </c>
      <c r="AB227" t="str">
        <f>IFERROR(F227&amp;"*"&amp;ROUND(L227*(G227/(G227+I227+K227))/VLOOKUP(F227,商品!$A$4:$D$67,4,FALSE),0),"")</f>
        <v/>
      </c>
      <c r="AC227" t="str">
        <f>IFERROR(H227&amp;"*"&amp;ROUND(L227*(I227/(G227+I227+K227))/VLOOKUP(H227,商品!$A$4:$D$67,4,FALSE),0),"")</f>
        <v/>
      </c>
      <c r="AD227" t="str">
        <f>IFERROR(J227&amp;"*"&amp;ROUND(L227*(K227/(G227+I227+K227))/VLOOKUP(J227,商品!$A$4:$D$67,4,FALSE),0),"")</f>
        <v/>
      </c>
      <c r="AE227" t="str">
        <f>IFERROR(M227&amp;"*"&amp;ROUND(Q227*(N227/(N227+P227))/VLOOKUP(M227,职业!$A$3:$E$16,4,FALSE),0),"")</f>
        <v/>
      </c>
      <c r="AF227" t="str">
        <f>IFERROR(O227&amp;"*"&amp;ROUND(Q227*(P227/(N227+P227))/VLOOKUP(O227,职业!$A$3:$E$16,4,FALSE),0),"")</f>
        <v/>
      </c>
      <c r="AG227" t="str">
        <f>IFERROR(R227&amp;"*"&amp;ROUND(V227*(S227/(S227+U227))/VLOOKUP(R227,商品!$A$4:$D$67,4,FALSE),0),"")</f>
        <v/>
      </c>
      <c r="AH227" t="str">
        <f>IFERROR(T227&amp;"*"&amp;ROUND(V227*(U227/(S227+U227))/VLOOKUP(T227,商品!$A$4:$D$67,4,FALSE),0),"")</f>
        <v/>
      </c>
    </row>
    <row r="228" customHeight="1" spans="1:34">
      <c r="A228" s="15" t="s">
        <v>327</v>
      </c>
      <c r="C228" s="2">
        <v>5</v>
      </c>
      <c r="D228" s="2" t="s">
        <v>220</v>
      </c>
      <c r="E228" s="2" t="s">
        <v>224</v>
      </c>
      <c r="L228" s="2">
        <f>IFERROR(VLOOKUP($D228&amp;$C228,生产方式定位!$A$2:$E$39,2,FALSE)+VLOOKUP($E228&amp;$C228,生产方式定位!$F$3:$J$39,2,FALSE),0)</f>
        <v>9000</v>
      </c>
      <c r="Q228" s="2">
        <f>IFERROR(VLOOKUP($D228&amp;$C228,生产方式定位!$A$2:$E$39,3,FALSE)+VLOOKUP($E228&amp;$C228,生产方式定位!$F$3:$J$39,3,FALSE),0)</f>
        <v>2000</v>
      </c>
      <c r="V228" s="2">
        <f>IFERROR(VLOOKUP($D228&amp;$C228,生产方式定位!$A$2:$E$39,5,FALSE)+VLOOKUP($E228&amp;$C228,生产方式定位!$F$3:$J$39,5,FALSE),"错误")</f>
        <v>6340</v>
      </c>
      <c r="W228" s="3" t="str">
        <f t="shared" si="15"/>
        <v/>
      </c>
      <c r="X228" s="4" t="str">
        <f t="shared" si="16"/>
        <v/>
      </c>
      <c r="Y228" s="4" t="str">
        <f t="shared" si="17"/>
        <v/>
      </c>
      <c r="Z228" s="5">
        <f t="shared" si="18"/>
        <v>1.42</v>
      </c>
      <c r="AA228" s="6">
        <f t="shared" si="19"/>
        <v>5</v>
      </c>
      <c r="AB228" t="str">
        <f>IFERROR(F228&amp;"*"&amp;ROUND(L228*(G228/(G228+I228+K228))/VLOOKUP(F228,商品!$A$4:$D$67,4,FALSE),0),"")</f>
        <v/>
      </c>
      <c r="AC228" t="str">
        <f>IFERROR(H228&amp;"*"&amp;ROUND(L228*(I228/(G228+I228+K228))/VLOOKUP(H228,商品!$A$4:$D$67,4,FALSE),0),"")</f>
        <v/>
      </c>
      <c r="AD228" t="str">
        <f>IFERROR(J228&amp;"*"&amp;ROUND(L228*(K228/(G228+I228+K228))/VLOOKUP(J228,商品!$A$4:$D$67,4,FALSE),0),"")</f>
        <v/>
      </c>
      <c r="AE228" t="str">
        <f>IFERROR(M228&amp;"*"&amp;ROUND(Q228*(N228/(N228+P228))/VLOOKUP(M228,职业!$A$3:$E$16,4,FALSE),0),"")</f>
        <v/>
      </c>
      <c r="AF228" t="str">
        <f>IFERROR(O228&amp;"*"&amp;ROUND(Q228*(P228/(N228+P228))/VLOOKUP(O228,职业!$A$3:$E$16,4,FALSE),0),"")</f>
        <v/>
      </c>
      <c r="AG228" t="str">
        <f>IFERROR(R228&amp;"*"&amp;ROUND(V228*(S228/(S228+U228))/VLOOKUP(R228,商品!$A$4:$D$67,4,FALSE),0),"")</f>
        <v/>
      </c>
      <c r="AH228" t="str">
        <f>IFERROR(T228&amp;"*"&amp;ROUND(V228*(U228/(S228+U228))/VLOOKUP(T228,商品!$A$4:$D$67,4,FALSE),0),"")</f>
        <v/>
      </c>
    </row>
    <row r="229" customHeight="1" spans="1:34">
      <c r="A229" s="14" t="s">
        <v>327</v>
      </c>
      <c r="C229" s="2">
        <v>1</v>
      </c>
      <c r="D229" s="2" t="s">
        <v>220</v>
      </c>
      <c r="E229" s="2" t="s">
        <v>224</v>
      </c>
      <c r="L229" s="2">
        <f>IFERROR(VLOOKUP($D229&amp;$C229,生产方式定位!$A$2:$E$39,2,FALSE)+VLOOKUP($E229&amp;$C229,生产方式定位!$F$3:$J$39,2,FALSE),0)</f>
        <v>2000</v>
      </c>
      <c r="Q229" s="2">
        <f>IFERROR(VLOOKUP($D229&amp;$C229,生产方式定位!$A$2:$E$39,3,FALSE)+VLOOKUP($E229&amp;$C229,生产方式定位!$F$3:$J$39,3,FALSE),0)</f>
        <v>2000</v>
      </c>
      <c r="V229" s="2">
        <f>IFERROR(VLOOKUP($D229&amp;$C229,生产方式定位!$A$2:$E$39,5,FALSE)+VLOOKUP($E229&amp;$C229,生产方式定位!$F$3:$J$39,5,FALSE),"错误")</f>
        <v>2000</v>
      </c>
      <c r="W229" s="3" t="str">
        <f t="shared" si="15"/>
        <v/>
      </c>
      <c r="X229" s="4" t="str">
        <f t="shared" si="16"/>
        <v/>
      </c>
      <c r="Y229" s="4" t="str">
        <f t="shared" si="17"/>
        <v/>
      </c>
      <c r="Z229" s="5">
        <f t="shared" si="18"/>
        <v>1</v>
      </c>
      <c r="AA229" s="6">
        <f t="shared" si="19"/>
        <v>1</v>
      </c>
      <c r="AB229" t="str">
        <f>IFERROR(F229&amp;"*"&amp;ROUND(L229*(G229/(G229+I229+K229))/VLOOKUP(F229,商品!$A$4:$D$67,4,FALSE),0),"")</f>
        <v/>
      </c>
      <c r="AC229" t="str">
        <f>IFERROR(H229&amp;"*"&amp;ROUND(L229*(I229/(G229+I229+K229))/VLOOKUP(H229,商品!$A$4:$D$67,4,FALSE),0),"")</f>
        <v/>
      </c>
      <c r="AD229" t="str">
        <f>IFERROR(J229&amp;"*"&amp;ROUND(L229*(K229/(G229+I229+K229))/VLOOKUP(J229,商品!$A$4:$D$67,4,FALSE),0),"")</f>
        <v/>
      </c>
      <c r="AE229" t="str">
        <f>IFERROR(M229&amp;"*"&amp;ROUND(Q229*(N229/(N229+P229))/VLOOKUP(M229,职业!$A$3:$E$16,4,FALSE),0),"")</f>
        <v/>
      </c>
      <c r="AF229" t="str">
        <f>IFERROR(O229&amp;"*"&amp;ROUND(Q229*(P229/(N229+P229))/VLOOKUP(O229,职业!$A$3:$E$16,4,FALSE),0),"")</f>
        <v/>
      </c>
      <c r="AG229" t="str">
        <f>IFERROR(R229&amp;"*"&amp;ROUND(V229*(S229/(S229+U229))/VLOOKUP(R229,商品!$A$4:$D$67,4,FALSE),0),"")</f>
        <v/>
      </c>
      <c r="AH229" t="str">
        <f>IFERROR(T229&amp;"*"&amp;ROUND(V229*(U229/(S229+U229))/VLOOKUP(T229,商品!$A$4:$D$67,4,FALSE),0),"")</f>
        <v/>
      </c>
    </row>
    <row r="230" customHeight="1" spans="1:34">
      <c r="A230" s="14" t="s">
        <v>327</v>
      </c>
      <c r="C230" s="2">
        <v>2</v>
      </c>
      <c r="D230" s="2" t="s">
        <v>220</v>
      </c>
      <c r="E230" s="2" t="s">
        <v>224</v>
      </c>
      <c r="L230" s="2">
        <f>IFERROR(VLOOKUP($D230&amp;$C230,生产方式定位!$A$2:$E$39,2,FALSE)+VLOOKUP($E230&amp;$C230,生产方式定位!$F$3:$J$39,2,FALSE),0)</f>
        <v>4500</v>
      </c>
      <c r="Q230" s="2">
        <f>IFERROR(VLOOKUP($D230&amp;$C230,生产方式定位!$A$2:$E$39,3,FALSE)+VLOOKUP($E230&amp;$C230,生产方式定位!$F$3:$J$39,3,FALSE),0)</f>
        <v>2000</v>
      </c>
      <c r="V230" s="2">
        <f>IFERROR(VLOOKUP($D230&amp;$C230,生产方式定位!$A$2:$E$39,5,FALSE)+VLOOKUP($E230&amp;$C230,生产方式定位!$F$3:$J$39,5,FALSE),"错误")</f>
        <v>3340</v>
      </c>
      <c r="W230" s="3" t="str">
        <f t="shared" si="15"/>
        <v/>
      </c>
      <c r="X230" s="4" t="str">
        <f t="shared" si="16"/>
        <v/>
      </c>
      <c r="Y230" s="4" t="str">
        <f t="shared" si="17"/>
        <v/>
      </c>
      <c r="Z230" s="5">
        <f t="shared" si="18"/>
        <v>1.35</v>
      </c>
      <c r="AA230" s="6">
        <f t="shared" si="19"/>
        <v>2</v>
      </c>
      <c r="AB230" t="str">
        <f>IFERROR(F230&amp;"*"&amp;ROUND(L230*(G230/(G230+I230+K230))/VLOOKUP(F230,商品!$A$4:$D$67,4,FALSE),0),"")</f>
        <v/>
      </c>
      <c r="AC230" t="str">
        <f>IFERROR(H230&amp;"*"&amp;ROUND(L230*(I230/(G230+I230+K230))/VLOOKUP(H230,商品!$A$4:$D$67,4,FALSE),0),"")</f>
        <v/>
      </c>
      <c r="AD230" t="str">
        <f>IFERROR(J230&amp;"*"&amp;ROUND(L230*(K230/(G230+I230+K230))/VLOOKUP(J230,商品!$A$4:$D$67,4,FALSE),0),"")</f>
        <v/>
      </c>
      <c r="AE230" t="str">
        <f>IFERROR(M230&amp;"*"&amp;ROUND(Q230*(N230/(N230+P230))/VLOOKUP(M230,职业!$A$3:$E$16,4,FALSE),0),"")</f>
        <v/>
      </c>
      <c r="AF230" t="str">
        <f>IFERROR(O230&amp;"*"&amp;ROUND(Q230*(P230/(N230+P230))/VLOOKUP(O230,职业!$A$3:$E$16,4,FALSE),0),"")</f>
        <v/>
      </c>
      <c r="AG230" t="str">
        <f>IFERROR(R230&amp;"*"&amp;ROUND(V230*(S230/(S230+U230))/VLOOKUP(R230,商品!$A$4:$D$67,4,FALSE),0),"")</f>
        <v/>
      </c>
      <c r="AH230" t="str">
        <f>IFERROR(T230&amp;"*"&amp;ROUND(V230*(U230/(S230+U230))/VLOOKUP(T230,商品!$A$4:$D$67,4,FALSE),0),"")</f>
        <v/>
      </c>
    </row>
    <row r="231" customHeight="1" spans="1:34">
      <c r="A231" s="14" t="s">
        <v>327</v>
      </c>
      <c r="C231" s="2">
        <v>3</v>
      </c>
      <c r="D231" s="2" t="s">
        <v>220</v>
      </c>
      <c r="E231" s="2" t="s">
        <v>224</v>
      </c>
      <c r="L231" s="2">
        <f>IFERROR(VLOOKUP($D231&amp;$C231,生产方式定位!$A$2:$E$39,2,FALSE)+VLOOKUP($E231&amp;$C231,生产方式定位!$F$3:$J$39,2,FALSE),0)</f>
        <v>6000</v>
      </c>
      <c r="Q231" s="2">
        <f>IFERROR(VLOOKUP($D231&amp;$C231,生产方式定位!$A$2:$E$39,3,FALSE)+VLOOKUP($E231&amp;$C231,生产方式定位!$F$3:$J$39,3,FALSE),0)</f>
        <v>2000</v>
      </c>
      <c r="V231" s="2">
        <f>IFERROR(VLOOKUP($D231&amp;$C231,生产方式定位!$A$2:$E$39,5,FALSE)+VLOOKUP($E231&amp;$C231,生产方式定位!$F$3:$J$39,5,FALSE),"错误")</f>
        <v>4260</v>
      </c>
      <c r="W231" s="3" t="str">
        <f t="shared" si="15"/>
        <v/>
      </c>
      <c r="X231" s="4" t="str">
        <f t="shared" si="16"/>
        <v/>
      </c>
      <c r="Y231" s="4" t="str">
        <f t="shared" si="17"/>
        <v/>
      </c>
      <c r="Z231" s="5">
        <f t="shared" si="18"/>
        <v>1.41</v>
      </c>
      <c r="AA231" s="6">
        <f t="shared" si="19"/>
        <v>3</v>
      </c>
      <c r="AB231" t="str">
        <f>IFERROR(F231&amp;"*"&amp;ROUND(L231*(G231/(G231+I231+K231))/VLOOKUP(F231,商品!$A$4:$D$67,4,FALSE),0),"")</f>
        <v/>
      </c>
      <c r="AC231" t="str">
        <f>IFERROR(H231&amp;"*"&amp;ROUND(L231*(I231/(G231+I231+K231))/VLOOKUP(H231,商品!$A$4:$D$67,4,FALSE),0),"")</f>
        <v/>
      </c>
      <c r="AD231" t="str">
        <f>IFERROR(J231&amp;"*"&amp;ROUND(L231*(K231/(G231+I231+K231))/VLOOKUP(J231,商品!$A$4:$D$67,4,FALSE),0),"")</f>
        <v/>
      </c>
      <c r="AE231" t="str">
        <f>IFERROR(M231&amp;"*"&amp;ROUND(Q231*(N231/(N231+P231))/VLOOKUP(M231,职业!$A$3:$E$16,4,FALSE),0),"")</f>
        <v/>
      </c>
      <c r="AF231" t="str">
        <f>IFERROR(O231&amp;"*"&amp;ROUND(Q231*(P231/(N231+P231))/VLOOKUP(O231,职业!$A$3:$E$16,4,FALSE),0),"")</f>
        <v/>
      </c>
      <c r="AG231" t="str">
        <f>IFERROR(R231&amp;"*"&amp;ROUND(V231*(S231/(S231+U231))/VLOOKUP(R231,商品!$A$4:$D$67,4,FALSE),0),"")</f>
        <v/>
      </c>
      <c r="AH231" t="str">
        <f>IFERROR(T231&amp;"*"&amp;ROUND(V231*(U231/(S231+U231))/VLOOKUP(T231,商品!$A$4:$D$67,4,FALSE),0),"")</f>
        <v/>
      </c>
    </row>
    <row r="232" customHeight="1" spans="1:34">
      <c r="A232" s="14" t="s">
        <v>327</v>
      </c>
      <c r="C232" s="2">
        <v>4</v>
      </c>
      <c r="D232" s="2" t="s">
        <v>220</v>
      </c>
      <c r="E232" s="2" t="s">
        <v>224</v>
      </c>
      <c r="L232" s="2">
        <f>IFERROR(VLOOKUP($D232&amp;$C232,生产方式定位!$A$2:$E$39,2,FALSE)+VLOOKUP($E232&amp;$C232,生产方式定位!$F$3:$J$39,2,FALSE),0)</f>
        <v>7500</v>
      </c>
      <c r="Q232" s="2">
        <f>IFERROR(VLOOKUP($D232&amp;$C232,生产方式定位!$A$2:$E$39,3,FALSE)+VLOOKUP($E232&amp;$C232,生产方式定位!$F$3:$J$39,3,FALSE),0)</f>
        <v>2000</v>
      </c>
      <c r="V232" s="2">
        <f>IFERROR(VLOOKUP($D232&amp;$C232,生产方式定位!$A$2:$E$39,5,FALSE)+VLOOKUP($E232&amp;$C232,生产方式定位!$F$3:$J$39,5,FALSE),"错误")</f>
        <v>5260</v>
      </c>
      <c r="W232" s="3" t="str">
        <f t="shared" si="15"/>
        <v/>
      </c>
      <c r="X232" s="4" t="str">
        <f t="shared" si="16"/>
        <v/>
      </c>
      <c r="Y232" s="4" t="str">
        <f t="shared" si="17"/>
        <v/>
      </c>
      <c r="Z232" s="5">
        <f t="shared" si="18"/>
        <v>1.43</v>
      </c>
      <c r="AA232" s="6">
        <f t="shared" si="19"/>
        <v>4</v>
      </c>
      <c r="AB232" t="str">
        <f>IFERROR(F232&amp;"*"&amp;ROUND(L232*(G232/(G232+I232+K232))/VLOOKUP(F232,商品!$A$4:$D$67,4,FALSE),0),"")</f>
        <v/>
      </c>
      <c r="AC232" t="str">
        <f>IFERROR(H232&amp;"*"&amp;ROUND(L232*(I232/(G232+I232+K232))/VLOOKUP(H232,商品!$A$4:$D$67,4,FALSE),0),"")</f>
        <v/>
      </c>
      <c r="AD232" t="str">
        <f>IFERROR(J232&amp;"*"&amp;ROUND(L232*(K232/(G232+I232+K232))/VLOOKUP(J232,商品!$A$4:$D$67,4,FALSE),0),"")</f>
        <v/>
      </c>
      <c r="AE232" t="str">
        <f>IFERROR(M232&amp;"*"&amp;ROUND(Q232*(N232/(N232+P232))/VLOOKUP(M232,职业!$A$3:$E$16,4,FALSE),0),"")</f>
        <v/>
      </c>
      <c r="AF232" t="str">
        <f>IFERROR(O232&amp;"*"&amp;ROUND(Q232*(P232/(N232+P232))/VLOOKUP(O232,职业!$A$3:$E$16,4,FALSE),0),"")</f>
        <v/>
      </c>
      <c r="AG232" t="str">
        <f>IFERROR(R232&amp;"*"&amp;ROUND(V232*(S232/(S232+U232))/VLOOKUP(R232,商品!$A$4:$D$67,4,FALSE),0),"")</f>
        <v/>
      </c>
      <c r="AH232" t="str">
        <f>IFERROR(T232&amp;"*"&amp;ROUND(V232*(U232/(S232+U232))/VLOOKUP(T232,商品!$A$4:$D$67,4,FALSE),0),"")</f>
        <v/>
      </c>
    </row>
    <row r="233" customHeight="1" spans="1:34">
      <c r="A233" s="14" t="s">
        <v>327</v>
      </c>
      <c r="C233" s="2">
        <v>5</v>
      </c>
      <c r="D233" s="2" t="s">
        <v>220</v>
      </c>
      <c r="E233" s="2" t="s">
        <v>224</v>
      </c>
      <c r="L233" s="2">
        <f>IFERROR(VLOOKUP($D233&amp;$C233,生产方式定位!$A$2:$E$39,2,FALSE)+VLOOKUP($E233&amp;$C233,生产方式定位!$F$3:$J$39,2,FALSE),0)</f>
        <v>9000</v>
      </c>
      <c r="Q233" s="2">
        <f>IFERROR(VLOOKUP($D233&amp;$C233,生产方式定位!$A$2:$E$39,3,FALSE)+VLOOKUP($E233&amp;$C233,生产方式定位!$F$3:$J$39,3,FALSE),0)</f>
        <v>2000</v>
      </c>
      <c r="V233" s="2">
        <f>IFERROR(VLOOKUP($D233&amp;$C233,生产方式定位!$A$2:$E$39,5,FALSE)+VLOOKUP($E233&amp;$C233,生产方式定位!$F$3:$J$39,5,FALSE),"错误")</f>
        <v>6340</v>
      </c>
      <c r="W233" s="3" t="str">
        <f t="shared" si="15"/>
        <v/>
      </c>
      <c r="X233" s="4" t="str">
        <f t="shared" si="16"/>
        <v/>
      </c>
      <c r="Y233" s="4" t="str">
        <f t="shared" si="17"/>
        <v/>
      </c>
      <c r="Z233" s="5">
        <f t="shared" si="18"/>
        <v>1.42</v>
      </c>
      <c r="AA233" s="6">
        <f t="shared" si="19"/>
        <v>5</v>
      </c>
      <c r="AB233" t="str">
        <f>IFERROR(F233&amp;"*"&amp;ROUND(L233*(G233/(G233+I233+K233))/VLOOKUP(F233,商品!$A$4:$D$67,4,FALSE),0),"")</f>
        <v/>
      </c>
      <c r="AC233" t="str">
        <f>IFERROR(H233&amp;"*"&amp;ROUND(L233*(I233/(G233+I233+K233))/VLOOKUP(H233,商品!$A$4:$D$67,4,FALSE),0),"")</f>
        <v/>
      </c>
      <c r="AD233" t="str">
        <f>IFERROR(J233&amp;"*"&amp;ROUND(L233*(K233/(G233+I233+K233))/VLOOKUP(J233,商品!$A$4:$D$67,4,FALSE),0),"")</f>
        <v/>
      </c>
      <c r="AE233" t="str">
        <f>IFERROR(M233&amp;"*"&amp;ROUND(Q233*(N233/(N233+P233))/VLOOKUP(M233,职业!$A$3:$E$16,4,FALSE),0),"")</f>
        <v/>
      </c>
      <c r="AF233" t="str">
        <f>IFERROR(O233&amp;"*"&amp;ROUND(Q233*(P233/(N233+P233))/VLOOKUP(O233,职业!$A$3:$E$16,4,FALSE),0),"")</f>
        <v/>
      </c>
      <c r="AG233" t="str">
        <f>IFERROR(R233&amp;"*"&amp;ROUND(V233*(S233/(S233+U233))/VLOOKUP(R233,商品!$A$4:$D$67,4,FALSE),0),"")</f>
        <v/>
      </c>
      <c r="AH233" t="str">
        <f>IFERROR(T233&amp;"*"&amp;ROUND(V233*(U233/(S233+U233))/VLOOKUP(T233,商品!$A$4:$D$67,4,FALSE),0),"")</f>
        <v/>
      </c>
    </row>
    <row r="234" customHeight="1" spans="1:34">
      <c r="A234" s="15" t="s">
        <v>328</v>
      </c>
      <c r="C234" s="2">
        <v>1</v>
      </c>
      <c r="D234" s="2" t="s">
        <v>220</v>
      </c>
      <c r="E234" s="2" t="s">
        <v>225</v>
      </c>
      <c r="L234" s="2">
        <f>IFERROR(VLOOKUP($D234&amp;$C234,生产方式定位!$A$2:$E$39,2,FALSE)+VLOOKUP($E234&amp;$C234,生产方式定位!$F$3:$J$39,2,FALSE),0)</f>
        <v>2000</v>
      </c>
      <c r="Q234" s="2">
        <f>IFERROR(VLOOKUP($D234&amp;$C234,生产方式定位!$A$2:$E$39,3,FALSE)+VLOOKUP($E234&amp;$C234,生产方式定位!$F$3:$J$39,3,FALSE),0)</f>
        <v>2000</v>
      </c>
      <c r="V234" s="2">
        <f>IFERROR(VLOOKUP($D234&amp;$C234,生产方式定位!$A$2:$E$39,5,FALSE)+VLOOKUP($E234&amp;$C234,生产方式定位!$F$3:$J$39,5,FALSE),"错误")</f>
        <v>2000</v>
      </c>
      <c r="W234" s="3" t="str">
        <f t="shared" si="15"/>
        <v/>
      </c>
      <c r="X234" s="4" t="str">
        <f t="shared" si="16"/>
        <v/>
      </c>
      <c r="Y234" s="4" t="str">
        <f t="shared" si="17"/>
        <v/>
      </c>
      <c r="Z234" s="5">
        <f t="shared" si="18"/>
        <v>1</v>
      </c>
      <c r="AA234" s="6">
        <f t="shared" si="19"/>
        <v>1</v>
      </c>
      <c r="AB234" t="str">
        <f>IFERROR(F234&amp;"*"&amp;ROUND(L234*(G234/(G234+I234+K234))/VLOOKUP(F234,商品!$A$4:$D$67,4,FALSE),0),"")</f>
        <v/>
      </c>
      <c r="AC234" t="str">
        <f>IFERROR(H234&amp;"*"&amp;ROUND(L234*(I234/(G234+I234+K234))/VLOOKUP(H234,商品!$A$4:$D$67,4,FALSE),0),"")</f>
        <v/>
      </c>
      <c r="AD234" t="str">
        <f>IFERROR(J234&amp;"*"&amp;ROUND(L234*(K234/(G234+I234+K234))/VLOOKUP(J234,商品!$A$4:$D$67,4,FALSE),0),"")</f>
        <v/>
      </c>
      <c r="AE234" t="str">
        <f>IFERROR(M234&amp;"*"&amp;ROUND(Q234*(N234/(N234+P234))/VLOOKUP(M234,职业!$A$3:$E$16,4,FALSE),0),"")</f>
        <v/>
      </c>
      <c r="AF234" t="str">
        <f>IFERROR(O234&amp;"*"&amp;ROUND(Q234*(P234/(N234+P234))/VLOOKUP(O234,职业!$A$3:$E$16,4,FALSE),0),"")</f>
        <v/>
      </c>
      <c r="AG234" t="str">
        <f>IFERROR(R234&amp;"*"&amp;ROUND(V234*(S234/(S234+U234))/VLOOKUP(R234,商品!$A$4:$D$67,4,FALSE),0),"")</f>
        <v/>
      </c>
      <c r="AH234" t="str">
        <f>IFERROR(T234&amp;"*"&amp;ROUND(V234*(U234/(S234+U234))/VLOOKUP(T234,商品!$A$4:$D$67,4,FALSE),0),"")</f>
        <v/>
      </c>
    </row>
    <row r="235" customHeight="1" spans="1:34">
      <c r="A235" s="15" t="s">
        <v>328</v>
      </c>
      <c r="C235" s="2">
        <v>2</v>
      </c>
      <c r="D235" s="2" t="s">
        <v>220</v>
      </c>
      <c r="E235" s="2" t="s">
        <v>225</v>
      </c>
      <c r="L235" s="2">
        <f>IFERROR(VLOOKUP($D235&amp;$C235,生产方式定位!$A$2:$E$39,2,FALSE)+VLOOKUP($E235&amp;$C235,生产方式定位!$F$3:$J$39,2,FALSE),0)</f>
        <v>2500</v>
      </c>
      <c r="Q235" s="2">
        <f>IFERROR(VLOOKUP($D235&amp;$C235,生产方式定位!$A$2:$E$39,3,FALSE)+VLOOKUP($E235&amp;$C235,生产方式定位!$F$3:$J$39,3,FALSE),0)</f>
        <v>2200</v>
      </c>
      <c r="V235" s="2">
        <f>IFERROR(VLOOKUP($D235&amp;$C235,生产方式定位!$A$2:$E$39,5,FALSE)+VLOOKUP($E235&amp;$C235,生产方式定位!$F$3:$J$39,5,FALSE),"错误")</f>
        <v>2350</v>
      </c>
      <c r="W235" s="3" t="str">
        <f t="shared" si="15"/>
        <v/>
      </c>
      <c r="X235" s="4" t="str">
        <f t="shared" si="16"/>
        <v/>
      </c>
      <c r="Y235" s="4" t="str">
        <f t="shared" si="17"/>
        <v/>
      </c>
      <c r="Z235" s="5">
        <f t="shared" si="18"/>
        <v>1.06</v>
      </c>
      <c r="AA235" s="6">
        <f t="shared" si="19"/>
        <v>2</v>
      </c>
      <c r="AB235" t="str">
        <f>IFERROR(F235&amp;"*"&amp;ROUND(L235*(G235/(G235+I235+K235))/VLOOKUP(F235,商品!$A$4:$D$67,4,FALSE),0),"")</f>
        <v/>
      </c>
      <c r="AC235" t="str">
        <f>IFERROR(H235&amp;"*"&amp;ROUND(L235*(I235/(G235+I235+K235))/VLOOKUP(H235,商品!$A$4:$D$67,4,FALSE),0),"")</f>
        <v/>
      </c>
      <c r="AD235" t="str">
        <f>IFERROR(J235&amp;"*"&amp;ROUND(L235*(K235/(G235+I235+K235))/VLOOKUP(J235,商品!$A$4:$D$67,4,FALSE),0),"")</f>
        <v/>
      </c>
      <c r="AE235" t="str">
        <f>IFERROR(M235&amp;"*"&amp;ROUND(Q235*(N235/(N235+P235))/VLOOKUP(M235,职业!$A$3:$E$16,4,FALSE),0),"")</f>
        <v/>
      </c>
      <c r="AF235" t="str">
        <f>IFERROR(O235&amp;"*"&amp;ROUND(Q235*(P235/(N235+P235))/VLOOKUP(O235,职业!$A$3:$E$16,4,FALSE),0),"")</f>
        <v/>
      </c>
      <c r="AG235" t="str">
        <f>IFERROR(R235&amp;"*"&amp;ROUND(V235*(S235/(S235+U235))/VLOOKUP(R235,商品!$A$4:$D$67,4,FALSE),0),"")</f>
        <v/>
      </c>
      <c r="AH235" t="str">
        <f>IFERROR(T235&amp;"*"&amp;ROUND(V235*(U235/(S235+U235))/VLOOKUP(T235,商品!$A$4:$D$67,4,FALSE),0),"")</f>
        <v/>
      </c>
    </row>
    <row r="236" customHeight="1" spans="1:34">
      <c r="A236" s="15" t="s">
        <v>328</v>
      </c>
      <c r="C236" s="2">
        <v>3</v>
      </c>
      <c r="D236" s="2" t="s">
        <v>220</v>
      </c>
      <c r="E236" s="2" t="s">
        <v>225</v>
      </c>
      <c r="L236" s="2">
        <f>IFERROR(VLOOKUP($D236&amp;$C236,生产方式定位!$A$2:$E$39,2,FALSE)+VLOOKUP($E236&amp;$C236,生产方式定位!$F$3:$J$39,2,FALSE),0)</f>
        <v>3000</v>
      </c>
      <c r="Q236" s="2">
        <f>IFERROR(VLOOKUP($D236&amp;$C236,生产方式定位!$A$2:$E$39,3,FALSE)+VLOOKUP($E236&amp;$C236,生产方式定位!$F$3:$J$39,3,FALSE),0)</f>
        <v>2400</v>
      </c>
      <c r="V236" s="2">
        <f>IFERROR(VLOOKUP($D236&amp;$C236,生产方式定位!$A$2:$E$39,5,FALSE)+VLOOKUP($E236&amp;$C236,生产方式定位!$F$3:$J$39,5,FALSE),"错误")</f>
        <v>2700</v>
      </c>
      <c r="W236" s="3" t="str">
        <f t="shared" si="15"/>
        <v/>
      </c>
      <c r="X236" s="4" t="str">
        <f t="shared" si="16"/>
        <v/>
      </c>
      <c r="Y236" s="4" t="str">
        <f t="shared" si="17"/>
        <v/>
      </c>
      <c r="Z236" s="5">
        <f t="shared" si="18"/>
        <v>1.11</v>
      </c>
      <c r="AA236" s="6">
        <f t="shared" si="19"/>
        <v>3</v>
      </c>
      <c r="AB236" t="str">
        <f>IFERROR(F236&amp;"*"&amp;ROUND(L236*(G236/(G236+I236+K236))/VLOOKUP(F236,商品!$A$4:$D$67,4,FALSE),0),"")</f>
        <v/>
      </c>
      <c r="AC236" t="str">
        <f>IFERROR(H236&amp;"*"&amp;ROUND(L236*(I236/(G236+I236+K236))/VLOOKUP(H236,商品!$A$4:$D$67,4,FALSE),0),"")</f>
        <v/>
      </c>
      <c r="AD236" t="str">
        <f>IFERROR(J236&amp;"*"&amp;ROUND(L236*(K236/(G236+I236+K236))/VLOOKUP(J236,商品!$A$4:$D$67,4,FALSE),0),"")</f>
        <v/>
      </c>
      <c r="AE236" t="str">
        <f>IFERROR(M236&amp;"*"&amp;ROUND(Q236*(N236/(N236+P236))/VLOOKUP(M236,职业!$A$3:$E$16,4,FALSE),0),"")</f>
        <v/>
      </c>
      <c r="AF236" t="str">
        <f>IFERROR(O236&amp;"*"&amp;ROUND(Q236*(P236/(N236+P236))/VLOOKUP(O236,职业!$A$3:$E$16,4,FALSE),0),"")</f>
        <v/>
      </c>
      <c r="AG236" t="str">
        <f>IFERROR(R236&amp;"*"&amp;ROUND(V236*(S236/(S236+U236))/VLOOKUP(R236,商品!$A$4:$D$67,4,FALSE),0),"")</f>
        <v/>
      </c>
      <c r="AH236" t="str">
        <f>IFERROR(T236&amp;"*"&amp;ROUND(V236*(U236/(S236+U236))/VLOOKUP(T236,商品!$A$4:$D$67,4,FALSE),0),"")</f>
        <v/>
      </c>
    </row>
    <row r="237" customHeight="1" spans="1:34">
      <c r="A237" s="15" t="s">
        <v>328</v>
      </c>
      <c r="C237" s="2">
        <v>4</v>
      </c>
      <c r="D237" s="2" t="s">
        <v>220</v>
      </c>
      <c r="E237" s="2" t="s">
        <v>225</v>
      </c>
      <c r="L237" s="2">
        <f>IFERROR(VLOOKUP($D237&amp;$C237,生产方式定位!$A$2:$E$39,2,FALSE)+VLOOKUP($E237&amp;$C237,生产方式定位!$F$3:$J$39,2,FALSE),0)</f>
        <v>3500</v>
      </c>
      <c r="Q237" s="2">
        <f>IFERROR(VLOOKUP($D237&amp;$C237,生产方式定位!$A$2:$E$39,3,FALSE)+VLOOKUP($E237&amp;$C237,生产方式定位!$F$3:$J$39,3,FALSE),0)</f>
        <v>2600</v>
      </c>
      <c r="V237" s="2">
        <f>IFERROR(VLOOKUP($D237&amp;$C237,生产方式定位!$A$2:$E$39,5,FALSE)+VLOOKUP($E237&amp;$C237,生产方式定位!$F$3:$J$39,5,FALSE),"错误")</f>
        <v>3050</v>
      </c>
      <c r="W237" s="3" t="str">
        <f t="shared" si="15"/>
        <v/>
      </c>
      <c r="X237" s="4" t="str">
        <f t="shared" si="16"/>
        <v/>
      </c>
      <c r="Y237" s="4" t="str">
        <f t="shared" si="17"/>
        <v/>
      </c>
      <c r="Z237" s="5">
        <f t="shared" si="18"/>
        <v>1.15</v>
      </c>
      <c r="AA237" s="6">
        <f t="shared" si="19"/>
        <v>4</v>
      </c>
      <c r="AB237" t="str">
        <f>IFERROR(F237&amp;"*"&amp;ROUND(L237*(G237/(G237+I237+K237))/VLOOKUP(F237,商品!$A$4:$D$67,4,FALSE),0),"")</f>
        <v/>
      </c>
      <c r="AC237" t="str">
        <f>IFERROR(H237&amp;"*"&amp;ROUND(L237*(I237/(G237+I237+K237))/VLOOKUP(H237,商品!$A$4:$D$67,4,FALSE),0),"")</f>
        <v/>
      </c>
      <c r="AD237" t="str">
        <f>IFERROR(J237&amp;"*"&amp;ROUND(L237*(K237/(G237+I237+K237))/VLOOKUP(J237,商品!$A$4:$D$67,4,FALSE),0),"")</f>
        <v/>
      </c>
      <c r="AE237" t="str">
        <f>IFERROR(M237&amp;"*"&amp;ROUND(Q237*(N237/(N237+P237))/VLOOKUP(M237,职业!$A$3:$E$16,4,FALSE),0),"")</f>
        <v/>
      </c>
      <c r="AF237" t="str">
        <f>IFERROR(O237&amp;"*"&amp;ROUND(Q237*(P237/(N237+P237))/VLOOKUP(O237,职业!$A$3:$E$16,4,FALSE),0),"")</f>
        <v/>
      </c>
      <c r="AG237" t="str">
        <f>IFERROR(R237&amp;"*"&amp;ROUND(V237*(S237/(S237+U237))/VLOOKUP(R237,商品!$A$4:$D$67,4,FALSE),0),"")</f>
        <v/>
      </c>
      <c r="AH237" t="str">
        <f>IFERROR(T237&amp;"*"&amp;ROUND(V237*(U237/(S237+U237))/VLOOKUP(T237,商品!$A$4:$D$67,4,FALSE),0),"")</f>
        <v/>
      </c>
    </row>
    <row r="238" customHeight="1" spans="1:34">
      <c r="A238" s="15" t="s">
        <v>328</v>
      </c>
      <c r="C238" s="2">
        <v>5</v>
      </c>
      <c r="D238" s="2" t="s">
        <v>220</v>
      </c>
      <c r="E238" s="2" t="s">
        <v>225</v>
      </c>
      <c r="L238" s="2">
        <f>IFERROR(VLOOKUP($D238&amp;$C238,生产方式定位!$A$2:$E$39,2,FALSE)+VLOOKUP($E238&amp;$C238,生产方式定位!$F$3:$J$39,2,FALSE),0)</f>
        <v>4000</v>
      </c>
      <c r="Q238" s="2">
        <f>IFERROR(VLOOKUP($D238&amp;$C238,生产方式定位!$A$2:$E$39,3,FALSE)+VLOOKUP($E238&amp;$C238,生产方式定位!$F$3:$J$39,3,FALSE),0)</f>
        <v>2800</v>
      </c>
      <c r="V238" s="2">
        <f>IFERROR(VLOOKUP($D238&amp;$C238,生产方式定位!$A$2:$E$39,5,FALSE)+VLOOKUP($E238&amp;$C238,生产方式定位!$F$3:$J$39,5,FALSE),"错误")</f>
        <v>3400</v>
      </c>
      <c r="W238" s="3" t="str">
        <f t="shared" si="15"/>
        <v/>
      </c>
      <c r="X238" s="4" t="str">
        <f t="shared" si="16"/>
        <v/>
      </c>
      <c r="Y238" s="4" t="str">
        <f t="shared" si="17"/>
        <v/>
      </c>
      <c r="Z238" s="5">
        <f t="shared" si="18"/>
        <v>1.18</v>
      </c>
      <c r="AA238" s="6">
        <f t="shared" si="19"/>
        <v>5</v>
      </c>
      <c r="AB238" t="str">
        <f>IFERROR(F238&amp;"*"&amp;ROUND(L238*(G238/(G238+I238+K238))/VLOOKUP(F238,商品!$A$4:$D$67,4,FALSE),0),"")</f>
        <v/>
      </c>
      <c r="AC238" t="str">
        <f>IFERROR(H238&amp;"*"&amp;ROUND(L238*(I238/(G238+I238+K238))/VLOOKUP(H238,商品!$A$4:$D$67,4,FALSE),0),"")</f>
        <v/>
      </c>
      <c r="AD238" t="str">
        <f>IFERROR(J238&amp;"*"&amp;ROUND(L238*(K238/(G238+I238+K238))/VLOOKUP(J238,商品!$A$4:$D$67,4,FALSE),0),"")</f>
        <v/>
      </c>
      <c r="AE238" t="str">
        <f>IFERROR(M238&amp;"*"&amp;ROUND(Q238*(N238/(N238+P238))/VLOOKUP(M238,职业!$A$3:$E$16,4,FALSE),0),"")</f>
        <v/>
      </c>
      <c r="AF238" t="str">
        <f>IFERROR(O238&amp;"*"&amp;ROUND(Q238*(P238/(N238+P238))/VLOOKUP(O238,职业!$A$3:$E$16,4,FALSE),0),"")</f>
        <v/>
      </c>
      <c r="AG238" t="str">
        <f>IFERROR(R238&amp;"*"&amp;ROUND(V238*(S238/(S238+U238))/VLOOKUP(R238,商品!$A$4:$D$67,4,FALSE),0),"")</f>
        <v/>
      </c>
      <c r="AH238" t="str">
        <f>IFERROR(T238&amp;"*"&amp;ROUND(V238*(U238/(S238+U238))/VLOOKUP(T238,商品!$A$4:$D$67,4,FALSE),0),"")</f>
        <v/>
      </c>
    </row>
    <row r="239" customHeight="1" spans="1:34">
      <c r="A239" s="15" t="s">
        <v>328</v>
      </c>
      <c r="C239" s="2">
        <v>1</v>
      </c>
      <c r="D239" s="2" t="s">
        <v>220</v>
      </c>
      <c r="E239" s="2" t="s">
        <v>225</v>
      </c>
      <c r="L239" s="2">
        <f>IFERROR(VLOOKUP($D239&amp;$C239,生产方式定位!$A$2:$E$39,2,FALSE)+VLOOKUP($E239&amp;$C239,生产方式定位!$F$3:$J$39,2,FALSE),0)</f>
        <v>2000</v>
      </c>
      <c r="Q239" s="2">
        <f>IFERROR(VLOOKUP($D239&amp;$C239,生产方式定位!$A$2:$E$39,3,FALSE)+VLOOKUP($E239&amp;$C239,生产方式定位!$F$3:$J$39,3,FALSE),0)</f>
        <v>2000</v>
      </c>
      <c r="V239" s="2">
        <f>IFERROR(VLOOKUP($D239&amp;$C239,生产方式定位!$A$2:$E$39,5,FALSE)+VLOOKUP($E239&amp;$C239,生产方式定位!$F$3:$J$39,5,FALSE),"错误")</f>
        <v>2000</v>
      </c>
      <c r="W239" s="3" t="str">
        <f t="shared" si="15"/>
        <v/>
      </c>
      <c r="X239" s="4" t="str">
        <f t="shared" si="16"/>
        <v/>
      </c>
      <c r="Y239" s="4" t="str">
        <f t="shared" si="17"/>
        <v/>
      </c>
      <c r="Z239" s="5">
        <f t="shared" si="18"/>
        <v>1</v>
      </c>
      <c r="AA239" s="6">
        <f t="shared" si="19"/>
        <v>1</v>
      </c>
      <c r="AB239" t="str">
        <f>IFERROR(F239&amp;"*"&amp;ROUND(L239*(G239/(G239+I239+K239))/VLOOKUP(F239,商品!$A$4:$D$67,4,FALSE),0),"")</f>
        <v/>
      </c>
      <c r="AC239" t="str">
        <f>IFERROR(H239&amp;"*"&amp;ROUND(L239*(I239/(G239+I239+K239))/VLOOKUP(H239,商品!$A$4:$D$67,4,FALSE),0),"")</f>
        <v/>
      </c>
      <c r="AD239" t="str">
        <f>IFERROR(J239&amp;"*"&amp;ROUND(L239*(K239/(G239+I239+K239))/VLOOKUP(J239,商品!$A$4:$D$67,4,FALSE),0),"")</f>
        <v/>
      </c>
      <c r="AE239" t="str">
        <f>IFERROR(M239&amp;"*"&amp;ROUND(Q239*(N239/(N239+P239))/VLOOKUP(M239,职业!$A$3:$E$16,4,FALSE),0),"")</f>
        <v/>
      </c>
      <c r="AF239" t="str">
        <f>IFERROR(O239&amp;"*"&amp;ROUND(Q239*(P239/(N239+P239))/VLOOKUP(O239,职业!$A$3:$E$16,4,FALSE),0),"")</f>
        <v/>
      </c>
      <c r="AG239" t="str">
        <f>IFERROR(R239&amp;"*"&amp;ROUND(V239*(S239/(S239+U239))/VLOOKUP(R239,商品!$A$4:$D$67,4,FALSE),0),"")</f>
        <v/>
      </c>
      <c r="AH239" t="str">
        <f>IFERROR(T239&amp;"*"&amp;ROUND(V239*(U239/(S239+U239))/VLOOKUP(T239,商品!$A$4:$D$67,4,FALSE),0),"")</f>
        <v/>
      </c>
    </row>
    <row r="240" customHeight="1" spans="1:34">
      <c r="A240" s="15" t="s">
        <v>328</v>
      </c>
      <c r="C240" s="2">
        <v>2</v>
      </c>
      <c r="D240" s="2" t="s">
        <v>220</v>
      </c>
      <c r="E240" s="2" t="s">
        <v>225</v>
      </c>
      <c r="L240" s="2">
        <f>IFERROR(VLOOKUP($D240&amp;$C240,生产方式定位!$A$2:$E$39,2,FALSE)+VLOOKUP($E240&amp;$C240,生产方式定位!$F$3:$J$39,2,FALSE),0)</f>
        <v>2500</v>
      </c>
      <c r="Q240" s="2">
        <f>IFERROR(VLOOKUP($D240&amp;$C240,生产方式定位!$A$2:$E$39,3,FALSE)+VLOOKUP($E240&amp;$C240,生产方式定位!$F$3:$J$39,3,FALSE),0)</f>
        <v>2200</v>
      </c>
      <c r="V240" s="2">
        <f>IFERROR(VLOOKUP($D240&amp;$C240,生产方式定位!$A$2:$E$39,5,FALSE)+VLOOKUP($E240&amp;$C240,生产方式定位!$F$3:$J$39,5,FALSE),"错误")</f>
        <v>2350</v>
      </c>
      <c r="W240" s="3" t="str">
        <f t="shared" si="15"/>
        <v/>
      </c>
      <c r="X240" s="4" t="str">
        <f t="shared" si="16"/>
        <v/>
      </c>
      <c r="Y240" s="4" t="str">
        <f t="shared" si="17"/>
        <v/>
      </c>
      <c r="Z240" s="5">
        <f t="shared" si="18"/>
        <v>1.06</v>
      </c>
      <c r="AA240" s="6">
        <f t="shared" si="19"/>
        <v>2</v>
      </c>
      <c r="AB240" t="str">
        <f>IFERROR(F240&amp;"*"&amp;ROUND(L240*(G240/(G240+I240+K240))/VLOOKUP(F240,商品!$A$4:$D$67,4,FALSE),0),"")</f>
        <v/>
      </c>
      <c r="AC240" t="str">
        <f>IFERROR(H240&amp;"*"&amp;ROUND(L240*(I240/(G240+I240+K240))/VLOOKUP(H240,商品!$A$4:$D$67,4,FALSE),0),"")</f>
        <v/>
      </c>
      <c r="AD240" t="str">
        <f>IFERROR(J240&amp;"*"&amp;ROUND(L240*(K240/(G240+I240+K240))/VLOOKUP(J240,商品!$A$4:$D$67,4,FALSE),0),"")</f>
        <v/>
      </c>
      <c r="AE240" t="str">
        <f>IFERROR(M240&amp;"*"&amp;ROUND(Q240*(N240/(N240+P240))/VLOOKUP(M240,职业!$A$3:$E$16,4,FALSE),0),"")</f>
        <v/>
      </c>
      <c r="AF240" t="str">
        <f>IFERROR(O240&amp;"*"&amp;ROUND(Q240*(P240/(N240+P240))/VLOOKUP(O240,职业!$A$3:$E$16,4,FALSE),0),"")</f>
        <v/>
      </c>
      <c r="AG240" t="str">
        <f>IFERROR(R240&amp;"*"&amp;ROUND(V240*(S240/(S240+U240))/VLOOKUP(R240,商品!$A$4:$D$67,4,FALSE),0),"")</f>
        <v/>
      </c>
      <c r="AH240" t="str">
        <f>IFERROR(T240&amp;"*"&amp;ROUND(V240*(U240/(S240+U240))/VLOOKUP(T240,商品!$A$4:$D$67,4,FALSE),0),"")</f>
        <v/>
      </c>
    </row>
    <row r="241" customHeight="1" spans="1:34">
      <c r="A241" s="15" t="s">
        <v>328</v>
      </c>
      <c r="C241" s="2">
        <v>3</v>
      </c>
      <c r="D241" s="2" t="s">
        <v>220</v>
      </c>
      <c r="E241" s="2" t="s">
        <v>225</v>
      </c>
      <c r="L241" s="2">
        <f>IFERROR(VLOOKUP($D241&amp;$C241,生产方式定位!$A$2:$E$39,2,FALSE)+VLOOKUP($E241&amp;$C241,生产方式定位!$F$3:$J$39,2,FALSE),0)</f>
        <v>3000</v>
      </c>
      <c r="Q241" s="2">
        <f>IFERROR(VLOOKUP($D241&amp;$C241,生产方式定位!$A$2:$E$39,3,FALSE)+VLOOKUP($E241&amp;$C241,生产方式定位!$F$3:$J$39,3,FALSE),0)</f>
        <v>2400</v>
      </c>
      <c r="V241" s="2">
        <f>IFERROR(VLOOKUP($D241&amp;$C241,生产方式定位!$A$2:$E$39,5,FALSE)+VLOOKUP($E241&amp;$C241,生产方式定位!$F$3:$J$39,5,FALSE),"错误")</f>
        <v>2700</v>
      </c>
      <c r="W241" s="3" t="str">
        <f t="shared" si="15"/>
        <v/>
      </c>
      <c r="X241" s="4" t="str">
        <f t="shared" si="16"/>
        <v/>
      </c>
      <c r="Y241" s="4" t="str">
        <f t="shared" si="17"/>
        <v/>
      </c>
      <c r="Z241" s="5">
        <f t="shared" si="18"/>
        <v>1.11</v>
      </c>
      <c r="AA241" s="6">
        <f t="shared" si="19"/>
        <v>3</v>
      </c>
      <c r="AB241" t="str">
        <f>IFERROR(F241&amp;"*"&amp;ROUND(L241*(G241/(G241+I241+K241))/VLOOKUP(F241,商品!$A$4:$D$67,4,FALSE),0),"")</f>
        <v/>
      </c>
      <c r="AC241" t="str">
        <f>IFERROR(H241&amp;"*"&amp;ROUND(L241*(I241/(G241+I241+K241))/VLOOKUP(H241,商品!$A$4:$D$67,4,FALSE),0),"")</f>
        <v/>
      </c>
      <c r="AD241" t="str">
        <f>IFERROR(J241&amp;"*"&amp;ROUND(L241*(K241/(G241+I241+K241))/VLOOKUP(J241,商品!$A$4:$D$67,4,FALSE),0),"")</f>
        <v/>
      </c>
      <c r="AE241" t="str">
        <f>IFERROR(M241&amp;"*"&amp;ROUND(Q241*(N241/(N241+P241))/VLOOKUP(M241,职业!$A$3:$E$16,4,FALSE),0),"")</f>
        <v/>
      </c>
      <c r="AF241" t="str">
        <f>IFERROR(O241&amp;"*"&amp;ROUND(Q241*(P241/(N241+P241))/VLOOKUP(O241,职业!$A$3:$E$16,4,FALSE),0),"")</f>
        <v/>
      </c>
      <c r="AG241" t="str">
        <f>IFERROR(R241&amp;"*"&amp;ROUND(V241*(S241/(S241+U241))/VLOOKUP(R241,商品!$A$4:$D$67,4,FALSE),0),"")</f>
        <v/>
      </c>
      <c r="AH241" t="str">
        <f>IFERROR(T241&amp;"*"&amp;ROUND(V241*(U241/(S241+U241))/VLOOKUP(T241,商品!$A$4:$D$67,4,FALSE),0),"")</f>
        <v/>
      </c>
    </row>
    <row r="242" customHeight="1" spans="1:34">
      <c r="A242" s="14" t="s">
        <v>330</v>
      </c>
      <c r="C242" s="2">
        <v>4</v>
      </c>
      <c r="D242" s="2" t="s">
        <v>220</v>
      </c>
      <c r="E242" s="2" t="s">
        <v>222</v>
      </c>
      <c r="L242" s="2">
        <f>IFERROR(VLOOKUP($D242&amp;$C242,生产方式定位!$A$2:$E$39,2,FALSE)+VLOOKUP($E242&amp;$C242,生产方式定位!$F$3:$J$39,2,FALSE),0)</f>
        <v>6500</v>
      </c>
      <c r="Q242" s="2">
        <f>IFERROR(VLOOKUP($D242&amp;$C242,生产方式定位!$A$2:$E$39,3,FALSE)+VLOOKUP($E242&amp;$C242,生产方式定位!$F$3:$J$39,3,FALSE),0)</f>
        <v>3200</v>
      </c>
      <c r="V242" s="2">
        <f>IFERROR(VLOOKUP($D242&amp;$C242,生产方式定位!$A$2:$E$39,5,FALSE)+VLOOKUP($E242&amp;$C242,生产方式定位!$F$3:$J$39,5,FALSE),"错误")</f>
        <v>5498</v>
      </c>
      <c r="W242" s="3" t="str">
        <f t="shared" si="15"/>
        <v/>
      </c>
      <c r="X242" s="4" t="str">
        <f t="shared" si="16"/>
        <v/>
      </c>
      <c r="Y242" s="4" t="str">
        <f t="shared" si="17"/>
        <v/>
      </c>
      <c r="Z242" s="5">
        <f t="shared" si="18"/>
        <v>1.18</v>
      </c>
      <c r="AA242" s="6">
        <f t="shared" si="19"/>
        <v>4</v>
      </c>
      <c r="AB242" t="str">
        <f>IFERROR(F242&amp;"*"&amp;ROUND(L242*(G242/(G242+I242+K242))/VLOOKUP(F242,商品!$A$4:$D$67,4,FALSE),0),"")</f>
        <v/>
      </c>
      <c r="AC242" t="str">
        <f>IFERROR(H242&amp;"*"&amp;ROUND(L242*(I242/(G242+I242+K242))/VLOOKUP(H242,商品!$A$4:$D$67,4,FALSE),0),"")</f>
        <v/>
      </c>
      <c r="AD242" t="str">
        <f>IFERROR(J242&amp;"*"&amp;ROUND(L242*(K242/(G242+I242+K242))/VLOOKUP(J242,商品!$A$4:$D$67,4,FALSE),0),"")</f>
        <v/>
      </c>
      <c r="AE242" t="str">
        <f>IFERROR(M242&amp;"*"&amp;ROUND(Q242*(N242/(N242+P242))/VLOOKUP(M242,职业!$A$3:$E$16,4,FALSE),0),"")</f>
        <v/>
      </c>
      <c r="AF242" t="str">
        <f>IFERROR(O242&amp;"*"&amp;ROUND(Q242*(P242/(N242+P242))/VLOOKUP(O242,职业!$A$3:$E$16,4,FALSE),0),"")</f>
        <v/>
      </c>
      <c r="AG242" t="str">
        <f>IFERROR(R242&amp;"*"&amp;ROUND(V242*(S242/(S242+U242))/VLOOKUP(R242,商品!$A$4:$D$67,4,FALSE),0),"")</f>
        <v/>
      </c>
      <c r="AH242" t="str">
        <f>IFERROR(T242&amp;"*"&amp;ROUND(V242*(U242/(S242+U242))/VLOOKUP(T242,商品!$A$4:$D$67,4,FALSE),0),"")</f>
        <v/>
      </c>
    </row>
    <row r="243" customHeight="1" spans="1:34">
      <c r="A243" s="14" t="s">
        <v>330</v>
      </c>
      <c r="C243" s="2">
        <v>5</v>
      </c>
      <c r="D243" s="2" t="s">
        <v>220</v>
      </c>
      <c r="E243" s="2" t="s">
        <v>222</v>
      </c>
      <c r="L243" s="2">
        <f>IFERROR(VLOOKUP($D243&amp;$C243,生产方式定位!$A$2:$E$39,2,FALSE)+VLOOKUP($E243&amp;$C243,生产方式定位!$F$3:$J$39,2,FALSE),0)</f>
        <v>8000</v>
      </c>
      <c r="Q243" s="2">
        <f>IFERROR(VLOOKUP($D243&amp;$C243,生产方式定位!$A$2:$E$39,3,FALSE)+VLOOKUP($E243&amp;$C243,生产方式定位!$F$3:$J$39,3,FALSE),0)</f>
        <v>3600</v>
      </c>
      <c r="V243" s="2">
        <f>IFERROR(VLOOKUP($D243&amp;$C243,生产方式定位!$A$2:$E$39,5,FALSE)+VLOOKUP($E243&amp;$C243,生产方式定位!$F$3:$J$39,5,FALSE),"错误")</f>
        <v>7000</v>
      </c>
      <c r="W243" s="3" t="str">
        <f t="shared" si="15"/>
        <v/>
      </c>
      <c r="X243" s="4" t="str">
        <f t="shared" si="16"/>
        <v/>
      </c>
      <c r="Y243" s="4" t="str">
        <f t="shared" si="17"/>
        <v/>
      </c>
      <c r="Z243" s="5">
        <f t="shared" si="18"/>
        <v>1.14</v>
      </c>
      <c r="AA243" s="6">
        <f t="shared" si="19"/>
        <v>5</v>
      </c>
      <c r="AB243" t="str">
        <f>IFERROR(F243&amp;"*"&amp;ROUND(L243*(G243/(G243+I243+K243))/VLOOKUP(F243,商品!$A$4:$D$67,4,FALSE),0),"")</f>
        <v/>
      </c>
      <c r="AC243" t="str">
        <f>IFERROR(H243&amp;"*"&amp;ROUND(L243*(I243/(G243+I243+K243))/VLOOKUP(H243,商品!$A$4:$D$67,4,FALSE),0),"")</f>
        <v/>
      </c>
      <c r="AD243" t="str">
        <f>IFERROR(J243&amp;"*"&amp;ROUND(L243*(K243/(G243+I243+K243))/VLOOKUP(J243,商品!$A$4:$D$67,4,FALSE),0),"")</f>
        <v/>
      </c>
      <c r="AE243" t="str">
        <f>IFERROR(M243&amp;"*"&amp;ROUND(Q243*(N243/(N243+P243))/VLOOKUP(M243,职业!$A$3:$E$16,4,FALSE),0),"")</f>
        <v/>
      </c>
      <c r="AF243" t="str">
        <f>IFERROR(O243&amp;"*"&amp;ROUND(Q243*(P243/(N243+P243))/VLOOKUP(O243,职业!$A$3:$E$16,4,FALSE),0),"")</f>
        <v/>
      </c>
      <c r="AG243" t="str">
        <f>IFERROR(R243&amp;"*"&amp;ROUND(V243*(S243/(S243+U243))/VLOOKUP(R243,商品!$A$4:$D$67,4,FALSE),0),"")</f>
        <v/>
      </c>
      <c r="AH243" t="str">
        <f>IFERROR(T243&amp;"*"&amp;ROUND(V243*(U243/(S243+U243))/VLOOKUP(T243,商品!$A$4:$D$67,4,FALSE),0),"")</f>
        <v/>
      </c>
    </row>
    <row r="244" customHeight="1" spans="1:34">
      <c r="A244" s="14" t="s">
        <v>330</v>
      </c>
      <c r="C244" s="2">
        <v>1</v>
      </c>
      <c r="D244" s="2" t="s">
        <v>220</v>
      </c>
      <c r="E244" s="2" t="s">
        <v>222</v>
      </c>
      <c r="L244" s="2">
        <f>IFERROR(VLOOKUP($D244&amp;$C244,生产方式定位!$A$2:$E$39,2,FALSE)+VLOOKUP($E244&amp;$C244,生产方式定位!$F$3:$J$39,2,FALSE),0)</f>
        <v>2000</v>
      </c>
      <c r="Q244" s="2">
        <f>IFERROR(VLOOKUP($D244&amp;$C244,生产方式定位!$A$2:$E$39,3,FALSE)+VLOOKUP($E244&amp;$C244,生产方式定位!$F$3:$J$39,3,FALSE),0)</f>
        <v>2000</v>
      </c>
      <c r="V244" s="2">
        <f>IFERROR(VLOOKUP($D244&amp;$C244,生产方式定位!$A$2:$E$39,5,FALSE)+VLOOKUP($E244&amp;$C244,生产方式定位!$F$3:$J$39,5,FALSE),"错误")</f>
        <v>2000</v>
      </c>
      <c r="W244" s="3" t="str">
        <f t="shared" si="15"/>
        <v/>
      </c>
      <c r="X244" s="4" t="str">
        <f t="shared" si="16"/>
        <v/>
      </c>
      <c r="Y244" s="4" t="str">
        <f t="shared" si="17"/>
        <v/>
      </c>
      <c r="Z244" s="5">
        <f t="shared" si="18"/>
        <v>1</v>
      </c>
      <c r="AA244" s="6">
        <f t="shared" si="19"/>
        <v>1</v>
      </c>
      <c r="AB244" t="str">
        <f>IFERROR(F244&amp;"*"&amp;ROUND(L244*(G244/(G244+I244+K244))/VLOOKUP(F244,商品!$A$4:$D$67,4,FALSE),0),"")</f>
        <v/>
      </c>
      <c r="AC244" t="str">
        <f>IFERROR(H244&amp;"*"&amp;ROUND(L244*(I244/(G244+I244+K244))/VLOOKUP(H244,商品!$A$4:$D$67,4,FALSE),0),"")</f>
        <v/>
      </c>
      <c r="AD244" t="str">
        <f>IFERROR(J244&amp;"*"&amp;ROUND(L244*(K244/(G244+I244+K244))/VLOOKUP(J244,商品!$A$4:$D$67,4,FALSE),0),"")</f>
        <v/>
      </c>
      <c r="AE244" t="str">
        <f>IFERROR(M244&amp;"*"&amp;ROUND(Q244*(N244/(N244+P244))/VLOOKUP(M244,职业!$A$3:$E$16,4,FALSE),0),"")</f>
        <v/>
      </c>
      <c r="AF244" t="str">
        <f>IFERROR(O244&amp;"*"&amp;ROUND(Q244*(P244/(N244+P244))/VLOOKUP(O244,职业!$A$3:$E$16,4,FALSE),0),"")</f>
        <v/>
      </c>
      <c r="AG244" t="str">
        <f>IFERROR(R244&amp;"*"&amp;ROUND(V244*(S244/(S244+U244))/VLOOKUP(R244,商品!$A$4:$D$67,4,FALSE),0),"")</f>
        <v/>
      </c>
      <c r="AH244" t="str">
        <f>IFERROR(T244&amp;"*"&amp;ROUND(V244*(U244/(S244+U244))/VLOOKUP(T244,商品!$A$4:$D$67,4,FALSE),0),"")</f>
        <v/>
      </c>
    </row>
    <row r="245" customHeight="1" spans="1:34">
      <c r="A245" s="14" t="s">
        <v>330</v>
      </c>
      <c r="C245" s="2">
        <v>2</v>
      </c>
      <c r="D245" s="2" t="s">
        <v>220</v>
      </c>
      <c r="E245" s="2" t="s">
        <v>222</v>
      </c>
      <c r="L245" s="2">
        <f>IFERROR(VLOOKUP($D245&amp;$C245,生产方式定位!$A$2:$E$39,2,FALSE)+VLOOKUP($E245&amp;$C245,生产方式定位!$F$3:$J$39,2,FALSE),0)</f>
        <v>3500</v>
      </c>
      <c r="Q245" s="2">
        <f>IFERROR(VLOOKUP($D245&amp;$C245,生产方式定位!$A$2:$E$39,3,FALSE)+VLOOKUP($E245&amp;$C245,生产方式定位!$F$3:$J$39,3,FALSE),0)</f>
        <v>2400</v>
      </c>
      <c r="V245" s="2">
        <f>IFERROR(VLOOKUP($D245&amp;$C245,生产方式定位!$A$2:$E$39,5,FALSE)+VLOOKUP($E245&amp;$C245,生产方式定位!$F$3:$J$39,5,FALSE),"错误")</f>
        <v>3022</v>
      </c>
      <c r="W245" s="3" t="str">
        <f t="shared" si="15"/>
        <v/>
      </c>
      <c r="X245" s="4" t="str">
        <f t="shared" si="16"/>
        <v/>
      </c>
      <c r="Y245" s="4" t="str">
        <f t="shared" si="17"/>
        <v/>
      </c>
      <c r="Z245" s="5">
        <f t="shared" si="18"/>
        <v>1.16</v>
      </c>
      <c r="AA245" s="6">
        <f t="shared" si="19"/>
        <v>2</v>
      </c>
      <c r="AB245" t="str">
        <f>IFERROR(F245&amp;"*"&amp;ROUND(L245*(G245/(G245+I245+K245))/VLOOKUP(F245,商品!$A$4:$D$67,4,FALSE),0),"")</f>
        <v/>
      </c>
      <c r="AC245" t="str">
        <f>IFERROR(H245&amp;"*"&amp;ROUND(L245*(I245/(G245+I245+K245))/VLOOKUP(H245,商品!$A$4:$D$67,4,FALSE),0),"")</f>
        <v/>
      </c>
      <c r="AD245" t="str">
        <f>IFERROR(J245&amp;"*"&amp;ROUND(L245*(K245/(G245+I245+K245))/VLOOKUP(J245,商品!$A$4:$D$67,4,FALSE),0),"")</f>
        <v/>
      </c>
      <c r="AE245" t="str">
        <f>IFERROR(M245&amp;"*"&amp;ROUND(Q245*(N245/(N245+P245))/VLOOKUP(M245,职业!$A$3:$E$16,4,FALSE),0),"")</f>
        <v/>
      </c>
      <c r="AF245" t="str">
        <f>IFERROR(O245&amp;"*"&amp;ROUND(Q245*(P245/(N245+P245))/VLOOKUP(O245,职业!$A$3:$E$16,4,FALSE),0),"")</f>
        <v/>
      </c>
      <c r="AG245" t="str">
        <f>IFERROR(R245&amp;"*"&amp;ROUND(V245*(S245/(S245+U245))/VLOOKUP(R245,商品!$A$4:$D$67,4,FALSE),0),"")</f>
        <v/>
      </c>
      <c r="AH245" t="str">
        <f>IFERROR(T245&amp;"*"&amp;ROUND(V245*(U245/(S245+U245))/VLOOKUP(T245,商品!$A$4:$D$67,4,FALSE),0),"")</f>
        <v/>
      </c>
    </row>
    <row r="246" customHeight="1" spans="1:34">
      <c r="A246" s="14" t="s">
        <v>330</v>
      </c>
      <c r="C246" s="2">
        <v>3</v>
      </c>
      <c r="D246" s="2" t="s">
        <v>220</v>
      </c>
      <c r="E246" s="2" t="s">
        <v>222</v>
      </c>
      <c r="L246" s="2">
        <f>IFERROR(VLOOKUP($D246&amp;$C246,生产方式定位!$A$2:$E$39,2,FALSE)+VLOOKUP($E246&amp;$C246,生产方式定位!$F$3:$J$39,2,FALSE),0)</f>
        <v>5000</v>
      </c>
      <c r="Q246" s="2">
        <f>IFERROR(VLOOKUP($D246&amp;$C246,生产方式定位!$A$2:$E$39,3,FALSE)+VLOOKUP($E246&amp;$C246,生产方式定位!$F$3:$J$39,3,FALSE),0)</f>
        <v>2800</v>
      </c>
      <c r="V246" s="2">
        <f>IFERROR(VLOOKUP($D246&amp;$C246,生产方式定位!$A$2:$E$39,5,FALSE)+VLOOKUP($E246&amp;$C246,生产方式定位!$F$3:$J$39,5,FALSE),"错误")</f>
        <v>4188</v>
      </c>
      <c r="W246" s="3" t="str">
        <f t="shared" si="15"/>
        <v/>
      </c>
      <c r="X246" s="4" t="str">
        <f t="shared" si="16"/>
        <v/>
      </c>
      <c r="Y246" s="4" t="str">
        <f t="shared" si="17"/>
        <v/>
      </c>
      <c r="Z246" s="5">
        <f t="shared" si="18"/>
        <v>1.19</v>
      </c>
      <c r="AA246" s="6">
        <f t="shared" si="19"/>
        <v>3</v>
      </c>
      <c r="AB246" t="str">
        <f>IFERROR(F246&amp;"*"&amp;ROUND(L246*(G246/(G246+I246+K246))/VLOOKUP(F246,商品!$A$4:$D$67,4,FALSE),0),"")</f>
        <v/>
      </c>
      <c r="AC246" t="str">
        <f>IFERROR(H246&amp;"*"&amp;ROUND(L246*(I246/(G246+I246+K246))/VLOOKUP(H246,商品!$A$4:$D$67,4,FALSE),0),"")</f>
        <v/>
      </c>
      <c r="AD246" t="str">
        <f>IFERROR(J246&amp;"*"&amp;ROUND(L246*(K246/(G246+I246+K246))/VLOOKUP(J246,商品!$A$4:$D$67,4,FALSE),0),"")</f>
        <v/>
      </c>
      <c r="AE246" t="str">
        <f>IFERROR(M246&amp;"*"&amp;ROUND(Q246*(N246/(N246+P246))/VLOOKUP(M246,职业!$A$3:$E$16,4,FALSE),0),"")</f>
        <v/>
      </c>
      <c r="AF246" t="str">
        <f>IFERROR(O246&amp;"*"&amp;ROUND(Q246*(P246/(N246+P246))/VLOOKUP(O246,职业!$A$3:$E$16,4,FALSE),0),"")</f>
        <v/>
      </c>
      <c r="AG246" t="str">
        <f>IFERROR(R246&amp;"*"&amp;ROUND(V246*(S246/(S246+U246))/VLOOKUP(R246,商品!$A$4:$D$67,4,FALSE),0),"")</f>
        <v/>
      </c>
      <c r="AH246" t="str">
        <f>IFERROR(T246&amp;"*"&amp;ROUND(V246*(U246/(S246+U246))/VLOOKUP(T246,商品!$A$4:$D$67,4,FALSE),0),"")</f>
        <v/>
      </c>
    </row>
    <row r="247" customHeight="1" spans="1:34">
      <c r="A247" s="15" t="s">
        <v>331</v>
      </c>
      <c r="C247" s="2">
        <v>4</v>
      </c>
      <c r="D247" s="2" t="s">
        <v>220</v>
      </c>
      <c r="E247" s="2" t="s">
        <v>223</v>
      </c>
      <c r="L247" s="2">
        <f>IFERROR(VLOOKUP($D247&amp;$C247,生产方式定位!$A$2:$E$39,2,FALSE)+VLOOKUP($E247&amp;$C247,生产方式定位!$F$3:$J$39,2,FALSE),0)</f>
        <v>6500</v>
      </c>
      <c r="Q247" s="2">
        <f>IFERROR(VLOOKUP($D247&amp;$C247,生产方式定位!$A$2:$E$39,3,FALSE)+VLOOKUP($E247&amp;$C247,生产方式定位!$F$3:$J$39,3,FALSE),0)</f>
        <v>6600</v>
      </c>
      <c r="V247" s="2">
        <f>IFERROR(VLOOKUP($D247&amp;$C247,生产方式定位!$A$2:$E$39,5,FALSE)+VLOOKUP($E247&amp;$C247,生产方式定位!$F$3:$J$39,5,FALSE),"错误")</f>
        <v>6865</v>
      </c>
      <c r="W247" s="3" t="str">
        <f t="shared" si="15"/>
        <v/>
      </c>
      <c r="X247" s="4" t="str">
        <f t="shared" si="16"/>
        <v/>
      </c>
      <c r="Y247" s="4" t="str">
        <f t="shared" si="17"/>
        <v/>
      </c>
      <c r="Z247" s="5">
        <f t="shared" si="18"/>
        <v>0.95</v>
      </c>
      <c r="AA247" s="6">
        <f t="shared" si="19"/>
        <v>4</v>
      </c>
      <c r="AB247" t="str">
        <f>IFERROR(F247&amp;"*"&amp;ROUND(L247*(G247/(G247+I247+K247))/VLOOKUP(F247,商品!$A$4:$D$67,4,FALSE),0),"")</f>
        <v/>
      </c>
      <c r="AC247" t="str">
        <f>IFERROR(H247&amp;"*"&amp;ROUND(L247*(I247/(G247+I247+K247))/VLOOKUP(H247,商品!$A$4:$D$67,4,FALSE),0),"")</f>
        <v/>
      </c>
      <c r="AD247" t="str">
        <f>IFERROR(J247&amp;"*"&amp;ROUND(L247*(K247/(G247+I247+K247))/VLOOKUP(J247,商品!$A$4:$D$67,4,FALSE),0),"")</f>
        <v/>
      </c>
      <c r="AE247" t="str">
        <f>IFERROR(M247&amp;"*"&amp;ROUND(Q247*(N247/(N247+P247))/VLOOKUP(M247,职业!$A$3:$E$16,4,FALSE),0),"")</f>
        <v/>
      </c>
      <c r="AF247" t="str">
        <f>IFERROR(O247&amp;"*"&amp;ROUND(Q247*(P247/(N247+P247))/VLOOKUP(O247,职业!$A$3:$E$16,4,FALSE),0),"")</f>
        <v/>
      </c>
      <c r="AG247" t="str">
        <f>IFERROR(R247&amp;"*"&amp;ROUND(V247*(S247/(S247+U247))/VLOOKUP(R247,商品!$A$4:$D$67,4,FALSE),0),"")</f>
        <v/>
      </c>
      <c r="AH247" t="str">
        <f>IFERROR(T247&amp;"*"&amp;ROUND(V247*(U247/(S247+U247))/VLOOKUP(T247,商品!$A$4:$D$67,4,FALSE),0),"")</f>
        <v/>
      </c>
    </row>
    <row r="248" customHeight="1" spans="1:34">
      <c r="A248" s="15" t="s">
        <v>331</v>
      </c>
      <c r="C248" s="2">
        <v>5</v>
      </c>
      <c r="D248" s="2" t="s">
        <v>220</v>
      </c>
      <c r="E248" s="2" t="s">
        <v>223</v>
      </c>
      <c r="L248" s="2">
        <f>IFERROR(VLOOKUP($D248&amp;$C248,生产方式定位!$A$2:$E$39,2,FALSE)+VLOOKUP($E248&amp;$C248,生产方式定位!$F$3:$J$39,2,FALSE),0)</f>
        <v>8000</v>
      </c>
      <c r="Q248" s="2">
        <f>IFERROR(VLOOKUP($D248&amp;$C248,生产方式定位!$A$2:$E$39,3,FALSE)+VLOOKUP($E248&amp;$C248,生产方式定位!$F$3:$J$39,3,FALSE),0)</f>
        <v>7800</v>
      </c>
      <c r="V248" s="2">
        <f>IFERROR(VLOOKUP($D248&amp;$C248,生产方式定位!$A$2:$E$39,5,FALSE)+VLOOKUP($E248&amp;$C248,生产方式定位!$F$3:$J$39,5,FALSE),"错误")</f>
        <v>8463</v>
      </c>
      <c r="W248" s="3" t="str">
        <f t="shared" si="15"/>
        <v/>
      </c>
      <c r="X248" s="4" t="str">
        <f t="shared" si="16"/>
        <v/>
      </c>
      <c r="Y248" s="4" t="str">
        <f t="shared" si="17"/>
        <v/>
      </c>
      <c r="Z248" s="5">
        <f t="shared" si="18"/>
        <v>0.95</v>
      </c>
      <c r="AA248" s="6">
        <f t="shared" si="19"/>
        <v>5</v>
      </c>
      <c r="AB248" t="str">
        <f>IFERROR(F248&amp;"*"&amp;ROUND(L248*(G248/(G248+I248+K248))/VLOOKUP(F248,商品!$A$4:$D$67,4,FALSE),0),"")</f>
        <v/>
      </c>
      <c r="AC248" t="str">
        <f>IFERROR(H248&amp;"*"&amp;ROUND(L248*(I248/(G248+I248+K248))/VLOOKUP(H248,商品!$A$4:$D$67,4,FALSE),0),"")</f>
        <v/>
      </c>
      <c r="AD248" t="str">
        <f>IFERROR(J248&amp;"*"&amp;ROUND(L248*(K248/(G248+I248+K248))/VLOOKUP(J248,商品!$A$4:$D$67,4,FALSE),0),"")</f>
        <v/>
      </c>
      <c r="AE248" t="str">
        <f>IFERROR(M248&amp;"*"&amp;ROUND(Q248*(N248/(N248+P248))/VLOOKUP(M248,职业!$A$3:$E$16,4,FALSE),0),"")</f>
        <v/>
      </c>
      <c r="AF248" t="str">
        <f>IFERROR(O248&amp;"*"&amp;ROUND(Q248*(P248/(N248+P248))/VLOOKUP(O248,职业!$A$3:$E$16,4,FALSE),0),"")</f>
        <v/>
      </c>
      <c r="AG248" t="str">
        <f>IFERROR(R248&amp;"*"&amp;ROUND(V248*(S248/(S248+U248))/VLOOKUP(R248,商品!$A$4:$D$67,4,FALSE),0),"")</f>
        <v/>
      </c>
      <c r="AH248" t="str">
        <f>IFERROR(T248&amp;"*"&amp;ROUND(V248*(U248/(S248+U248))/VLOOKUP(T248,商品!$A$4:$D$67,4,FALSE),0),"")</f>
        <v/>
      </c>
    </row>
    <row r="249" customHeight="1" spans="1:34">
      <c r="A249" s="15" t="s">
        <v>331</v>
      </c>
      <c r="C249" s="2">
        <v>1</v>
      </c>
      <c r="D249" s="2" t="s">
        <v>220</v>
      </c>
      <c r="E249" s="2" t="s">
        <v>223</v>
      </c>
      <c r="L249" s="2">
        <f>IFERROR(VLOOKUP($D249&amp;$C249,生产方式定位!$A$2:$E$39,2,FALSE)+VLOOKUP($E249&amp;$C249,生产方式定位!$F$3:$J$39,2,FALSE),0)</f>
        <v>2000</v>
      </c>
      <c r="Q249" s="2">
        <f>IFERROR(VLOOKUP($D249&amp;$C249,生产方式定位!$A$2:$E$39,3,FALSE)+VLOOKUP($E249&amp;$C249,生产方式定位!$F$3:$J$39,3,FALSE),0)</f>
        <v>2000</v>
      </c>
      <c r="V249" s="2">
        <f>IFERROR(VLOOKUP($D249&amp;$C249,生产方式定位!$A$2:$E$39,5,FALSE)+VLOOKUP($E249&amp;$C249,生产方式定位!$F$3:$J$39,5,FALSE),"错误")</f>
        <v>2000</v>
      </c>
      <c r="W249" s="3" t="str">
        <f t="shared" si="15"/>
        <v/>
      </c>
      <c r="X249" s="4" t="str">
        <f t="shared" si="16"/>
        <v/>
      </c>
      <c r="Y249" s="4" t="str">
        <f t="shared" si="17"/>
        <v/>
      </c>
      <c r="Z249" s="5">
        <f t="shared" si="18"/>
        <v>1</v>
      </c>
      <c r="AA249" s="6">
        <f t="shared" si="19"/>
        <v>1</v>
      </c>
      <c r="AB249" t="str">
        <f>IFERROR(F249&amp;"*"&amp;ROUND(L249*(G249/(G249+I249+K249))/VLOOKUP(F249,商品!$A$4:$D$67,4,FALSE),0),"")</f>
        <v/>
      </c>
      <c r="AC249" t="str">
        <f>IFERROR(H249&amp;"*"&amp;ROUND(L249*(I249/(G249+I249+K249))/VLOOKUP(H249,商品!$A$4:$D$67,4,FALSE),0),"")</f>
        <v/>
      </c>
      <c r="AD249" t="str">
        <f>IFERROR(J249&amp;"*"&amp;ROUND(L249*(K249/(G249+I249+K249))/VLOOKUP(J249,商品!$A$4:$D$67,4,FALSE),0),"")</f>
        <v/>
      </c>
      <c r="AE249" t="str">
        <f>IFERROR(M249&amp;"*"&amp;ROUND(Q249*(N249/(N249+P249))/VLOOKUP(M249,职业!$A$3:$E$16,4,FALSE),0),"")</f>
        <v/>
      </c>
      <c r="AF249" t="str">
        <f>IFERROR(O249&amp;"*"&amp;ROUND(Q249*(P249/(N249+P249))/VLOOKUP(O249,职业!$A$3:$E$16,4,FALSE),0),"")</f>
        <v/>
      </c>
      <c r="AG249" t="str">
        <f>IFERROR(R249&amp;"*"&amp;ROUND(V249*(S249/(S249+U249))/VLOOKUP(R249,商品!$A$4:$D$67,4,FALSE),0),"")</f>
        <v/>
      </c>
      <c r="AH249" t="str">
        <f>IFERROR(T249&amp;"*"&amp;ROUND(V249*(U249/(S249+U249))/VLOOKUP(T249,商品!$A$4:$D$67,4,FALSE),0),"")</f>
        <v/>
      </c>
    </row>
    <row r="250" customHeight="1" spans="1:34">
      <c r="A250" s="15" t="s">
        <v>331</v>
      </c>
      <c r="C250" s="2">
        <v>2</v>
      </c>
      <c r="D250" s="2" t="s">
        <v>220</v>
      </c>
      <c r="E250" s="2" t="s">
        <v>223</v>
      </c>
      <c r="L250" s="2">
        <f>IFERROR(VLOOKUP($D250&amp;$C250,生产方式定位!$A$2:$E$39,2,FALSE)+VLOOKUP($E250&amp;$C250,生产方式定位!$F$3:$J$39,2,FALSE),0)</f>
        <v>3500</v>
      </c>
      <c r="Q250" s="2">
        <f>IFERROR(VLOOKUP($D250&amp;$C250,生产方式定位!$A$2:$E$39,3,FALSE)+VLOOKUP($E250&amp;$C250,生产方式定位!$F$3:$J$39,3,FALSE),0)</f>
        <v>4200</v>
      </c>
      <c r="V250" s="2">
        <f>IFERROR(VLOOKUP($D250&amp;$C250,生产方式定位!$A$2:$E$39,5,FALSE)+VLOOKUP($E250&amp;$C250,生产方式定位!$F$3:$J$39,5,FALSE),"错误")</f>
        <v>3895</v>
      </c>
      <c r="W250" s="3" t="str">
        <f t="shared" si="15"/>
        <v/>
      </c>
      <c r="X250" s="4" t="str">
        <f t="shared" si="16"/>
        <v/>
      </c>
      <c r="Y250" s="4" t="str">
        <f t="shared" si="17"/>
        <v/>
      </c>
      <c r="Z250" s="5">
        <f t="shared" si="18"/>
        <v>0.9</v>
      </c>
      <c r="AA250" s="6">
        <f t="shared" si="19"/>
        <v>2</v>
      </c>
      <c r="AB250" t="str">
        <f>IFERROR(F250&amp;"*"&amp;ROUND(L250*(G250/(G250+I250+K250))/VLOOKUP(F250,商品!$A$4:$D$67,4,FALSE),0),"")</f>
        <v/>
      </c>
      <c r="AC250" t="str">
        <f>IFERROR(H250&amp;"*"&amp;ROUND(L250*(I250/(G250+I250+K250))/VLOOKUP(H250,商品!$A$4:$D$67,4,FALSE),0),"")</f>
        <v/>
      </c>
      <c r="AD250" t="str">
        <f>IFERROR(J250&amp;"*"&amp;ROUND(L250*(K250/(G250+I250+K250))/VLOOKUP(J250,商品!$A$4:$D$67,4,FALSE),0),"")</f>
        <v/>
      </c>
      <c r="AE250" t="str">
        <f>IFERROR(M250&amp;"*"&amp;ROUND(Q250*(N250/(N250+P250))/VLOOKUP(M250,职业!$A$3:$E$16,4,FALSE),0),"")</f>
        <v/>
      </c>
      <c r="AF250" t="str">
        <f>IFERROR(O250&amp;"*"&amp;ROUND(Q250*(P250/(N250+P250))/VLOOKUP(O250,职业!$A$3:$E$16,4,FALSE),0),"")</f>
        <v/>
      </c>
      <c r="AG250" t="str">
        <f>IFERROR(R250&amp;"*"&amp;ROUND(V250*(S250/(S250+U250))/VLOOKUP(R250,商品!$A$4:$D$67,4,FALSE),0),"")</f>
        <v/>
      </c>
      <c r="AH250" t="str">
        <f>IFERROR(T250&amp;"*"&amp;ROUND(V250*(U250/(S250+U250))/VLOOKUP(T250,商品!$A$4:$D$67,4,FALSE),0),"")</f>
        <v/>
      </c>
    </row>
    <row r="251" customHeight="1" spans="1:34">
      <c r="A251" s="15" t="s">
        <v>331</v>
      </c>
      <c r="C251" s="2">
        <v>3</v>
      </c>
      <c r="D251" s="2" t="s">
        <v>220</v>
      </c>
      <c r="E251" s="2" t="s">
        <v>223</v>
      </c>
      <c r="L251" s="2">
        <f>IFERROR(VLOOKUP($D251&amp;$C251,生产方式定位!$A$2:$E$39,2,FALSE)+VLOOKUP($E251&amp;$C251,生产方式定位!$F$3:$J$39,2,FALSE),0)</f>
        <v>5000</v>
      </c>
      <c r="Q251" s="2">
        <f>IFERROR(VLOOKUP($D251&amp;$C251,生产方式定位!$A$2:$E$39,3,FALSE)+VLOOKUP($E251&amp;$C251,生产方式定位!$F$3:$J$39,3,FALSE),0)</f>
        <v>5400</v>
      </c>
      <c r="V251" s="2">
        <f>IFERROR(VLOOKUP($D251&amp;$C251,生产方式定位!$A$2:$E$39,5,FALSE)+VLOOKUP($E251&amp;$C251,生产方式定位!$F$3:$J$39,5,FALSE),"错误")</f>
        <v>5350</v>
      </c>
      <c r="W251" s="3" t="str">
        <f t="shared" si="15"/>
        <v/>
      </c>
      <c r="X251" s="4" t="str">
        <f t="shared" si="16"/>
        <v/>
      </c>
      <c r="Y251" s="4" t="str">
        <f t="shared" si="17"/>
        <v/>
      </c>
      <c r="Z251" s="5">
        <f t="shared" si="18"/>
        <v>0.93</v>
      </c>
      <c r="AA251" s="6">
        <f t="shared" si="19"/>
        <v>3</v>
      </c>
      <c r="AB251" t="str">
        <f>IFERROR(F251&amp;"*"&amp;ROUND(L251*(G251/(G251+I251+K251))/VLOOKUP(F251,商品!$A$4:$D$67,4,FALSE),0),"")</f>
        <v/>
      </c>
      <c r="AC251" t="str">
        <f>IFERROR(H251&amp;"*"&amp;ROUND(L251*(I251/(G251+I251+K251))/VLOOKUP(H251,商品!$A$4:$D$67,4,FALSE),0),"")</f>
        <v/>
      </c>
      <c r="AD251" t="str">
        <f>IFERROR(J251&amp;"*"&amp;ROUND(L251*(K251/(G251+I251+K251))/VLOOKUP(J251,商品!$A$4:$D$67,4,FALSE),0),"")</f>
        <v/>
      </c>
      <c r="AE251" t="str">
        <f>IFERROR(M251&amp;"*"&amp;ROUND(Q251*(N251/(N251+P251))/VLOOKUP(M251,职业!$A$3:$E$16,4,FALSE),0),"")</f>
        <v/>
      </c>
      <c r="AF251" t="str">
        <f>IFERROR(O251&amp;"*"&amp;ROUND(Q251*(P251/(N251+P251))/VLOOKUP(O251,职业!$A$3:$E$16,4,FALSE),0),"")</f>
        <v/>
      </c>
      <c r="AG251" t="str">
        <f>IFERROR(R251&amp;"*"&amp;ROUND(V251*(S251/(S251+U251))/VLOOKUP(R251,商品!$A$4:$D$67,4,FALSE),0),"")</f>
        <v/>
      </c>
      <c r="AH251" t="str">
        <f>IFERROR(T251&amp;"*"&amp;ROUND(V251*(U251/(S251+U251))/VLOOKUP(T251,商品!$A$4:$D$67,4,FALSE),0),"")</f>
        <v/>
      </c>
    </row>
    <row r="252" customHeight="1" spans="1:34">
      <c r="A252" s="14" t="s">
        <v>332</v>
      </c>
      <c r="C252" s="2">
        <v>4</v>
      </c>
      <c r="D252" s="2" t="s">
        <v>220</v>
      </c>
      <c r="E252" s="2" t="s">
        <v>224</v>
      </c>
      <c r="L252" s="2">
        <f>IFERROR(VLOOKUP($D252&amp;$C252,生产方式定位!$A$2:$E$39,2,FALSE)+VLOOKUP($E252&amp;$C252,生产方式定位!$F$3:$J$39,2,FALSE),0)</f>
        <v>7500</v>
      </c>
      <c r="Q252" s="2">
        <f>IFERROR(VLOOKUP($D252&amp;$C252,生产方式定位!$A$2:$E$39,3,FALSE)+VLOOKUP($E252&amp;$C252,生产方式定位!$F$3:$J$39,3,FALSE),0)</f>
        <v>2000</v>
      </c>
      <c r="V252" s="2">
        <f>IFERROR(VLOOKUP($D252&amp;$C252,生产方式定位!$A$2:$E$39,5,FALSE)+VLOOKUP($E252&amp;$C252,生产方式定位!$F$3:$J$39,5,FALSE),"错误")</f>
        <v>5260</v>
      </c>
      <c r="W252" s="3" t="str">
        <f t="shared" si="15"/>
        <v/>
      </c>
      <c r="X252" s="4" t="str">
        <f t="shared" si="16"/>
        <v/>
      </c>
      <c r="Y252" s="4" t="str">
        <f t="shared" si="17"/>
        <v/>
      </c>
      <c r="Z252" s="5">
        <f t="shared" si="18"/>
        <v>1.43</v>
      </c>
      <c r="AA252" s="6">
        <f t="shared" si="19"/>
        <v>4</v>
      </c>
      <c r="AB252" t="str">
        <f>IFERROR(F252&amp;"*"&amp;ROUND(L252*(G252/(G252+I252+K252))/VLOOKUP(F252,商品!$A$4:$D$67,4,FALSE),0),"")</f>
        <v/>
      </c>
      <c r="AC252" t="str">
        <f>IFERROR(H252&amp;"*"&amp;ROUND(L252*(I252/(G252+I252+K252))/VLOOKUP(H252,商品!$A$4:$D$67,4,FALSE),0),"")</f>
        <v/>
      </c>
      <c r="AD252" t="str">
        <f>IFERROR(J252&amp;"*"&amp;ROUND(L252*(K252/(G252+I252+K252))/VLOOKUP(J252,商品!$A$4:$D$67,4,FALSE),0),"")</f>
        <v/>
      </c>
      <c r="AE252" t="str">
        <f>IFERROR(M252&amp;"*"&amp;ROUND(Q252*(N252/(N252+P252))/VLOOKUP(M252,职业!$A$3:$E$16,4,FALSE),0),"")</f>
        <v/>
      </c>
      <c r="AF252" t="str">
        <f>IFERROR(O252&amp;"*"&amp;ROUND(Q252*(P252/(N252+P252))/VLOOKUP(O252,职业!$A$3:$E$16,4,FALSE),0),"")</f>
        <v/>
      </c>
      <c r="AG252" t="str">
        <f>IFERROR(R252&amp;"*"&amp;ROUND(V252*(S252/(S252+U252))/VLOOKUP(R252,商品!$A$4:$D$67,4,FALSE),0),"")</f>
        <v/>
      </c>
      <c r="AH252" t="str">
        <f>IFERROR(T252&amp;"*"&amp;ROUND(V252*(U252/(S252+U252))/VLOOKUP(T252,商品!$A$4:$D$67,4,FALSE),0),"")</f>
        <v/>
      </c>
    </row>
    <row r="253" customHeight="1" spans="1:34">
      <c r="A253" s="14" t="s">
        <v>332</v>
      </c>
      <c r="C253" s="2">
        <v>5</v>
      </c>
      <c r="D253" s="2" t="s">
        <v>220</v>
      </c>
      <c r="E253" s="2" t="s">
        <v>224</v>
      </c>
      <c r="L253" s="2">
        <f>IFERROR(VLOOKUP($D253&amp;$C253,生产方式定位!$A$2:$E$39,2,FALSE)+VLOOKUP($E253&amp;$C253,生产方式定位!$F$3:$J$39,2,FALSE),0)</f>
        <v>9000</v>
      </c>
      <c r="Q253" s="2">
        <f>IFERROR(VLOOKUP($D253&amp;$C253,生产方式定位!$A$2:$E$39,3,FALSE)+VLOOKUP($E253&amp;$C253,生产方式定位!$F$3:$J$39,3,FALSE),0)</f>
        <v>2000</v>
      </c>
      <c r="V253" s="2">
        <f>IFERROR(VLOOKUP($D253&amp;$C253,生产方式定位!$A$2:$E$39,5,FALSE)+VLOOKUP($E253&amp;$C253,生产方式定位!$F$3:$J$39,5,FALSE),"错误")</f>
        <v>6340</v>
      </c>
      <c r="W253" s="3" t="str">
        <f t="shared" si="15"/>
        <v/>
      </c>
      <c r="X253" s="4" t="str">
        <f t="shared" si="16"/>
        <v/>
      </c>
      <c r="Y253" s="4" t="str">
        <f t="shared" si="17"/>
        <v/>
      </c>
      <c r="Z253" s="5">
        <f t="shared" si="18"/>
        <v>1.42</v>
      </c>
      <c r="AA253" s="6">
        <f t="shared" si="19"/>
        <v>5</v>
      </c>
      <c r="AB253" t="str">
        <f>IFERROR(F253&amp;"*"&amp;ROUND(L253*(G253/(G253+I253+K253))/VLOOKUP(F253,商品!$A$4:$D$67,4,FALSE),0),"")</f>
        <v/>
      </c>
      <c r="AC253" t="str">
        <f>IFERROR(H253&amp;"*"&amp;ROUND(L253*(I253/(G253+I253+K253))/VLOOKUP(H253,商品!$A$4:$D$67,4,FALSE),0),"")</f>
        <v/>
      </c>
      <c r="AD253" t="str">
        <f>IFERROR(J253&amp;"*"&amp;ROUND(L253*(K253/(G253+I253+K253))/VLOOKUP(J253,商品!$A$4:$D$67,4,FALSE),0),"")</f>
        <v/>
      </c>
      <c r="AE253" t="str">
        <f>IFERROR(M253&amp;"*"&amp;ROUND(Q253*(N253/(N253+P253))/VLOOKUP(M253,职业!$A$3:$E$16,4,FALSE),0),"")</f>
        <v/>
      </c>
      <c r="AF253" t="str">
        <f>IFERROR(O253&amp;"*"&amp;ROUND(Q253*(P253/(N253+P253))/VLOOKUP(O253,职业!$A$3:$E$16,4,FALSE),0),"")</f>
        <v/>
      </c>
      <c r="AG253" t="str">
        <f>IFERROR(R253&amp;"*"&amp;ROUND(V253*(S253/(S253+U253))/VLOOKUP(R253,商品!$A$4:$D$67,4,FALSE),0),"")</f>
        <v/>
      </c>
      <c r="AH253" t="str">
        <f>IFERROR(T253&amp;"*"&amp;ROUND(V253*(U253/(S253+U253))/VLOOKUP(T253,商品!$A$4:$D$67,4,FALSE),0),"")</f>
        <v/>
      </c>
    </row>
    <row r="254" customHeight="1" spans="1:34">
      <c r="A254" s="14" t="s">
        <v>332</v>
      </c>
      <c r="C254" s="2">
        <v>6</v>
      </c>
      <c r="D254" s="2" t="s">
        <v>220</v>
      </c>
      <c r="E254" s="2" t="s">
        <v>224</v>
      </c>
      <c r="L254" s="2">
        <f>IFERROR(VLOOKUP($D254&amp;$C254,生产方式定位!$A$2:$E$39,2,FALSE)+VLOOKUP($E254&amp;$C254,生产方式定位!$F$3:$J$39,2,FALSE),0)</f>
        <v>0</v>
      </c>
      <c r="Q254" s="2">
        <f>IFERROR(VLOOKUP($D254&amp;$C254,生产方式定位!$A$2:$E$39,3,FALSE)+VLOOKUP($E254&amp;$C254,生产方式定位!$F$3:$J$39,3,FALSE),0)</f>
        <v>0</v>
      </c>
      <c r="V254" s="2" t="str">
        <f>IFERROR(VLOOKUP($D254&amp;$C254,生产方式定位!$A$2:$E$39,5,FALSE)+VLOOKUP($E254&amp;$C254,生产方式定位!$F$3:$J$39,5,FALSE),"错误")</f>
        <v>错误</v>
      </c>
      <c r="W254" s="3" t="str">
        <f t="shared" si="15"/>
        <v/>
      </c>
      <c r="X254" s="4" t="str">
        <f t="shared" si="16"/>
        <v/>
      </c>
      <c r="Y254" s="4" t="str">
        <f t="shared" si="17"/>
        <v/>
      </c>
      <c r="Z254" s="5" t="str">
        <f t="shared" si="18"/>
        <v/>
      </c>
      <c r="AA254" s="6">
        <f t="shared" si="19"/>
        <v>6</v>
      </c>
      <c r="AB254" t="str">
        <f>IFERROR(F254&amp;"*"&amp;ROUND(L254*(G254/(G254+I254+K254))/VLOOKUP(F254,商品!$A$4:$D$67,4,FALSE),0),"")</f>
        <v/>
      </c>
      <c r="AC254" t="str">
        <f>IFERROR(H254&amp;"*"&amp;ROUND(L254*(I254/(G254+I254+K254))/VLOOKUP(H254,商品!$A$4:$D$67,4,FALSE),0),"")</f>
        <v/>
      </c>
      <c r="AD254" t="str">
        <f>IFERROR(J254&amp;"*"&amp;ROUND(L254*(K254/(G254+I254+K254))/VLOOKUP(J254,商品!$A$4:$D$67,4,FALSE),0),"")</f>
        <v/>
      </c>
      <c r="AE254" t="str">
        <f>IFERROR(M254&amp;"*"&amp;ROUND(Q254*(N254/(N254+P254))/VLOOKUP(M254,职业!$A$3:$E$16,4,FALSE),0),"")</f>
        <v/>
      </c>
      <c r="AF254" t="str">
        <f>IFERROR(O254&amp;"*"&amp;ROUND(Q254*(P254/(N254+P254))/VLOOKUP(O254,职业!$A$3:$E$16,4,FALSE),0),"")</f>
        <v/>
      </c>
      <c r="AG254" t="str">
        <f>IFERROR(R254&amp;"*"&amp;ROUND(V254*(S254/(S254+U254))/VLOOKUP(R254,商品!$A$4:$D$67,4,FALSE),0),"")</f>
        <v/>
      </c>
      <c r="AH254" t="str">
        <f>IFERROR(T254&amp;"*"&amp;ROUND(V254*(U254/(S254+U254))/VLOOKUP(T254,商品!$A$4:$D$67,4,FALSE),0),"")</f>
        <v/>
      </c>
    </row>
    <row r="255" customHeight="1" spans="1:34">
      <c r="A255" s="14" t="s">
        <v>332</v>
      </c>
      <c r="C255" s="2">
        <v>7</v>
      </c>
      <c r="D255" s="2" t="s">
        <v>220</v>
      </c>
      <c r="E255" s="2" t="s">
        <v>224</v>
      </c>
      <c r="L255" s="2">
        <f>IFERROR(VLOOKUP($D255&amp;$C255,生产方式定位!$A$2:$E$39,2,FALSE)+VLOOKUP($E255&amp;$C255,生产方式定位!$F$3:$J$39,2,FALSE),0)</f>
        <v>0</v>
      </c>
      <c r="Q255" s="2">
        <f>IFERROR(VLOOKUP($D255&amp;$C255,生产方式定位!$A$2:$E$39,3,FALSE)+VLOOKUP($E255&amp;$C255,生产方式定位!$F$3:$J$39,3,FALSE),0)</f>
        <v>0</v>
      </c>
      <c r="V255" s="2" t="str">
        <f>IFERROR(VLOOKUP($D255&amp;$C255,生产方式定位!$A$2:$E$39,5,FALSE)+VLOOKUP($E255&amp;$C255,生产方式定位!$F$3:$J$39,5,FALSE),"错误")</f>
        <v>错误</v>
      </c>
      <c r="W255" s="3" t="str">
        <f t="shared" si="15"/>
        <v/>
      </c>
      <c r="X255" s="4" t="str">
        <f t="shared" si="16"/>
        <v/>
      </c>
      <c r="Y255" s="4" t="str">
        <f t="shared" si="17"/>
        <v/>
      </c>
      <c r="Z255" s="5" t="str">
        <f t="shared" si="18"/>
        <v/>
      </c>
      <c r="AA255" s="6">
        <f t="shared" si="19"/>
        <v>7</v>
      </c>
      <c r="AB255" t="str">
        <f>IFERROR(F255&amp;"*"&amp;ROUND(L255*(G255/(G255+I255+K255))/VLOOKUP(F255,商品!$A$4:$D$67,4,FALSE),0),"")</f>
        <v/>
      </c>
      <c r="AC255" t="str">
        <f>IFERROR(H255&amp;"*"&amp;ROUND(L255*(I255/(G255+I255+K255))/VLOOKUP(H255,商品!$A$4:$D$67,4,FALSE),0),"")</f>
        <v/>
      </c>
      <c r="AD255" t="str">
        <f>IFERROR(J255&amp;"*"&amp;ROUND(L255*(K255/(G255+I255+K255))/VLOOKUP(J255,商品!$A$4:$D$67,4,FALSE),0),"")</f>
        <v/>
      </c>
      <c r="AE255" t="str">
        <f>IFERROR(M255&amp;"*"&amp;ROUND(Q255*(N255/(N255+P255))/VLOOKUP(M255,职业!$A$3:$E$16,4,FALSE),0),"")</f>
        <v/>
      </c>
      <c r="AF255" t="str">
        <f>IFERROR(O255&amp;"*"&amp;ROUND(Q255*(P255/(N255+P255))/VLOOKUP(O255,职业!$A$3:$E$16,4,FALSE),0),"")</f>
        <v/>
      </c>
      <c r="AG255" t="str">
        <f>IFERROR(R255&amp;"*"&amp;ROUND(V255*(S255/(S255+U255))/VLOOKUP(R255,商品!$A$4:$D$67,4,FALSE),0),"")</f>
        <v/>
      </c>
      <c r="AH255" t="str">
        <f>IFERROR(T255&amp;"*"&amp;ROUND(V255*(U255/(S255+U255))/VLOOKUP(T255,商品!$A$4:$D$67,4,FALSE),0),"")</f>
        <v/>
      </c>
    </row>
    <row r="256" customHeight="1" spans="1:34">
      <c r="A256" s="14" t="s">
        <v>332</v>
      </c>
      <c r="C256" s="2">
        <v>8</v>
      </c>
      <c r="D256" s="2" t="s">
        <v>220</v>
      </c>
      <c r="E256" s="2" t="s">
        <v>224</v>
      </c>
      <c r="L256" s="2">
        <f>IFERROR(VLOOKUP($D256&amp;$C256,生产方式定位!$A$2:$E$39,2,FALSE)+VLOOKUP($E256&amp;$C256,生产方式定位!$F$3:$J$39,2,FALSE),0)</f>
        <v>0</v>
      </c>
      <c r="Q256" s="2">
        <f>IFERROR(VLOOKUP($D256&amp;$C256,生产方式定位!$A$2:$E$39,3,FALSE)+VLOOKUP($E256&amp;$C256,生产方式定位!$F$3:$J$39,3,FALSE),0)</f>
        <v>0</v>
      </c>
      <c r="V256" s="2" t="str">
        <f>IFERROR(VLOOKUP($D256&amp;$C256,生产方式定位!$A$2:$E$39,5,FALSE)+VLOOKUP($E256&amp;$C256,生产方式定位!$F$3:$J$39,5,FALSE),"错误")</f>
        <v>错误</v>
      </c>
      <c r="W256" s="3" t="str">
        <f t="shared" si="15"/>
        <v/>
      </c>
      <c r="X256" s="4" t="str">
        <f t="shared" si="16"/>
        <v/>
      </c>
      <c r="Y256" s="4" t="str">
        <f t="shared" si="17"/>
        <v/>
      </c>
      <c r="Z256" s="5" t="str">
        <f t="shared" si="18"/>
        <v/>
      </c>
      <c r="AA256" s="6">
        <f t="shared" si="19"/>
        <v>8</v>
      </c>
      <c r="AB256" t="str">
        <f>IFERROR(F256&amp;"*"&amp;ROUND(L256*(G256/(G256+I256+K256))/VLOOKUP(F256,商品!$A$4:$D$67,4,FALSE),0),"")</f>
        <v/>
      </c>
      <c r="AC256" t="str">
        <f>IFERROR(H256&amp;"*"&amp;ROUND(L256*(I256/(G256+I256+K256))/VLOOKUP(H256,商品!$A$4:$D$67,4,FALSE),0),"")</f>
        <v/>
      </c>
      <c r="AD256" t="str">
        <f>IFERROR(J256&amp;"*"&amp;ROUND(L256*(K256/(G256+I256+K256))/VLOOKUP(J256,商品!$A$4:$D$67,4,FALSE),0),"")</f>
        <v/>
      </c>
      <c r="AE256" t="str">
        <f>IFERROR(M256&amp;"*"&amp;ROUND(Q256*(N256/(N256+P256))/VLOOKUP(M256,职业!$A$3:$E$16,4,FALSE),0),"")</f>
        <v/>
      </c>
      <c r="AF256" t="str">
        <f>IFERROR(O256&amp;"*"&amp;ROUND(Q256*(P256/(N256+P256))/VLOOKUP(O256,职业!$A$3:$E$16,4,FALSE),0),"")</f>
        <v/>
      </c>
      <c r="AG256" t="str">
        <f>IFERROR(R256&amp;"*"&amp;ROUND(V256*(S256/(S256+U256))/VLOOKUP(R256,商品!$A$4:$D$67,4,FALSE),0),"")</f>
        <v/>
      </c>
      <c r="AH256" t="str">
        <f>IFERROR(T256&amp;"*"&amp;ROUND(V256*(U256/(S256+U256))/VLOOKUP(T256,商品!$A$4:$D$67,4,FALSE),0),"")</f>
        <v/>
      </c>
    </row>
    <row r="257" customHeight="1" spans="1:34">
      <c r="A257" s="15" t="s">
        <v>332</v>
      </c>
      <c r="C257" s="2">
        <v>1</v>
      </c>
      <c r="D257" s="2" t="s">
        <v>220</v>
      </c>
      <c r="E257" s="2" t="s">
        <v>224</v>
      </c>
      <c r="L257" s="2">
        <f>IFERROR(VLOOKUP($D257&amp;$C257,生产方式定位!$A$2:$E$39,2,FALSE)+VLOOKUP($E257&amp;$C257,生产方式定位!$F$3:$J$39,2,FALSE),0)</f>
        <v>2000</v>
      </c>
      <c r="Q257" s="2">
        <f>IFERROR(VLOOKUP($D257&amp;$C257,生产方式定位!$A$2:$E$39,3,FALSE)+VLOOKUP($E257&amp;$C257,生产方式定位!$F$3:$J$39,3,FALSE),0)</f>
        <v>2000</v>
      </c>
      <c r="V257" s="2">
        <f>IFERROR(VLOOKUP($D257&amp;$C257,生产方式定位!$A$2:$E$39,5,FALSE)+VLOOKUP($E257&amp;$C257,生产方式定位!$F$3:$J$39,5,FALSE),"错误")</f>
        <v>2000</v>
      </c>
      <c r="W257" s="3" t="str">
        <f t="shared" si="15"/>
        <v/>
      </c>
      <c r="X257" s="4" t="str">
        <f t="shared" si="16"/>
        <v/>
      </c>
      <c r="Y257" s="4" t="str">
        <f t="shared" si="17"/>
        <v/>
      </c>
      <c r="Z257" s="5">
        <f t="shared" si="18"/>
        <v>1</v>
      </c>
      <c r="AA257" s="6">
        <f t="shared" si="19"/>
        <v>1</v>
      </c>
      <c r="AB257" t="str">
        <f>IFERROR(F257&amp;"*"&amp;ROUND(L257*(G257/(G257+I257+K257))/VLOOKUP(F257,商品!$A$4:$D$67,4,FALSE),0),"")</f>
        <v/>
      </c>
      <c r="AC257" t="str">
        <f>IFERROR(H257&amp;"*"&amp;ROUND(L257*(I257/(G257+I257+K257))/VLOOKUP(H257,商品!$A$4:$D$67,4,FALSE),0),"")</f>
        <v/>
      </c>
      <c r="AD257" t="str">
        <f>IFERROR(J257&amp;"*"&amp;ROUND(L257*(K257/(G257+I257+K257))/VLOOKUP(J257,商品!$A$4:$D$67,4,FALSE),0),"")</f>
        <v/>
      </c>
      <c r="AE257" t="str">
        <f>IFERROR(M257&amp;"*"&amp;ROUND(Q257*(N257/(N257+P257))/VLOOKUP(M257,职业!$A$3:$E$16,4,FALSE),0),"")</f>
        <v/>
      </c>
      <c r="AF257" t="str">
        <f>IFERROR(O257&amp;"*"&amp;ROUND(Q257*(P257/(N257+P257))/VLOOKUP(O257,职业!$A$3:$E$16,4,FALSE),0),"")</f>
        <v/>
      </c>
      <c r="AG257" t="str">
        <f>IFERROR(R257&amp;"*"&amp;ROUND(V257*(S257/(S257+U257))/VLOOKUP(R257,商品!$A$4:$D$67,4,FALSE),0),"")</f>
        <v/>
      </c>
      <c r="AH257" t="str">
        <f>IFERROR(T257&amp;"*"&amp;ROUND(V257*(U257/(S257+U257))/VLOOKUP(T257,商品!$A$4:$D$67,4,FALSE),0),"")</f>
        <v/>
      </c>
    </row>
    <row r="258" customHeight="1" spans="1:34">
      <c r="A258" s="15" t="s">
        <v>332</v>
      </c>
      <c r="C258" s="2">
        <v>2</v>
      </c>
      <c r="D258" s="2" t="s">
        <v>220</v>
      </c>
      <c r="E258" s="2" t="s">
        <v>224</v>
      </c>
      <c r="L258" s="2">
        <f>IFERROR(VLOOKUP($D258&amp;$C258,生产方式定位!$A$2:$E$39,2,FALSE)+VLOOKUP($E258&amp;$C258,生产方式定位!$F$3:$J$39,2,FALSE),0)</f>
        <v>4500</v>
      </c>
      <c r="Q258" s="2">
        <f>IFERROR(VLOOKUP($D258&amp;$C258,生产方式定位!$A$2:$E$39,3,FALSE)+VLOOKUP($E258&amp;$C258,生产方式定位!$F$3:$J$39,3,FALSE),0)</f>
        <v>2000</v>
      </c>
      <c r="V258" s="2">
        <f>IFERROR(VLOOKUP($D258&amp;$C258,生产方式定位!$A$2:$E$39,5,FALSE)+VLOOKUP($E258&amp;$C258,生产方式定位!$F$3:$J$39,5,FALSE),"错误")</f>
        <v>3340</v>
      </c>
      <c r="W258" s="3" t="str">
        <f t="shared" si="15"/>
        <v/>
      </c>
      <c r="X258" s="4" t="str">
        <f t="shared" si="16"/>
        <v/>
      </c>
      <c r="Y258" s="4" t="str">
        <f t="shared" si="17"/>
        <v/>
      </c>
      <c r="Z258" s="5">
        <f t="shared" si="18"/>
        <v>1.35</v>
      </c>
      <c r="AA258" s="6">
        <f t="shared" si="19"/>
        <v>2</v>
      </c>
      <c r="AB258" t="str">
        <f>IFERROR(F258&amp;"*"&amp;ROUND(L258*(G258/(G258+I258+K258))/VLOOKUP(F258,商品!$A$4:$D$67,4,FALSE),0),"")</f>
        <v/>
      </c>
      <c r="AC258" t="str">
        <f>IFERROR(H258&amp;"*"&amp;ROUND(L258*(I258/(G258+I258+K258))/VLOOKUP(H258,商品!$A$4:$D$67,4,FALSE),0),"")</f>
        <v/>
      </c>
      <c r="AD258" t="str">
        <f>IFERROR(J258&amp;"*"&amp;ROUND(L258*(K258/(G258+I258+K258))/VLOOKUP(J258,商品!$A$4:$D$67,4,FALSE),0),"")</f>
        <v/>
      </c>
      <c r="AE258" t="str">
        <f>IFERROR(M258&amp;"*"&amp;ROUND(Q258*(N258/(N258+P258))/VLOOKUP(M258,职业!$A$3:$E$16,4,FALSE),0),"")</f>
        <v/>
      </c>
      <c r="AF258" t="str">
        <f>IFERROR(O258&amp;"*"&amp;ROUND(Q258*(P258/(N258+P258))/VLOOKUP(O258,职业!$A$3:$E$16,4,FALSE),0),"")</f>
        <v/>
      </c>
      <c r="AG258" t="str">
        <f>IFERROR(R258&amp;"*"&amp;ROUND(V258*(S258/(S258+U258))/VLOOKUP(R258,商品!$A$4:$D$67,4,FALSE),0),"")</f>
        <v/>
      </c>
      <c r="AH258" t="str">
        <f>IFERROR(T258&amp;"*"&amp;ROUND(V258*(U258/(S258+U258))/VLOOKUP(T258,商品!$A$4:$D$67,4,FALSE),0),"")</f>
        <v/>
      </c>
    </row>
    <row r="259" customHeight="1" spans="1:34">
      <c r="A259" s="15" t="s">
        <v>332</v>
      </c>
      <c r="C259" s="2">
        <v>3</v>
      </c>
      <c r="D259" s="2" t="s">
        <v>220</v>
      </c>
      <c r="E259" s="2" t="s">
        <v>224</v>
      </c>
      <c r="L259" s="2">
        <f>IFERROR(VLOOKUP($D259&amp;$C259,生产方式定位!$A$2:$E$39,2,FALSE)+VLOOKUP($E259&amp;$C259,生产方式定位!$F$3:$J$39,2,FALSE),0)</f>
        <v>6000</v>
      </c>
      <c r="Q259" s="2">
        <f>IFERROR(VLOOKUP($D259&amp;$C259,生产方式定位!$A$2:$E$39,3,FALSE)+VLOOKUP($E259&amp;$C259,生产方式定位!$F$3:$J$39,3,FALSE),0)</f>
        <v>2000</v>
      </c>
      <c r="V259" s="2">
        <f>IFERROR(VLOOKUP($D259&amp;$C259,生产方式定位!$A$2:$E$39,5,FALSE)+VLOOKUP($E259&amp;$C259,生产方式定位!$F$3:$J$39,5,FALSE),"错误")</f>
        <v>4260</v>
      </c>
      <c r="W259" s="3" t="str">
        <f t="shared" si="15"/>
        <v/>
      </c>
      <c r="X259" s="4" t="str">
        <f t="shared" si="16"/>
        <v/>
      </c>
      <c r="Y259" s="4" t="str">
        <f t="shared" si="17"/>
        <v/>
      </c>
      <c r="Z259" s="5">
        <f t="shared" si="18"/>
        <v>1.41</v>
      </c>
      <c r="AA259" s="6">
        <f t="shared" si="19"/>
        <v>3</v>
      </c>
      <c r="AB259" t="str">
        <f>IFERROR(F259&amp;"*"&amp;ROUND(L259*(G259/(G259+I259+K259))/VLOOKUP(F259,商品!$A$4:$D$67,4,FALSE),0),"")</f>
        <v/>
      </c>
      <c r="AC259" t="str">
        <f>IFERROR(H259&amp;"*"&amp;ROUND(L259*(I259/(G259+I259+K259))/VLOOKUP(H259,商品!$A$4:$D$67,4,FALSE),0),"")</f>
        <v/>
      </c>
      <c r="AD259" t="str">
        <f>IFERROR(J259&amp;"*"&amp;ROUND(L259*(K259/(G259+I259+K259))/VLOOKUP(J259,商品!$A$4:$D$67,4,FALSE),0),"")</f>
        <v/>
      </c>
      <c r="AE259" t="str">
        <f>IFERROR(M259&amp;"*"&amp;ROUND(Q259*(N259/(N259+P259))/VLOOKUP(M259,职业!$A$3:$E$16,4,FALSE),0),"")</f>
        <v/>
      </c>
      <c r="AF259" t="str">
        <f>IFERROR(O259&amp;"*"&amp;ROUND(Q259*(P259/(N259+P259))/VLOOKUP(O259,职业!$A$3:$E$16,4,FALSE),0),"")</f>
        <v/>
      </c>
      <c r="AG259" t="str">
        <f>IFERROR(R259&amp;"*"&amp;ROUND(V259*(S259/(S259+U259))/VLOOKUP(R259,商品!$A$4:$D$67,4,FALSE),0),"")</f>
        <v/>
      </c>
      <c r="AH259" t="str">
        <f>IFERROR(T259&amp;"*"&amp;ROUND(V259*(U259/(S259+U259))/VLOOKUP(T259,商品!$A$4:$D$67,4,FALSE),0),"")</f>
        <v/>
      </c>
    </row>
    <row r="260" customHeight="1" spans="1:34">
      <c r="A260" s="15" t="s">
        <v>332</v>
      </c>
      <c r="C260" s="2">
        <v>4</v>
      </c>
      <c r="D260" s="2" t="s">
        <v>220</v>
      </c>
      <c r="E260" s="2" t="s">
        <v>224</v>
      </c>
      <c r="L260" s="2">
        <f>IFERROR(VLOOKUP($D260&amp;$C260,生产方式定位!$A$2:$E$39,2,FALSE)+VLOOKUP($E260&amp;$C260,生产方式定位!$F$3:$J$39,2,FALSE),0)</f>
        <v>7500</v>
      </c>
      <c r="Q260" s="2">
        <f>IFERROR(VLOOKUP($D260&amp;$C260,生产方式定位!$A$2:$E$39,3,FALSE)+VLOOKUP($E260&amp;$C260,生产方式定位!$F$3:$J$39,3,FALSE),0)</f>
        <v>2000</v>
      </c>
      <c r="V260" s="2">
        <f>IFERROR(VLOOKUP($D260&amp;$C260,生产方式定位!$A$2:$E$39,5,FALSE)+VLOOKUP($E260&amp;$C260,生产方式定位!$F$3:$J$39,5,FALSE),"错误")</f>
        <v>5260</v>
      </c>
      <c r="W260" s="3" t="str">
        <f t="shared" si="15"/>
        <v/>
      </c>
      <c r="X260" s="4" t="str">
        <f t="shared" si="16"/>
        <v/>
      </c>
      <c r="Y260" s="4" t="str">
        <f t="shared" si="17"/>
        <v/>
      </c>
      <c r="Z260" s="5">
        <f t="shared" si="18"/>
        <v>1.43</v>
      </c>
      <c r="AA260" s="6">
        <f t="shared" si="19"/>
        <v>4</v>
      </c>
      <c r="AB260" t="str">
        <f>IFERROR(F260&amp;"*"&amp;ROUND(L260*(G260/(G260+I260+K260))/VLOOKUP(F260,商品!$A$4:$D$67,4,FALSE),0),"")</f>
        <v/>
      </c>
      <c r="AC260" t="str">
        <f>IFERROR(H260&amp;"*"&amp;ROUND(L260*(I260/(G260+I260+K260))/VLOOKUP(H260,商品!$A$4:$D$67,4,FALSE),0),"")</f>
        <v/>
      </c>
      <c r="AD260" t="str">
        <f>IFERROR(J260&amp;"*"&amp;ROUND(L260*(K260/(G260+I260+K260))/VLOOKUP(J260,商品!$A$4:$D$67,4,FALSE),0),"")</f>
        <v/>
      </c>
      <c r="AE260" t="str">
        <f>IFERROR(M260&amp;"*"&amp;ROUND(Q260*(N260/(N260+P260))/VLOOKUP(M260,职业!$A$3:$E$16,4,FALSE),0),"")</f>
        <v/>
      </c>
      <c r="AF260" t="str">
        <f>IFERROR(O260&amp;"*"&amp;ROUND(Q260*(P260/(N260+P260))/VLOOKUP(O260,职业!$A$3:$E$16,4,FALSE),0),"")</f>
        <v/>
      </c>
      <c r="AG260" t="str">
        <f>IFERROR(R260&amp;"*"&amp;ROUND(V260*(S260/(S260+U260))/VLOOKUP(R260,商品!$A$4:$D$67,4,FALSE),0),"")</f>
        <v/>
      </c>
      <c r="AH260" t="str">
        <f>IFERROR(T260&amp;"*"&amp;ROUND(V260*(U260/(S260+U260))/VLOOKUP(T260,商品!$A$4:$D$67,4,FALSE),0),"")</f>
        <v/>
      </c>
    </row>
    <row r="261" customHeight="1" spans="1:34">
      <c r="A261" s="15" t="s">
        <v>332</v>
      </c>
      <c r="C261" s="2">
        <v>5</v>
      </c>
      <c r="D261" s="2" t="s">
        <v>220</v>
      </c>
      <c r="E261" s="2" t="s">
        <v>224</v>
      </c>
      <c r="L261" s="2">
        <f>IFERROR(VLOOKUP($D261&amp;$C261,生产方式定位!$A$2:$E$39,2,FALSE)+VLOOKUP($E261&amp;$C261,生产方式定位!$F$3:$J$39,2,FALSE),0)</f>
        <v>9000</v>
      </c>
      <c r="Q261" s="2">
        <f>IFERROR(VLOOKUP($D261&amp;$C261,生产方式定位!$A$2:$E$39,3,FALSE)+VLOOKUP($E261&amp;$C261,生产方式定位!$F$3:$J$39,3,FALSE),0)</f>
        <v>2000</v>
      </c>
      <c r="V261" s="2">
        <f>IFERROR(VLOOKUP($D261&amp;$C261,生产方式定位!$A$2:$E$39,5,FALSE)+VLOOKUP($E261&amp;$C261,生产方式定位!$F$3:$J$39,5,FALSE),"错误")</f>
        <v>6340</v>
      </c>
      <c r="W261" s="3" t="str">
        <f t="shared" ref="W261:W324" si="20">IF(AB261="","",AB261)&amp;IF(AC261="","",","&amp;AC261)&amp;IF(AD261="","",","&amp;AD261)</f>
        <v/>
      </c>
      <c r="X261" s="4" t="str">
        <f t="shared" ref="X261:X324" si="21">IF(AE261="","",AE261)&amp;IF(AF261="","",","&amp;AF261)</f>
        <v/>
      </c>
      <c r="Y261" s="4" t="str">
        <f t="shared" ref="Y261:Y324" si="22">IF(AG261="","",AG261)&amp;IF(AH261="","",","&amp;AH261)</f>
        <v/>
      </c>
      <c r="Z261" s="5">
        <f t="shared" ref="Z261:Z324" si="23">IFERROR(ROUND(L261/V261,2),"")</f>
        <v>1.42</v>
      </c>
      <c r="AA261" s="6">
        <f t="shared" ref="AA261:AA324" si="24">C261</f>
        <v>5</v>
      </c>
      <c r="AB261" t="str">
        <f>IFERROR(F261&amp;"*"&amp;ROUND(L261*(G261/(G261+I261+K261))/VLOOKUP(F261,商品!$A$4:$D$67,4,FALSE),0),"")</f>
        <v/>
      </c>
      <c r="AC261" t="str">
        <f>IFERROR(H261&amp;"*"&amp;ROUND(L261*(I261/(G261+I261+K261))/VLOOKUP(H261,商品!$A$4:$D$67,4,FALSE),0),"")</f>
        <v/>
      </c>
      <c r="AD261" t="str">
        <f>IFERROR(J261&amp;"*"&amp;ROUND(L261*(K261/(G261+I261+K261))/VLOOKUP(J261,商品!$A$4:$D$67,4,FALSE),0),"")</f>
        <v/>
      </c>
      <c r="AE261" t="str">
        <f>IFERROR(M261&amp;"*"&amp;ROUND(Q261*(N261/(N261+P261))/VLOOKUP(M261,职业!$A$3:$E$16,4,FALSE),0),"")</f>
        <v/>
      </c>
      <c r="AF261" t="str">
        <f>IFERROR(O261&amp;"*"&amp;ROUND(Q261*(P261/(N261+P261))/VLOOKUP(O261,职业!$A$3:$E$16,4,FALSE),0),"")</f>
        <v/>
      </c>
      <c r="AG261" t="str">
        <f>IFERROR(R261&amp;"*"&amp;ROUND(V261*(S261/(S261+U261))/VLOOKUP(R261,商品!$A$4:$D$67,4,FALSE),0),"")</f>
        <v/>
      </c>
      <c r="AH261" t="str">
        <f>IFERROR(T261&amp;"*"&amp;ROUND(V261*(U261/(S261+U261))/VLOOKUP(T261,商品!$A$4:$D$67,4,FALSE),0),"")</f>
        <v/>
      </c>
    </row>
    <row r="262" customHeight="1" spans="1:34">
      <c r="A262" s="14" t="s">
        <v>333</v>
      </c>
      <c r="C262" s="2">
        <v>1</v>
      </c>
      <c r="D262" s="2" t="s">
        <v>220</v>
      </c>
      <c r="E262" s="2" t="s">
        <v>225</v>
      </c>
      <c r="L262" s="2">
        <f>IFERROR(VLOOKUP($D262&amp;$C262,生产方式定位!$A$2:$E$39,2,FALSE)+VLOOKUP($E262&amp;$C262,生产方式定位!$F$3:$J$39,2,FALSE),0)</f>
        <v>2000</v>
      </c>
      <c r="Q262" s="2">
        <f>IFERROR(VLOOKUP($D262&amp;$C262,生产方式定位!$A$2:$E$39,3,FALSE)+VLOOKUP($E262&amp;$C262,生产方式定位!$F$3:$J$39,3,FALSE),0)</f>
        <v>2000</v>
      </c>
      <c r="V262" s="2">
        <f>IFERROR(VLOOKUP($D262&amp;$C262,生产方式定位!$A$2:$E$39,5,FALSE)+VLOOKUP($E262&amp;$C262,生产方式定位!$F$3:$J$39,5,FALSE),"错误")</f>
        <v>2000</v>
      </c>
      <c r="W262" s="3" t="str">
        <f t="shared" si="20"/>
        <v/>
      </c>
      <c r="X262" s="4" t="str">
        <f t="shared" si="21"/>
        <v/>
      </c>
      <c r="Y262" s="4" t="str">
        <f t="shared" si="22"/>
        <v/>
      </c>
      <c r="Z262" s="5">
        <f t="shared" si="23"/>
        <v>1</v>
      </c>
      <c r="AA262" s="6">
        <f t="shared" si="24"/>
        <v>1</v>
      </c>
      <c r="AB262" t="str">
        <f>IFERROR(F262&amp;"*"&amp;ROUND(L262*(G262/(G262+I262+K262))/VLOOKUP(F262,商品!$A$4:$D$67,4,FALSE),0),"")</f>
        <v/>
      </c>
      <c r="AC262" t="str">
        <f>IFERROR(H262&amp;"*"&amp;ROUND(L262*(I262/(G262+I262+K262))/VLOOKUP(H262,商品!$A$4:$D$67,4,FALSE),0),"")</f>
        <v/>
      </c>
      <c r="AD262" t="str">
        <f>IFERROR(J262&amp;"*"&amp;ROUND(L262*(K262/(G262+I262+K262))/VLOOKUP(J262,商品!$A$4:$D$67,4,FALSE),0),"")</f>
        <v/>
      </c>
      <c r="AE262" t="str">
        <f>IFERROR(M262&amp;"*"&amp;ROUND(Q262*(N262/(N262+P262))/VLOOKUP(M262,职业!$A$3:$E$16,4,FALSE),0),"")</f>
        <v/>
      </c>
      <c r="AF262" t="str">
        <f>IFERROR(O262&amp;"*"&amp;ROUND(Q262*(P262/(N262+P262))/VLOOKUP(O262,职业!$A$3:$E$16,4,FALSE),0),"")</f>
        <v/>
      </c>
      <c r="AG262" t="str">
        <f>IFERROR(R262&amp;"*"&amp;ROUND(V262*(S262/(S262+U262))/VLOOKUP(R262,商品!$A$4:$D$67,4,FALSE),0),"")</f>
        <v/>
      </c>
      <c r="AH262" t="str">
        <f>IFERROR(T262&amp;"*"&amp;ROUND(V262*(U262/(S262+U262))/VLOOKUP(T262,商品!$A$4:$D$67,4,FALSE),0),"")</f>
        <v/>
      </c>
    </row>
    <row r="263" customHeight="1" spans="1:34">
      <c r="A263" s="14" t="s">
        <v>333</v>
      </c>
      <c r="C263" s="2">
        <v>2</v>
      </c>
      <c r="D263" s="2" t="s">
        <v>220</v>
      </c>
      <c r="E263" s="2" t="s">
        <v>225</v>
      </c>
      <c r="L263" s="2">
        <f>IFERROR(VLOOKUP($D263&amp;$C263,生产方式定位!$A$2:$E$39,2,FALSE)+VLOOKUP($E263&amp;$C263,生产方式定位!$F$3:$J$39,2,FALSE),0)</f>
        <v>2500</v>
      </c>
      <c r="Q263" s="2">
        <f>IFERROR(VLOOKUP($D263&amp;$C263,生产方式定位!$A$2:$E$39,3,FALSE)+VLOOKUP($E263&amp;$C263,生产方式定位!$F$3:$J$39,3,FALSE),0)</f>
        <v>2200</v>
      </c>
      <c r="V263" s="2">
        <f>IFERROR(VLOOKUP($D263&amp;$C263,生产方式定位!$A$2:$E$39,5,FALSE)+VLOOKUP($E263&amp;$C263,生产方式定位!$F$3:$J$39,5,FALSE),"错误")</f>
        <v>2350</v>
      </c>
      <c r="W263" s="3" t="str">
        <f t="shared" si="20"/>
        <v/>
      </c>
      <c r="X263" s="4" t="str">
        <f t="shared" si="21"/>
        <v/>
      </c>
      <c r="Y263" s="4" t="str">
        <f t="shared" si="22"/>
        <v/>
      </c>
      <c r="Z263" s="5">
        <f t="shared" si="23"/>
        <v>1.06</v>
      </c>
      <c r="AA263" s="6">
        <f t="shared" si="24"/>
        <v>2</v>
      </c>
      <c r="AB263" t="str">
        <f>IFERROR(F263&amp;"*"&amp;ROUND(L263*(G263/(G263+I263+K263))/VLOOKUP(F263,商品!$A$4:$D$67,4,FALSE),0),"")</f>
        <v/>
      </c>
      <c r="AC263" t="str">
        <f>IFERROR(H263&amp;"*"&amp;ROUND(L263*(I263/(G263+I263+K263))/VLOOKUP(H263,商品!$A$4:$D$67,4,FALSE),0),"")</f>
        <v/>
      </c>
      <c r="AD263" t="str">
        <f>IFERROR(J263&amp;"*"&amp;ROUND(L263*(K263/(G263+I263+K263))/VLOOKUP(J263,商品!$A$4:$D$67,4,FALSE),0),"")</f>
        <v/>
      </c>
      <c r="AE263" t="str">
        <f>IFERROR(M263&amp;"*"&amp;ROUND(Q263*(N263/(N263+P263))/VLOOKUP(M263,职业!$A$3:$E$16,4,FALSE),0),"")</f>
        <v/>
      </c>
      <c r="AF263" t="str">
        <f>IFERROR(O263&amp;"*"&amp;ROUND(Q263*(P263/(N263+P263))/VLOOKUP(O263,职业!$A$3:$E$16,4,FALSE),0),"")</f>
        <v/>
      </c>
      <c r="AG263" t="str">
        <f>IFERROR(R263&amp;"*"&amp;ROUND(V263*(S263/(S263+U263))/VLOOKUP(R263,商品!$A$4:$D$67,4,FALSE),0),"")</f>
        <v/>
      </c>
      <c r="AH263" t="str">
        <f>IFERROR(T263&amp;"*"&amp;ROUND(V263*(U263/(S263+U263))/VLOOKUP(T263,商品!$A$4:$D$67,4,FALSE),0),"")</f>
        <v/>
      </c>
    </row>
    <row r="264" customHeight="1" spans="1:34">
      <c r="A264" s="14" t="s">
        <v>333</v>
      </c>
      <c r="C264" s="2">
        <v>3</v>
      </c>
      <c r="D264" s="2" t="s">
        <v>220</v>
      </c>
      <c r="E264" s="2" t="s">
        <v>225</v>
      </c>
      <c r="L264" s="2">
        <f>IFERROR(VLOOKUP($D264&amp;$C264,生产方式定位!$A$2:$E$39,2,FALSE)+VLOOKUP($E264&amp;$C264,生产方式定位!$F$3:$J$39,2,FALSE),0)</f>
        <v>3000</v>
      </c>
      <c r="Q264" s="2">
        <f>IFERROR(VLOOKUP($D264&amp;$C264,生产方式定位!$A$2:$E$39,3,FALSE)+VLOOKUP($E264&amp;$C264,生产方式定位!$F$3:$J$39,3,FALSE),0)</f>
        <v>2400</v>
      </c>
      <c r="V264" s="2">
        <f>IFERROR(VLOOKUP($D264&amp;$C264,生产方式定位!$A$2:$E$39,5,FALSE)+VLOOKUP($E264&amp;$C264,生产方式定位!$F$3:$J$39,5,FALSE),"错误")</f>
        <v>2700</v>
      </c>
      <c r="W264" s="3" t="str">
        <f t="shared" si="20"/>
        <v/>
      </c>
      <c r="X264" s="4" t="str">
        <f t="shared" si="21"/>
        <v/>
      </c>
      <c r="Y264" s="4" t="str">
        <f t="shared" si="22"/>
        <v/>
      </c>
      <c r="Z264" s="5">
        <f t="shared" si="23"/>
        <v>1.11</v>
      </c>
      <c r="AA264" s="6">
        <f t="shared" si="24"/>
        <v>3</v>
      </c>
      <c r="AB264" t="str">
        <f>IFERROR(F264&amp;"*"&amp;ROUND(L264*(G264/(G264+I264+K264))/VLOOKUP(F264,商品!$A$4:$D$67,4,FALSE),0),"")</f>
        <v/>
      </c>
      <c r="AC264" t="str">
        <f>IFERROR(H264&amp;"*"&amp;ROUND(L264*(I264/(G264+I264+K264))/VLOOKUP(H264,商品!$A$4:$D$67,4,FALSE),0),"")</f>
        <v/>
      </c>
      <c r="AD264" t="str">
        <f>IFERROR(J264&amp;"*"&amp;ROUND(L264*(K264/(G264+I264+K264))/VLOOKUP(J264,商品!$A$4:$D$67,4,FALSE),0),"")</f>
        <v/>
      </c>
      <c r="AE264" t="str">
        <f>IFERROR(M264&amp;"*"&amp;ROUND(Q264*(N264/(N264+P264))/VLOOKUP(M264,职业!$A$3:$E$16,4,FALSE),0),"")</f>
        <v/>
      </c>
      <c r="AF264" t="str">
        <f>IFERROR(O264&amp;"*"&amp;ROUND(Q264*(P264/(N264+P264))/VLOOKUP(O264,职业!$A$3:$E$16,4,FALSE),0),"")</f>
        <v/>
      </c>
      <c r="AG264" t="str">
        <f>IFERROR(R264&amp;"*"&amp;ROUND(V264*(S264/(S264+U264))/VLOOKUP(R264,商品!$A$4:$D$67,4,FALSE),0),"")</f>
        <v/>
      </c>
      <c r="AH264" t="str">
        <f>IFERROR(T264&amp;"*"&amp;ROUND(V264*(U264/(S264+U264))/VLOOKUP(T264,商品!$A$4:$D$67,4,FALSE),0),"")</f>
        <v/>
      </c>
    </row>
    <row r="265" customHeight="1" spans="1:34">
      <c r="A265" s="14" t="s">
        <v>333</v>
      </c>
      <c r="C265" s="2">
        <v>4</v>
      </c>
      <c r="D265" s="2" t="s">
        <v>220</v>
      </c>
      <c r="E265" s="2" t="s">
        <v>225</v>
      </c>
      <c r="L265" s="2">
        <f>IFERROR(VLOOKUP($D265&amp;$C265,生产方式定位!$A$2:$E$39,2,FALSE)+VLOOKUP($E265&amp;$C265,生产方式定位!$F$3:$J$39,2,FALSE),0)</f>
        <v>3500</v>
      </c>
      <c r="Q265" s="2">
        <f>IFERROR(VLOOKUP($D265&amp;$C265,生产方式定位!$A$2:$E$39,3,FALSE)+VLOOKUP($E265&amp;$C265,生产方式定位!$F$3:$J$39,3,FALSE),0)</f>
        <v>2600</v>
      </c>
      <c r="V265" s="2">
        <f>IFERROR(VLOOKUP($D265&amp;$C265,生产方式定位!$A$2:$E$39,5,FALSE)+VLOOKUP($E265&amp;$C265,生产方式定位!$F$3:$J$39,5,FALSE),"错误")</f>
        <v>3050</v>
      </c>
      <c r="W265" s="3" t="str">
        <f t="shared" si="20"/>
        <v/>
      </c>
      <c r="X265" s="4" t="str">
        <f t="shared" si="21"/>
        <v/>
      </c>
      <c r="Y265" s="4" t="str">
        <f t="shared" si="22"/>
        <v/>
      </c>
      <c r="Z265" s="5">
        <f t="shared" si="23"/>
        <v>1.15</v>
      </c>
      <c r="AA265" s="6">
        <f t="shared" si="24"/>
        <v>4</v>
      </c>
      <c r="AB265" t="str">
        <f>IFERROR(F265&amp;"*"&amp;ROUND(L265*(G265/(G265+I265+K265))/VLOOKUP(F265,商品!$A$4:$D$67,4,FALSE),0),"")</f>
        <v/>
      </c>
      <c r="AC265" t="str">
        <f>IFERROR(H265&amp;"*"&amp;ROUND(L265*(I265/(G265+I265+K265))/VLOOKUP(H265,商品!$A$4:$D$67,4,FALSE),0),"")</f>
        <v/>
      </c>
      <c r="AD265" t="str">
        <f>IFERROR(J265&amp;"*"&amp;ROUND(L265*(K265/(G265+I265+K265))/VLOOKUP(J265,商品!$A$4:$D$67,4,FALSE),0),"")</f>
        <v/>
      </c>
      <c r="AE265" t="str">
        <f>IFERROR(M265&amp;"*"&amp;ROUND(Q265*(N265/(N265+P265))/VLOOKUP(M265,职业!$A$3:$E$16,4,FALSE),0),"")</f>
        <v/>
      </c>
      <c r="AF265" t="str">
        <f>IFERROR(O265&amp;"*"&amp;ROUND(Q265*(P265/(N265+P265))/VLOOKUP(O265,职业!$A$3:$E$16,4,FALSE),0),"")</f>
        <v/>
      </c>
      <c r="AG265" t="str">
        <f>IFERROR(R265&amp;"*"&amp;ROUND(V265*(S265/(S265+U265))/VLOOKUP(R265,商品!$A$4:$D$67,4,FALSE),0),"")</f>
        <v/>
      </c>
      <c r="AH265" t="str">
        <f>IFERROR(T265&amp;"*"&amp;ROUND(V265*(U265/(S265+U265))/VLOOKUP(T265,商品!$A$4:$D$67,4,FALSE),0),"")</f>
        <v/>
      </c>
    </row>
    <row r="266" customHeight="1" spans="1:34">
      <c r="A266" s="14" t="s">
        <v>333</v>
      </c>
      <c r="C266" s="2">
        <v>5</v>
      </c>
      <c r="D266" s="2" t="s">
        <v>220</v>
      </c>
      <c r="E266" s="2" t="s">
        <v>225</v>
      </c>
      <c r="L266" s="2">
        <f>IFERROR(VLOOKUP($D266&amp;$C266,生产方式定位!$A$2:$E$39,2,FALSE)+VLOOKUP($E266&amp;$C266,生产方式定位!$F$3:$J$39,2,FALSE),0)</f>
        <v>4000</v>
      </c>
      <c r="Q266" s="2">
        <f>IFERROR(VLOOKUP($D266&amp;$C266,生产方式定位!$A$2:$E$39,3,FALSE)+VLOOKUP($E266&amp;$C266,生产方式定位!$F$3:$J$39,3,FALSE),0)</f>
        <v>2800</v>
      </c>
      <c r="V266" s="2">
        <f>IFERROR(VLOOKUP($D266&amp;$C266,生产方式定位!$A$2:$E$39,5,FALSE)+VLOOKUP($E266&amp;$C266,生产方式定位!$F$3:$J$39,5,FALSE),"错误")</f>
        <v>3400</v>
      </c>
      <c r="W266" s="3" t="str">
        <f t="shared" si="20"/>
        <v/>
      </c>
      <c r="X266" s="4" t="str">
        <f t="shared" si="21"/>
        <v/>
      </c>
      <c r="Y266" s="4" t="str">
        <f t="shared" si="22"/>
        <v/>
      </c>
      <c r="Z266" s="5">
        <f t="shared" si="23"/>
        <v>1.18</v>
      </c>
      <c r="AA266" s="6">
        <f t="shared" si="24"/>
        <v>5</v>
      </c>
      <c r="AB266" t="str">
        <f>IFERROR(F266&amp;"*"&amp;ROUND(L266*(G266/(G266+I266+K266))/VLOOKUP(F266,商品!$A$4:$D$67,4,FALSE),0),"")</f>
        <v/>
      </c>
      <c r="AC266" t="str">
        <f>IFERROR(H266&amp;"*"&amp;ROUND(L266*(I266/(G266+I266+K266))/VLOOKUP(H266,商品!$A$4:$D$67,4,FALSE),0),"")</f>
        <v/>
      </c>
      <c r="AD266" t="str">
        <f>IFERROR(J266&amp;"*"&amp;ROUND(L266*(K266/(G266+I266+K266))/VLOOKUP(J266,商品!$A$4:$D$67,4,FALSE),0),"")</f>
        <v/>
      </c>
      <c r="AE266" t="str">
        <f>IFERROR(M266&amp;"*"&amp;ROUND(Q266*(N266/(N266+P266))/VLOOKUP(M266,职业!$A$3:$E$16,4,FALSE),0),"")</f>
        <v/>
      </c>
      <c r="AF266" t="str">
        <f>IFERROR(O266&amp;"*"&amp;ROUND(Q266*(P266/(N266+P266))/VLOOKUP(O266,职业!$A$3:$E$16,4,FALSE),0),"")</f>
        <v/>
      </c>
      <c r="AG266" t="str">
        <f>IFERROR(R266&amp;"*"&amp;ROUND(V266*(S266/(S266+U266))/VLOOKUP(R266,商品!$A$4:$D$67,4,FALSE),0),"")</f>
        <v/>
      </c>
      <c r="AH266" t="str">
        <f>IFERROR(T266&amp;"*"&amp;ROUND(V266*(U266/(S266+U266))/VLOOKUP(T266,商品!$A$4:$D$67,4,FALSE),0),"")</f>
        <v/>
      </c>
    </row>
    <row r="267" customHeight="1" spans="1:34">
      <c r="A267" s="14" t="s">
        <v>333</v>
      </c>
      <c r="C267" s="2">
        <v>1</v>
      </c>
      <c r="D267" s="2" t="s">
        <v>220</v>
      </c>
      <c r="E267" s="2" t="s">
        <v>225</v>
      </c>
      <c r="L267" s="2">
        <f>IFERROR(VLOOKUP($D267&amp;$C267,生产方式定位!$A$2:$E$39,2,FALSE)+VLOOKUP($E267&amp;$C267,生产方式定位!$F$3:$J$39,2,FALSE),0)</f>
        <v>2000</v>
      </c>
      <c r="Q267" s="2">
        <f>IFERROR(VLOOKUP($D267&amp;$C267,生产方式定位!$A$2:$E$39,3,FALSE)+VLOOKUP($E267&amp;$C267,生产方式定位!$F$3:$J$39,3,FALSE),0)</f>
        <v>2000</v>
      </c>
      <c r="V267" s="2">
        <f>IFERROR(VLOOKUP($D267&amp;$C267,生产方式定位!$A$2:$E$39,5,FALSE)+VLOOKUP($E267&amp;$C267,生产方式定位!$F$3:$J$39,5,FALSE),"错误")</f>
        <v>2000</v>
      </c>
      <c r="W267" s="3" t="str">
        <f t="shared" si="20"/>
        <v/>
      </c>
      <c r="X267" s="4" t="str">
        <f t="shared" si="21"/>
        <v/>
      </c>
      <c r="Y267" s="4" t="str">
        <f t="shared" si="22"/>
        <v/>
      </c>
      <c r="Z267" s="5">
        <f t="shared" si="23"/>
        <v>1</v>
      </c>
      <c r="AA267" s="6">
        <f t="shared" si="24"/>
        <v>1</v>
      </c>
      <c r="AB267" t="str">
        <f>IFERROR(F267&amp;"*"&amp;ROUND(L267*(G267/(G267+I267+K267))/VLOOKUP(F267,商品!$A$4:$D$67,4,FALSE),0),"")</f>
        <v/>
      </c>
      <c r="AC267" t="str">
        <f>IFERROR(H267&amp;"*"&amp;ROUND(L267*(I267/(G267+I267+K267))/VLOOKUP(H267,商品!$A$4:$D$67,4,FALSE),0),"")</f>
        <v/>
      </c>
      <c r="AD267" t="str">
        <f>IFERROR(J267&amp;"*"&amp;ROUND(L267*(K267/(G267+I267+K267))/VLOOKUP(J267,商品!$A$4:$D$67,4,FALSE),0),"")</f>
        <v/>
      </c>
      <c r="AE267" t="str">
        <f>IFERROR(M267&amp;"*"&amp;ROUND(Q267*(N267/(N267+P267))/VLOOKUP(M267,职业!$A$3:$E$16,4,FALSE),0),"")</f>
        <v/>
      </c>
      <c r="AF267" t="str">
        <f>IFERROR(O267&amp;"*"&amp;ROUND(Q267*(P267/(N267+P267))/VLOOKUP(O267,职业!$A$3:$E$16,4,FALSE),0),"")</f>
        <v/>
      </c>
      <c r="AG267" t="str">
        <f>IFERROR(R267&amp;"*"&amp;ROUND(V267*(S267/(S267+U267))/VLOOKUP(R267,商品!$A$4:$D$67,4,FALSE),0),"")</f>
        <v/>
      </c>
      <c r="AH267" t="str">
        <f>IFERROR(T267&amp;"*"&amp;ROUND(V267*(U267/(S267+U267))/VLOOKUP(T267,商品!$A$4:$D$67,4,FALSE),0),"")</f>
        <v/>
      </c>
    </row>
    <row r="268" customHeight="1" spans="1:34">
      <c r="A268" s="14" t="s">
        <v>333</v>
      </c>
      <c r="C268" s="2">
        <v>2</v>
      </c>
      <c r="D268" s="2" t="s">
        <v>220</v>
      </c>
      <c r="E268" s="2" t="s">
        <v>225</v>
      </c>
      <c r="L268" s="2">
        <f>IFERROR(VLOOKUP($D268&amp;$C268,生产方式定位!$A$2:$E$39,2,FALSE)+VLOOKUP($E268&amp;$C268,生产方式定位!$F$3:$J$39,2,FALSE),0)</f>
        <v>2500</v>
      </c>
      <c r="Q268" s="2">
        <f>IFERROR(VLOOKUP($D268&amp;$C268,生产方式定位!$A$2:$E$39,3,FALSE)+VLOOKUP($E268&amp;$C268,生产方式定位!$F$3:$J$39,3,FALSE),0)</f>
        <v>2200</v>
      </c>
      <c r="V268" s="2">
        <f>IFERROR(VLOOKUP($D268&amp;$C268,生产方式定位!$A$2:$E$39,5,FALSE)+VLOOKUP($E268&amp;$C268,生产方式定位!$F$3:$J$39,5,FALSE),"错误")</f>
        <v>2350</v>
      </c>
      <c r="W268" s="3" t="str">
        <f t="shared" si="20"/>
        <v/>
      </c>
      <c r="X268" s="4" t="str">
        <f t="shared" si="21"/>
        <v/>
      </c>
      <c r="Y268" s="4" t="str">
        <f t="shared" si="22"/>
        <v/>
      </c>
      <c r="Z268" s="5">
        <f t="shared" si="23"/>
        <v>1.06</v>
      </c>
      <c r="AA268" s="6">
        <f t="shared" si="24"/>
        <v>2</v>
      </c>
      <c r="AB268" t="str">
        <f>IFERROR(F268&amp;"*"&amp;ROUND(L268*(G268/(G268+I268+K268))/VLOOKUP(F268,商品!$A$4:$D$67,4,FALSE),0),"")</f>
        <v/>
      </c>
      <c r="AC268" t="str">
        <f>IFERROR(H268&amp;"*"&amp;ROUND(L268*(I268/(G268+I268+K268))/VLOOKUP(H268,商品!$A$4:$D$67,4,FALSE),0),"")</f>
        <v/>
      </c>
      <c r="AD268" t="str">
        <f>IFERROR(J268&amp;"*"&amp;ROUND(L268*(K268/(G268+I268+K268))/VLOOKUP(J268,商品!$A$4:$D$67,4,FALSE),0),"")</f>
        <v/>
      </c>
      <c r="AE268" t="str">
        <f>IFERROR(M268&amp;"*"&amp;ROUND(Q268*(N268/(N268+P268))/VLOOKUP(M268,职业!$A$3:$E$16,4,FALSE),0),"")</f>
        <v/>
      </c>
      <c r="AF268" t="str">
        <f>IFERROR(O268&amp;"*"&amp;ROUND(Q268*(P268/(N268+P268))/VLOOKUP(O268,职业!$A$3:$E$16,4,FALSE),0),"")</f>
        <v/>
      </c>
      <c r="AG268" t="str">
        <f>IFERROR(R268&amp;"*"&amp;ROUND(V268*(S268/(S268+U268))/VLOOKUP(R268,商品!$A$4:$D$67,4,FALSE),0),"")</f>
        <v/>
      </c>
      <c r="AH268" t="str">
        <f>IFERROR(T268&amp;"*"&amp;ROUND(V268*(U268/(S268+U268))/VLOOKUP(T268,商品!$A$4:$D$67,4,FALSE),0),"")</f>
        <v/>
      </c>
    </row>
    <row r="269" customHeight="1" spans="1:34">
      <c r="A269" s="14" t="s">
        <v>333</v>
      </c>
      <c r="C269" s="2">
        <v>3</v>
      </c>
      <c r="D269" s="2" t="s">
        <v>220</v>
      </c>
      <c r="E269" s="2" t="s">
        <v>225</v>
      </c>
      <c r="L269" s="2">
        <f>IFERROR(VLOOKUP($D269&amp;$C269,生产方式定位!$A$2:$E$39,2,FALSE)+VLOOKUP($E269&amp;$C269,生产方式定位!$F$3:$J$39,2,FALSE),0)</f>
        <v>3000</v>
      </c>
      <c r="Q269" s="2">
        <f>IFERROR(VLOOKUP($D269&amp;$C269,生产方式定位!$A$2:$E$39,3,FALSE)+VLOOKUP($E269&amp;$C269,生产方式定位!$F$3:$J$39,3,FALSE),0)</f>
        <v>2400</v>
      </c>
      <c r="V269" s="2">
        <f>IFERROR(VLOOKUP($D269&amp;$C269,生产方式定位!$A$2:$E$39,5,FALSE)+VLOOKUP($E269&amp;$C269,生产方式定位!$F$3:$J$39,5,FALSE),"错误")</f>
        <v>2700</v>
      </c>
      <c r="W269" s="3" t="str">
        <f t="shared" si="20"/>
        <v/>
      </c>
      <c r="X269" s="4" t="str">
        <f t="shared" si="21"/>
        <v/>
      </c>
      <c r="Y269" s="4" t="str">
        <f t="shared" si="22"/>
        <v/>
      </c>
      <c r="Z269" s="5">
        <f t="shared" si="23"/>
        <v>1.11</v>
      </c>
      <c r="AA269" s="6">
        <f t="shared" si="24"/>
        <v>3</v>
      </c>
      <c r="AB269" t="str">
        <f>IFERROR(F269&amp;"*"&amp;ROUND(L269*(G269/(G269+I269+K269))/VLOOKUP(F269,商品!$A$4:$D$67,4,FALSE),0),"")</f>
        <v/>
      </c>
      <c r="AC269" t="str">
        <f>IFERROR(H269&amp;"*"&amp;ROUND(L269*(I269/(G269+I269+K269))/VLOOKUP(H269,商品!$A$4:$D$67,4,FALSE),0),"")</f>
        <v/>
      </c>
      <c r="AD269" t="str">
        <f>IFERROR(J269&amp;"*"&amp;ROUND(L269*(K269/(G269+I269+K269))/VLOOKUP(J269,商品!$A$4:$D$67,4,FALSE),0),"")</f>
        <v/>
      </c>
      <c r="AE269" t="str">
        <f>IFERROR(M269&amp;"*"&amp;ROUND(Q269*(N269/(N269+P269))/VLOOKUP(M269,职业!$A$3:$E$16,4,FALSE),0),"")</f>
        <v/>
      </c>
      <c r="AF269" t="str">
        <f>IFERROR(O269&amp;"*"&amp;ROUND(Q269*(P269/(N269+P269))/VLOOKUP(O269,职业!$A$3:$E$16,4,FALSE),0),"")</f>
        <v/>
      </c>
      <c r="AG269" t="str">
        <f>IFERROR(R269&amp;"*"&amp;ROUND(V269*(S269/(S269+U269))/VLOOKUP(R269,商品!$A$4:$D$67,4,FALSE),0),"")</f>
        <v/>
      </c>
      <c r="AH269" t="str">
        <f>IFERROR(T269&amp;"*"&amp;ROUND(V269*(U269/(S269+U269))/VLOOKUP(T269,商品!$A$4:$D$67,4,FALSE),0),"")</f>
        <v/>
      </c>
    </row>
    <row r="270" customHeight="1" spans="1:34">
      <c r="A270" s="15" t="s">
        <v>335</v>
      </c>
      <c r="C270" s="2">
        <v>4</v>
      </c>
      <c r="D270" s="2" t="s">
        <v>220</v>
      </c>
      <c r="E270" s="2" t="s">
        <v>222</v>
      </c>
      <c r="L270" s="2">
        <f>IFERROR(VLOOKUP($D270&amp;$C270,生产方式定位!$A$2:$E$39,2,FALSE)+VLOOKUP($E270&amp;$C270,生产方式定位!$F$3:$J$39,2,FALSE),0)</f>
        <v>6500</v>
      </c>
      <c r="Q270" s="2">
        <f>IFERROR(VLOOKUP($D270&amp;$C270,生产方式定位!$A$2:$E$39,3,FALSE)+VLOOKUP($E270&amp;$C270,生产方式定位!$F$3:$J$39,3,FALSE),0)</f>
        <v>3200</v>
      </c>
      <c r="V270" s="2">
        <f>IFERROR(VLOOKUP($D270&amp;$C270,生产方式定位!$A$2:$E$39,5,FALSE)+VLOOKUP($E270&amp;$C270,生产方式定位!$F$3:$J$39,5,FALSE),"错误")</f>
        <v>5498</v>
      </c>
      <c r="W270" s="3" t="str">
        <f t="shared" si="20"/>
        <v/>
      </c>
      <c r="X270" s="4" t="str">
        <f t="shared" si="21"/>
        <v/>
      </c>
      <c r="Y270" s="4" t="str">
        <f t="shared" si="22"/>
        <v/>
      </c>
      <c r="Z270" s="5">
        <f t="shared" si="23"/>
        <v>1.18</v>
      </c>
      <c r="AA270" s="6">
        <f t="shared" si="24"/>
        <v>4</v>
      </c>
      <c r="AB270" t="str">
        <f>IFERROR(F270&amp;"*"&amp;ROUND(L270*(G270/(G270+I270+K270))/VLOOKUP(F270,商品!$A$4:$D$67,4,FALSE),0),"")</f>
        <v/>
      </c>
      <c r="AC270" t="str">
        <f>IFERROR(H270&amp;"*"&amp;ROUND(L270*(I270/(G270+I270+K270))/VLOOKUP(H270,商品!$A$4:$D$67,4,FALSE),0),"")</f>
        <v/>
      </c>
      <c r="AD270" t="str">
        <f>IFERROR(J270&amp;"*"&amp;ROUND(L270*(K270/(G270+I270+K270))/VLOOKUP(J270,商品!$A$4:$D$67,4,FALSE),0),"")</f>
        <v/>
      </c>
      <c r="AE270" t="str">
        <f>IFERROR(M270&amp;"*"&amp;ROUND(Q270*(N270/(N270+P270))/VLOOKUP(M270,职业!$A$3:$E$16,4,FALSE),0),"")</f>
        <v/>
      </c>
      <c r="AF270" t="str">
        <f>IFERROR(O270&amp;"*"&amp;ROUND(Q270*(P270/(N270+P270))/VLOOKUP(O270,职业!$A$3:$E$16,4,FALSE),0),"")</f>
        <v/>
      </c>
      <c r="AG270" t="str">
        <f>IFERROR(R270&amp;"*"&amp;ROUND(V270*(S270/(S270+U270))/VLOOKUP(R270,商品!$A$4:$D$67,4,FALSE),0),"")</f>
        <v/>
      </c>
      <c r="AH270" t="str">
        <f>IFERROR(T270&amp;"*"&amp;ROUND(V270*(U270/(S270+U270))/VLOOKUP(T270,商品!$A$4:$D$67,4,FALSE),0),"")</f>
        <v/>
      </c>
    </row>
    <row r="271" customHeight="1" spans="1:34">
      <c r="A271" s="15" t="s">
        <v>335</v>
      </c>
      <c r="C271" s="2">
        <v>5</v>
      </c>
      <c r="D271" s="2" t="s">
        <v>220</v>
      </c>
      <c r="E271" s="2" t="s">
        <v>222</v>
      </c>
      <c r="L271" s="2">
        <f>IFERROR(VLOOKUP($D271&amp;$C271,生产方式定位!$A$2:$E$39,2,FALSE)+VLOOKUP($E271&amp;$C271,生产方式定位!$F$3:$J$39,2,FALSE),0)</f>
        <v>8000</v>
      </c>
      <c r="Q271" s="2">
        <f>IFERROR(VLOOKUP($D271&amp;$C271,生产方式定位!$A$2:$E$39,3,FALSE)+VLOOKUP($E271&amp;$C271,生产方式定位!$F$3:$J$39,3,FALSE),0)</f>
        <v>3600</v>
      </c>
      <c r="V271" s="2">
        <f>IFERROR(VLOOKUP($D271&amp;$C271,生产方式定位!$A$2:$E$39,5,FALSE)+VLOOKUP($E271&amp;$C271,生产方式定位!$F$3:$J$39,5,FALSE),"错误")</f>
        <v>7000</v>
      </c>
      <c r="W271" s="3" t="str">
        <f t="shared" si="20"/>
        <v/>
      </c>
      <c r="X271" s="4" t="str">
        <f t="shared" si="21"/>
        <v/>
      </c>
      <c r="Y271" s="4" t="str">
        <f t="shared" si="22"/>
        <v/>
      </c>
      <c r="Z271" s="5">
        <f t="shared" si="23"/>
        <v>1.14</v>
      </c>
      <c r="AA271" s="6">
        <f t="shared" si="24"/>
        <v>5</v>
      </c>
      <c r="AB271" t="str">
        <f>IFERROR(F271&amp;"*"&amp;ROUND(L271*(G271/(G271+I271+K271))/VLOOKUP(F271,商品!$A$4:$D$67,4,FALSE),0),"")</f>
        <v/>
      </c>
      <c r="AC271" t="str">
        <f>IFERROR(H271&amp;"*"&amp;ROUND(L271*(I271/(G271+I271+K271))/VLOOKUP(H271,商品!$A$4:$D$67,4,FALSE),0),"")</f>
        <v/>
      </c>
      <c r="AD271" t="str">
        <f>IFERROR(J271&amp;"*"&amp;ROUND(L271*(K271/(G271+I271+K271))/VLOOKUP(J271,商品!$A$4:$D$67,4,FALSE),0),"")</f>
        <v/>
      </c>
      <c r="AE271" t="str">
        <f>IFERROR(M271&amp;"*"&amp;ROUND(Q271*(N271/(N271+P271))/VLOOKUP(M271,职业!$A$3:$E$16,4,FALSE),0),"")</f>
        <v/>
      </c>
      <c r="AF271" t="str">
        <f>IFERROR(O271&amp;"*"&amp;ROUND(Q271*(P271/(N271+P271))/VLOOKUP(O271,职业!$A$3:$E$16,4,FALSE),0),"")</f>
        <v/>
      </c>
      <c r="AG271" t="str">
        <f>IFERROR(R271&amp;"*"&amp;ROUND(V271*(S271/(S271+U271))/VLOOKUP(R271,商品!$A$4:$D$67,4,FALSE),0),"")</f>
        <v/>
      </c>
      <c r="AH271" t="str">
        <f>IFERROR(T271&amp;"*"&amp;ROUND(V271*(U271/(S271+U271))/VLOOKUP(T271,商品!$A$4:$D$67,4,FALSE),0),"")</f>
        <v/>
      </c>
    </row>
    <row r="272" customHeight="1" spans="1:34">
      <c r="A272" s="15" t="s">
        <v>335</v>
      </c>
      <c r="C272" s="2">
        <v>1</v>
      </c>
      <c r="D272" s="2" t="s">
        <v>220</v>
      </c>
      <c r="E272" s="2" t="s">
        <v>222</v>
      </c>
      <c r="L272" s="2">
        <f>IFERROR(VLOOKUP($D272&amp;$C272,生产方式定位!$A$2:$E$39,2,FALSE)+VLOOKUP($E272&amp;$C272,生产方式定位!$F$3:$J$39,2,FALSE),0)</f>
        <v>2000</v>
      </c>
      <c r="Q272" s="2">
        <f>IFERROR(VLOOKUP($D272&amp;$C272,生产方式定位!$A$2:$E$39,3,FALSE)+VLOOKUP($E272&amp;$C272,生产方式定位!$F$3:$J$39,3,FALSE),0)</f>
        <v>2000</v>
      </c>
      <c r="V272" s="2">
        <f>IFERROR(VLOOKUP($D272&amp;$C272,生产方式定位!$A$2:$E$39,5,FALSE)+VLOOKUP($E272&amp;$C272,生产方式定位!$F$3:$J$39,5,FALSE),"错误")</f>
        <v>2000</v>
      </c>
      <c r="W272" s="3" t="str">
        <f t="shared" si="20"/>
        <v/>
      </c>
      <c r="X272" s="4" t="str">
        <f t="shared" si="21"/>
        <v/>
      </c>
      <c r="Y272" s="4" t="str">
        <f t="shared" si="22"/>
        <v/>
      </c>
      <c r="Z272" s="5">
        <f t="shared" si="23"/>
        <v>1</v>
      </c>
      <c r="AA272" s="6">
        <f t="shared" si="24"/>
        <v>1</v>
      </c>
      <c r="AB272" t="str">
        <f>IFERROR(F272&amp;"*"&amp;ROUND(L272*(G272/(G272+I272+K272))/VLOOKUP(F272,商品!$A$4:$D$67,4,FALSE),0),"")</f>
        <v/>
      </c>
      <c r="AC272" t="str">
        <f>IFERROR(H272&amp;"*"&amp;ROUND(L272*(I272/(G272+I272+K272))/VLOOKUP(H272,商品!$A$4:$D$67,4,FALSE),0),"")</f>
        <v/>
      </c>
      <c r="AD272" t="str">
        <f>IFERROR(J272&amp;"*"&amp;ROUND(L272*(K272/(G272+I272+K272))/VLOOKUP(J272,商品!$A$4:$D$67,4,FALSE),0),"")</f>
        <v/>
      </c>
      <c r="AE272" t="str">
        <f>IFERROR(M272&amp;"*"&amp;ROUND(Q272*(N272/(N272+P272))/VLOOKUP(M272,职业!$A$3:$E$16,4,FALSE),0),"")</f>
        <v/>
      </c>
      <c r="AF272" t="str">
        <f>IFERROR(O272&amp;"*"&amp;ROUND(Q272*(P272/(N272+P272))/VLOOKUP(O272,职业!$A$3:$E$16,4,FALSE),0),"")</f>
        <v/>
      </c>
      <c r="AG272" t="str">
        <f>IFERROR(R272&amp;"*"&amp;ROUND(V272*(S272/(S272+U272))/VLOOKUP(R272,商品!$A$4:$D$67,4,FALSE),0),"")</f>
        <v/>
      </c>
      <c r="AH272" t="str">
        <f>IFERROR(T272&amp;"*"&amp;ROUND(V272*(U272/(S272+U272))/VLOOKUP(T272,商品!$A$4:$D$67,4,FALSE),0),"")</f>
        <v/>
      </c>
    </row>
    <row r="273" customHeight="1" spans="1:34">
      <c r="A273" s="15" t="s">
        <v>335</v>
      </c>
      <c r="C273" s="2">
        <v>2</v>
      </c>
      <c r="D273" s="2" t="s">
        <v>220</v>
      </c>
      <c r="E273" s="2" t="s">
        <v>222</v>
      </c>
      <c r="L273" s="2">
        <f>IFERROR(VLOOKUP($D273&amp;$C273,生产方式定位!$A$2:$E$39,2,FALSE)+VLOOKUP($E273&amp;$C273,生产方式定位!$F$3:$J$39,2,FALSE),0)</f>
        <v>3500</v>
      </c>
      <c r="Q273" s="2">
        <f>IFERROR(VLOOKUP($D273&amp;$C273,生产方式定位!$A$2:$E$39,3,FALSE)+VLOOKUP($E273&amp;$C273,生产方式定位!$F$3:$J$39,3,FALSE),0)</f>
        <v>2400</v>
      </c>
      <c r="V273" s="2">
        <f>IFERROR(VLOOKUP($D273&amp;$C273,生产方式定位!$A$2:$E$39,5,FALSE)+VLOOKUP($E273&amp;$C273,生产方式定位!$F$3:$J$39,5,FALSE),"错误")</f>
        <v>3022</v>
      </c>
      <c r="W273" s="3" t="str">
        <f t="shared" si="20"/>
        <v/>
      </c>
      <c r="X273" s="4" t="str">
        <f t="shared" si="21"/>
        <v/>
      </c>
      <c r="Y273" s="4" t="str">
        <f t="shared" si="22"/>
        <v/>
      </c>
      <c r="Z273" s="5">
        <f t="shared" si="23"/>
        <v>1.16</v>
      </c>
      <c r="AA273" s="6">
        <f t="shared" si="24"/>
        <v>2</v>
      </c>
      <c r="AB273" t="str">
        <f>IFERROR(F273&amp;"*"&amp;ROUND(L273*(G273/(G273+I273+K273))/VLOOKUP(F273,商品!$A$4:$D$67,4,FALSE),0),"")</f>
        <v/>
      </c>
      <c r="AC273" t="str">
        <f>IFERROR(H273&amp;"*"&amp;ROUND(L273*(I273/(G273+I273+K273))/VLOOKUP(H273,商品!$A$4:$D$67,4,FALSE),0),"")</f>
        <v/>
      </c>
      <c r="AD273" t="str">
        <f>IFERROR(J273&amp;"*"&amp;ROUND(L273*(K273/(G273+I273+K273))/VLOOKUP(J273,商品!$A$4:$D$67,4,FALSE),0),"")</f>
        <v/>
      </c>
      <c r="AE273" t="str">
        <f>IFERROR(M273&amp;"*"&amp;ROUND(Q273*(N273/(N273+P273))/VLOOKUP(M273,职业!$A$3:$E$16,4,FALSE),0),"")</f>
        <v/>
      </c>
      <c r="AF273" t="str">
        <f>IFERROR(O273&amp;"*"&amp;ROUND(Q273*(P273/(N273+P273))/VLOOKUP(O273,职业!$A$3:$E$16,4,FALSE),0),"")</f>
        <v/>
      </c>
      <c r="AG273" t="str">
        <f>IFERROR(R273&amp;"*"&amp;ROUND(V273*(S273/(S273+U273))/VLOOKUP(R273,商品!$A$4:$D$67,4,FALSE),0),"")</f>
        <v/>
      </c>
      <c r="AH273" t="str">
        <f>IFERROR(T273&amp;"*"&amp;ROUND(V273*(U273/(S273+U273))/VLOOKUP(T273,商品!$A$4:$D$67,4,FALSE),0),"")</f>
        <v/>
      </c>
    </row>
    <row r="274" customHeight="1" spans="1:34">
      <c r="A274" s="15" t="s">
        <v>335</v>
      </c>
      <c r="C274" s="2">
        <v>3</v>
      </c>
      <c r="D274" s="2" t="s">
        <v>220</v>
      </c>
      <c r="E274" s="2" t="s">
        <v>222</v>
      </c>
      <c r="L274" s="2">
        <f>IFERROR(VLOOKUP($D274&amp;$C274,生产方式定位!$A$2:$E$39,2,FALSE)+VLOOKUP($E274&amp;$C274,生产方式定位!$F$3:$J$39,2,FALSE),0)</f>
        <v>5000</v>
      </c>
      <c r="Q274" s="2">
        <f>IFERROR(VLOOKUP($D274&amp;$C274,生产方式定位!$A$2:$E$39,3,FALSE)+VLOOKUP($E274&amp;$C274,生产方式定位!$F$3:$J$39,3,FALSE),0)</f>
        <v>2800</v>
      </c>
      <c r="V274" s="2">
        <f>IFERROR(VLOOKUP($D274&amp;$C274,生产方式定位!$A$2:$E$39,5,FALSE)+VLOOKUP($E274&amp;$C274,生产方式定位!$F$3:$J$39,5,FALSE),"错误")</f>
        <v>4188</v>
      </c>
      <c r="W274" s="3" t="str">
        <f t="shared" si="20"/>
        <v/>
      </c>
      <c r="X274" s="4" t="str">
        <f t="shared" si="21"/>
        <v/>
      </c>
      <c r="Y274" s="4" t="str">
        <f t="shared" si="22"/>
        <v/>
      </c>
      <c r="Z274" s="5">
        <f t="shared" si="23"/>
        <v>1.19</v>
      </c>
      <c r="AA274" s="6">
        <f t="shared" si="24"/>
        <v>3</v>
      </c>
      <c r="AB274" t="str">
        <f>IFERROR(F274&amp;"*"&amp;ROUND(L274*(G274/(G274+I274+K274))/VLOOKUP(F274,商品!$A$4:$D$67,4,FALSE),0),"")</f>
        <v/>
      </c>
      <c r="AC274" t="str">
        <f>IFERROR(H274&amp;"*"&amp;ROUND(L274*(I274/(G274+I274+K274))/VLOOKUP(H274,商品!$A$4:$D$67,4,FALSE),0),"")</f>
        <v/>
      </c>
      <c r="AD274" t="str">
        <f>IFERROR(J274&amp;"*"&amp;ROUND(L274*(K274/(G274+I274+K274))/VLOOKUP(J274,商品!$A$4:$D$67,4,FALSE),0),"")</f>
        <v/>
      </c>
      <c r="AE274" t="str">
        <f>IFERROR(M274&amp;"*"&amp;ROUND(Q274*(N274/(N274+P274))/VLOOKUP(M274,职业!$A$3:$E$16,4,FALSE),0),"")</f>
        <v/>
      </c>
      <c r="AF274" t="str">
        <f>IFERROR(O274&amp;"*"&amp;ROUND(Q274*(P274/(N274+P274))/VLOOKUP(O274,职业!$A$3:$E$16,4,FALSE),0),"")</f>
        <v/>
      </c>
      <c r="AG274" t="str">
        <f>IFERROR(R274&amp;"*"&amp;ROUND(V274*(S274/(S274+U274))/VLOOKUP(R274,商品!$A$4:$D$67,4,FALSE),0),"")</f>
        <v/>
      </c>
      <c r="AH274" t="str">
        <f>IFERROR(T274&amp;"*"&amp;ROUND(V274*(U274/(S274+U274))/VLOOKUP(T274,商品!$A$4:$D$67,4,FALSE),0),"")</f>
        <v/>
      </c>
    </row>
    <row r="275" customHeight="1" spans="1:34">
      <c r="A275" s="14" t="s">
        <v>336</v>
      </c>
      <c r="C275" s="2">
        <v>4</v>
      </c>
      <c r="D275" s="2" t="s">
        <v>220</v>
      </c>
      <c r="E275" s="2" t="s">
        <v>223</v>
      </c>
      <c r="L275" s="2">
        <f>IFERROR(VLOOKUP($D275&amp;$C275,生产方式定位!$A$2:$E$39,2,FALSE)+VLOOKUP($E275&amp;$C275,生产方式定位!$F$3:$J$39,2,FALSE),0)</f>
        <v>6500</v>
      </c>
      <c r="Q275" s="2">
        <f>IFERROR(VLOOKUP($D275&amp;$C275,生产方式定位!$A$2:$E$39,3,FALSE)+VLOOKUP($E275&amp;$C275,生产方式定位!$F$3:$J$39,3,FALSE),0)</f>
        <v>6600</v>
      </c>
      <c r="V275" s="2">
        <f>IFERROR(VLOOKUP($D275&amp;$C275,生产方式定位!$A$2:$E$39,5,FALSE)+VLOOKUP($E275&amp;$C275,生产方式定位!$F$3:$J$39,5,FALSE),"错误")</f>
        <v>6865</v>
      </c>
      <c r="W275" s="3" t="str">
        <f t="shared" si="20"/>
        <v/>
      </c>
      <c r="X275" s="4" t="str">
        <f t="shared" si="21"/>
        <v/>
      </c>
      <c r="Y275" s="4" t="str">
        <f t="shared" si="22"/>
        <v/>
      </c>
      <c r="Z275" s="5">
        <f t="shared" si="23"/>
        <v>0.95</v>
      </c>
      <c r="AA275" s="6">
        <f t="shared" si="24"/>
        <v>4</v>
      </c>
      <c r="AB275" t="str">
        <f>IFERROR(F275&amp;"*"&amp;ROUND(L275*(G275/(G275+I275+K275))/VLOOKUP(F275,商品!$A$4:$D$67,4,FALSE),0),"")</f>
        <v/>
      </c>
      <c r="AC275" t="str">
        <f>IFERROR(H275&amp;"*"&amp;ROUND(L275*(I275/(G275+I275+K275))/VLOOKUP(H275,商品!$A$4:$D$67,4,FALSE),0),"")</f>
        <v/>
      </c>
      <c r="AD275" t="str">
        <f>IFERROR(J275&amp;"*"&amp;ROUND(L275*(K275/(G275+I275+K275))/VLOOKUP(J275,商品!$A$4:$D$67,4,FALSE),0),"")</f>
        <v/>
      </c>
      <c r="AE275" t="str">
        <f>IFERROR(M275&amp;"*"&amp;ROUND(Q275*(N275/(N275+P275))/VLOOKUP(M275,职业!$A$3:$E$16,4,FALSE),0),"")</f>
        <v/>
      </c>
      <c r="AF275" t="str">
        <f>IFERROR(O275&amp;"*"&amp;ROUND(Q275*(P275/(N275+P275))/VLOOKUP(O275,职业!$A$3:$E$16,4,FALSE),0),"")</f>
        <v/>
      </c>
      <c r="AG275" t="str">
        <f>IFERROR(R275&amp;"*"&amp;ROUND(V275*(S275/(S275+U275))/VLOOKUP(R275,商品!$A$4:$D$67,4,FALSE),0),"")</f>
        <v/>
      </c>
      <c r="AH275" t="str">
        <f>IFERROR(T275&amp;"*"&amp;ROUND(V275*(U275/(S275+U275))/VLOOKUP(T275,商品!$A$4:$D$67,4,FALSE),0),"")</f>
        <v/>
      </c>
    </row>
    <row r="276" customHeight="1" spans="1:34">
      <c r="A276" s="14" t="s">
        <v>336</v>
      </c>
      <c r="C276" s="2">
        <v>5</v>
      </c>
      <c r="D276" s="2" t="s">
        <v>220</v>
      </c>
      <c r="E276" s="2" t="s">
        <v>223</v>
      </c>
      <c r="L276" s="2">
        <f>IFERROR(VLOOKUP($D276&amp;$C276,生产方式定位!$A$2:$E$39,2,FALSE)+VLOOKUP($E276&amp;$C276,生产方式定位!$F$3:$J$39,2,FALSE),0)</f>
        <v>8000</v>
      </c>
      <c r="Q276" s="2">
        <f>IFERROR(VLOOKUP($D276&amp;$C276,生产方式定位!$A$2:$E$39,3,FALSE)+VLOOKUP($E276&amp;$C276,生产方式定位!$F$3:$J$39,3,FALSE),0)</f>
        <v>7800</v>
      </c>
      <c r="V276" s="2">
        <f>IFERROR(VLOOKUP($D276&amp;$C276,生产方式定位!$A$2:$E$39,5,FALSE)+VLOOKUP($E276&amp;$C276,生产方式定位!$F$3:$J$39,5,FALSE),"错误")</f>
        <v>8463</v>
      </c>
      <c r="W276" s="3" t="str">
        <f t="shared" si="20"/>
        <v/>
      </c>
      <c r="X276" s="4" t="str">
        <f t="shared" si="21"/>
        <v/>
      </c>
      <c r="Y276" s="4" t="str">
        <f t="shared" si="22"/>
        <v/>
      </c>
      <c r="Z276" s="5">
        <f t="shared" si="23"/>
        <v>0.95</v>
      </c>
      <c r="AA276" s="6">
        <f t="shared" si="24"/>
        <v>5</v>
      </c>
      <c r="AB276" t="str">
        <f>IFERROR(F276&amp;"*"&amp;ROUND(L276*(G276/(G276+I276+K276))/VLOOKUP(F276,商品!$A$4:$D$67,4,FALSE),0),"")</f>
        <v/>
      </c>
      <c r="AC276" t="str">
        <f>IFERROR(H276&amp;"*"&amp;ROUND(L276*(I276/(G276+I276+K276))/VLOOKUP(H276,商品!$A$4:$D$67,4,FALSE),0),"")</f>
        <v/>
      </c>
      <c r="AD276" t="str">
        <f>IFERROR(J276&amp;"*"&amp;ROUND(L276*(K276/(G276+I276+K276))/VLOOKUP(J276,商品!$A$4:$D$67,4,FALSE),0),"")</f>
        <v/>
      </c>
      <c r="AE276" t="str">
        <f>IFERROR(M276&amp;"*"&amp;ROUND(Q276*(N276/(N276+P276))/VLOOKUP(M276,职业!$A$3:$E$16,4,FALSE),0),"")</f>
        <v/>
      </c>
      <c r="AF276" t="str">
        <f>IFERROR(O276&amp;"*"&amp;ROUND(Q276*(P276/(N276+P276))/VLOOKUP(O276,职业!$A$3:$E$16,4,FALSE),0),"")</f>
        <v/>
      </c>
      <c r="AG276" t="str">
        <f>IFERROR(R276&amp;"*"&amp;ROUND(V276*(S276/(S276+U276))/VLOOKUP(R276,商品!$A$4:$D$67,4,FALSE),0),"")</f>
        <v/>
      </c>
      <c r="AH276" t="str">
        <f>IFERROR(T276&amp;"*"&amp;ROUND(V276*(U276/(S276+U276))/VLOOKUP(T276,商品!$A$4:$D$67,4,FALSE),0),"")</f>
        <v/>
      </c>
    </row>
    <row r="277" customHeight="1" spans="1:34">
      <c r="A277" s="14" t="s">
        <v>336</v>
      </c>
      <c r="C277" s="2">
        <v>6</v>
      </c>
      <c r="D277" s="2" t="s">
        <v>220</v>
      </c>
      <c r="E277" s="2" t="s">
        <v>223</v>
      </c>
      <c r="L277" s="2">
        <f>IFERROR(VLOOKUP($D277&amp;$C277,生产方式定位!$A$2:$E$39,2,FALSE)+VLOOKUP($E277&amp;$C277,生产方式定位!$F$3:$J$39,2,FALSE),0)</f>
        <v>0</v>
      </c>
      <c r="Q277" s="2">
        <f>IFERROR(VLOOKUP($D277&amp;$C277,生产方式定位!$A$2:$E$39,3,FALSE)+VLOOKUP($E277&amp;$C277,生产方式定位!$F$3:$J$39,3,FALSE),0)</f>
        <v>0</v>
      </c>
      <c r="V277" s="2" t="str">
        <f>IFERROR(VLOOKUP($D277&amp;$C277,生产方式定位!$A$2:$E$39,5,FALSE)+VLOOKUP($E277&amp;$C277,生产方式定位!$F$3:$J$39,5,FALSE),"错误")</f>
        <v>错误</v>
      </c>
      <c r="W277" s="3" t="str">
        <f t="shared" si="20"/>
        <v/>
      </c>
      <c r="X277" s="4" t="str">
        <f t="shared" si="21"/>
        <v/>
      </c>
      <c r="Y277" s="4" t="str">
        <f t="shared" si="22"/>
        <v/>
      </c>
      <c r="Z277" s="5" t="str">
        <f t="shared" si="23"/>
        <v/>
      </c>
      <c r="AA277" s="6">
        <f t="shared" si="24"/>
        <v>6</v>
      </c>
      <c r="AB277" t="str">
        <f>IFERROR(F277&amp;"*"&amp;ROUND(L277*(G277/(G277+I277+K277))/VLOOKUP(F277,商品!$A$4:$D$67,4,FALSE),0),"")</f>
        <v/>
      </c>
      <c r="AC277" t="str">
        <f>IFERROR(H277&amp;"*"&amp;ROUND(L277*(I277/(G277+I277+K277))/VLOOKUP(H277,商品!$A$4:$D$67,4,FALSE),0),"")</f>
        <v/>
      </c>
      <c r="AD277" t="str">
        <f>IFERROR(J277&amp;"*"&amp;ROUND(L277*(K277/(G277+I277+K277))/VLOOKUP(J277,商品!$A$4:$D$67,4,FALSE),0),"")</f>
        <v/>
      </c>
      <c r="AE277" t="str">
        <f>IFERROR(M277&amp;"*"&amp;ROUND(Q277*(N277/(N277+P277))/VLOOKUP(M277,职业!$A$3:$E$16,4,FALSE),0),"")</f>
        <v/>
      </c>
      <c r="AF277" t="str">
        <f>IFERROR(O277&amp;"*"&amp;ROUND(Q277*(P277/(N277+P277))/VLOOKUP(O277,职业!$A$3:$E$16,4,FALSE),0),"")</f>
        <v/>
      </c>
      <c r="AG277" t="str">
        <f>IFERROR(R277&amp;"*"&amp;ROUND(V277*(S277/(S277+U277))/VLOOKUP(R277,商品!$A$4:$D$67,4,FALSE),0),"")</f>
        <v/>
      </c>
      <c r="AH277" t="str">
        <f>IFERROR(T277&amp;"*"&amp;ROUND(V277*(U277/(S277+U277))/VLOOKUP(T277,商品!$A$4:$D$67,4,FALSE),0),"")</f>
        <v/>
      </c>
    </row>
    <row r="278" customHeight="1" spans="1:34">
      <c r="A278" s="14" t="s">
        <v>336</v>
      </c>
      <c r="C278" s="2">
        <v>7</v>
      </c>
      <c r="D278" s="2" t="s">
        <v>220</v>
      </c>
      <c r="E278" s="2" t="s">
        <v>223</v>
      </c>
      <c r="L278" s="2">
        <f>IFERROR(VLOOKUP($D278&amp;$C278,生产方式定位!$A$2:$E$39,2,FALSE)+VLOOKUP($E278&amp;$C278,生产方式定位!$F$3:$J$39,2,FALSE),0)</f>
        <v>0</v>
      </c>
      <c r="Q278" s="2">
        <f>IFERROR(VLOOKUP($D278&amp;$C278,生产方式定位!$A$2:$E$39,3,FALSE)+VLOOKUP($E278&amp;$C278,生产方式定位!$F$3:$J$39,3,FALSE),0)</f>
        <v>0</v>
      </c>
      <c r="V278" s="2" t="str">
        <f>IFERROR(VLOOKUP($D278&amp;$C278,生产方式定位!$A$2:$E$39,5,FALSE)+VLOOKUP($E278&amp;$C278,生产方式定位!$F$3:$J$39,5,FALSE),"错误")</f>
        <v>错误</v>
      </c>
      <c r="W278" s="3" t="str">
        <f t="shared" si="20"/>
        <v/>
      </c>
      <c r="X278" s="4" t="str">
        <f t="shared" si="21"/>
        <v/>
      </c>
      <c r="Y278" s="4" t="str">
        <f t="shared" si="22"/>
        <v/>
      </c>
      <c r="Z278" s="5" t="str">
        <f t="shared" si="23"/>
        <v/>
      </c>
      <c r="AA278" s="6">
        <f t="shared" si="24"/>
        <v>7</v>
      </c>
      <c r="AB278" t="str">
        <f>IFERROR(F278&amp;"*"&amp;ROUND(L278*(G278/(G278+I278+K278))/VLOOKUP(F278,商品!$A$4:$D$67,4,FALSE),0),"")</f>
        <v/>
      </c>
      <c r="AC278" t="str">
        <f>IFERROR(H278&amp;"*"&amp;ROUND(L278*(I278/(G278+I278+K278))/VLOOKUP(H278,商品!$A$4:$D$67,4,FALSE),0),"")</f>
        <v/>
      </c>
      <c r="AD278" t="str">
        <f>IFERROR(J278&amp;"*"&amp;ROUND(L278*(K278/(G278+I278+K278))/VLOOKUP(J278,商品!$A$4:$D$67,4,FALSE),0),"")</f>
        <v/>
      </c>
      <c r="AE278" t="str">
        <f>IFERROR(M278&amp;"*"&amp;ROUND(Q278*(N278/(N278+P278))/VLOOKUP(M278,职业!$A$3:$E$16,4,FALSE),0),"")</f>
        <v/>
      </c>
      <c r="AF278" t="str">
        <f>IFERROR(O278&amp;"*"&amp;ROUND(Q278*(P278/(N278+P278))/VLOOKUP(O278,职业!$A$3:$E$16,4,FALSE),0),"")</f>
        <v/>
      </c>
      <c r="AG278" t="str">
        <f>IFERROR(R278&amp;"*"&amp;ROUND(V278*(S278/(S278+U278))/VLOOKUP(R278,商品!$A$4:$D$67,4,FALSE),0),"")</f>
        <v/>
      </c>
      <c r="AH278" t="str">
        <f>IFERROR(T278&amp;"*"&amp;ROUND(V278*(U278/(S278+U278))/VLOOKUP(T278,商品!$A$4:$D$67,4,FALSE),0),"")</f>
        <v/>
      </c>
    </row>
    <row r="279" customHeight="1" spans="1:34">
      <c r="A279" s="14" t="s">
        <v>336</v>
      </c>
      <c r="C279" s="2">
        <v>8</v>
      </c>
      <c r="D279" s="2" t="s">
        <v>220</v>
      </c>
      <c r="E279" s="2" t="s">
        <v>223</v>
      </c>
      <c r="L279" s="2">
        <f>IFERROR(VLOOKUP($D279&amp;$C279,生产方式定位!$A$2:$E$39,2,FALSE)+VLOOKUP($E279&amp;$C279,生产方式定位!$F$3:$J$39,2,FALSE),0)</f>
        <v>0</v>
      </c>
      <c r="Q279" s="2">
        <f>IFERROR(VLOOKUP($D279&amp;$C279,生产方式定位!$A$2:$E$39,3,FALSE)+VLOOKUP($E279&amp;$C279,生产方式定位!$F$3:$J$39,3,FALSE),0)</f>
        <v>0</v>
      </c>
      <c r="V279" s="2" t="str">
        <f>IFERROR(VLOOKUP($D279&amp;$C279,生产方式定位!$A$2:$E$39,5,FALSE)+VLOOKUP($E279&amp;$C279,生产方式定位!$F$3:$J$39,5,FALSE),"错误")</f>
        <v>错误</v>
      </c>
      <c r="W279" s="3" t="str">
        <f t="shared" si="20"/>
        <v/>
      </c>
      <c r="X279" s="4" t="str">
        <f t="shared" si="21"/>
        <v/>
      </c>
      <c r="Y279" s="4" t="str">
        <f t="shared" si="22"/>
        <v/>
      </c>
      <c r="Z279" s="5" t="str">
        <f t="shared" si="23"/>
        <v/>
      </c>
      <c r="AA279" s="6">
        <f t="shared" si="24"/>
        <v>8</v>
      </c>
      <c r="AB279" t="str">
        <f>IFERROR(F279&amp;"*"&amp;ROUND(L279*(G279/(G279+I279+K279))/VLOOKUP(F279,商品!$A$4:$D$67,4,FALSE),0),"")</f>
        <v/>
      </c>
      <c r="AC279" t="str">
        <f>IFERROR(H279&amp;"*"&amp;ROUND(L279*(I279/(G279+I279+K279))/VLOOKUP(H279,商品!$A$4:$D$67,4,FALSE),0),"")</f>
        <v/>
      </c>
      <c r="AD279" t="str">
        <f>IFERROR(J279&amp;"*"&amp;ROUND(L279*(K279/(G279+I279+K279))/VLOOKUP(J279,商品!$A$4:$D$67,4,FALSE),0),"")</f>
        <v/>
      </c>
      <c r="AE279" t="str">
        <f>IFERROR(M279&amp;"*"&amp;ROUND(Q279*(N279/(N279+P279))/VLOOKUP(M279,职业!$A$3:$E$16,4,FALSE),0),"")</f>
        <v/>
      </c>
      <c r="AF279" t="str">
        <f>IFERROR(O279&amp;"*"&amp;ROUND(Q279*(P279/(N279+P279))/VLOOKUP(O279,职业!$A$3:$E$16,4,FALSE),0),"")</f>
        <v/>
      </c>
      <c r="AG279" t="str">
        <f>IFERROR(R279&amp;"*"&amp;ROUND(V279*(S279/(S279+U279))/VLOOKUP(R279,商品!$A$4:$D$67,4,FALSE),0),"")</f>
        <v/>
      </c>
      <c r="AH279" t="str">
        <f>IFERROR(T279&amp;"*"&amp;ROUND(V279*(U279/(S279+U279))/VLOOKUP(T279,商品!$A$4:$D$67,4,FALSE),0),"")</f>
        <v/>
      </c>
    </row>
    <row r="280" customHeight="1" spans="1:34">
      <c r="A280" s="15" t="s">
        <v>337</v>
      </c>
      <c r="C280" s="2">
        <v>1</v>
      </c>
      <c r="D280" s="2" t="s">
        <v>220</v>
      </c>
      <c r="E280" s="2" t="s">
        <v>224</v>
      </c>
      <c r="L280" s="2">
        <f>IFERROR(VLOOKUP($D280&amp;$C280,生产方式定位!$A$2:$E$39,2,FALSE)+VLOOKUP($E280&amp;$C280,生产方式定位!$F$3:$J$39,2,FALSE),0)</f>
        <v>2000</v>
      </c>
      <c r="Q280" s="2">
        <f>IFERROR(VLOOKUP($D280&amp;$C280,生产方式定位!$A$2:$E$39,3,FALSE)+VLOOKUP($E280&amp;$C280,生产方式定位!$F$3:$J$39,3,FALSE),0)</f>
        <v>2000</v>
      </c>
      <c r="V280" s="2">
        <f>IFERROR(VLOOKUP($D280&amp;$C280,生产方式定位!$A$2:$E$39,5,FALSE)+VLOOKUP($E280&amp;$C280,生产方式定位!$F$3:$J$39,5,FALSE),"错误")</f>
        <v>2000</v>
      </c>
      <c r="W280" s="3" t="str">
        <f t="shared" si="20"/>
        <v/>
      </c>
      <c r="X280" s="4" t="str">
        <f t="shared" si="21"/>
        <v/>
      </c>
      <c r="Y280" s="4" t="str">
        <f t="shared" si="22"/>
        <v/>
      </c>
      <c r="Z280" s="5">
        <f t="shared" si="23"/>
        <v>1</v>
      </c>
      <c r="AA280" s="6">
        <f t="shared" si="24"/>
        <v>1</v>
      </c>
      <c r="AB280" t="str">
        <f>IFERROR(F280&amp;"*"&amp;ROUND(L280*(G280/(G280+I280+K280))/VLOOKUP(F280,商品!$A$4:$D$67,4,FALSE),0),"")</f>
        <v/>
      </c>
      <c r="AC280" t="str">
        <f>IFERROR(H280&amp;"*"&amp;ROUND(L280*(I280/(G280+I280+K280))/VLOOKUP(H280,商品!$A$4:$D$67,4,FALSE),0),"")</f>
        <v/>
      </c>
      <c r="AD280" t="str">
        <f>IFERROR(J280&amp;"*"&amp;ROUND(L280*(K280/(G280+I280+K280))/VLOOKUP(J280,商品!$A$4:$D$67,4,FALSE),0),"")</f>
        <v/>
      </c>
      <c r="AE280" t="str">
        <f>IFERROR(M280&amp;"*"&amp;ROUND(Q280*(N280/(N280+P280))/VLOOKUP(M280,职业!$A$3:$E$16,4,FALSE),0),"")</f>
        <v/>
      </c>
      <c r="AF280" t="str">
        <f>IFERROR(O280&amp;"*"&amp;ROUND(Q280*(P280/(N280+P280))/VLOOKUP(O280,职业!$A$3:$E$16,4,FALSE),0),"")</f>
        <v/>
      </c>
      <c r="AG280" t="str">
        <f>IFERROR(R280&amp;"*"&amp;ROUND(V280*(S280/(S280+U280))/VLOOKUP(R280,商品!$A$4:$D$67,4,FALSE),0),"")</f>
        <v/>
      </c>
      <c r="AH280" t="str">
        <f>IFERROR(T280&amp;"*"&amp;ROUND(V280*(U280/(S280+U280))/VLOOKUP(T280,商品!$A$4:$D$67,4,FALSE),0),"")</f>
        <v/>
      </c>
    </row>
    <row r="281" customHeight="1" spans="1:34">
      <c r="A281" s="15" t="s">
        <v>337</v>
      </c>
      <c r="C281" s="2">
        <v>2</v>
      </c>
      <c r="D281" s="2" t="s">
        <v>220</v>
      </c>
      <c r="E281" s="2" t="s">
        <v>224</v>
      </c>
      <c r="L281" s="2">
        <f>IFERROR(VLOOKUP($D281&amp;$C281,生产方式定位!$A$2:$E$39,2,FALSE)+VLOOKUP($E281&amp;$C281,生产方式定位!$F$3:$J$39,2,FALSE),0)</f>
        <v>4500</v>
      </c>
      <c r="Q281" s="2">
        <f>IFERROR(VLOOKUP($D281&amp;$C281,生产方式定位!$A$2:$E$39,3,FALSE)+VLOOKUP($E281&amp;$C281,生产方式定位!$F$3:$J$39,3,FALSE),0)</f>
        <v>2000</v>
      </c>
      <c r="V281" s="2">
        <f>IFERROR(VLOOKUP($D281&amp;$C281,生产方式定位!$A$2:$E$39,5,FALSE)+VLOOKUP($E281&amp;$C281,生产方式定位!$F$3:$J$39,5,FALSE),"错误")</f>
        <v>3340</v>
      </c>
      <c r="W281" s="3" t="str">
        <f t="shared" si="20"/>
        <v/>
      </c>
      <c r="X281" s="4" t="str">
        <f t="shared" si="21"/>
        <v/>
      </c>
      <c r="Y281" s="4" t="str">
        <f t="shared" si="22"/>
        <v/>
      </c>
      <c r="Z281" s="5">
        <f t="shared" si="23"/>
        <v>1.35</v>
      </c>
      <c r="AA281" s="6">
        <f t="shared" si="24"/>
        <v>2</v>
      </c>
      <c r="AB281" t="str">
        <f>IFERROR(F281&amp;"*"&amp;ROUND(L281*(G281/(G281+I281+K281))/VLOOKUP(F281,商品!$A$4:$D$67,4,FALSE),0),"")</f>
        <v/>
      </c>
      <c r="AC281" t="str">
        <f>IFERROR(H281&amp;"*"&amp;ROUND(L281*(I281/(G281+I281+K281))/VLOOKUP(H281,商品!$A$4:$D$67,4,FALSE),0),"")</f>
        <v/>
      </c>
      <c r="AD281" t="str">
        <f>IFERROR(J281&amp;"*"&amp;ROUND(L281*(K281/(G281+I281+K281))/VLOOKUP(J281,商品!$A$4:$D$67,4,FALSE),0),"")</f>
        <v/>
      </c>
      <c r="AE281" t="str">
        <f>IFERROR(M281&amp;"*"&amp;ROUND(Q281*(N281/(N281+P281))/VLOOKUP(M281,职业!$A$3:$E$16,4,FALSE),0),"")</f>
        <v/>
      </c>
      <c r="AF281" t="str">
        <f>IFERROR(O281&amp;"*"&amp;ROUND(Q281*(P281/(N281+P281))/VLOOKUP(O281,职业!$A$3:$E$16,4,FALSE),0),"")</f>
        <v/>
      </c>
      <c r="AG281" t="str">
        <f>IFERROR(R281&amp;"*"&amp;ROUND(V281*(S281/(S281+U281))/VLOOKUP(R281,商品!$A$4:$D$67,4,FALSE),0),"")</f>
        <v/>
      </c>
      <c r="AH281" t="str">
        <f>IFERROR(T281&amp;"*"&amp;ROUND(V281*(U281/(S281+U281))/VLOOKUP(T281,商品!$A$4:$D$67,4,FALSE),0),"")</f>
        <v/>
      </c>
    </row>
    <row r="282" customHeight="1" spans="1:34">
      <c r="A282" s="15" t="s">
        <v>337</v>
      </c>
      <c r="C282" s="2">
        <v>3</v>
      </c>
      <c r="D282" s="2" t="s">
        <v>220</v>
      </c>
      <c r="E282" s="2" t="s">
        <v>224</v>
      </c>
      <c r="L282" s="2">
        <f>IFERROR(VLOOKUP($D282&amp;$C282,生产方式定位!$A$2:$E$39,2,FALSE)+VLOOKUP($E282&amp;$C282,生产方式定位!$F$3:$J$39,2,FALSE),0)</f>
        <v>6000</v>
      </c>
      <c r="Q282" s="2">
        <f>IFERROR(VLOOKUP($D282&amp;$C282,生产方式定位!$A$2:$E$39,3,FALSE)+VLOOKUP($E282&amp;$C282,生产方式定位!$F$3:$J$39,3,FALSE),0)</f>
        <v>2000</v>
      </c>
      <c r="V282" s="2">
        <f>IFERROR(VLOOKUP($D282&amp;$C282,生产方式定位!$A$2:$E$39,5,FALSE)+VLOOKUP($E282&amp;$C282,生产方式定位!$F$3:$J$39,5,FALSE),"错误")</f>
        <v>4260</v>
      </c>
      <c r="W282" s="3" t="str">
        <f t="shared" si="20"/>
        <v/>
      </c>
      <c r="X282" s="4" t="str">
        <f t="shared" si="21"/>
        <v/>
      </c>
      <c r="Y282" s="4" t="str">
        <f t="shared" si="22"/>
        <v/>
      </c>
      <c r="Z282" s="5">
        <f t="shared" si="23"/>
        <v>1.41</v>
      </c>
      <c r="AA282" s="6">
        <f t="shared" si="24"/>
        <v>3</v>
      </c>
      <c r="AB282" t="str">
        <f>IFERROR(F282&amp;"*"&amp;ROUND(L282*(G282/(G282+I282+K282))/VLOOKUP(F282,商品!$A$4:$D$67,4,FALSE),0),"")</f>
        <v/>
      </c>
      <c r="AC282" t="str">
        <f>IFERROR(H282&amp;"*"&amp;ROUND(L282*(I282/(G282+I282+K282))/VLOOKUP(H282,商品!$A$4:$D$67,4,FALSE),0),"")</f>
        <v/>
      </c>
      <c r="AD282" t="str">
        <f>IFERROR(J282&amp;"*"&amp;ROUND(L282*(K282/(G282+I282+K282))/VLOOKUP(J282,商品!$A$4:$D$67,4,FALSE),0),"")</f>
        <v/>
      </c>
      <c r="AE282" t="str">
        <f>IFERROR(M282&amp;"*"&amp;ROUND(Q282*(N282/(N282+P282))/VLOOKUP(M282,职业!$A$3:$E$16,4,FALSE),0),"")</f>
        <v/>
      </c>
      <c r="AF282" t="str">
        <f>IFERROR(O282&amp;"*"&amp;ROUND(Q282*(P282/(N282+P282))/VLOOKUP(O282,职业!$A$3:$E$16,4,FALSE),0),"")</f>
        <v/>
      </c>
      <c r="AG282" t="str">
        <f>IFERROR(R282&amp;"*"&amp;ROUND(V282*(S282/(S282+U282))/VLOOKUP(R282,商品!$A$4:$D$67,4,FALSE),0),"")</f>
        <v/>
      </c>
      <c r="AH282" t="str">
        <f>IFERROR(T282&amp;"*"&amp;ROUND(V282*(U282/(S282+U282))/VLOOKUP(T282,商品!$A$4:$D$67,4,FALSE),0),"")</f>
        <v/>
      </c>
    </row>
    <row r="283" customHeight="1" spans="1:34">
      <c r="A283" s="15" t="s">
        <v>337</v>
      </c>
      <c r="C283" s="2">
        <v>4</v>
      </c>
      <c r="D283" s="2" t="s">
        <v>220</v>
      </c>
      <c r="E283" s="2" t="s">
        <v>224</v>
      </c>
      <c r="L283" s="2">
        <f>IFERROR(VLOOKUP($D283&amp;$C283,生产方式定位!$A$2:$E$39,2,FALSE)+VLOOKUP($E283&amp;$C283,生产方式定位!$F$3:$J$39,2,FALSE),0)</f>
        <v>7500</v>
      </c>
      <c r="Q283" s="2">
        <f>IFERROR(VLOOKUP($D283&amp;$C283,生产方式定位!$A$2:$E$39,3,FALSE)+VLOOKUP($E283&amp;$C283,生产方式定位!$F$3:$J$39,3,FALSE),0)</f>
        <v>2000</v>
      </c>
      <c r="V283" s="2">
        <f>IFERROR(VLOOKUP($D283&amp;$C283,生产方式定位!$A$2:$E$39,5,FALSE)+VLOOKUP($E283&amp;$C283,生产方式定位!$F$3:$J$39,5,FALSE),"错误")</f>
        <v>5260</v>
      </c>
      <c r="W283" s="3" t="str">
        <f t="shared" si="20"/>
        <v/>
      </c>
      <c r="X283" s="4" t="str">
        <f t="shared" si="21"/>
        <v/>
      </c>
      <c r="Y283" s="4" t="str">
        <f t="shared" si="22"/>
        <v/>
      </c>
      <c r="Z283" s="5">
        <f t="shared" si="23"/>
        <v>1.43</v>
      </c>
      <c r="AA283" s="6">
        <f t="shared" si="24"/>
        <v>4</v>
      </c>
      <c r="AB283" t="str">
        <f>IFERROR(F283&amp;"*"&amp;ROUND(L283*(G283/(G283+I283+K283))/VLOOKUP(F283,商品!$A$4:$D$67,4,FALSE),0),"")</f>
        <v/>
      </c>
      <c r="AC283" t="str">
        <f>IFERROR(H283&amp;"*"&amp;ROUND(L283*(I283/(G283+I283+K283))/VLOOKUP(H283,商品!$A$4:$D$67,4,FALSE),0),"")</f>
        <v/>
      </c>
      <c r="AD283" t="str">
        <f>IFERROR(J283&amp;"*"&amp;ROUND(L283*(K283/(G283+I283+K283))/VLOOKUP(J283,商品!$A$4:$D$67,4,FALSE),0),"")</f>
        <v/>
      </c>
      <c r="AE283" t="str">
        <f>IFERROR(M283&amp;"*"&amp;ROUND(Q283*(N283/(N283+P283))/VLOOKUP(M283,职业!$A$3:$E$16,4,FALSE),0),"")</f>
        <v/>
      </c>
      <c r="AF283" t="str">
        <f>IFERROR(O283&amp;"*"&amp;ROUND(Q283*(P283/(N283+P283))/VLOOKUP(O283,职业!$A$3:$E$16,4,FALSE),0),"")</f>
        <v/>
      </c>
      <c r="AG283" t="str">
        <f>IFERROR(R283&amp;"*"&amp;ROUND(V283*(S283/(S283+U283))/VLOOKUP(R283,商品!$A$4:$D$67,4,FALSE),0),"")</f>
        <v/>
      </c>
      <c r="AH283" t="str">
        <f>IFERROR(T283&amp;"*"&amp;ROUND(V283*(U283/(S283+U283))/VLOOKUP(T283,商品!$A$4:$D$67,4,FALSE),0),"")</f>
        <v/>
      </c>
    </row>
    <row r="284" customHeight="1" spans="1:34">
      <c r="A284" s="15" t="s">
        <v>337</v>
      </c>
      <c r="C284" s="2">
        <v>5</v>
      </c>
      <c r="D284" s="2" t="s">
        <v>220</v>
      </c>
      <c r="E284" s="2" t="s">
        <v>224</v>
      </c>
      <c r="L284" s="2">
        <f>IFERROR(VLOOKUP($D284&amp;$C284,生产方式定位!$A$2:$E$39,2,FALSE)+VLOOKUP($E284&amp;$C284,生产方式定位!$F$3:$J$39,2,FALSE),0)</f>
        <v>9000</v>
      </c>
      <c r="Q284" s="2">
        <f>IFERROR(VLOOKUP($D284&amp;$C284,生产方式定位!$A$2:$E$39,3,FALSE)+VLOOKUP($E284&amp;$C284,生产方式定位!$F$3:$J$39,3,FALSE),0)</f>
        <v>2000</v>
      </c>
      <c r="V284" s="2">
        <f>IFERROR(VLOOKUP($D284&amp;$C284,生产方式定位!$A$2:$E$39,5,FALSE)+VLOOKUP($E284&amp;$C284,生产方式定位!$F$3:$J$39,5,FALSE),"错误")</f>
        <v>6340</v>
      </c>
      <c r="W284" s="3" t="str">
        <f t="shared" si="20"/>
        <v/>
      </c>
      <c r="X284" s="4" t="str">
        <f t="shared" si="21"/>
        <v/>
      </c>
      <c r="Y284" s="4" t="str">
        <f t="shared" si="22"/>
        <v/>
      </c>
      <c r="Z284" s="5">
        <f t="shared" si="23"/>
        <v>1.42</v>
      </c>
      <c r="AA284" s="6">
        <f t="shared" si="24"/>
        <v>5</v>
      </c>
      <c r="AB284" t="str">
        <f>IFERROR(F284&amp;"*"&amp;ROUND(L284*(G284/(G284+I284+K284))/VLOOKUP(F284,商品!$A$4:$D$67,4,FALSE),0),"")</f>
        <v/>
      </c>
      <c r="AC284" t="str">
        <f>IFERROR(H284&amp;"*"&amp;ROUND(L284*(I284/(G284+I284+K284))/VLOOKUP(H284,商品!$A$4:$D$67,4,FALSE),0),"")</f>
        <v/>
      </c>
      <c r="AD284" t="str">
        <f>IFERROR(J284&amp;"*"&amp;ROUND(L284*(K284/(G284+I284+K284))/VLOOKUP(J284,商品!$A$4:$D$67,4,FALSE),0),"")</f>
        <v/>
      </c>
      <c r="AE284" t="str">
        <f>IFERROR(M284&amp;"*"&amp;ROUND(Q284*(N284/(N284+P284))/VLOOKUP(M284,职业!$A$3:$E$16,4,FALSE),0),"")</f>
        <v/>
      </c>
      <c r="AF284" t="str">
        <f>IFERROR(O284&amp;"*"&amp;ROUND(Q284*(P284/(N284+P284))/VLOOKUP(O284,职业!$A$3:$E$16,4,FALSE),0),"")</f>
        <v/>
      </c>
      <c r="AG284" t="str">
        <f>IFERROR(R284&amp;"*"&amp;ROUND(V284*(S284/(S284+U284))/VLOOKUP(R284,商品!$A$4:$D$67,4,FALSE),0),"")</f>
        <v/>
      </c>
      <c r="AH284" t="str">
        <f>IFERROR(T284&amp;"*"&amp;ROUND(V284*(U284/(S284+U284))/VLOOKUP(T284,商品!$A$4:$D$67,4,FALSE),0),"")</f>
        <v/>
      </c>
    </row>
    <row r="285" customHeight="1" spans="1:34">
      <c r="A285" s="14" t="s">
        <v>337</v>
      </c>
      <c r="C285" s="2">
        <v>1</v>
      </c>
      <c r="D285" s="2" t="s">
        <v>220</v>
      </c>
      <c r="E285" s="2" t="s">
        <v>224</v>
      </c>
      <c r="L285" s="2">
        <f>IFERROR(VLOOKUP($D285&amp;$C285,生产方式定位!$A$2:$E$39,2,FALSE)+VLOOKUP($E285&amp;$C285,生产方式定位!$F$3:$J$39,2,FALSE),0)</f>
        <v>2000</v>
      </c>
      <c r="Q285" s="2">
        <f>IFERROR(VLOOKUP($D285&amp;$C285,生产方式定位!$A$2:$E$39,3,FALSE)+VLOOKUP($E285&amp;$C285,生产方式定位!$F$3:$J$39,3,FALSE),0)</f>
        <v>2000</v>
      </c>
      <c r="V285" s="2">
        <f>IFERROR(VLOOKUP($D285&amp;$C285,生产方式定位!$A$2:$E$39,5,FALSE)+VLOOKUP($E285&amp;$C285,生产方式定位!$F$3:$J$39,5,FALSE),"错误")</f>
        <v>2000</v>
      </c>
      <c r="W285" s="3" t="str">
        <f t="shared" si="20"/>
        <v/>
      </c>
      <c r="X285" s="4" t="str">
        <f t="shared" si="21"/>
        <v/>
      </c>
      <c r="Y285" s="4" t="str">
        <f t="shared" si="22"/>
        <v/>
      </c>
      <c r="Z285" s="5">
        <f t="shared" si="23"/>
        <v>1</v>
      </c>
      <c r="AA285" s="6">
        <f t="shared" si="24"/>
        <v>1</v>
      </c>
      <c r="AB285" t="str">
        <f>IFERROR(F285&amp;"*"&amp;ROUND(L285*(G285/(G285+I285+K285))/VLOOKUP(F285,商品!$A$4:$D$67,4,FALSE),0),"")</f>
        <v/>
      </c>
      <c r="AC285" t="str">
        <f>IFERROR(H285&amp;"*"&amp;ROUND(L285*(I285/(G285+I285+K285))/VLOOKUP(H285,商品!$A$4:$D$67,4,FALSE),0),"")</f>
        <v/>
      </c>
      <c r="AD285" t="str">
        <f>IFERROR(J285&amp;"*"&amp;ROUND(L285*(K285/(G285+I285+K285))/VLOOKUP(J285,商品!$A$4:$D$67,4,FALSE),0),"")</f>
        <v/>
      </c>
      <c r="AE285" t="str">
        <f>IFERROR(M285&amp;"*"&amp;ROUND(Q285*(N285/(N285+P285))/VLOOKUP(M285,职业!$A$3:$E$16,4,FALSE),0),"")</f>
        <v/>
      </c>
      <c r="AF285" t="str">
        <f>IFERROR(O285&amp;"*"&amp;ROUND(Q285*(P285/(N285+P285))/VLOOKUP(O285,职业!$A$3:$E$16,4,FALSE),0),"")</f>
        <v/>
      </c>
      <c r="AG285" t="str">
        <f>IFERROR(R285&amp;"*"&amp;ROUND(V285*(S285/(S285+U285))/VLOOKUP(R285,商品!$A$4:$D$67,4,FALSE),0),"")</f>
        <v/>
      </c>
      <c r="AH285" t="str">
        <f>IFERROR(T285&amp;"*"&amp;ROUND(V285*(U285/(S285+U285))/VLOOKUP(T285,商品!$A$4:$D$67,4,FALSE),0),"")</f>
        <v/>
      </c>
    </row>
    <row r="286" customHeight="1" spans="1:34">
      <c r="A286" s="14" t="s">
        <v>337</v>
      </c>
      <c r="C286" s="2">
        <v>2</v>
      </c>
      <c r="D286" s="2" t="s">
        <v>220</v>
      </c>
      <c r="E286" s="2" t="s">
        <v>224</v>
      </c>
      <c r="L286" s="2">
        <f>IFERROR(VLOOKUP($D286&amp;$C286,生产方式定位!$A$2:$E$39,2,FALSE)+VLOOKUP($E286&amp;$C286,生产方式定位!$F$3:$J$39,2,FALSE),0)</f>
        <v>4500</v>
      </c>
      <c r="Q286" s="2">
        <f>IFERROR(VLOOKUP($D286&amp;$C286,生产方式定位!$A$2:$E$39,3,FALSE)+VLOOKUP($E286&amp;$C286,生产方式定位!$F$3:$J$39,3,FALSE),0)</f>
        <v>2000</v>
      </c>
      <c r="V286" s="2">
        <f>IFERROR(VLOOKUP($D286&amp;$C286,生产方式定位!$A$2:$E$39,5,FALSE)+VLOOKUP($E286&amp;$C286,生产方式定位!$F$3:$J$39,5,FALSE),"错误")</f>
        <v>3340</v>
      </c>
      <c r="W286" s="3" t="str">
        <f t="shared" si="20"/>
        <v/>
      </c>
      <c r="X286" s="4" t="str">
        <f t="shared" si="21"/>
        <v/>
      </c>
      <c r="Y286" s="4" t="str">
        <f t="shared" si="22"/>
        <v/>
      </c>
      <c r="Z286" s="5">
        <f t="shared" si="23"/>
        <v>1.35</v>
      </c>
      <c r="AA286" s="6">
        <f t="shared" si="24"/>
        <v>2</v>
      </c>
      <c r="AB286" t="str">
        <f>IFERROR(F286&amp;"*"&amp;ROUND(L286*(G286/(G286+I286+K286))/VLOOKUP(F286,商品!$A$4:$D$67,4,FALSE),0),"")</f>
        <v/>
      </c>
      <c r="AC286" t="str">
        <f>IFERROR(H286&amp;"*"&amp;ROUND(L286*(I286/(G286+I286+K286))/VLOOKUP(H286,商品!$A$4:$D$67,4,FALSE),0),"")</f>
        <v/>
      </c>
      <c r="AD286" t="str">
        <f>IFERROR(J286&amp;"*"&amp;ROUND(L286*(K286/(G286+I286+K286))/VLOOKUP(J286,商品!$A$4:$D$67,4,FALSE),0),"")</f>
        <v/>
      </c>
      <c r="AE286" t="str">
        <f>IFERROR(M286&amp;"*"&amp;ROUND(Q286*(N286/(N286+P286))/VLOOKUP(M286,职业!$A$3:$E$16,4,FALSE),0),"")</f>
        <v/>
      </c>
      <c r="AF286" t="str">
        <f>IFERROR(O286&amp;"*"&amp;ROUND(Q286*(P286/(N286+P286))/VLOOKUP(O286,职业!$A$3:$E$16,4,FALSE),0),"")</f>
        <v/>
      </c>
      <c r="AG286" t="str">
        <f>IFERROR(R286&amp;"*"&amp;ROUND(V286*(S286/(S286+U286))/VLOOKUP(R286,商品!$A$4:$D$67,4,FALSE),0),"")</f>
        <v/>
      </c>
      <c r="AH286" t="str">
        <f>IFERROR(T286&amp;"*"&amp;ROUND(V286*(U286/(S286+U286))/VLOOKUP(T286,商品!$A$4:$D$67,4,FALSE),0),"")</f>
        <v/>
      </c>
    </row>
    <row r="287" customHeight="1" spans="1:34">
      <c r="A287" s="14" t="s">
        <v>337</v>
      </c>
      <c r="C287" s="2">
        <v>3</v>
      </c>
      <c r="D287" s="2" t="s">
        <v>220</v>
      </c>
      <c r="E287" s="2" t="s">
        <v>224</v>
      </c>
      <c r="L287" s="2">
        <f>IFERROR(VLOOKUP($D287&amp;$C287,生产方式定位!$A$2:$E$39,2,FALSE)+VLOOKUP($E287&amp;$C287,生产方式定位!$F$3:$J$39,2,FALSE),0)</f>
        <v>6000</v>
      </c>
      <c r="Q287" s="2">
        <f>IFERROR(VLOOKUP($D287&amp;$C287,生产方式定位!$A$2:$E$39,3,FALSE)+VLOOKUP($E287&amp;$C287,生产方式定位!$F$3:$J$39,3,FALSE),0)</f>
        <v>2000</v>
      </c>
      <c r="V287" s="2">
        <f>IFERROR(VLOOKUP($D287&amp;$C287,生产方式定位!$A$2:$E$39,5,FALSE)+VLOOKUP($E287&amp;$C287,生产方式定位!$F$3:$J$39,5,FALSE),"错误")</f>
        <v>4260</v>
      </c>
      <c r="W287" s="3" t="str">
        <f t="shared" si="20"/>
        <v/>
      </c>
      <c r="X287" s="4" t="str">
        <f t="shared" si="21"/>
        <v/>
      </c>
      <c r="Y287" s="4" t="str">
        <f t="shared" si="22"/>
        <v/>
      </c>
      <c r="Z287" s="5">
        <f t="shared" si="23"/>
        <v>1.41</v>
      </c>
      <c r="AA287" s="6">
        <f t="shared" si="24"/>
        <v>3</v>
      </c>
      <c r="AB287" t="str">
        <f>IFERROR(F287&amp;"*"&amp;ROUND(L287*(G287/(G287+I287+K287))/VLOOKUP(F287,商品!$A$4:$D$67,4,FALSE),0),"")</f>
        <v/>
      </c>
      <c r="AC287" t="str">
        <f>IFERROR(H287&amp;"*"&amp;ROUND(L287*(I287/(G287+I287+K287))/VLOOKUP(H287,商品!$A$4:$D$67,4,FALSE),0),"")</f>
        <v/>
      </c>
      <c r="AD287" t="str">
        <f>IFERROR(J287&amp;"*"&amp;ROUND(L287*(K287/(G287+I287+K287))/VLOOKUP(J287,商品!$A$4:$D$67,4,FALSE),0),"")</f>
        <v/>
      </c>
      <c r="AE287" t="str">
        <f>IFERROR(M287&amp;"*"&amp;ROUND(Q287*(N287/(N287+P287))/VLOOKUP(M287,职业!$A$3:$E$16,4,FALSE),0),"")</f>
        <v/>
      </c>
      <c r="AF287" t="str">
        <f>IFERROR(O287&amp;"*"&amp;ROUND(Q287*(P287/(N287+P287))/VLOOKUP(O287,职业!$A$3:$E$16,4,FALSE),0),"")</f>
        <v/>
      </c>
      <c r="AG287" t="str">
        <f>IFERROR(R287&amp;"*"&amp;ROUND(V287*(S287/(S287+U287))/VLOOKUP(R287,商品!$A$4:$D$67,4,FALSE),0),"")</f>
        <v/>
      </c>
      <c r="AH287" t="str">
        <f>IFERROR(T287&amp;"*"&amp;ROUND(V287*(U287/(S287+U287))/VLOOKUP(T287,商品!$A$4:$D$67,4,FALSE),0),"")</f>
        <v/>
      </c>
    </row>
    <row r="288" customHeight="1" spans="1:34">
      <c r="A288" s="14" t="s">
        <v>337</v>
      </c>
      <c r="C288" s="2">
        <v>4</v>
      </c>
      <c r="D288" s="2" t="s">
        <v>220</v>
      </c>
      <c r="E288" s="2" t="s">
        <v>224</v>
      </c>
      <c r="L288" s="2">
        <f>IFERROR(VLOOKUP($D288&amp;$C288,生产方式定位!$A$2:$E$39,2,FALSE)+VLOOKUP($E288&amp;$C288,生产方式定位!$F$3:$J$39,2,FALSE),0)</f>
        <v>7500</v>
      </c>
      <c r="Q288" s="2">
        <f>IFERROR(VLOOKUP($D288&amp;$C288,生产方式定位!$A$2:$E$39,3,FALSE)+VLOOKUP($E288&amp;$C288,生产方式定位!$F$3:$J$39,3,FALSE),0)</f>
        <v>2000</v>
      </c>
      <c r="V288" s="2">
        <f>IFERROR(VLOOKUP($D288&amp;$C288,生产方式定位!$A$2:$E$39,5,FALSE)+VLOOKUP($E288&amp;$C288,生产方式定位!$F$3:$J$39,5,FALSE),"错误")</f>
        <v>5260</v>
      </c>
      <c r="W288" s="3" t="str">
        <f t="shared" si="20"/>
        <v/>
      </c>
      <c r="X288" s="4" t="str">
        <f t="shared" si="21"/>
        <v/>
      </c>
      <c r="Y288" s="4" t="str">
        <f t="shared" si="22"/>
        <v/>
      </c>
      <c r="Z288" s="5">
        <f t="shared" si="23"/>
        <v>1.43</v>
      </c>
      <c r="AA288" s="6">
        <f t="shared" si="24"/>
        <v>4</v>
      </c>
      <c r="AB288" t="str">
        <f>IFERROR(F288&amp;"*"&amp;ROUND(L288*(G288/(G288+I288+K288))/VLOOKUP(F288,商品!$A$4:$D$67,4,FALSE),0),"")</f>
        <v/>
      </c>
      <c r="AC288" t="str">
        <f>IFERROR(H288&amp;"*"&amp;ROUND(L288*(I288/(G288+I288+K288))/VLOOKUP(H288,商品!$A$4:$D$67,4,FALSE),0),"")</f>
        <v/>
      </c>
      <c r="AD288" t="str">
        <f>IFERROR(J288&amp;"*"&amp;ROUND(L288*(K288/(G288+I288+K288))/VLOOKUP(J288,商品!$A$4:$D$67,4,FALSE),0),"")</f>
        <v/>
      </c>
      <c r="AE288" t="str">
        <f>IFERROR(M288&amp;"*"&amp;ROUND(Q288*(N288/(N288+P288))/VLOOKUP(M288,职业!$A$3:$E$16,4,FALSE),0),"")</f>
        <v/>
      </c>
      <c r="AF288" t="str">
        <f>IFERROR(O288&amp;"*"&amp;ROUND(Q288*(P288/(N288+P288))/VLOOKUP(O288,职业!$A$3:$E$16,4,FALSE),0),"")</f>
        <v/>
      </c>
      <c r="AG288" t="str">
        <f>IFERROR(R288&amp;"*"&amp;ROUND(V288*(S288/(S288+U288))/VLOOKUP(R288,商品!$A$4:$D$67,4,FALSE),0),"")</f>
        <v/>
      </c>
      <c r="AH288" t="str">
        <f>IFERROR(T288&amp;"*"&amp;ROUND(V288*(U288/(S288+U288))/VLOOKUP(T288,商品!$A$4:$D$67,4,FALSE),0),"")</f>
        <v/>
      </c>
    </row>
    <row r="289" customHeight="1" spans="1:34">
      <c r="A289" s="14" t="s">
        <v>337</v>
      </c>
      <c r="C289" s="2">
        <v>5</v>
      </c>
      <c r="D289" s="2" t="s">
        <v>220</v>
      </c>
      <c r="E289" s="2" t="s">
        <v>224</v>
      </c>
      <c r="L289" s="2">
        <f>IFERROR(VLOOKUP($D289&amp;$C289,生产方式定位!$A$2:$E$39,2,FALSE)+VLOOKUP($E289&amp;$C289,生产方式定位!$F$3:$J$39,2,FALSE),0)</f>
        <v>9000</v>
      </c>
      <c r="Q289" s="2">
        <f>IFERROR(VLOOKUP($D289&amp;$C289,生产方式定位!$A$2:$E$39,3,FALSE)+VLOOKUP($E289&amp;$C289,生产方式定位!$F$3:$J$39,3,FALSE),0)</f>
        <v>2000</v>
      </c>
      <c r="V289" s="2">
        <f>IFERROR(VLOOKUP($D289&amp;$C289,生产方式定位!$A$2:$E$39,5,FALSE)+VLOOKUP($E289&amp;$C289,生产方式定位!$F$3:$J$39,5,FALSE),"错误")</f>
        <v>6340</v>
      </c>
      <c r="W289" s="3" t="str">
        <f t="shared" si="20"/>
        <v/>
      </c>
      <c r="X289" s="4" t="str">
        <f t="shared" si="21"/>
        <v/>
      </c>
      <c r="Y289" s="4" t="str">
        <f t="shared" si="22"/>
        <v/>
      </c>
      <c r="Z289" s="5">
        <f t="shared" si="23"/>
        <v>1.42</v>
      </c>
      <c r="AA289" s="6">
        <f t="shared" si="24"/>
        <v>5</v>
      </c>
      <c r="AB289" t="str">
        <f>IFERROR(F289&amp;"*"&amp;ROUND(L289*(G289/(G289+I289+K289))/VLOOKUP(F289,商品!$A$4:$D$67,4,FALSE),0),"")</f>
        <v/>
      </c>
      <c r="AC289" t="str">
        <f>IFERROR(H289&amp;"*"&amp;ROUND(L289*(I289/(G289+I289+K289))/VLOOKUP(H289,商品!$A$4:$D$67,4,FALSE),0),"")</f>
        <v/>
      </c>
      <c r="AD289" t="str">
        <f>IFERROR(J289&amp;"*"&amp;ROUND(L289*(K289/(G289+I289+K289))/VLOOKUP(J289,商品!$A$4:$D$67,4,FALSE),0),"")</f>
        <v/>
      </c>
      <c r="AE289" t="str">
        <f>IFERROR(M289&amp;"*"&amp;ROUND(Q289*(N289/(N289+P289))/VLOOKUP(M289,职业!$A$3:$E$16,4,FALSE),0),"")</f>
        <v/>
      </c>
      <c r="AF289" t="str">
        <f>IFERROR(O289&amp;"*"&amp;ROUND(Q289*(P289/(N289+P289))/VLOOKUP(O289,职业!$A$3:$E$16,4,FALSE),0),"")</f>
        <v/>
      </c>
      <c r="AG289" t="str">
        <f>IFERROR(R289&amp;"*"&amp;ROUND(V289*(S289/(S289+U289))/VLOOKUP(R289,商品!$A$4:$D$67,4,FALSE),0),"")</f>
        <v/>
      </c>
      <c r="AH289" t="str">
        <f>IFERROR(T289&amp;"*"&amp;ROUND(V289*(U289/(S289+U289))/VLOOKUP(T289,商品!$A$4:$D$67,4,FALSE),0),"")</f>
        <v/>
      </c>
    </row>
    <row r="290" customHeight="1" spans="1:34">
      <c r="A290" s="15" t="s">
        <v>338</v>
      </c>
      <c r="C290" s="2">
        <v>1</v>
      </c>
      <c r="D290" s="2" t="s">
        <v>220</v>
      </c>
      <c r="E290" s="2" t="s">
        <v>225</v>
      </c>
      <c r="L290" s="2">
        <f>IFERROR(VLOOKUP($D290&amp;$C290,生产方式定位!$A$2:$E$39,2,FALSE)+VLOOKUP($E290&amp;$C290,生产方式定位!$F$3:$J$39,2,FALSE),0)</f>
        <v>2000</v>
      </c>
      <c r="Q290" s="2">
        <f>IFERROR(VLOOKUP($D290&amp;$C290,生产方式定位!$A$2:$E$39,3,FALSE)+VLOOKUP($E290&amp;$C290,生产方式定位!$F$3:$J$39,3,FALSE),0)</f>
        <v>2000</v>
      </c>
      <c r="V290" s="2">
        <f>IFERROR(VLOOKUP($D290&amp;$C290,生产方式定位!$A$2:$E$39,5,FALSE)+VLOOKUP($E290&amp;$C290,生产方式定位!$F$3:$J$39,5,FALSE),"错误")</f>
        <v>2000</v>
      </c>
      <c r="W290" s="3" t="str">
        <f t="shared" si="20"/>
        <v/>
      </c>
      <c r="X290" s="4" t="str">
        <f t="shared" si="21"/>
        <v/>
      </c>
      <c r="Y290" s="4" t="str">
        <f t="shared" si="22"/>
        <v/>
      </c>
      <c r="Z290" s="5">
        <f t="shared" si="23"/>
        <v>1</v>
      </c>
      <c r="AA290" s="6">
        <f t="shared" si="24"/>
        <v>1</v>
      </c>
      <c r="AB290" t="str">
        <f>IFERROR(F290&amp;"*"&amp;ROUND(L290*(G290/(G290+I290+K290))/VLOOKUP(F290,商品!$A$4:$D$67,4,FALSE),0),"")</f>
        <v/>
      </c>
      <c r="AC290" t="str">
        <f>IFERROR(H290&amp;"*"&amp;ROUND(L290*(I290/(G290+I290+K290))/VLOOKUP(H290,商品!$A$4:$D$67,4,FALSE),0),"")</f>
        <v/>
      </c>
      <c r="AD290" t="str">
        <f>IFERROR(J290&amp;"*"&amp;ROUND(L290*(K290/(G290+I290+K290))/VLOOKUP(J290,商品!$A$4:$D$67,4,FALSE),0),"")</f>
        <v/>
      </c>
      <c r="AE290" t="str">
        <f>IFERROR(M290&amp;"*"&amp;ROUND(Q290*(N290/(N290+P290))/VLOOKUP(M290,职业!$A$3:$E$16,4,FALSE),0),"")</f>
        <v/>
      </c>
      <c r="AF290" t="str">
        <f>IFERROR(O290&amp;"*"&amp;ROUND(Q290*(P290/(N290+P290))/VLOOKUP(O290,职业!$A$3:$E$16,4,FALSE),0),"")</f>
        <v/>
      </c>
      <c r="AG290" t="str">
        <f>IFERROR(R290&amp;"*"&amp;ROUND(V290*(S290/(S290+U290))/VLOOKUP(R290,商品!$A$4:$D$67,4,FALSE),0),"")</f>
        <v/>
      </c>
      <c r="AH290" t="str">
        <f>IFERROR(T290&amp;"*"&amp;ROUND(V290*(U290/(S290+U290))/VLOOKUP(T290,商品!$A$4:$D$67,4,FALSE),0),"")</f>
        <v/>
      </c>
    </row>
    <row r="291" customHeight="1" spans="1:34">
      <c r="A291" s="15" t="s">
        <v>338</v>
      </c>
      <c r="C291" s="2">
        <v>2</v>
      </c>
      <c r="D291" s="2" t="s">
        <v>220</v>
      </c>
      <c r="E291" s="2" t="s">
        <v>225</v>
      </c>
      <c r="L291" s="2">
        <f>IFERROR(VLOOKUP($D291&amp;$C291,生产方式定位!$A$2:$E$39,2,FALSE)+VLOOKUP($E291&amp;$C291,生产方式定位!$F$3:$J$39,2,FALSE),0)</f>
        <v>2500</v>
      </c>
      <c r="Q291" s="2">
        <f>IFERROR(VLOOKUP($D291&amp;$C291,生产方式定位!$A$2:$E$39,3,FALSE)+VLOOKUP($E291&amp;$C291,生产方式定位!$F$3:$J$39,3,FALSE),0)</f>
        <v>2200</v>
      </c>
      <c r="V291" s="2">
        <f>IFERROR(VLOOKUP($D291&amp;$C291,生产方式定位!$A$2:$E$39,5,FALSE)+VLOOKUP($E291&amp;$C291,生产方式定位!$F$3:$J$39,5,FALSE),"错误")</f>
        <v>2350</v>
      </c>
      <c r="W291" s="3" t="str">
        <f t="shared" si="20"/>
        <v/>
      </c>
      <c r="X291" s="4" t="str">
        <f t="shared" si="21"/>
        <v/>
      </c>
      <c r="Y291" s="4" t="str">
        <f t="shared" si="22"/>
        <v/>
      </c>
      <c r="Z291" s="5">
        <f t="shared" si="23"/>
        <v>1.06</v>
      </c>
      <c r="AA291" s="6">
        <f t="shared" si="24"/>
        <v>2</v>
      </c>
      <c r="AB291" t="str">
        <f>IFERROR(F291&amp;"*"&amp;ROUND(L291*(G291/(G291+I291+K291))/VLOOKUP(F291,商品!$A$4:$D$67,4,FALSE),0),"")</f>
        <v/>
      </c>
      <c r="AC291" t="str">
        <f>IFERROR(H291&amp;"*"&amp;ROUND(L291*(I291/(G291+I291+K291))/VLOOKUP(H291,商品!$A$4:$D$67,4,FALSE),0),"")</f>
        <v/>
      </c>
      <c r="AD291" t="str">
        <f>IFERROR(J291&amp;"*"&amp;ROUND(L291*(K291/(G291+I291+K291))/VLOOKUP(J291,商品!$A$4:$D$67,4,FALSE),0),"")</f>
        <v/>
      </c>
      <c r="AE291" t="str">
        <f>IFERROR(M291&amp;"*"&amp;ROUND(Q291*(N291/(N291+P291))/VLOOKUP(M291,职业!$A$3:$E$16,4,FALSE),0),"")</f>
        <v/>
      </c>
      <c r="AF291" t="str">
        <f>IFERROR(O291&amp;"*"&amp;ROUND(Q291*(P291/(N291+P291))/VLOOKUP(O291,职业!$A$3:$E$16,4,FALSE),0),"")</f>
        <v/>
      </c>
      <c r="AG291" t="str">
        <f>IFERROR(R291&amp;"*"&amp;ROUND(V291*(S291/(S291+U291))/VLOOKUP(R291,商品!$A$4:$D$67,4,FALSE),0),"")</f>
        <v/>
      </c>
      <c r="AH291" t="str">
        <f>IFERROR(T291&amp;"*"&amp;ROUND(V291*(U291/(S291+U291))/VLOOKUP(T291,商品!$A$4:$D$67,4,FALSE),0),"")</f>
        <v/>
      </c>
    </row>
    <row r="292" customHeight="1" spans="1:34">
      <c r="A292" s="15" t="s">
        <v>338</v>
      </c>
      <c r="C292" s="2">
        <v>3</v>
      </c>
      <c r="D292" s="2" t="s">
        <v>220</v>
      </c>
      <c r="E292" s="2" t="s">
        <v>225</v>
      </c>
      <c r="L292" s="2">
        <f>IFERROR(VLOOKUP($D292&amp;$C292,生产方式定位!$A$2:$E$39,2,FALSE)+VLOOKUP($E292&amp;$C292,生产方式定位!$F$3:$J$39,2,FALSE),0)</f>
        <v>3000</v>
      </c>
      <c r="Q292" s="2">
        <f>IFERROR(VLOOKUP($D292&amp;$C292,生产方式定位!$A$2:$E$39,3,FALSE)+VLOOKUP($E292&amp;$C292,生产方式定位!$F$3:$J$39,3,FALSE),0)</f>
        <v>2400</v>
      </c>
      <c r="V292" s="2">
        <f>IFERROR(VLOOKUP($D292&amp;$C292,生产方式定位!$A$2:$E$39,5,FALSE)+VLOOKUP($E292&amp;$C292,生产方式定位!$F$3:$J$39,5,FALSE),"错误")</f>
        <v>2700</v>
      </c>
      <c r="W292" s="3" t="str">
        <f t="shared" si="20"/>
        <v/>
      </c>
      <c r="X292" s="4" t="str">
        <f t="shared" si="21"/>
        <v/>
      </c>
      <c r="Y292" s="4" t="str">
        <f t="shared" si="22"/>
        <v/>
      </c>
      <c r="Z292" s="5">
        <f t="shared" si="23"/>
        <v>1.11</v>
      </c>
      <c r="AA292" s="6">
        <f t="shared" si="24"/>
        <v>3</v>
      </c>
      <c r="AB292" t="str">
        <f>IFERROR(F292&amp;"*"&amp;ROUND(L292*(G292/(G292+I292+K292))/VLOOKUP(F292,商品!$A$4:$D$67,4,FALSE),0),"")</f>
        <v/>
      </c>
      <c r="AC292" t="str">
        <f>IFERROR(H292&amp;"*"&amp;ROUND(L292*(I292/(G292+I292+K292))/VLOOKUP(H292,商品!$A$4:$D$67,4,FALSE),0),"")</f>
        <v/>
      </c>
      <c r="AD292" t="str">
        <f>IFERROR(J292&amp;"*"&amp;ROUND(L292*(K292/(G292+I292+K292))/VLOOKUP(J292,商品!$A$4:$D$67,4,FALSE),0),"")</f>
        <v/>
      </c>
      <c r="AE292" t="str">
        <f>IFERROR(M292&amp;"*"&amp;ROUND(Q292*(N292/(N292+P292))/VLOOKUP(M292,职业!$A$3:$E$16,4,FALSE),0),"")</f>
        <v/>
      </c>
      <c r="AF292" t="str">
        <f>IFERROR(O292&amp;"*"&amp;ROUND(Q292*(P292/(N292+P292))/VLOOKUP(O292,职业!$A$3:$E$16,4,FALSE),0),"")</f>
        <v/>
      </c>
      <c r="AG292" t="str">
        <f>IFERROR(R292&amp;"*"&amp;ROUND(V292*(S292/(S292+U292))/VLOOKUP(R292,商品!$A$4:$D$67,4,FALSE),0),"")</f>
        <v/>
      </c>
      <c r="AH292" t="str">
        <f>IFERROR(T292&amp;"*"&amp;ROUND(V292*(U292/(S292+U292))/VLOOKUP(T292,商品!$A$4:$D$67,4,FALSE),0),"")</f>
        <v/>
      </c>
    </row>
    <row r="293" customHeight="1" spans="1:34">
      <c r="A293" s="15" t="s">
        <v>338</v>
      </c>
      <c r="C293" s="2">
        <v>4</v>
      </c>
      <c r="D293" s="2" t="s">
        <v>220</v>
      </c>
      <c r="E293" s="2" t="s">
        <v>225</v>
      </c>
      <c r="L293" s="2">
        <f>IFERROR(VLOOKUP($D293&amp;$C293,生产方式定位!$A$2:$E$39,2,FALSE)+VLOOKUP($E293&amp;$C293,生产方式定位!$F$3:$J$39,2,FALSE),0)</f>
        <v>3500</v>
      </c>
      <c r="Q293" s="2">
        <f>IFERROR(VLOOKUP($D293&amp;$C293,生产方式定位!$A$2:$E$39,3,FALSE)+VLOOKUP($E293&amp;$C293,生产方式定位!$F$3:$J$39,3,FALSE),0)</f>
        <v>2600</v>
      </c>
      <c r="V293" s="2">
        <f>IFERROR(VLOOKUP($D293&amp;$C293,生产方式定位!$A$2:$E$39,5,FALSE)+VLOOKUP($E293&amp;$C293,生产方式定位!$F$3:$J$39,5,FALSE),"错误")</f>
        <v>3050</v>
      </c>
      <c r="W293" s="3" t="str">
        <f t="shared" si="20"/>
        <v/>
      </c>
      <c r="X293" s="4" t="str">
        <f t="shared" si="21"/>
        <v/>
      </c>
      <c r="Y293" s="4" t="str">
        <f t="shared" si="22"/>
        <v/>
      </c>
      <c r="Z293" s="5">
        <f t="shared" si="23"/>
        <v>1.15</v>
      </c>
      <c r="AA293" s="6">
        <f t="shared" si="24"/>
        <v>4</v>
      </c>
      <c r="AB293" t="str">
        <f>IFERROR(F293&amp;"*"&amp;ROUND(L293*(G293/(G293+I293+K293))/VLOOKUP(F293,商品!$A$4:$D$67,4,FALSE),0),"")</f>
        <v/>
      </c>
      <c r="AC293" t="str">
        <f>IFERROR(H293&amp;"*"&amp;ROUND(L293*(I293/(G293+I293+K293))/VLOOKUP(H293,商品!$A$4:$D$67,4,FALSE),0),"")</f>
        <v/>
      </c>
      <c r="AD293" t="str">
        <f>IFERROR(J293&amp;"*"&amp;ROUND(L293*(K293/(G293+I293+K293))/VLOOKUP(J293,商品!$A$4:$D$67,4,FALSE),0),"")</f>
        <v/>
      </c>
      <c r="AE293" t="str">
        <f>IFERROR(M293&amp;"*"&amp;ROUND(Q293*(N293/(N293+P293))/VLOOKUP(M293,职业!$A$3:$E$16,4,FALSE),0),"")</f>
        <v/>
      </c>
      <c r="AF293" t="str">
        <f>IFERROR(O293&amp;"*"&amp;ROUND(Q293*(P293/(N293+P293))/VLOOKUP(O293,职业!$A$3:$E$16,4,FALSE),0),"")</f>
        <v/>
      </c>
      <c r="AG293" t="str">
        <f>IFERROR(R293&amp;"*"&amp;ROUND(V293*(S293/(S293+U293))/VLOOKUP(R293,商品!$A$4:$D$67,4,FALSE),0),"")</f>
        <v/>
      </c>
      <c r="AH293" t="str">
        <f>IFERROR(T293&amp;"*"&amp;ROUND(V293*(U293/(S293+U293))/VLOOKUP(T293,商品!$A$4:$D$67,4,FALSE),0),"")</f>
        <v/>
      </c>
    </row>
    <row r="294" customHeight="1" spans="1:34">
      <c r="A294" s="15" t="s">
        <v>338</v>
      </c>
      <c r="C294" s="2">
        <v>5</v>
      </c>
      <c r="D294" s="2" t="s">
        <v>220</v>
      </c>
      <c r="E294" s="2" t="s">
        <v>225</v>
      </c>
      <c r="L294" s="2">
        <f>IFERROR(VLOOKUP($D294&amp;$C294,生产方式定位!$A$2:$E$39,2,FALSE)+VLOOKUP($E294&amp;$C294,生产方式定位!$F$3:$J$39,2,FALSE),0)</f>
        <v>4000</v>
      </c>
      <c r="Q294" s="2">
        <f>IFERROR(VLOOKUP($D294&amp;$C294,生产方式定位!$A$2:$E$39,3,FALSE)+VLOOKUP($E294&amp;$C294,生产方式定位!$F$3:$J$39,3,FALSE),0)</f>
        <v>2800</v>
      </c>
      <c r="V294" s="2">
        <f>IFERROR(VLOOKUP($D294&amp;$C294,生产方式定位!$A$2:$E$39,5,FALSE)+VLOOKUP($E294&amp;$C294,生产方式定位!$F$3:$J$39,5,FALSE),"错误")</f>
        <v>3400</v>
      </c>
      <c r="W294" s="3" t="str">
        <f t="shared" si="20"/>
        <v/>
      </c>
      <c r="X294" s="4" t="str">
        <f t="shared" si="21"/>
        <v/>
      </c>
      <c r="Y294" s="4" t="str">
        <f t="shared" si="22"/>
        <v/>
      </c>
      <c r="Z294" s="5">
        <f t="shared" si="23"/>
        <v>1.18</v>
      </c>
      <c r="AA294" s="6">
        <f t="shared" si="24"/>
        <v>5</v>
      </c>
      <c r="AB294" t="str">
        <f>IFERROR(F294&amp;"*"&amp;ROUND(L294*(G294/(G294+I294+K294))/VLOOKUP(F294,商品!$A$4:$D$67,4,FALSE),0),"")</f>
        <v/>
      </c>
      <c r="AC294" t="str">
        <f>IFERROR(H294&amp;"*"&amp;ROUND(L294*(I294/(G294+I294+K294))/VLOOKUP(H294,商品!$A$4:$D$67,4,FALSE),0),"")</f>
        <v/>
      </c>
      <c r="AD294" t="str">
        <f>IFERROR(J294&amp;"*"&amp;ROUND(L294*(K294/(G294+I294+K294))/VLOOKUP(J294,商品!$A$4:$D$67,4,FALSE),0),"")</f>
        <v/>
      </c>
      <c r="AE294" t="str">
        <f>IFERROR(M294&amp;"*"&amp;ROUND(Q294*(N294/(N294+P294))/VLOOKUP(M294,职业!$A$3:$E$16,4,FALSE),0),"")</f>
        <v/>
      </c>
      <c r="AF294" t="str">
        <f>IFERROR(O294&amp;"*"&amp;ROUND(Q294*(P294/(N294+P294))/VLOOKUP(O294,职业!$A$3:$E$16,4,FALSE),0),"")</f>
        <v/>
      </c>
      <c r="AG294" t="str">
        <f>IFERROR(R294&amp;"*"&amp;ROUND(V294*(S294/(S294+U294))/VLOOKUP(R294,商品!$A$4:$D$67,4,FALSE),0),"")</f>
        <v/>
      </c>
      <c r="AH294" t="str">
        <f>IFERROR(T294&amp;"*"&amp;ROUND(V294*(U294/(S294+U294))/VLOOKUP(T294,商品!$A$4:$D$67,4,FALSE),0),"")</f>
        <v/>
      </c>
    </row>
    <row r="295" customHeight="1" spans="1:34">
      <c r="A295" s="15" t="s">
        <v>338</v>
      </c>
      <c r="C295" s="2">
        <v>1</v>
      </c>
      <c r="D295" s="2" t="s">
        <v>220</v>
      </c>
      <c r="E295" s="2" t="s">
        <v>225</v>
      </c>
      <c r="L295" s="2">
        <f>IFERROR(VLOOKUP($D295&amp;$C295,生产方式定位!$A$2:$E$39,2,FALSE)+VLOOKUP($E295&amp;$C295,生产方式定位!$F$3:$J$39,2,FALSE),0)</f>
        <v>2000</v>
      </c>
      <c r="Q295" s="2">
        <f>IFERROR(VLOOKUP($D295&amp;$C295,生产方式定位!$A$2:$E$39,3,FALSE)+VLOOKUP($E295&amp;$C295,生产方式定位!$F$3:$J$39,3,FALSE),0)</f>
        <v>2000</v>
      </c>
      <c r="V295" s="2">
        <f>IFERROR(VLOOKUP($D295&amp;$C295,生产方式定位!$A$2:$E$39,5,FALSE)+VLOOKUP($E295&amp;$C295,生产方式定位!$F$3:$J$39,5,FALSE),"错误")</f>
        <v>2000</v>
      </c>
      <c r="W295" s="3" t="str">
        <f t="shared" si="20"/>
        <v/>
      </c>
      <c r="X295" s="4" t="str">
        <f t="shared" si="21"/>
        <v/>
      </c>
      <c r="Y295" s="4" t="str">
        <f t="shared" si="22"/>
        <v/>
      </c>
      <c r="Z295" s="5">
        <f t="shared" si="23"/>
        <v>1</v>
      </c>
      <c r="AA295" s="6">
        <f t="shared" si="24"/>
        <v>1</v>
      </c>
      <c r="AB295" t="str">
        <f>IFERROR(F295&amp;"*"&amp;ROUND(L295*(G295/(G295+I295+K295))/VLOOKUP(F295,商品!$A$4:$D$67,4,FALSE),0),"")</f>
        <v/>
      </c>
      <c r="AC295" t="str">
        <f>IFERROR(H295&amp;"*"&amp;ROUND(L295*(I295/(G295+I295+K295))/VLOOKUP(H295,商品!$A$4:$D$67,4,FALSE),0),"")</f>
        <v/>
      </c>
      <c r="AD295" t="str">
        <f>IFERROR(J295&amp;"*"&amp;ROUND(L295*(K295/(G295+I295+K295))/VLOOKUP(J295,商品!$A$4:$D$67,4,FALSE),0),"")</f>
        <v/>
      </c>
      <c r="AE295" t="str">
        <f>IFERROR(M295&amp;"*"&amp;ROUND(Q295*(N295/(N295+P295))/VLOOKUP(M295,职业!$A$3:$E$16,4,FALSE),0),"")</f>
        <v/>
      </c>
      <c r="AF295" t="str">
        <f>IFERROR(O295&amp;"*"&amp;ROUND(Q295*(P295/(N295+P295))/VLOOKUP(O295,职业!$A$3:$E$16,4,FALSE),0),"")</f>
        <v/>
      </c>
      <c r="AG295" t="str">
        <f>IFERROR(R295&amp;"*"&amp;ROUND(V295*(S295/(S295+U295))/VLOOKUP(R295,商品!$A$4:$D$67,4,FALSE),0),"")</f>
        <v/>
      </c>
      <c r="AH295" t="str">
        <f>IFERROR(T295&amp;"*"&amp;ROUND(V295*(U295/(S295+U295))/VLOOKUP(T295,商品!$A$4:$D$67,4,FALSE),0),"")</f>
        <v/>
      </c>
    </row>
    <row r="296" customHeight="1" spans="1:34">
      <c r="A296" s="15" t="s">
        <v>338</v>
      </c>
      <c r="C296" s="2">
        <v>2</v>
      </c>
      <c r="D296" s="2" t="s">
        <v>220</v>
      </c>
      <c r="E296" s="2" t="s">
        <v>225</v>
      </c>
      <c r="L296" s="2">
        <f>IFERROR(VLOOKUP($D296&amp;$C296,生产方式定位!$A$2:$E$39,2,FALSE)+VLOOKUP($E296&amp;$C296,生产方式定位!$F$3:$J$39,2,FALSE),0)</f>
        <v>2500</v>
      </c>
      <c r="Q296" s="2">
        <f>IFERROR(VLOOKUP($D296&amp;$C296,生产方式定位!$A$2:$E$39,3,FALSE)+VLOOKUP($E296&amp;$C296,生产方式定位!$F$3:$J$39,3,FALSE),0)</f>
        <v>2200</v>
      </c>
      <c r="V296" s="2">
        <f>IFERROR(VLOOKUP($D296&amp;$C296,生产方式定位!$A$2:$E$39,5,FALSE)+VLOOKUP($E296&amp;$C296,生产方式定位!$F$3:$J$39,5,FALSE),"错误")</f>
        <v>2350</v>
      </c>
      <c r="W296" s="3" t="str">
        <f t="shared" si="20"/>
        <v/>
      </c>
      <c r="X296" s="4" t="str">
        <f t="shared" si="21"/>
        <v/>
      </c>
      <c r="Y296" s="4" t="str">
        <f t="shared" si="22"/>
        <v/>
      </c>
      <c r="Z296" s="5">
        <f t="shared" si="23"/>
        <v>1.06</v>
      </c>
      <c r="AA296" s="6">
        <f t="shared" si="24"/>
        <v>2</v>
      </c>
      <c r="AB296" t="str">
        <f>IFERROR(F296&amp;"*"&amp;ROUND(L296*(G296/(G296+I296+K296))/VLOOKUP(F296,商品!$A$4:$D$67,4,FALSE),0),"")</f>
        <v/>
      </c>
      <c r="AC296" t="str">
        <f>IFERROR(H296&amp;"*"&amp;ROUND(L296*(I296/(G296+I296+K296))/VLOOKUP(H296,商品!$A$4:$D$67,4,FALSE),0),"")</f>
        <v/>
      </c>
      <c r="AD296" t="str">
        <f>IFERROR(J296&amp;"*"&amp;ROUND(L296*(K296/(G296+I296+K296))/VLOOKUP(J296,商品!$A$4:$D$67,4,FALSE),0),"")</f>
        <v/>
      </c>
      <c r="AE296" t="str">
        <f>IFERROR(M296&amp;"*"&amp;ROUND(Q296*(N296/(N296+P296))/VLOOKUP(M296,职业!$A$3:$E$16,4,FALSE),0),"")</f>
        <v/>
      </c>
      <c r="AF296" t="str">
        <f>IFERROR(O296&amp;"*"&amp;ROUND(Q296*(P296/(N296+P296))/VLOOKUP(O296,职业!$A$3:$E$16,4,FALSE),0),"")</f>
        <v/>
      </c>
      <c r="AG296" t="str">
        <f>IFERROR(R296&amp;"*"&amp;ROUND(V296*(S296/(S296+U296))/VLOOKUP(R296,商品!$A$4:$D$67,4,FALSE),0),"")</f>
        <v/>
      </c>
      <c r="AH296" t="str">
        <f>IFERROR(T296&amp;"*"&amp;ROUND(V296*(U296/(S296+U296))/VLOOKUP(T296,商品!$A$4:$D$67,4,FALSE),0),"")</f>
        <v/>
      </c>
    </row>
    <row r="297" customHeight="1" spans="1:34">
      <c r="A297" s="15" t="s">
        <v>338</v>
      </c>
      <c r="C297" s="2">
        <v>3</v>
      </c>
      <c r="D297" s="2" t="s">
        <v>220</v>
      </c>
      <c r="E297" s="2" t="s">
        <v>225</v>
      </c>
      <c r="L297" s="2">
        <f>IFERROR(VLOOKUP($D297&amp;$C297,生产方式定位!$A$2:$E$39,2,FALSE)+VLOOKUP($E297&amp;$C297,生产方式定位!$F$3:$J$39,2,FALSE),0)</f>
        <v>3000</v>
      </c>
      <c r="Q297" s="2">
        <f>IFERROR(VLOOKUP($D297&amp;$C297,生产方式定位!$A$2:$E$39,3,FALSE)+VLOOKUP($E297&amp;$C297,生产方式定位!$F$3:$J$39,3,FALSE),0)</f>
        <v>2400</v>
      </c>
      <c r="V297" s="2">
        <f>IFERROR(VLOOKUP($D297&amp;$C297,生产方式定位!$A$2:$E$39,5,FALSE)+VLOOKUP($E297&amp;$C297,生产方式定位!$F$3:$J$39,5,FALSE),"错误")</f>
        <v>2700</v>
      </c>
      <c r="W297" s="3" t="str">
        <f t="shared" si="20"/>
        <v/>
      </c>
      <c r="X297" s="4" t="str">
        <f t="shared" si="21"/>
        <v/>
      </c>
      <c r="Y297" s="4" t="str">
        <f t="shared" si="22"/>
        <v/>
      </c>
      <c r="Z297" s="5">
        <f t="shared" si="23"/>
        <v>1.11</v>
      </c>
      <c r="AA297" s="6">
        <f t="shared" si="24"/>
        <v>3</v>
      </c>
      <c r="AB297" t="str">
        <f>IFERROR(F297&amp;"*"&amp;ROUND(L297*(G297/(G297+I297+K297))/VLOOKUP(F297,商品!$A$4:$D$67,4,FALSE),0),"")</f>
        <v/>
      </c>
      <c r="AC297" t="str">
        <f>IFERROR(H297&amp;"*"&amp;ROUND(L297*(I297/(G297+I297+K297))/VLOOKUP(H297,商品!$A$4:$D$67,4,FALSE),0),"")</f>
        <v/>
      </c>
      <c r="AD297" t="str">
        <f>IFERROR(J297&amp;"*"&amp;ROUND(L297*(K297/(G297+I297+K297))/VLOOKUP(J297,商品!$A$4:$D$67,4,FALSE),0),"")</f>
        <v/>
      </c>
      <c r="AE297" t="str">
        <f>IFERROR(M297&amp;"*"&amp;ROUND(Q297*(N297/(N297+P297))/VLOOKUP(M297,职业!$A$3:$E$16,4,FALSE),0),"")</f>
        <v/>
      </c>
      <c r="AF297" t="str">
        <f>IFERROR(O297&amp;"*"&amp;ROUND(Q297*(P297/(N297+P297))/VLOOKUP(O297,职业!$A$3:$E$16,4,FALSE),0),"")</f>
        <v/>
      </c>
      <c r="AG297" t="str">
        <f>IFERROR(R297&amp;"*"&amp;ROUND(V297*(S297/(S297+U297))/VLOOKUP(R297,商品!$A$4:$D$67,4,FALSE),0),"")</f>
        <v/>
      </c>
      <c r="AH297" t="str">
        <f>IFERROR(T297&amp;"*"&amp;ROUND(V297*(U297/(S297+U297))/VLOOKUP(T297,商品!$A$4:$D$67,4,FALSE),0),"")</f>
        <v/>
      </c>
    </row>
    <row r="298" customHeight="1" spans="1:34">
      <c r="A298" s="14" t="s">
        <v>340</v>
      </c>
      <c r="C298" s="2">
        <v>4</v>
      </c>
      <c r="D298" s="2" t="s">
        <v>238</v>
      </c>
      <c r="E298" s="2" t="s">
        <v>222</v>
      </c>
      <c r="L298" s="2">
        <f>IFERROR(VLOOKUP($D298&amp;$C298,生产方式定位!$A$2:$E$39,2,FALSE)+VLOOKUP($E298&amp;$C298,生产方式定位!$F$3:$J$39,2,FALSE),0)</f>
        <v>11000</v>
      </c>
      <c r="Q298" s="2">
        <f>IFERROR(VLOOKUP($D298&amp;$C298,生产方式定位!$A$2:$E$39,3,FALSE)+VLOOKUP($E298&amp;$C298,生产方式定位!$F$3:$J$39,3,FALSE),0)</f>
        <v>10100</v>
      </c>
      <c r="V298" s="2">
        <f>IFERROR(VLOOKUP($D298&amp;$C298,生产方式定位!$A$2:$E$39,5,FALSE)+VLOOKUP($E298&amp;$C298,生产方式定位!$F$3:$J$39,5,FALSE),"错误")</f>
        <v>11198</v>
      </c>
      <c r="W298" s="3" t="str">
        <f t="shared" si="20"/>
        <v/>
      </c>
      <c r="X298" s="4" t="str">
        <f t="shared" si="21"/>
        <v/>
      </c>
      <c r="Y298" s="4" t="str">
        <f t="shared" si="22"/>
        <v/>
      </c>
      <c r="Z298" s="5">
        <f t="shared" si="23"/>
        <v>0.98</v>
      </c>
      <c r="AA298" s="6">
        <f t="shared" si="24"/>
        <v>4</v>
      </c>
      <c r="AB298" t="str">
        <f>IFERROR(F298&amp;"*"&amp;ROUND(L298*(G298/(G298+I298+K298))/VLOOKUP(F298,商品!$A$4:$D$67,4,FALSE),0),"")</f>
        <v/>
      </c>
      <c r="AC298" t="str">
        <f>IFERROR(H298&amp;"*"&amp;ROUND(L298*(I298/(G298+I298+K298))/VLOOKUP(H298,商品!$A$4:$D$67,4,FALSE),0),"")</f>
        <v/>
      </c>
      <c r="AD298" t="str">
        <f>IFERROR(J298&amp;"*"&amp;ROUND(L298*(K298/(G298+I298+K298))/VLOOKUP(J298,商品!$A$4:$D$67,4,FALSE),0),"")</f>
        <v/>
      </c>
      <c r="AE298" t="str">
        <f>IFERROR(M298&amp;"*"&amp;ROUND(Q298*(N298/(N298+P298))/VLOOKUP(M298,职业!$A$3:$E$16,4,FALSE),0),"")</f>
        <v/>
      </c>
      <c r="AF298" t="str">
        <f>IFERROR(O298&amp;"*"&amp;ROUND(Q298*(P298/(N298+P298))/VLOOKUP(O298,职业!$A$3:$E$16,4,FALSE),0),"")</f>
        <v/>
      </c>
      <c r="AG298" t="str">
        <f>IFERROR(R298&amp;"*"&amp;ROUND(V298*(S298/(S298+U298))/VLOOKUP(R298,商品!$A$4:$D$67,4,FALSE),0),"")</f>
        <v/>
      </c>
      <c r="AH298" t="str">
        <f>IFERROR(T298&amp;"*"&amp;ROUND(V298*(U298/(S298+U298))/VLOOKUP(T298,商品!$A$4:$D$67,4,FALSE),0),"")</f>
        <v/>
      </c>
    </row>
    <row r="299" customHeight="1" spans="1:34">
      <c r="A299" s="14" t="s">
        <v>340</v>
      </c>
      <c r="C299" s="2">
        <v>5</v>
      </c>
      <c r="D299" s="2" t="s">
        <v>238</v>
      </c>
      <c r="E299" s="2" t="s">
        <v>222</v>
      </c>
      <c r="L299" s="2">
        <f>IFERROR(VLOOKUP($D299&amp;$C299,生产方式定位!$A$2:$E$39,2,FALSE)+VLOOKUP($E299&amp;$C299,生产方式定位!$F$3:$J$39,2,FALSE),0)</f>
        <v>11000</v>
      </c>
      <c r="Q299" s="2">
        <f>IFERROR(VLOOKUP($D299&amp;$C299,生产方式定位!$A$2:$E$39,3,FALSE)+VLOOKUP($E299&amp;$C299,生产方式定位!$F$3:$J$39,3,FALSE),0)</f>
        <v>10800</v>
      </c>
      <c r="V299" s="2">
        <f>IFERROR(VLOOKUP($D299&amp;$C299,生产方式定位!$A$2:$E$39,5,FALSE)+VLOOKUP($E299&amp;$C299,生产方式定位!$F$3:$J$39,5,FALSE),"错误")</f>
        <v>12100</v>
      </c>
      <c r="W299" s="3" t="str">
        <f t="shared" si="20"/>
        <v/>
      </c>
      <c r="X299" s="4" t="str">
        <f t="shared" si="21"/>
        <v/>
      </c>
      <c r="Y299" s="4" t="str">
        <f t="shared" si="22"/>
        <v/>
      </c>
      <c r="Z299" s="5">
        <f t="shared" si="23"/>
        <v>0.91</v>
      </c>
      <c r="AA299" s="6">
        <f t="shared" si="24"/>
        <v>5</v>
      </c>
      <c r="AB299" t="str">
        <f>IFERROR(F299&amp;"*"&amp;ROUND(L299*(G299/(G299+I299+K299))/VLOOKUP(F299,商品!$A$4:$D$67,4,FALSE),0),"")</f>
        <v/>
      </c>
      <c r="AC299" t="str">
        <f>IFERROR(H299&amp;"*"&amp;ROUND(L299*(I299/(G299+I299+K299))/VLOOKUP(H299,商品!$A$4:$D$67,4,FALSE),0),"")</f>
        <v/>
      </c>
      <c r="AD299" t="str">
        <f>IFERROR(J299&amp;"*"&amp;ROUND(L299*(K299/(G299+I299+K299))/VLOOKUP(J299,商品!$A$4:$D$67,4,FALSE),0),"")</f>
        <v/>
      </c>
      <c r="AE299" t="str">
        <f>IFERROR(M299&amp;"*"&amp;ROUND(Q299*(N299/(N299+P299))/VLOOKUP(M299,职业!$A$3:$E$16,4,FALSE),0),"")</f>
        <v/>
      </c>
      <c r="AF299" t="str">
        <f>IFERROR(O299&amp;"*"&amp;ROUND(Q299*(P299/(N299+P299))/VLOOKUP(O299,职业!$A$3:$E$16,4,FALSE),0),"")</f>
        <v/>
      </c>
      <c r="AG299" t="str">
        <f>IFERROR(R299&amp;"*"&amp;ROUND(V299*(S299/(S299+U299))/VLOOKUP(R299,商品!$A$4:$D$67,4,FALSE),0),"")</f>
        <v/>
      </c>
      <c r="AH299" t="str">
        <f>IFERROR(T299&amp;"*"&amp;ROUND(V299*(U299/(S299+U299))/VLOOKUP(T299,商品!$A$4:$D$67,4,FALSE),0),"")</f>
        <v/>
      </c>
    </row>
    <row r="300" customHeight="1" spans="1:34">
      <c r="A300" s="14" t="s">
        <v>340</v>
      </c>
      <c r="C300" s="2">
        <v>6</v>
      </c>
      <c r="D300" s="2" t="s">
        <v>238</v>
      </c>
      <c r="E300" s="2" t="s">
        <v>222</v>
      </c>
      <c r="L300" s="2">
        <f>IFERROR(VLOOKUP($D300&amp;$C300,生产方式定位!$A$2:$E$39,2,FALSE)+VLOOKUP($E300&amp;$C300,生产方式定位!$F$3:$J$39,2,FALSE),0)</f>
        <v>0</v>
      </c>
      <c r="Q300" s="2">
        <f>IFERROR(VLOOKUP($D300&amp;$C300,生产方式定位!$A$2:$E$39,3,FALSE)+VLOOKUP($E300&amp;$C300,生产方式定位!$F$3:$J$39,3,FALSE),0)</f>
        <v>0</v>
      </c>
      <c r="V300" s="2" t="str">
        <f>IFERROR(VLOOKUP($D300&amp;$C300,生产方式定位!$A$2:$E$39,5,FALSE)+VLOOKUP($E300&amp;$C300,生产方式定位!$F$3:$J$39,5,FALSE),"错误")</f>
        <v>错误</v>
      </c>
      <c r="W300" s="3" t="str">
        <f t="shared" si="20"/>
        <v/>
      </c>
      <c r="X300" s="4" t="str">
        <f t="shared" si="21"/>
        <v/>
      </c>
      <c r="Y300" s="4" t="str">
        <f t="shared" si="22"/>
        <v/>
      </c>
      <c r="Z300" s="5" t="str">
        <f t="shared" si="23"/>
        <v/>
      </c>
      <c r="AA300" s="6">
        <f t="shared" si="24"/>
        <v>6</v>
      </c>
      <c r="AB300" t="str">
        <f>IFERROR(F300&amp;"*"&amp;ROUND(L300*(G300/(G300+I300+K300))/VLOOKUP(F300,商品!$A$4:$D$67,4,FALSE),0),"")</f>
        <v/>
      </c>
      <c r="AC300" t="str">
        <f>IFERROR(H300&amp;"*"&amp;ROUND(L300*(I300/(G300+I300+K300))/VLOOKUP(H300,商品!$A$4:$D$67,4,FALSE),0),"")</f>
        <v/>
      </c>
      <c r="AD300" t="str">
        <f>IFERROR(J300&amp;"*"&amp;ROUND(L300*(K300/(G300+I300+K300))/VLOOKUP(J300,商品!$A$4:$D$67,4,FALSE),0),"")</f>
        <v/>
      </c>
      <c r="AE300" t="str">
        <f>IFERROR(M300&amp;"*"&amp;ROUND(Q300*(N300/(N300+P300))/VLOOKUP(M300,职业!$A$3:$E$16,4,FALSE),0),"")</f>
        <v/>
      </c>
      <c r="AF300" t="str">
        <f>IFERROR(O300&amp;"*"&amp;ROUND(Q300*(P300/(N300+P300))/VLOOKUP(O300,职业!$A$3:$E$16,4,FALSE),0),"")</f>
        <v/>
      </c>
      <c r="AG300" t="str">
        <f>IFERROR(R300&amp;"*"&amp;ROUND(V300*(S300/(S300+U300))/VLOOKUP(R300,商品!$A$4:$D$67,4,FALSE),0),"")</f>
        <v/>
      </c>
      <c r="AH300" t="str">
        <f>IFERROR(T300&amp;"*"&amp;ROUND(V300*(U300/(S300+U300))/VLOOKUP(T300,商品!$A$4:$D$67,4,FALSE),0),"")</f>
        <v/>
      </c>
    </row>
    <row r="301" customHeight="1" spans="1:34">
      <c r="A301" s="14" t="s">
        <v>340</v>
      </c>
      <c r="C301" s="2">
        <v>7</v>
      </c>
      <c r="D301" s="2" t="s">
        <v>238</v>
      </c>
      <c r="E301" s="2" t="s">
        <v>222</v>
      </c>
      <c r="L301" s="2">
        <f>IFERROR(VLOOKUP($D301&amp;$C301,生产方式定位!$A$2:$E$39,2,FALSE)+VLOOKUP($E301&amp;$C301,生产方式定位!$F$3:$J$39,2,FALSE),0)</f>
        <v>0</v>
      </c>
      <c r="Q301" s="2">
        <f>IFERROR(VLOOKUP($D301&amp;$C301,生产方式定位!$A$2:$E$39,3,FALSE)+VLOOKUP($E301&amp;$C301,生产方式定位!$F$3:$J$39,3,FALSE),0)</f>
        <v>0</v>
      </c>
      <c r="V301" s="2" t="str">
        <f>IFERROR(VLOOKUP($D301&amp;$C301,生产方式定位!$A$2:$E$39,5,FALSE)+VLOOKUP($E301&amp;$C301,生产方式定位!$F$3:$J$39,5,FALSE),"错误")</f>
        <v>错误</v>
      </c>
      <c r="W301" s="3" t="str">
        <f t="shared" si="20"/>
        <v/>
      </c>
      <c r="X301" s="4" t="str">
        <f t="shared" si="21"/>
        <v/>
      </c>
      <c r="Y301" s="4" t="str">
        <f t="shared" si="22"/>
        <v/>
      </c>
      <c r="Z301" s="5" t="str">
        <f t="shared" si="23"/>
        <v/>
      </c>
      <c r="AA301" s="6">
        <f t="shared" si="24"/>
        <v>7</v>
      </c>
      <c r="AB301" t="str">
        <f>IFERROR(F301&amp;"*"&amp;ROUND(L301*(G301/(G301+I301+K301))/VLOOKUP(F301,商品!$A$4:$D$67,4,FALSE),0),"")</f>
        <v/>
      </c>
      <c r="AC301" t="str">
        <f>IFERROR(H301&amp;"*"&amp;ROUND(L301*(I301/(G301+I301+K301))/VLOOKUP(H301,商品!$A$4:$D$67,4,FALSE),0),"")</f>
        <v/>
      </c>
      <c r="AD301" t="str">
        <f>IFERROR(J301&amp;"*"&amp;ROUND(L301*(K301/(G301+I301+K301))/VLOOKUP(J301,商品!$A$4:$D$67,4,FALSE),0),"")</f>
        <v/>
      </c>
      <c r="AE301" t="str">
        <f>IFERROR(M301&amp;"*"&amp;ROUND(Q301*(N301/(N301+P301))/VLOOKUP(M301,职业!$A$3:$E$16,4,FALSE),0),"")</f>
        <v/>
      </c>
      <c r="AF301" t="str">
        <f>IFERROR(O301&amp;"*"&amp;ROUND(Q301*(P301/(N301+P301))/VLOOKUP(O301,职业!$A$3:$E$16,4,FALSE),0),"")</f>
        <v/>
      </c>
      <c r="AG301" t="str">
        <f>IFERROR(R301&amp;"*"&amp;ROUND(V301*(S301/(S301+U301))/VLOOKUP(R301,商品!$A$4:$D$67,4,FALSE),0),"")</f>
        <v/>
      </c>
      <c r="AH301" t="str">
        <f>IFERROR(T301&amp;"*"&amp;ROUND(V301*(U301/(S301+U301))/VLOOKUP(T301,商品!$A$4:$D$67,4,FALSE),0),"")</f>
        <v/>
      </c>
    </row>
    <row r="302" customHeight="1" spans="1:34">
      <c r="A302" s="14" t="s">
        <v>340</v>
      </c>
      <c r="C302" s="2">
        <v>8</v>
      </c>
      <c r="D302" s="2" t="s">
        <v>238</v>
      </c>
      <c r="E302" s="2" t="s">
        <v>222</v>
      </c>
      <c r="L302" s="2">
        <f>IFERROR(VLOOKUP($D302&amp;$C302,生产方式定位!$A$2:$E$39,2,FALSE)+VLOOKUP($E302&amp;$C302,生产方式定位!$F$3:$J$39,2,FALSE),0)</f>
        <v>0</v>
      </c>
      <c r="Q302" s="2">
        <f>IFERROR(VLOOKUP($D302&amp;$C302,生产方式定位!$A$2:$E$39,3,FALSE)+VLOOKUP($E302&amp;$C302,生产方式定位!$F$3:$J$39,3,FALSE),0)</f>
        <v>0</v>
      </c>
      <c r="V302" s="2" t="str">
        <f>IFERROR(VLOOKUP($D302&amp;$C302,生产方式定位!$A$2:$E$39,5,FALSE)+VLOOKUP($E302&amp;$C302,生产方式定位!$F$3:$J$39,5,FALSE),"错误")</f>
        <v>错误</v>
      </c>
      <c r="W302" s="3" t="str">
        <f t="shared" si="20"/>
        <v/>
      </c>
      <c r="X302" s="4" t="str">
        <f t="shared" si="21"/>
        <v/>
      </c>
      <c r="Y302" s="4" t="str">
        <f t="shared" si="22"/>
        <v/>
      </c>
      <c r="Z302" s="5" t="str">
        <f t="shared" si="23"/>
        <v/>
      </c>
      <c r="AA302" s="6">
        <f t="shared" si="24"/>
        <v>8</v>
      </c>
      <c r="AB302" t="str">
        <f>IFERROR(F302&amp;"*"&amp;ROUND(L302*(G302/(G302+I302+K302))/VLOOKUP(F302,商品!$A$4:$D$67,4,FALSE),0),"")</f>
        <v/>
      </c>
      <c r="AC302" t="str">
        <f>IFERROR(H302&amp;"*"&amp;ROUND(L302*(I302/(G302+I302+K302))/VLOOKUP(H302,商品!$A$4:$D$67,4,FALSE),0),"")</f>
        <v/>
      </c>
      <c r="AD302" t="str">
        <f>IFERROR(J302&amp;"*"&amp;ROUND(L302*(K302/(G302+I302+K302))/VLOOKUP(J302,商品!$A$4:$D$67,4,FALSE),0),"")</f>
        <v/>
      </c>
      <c r="AE302" t="str">
        <f>IFERROR(M302&amp;"*"&amp;ROUND(Q302*(N302/(N302+P302))/VLOOKUP(M302,职业!$A$3:$E$16,4,FALSE),0),"")</f>
        <v/>
      </c>
      <c r="AF302" t="str">
        <f>IFERROR(O302&amp;"*"&amp;ROUND(Q302*(P302/(N302+P302))/VLOOKUP(O302,职业!$A$3:$E$16,4,FALSE),0),"")</f>
        <v/>
      </c>
      <c r="AG302" t="str">
        <f>IFERROR(R302&amp;"*"&amp;ROUND(V302*(S302/(S302+U302))/VLOOKUP(R302,商品!$A$4:$D$67,4,FALSE),0),"")</f>
        <v/>
      </c>
      <c r="AH302" t="str">
        <f>IFERROR(T302&amp;"*"&amp;ROUND(V302*(U302/(S302+U302))/VLOOKUP(T302,商品!$A$4:$D$67,4,FALSE),0),"")</f>
        <v/>
      </c>
    </row>
    <row r="303" customHeight="1" spans="1:34">
      <c r="A303" s="15" t="s">
        <v>341</v>
      </c>
      <c r="C303" s="2">
        <v>1</v>
      </c>
      <c r="D303" s="2" t="s">
        <v>238</v>
      </c>
      <c r="E303" s="2" t="s">
        <v>224</v>
      </c>
      <c r="L303" s="2">
        <f>IFERROR(VLOOKUP($D303&amp;$C303,生产方式定位!$A$2:$E$39,2,FALSE)+VLOOKUP($E303&amp;$C303,生产方式定位!$F$3:$J$39,2,FALSE),0)</f>
        <v>11000</v>
      </c>
      <c r="Q303" s="2">
        <f>IFERROR(VLOOKUP($D303&amp;$C303,生产方式定位!$A$2:$E$39,3,FALSE)+VLOOKUP($E303&amp;$C303,生产方式定位!$F$3:$J$39,3,FALSE),0)</f>
        <v>8000</v>
      </c>
      <c r="V303" s="2">
        <f>IFERROR(VLOOKUP($D303&amp;$C303,生产方式定位!$A$2:$E$39,5,FALSE)+VLOOKUP($E303&amp;$C303,生产方式定位!$F$3:$J$39,5,FALSE),"错误")</f>
        <v>9500</v>
      </c>
      <c r="W303" s="3" t="str">
        <f t="shared" si="20"/>
        <v/>
      </c>
      <c r="X303" s="4" t="str">
        <f t="shared" si="21"/>
        <v/>
      </c>
      <c r="Y303" s="4" t="str">
        <f t="shared" si="22"/>
        <v/>
      </c>
      <c r="Z303" s="5">
        <f t="shared" si="23"/>
        <v>1.16</v>
      </c>
      <c r="AA303" s="6">
        <f t="shared" si="24"/>
        <v>1</v>
      </c>
      <c r="AB303" t="str">
        <f>IFERROR(F303&amp;"*"&amp;ROUND(L303*(G303/(G303+I303+K303))/VLOOKUP(F303,商品!$A$4:$D$67,4,FALSE),0),"")</f>
        <v/>
      </c>
      <c r="AC303" t="str">
        <f>IFERROR(H303&amp;"*"&amp;ROUND(L303*(I303/(G303+I303+K303))/VLOOKUP(H303,商品!$A$4:$D$67,4,FALSE),0),"")</f>
        <v/>
      </c>
      <c r="AD303" t="str">
        <f>IFERROR(J303&amp;"*"&amp;ROUND(L303*(K303/(G303+I303+K303))/VLOOKUP(J303,商品!$A$4:$D$67,4,FALSE),0),"")</f>
        <v/>
      </c>
      <c r="AE303" t="str">
        <f>IFERROR(M303&amp;"*"&amp;ROUND(Q303*(N303/(N303+P303))/VLOOKUP(M303,职业!$A$3:$E$16,4,FALSE),0),"")</f>
        <v/>
      </c>
      <c r="AF303" t="str">
        <f>IFERROR(O303&amp;"*"&amp;ROUND(Q303*(P303/(N303+P303))/VLOOKUP(O303,职业!$A$3:$E$16,4,FALSE),0),"")</f>
        <v/>
      </c>
      <c r="AG303" t="str">
        <f>IFERROR(R303&amp;"*"&amp;ROUND(V303*(S303/(S303+U303))/VLOOKUP(R303,商品!$A$4:$D$67,4,FALSE),0),"")</f>
        <v/>
      </c>
      <c r="AH303" t="str">
        <f>IFERROR(T303&amp;"*"&amp;ROUND(V303*(U303/(S303+U303))/VLOOKUP(T303,商品!$A$4:$D$67,4,FALSE),0),"")</f>
        <v/>
      </c>
    </row>
    <row r="304" customHeight="1" spans="1:34">
      <c r="A304" s="15" t="s">
        <v>341</v>
      </c>
      <c r="C304" s="2">
        <v>2</v>
      </c>
      <c r="D304" s="2" t="s">
        <v>238</v>
      </c>
      <c r="E304" s="2" t="s">
        <v>224</v>
      </c>
      <c r="L304" s="2">
        <f>IFERROR(VLOOKUP($D304&amp;$C304,生产方式定位!$A$2:$E$39,2,FALSE)+VLOOKUP($E304&amp;$C304,生产方式定位!$F$3:$J$39,2,FALSE),0)</f>
        <v>12000</v>
      </c>
      <c r="Q304" s="2">
        <f>IFERROR(VLOOKUP($D304&amp;$C304,生产方式定位!$A$2:$E$39,3,FALSE)+VLOOKUP($E304&amp;$C304,生产方式定位!$F$3:$J$39,3,FALSE),0)</f>
        <v>8300</v>
      </c>
      <c r="V304" s="2">
        <f>IFERROR(VLOOKUP($D304&amp;$C304,生产方式定位!$A$2:$E$39,5,FALSE)+VLOOKUP($E304&amp;$C304,生产方式定位!$F$3:$J$39,5,FALSE),"错误")</f>
        <v>10240</v>
      </c>
      <c r="W304" s="3" t="str">
        <f t="shared" si="20"/>
        <v/>
      </c>
      <c r="X304" s="4" t="str">
        <f t="shared" si="21"/>
        <v/>
      </c>
      <c r="Y304" s="4" t="str">
        <f t="shared" si="22"/>
        <v/>
      </c>
      <c r="Z304" s="5">
        <f t="shared" si="23"/>
        <v>1.17</v>
      </c>
      <c r="AA304" s="6">
        <f t="shared" si="24"/>
        <v>2</v>
      </c>
      <c r="AB304" t="str">
        <f>IFERROR(F304&amp;"*"&amp;ROUND(L304*(G304/(G304+I304+K304))/VLOOKUP(F304,商品!$A$4:$D$67,4,FALSE),0),"")</f>
        <v/>
      </c>
      <c r="AC304" t="str">
        <f>IFERROR(H304&amp;"*"&amp;ROUND(L304*(I304/(G304+I304+K304))/VLOOKUP(H304,商品!$A$4:$D$67,4,FALSE),0),"")</f>
        <v/>
      </c>
      <c r="AD304" t="str">
        <f>IFERROR(J304&amp;"*"&amp;ROUND(L304*(K304/(G304+I304+K304))/VLOOKUP(J304,商品!$A$4:$D$67,4,FALSE),0),"")</f>
        <v/>
      </c>
      <c r="AE304" t="str">
        <f>IFERROR(M304&amp;"*"&amp;ROUND(Q304*(N304/(N304+P304))/VLOOKUP(M304,职业!$A$3:$E$16,4,FALSE),0),"")</f>
        <v/>
      </c>
      <c r="AF304" t="str">
        <f>IFERROR(O304&amp;"*"&amp;ROUND(Q304*(P304/(N304+P304))/VLOOKUP(O304,职业!$A$3:$E$16,4,FALSE),0),"")</f>
        <v/>
      </c>
      <c r="AG304" t="str">
        <f>IFERROR(R304&amp;"*"&amp;ROUND(V304*(S304/(S304+U304))/VLOOKUP(R304,商品!$A$4:$D$67,4,FALSE),0),"")</f>
        <v/>
      </c>
      <c r="AH304" t="str">
        <f>IFERROR(T304&amp;"*"&amp;ROUND(V304*(U304/(S304+U304))/VLOOKUP(T304,商品!$A$4:$D$67,4,FALSE),0),"")</f>
        <v/>
      </c>
    </row>
    <row r="305" customHeight="1" spans="1:34">
      <c r="A305" s="15" t="s">
        <v>341</v>
      </c>
      <c r="C305" s="2">
        <v>3</v>
      </c>
      <c r="D305" s="2" t="s">
        <v>238</v>
      </c>
      <c r="E305" s="2" t="s">
        <v>224</v>
      </c>
      <c r="L305" s="2">
        <f>IFERROR(VLOOKUP($D305&amp;$C305,生产方式定位!$A$2:$E$39,2,FALSE)+VLOOKUP($E305&amp;$C305,生产方式定位!$F$3:$J$39,2,FALSE),0)</f>
        <v>12000</v>
      </c>
      <c r="Q305" s="2">
        <f>IFERROR(VLOOKUP($D305&amp;$C305,生产方式定位!$A$2:$E$39,3,FALSE)+VLOOKUP($E305&amp;$C305,生产方式定位!$F$3:$J$39,3,FALSE),0)</f>
        <v>8600</v>
      </c>
      <c r="V305" s="2">
        <f>IFERROR(VLOOKUP($D305&amp;$C305,生产方式定位!$A$2:$E$39,5,FALSE)+VLOOKUP($E305&amp;$C305,生产方式定位!$F$3:$J$39,5,FALSE),"错误")</f>
        <v>10560</v>
      </c>
      <c r="W305" s="3" t="str">
        <f t="shared" si="20"/>
        <v/>
      </c>
      <c r="X305" s="4" t="str">
        <f t="shared" si="21"/>
        <v/>
      </c>
      <c r="Y305" s="4" t="str">
        <f t="shared" si="22"/>
        <v/>
      </c>
      <c r="Z305" s="5">
        <f t="shared" si="23"/>
        <v>1.14</v>
      </c>
      <c r="AA305" s="6">
        <f t="shared" si="24"/>
        <v>3</v>
      </c>
      <c r="AB305" t="str">
        <f>IFERROR(F305&amp;"*"&amp;ROUND(L305*(G305/(G305+I305+K305))/VLOOKUP(F305,商品!$A$4:$D$67,4,FALSE),0),"")</f>
        <v/>
      </c>
      <c r="AC305" t="str">
        <f>IFERROR(H305&amp;"*"&amp;ROUND(L305*(I305/(G305+I305+K305))/VLOOKUP(H305,商品!$A$4:$D$67,4,FALSE),0),"")</f>
        <v/>
      </c>
      <c r="AD305" t="str">
        <f>IFERROR(J305&amp;"*"&amp;ROUND(L305*(K305/(G305+I305+K305))/VLOOKUP(J305,商品!$A$4:$D$67,4,FALSE),0),"")</f>
        <v/>
      </c>
      <c r="AE305" t="str">
        <f>IFERROR(M305&amp;"*"&amp;ROUND(Q305*(N305/(N305+P305))/VLOOKUP(M305,职业!$A$3:$E$16,4,FALSE),0),"")</f>
        <v/>
      </c>
      <c r="AF305" t="str">
        <f>IFERROR(O305&amp;"*"&amp;ROUND(Q305*(P305/(N305+P305))/VLOOKUP(O305,职业!$A$3:$E$16,4,FALSE),0),"")</f>
        <v/>
      </c>
      <c r="AG305" t="str">
        <f>IFERROR(R305&amp;"*"&amp;ROUND(V305*(S305/(S305+U305))/VLOOKUP(R305,商品!$A$4:$D$67,4,FALSE),0),"")</f>
        <v/>
      </c>
      <c r="AH305" t="str">
        <f>IFERROR(T305&amp;"*"&amp;ROUND(V305*(U305/(S305+U305))/VLOOKUP(T305,商品!$A$4:$D$67,4,FALSE),0),"")</f>
        <v/>
      </c>
    </row>
    <row r="306" customHeight="1" spans="1:34">
      <c r="A306" s="15" t="s">
        <v>341</v>
      </c>
      <c r="C306" s="2">
        <v>4</v>
      </c>
      <c r="D306" s="2" t="s">
        <v>238</v>
      </c>
      <c r="E306" s="2" t="s">
        <v>224</v>
      </c>
      <c r="L306" s="2">
        <f>IFERROR(VLOOKUP($D306&amp;$C306,生产方式定位!$A$2:$E$39,2,FALSE)+VLOOKUP($E306&amp;$C306,生产方式定位!$F$3:$J$39,2,FALSE),0)</f>
        <v>12000</v>
      </c>
      <c r="Q306" s="2">
        <f>IFERROR(VLOOKUP($D306&amp;$C306,生产方式定位!$A$2:$E$39,3,FALSE)+VLOOKUP($E306&amp;$C306,生产方式定位!$F$3:$J$39,3,FALSE),0)</f>
        <v>8900</v>
      </c>
      <c r="V306" s="2">
        <f>IFERROR(VLOOKUP($D306&amp;$C306,生产方式定位!$A$2:$E$39,5,FALSE)+VLOOKUP($E306&amp;$C306,生产方式定位!$F$3:$J$39,5,FALSE),"错误")</f>
        <v>10960</v>
      </c>
      <c r="W306" s="3" t="str">
        <f t="shared" si="20"/>
        <v/>
      </c>
      <c r="X306" s="4" t="str">
        <f t="shared" si="21"/>
        <v/>
      </c>
      <c r="Y306" s="4" t="str">
        <f t="shared" si="22"/>
        <v/>
      </c>
      <c r="Z306" s="5">
        <f t="shared" si="23"/>
        <v>1.09</v>
      </c>
      <c r="AA306" s="6">
        <f t="shared" si="24"/>
        <v>4</v>
      </c>
      <c r="AB306" t="str">
        <f>IFERROR(F306&amp;"*"&amp;ROUND(L306*(G306/(G306+I306+K306))/VLOOKUP(F306,商品!$A$4:$D$67,4,FALSE),0),"")</f>
        <v/>
      </c>
      <c r="AC306" t="str">
        <f>IFERROR(H306&amp;"*"&amp;ROUND(L306*(I306/(G306+I306+K306))/VLOOKUP(H306,商品!$A$4:$D$67,4,FALSE),0),"")</f>
        <v/>
      </c>
      <c r="AD306" t="str">
        <f>IFERROR(J306&amp;"*"&amp;ROUND(L306*(K306/(G306+I306+K306))/VLOOKUP(J306,商品!$A$4:$D$67,4,FALSE),0),"")</f>
        <v/>
      </c>
      <c r="AE306" t="str">
        <f>IFERROR(M306&amp;"*"&amp;ROUND(Q306*(N306/(N306+P306))/VLOOKUP(M306,职业!$A$3:$E$16,4,FALSE),0),"")</f>
        <v/>
      </c>
      <c r="AF306" t="str">
        <f>IFERROR(O306&amp;"*"&amp;ROUND(Q306*(P306/(N306+P306))/VLOOKUP(O306,职业!$A$3:$E$16,4,FALSE),0),"")</f>
        <v/>
      </c>
      <c r="AG306" t="str">
        <f>IFERROR(R306&amp;"*"&amp;ROUND(V306*(S306/(S306+U306))/VLOOKUP(R306,商品!$A$4:$D$67,4,FALSE),0),"")</f>
        <v/>
      </c>
      <c r="AH306" t="str">
        <f>IFERROR(T306&amp;"*"&amp;ROUND(V306*(U306/(S306+U306))/VLOOKUP(T306,商品!$A$4:$D$67,4,FALSE),0),"")</f>
        <v/>
      </c>
    </row>
    <row r="307" customHeight="1" spans="1:34">
      <c r="A307" s="15" t="s">
        <v>341</v>
      </c>
      <c r="C307" s="2">
        <v>5</v>
      </c>
      <c r="D307" s="2" t="s">
        <v>238</v>
      </c>
      <c r="E307" s="2" t="s">
        <v>224</v>
      </c>
      <c r="L307" s="2">
        <f>IFERROR(VLOOKUP($D307&amp;$C307,生产方式定位!$A$2:$E$39,2,FALSE)+VLOOKUP($E307&amp;$C307,生产方式定位!$F$3:$J$39,2,FALSE),0)</f>
        <v>12000</v>
      </c>
      <c r="Q307" s="2">
        <f>IFERROR(VLOOKUP($D307&amp;$C307,生产方式定位!$A$2:$E$39,3,FALSE)+VLOOKUP($E307&amp;$C307,生产方式定位!$F$3:$J$39,3,FALSE),0)</f>
        <v>9200</v>
      </c>
      <c r="V307" s="2">
        <f>IFERROR(VLOOKUP($D307&amp;$C307,生产方式定位!$A$2:$E$39,5,FALSE)+VLOOKUP($E307&amp;$C307,生产方式定位!$F$3:$J$39,5,FALSE),"错误")</f>
        <v>11440</v>
      </c>
      <c r="W307" s="3" t="str">
        <f t="shared" si="20"/>
        <v/>
      </c>
      <c r="X307" s="4" t="str">
        <f t="shared" si="21"/>
        <v/>
      </c>
      <c r="Y307" s="4" t="str">
        <f t="shared" si="22"/>
        <v/>
      </c>
      <c r="Z307" s="5">
        <f t="shared" si="23"/>
        <v>1.05</v>
      </c>
      <c r="AA307" s="6">
        <f t="shared" si="24"/>
        <v>5</v>
      </c>
      <c r="AB307" t="str">
        <f>IFERROR(F307&amp;"*"&amp;ROUND(L307*(G307/(G307+I307+K307))/VLOOKUP(F307,商品!$A$4:$D$67,4,FALSE),0),"")</f>
        <v/>
      </c>
      <c r="AC307" t="str">
        <f>IFERROR(H307&amp;"*"&amp;ROUND(L307*(I307/(G307+I307+K307))/VLOOKUP(H307,商品!$A$4:$D$67,4,FALSE),0),"")</f>
        <v/>
      </c>
      <c r="AD307" t="str">
        <f>IFERROR(J307&amp;"*"&amp;ROUND(L307*(K307/(G307+I307+K307))/VLOOKUP(J307,商品!$A$4:$D$67,4,FALSE),0),"")</f>
        <v/>
      </c>
      <c r="AE307" t="str">
        <f>IFERROR(M307&amp;"*"&amp;ROUND(Q307*(N307/(N307+P307))/VLOOKUP(M307,职业!$A$3:$E$16,4,FALSE),0),"")</f>
        <v/>
      </c>
      <c r="AF307" t="str">
        <f>IFERROR(O307&amp;"*"&amp;ROUND(Q307*(P307/(N307+P307))/VLOOKUP(O307,职业!$A$3:$E$16,4,FALSE),0),"")</f>
        <v/>
      </c>
      <c r="AG307" t="str">
        <f>IFERROR(R307&amp;"*"&amp;ROUND(V307*(S307/(S307+U307))/VLOOKUP(R307,商品!$A$4:$D$67,4,FALSE),0),"")</f>
        <v/>
      </c>
      <c r="AH307" t="str">
        <f>IFERROR(T307&amp;"*"&amp;ROUND(V307*(U307/(S307+U307))/VLOOKUP(T307,商品!$A$4:$D$67,4,FALSE),0),"")</f>
        <v/>
      </c>
    </row>
    <row r="308" customHeight="1" spans="1:34">
      <c r="A308" s="14" t="s">
        <v>341</v>
      </c>
      <c r="C308" s="2">
        <v>1</v>
      </c>
      <c r="D308" s="2" t="s">
        <v>238</v>
      </c>
      <c r="E308" s="2" t="s">
        <v>224</v>
      </c>
      <c r="L308" s="2">
        <f>IFERROR(VLOOKUP($D308&amp;$C308,生产方式定位!$A$2:$E$39,2,FALSE)+VLOOKUP($E308&amp;$C308,生产方式定位!$F$3:$J$39,2,FALSE),0)</f>
        <v>11000</v>
      </c>
      <c r="Q308" s="2">
        <f>IFERROR(VLOOKUP($D308&amp;$C308,生产方式定位!$A$2:$E$39,3,FALSE)+VLOOKUP($E308&amp;$C308,生产方式定位!$F$3:$J$39,3,FALSE),0)</f>
        <v>8000</v>
      </c>
      <c r="V308" s="2">
        <f>IFERROR(VLOOKUP($D308&amp;$C308,生产方式定位!$A$2:$E$39,5,FALSE)+VLOOKUP($E308&amp;$C308,生产方式定位!$F$3:$J$39,5,FALSE),"错误")</f>
        <v>9500</v>
      </c>
      <c r="W308" s="3" t="str">
        <f t="shared" si="20"/>
        <v/>
      </c>
      <c r="X308" s="4" t="str">
        <f t="shared" si="21"/>
        <v/>
      </c>
      <c r="Y308" s="4" t="str">
        <f t="shared" si="22"/>
        <v/>
      </c>
      <c r="Z308" s="5">
        <f t="shared" si="23"/>
        <v>1.16</v>
      </c>
      <c r="AA308" s="6">
        <f t="shared" si="24"/>
        <v>1</v>
      </c>
      <c r="AB308" t="str">
        <f>IFERROR(F308&amp;"*"&amp;ROUND(L308*(G308/(G308+I308+K308))/VLOOKUP(F308,商品!$A$4:$D$67,4,FALSE),0),"")</f>
        <v/>
      </c>
      <c r="AC308" t="str">
        <f>IFERROR(H308&amp;"*"&amp;ROUND(L308*(I308/(G308+I308+K308))/VLOOKUP(H308,商品!$A$4:$D$67,4,FALSE),0),"")</f>
        <v/>
      </c>
      <c r="AD308" t="str">
        <f>IFERROR(J308&amp;"*"&amp;ROUND(L308*(K308/(G308+I308+K308))/VLOOKUP(J308,商品!$A$4:$D$67,4,FALSE),0),"")</f>
        <v/>
      </c>
      <c r="AE308" t="str">
        <f>IFERROR(M308&amp;"*"&amp;ROUND(Q308*(N308/(N308+P308))/VLOOKUP(M308,职业!$A$3:$E$16,4,FALSE),0),"")</f>
        <v/>
      </c>
      <c r="AF308" t="str">
        <f>IFERROR(O308&amp;"*"&amp;ROUND(Q308*(P308/(N308+P308))/VLOOKUP(O308,职业!$A$3:$E$16,4,FALSE),0),"")</f>
        <v/>
      </c>
      <c r="AG308" t="str">
        <f>IFERROR(R308&amp;"*"&amp;ROUND(V308*(S308/(S308+U308))/VLOOKUP(R308,商品!$A$4:$D$67,4,FALSE),0),"")</f>
        <v/>
      </c>
      <c r="AH308" t="str">
        <f>IFERROR(T308&amp;"*"&amp;ROUND(V308*(U308/(S308+U308))/VLOOKUP(T308,商品!$A$4:$D$67,4,FALSE),0),"")</f>
        <v/>
      </c>
    </row>
    <row r="309" customHeight="1" spans="1:34">
      <c r="A309" s="14" t="s">
        <v>341</v>
      </c>
      <c r="C309" s="2">
        <v>2</v>
      </c>
      <c r="D309" s="2" t="s">
        <v>238</v>
      </c>
      <c r="E309" s="2" t="s">
        <v>224</v>
      </c>
      <c r="L309" s="2">
        <f>IFERROR(VLOOKUP($D309&amp;$C309,生产方式定位!$A$2:$E$39,2,FALSE)+VLOOKUP($E309&amp;$C309,生产方式定位!$F$3:$J$39,2,FALSE),0)</f>
        <v>12000</v>
      </c>
      <c r="Q309" s="2">
        <f>IFERROR(VLOOKUP($D309&amp;$C309,生产方式定位!$A$2:$E$39,3,FALSE)+VLOOKUP($E309&amp;$C309,生产方式定位!$F$3:$J$39,3,FALSE),0)</f>
        <v>8300</v>
      </c>
      <c r="V309" s="2">
        <f>IFERROR(VLOOKUP($D309&amp;$C309,生产方式定位!$A$2:$E$39,5,FALSE)+VLOOKUP($E309&amp;$C309,生产方式定位!$F$3:$J$39,5,FALSE),"错误")</f>
        <v>10240</v>
      </c>
      <c r="W309" s="3" t="str">
        <f t="shared" si="20"/>
        <v/>
      </c>
      <c r="X309" s="4" t="str">
        <f t="shared" si="21"/>
        <v/>
      </c>
      <c r="Y309" s="4" t="str">
        <f t="shared" si="22"/>
        <v/>
      </c>
      <c r="Z309" s="5">
        <f t="shared" si="23"/>
        <v>1.17</v>
      </c>
      <c r="AA309" s="6">
        <f t="shared" si="24"/>
        <v>2</v>
      </c>
      <c r="AB309" t="str">
        <f>IFERROR(F309&amp;"*"&amp;ROUND(L309*(G309/(G309+I309+K309))/VLOOKUP(F309,商品!$A$4:$D$67,4,FALSE),0),"")</f>
        <v/>
      </c>
      <c r="AC309" t="str">
        <f>IFERROR(H309&amp;"*"&amp;ROUND(L309*(I309/(G309+I309+K309))/VLOOKUP(H309,商品!$A$4:$D$67,4,FALSE),0),"")</f>
        <v/>
      </c>
      <c r="AD309" t="str">
        <f>IFERROR(J309&amp;"*"&amp;ROUND(L309*(K309/(G309+I309+K309))/VLOOKUP(J309,商品!$A$4:$D$67,4,FALSE),0),"")</f>
        <v/>
      </c>
      <c r="AE309" t="str">
        <f>IFERROR(M309&amp;"*"&amp;ROUND(Q309*(N309/(N309+P309))/VLOOKUP(M309,职业!$A$3:$E$16,4,FALSE),0),"")</f>
        <v/>
      </c>
      <c r="AF309" t="str">
        <f>IFERROR(O309&amp;"*"&amp;ROUND(Q309*(P309/(N309+P309))/VLOOKUP(O309,职业!$A$3:$E$16,4,FALSE),0),"")</f>
        <v/>
      </c>
      <c r="AG309" t="str">
        <f>IFERROR(R309&amp;"*"&amp;ROUND(V309*(S309/(S309+U309))/VLOOKUP(R309,商品!$A$4:$D$67,4,FALSE),0),"")</f>
        <v/>
      </c>
      <c r="AH309" t="str">
        <f>IFERROR(T309&amp;"*"&amp;ROUND(V309*(U309/(S309+U309))/VLOOKUP(T309,商品!$A$4:$D$67,4,FALSE),0),"")</f>
        <v/>
      </c>
    </row>
    <row r="310" customHeight="1" spans="1:34">
      <c r="A310" s="14" t="s">
        <v>341</v>
      </c>
      <c r="C310" s="2">
        <v>3</v>
      </c>
      <c r="D310" s="2" t="s">
        <v>238</v>
      </c>
      <c r="E310" s="2" t="s">
        <v>224</v>
      </c>
      <c r="L310" s="2">
        <f>IFERROR(VLOOKUP($D310&amp;$C310,生产方式定位!$A$2:$E$39,2,FALSE)+VLOOKUP($E310&amp;$C310,生产方式定位!$F$3:$J$39,2,FALSE),0)</f>
        <v>12000</v>
      </c>
      <c r="Q310" s="2">
        <f>IFERROR(VLOOKUP($D310&amp;$C310,生产方式定位!$A$2:$E$39,3,FALSE)+VLOOKUP($E310&amp;$C310,生产方式定位!$F$3:$J$39,3,FALSE),0)</f>
        <v>8600</v>
      </c>
      <c r="V310" s="2">
        <f>IFERROR(VLOOKUP($D310&amp;$C310,生产方式定位!$A$2:$E$39,5,FALSE)+VLOOKUP($E310&amp;$C310,生产方式定位!$F$3:$J$39,5,FALSE),"错误")</f>
        <v>10560</v>
      </c>
      <c r="W310" s="3" t="str">
        <f t="shared" si="20"/>
        <v/>
      </c>
      <c r="X310" s="4" t="str">
        <f t="shared" si="21"/>
        <v/>
      </c>
      <c r="Y310" s="4" t="str">
        <f t="shared" si="22"/>
        <v/>
      </c>
      <c r="Z310" s="5">
        <f t="shared" si="23"/>
        <v>1.14</v>
      </c>
      <c r="AA310" s="6">
        <f t="shared" si="24"/>
        <v>3</v>
      </c>
      <c r="AB310" t="str">
        <f>IFERROR(F310&amp;"*"&amp;ROUND(L310*(G310/(G310+I310+K310))/VLOOKUP(F310,商品!$A$4:$D$67,4,FALSE),0),"")</f>
        <v/>
      </c>
      <c r="AC310" t="str">
        <f>IFERROR(H310&amp;"*"&amp;ROUND(L310*(I310/(G310+I310+K310))/VLOOKUP(H310,商品!$A$4:$D$67,4,FALSE),0),"")</f>
        <v/>
      </c>
      <c r="AD310" t="str">
        <f>IFERROR(J310&amp;"*"&amp;ROUND(L310*(K310/(G310+I310+K310))/VLOOKUP(J310,商品!$A$4:$D$67,4,FALSE),0),"")</f>
        <v/>
      </c>
      <c r="AE310" t="str">
        <f>IFERROR(M310&amp;"*"&amp;ROUND(Q310*(N310/(N310+P310))/VLOOKUP(M310,职业!$A$3:$E$16,4,FALSE),0),"")</f>
        <v/>
      </c>
      <c r="AF310" t="str">
        <f>IFERROR(O310&amp;"*"&amp;ROUND(Q310*(P310/(N310+P310))/VLOOKUP(O310,职业!$A$3:$E$16,4,FALSE),0),"")</f>
        <v/>
      </c>
      <c r="AG310" t="str">
        <f>IFERROR(R310&amp;"*"&amp;ROUND(V310*(S310/(S310+U310))/VLOOKUP(R310,商品!$A$4:$D$67,4,FALSE),0),"")</f>
        <v/>
      </c>
      <c r="AH310" t="str">
        <f>IFERROR(T310&amp;"*"&amp;ROUND(V310*(U310/(S310+U310))/VLOOKUP(T310,商品!$A$4:$D$67,4,FALSE),0),"")</f>
        <v/>
      </c>
    </row>
    <row r="311" customHeight="1" spans="1:34">
      <c r="A311" s="14" t="s">
        <v>341</v>
      </c>
      <c r="C311" s="2">
        <v>4</v>
      </c>
      <c r="D311" s="2" t="s">
        <v>238</v>
      </c>
      <c r="E311" s="2" t="s">
        <v>224</v>
      </c>
      <c r="L311" s="2">
        <f>IFERROR(VLOOKUP($D311&amp;$C311,生产方式定位!$A$2:$E$39,2,FALSE)+VLOOKUP($E311&amp;$C311,生产方式定位!$F$3:$J$39,2,FALSE),0)</f>
        <v>12000</v>
      </c>
      <c r="Q311" s="2">
        <f>IFERROR(VLOOKUP($D311&amp;$C311,生产方式定位!$A$2:$E$39,3,FALSE)+VLOOKUP($E311&amp;$C311,生产方式定位!$F$3:$J$39,3,FALSE),0)</f>
        <v>8900</v>
      </c>
      <c r="V311" s="2">
        <f>IFERROR(VLOOKUP($D311&amp;$C311,生产方式定位!$A$2:$E$39,5,FALSE)+VLOOKUP($E311&amp;$C311,生产方式定位!$F$3:$J$39,5,FALSE),"错误")</f>
        <v>10960</v>
      </c>
      <c r="W311" s="3" t="str">
        <f t="shared" si="20"/>
        <v/>
      </c>
      <c r="X311" s="4" t="str">
        <f t="shared" si="21"/>
        <v/>
      </c>
      <c r="Y311" s="4" t="str">
        <f t="shared" si="22"/>
        <v/>
      </c>
      <c r="Z311" s="5">
        <f t="shared" si="23"/>
        <v>1.09</v>
      </c>
      <c r="AA311" s="6">
        <f t="shared" si="24"/>
        <v>4</v>
      </c>
      <c r="AB311" t="str">
        <f>IFERROR(F311&amp;"*"&amp;ROUND(L311*(G311/(G311+I311+K311))/VLOOKUP(F311,商品!$A$4:$D$67,4,FALSE),0),"")</f>
        <v/>
      </c>
      <c r="AC311" t="str">
        <f>IFERROR(H311&amp;"*"&amp;ROUND(L311*(I311/(G311+I311+K311))/VLOOKUP(H311,商品!$A$4:$D$67,4,FALSE),0),"")</f>
        <v/>
      </c>
      <c r="AD311" t="str">
        <f>IFERROR(J311&amp;"*"&amp;ROUND(L311*(K311/(G311+I311+K311))/VLOOKUP(J311,商品!$A$4:$D$67,4,FALSE),0),"")</f>
        <v/>
      </c>
      <c r="AE311" t="str">
        <f>IFERROR(M311&amp;"*"&amp;ROUND(Q311*(N311/(N311+P311))/VLOOKUP(M311,职业!$A$3:$E$16,4,FALSE),0),"")</f>
        <v/>
      </c>
      <c r="AF311" t="str">
        <f>IFERROR(O311&amp;"*"&amp;ROUND(Q311*(P311/(N311+P311))/VLOOKUP(O311,职业!$A$3:$E$16,4,FALSE),0),"")</f>
        <v/>
      </c>
      <c r="AG311" t="str">
        <f>IFERROR(R311&amp;"*"&amp;ROUND(V311*(S311/(S311+U311))/VLOOKUP(R311,商品!$A$4:$D$67,4,FALSE),0),"")</f>
        <v/>
      </c>
      <c r="AH311" t="str">
        <f>IFERROR(T311&amp;"*"&amp;ROUND(V311*(U311/(S311+U311))/VLOOKUP(T311,商品!$A$4:$D$67,4,FALSE),0),"")</f>
        <v/>
      </c>
    </row>
    <row r="312" customHeight="1" spans="1:34">
      <c r="A312" s="14" t="s">
        <v>341</v>
      </c>
      <c r="C312" s="2">
        <v>5</v>
      </c>
      <c r="D312" s="2" t="s">
        <v>238</v>
      </c>
      <c r="E312" s="2" t="s">
        <v>224</v>
      </c>
      <c r="L312" s="2">
        <f>IFERROR(VLOOKUP($D312&amp;$C312,生产方式定位!$A$2:$E$39,2,FALSE)+VLOOKUP($E312&amp;$C312,生产方式定位!$F$3:$J$39,2,FALSE),0)</f>
        <v>12000</v>
      </c>
      <c r="Q312" s="2">
        <f>IFERROR(VLOOKUP($D312&amp;$C312,生产方式定位!$A$2:$E$39,3,FALSE)+VLOOKUP($E312&amp;$C312,生产方式定位!$F$3:$J$39,3,FALSE),0)</f>
        <v>9200</v>
      </c>
      <c r="V312" s="2">
        <f>IFERROR(VLOOKUP($D312&amp;$C312,生产方式定位!$A$2:$E$39,5,FALSE)+VLOOKUP($E312&amp;$C312,生产方式定位!$F$3:$J$39,5,FALSE),"错误")</f>
        <v>11440</v>
      </c>
      <c r="W312" s="3" t="str">
        <f t="shared" si="20"/>
        <v/>
      </c>
      <c r="X312" s="4" t="str">
        <f t="shared" si="21"/>
        <v/>
      </c>
      <c r="Y312" s="4" t="str">
        <f t="shared" si="22"/>
        <v/>
      </c>
      <c r="Z312" s="5">
        <f t="shared" si="23"/>
        <v>1.05</v>
      </c>
      <c r="AA312" s="6">
        <f t="shared" si="24"/>
        <v>5</v>
      </c>
      <c r="AB312" t="str">
        <f>IFERROR(F312&amp;"*"&amp;ROUND(L312*(G312/(G312+I312+K312))/VLOOKUP(F312,商品!$A$4:$D$67,4,FALSE),0),"")</f>
        <v/>
      </c>
      <c r="AC312" t="str">
        <f>IFERROR(H312&amp;"*"&amp;ROUND(L312*(I312/(G312+I312+K312))/VLOOKUP(H312,商品!$A$4:$D$67,4,FALSE),0),"")</f>
        <v/>
      </c>
      <c r="AD312" t="str">
        <f>IFERROR(J312&amp;"*"&amp;ROUND(L312*(K312/(G312+I312+K312))/VLOOKUP(J312,商品!$A$4:$D$67,4,FALSE),0),"")</f>
        <v/>
      </c>
      <c r="AE312" t="str">
        <f>IFERROR(M312&amp;"*"&amp;ROUND(Q312*(N312/(N312+P312))/VLOOKUP(M312,职业!$A$3:$E$16,4,FALSE),0),"")</f>
        <v/>
      </c>
      <c r="AF312" t="str">
        <f>IFERROR(O312&amp;"*"&amp;ROUND(Q312*(P312/(N312+P312))/VLOOKUP(O312,职业!$A$3:$E$16,4,FALSE),0),"")</f>
        <v/>
      </c>
      <c r="AG312" t="str">
        <f>IFERROR(R312&amp;"*"&amp;ROUND(V312*(S312/(S312+U312))/VLOOKUP(R312,商品!$A$4:$D$67,4,FALSE),0),"")</f>
        <v/>
      </c>
      <c r="AH312" t="str">
        <f>IFERROR(T312&amp;"*"&amp;ROUND(V312*(U312/(S312+U312))/VLOOKUP(T312,商品!$A$4:$D$67,4,FALSE),0),"")</f>
        <v/>
      </c>
    </row>
    <row r="313" customHeight="1" spans="1:34">
      <c r="A313" s="15" t="s">
        <v>342</v>
      </c>
      <c r="C313" s="2">
        <v>1</v>
      </c>
      <c r="D313" s="2" t="s">
        <v>238</v>
      </c>
      <c r="E313" s="2" t="s">
        <v>225</v>
      </c>
      <c r="L313" s="2">
        <f>IFERROR(VLOOKUP($D313&amp;$C313,生产方式定位!$A$2:$E$39,2,FALSE)+VLOOKUP($E313&amp;$C313,生产方式定位!$F$3:$J$39,2,FALSE),0)</f>
        <v>11000</v>
      </c>
      <c r="Q313" s="2">
        <f>IFERROR(VLOOKUP($D313&amp;$C313,生产方式定位!$A$2:$E$39,3,FALSE)+VLOOKUP($E313&amp;$C313,生产方式定位!$F$3:$J$39,3,FALSE),0)</f>
        <v>8000</v>
      </c>
      <c r="V313" s="2">
        <f>IFERROR(VLOOKUP($D313&amp;$C313,生产方式定位!$A$2:$E$39,5,FALSE)+VLOOKUP($E313&amp;$C313,生产方式定位!$F$3:$J$39,5,FALSE),"错误")</f>
        <v>9500</v>
      </c>
      <c r="W313" s="3" t="str">
        <f t="shared" si="20"/>
        <v/>
      </c>
      <c r="X313" s="4" t="str">
        <f t="shared" si="21"/>
        <v/>
      </c>
      <c r="Y313" s="4" t="str">
        <f t="shared" si="22"/>
        <v/>
      </c>
      <c r="Z313" s="5">
        <f t="shared" si="23"/>
        <v>1.16</v>
      </c>
      <c r="AA313" s="6">
        <f t="shared" si="24"/>
        <v>1</v>
      </c>
      <c r="AB313" t="str">
        <f>IFERROR(F313&amp;"*"&amp;ROUND(L313*(G313/(G313+I313+K313))/VLOOKUP(F313,商品!$A$4:$D$67,4,FALSE),0),"")</f>
        <v/>
      </c>
      <c r="AC313" t="str">
        <f>IFERROR(H313&amp;"*"&amp;ROUND(L313*(I313/(G313+I313+K313))/VLOOKUP(H313,商品!$A$4:$D$67,4,FALSE),0),"")</f>
        <v/>
      </c>
      <c r="AD313" t="str">
        <f>IFERROR(J313&amp;"*"&amp;ROUND(L313*(K313/(G313+I313+K313))/VLOOKUP(J313,商品!$A$4:$D$67,4,FALSE),0),"")</f>
        <v/>
      </c>
      <c r="AE313" t="str">
        <f>IFERROR(M313&amp;"*"&amp;ROUND(Q313*(N313/(N313+P313))/VLOOKUP(M313,职业!$A$3:$E$16,4,FALSE),0),"")</f>
        <v/>
      </c>
      <c r="AF313" t="str">
        <f>IFERROR(O313&amp;"*"&amp;ROUND(Q313*(P313/(N313+P313))/VLOOKUP(O313,职业!$A$3:$E$16,4,FALSE),0),"")</f>
        <v/>
      </c>
      <c r="AG313" t="str">
        <f>IFERROR(R313&amp;"*"&amp;ROUND(V313*(S313/(S313+U313))/VLOOKUP(R313,商品!$A$4:$D$67,4,FALSE),0),"")</f>
        <v/>
      </c>
      <c r="AH313" t="str">
        <f>IFERROR(T313&amp;"*"&amp;ROUND(V313*(U313/(S313+U313))/VLOOKUP(T313,商品!$A$4:$D$67,4,FALSE),0),"")</f>
        <v/>
      </c>
    </row>
    <row r="314" customHeight="1" spans="1:34">
      <c r="A314" s="15" t="s">
        <v>342</v>
      </c>
      <c r="C314" s="2">
        <v>2</v>
      </c>
      <c r="D314" s="2" t="s">
        <v>238</v>
      </c>
      <c r="E314" s="2" t="s">
        <v>225</v>
      </c>
      <c r="L314" s="2">
        <f>IFERROR(VLOOKUP($D314&amp;$C314,生产方式定位!$A$2:$E$39,2,FALSE)+VLOOKUP($E314&amp;$C314,生产方式定位!$F$3:$J$39,2,FALSE),0)</f>
        <v>10000</v>
      </c>
      <c r="Q314" s="2">
        <f>IFERROR(VLOOKUP($D314&amp;$C314,生产方式定位!$A$2:$E$39,3,FALSE)+VLOOKUP($E314&amp;$C314,生产方式定位!$F$3:$J$39,3,FALSE),0)</f>
        <v>8500</v>
      </c>
      <c r="V314" s="2">
        <f>IFERROR(VLOOKUP($D314&amp;$C314,生产方式定位!$A$2:$E$39,5,FALSE)+VLOOKUP($E314&amp;$C314,生产方式定位!$F$3:$J$39,5,FALSE),"错误")</f>
        <v>9250</v>
      </c>
      <c r="W314" s="3" t="str">
        <f t="shared" si="20"/>
        <v/>
      </c>
      <c r="X314" s="4" t="str">
        <f t="shared" si="21"/>
        <v/>
      </c>
      <c r="Y314" s="4" t="str">
        <f t="shared" si="22"/>
        <v/>
      </c>
      <c r="Z314" s="5">
        <f t="shared" si="23"/>
        <v>1.08</v>
      </c>
      <c r="AA314" s="6">
        <f t="shared" si="24"/>
        <v>2</v>
      </c>
      <c r="AB314" t="str">
        <f>IFERROR(F314&amp;"*"&amp;ROUND(L314*(G314/(G314+I314+K314))/VLOOKUP(F314,商品!$A$4:$D$67,4,FALSE),0),"")</f>
        <v/>
      </c>
      <c r="AC314" t="str">
        <f>IFERROR(H314&amp;"*"&amp;ROUND(L314*(I314/(G314+I314+K314))/VLOOKUP(H314,商品!$A$4:$D$67,4,FALSE),0),"")</f>
        <v/>
      </c>
      <c r="AD314" t="str">
        <f>IFERROR(J314&amp;"*"&amp;ROUND(L314*(K314/(G314+I314+K314))/VLOOKUP(J314,商品!$A$4:$D$67,4,FALSE),0),"")</f>
        <v/>
      </c>
      <c r="AE314" t="str">
        <f>IFERROR(M314&amp;"*"&amp;ROUND(Q314*(N314/(N314+P314))/VLOOKUP(M314,职业!$A$3:$E$16,4,FALSE),0),"")</f>
        <v/>
      </c>
      <c r="AF314" t="str">
        <f>IFERROR(O314&amp;"*"&amp;ROUND(Q314*(P314/(N314+P314))/VLOOKUP(O314,职业!$A$3:$E$16,4,FALSE),0),"")</f>
        <v/>
      </c>
      <c r="AG314" t="str">
        <f>IFERROR(R314&amp;"*"&amp;ROUND(V314*(S314/(S314+U314))/VLOOKUP(R314,商品!$A$4:$D$67,4,FALSE),0),"")</f>
        <v/>
      </c>
      <c r="AH314" t="str">
        <f>IFERROR(T314&amp;"*"&amp;ROUND(V314*(U314/(S314+U314))/VLOOKUP(T314,商品!$A$4:$D$67,4,FALSE),0),"")</f>
        <v/>
      </c>
    </row>
    <row r="315" customHeight="1" spans="1:34">
      <c r="A315" s="15" t="s">
        <v>342</v>
      </c>
      <c r="C315" s="2">
        <v>3</v>
      </c>
      <c r="D315" s="2" t="s">
        <v>238</v>
      </c>
      <c r="E315" s="2" t="s">
        <v>225</v>
      </c>
      <c r="L315" s="2">
        <f>IFERROR(VLOOKUP($D315&amp;$C315,生产方式定位!$A$2:$E$39,2,FALSE)+VLOOKUP($E315&amp;$C315,生产方式定位!$F$3:$J$39,2,FALSE),0)</f>
        <v>9000</v>
      </c>
      <c r="Q315" s="2">
        <f>IFERROR(VLOOKUP($D315&amp;$C315,生产方式定位!$A$2:$E$39,3,FALSE)+VLOOKUP($E315&amp;$C315,生产方式定位!$F$3:$J$39,3,FALSE),0)</f>
        <v>9000</v>
      </c>
      <c r="V315" s="2">
        <f>IFERROR(VLOOKUP($D315&amp;$C315,生产方式定位!$A$2:$E$39,5,FALSE)+VLOOKUP($E315&amp;$C315,生产方式定位!$F$3:$J$39,5,FALSE),"错误")</f>
        <v>9000</v>
      </c>
      <c r="W315" s="3" t="str">
        <f t="shared" si="20"/>
        <v/>
      </c>
      <c r="X315" s="4" t="str">
        <f t="shared" si="21"/>
        <v/>
      </c>
      <c r="Y315" s="4" t="str">
        <f t="shared" si="22"/>
        <v/>
      </c>
      <c r="Z315" s="5">
        <f t="shared" si="23"/>
        <v>1</v>
      </c>
      <c r="AA315" s="6">
        <f t="shared" si="24"/>
        <v>3</v>
      </c>
      <c r="AB315" t="str">
        <f>IFERROR(F315&amp;"*"&amp;ROUND(L315*(G315/(G315+I315+K315))/VLOOKUP(F315,商品!$A$4:$D$67,4,FALSE),0),"")</f>
        <v/>
      </c>
      <c r="AC315" t="str">
        <f>IFERROR(H315&amp;"*"&amp;ROUND(L315*(I315/(G315+I315+K315))/VLOOKUP(H315,商品!$A$4:$D$67,4,FALSE),0),"")</f>
        <v/>
      </c>
      <c r="AD315" t="str">
        <f>IFERROR(J315&amp;"*"&amp;ROUND(L315*(K315/(G315+I315+K315))/VLOOKUP(J315,商品!$A$4:$D$67,4,FALSE),0),"")</f>
        <v/>
      </c>
      <c r="AE315" t="str">
        <f>IFERROR(M315&amp;"*"&amp;ROUND(Q315*(N315/(N315+P315))/VLOOKUP(M315,职业!$A$3:$E$16,4,FALSE),0),"")</f>
        <v/>
      </c>
      <c r="AF315" t="str">
        <f>IFERROR(O315&amp;"*"&amp;ROUND(Q315*(P315/(N315+P315))/VLOOKUP(O315,职业!$A$3:$E$16,4,FALSE),0),"")</f>
        <v/>
      </c>
      <c r="AG315" t="str">
        <f>IFERROR(R315&amp;"*"&amp;ROUND(V315*(S315/(S315+U315))/VLOOKUP(R315,商品!$A$4:$D$67,4,FALSE),0),"")</f>
        <v/>
      </c>
      <c r="AH315" t="str">
        <f>IFERROR(T315&amp;"*"&amp;ROUND(V315*(U315/(S315+U315))/VLOOKUP(T315,商品!$A$4:$D$67,4,FALSE),0),"")</f>
        <v/>
      </c>
    </row>
    <row r="316" customHeight="1" spans="1:34">
      <c r="A316" s="15" t="s">
        <v>342</v>
      </c>
      <c r="C316" s="2">
        <v>4</v>
      </c>
      <c r="D316" s="2" t="s">
        <v>238</v>
      </c>
      <c r="E316" s="2" t="s">
        <v>225</v>
      </c>
      <c r="L316" s="2">
        <f>IFERROR(VLOOKUP($D316&amp;$C316,生产方式定位!$A$2:$E$39,2,FALSE)+VLOOKUP($E316&amp;$C316,生产方式定位!$F$3:$J$39,2,FALSE),0)</f>
        <v>8000</v>
      </c>
      <c r="Q316" s="2">
        <f>IFERROR(VLOOKUP($D316&amp;$C316,生产方式定位!$A$2:$E$39,3,FALSE)+VLOOKUP($E316&amp;$C316,生产方式定位!$F$3:$J$39,3,FALSE),0)</f>
        <v>9500</v>
      </c>
      <c r="V316" s="2">
        <f>IFERROR(VLOOKUP($D316&amp;$C316,生产方式定位!$A$2:$E$39,5,FALSE)+VLOOKUP($E316&amp;$C316,生产方式定位!$F$3:$J$39,5,FALSE),"错误")</f>
        <v>8750</v>
      </c>
      <c r="W316" s="3" t="str">
        <f t="shared" si="20"/>
        <v/>
      </c>
      <c r="X316" s="4" t="str">
        <f t="shared" si="21"/>
        <v/>
      </c>
      <c r="Y316" s="4" t="str">
        <f t="shared" si="22"/>
        <v/>
      </c>
      <c r="Z316" s="5">
        <f t="shared" si="23"/>
        <v>0.91</v>
      </c>
      <c r="AA316" s="6">
        <f t="shared" si="24"/>
        <v>4</v>
      </c>
      <c r="AB316" t="str">
        <f>IFERROR(F316&amp;"*"&amp;ROUND(L316*(G316/(G316+I316+K316))/VLOOKUP(F316,商品!$A$4:$D$67,4,FALSE),0),"")</f>
        <v/>
      </c>
      <c r="AC316" t="str">
        <f>IFERROR(H316&amp;"*"&amp;ROUND(L316*(I316/(G316+I316+K316))/VLOOKUP(H316,商品!$A$4:$D$67,4,FALSE),0),"")</f>
        <v/>
      </c>
      <c r="AD316" t="str">
        <f>IFERROR(J316&amp;"*"&amp;ROUND(L316*(K316/(G316+I316+K316))/VLOOKUP(J316,商品!$A$4:$D$67,4,FALSE),0),"")</f>
        <v/>
      </c>
      <c r="AE316" t="str">
        <f>IFERROR(M316&amp;"*"&amp;ROUND(Q316*(N316/(N316+P316))/VLOOKUP(M316,职业!$A$3:$E$16,4,FALSE),0),"")</f>
        <v/>
      </c>
      <c r="AF316" t="str">
        <f>IFERROR(O316&amp;"*"&amp;ROUND(Q316*(P316/(N316+P316))/VLOOKUP(O316,职业!$A$3:$E$16,4,FALSE),0),"")</f>
        <v/>
      </c>
      <c r="AG316" t="str">
        <f>IFERROR(R316&amp;"*"&amp;ROUND(V316*(S316/(S316+U316))/VLOOKUP(R316,商品!$A$4:$D$67,4,FALSE),0),"")</f>
        <v/>
      </c>
      <c r="AH316" t="str">
        <f>IFERROR(T316&amp;"*"&amp;ROUND(V316*(U316/(S316+U316))/VLOOKUP(T316,商品!$A$4:$D$67,4,FALSE),0),"")</f>
        <v/>
      </c>
    </row>
    <row r="317" customHeight="1" spans="1:34">
      <c r="A317" s="15" t="s">
        <v>342</v>
      </c>
      <c r="C317" s="2">
        <v>5</v>
      </c>
      <c r="D317" s="2" t="s">
        <v>238</v>
      </c>
      <c r="E317" s="2" t="s">
        <v>225</v>
      </c>
      <c r="L317" s="2">
        <f>IFERROR(VLOOKUP($D317&amp;$C317,生产方式定位!$A$2:$E$39,2,FALSE)+VLOOKUP($E317&amp;$C317,生产方式定位!$F$3:$J$39,2,FALSE),0)</f>
        <v>7000</v>
      </c>
      <c r="Q317" s="2">
        <f>IFERROR(VLOOKUP($D317&amp;$C317,生产方式定位!$A$2:$E$39,3,FALSE)+VLOOKUP($E317&amp;$C317,生产方式定位!$F$3:$J$39,3,FALSE),0)</f>
        <v>10000</v>
      </c>
      <c r="V317" s="2">
        <f>IFERROR(VLOOKUP($D317&amp;$C317,生产方式定位!$A$2:$E$39,5,FALSE)+VLOOKUP($E317&amp;$C317,生产方式定位!$F$3:$J$39,5,FALSE),"错误")</f>
        <v>8500</v>
      </c>
      <c r="W317" s="3" t="str">
        <f t="shared" si="20"/>
        <v/>
      </c>
      <c r="X317" s="4" t="str">
        <f t="shared" si="21"/>
        <v/>
      </c>
      <c r="Y317" s="4" t="str">
        <f t="shared" si="22"/>
        <v/>
      </c>
      <c r="Z317" s="5">
        <f t="shared" si="23"/>
        <v>0.82</v>
      </c>
      <c r="AA317" s="6">
        <f t="shared" si="24"/>
        <v>5</v>
      </c>
      <c r="AB317" t="str">
        <f>IFERROR(F317&amp;"*"&amp;ROUND(L317*(G317/(G317+I317+K317))/VLOOKUP(F317,商品!$A$4:$D$67,4,FALSE),0),"")</f>
        <v/>
      </c>
      <c r="AC317" t="str">
        <f>IFERROR(H317&amp;"*"&amp;ROUND(L317*(I317/(G317+I317+K317))/VLOOKUP(H317,商品!$A$4:$D$67,4,FALSE),0),"")</f>
        <v/>
      </c>
      <c r="AD317" t="str">
        <f>IFERROR(J317&amp;"*"&amp;ROUND(L317*(K317/(G317+I317+K317))/VLOOKUP(J317,商品!$A$4:$D$67,4,FALSE),0),"")</f>
        <v/>
      </c>
      <c r="AE317" t="str">
        <f>IFERROR(M317&amp;"*"&amp;ROUND(Q317*(N317/(N317+P317))/VLOOKUP(M317,职业!$A$3:$E$16,4,FALSE),0),"")</f>
        <v/>
      </c>
      <c r="AF317" t="str">
        <f>IFERROR(O317&amp;"*"&amp;ROUND(Q317*(P317/(N317+P317))/VLOOKUP(O317,职业!$A$3:$E$16,4,FALSE),0),"")</f>
        <v/>
      </c>
      <c r="AG317" t="str">
        <f>IFERROR(R317&amp;"*"&amp;ROUND(V317*(S317/(S317+U317))/VLOOKUP(R317,商品!$A$4:$D$67,4,FALSE),0),"")</f>
        <v/>
      </c>
      <c r="AH317" t="str">
        <f>IFERROR(T317&amp;"*"&amp;ROUND(V317*(U317/(S317+U317))/VLOOKUP(T317,商品!$A$4:$D$67,4,FALSE),0),"")</f>
        <v/>
      </c>
    </row>
    <row r="318" customHeight="1" spans="1:34">
      <c r="A318" s="15" t="s">
        <v>342</v>
      </c>
      <c r="C318" s="2">
        <v>1</v>
      </c>
      <c r="D318" s="2" t="s">
        <v>238</v>
      </c>
      <c r="E318" s="2" t="s">
        <v>225</v>
      </c>
      <c r="L318" s="2">
        <f>IFERROR(VLOOKUP($D318&amp;$C318,生产方式定位!$A$2:$E$39,2,FALSE)+VLOOKUP($E318&amp;$C318,生产方式定位!$F$3:$J$39,2,FALSE),0)</f>
        <v>11000</v>
      </c>
      <c r="Q318" s="2">
        <f>IFERROR(VLOOKUP($D318&amp;$C318,生产方式定位!$A$2:$E$39,3,FALSE)+VLOOKUP($E318&amp;$C318,生产方式定位!$F$3:$J$39,3,FALSE),0)</f>
        <v>8000</v>
      </c>
      <c r="V318" s="2">
        <f>IFERROR(VLOOKUP($D318&amp;$C318,生产方式定位!$A$2:$E$39,5,FALSE)+VLOOKUP($E318&amp;$C318,生产方式定位!$F$3:$J$39,5,FALSE),"错误")</f>
        <v>9500</v>
      </c>
      <c r="W318" s="3" t="str">
        <f t="shared" si="20"/>
        <v/>
      </c>
      <c r="X318" s="4" t="str">
        <f t="shared" si="21"/>
        <v/>
      </c>
      <c r="Y318" s="4" t="str">
        <f t="shared" si="22"/>
        <v/>
      </c>
      <c r="Z318" s="5">
        <f t="shared" si="23"/>
        <v>1.16</v>
      </c>
      <c r="AA318" s="6">
        <f t="shared" si="24"/>
        <v>1</v>
      </c>
      <c r="AB318" t="str">
        <f>IFERROR(F318&amp;"*"&amp;ROUND(L318*(G318/(G318+I318+K318))/VLOOKUP(F318,商品!$A$4:$D$67,4,FALSE),0),"")</f>
        <v/>
      </c>
      <c r="AC318" t="str">
        <f>IFERROR(H318&amp;"*"&amp;ROUND(L318*(I318/(G318+I318+K318))/VLOOKUP(H318,商品!$A$4:$D$67,4,FALSE),0),"")</f>
        <v/>
      </c>
      <c r="AD318" t="str">
        <f>IFERROR(J318&amp;"*"&amp;ROUND(L318*(K318/(G318+I318+K318))/VLOOKUP(J318,商品!$A$4:$D$67,4,FALSE),0),"")</f>
        <v/>
      </c>
      <c r="AE318" t="str">
        <f>IFERROR(M318&amp;"*"&amp;ROUND(Q318*(N318/(N318+P318))/VLOOKUP(M318,职业!$A$3:$E$16,4,FALSE),0),"")</f>
        <v/>
      </c>
      <c r="AF318" t="str">
        <f>IFERROR(O318&amp;"*"&amp;ROUND(Q318*(P318/(N318+P318))/VLOOKUP(O318,职业!$A$3:$E$16,4,FALSE),0),"")</f>
        <v/>
      </c>
      <c r="AG318" t="str">
        <f>IFERROR(R318&amp;"*"&amp;ROUND(V318*(S318/(S318+U318))/VLOOKUP(R318,商品!$A$4:$D$67,4,FALSE),0),"")</f>
        <v/>
      </c>
      <c r="AH318" t="str">
        <f>IFERROR(T318&amp;"*"&amp;ROUND(V318*(U318/(S318+U318))/VLOOKUP(T318,商品!$A$4:$D$67,4,FALSE),0),"")</f>
        <v/>
      </c>
    </row>
    <row r="319" customHeight="1" spans="1:34">
      <c r="A319" s="15" t="s">
        <v>342</v>
      </c>
      <c r="C319" s="2">
        <v>2</v>
      </c>
      <c r="D319" s="2" t="s">
        <v>238</v>
      </c>
      <c r="E319" s="2" t="s">
        <v>225</v>
      </c>
      <c r="L319" s="2">
        <f>IFERROR(VLOOKUP($D319&amp;$C319,生产方式定位!$A$2:$E$39,2,FALSE)+VLOOKUP($E319&amp;$C319,生产方式定位!$F$3:$J$39,2,FALSE),0)</f>
        <v>10000</v>
      </c>
      <c r="Q319" s="2">
        <f>IFERROR(VLOOKUP($D319&amp;$C319,生产方式定位!$A$2:$E$39,3,FALSE)+VLOOKUP($E319&amp;$C319,生产方式定位!$F$3:$J$39,3,FALSE),0)</f>
        <v>8500</v>
      </c>
      <c r="V319" s="2">
        <f>IFERROR(VLOOKUP($D319&amp;$C319,生产方式定位!$A$2:$E$39,5,FALSE)+VLOOKUP($E319&amp;$C319,生产方式定位!$F$3:$J$39,5,FALSE),"错误")</f>
        <v>9250</v>
      </c>
      <c r="W319" s="3" t="str">
        <f t="shared" si="20"/>
        <v/>
      </c>
      <c r="X319" s="4" t="str">
        <f t="shared" si="21"/>
        <v/>
      </c>
      <c r="Y319" s="4" t="str">
        <f t="shared" si="22"/>
        <v/>
      </c>
      <c r="Z319" s="5">
        <f t="shared" si="23"/>
        <v>1.08</v>
      </c>
      <c r="AA319" s="6">
        <f t="shared" si="24"/>
        <v>2</v>
      </c>
      <c r="AB319" t="str">
        <f>IFERROR(F319&amp;"*"&amp;ROUND(L319*(G319/(G319+I319+K319))/VLOOKUP(F319,商品!$A$4:$D$67,4,FALSE),0),"")</f>
        <v/>
      </c>
      <c r="AC319" t="str">
        <f>IFERROR(H319&amp;"*"&amp;ROUND(L319*(I319/(G319+I319+K319))/VLOOKUP(H319,商品!$A$4:$D$67,4,FALSE),0),"")</f>
        <v/>
      </c>
      <c r="AD319" t="str">
        <f>IFERROR(J319&amp;"*"&amp;ROUND(L319*(K319/(G319+I319+K319))/VLOOKUP(J319,商品!$A$4:$D$67,4,FALSE),0),"")</f>
        <v/>
      </c>
      <c r="AE319" t="str">
        <f>IFERROR(M319&amp;"*"&amp;ROUND(Q319*(N319/(N319+P319))/VLOOKUP(M319,职业!$A$3:$E$16,4,FALSE),0),"")</f>
        <v/>
      </c>
      <c r="AF319" t="str">
        <f>IFERROR(O319&amp;"*"&amp;ROUND(Q319*(P319/(N319+P319))/VLOOKUP(O319,职业!$A$3:$E$16,4,FALSE),0),"")</f>
        <v/>
      </c>
      <c r="AG319" t="str">
        <f>IFERROR(R319&amp;"*"&amp;ROUND(V319*(S319/(S319+U319))/VLOOKUP(R319,商品!$A$4:$D$67,4,FALSE),0),"")</f>
        <v/>
      </c>
      <c r="AH319" t="str">
        <f>IFERROR(T319&amp;"*"&amp;ROUND(V319*(U319/(S319+U319))/VLOOKUP(T319,商品!$A$4:$D$67,4,FALSE),0),"")</f>
        <v/>
      </c>
    </row>
    <row r="320" customHeight="1" spans="1:34">
      <c r="A320" s="15" t="s">
        <v>342</v>
      </c>
      <c r="C320" s="2">
        <v>3</v>
      </c>
      <c r="D320" s="2" t="s">
        <v>238</v>
      </c>
      <c r="E320" s="2" t="s">
        <v>225</v>
      </c>
      <c r="L320" s="2">
        <f>IFERROR(VLOOKUP($D320&amp;$C320,生产方式定位!$A$2:$E$39,2,FALSE)+VLOOKUP($E320&amp;$C320,生产方式定位!$F$3:$J$39,2,FALSE),0)</f>
        <v>9000</v>
      </c>
      <c r="Q320" s="2">
        <f>IFERROR(VLOOKUP($D320&amp;$C320,生产方式定位!$A$2:$E$39,3,FALSE)+VLOOKUP($E320&amp;$C320,生产方式定位!$F$3:$J$39,3,FALSE),0)</f>
        <v>9000</v>
      </c>
      <c r="V320" s="2">
        <f>IFERROR(VLOOKUP($D320&amp;$C320,生产方式定位!$A$2:$E$39,5,FALSE)+VLOOKUP($E320&amp;$C320,生产方式定位!$F$3:$J$39,5,FALSE),"错误")</f>
        <v>9000</v>
      </c>
      <c r="W320" s="3" t="str">
        <f t="shared" si="20"/>
        <v/>
      </c>
      <c r="X320" s="4" t="str">
        <f t="shared" si="21"/>
        <v/>
      </c>
      <c r="Y320" s="4" t="str">
        <f t="shared" si="22"/>
        <v/>
      </c>
      <c r="Z320" s="5">
        <f t="shared" si="23"/>
        <v>1</v>
      </c>
      <c r="AA320" s="6">
        <f t="shared" si="24"/>
        <v>3</v>
      </c>
      <c r="AB320" t="str">
        <f>IFERROR(F320&amp;"*"&amp;ROUND(L320*(G320/(G320+I320+K320))/VLOOKUP(F320,商品!$A$4:$D$67,4,FALSE),0),"")</f>
        <v/>
      </c>
      <c r="AC320" t="str">
        <f>IFERROR(H320&amp;"*"&amp;ROUND(L320*(I320/(G320+I320+K320))/VLOOKUP(H320,商品!$A$4:$D$67,4,FALSE),0),"")</f>
        <v/>
      </c>
      <c r="AD320" t="str">
        <f>IFERROR(J320&amp;"*"&amp;ROUND(L320*(K320/(G320+I320+K320))/VLOOKUP(J320,商品!$A$4:$D$67,4,FALSE),0),"")</f>
        <v/>
      </c>
      <c r="AE320" t="str">
        <f>IFERROR(M320&amp;"*"&amp;ROUND(Q320*(N320/(N320+P320))/VLOOKUP(M320,职业!$A$3:$E$16,4,FALSE),0),"")</f>
        <v/>
      </c>
      <c r="AF320" t="str">
        <f>IFERROR(O320&amp;"*"&amp;ROUND(Q320*(P320/(N320+P320))/VLOOKUP(O320,职业!$A$3:$E$16,4,FALSE),0),"")</f>
        <v/>
      </c>
      <c r="AG320" t="str">
        <f>IFERROR(R320&amp;"*"&amp;ROUND(V320*(S320/(S320+U320))/VLOOKUP(R320,商品!$A$4:$D$67,4,FALSE),0),"")</f>
        <v/>
      </c>
      <c r="AH320" t="str">
        <f>IFERROR(T320&amp;"*"&amp;ROUND(V320*(U320/(S320+U320))/VLOOKUP(T320,商品!$A$4:$D$67,4,FALSE),0),"")</f>
        <v/>
      </c>
    </row>
    <row r="321" customHeight="1" spans="1:34">
      <c r="A321" s="14" t="s">
        <v>344</v>
      </c>
      <c r="C321" s="2">
        <v>4</v>
      </c>
      <c r="D321" s="2" t="s">
        <v>238</v>
      </c>
      <c r="E321" s="2" t="s">
        <v>222</v>
      </c>
      <c r="L321" s="2">
        <f>IFERROR(VLOOKUP($D321&amp;$C321,生产方式定位!$A$2:$E$39,2,FALSE)+VLOOKUP($E321&amp;$C321,生产方式定位!$F$3:$J$39,2,FALSE),0)</f>
        <v>11000</v>
      </c>
      <c r="Q321" s="2">
        <f>IFERROR(VLOOKUP($D321&amp;$C321,生产方式定位!$A$2:$E$39,3,FALSE)+VLOOKUP($E321&amp;$C321,生产方式定位!$F$3:$J$39,3,FALSE),0)</f>
        <v>10100</v>
      </c>
      <c r="V321" s="2">
        <f>IFERROR(VLOOKUP($D321&amp;$C321,生产方式定位!$A$2:$E$39,5,FALSE)+VLOOKUP($E321&amp;$C321,生产方式定位!$F$3:$J$39,5,FALSE),"错误")</f>
        <v>11198</v>
      </c>
      <c r="W321" s="3" t="str">
        <f t="shared" si="20"/>
        <v/>
      </c>
      <c r="X321" s="4" t="str">
        <f t="shared" si="21"/>
        <v/>
      </c>
      <c r="Y321" s="4" t="str">
        <f t="shared" si="22"/>
        <v/>
      </c>
      <c r="Z321" s="5">
        <f t="shared" si="23"/>
        <v>0.98</v>
      </c>
      <c r="AA321" s="6">
        <f t="shared" si="24"/>
        <v>4</v>
      </c>
      <c r="AB321" t="str">
        <f>IFERROR(F321&amp;"*"&amp;ROUND(L321*(G321/(G321+I321+K321))/VLOOKUP(F321,商品!$A$4:$D$67,4,FALSE),0),"")</f>
        <v/>
      </c>
      <c r="AC321" t="str">
        <f>IFERROR(H321&amp;"*"&amp;ROUND(L321*(I321/(G321+I321+K321))/VLOOKUP(H321,商品!$A$4:$D$67,4,FALSE),0),"")</f>
        <v/>
      </c>
      <c r="AD321" t="str">
        <f>IFERROR(J321&amp;"*"&amp;ROUND(L321*(K321/(G321+I321+K321))/VLOOKUP(J321,商品!$A$4:$D$67,4,FALSE),0),"")</f>
        <v/>
      </c>
      <c r="AE321" t="str">
        <f>IFERROR(M321&amp;"*"&amp;ROUND(Q321*(N321/(N321+P321))/VLOOKUP(M321,职业!$A$3:$E$16,4,FALSE),0),"")</f>
        <v/>
      </c>
      <c r="AF321" t="str">
        <f>IFERROR(O321&amp;"*"&amp;ROUND(Q321*(P321/(N321+P321))/VLOOKUP(O321,职业!$A$3:$E$16,4,FALSE),0),"")</f>
        <v/>
      </c>
      <c r="AG321" t="str">
        <f>IFERROR(R321&amp;"*"&amp;ROUND(V321*(S321/(S321+U321))/VLOOKUP(R321,商品!$A$4:$D$67,4,FALSE),0),"")</f>
        <v/>
      </c>
      <c r="AH321" t="str">
        <f>IFERROR(T321&amp;"*"&amp;ROUND(V321*(U321/(S321+U321))/VLOOKUP(T321,商品!$A$4:$D$67,4,FALSE),0),"")</f>
        <v/>
      </c>
    </row>
    <row r="322" customHeight="1" spans="1:34">
      <c r="A322" s="14" t="s">
        <v>344</v>
      </c>
      <c r="C322" s="2">
        <v>5</v>
      </c>
      <c r="D322" s="2" t="s">
        <v>238</v>
      </c>
      <c r="E322" s="2" t="s">
        <v>222</v>
      </c>
      <c r="L322" s="2">
        <f>IFERROR(VLOOKUP($D322&amp;$C322,生产方式定位!$A$2:$E$39,2,FALSE)+VLOOKUP($E322&amp;$C322,生产方式定位!$F$3:$J$39,2,FALSE),0)</f>
        <v>11000</v>
      </c>
      <c r="Q322" s="2">
        <f>IFERROR(VLOOKUP($D322&amp;$C322,生产方式定位!$A$2:$E$39,3,FALSE)+VLOOKUP($E322&amp;$C322,生产方式定位!$F$3:$J$39,3,FALSE),0)</f>
        <v>10800</v>
      </c>
      <c r="V322" s="2">
        <f>IFERROR(VLOOKUP($D322&amp;$C322,生产方式定位!$A$2:$E$39,5,FALSE)+VLOOKUP($E322&amp;$C322,生产方式定位!$F$3:$J$39,5,FALSE),"错误")</f>
        <v>12100</v>
      </c>
      <c r="W322" s="3" t="str">
        <f t="shared" si="20"/>
        <v/>
      </c>
      <c r="X322" s="4" t="str">
        <f t="shared" si="21"/>
        <v/>
      </c>
      <c r="Y322" s="4" t="str">
        <f t="shared" si="22"/>
        <v/>
      </c>
      <c r="Z322" s="5">
        <f t="shared" si="23"/>
        <v>0.91</v>
      </c>
      <c r="AA322" s="6">
        <f t="shared" si="24"/>
        <v>5</v>
      </c>
      <c r="AB322" t="str">
        <f>IFERROR(F322&amp;"*"&amp;ROUND(L322*(G322/(G322+I322+K322))/VLOOKUP(F322,商品!$A$4:$D$67,4,FALSE),0),"")</f>
        <v/>
      </c>
      <c r="AC322" t="str">
        <f>IFERROR(H322&amp;"*"&amp;ROUND(L322*(I322/(G322+I322+K322))/VLOOKUP(H322,商品!$A$4:$D$67,4,FALSE),0),"")</f>
        <v/>
      </c>
      <c r="AD322" t="str">
        <f>IFERROR(J322&amp;"*"&amp;ROUND(L322*(K322/(G322+I322+K322))/VLOOKUP(J322,商品!$A$4:$D$67,4,FALSE),0),"")</f>
        <v/>
      </c>
      <c r="AE322" t="str">
        <f>IFERROR(M322&amp;"*"&amp;ROUND(Q322*(N322/(N322+P322))/VLOOKUP(M322,职业!$A$3:$E$16,4,FALSE),0),"")</f>
        <v/>
      </c>
      <c r="AF322" t="str">
        <f>IFERROR(O322&amp;"*"&amp;ROUND(Q322*(P322/(N322+P322))/VLOOKUP(O322,职业!$A$3:$E$16,4,FALSE),0),"")</f>
        <v/>
      </c>
      <c r="AG322" t="str">
        <f>IFERROR(R322&amp;"*"&amp;ROUND(V322*(S322/(S322+U322))/VLOOKUP(R322,商品!$A$4:$D$67,4,FALSE),0),"")</f>
        <v/>
      </c>
      <c r="AH322" t="str">
        <f>IFERROR(T322&amp;"*"&amp;ROUND(V322*(U322/(S322+U322))/VLOOKUP(T322,商品!$A$4:$D$67,4,FALSE),0),"")</f>
        <v/>
      </c>
    </row>
    <row r="323" customHeight="1" spans="1:34">
      <c r="A323" s="14" t="s">
        <v>344</v>
      </c>
      <c r="C323" s="2">
        <v>6</v>
      </c>
      <c r="D323" s="2" t="s">
        <v>238</v>
      </c>
      <c r="E323" s="2" t="s">
        <v>222</v>
      </c>
      <c r="L323" s="2">
        <f>IFERROR(VLOOKUP($D323&amp;$C323,生产方式定位!$A$2:$E$39,2,FALSE)+VLOOKUP($E323&amp;$C323,生产方式定位!$F$3:$J$39,2,FALSE),0)</f>
        <v>0</v>
      </c>
      <c r="Q323" s="2">
        <f>IFERROR(VLOOKUP($D323&amp;$C323,生产方式定位!$A$2:$E$39,3,FALSE)+VLOOKUP($E323&amp;$C323,生产方式定位!$F$3:$J$39,3,FALSE),0)</f>
        <v>0</v>
      </c>
      <c r="V323" s="2" t="str">
        <f>IFERROR(VLOOKUP($D323&amp;$C323,生产方式定位!$A$2:$E$39,5,FALSE)+VLOOKUP($E323&amp;$C323,生产方式定位!$F$3:$J$39,5,FALSE),"错误")</f>
        <v>错误</v>
      </c>
      <c r="W323" s="3" t="str">
        <f t="shared" si="20"/>
        <v/>
      </c>
      <c r="X323" s="4" t="str">
        <f t="shared" si="21"/>
        <v/>
      </c>
      <c r="Y323" s="4" t="str">
        <f t="shared" si="22"/>
        <v/>
      </c>
      <c r="Z323" s="5" t="str">
        <f t="shared" si="23"/>
        <v/>
      </c>
      <c r="AA323" s="6">
        <f t="shared" si="24"/>
        <v>6</v>
      </c>
      <c r="AB323" t="str">
        <f>IFERROR(F323&amp;"*"&amp;ROUND(L323*(G323/(G323+I323+K323))/VLOOKUP(F323,商品!$A$4:$D$67,4,FALSE),0),"")</f>
        <v/>
      </c>
      <c r="AC323" t="str">
        <f>IFERROR(H323&amp;"*"&amp;ROUND(L323*(I323/(G323+I323+K323))/VLOOKUP(H323,商品!$A$4:$D$67,4,FALSE),0),"")</f>
        <v/>
      </c>
      <c r="AD323" t="str">
        <f>IFERROR(J323&amp;"*"&amp;ROUND(L323*(K323/(G323+I323+K323))/VLOOKUP(J323,商品!$A$4:$D$67,4,FALSE),0),"")</f>
        <v/>
      </c>
      <c r="AE323" t="str">
        <f>IFERROR(M323&amp;"*"&amp;ROUND(Q323*(N323/(N323+P323))/VLOOKUP(M323,职业!$A$3:$E$16,4,FALSE),0),"")</f>
        <v/>
      </c>
      <c r="AF323" t="str">
        <f>IFERROR(O323&amp;"*"&amp;ROUND(Q323*(P323/(N323+P323))/VLOOKUP(O323,职业!$A$3:$E$16,4,FALSE),0),"")</f>
        <v/>
      </c>
      <c r="AG323" t="str">
        <f>IFERROR(R323&amp;"*"&amp;ROUND(V323*(S323/(S323+U323))/VLOOKUP(R323,商品!$A$4:$D$67,4,FALSE),0),"")</f>
        <v/>
      </c>
      <c r="AH323" t="str">
        <f>IFERROR(T323&amp;"*"&amp;ROUND(V323*(U323/(S323+U323))/VLOOKUP(T323,商品!$A$4:$D$67,4,FALSE),0),"")</f>
        <v/>
      </c>
    </row>
    <row r="324" customHeight="1" spans="1:34">
      <c r="A324" s="14" t="s">
        <v>344</v>
      </c>
      <c r="C324" s="2">
        <v>7</v>
      </c>
      <c r="D324" s="2" t="s">
        <v>238</v>
      </c>
      <c r="E324" s="2" t="s">
        <v>222</v>
      </c>
      <c r="L324" s="2">
        <f>IFERROR(VLOOKUP($D324&amp;$C324,生产方式定位!$A$2:$E$39,2,FALSE)+VLOOKUP($E324&amp;$C324,生产方式定位!$F$3:$J$39,2,FALSE),0)</f>
        <v>0</v>
      </c>
      <c r="Q324" s="2">
        <f>IFERROR(VLOOKUP($D324&amp;$C324,生产方式定位!$A$2:$E$39,3,FALSE)+VLOOKUP($E324&amp;$C324,生产方式定位!$F$3:$J$39,3,FALSE),0)</f>
        <v>0</v>
      </c>
      <c r="V324" s="2" t="str">
        <f>IFERROR(VLOOKUP($D324&amp;$C324,生产方式定位!$A$2:$E$39,5,FALSE)+VLOOKUP($E324&amp;$C324,生产方式定位!$F$3:$J$39,5,FALSE),"错误")</f>
        <v>错误</v>
      </c>
      <c r="W324" s="3" t="str">
        <f t="shared" si="20"/>
        <v/>
      </c>
      <c r="X324" s="4" t="str">
        <f t="shared" si="21"/>
        <v/>
      </c>
      <c r="Y324" s="4" t="str">
        <f t="shared" si="22"/>
        <v/>
      </c>
      <c r="Z324" s="5" t="str">
        <f t="shared" si="23"/>
        <v/>
      </c>
      <c r="AA324" s="6">
        <f t="shared" si="24"/>
        <v>7</v>
      </c>
      <c r="AB324" t="str">
        <f>IFERROR(F324&amp;"*"&amp;ROUND(L324*(G324/(G324+I324+K324))/VLOOKUP(F324,商品!$A$4:$D$67,4,FALSE),0),"")</f>
        <v/>
      </c>
      <c r="AC324" t="str">
        <f>IFERROR(H324&amp;"*"&amp;ROUND(L324*(I324/(G324+I324+K324))/VLOOKUP(H324,商品!$A$4:$D$67,4,FALSE),0),"")</f>
        <v/>
      </c>
      <c r="AD324" t="str">
        <f>IFERROR(J324&amp;"*"&amp;ROUND(L324*(K324/(G324+I324+K324))/VLOOKUP(J324,商品!$A$4:$D$67,4,FALSE),0),"")</f>
        <v/>
      </c>
      <c r="AE324" t="str">
        <f>IFERROR(M324&amp;"*"&amp;ROUND(Q324*(N324/(N324+P324))/VLOOKUP(M324,职业!$A$3:$E$16,4,FALSE),0),"")</f>
        <v/>
      </c>
      <c r="AF324" t="str">
        <f>IFERROR(O324&amp;"*"&amp;ROUND(Q324*(P324/(N324+P324))/VLOOKUP(O324,职业!$A$3:$E$16,4,FALSE),0),"")</f>
        <v/>
      </c>
      <c r="AG324" t="str">
        <f>IFERROR(R324&amp;"*"&amp;ROUND(V324*(S324/(S324+U324))/VLOOKUP(R324,商品!$A$4:$D$67,4,FALSE),0),"")</f>
        <v/>
      </c>
      <c r="AH324" t="str">
        <f>IFERROR(T324&amp;"*"&amp;ROUND(V324*(U324/(S324+U324))/VLOOKUP(T324,商品!$A$4:$D$67,4,FALSE),0),"")</f>
        <v/>
      </c>
    </row>
    <row r="325" customHeight="1" spans="1:34">
      <c r="A325" s="14" t="s">
        <v>344</v>
      </c>
      <c r="C325" s="2">
        <v>8</v>
      </c>
      <c r="D325" s="2" t="s">
        <v>238</v>
      </c>
      <c r="E325" s="2" t="s">
        <v>222</v>
      </c>
      <c r="L325" s="2">
        <f>IFERROR(VLOOKUP($D325&amp;$C325,生产方式定位!$A$2:$E$39,2,FALSE)+VLOOKUP($E325&amp;$C325,生产方式定位!$F$3:$J$39,2,FALSE),0)</f>
        <v>0</v>
      </c>
      <c r="Q325" s="2">
        <f>IFERROR(VLOOKUP($D325&amp;$C325,生产方式定位!$A$2:$E$39,3,FALSE)+VLOOKUP($E325&amp;$C325,生产方式定位!$F$3:$J$39,3,FALSE),0)</f>
        <v>0</v>
      </c>
      <c r="V325" s="2" t="str">
        <f>IFERROR(VLOOKUP($D325&amp;$C325,生产方式定位!$A$2:$E$39,5,FALSE)+VLOOKUP($E325&amp;$C325,生产方式定位!$F$3:$J$39,5,FALSE),"错误")</f>
        <v>错误</v>
      </c>
      <c r="W325" s="3" t="str">
        <f t="shared" ref="W325:W388" si="25">IF(AB325="","",AB325)&amp;IF(AC325="","",","&amp;AC325)&amp;IF(AD325="","",","&amp;AD325)</f>
        <v/>
      </c>
      <c r="X325" s="4" t="str">
        <f t="shared" ref="X325:X388" si="26">IF(AE325="","",AE325)&amp;IF(AF325="","",","&amp;AF325)</f>
        <v/>
      </c>
      <c r="Y325" s="4" t="str">
        <f t="shared" ref="Y325:Y388" si="27">IF(AG325="","",AG325)&amp;IF(AH325="","",","&amp;AH325)</f>
        <v/>
      </c>
      <c r="Z325" s="5" t="str">
        <f t="shared" ref="Z325:Z388" si="28">IFERROR(ROUND(L325/V325,2),"")</f>
        <v/>
      </c>
      <c r="AA325" s="6">
        <f t="shared" ref="AA325:AA388" si="29">C325</f>
        <v>8</v>
      </c>
      <c r="AB325" t="str">
        <f>IFERROR(F325&amp;"*"&amp;ROUND(L325*(G325/(G325+I325+K325))/VLOOKUP(F325,商品!$A$4:$D$67,4,FALSE),0),"")</f>
        <v/>
      </c>
      <c r="AC325" t="str">
        <f>IFERROR(H325&amp;"*"&amp;ROUND(L325*(I325/(G325+I325+K325))/VLOOKUP(H325,商品!$A$4:$D$67,4,FALSE),0),"")</f>
        <v/>
      </c>
      <c r="AD325" t="str">
        <f>IFERROR(J325&amp;"*"&amp;ROUND(L325*(K325/(G325+I325+K325))/VLOOKUP(J325,商品!$A$4:$D$67,4,FALSE),0),"")</f>
        <v/>
      </c>
      <c r="AE325" t="str">
        <f>IFERROR(M325&amp;"*"&amp;ROUND(Q325*(N325/(N325+P325))/VLOOKUP(M325,职业!$A$3:$E$16,4,FALSE),0),"")</f>
        <v/>
      </c>
      <c r="AF325" t="str">
        <f>IFERROR(O325&amp;"*"&amp;ROUND(Q325*(P325/(N325+P325))/VLOOKUP(O325,职业!$A$3:$E$16,4,FALSE),0),"")</f>
        <v/>
      </c>
      <c r="AG325" t="str">
        <f>IFERROR(R325&amp;"*"&amp;ROUND(V325*(S325/(S325+U325))/VLOOKUP(R325,商品!$A$4:$D$67,4,FALSE),0),"")</f>
        <v/>
      </c>
      <c r="AH325" t="str">
        <f>IFERROR(T325&amp;"*"&amp;ROUND(V325*(U325/(S325+U325))/VLOOKUP(T325,商品!$A$4:$D$67,4,FALSE),0),"")</f>
        <v/>
      </c>
    </row>
    <row r="326" customHeight="1" spans="1:34">
      <c r="A326" s="15" t="s">
        <v>345</v>
      </c>
      <c r="C326" s="2">
        <v>1</v>
      </c>
      <c r="D326" s="2" t="s">
        <v>238</v>
      </c>
      <c r="E326" s="2" t="s">
        <v>224</v>
      </c>
      <c r="L326" s="2">
        <f>IFERROR(VLOOKUP($D326&amp;$C326,生产方式定位!$A$2:$E$39,2,FALSE)+VLOOKUP($E326&amp;$C326,生产方式定位!$F$3:$J$39,2,FALSE),0)</f>
        <v>11000</v>
      </c>
      <c r="Q326" s="2">
        <f>IFERROR(VLOOKUP($D326&amp;$C326,生产方式定位!$A$2:$E$39,3,FALSE)+VLOOKUP($E326&amp;$C326,生产方式定位!$F$3:$J$39,3,FALSE),0)</f>
        <v>8000</v>
      </c>
      <c r="V326" s="2">
        <f>IFERROR(VLOOKUP($D326&amp;$C326,生产方式定位!$A$2:$E$39,5,FALSE)+VLOOKUP($E326&amp;$C326,生产方式定位!$F$3:$J$39,5,FALSE),"错误")</f>
        <v>9500</v>
      </c>
      <c r="W326" s="3" t="str">
        <f t="shared" si="25"/>
        <v/>
      </c>
      <c r="X326" s="4" t="str">
        <f t="shared" si="26"/>
        <v/>
      </c>
      <c r="Y326" s="4" t="str">
        <f t="shared" si="27"/>
        <v/>
      </c>
      <c r="Z326" s="5">
        <f t="shared" si="28"/>
        <v>1.16</v>
      </c>
      <c r="AA326" s="6">
        <f t="shared" si="29"/>
        <v>1</v>
      </c>
      <c r="AB326" t="str">
        <f>IFERROR(F326&amp;"*"&amp;ROUND(L326*(G326/(G326+I326+K326))/VLOOKUP(F326,商品!$A$4:$D$67,4,FALSE),0),"")</f>
        <v/>
      </c>
      <c r="AC326" t="str">
        <f>IFERROR(H326&amp;"*"&amp;ROUND(L326*(I326/(G326+I326+K326))/VLOOKUP(H326,商品!$A$4:$D$67,4,FALSE),0),"")</f>
        <v/>
      </c>
      <c r="AD326" t="str">
        <f>IFERROR(J326&amp;"*"&amp;ROUND(L326*(K326/(G326+I326+K326))/VLOOKUP(J326,商品!$A$4:$D$67,4,FALSE),0),"")</f>
        <v/>
      </c>
      <c r="AE326" t="str">
        <f>IFERROR(M326&amp;"*"&amp;ROUND(Q326*(N326/(N326+P326))/VLOOKUP(M326,职业!$A$3:$E$16,4,FALSE),0),"")</f>
        <v/>
      </c>
      <c r="AF326" t="str">
        <f>IFERROR(O326&amp;"*"&amp;ROUND(Q326*(P326/(N326+P326))/VLOOKUP(O326,职业!$A$3:$E$16,4,FALSE),0),"")</f>
        <v/>
      </c>
      <c r="AG326" t="str">
        <f>IFERROR(R326&amp;"*"&amp;ROUND(V326*(S326/(S326+U326))/VLOOKUP(R326,商品!$A$4:$D$67,4,FALSE),0),"")</f>
        <v/>
      </c>
      <c r="AH326" t="str">
        <f>IFERROR(T326&amp;"*"&amp;ROUND(V326*(U326/(S326+U326))/VLOOKUP(T326,商品!$A$4:$D$67,4,FALSE),0),"")</f>
        <v/>
      </c>
    </row>
    <row r="327" customHeight="1" spans="1:34">
      <c r="A327" s="15" t="s">
        <v>345</v>
      </c>
      <c r="C327" s="2">
        <v>2</v>
      </c>
      <c r="D327" s="2" t="s">
        <v>238</v>
      </c>
      <c r="E327" s="2" t="s">
        <v>224</v>
      </c>
      <c r="L327" s="2">
        <f>IFERROR(VLOOKUP($D327&amp;$C327,生产方式定位!$A$2:$E$39,2,FALSE)+VLOOKUP($E327&amp;$C327,生产方式定位!$F$3:$J$39,2,FALSE),0)</f>
        <v>12000</v>
      </c>
      <c r="Q327" s="2">
        <f>IFERROR(VLOOKUP($D327&amp;$C327,生产方式定位!$A$2:$E$39,3,FALSE)+VLOOKUP($E327&amp;$C327,生产方式定位!$F$3:$J$39,3,FALSE),0)</f>
        <v>8300</v>
      </c>
      <c r="V327" s="2">
        <f>IFERROR(VLOOKUP($D327&amp;$C327,生产方式定位!$A$2:$E$39,5,FALSE)+VLOOKUP($E327&amp;$C327,生产方式定位!$F$3:$J$39,5,FALSE),"错误")</f>
        <v>10240</v>
      </c>
      <c r="W327" s="3" t="str">
        <f t="shared" si="25"/>
        <v/>
      </c>
      <c r="X327" s="4" t="str">
        <f t="shared" si="26"/>
        <v/>
      </c>
      <c r="Y327" s="4" t="str">
        <f t="shared" si="27"/>
        <v/>
      </c>
      <c r="Z327" s="5">
        <f t="shared" si="28"/>
        <v>1.17</v>
      </c>
      <c r="AA327" s="6">
        <f t="shared" si="29"/>
        <v>2</v>
      </c>
      <c r="AB327" t="str">
        <f>IFERROR(F327&amp;"*"&amp;ROUND(L327*(G327/(G327+I327+K327))/VLOOKUP(F327,商品!$A$4:$D$67,4,FALSE),0),"")</f>
        <v/>
      </c>
      <c r="AC327" t="str">
        <f>IFERROR(H327&amp;"*"&amp;ROUND(L327*(I327/(G327+I327+K327))/VLOOKUP(H327,商品!$A$4:$D$67,4,FALSE),0),"")</f>
        <v/>
      </c>
      <c r="AD327" t="str">
        <f>IFERROR(J327&amp;"*"&amp;ROUND(L327*(K327/(G327+I327+K327))/VLOOKUP(J327,商品!$A$4:$D$67,4,FALSE),0),"")</f>
        <v/>
      </c>
      <c r="AE327" t="str">
        <f>IFERROR(M327&amp;"*"&amp;ROUND(Q327*(N327/(N327+P327))/VLOOKUP(M327,职业!$A$3:$E$16,4,FALSE),0),"")</f>
        <v/>
      </c>
      <c r="AF327" t="str">
        <f>IFERROR(O327&amp;"*"&amp;ROUND(Q327*(P327/(N327+P327))/VLOOKUP(O327,职业!$A$3:$E$16,4,FALSE),0),"")</f>
        <v/>
      </c>
      <c r="AG327" t="str">
        <f>IFERROR(R327&amp;"*"&amp;ROUND(V327*(S327/(S327+U327))/VLOOKUP(R327,商品!$A$4:$D$67,4,FALSE),0),"")</f>
        <v/>
      </c>
      <c r="AH327" t="str">
        <f>IFERROR(T327&amp;"*"&amp;ROUND(V327*(U327/(S327+U327))/VLOOKUP(T327,商品!$A$4:$D$67,4,FALSE),0),"")</f>
        <v/>
      </c>
    </row>
    <row r="328" customHeight="1" spans="1:34">
      <c r="A328" s="15" t="s">
        <v>345</v>
      </c>
      <c r="C328" s="2">
        <v>3</v>
      </c>
      <c r="D328" s="2" t="s">
        <v>238</v>
      </c>
      <c r="E328" s="2" t="s">
        <v>224</v>
      </c>
      <c r="L328" s="2">
        <f>IFERROR(VLOOKUP($D328&amp;$C328,生产方式定位!$A$2:$E$39,2,FALSE)+VLOOKUP($E328&amp;$C328,生产方式定位!$F$3:$J$39,2,FALSE),0)</f>
        <v>12000</v>
      </c>
      <c r="Q328" s="2">
        <f>IFERROR(VLOOKUP($D328&amp;$C328,生产方式定位!$A$2:$E$39,3,FALSE)+VLOOKUP($E328&amp;$C328,生产方式定位!$F$3:$J$39,3,FALSE),0)</f>
        <v>8600</v>
      </c>
      <c r="V328" s="2">
        <f>IFERROR(VLOOKUP($D328&amp;$C328,生产方式定位!$A$2:$E$39,5,FALSE)+VLOOKUP($E328&amp;$C328,生产方式定位!$F$3:$J$39,5,FALSE),"错误")</f>
        <v>10560</v>
      </c>
      <c r="W328" s="3" t="str">
        <f t="shared" si="25"/>
        <v/>
      </c>
      <c r="X328" s="4" t="str">
        <f t="shared" si="26"/>
        <v/>
      </c>
      <c r="Y328" s="4" t="str">
        <f t="shared" si="27"/>
        <v/>
      </c>
      <c r="Z328" s="5">
        <f t="shared" si="28"/>
        <v>1.14</v>
      </c>
      <c r="AA328" s="6">
        <f t="shared" si="29"/>
        <v>3</v>
      </c>
      <c r="AB328" t="str">
        <f>IFERROR(F328&amp;"*"&amp;ROUND(L328*(G328/(G328+I328+K328))/VLOOKUP(F328,商品!$A$4:$D$67,4,FALSE),0),"")</f>
        <v/>
      </c>
      <c r="AC328" t="str">
        <f>IFERROR(H328&amp;"*"&amp;ROUND(L328*(I328/(G328+I328+K328))/VLOOKUP(H328,商品!$A$4:$D$67,4,FALSE),0),"")</f>
        <v/>
      </c>
      <c r="AD328" t="str">
        <f>IFERROR(J328&amp;"*"&amp;ROUND(L328*(K328/(G328+I328+K328))/VLOOKUP(J328,商品!$A$4:$D$67,4,FALSE),0),"")</f>
        <v/>
      </c>
      <c r="AE328" t="str">
        <f>IFERROR(M328&amp;"*"&amp;ROUND(Q328*(N328/(N328+P328))/VLOOKUP(M328,职业!$A$3:$E$16,4,FALSE),0),"")</f>
        <v/>
      </c>
      <c r="AF328" t="str">
        <f>IFERROR(O328&amp;"*"&amp;ROUND(Q328*(P328/(N328+P328))/VLOOKUP(O328,职业!$A$3:$E$16,4,FALSE),0),"")</f>
        <v/>
      </c>
      <c r="AG328" t="str">
        <f>IFERROR(R328&amp;"*"&amp;ROUND(V328*(S328/(S328+U328))/VLOOKUP(R328,商品!$A$4:$D$67,4,FALSE),0),"")</f>
        <v/>
      </c>
      <c r="AH328" t="str">
        <f>IFERROR(T328&amp;"*"&amp;ROUND(V328*(U328/(S328+U328))/VLOOKUP(T328,商品!$A$4:$D$67,4,FALSE),0),"")</f>
        <v/>
      </c>
    </row>
    <row r="329" customHeight="1" spans="1:34">
      <c r="A329" s="15" t="s">
        <v>345</v>
      </c>
      <c r="C329" s="2">
        <v>4</v>
      </c>
      <c r="D329" s="2" t="s">
        <v>238</v>
      </c>
      <c r="E329" s="2" t="s">
        <v>224</v>
      </c>
      <c r="L329" s="2">
        <f>IFERROR(VLOOKUP($D329&amp;$C329,生产方式定位!$A$2:$E$39,2,FALSE)+VLOOKUP($E329&amp;$C329,生产方式定位!$F$3:$J$39,2,FALSE),0)</f>
        <v>12000</v>
      </c>
      <c r="Q329" s="2">
        <f>IFERROR(VLOOKUP($D329&amp;$C329,生产方式定位!$A$2:$E$39,3,FALSE)+VLOOKUP($E329&amp;$C329,生产方式定位!$F$3:$J$39,3,FALSE),0)</f>
        <v>8900</v>
      </c>
      <c r="V329" s="2">
        <f>IFERROR(VLOOKUP($D329&amp;$C329,生产方式定位!$A$2:$E$39,5,FALSE)+VLOOKUP($E329&amp;$C329,生产方式定位!$F$3:$J$39,5,FALSE),"错误")</f>
        <v>10960</v>
      </c>
      <c r="W329" s="3" t="str">
        <f t="shared" si="25"/>
        <v/>
      </c>
      <c r="X329" s="4" t="str">
        <f t="shared" si="26"/>
        <v/>
      </c>
      <c r="Y329" s="4" t="str">
        <f t="shared" si="27"/>
        <v/>
      </c>
      <c r="Z329" s="5">
        <f t="shared" si="28"/>
        <v>1.09</v>
      </c>
      <c r="AA329" s="6">
        <f t="shared" si="29"/>
        <v>4</v>
      </c>
      <c r="AB329" t="str">
        <f>IFERROR(F329&amp;"*"&amp;ROUND(L329*(G329/(G329+I329+K329))/VLOOKUP(F329,商品!$A$4:$D$67,4,FALSE),0),"")</f>
        <v/>
      </c>
      <c r="AC329" t="str">
        <f>IFERROR(H329&amp;"*"&amp;ROUND(L329*(I329/(G329+I329+K329))/VLOOKUP(H329,商品!$A$4:$D$67,4,FALSE),0),"")</f>
        <v/>
      </c>
      <c r="AD329" t="str">
        <f>IFERROR(J329&amp;"*"&amp;ROUND(L329*(K329/(G329+I329+K329))/VLOOKUP(J329,商品!$A$4:$D$67,4,FALSE),0),"")</f>
        <v/>
      </c>
      <c r="AE329" t="str">
        <f>IFERROR(M329&amp;"*"&amp;ROUND(Q329*(N329/(N329+P329))/VLOOKUP(M329,职业!$A$3:$E$16,4,FALSE),0),"")</f>
        <v/>
      </c>
      <c r="AF329" t="str">
        <f>IFERROR(O329&amp;"*"&amp;ROUND(Q329*(P329/(N329+P329))/VLOOKUP(O329,职业!$A$3:$E$16,4,FALSE),0),"")</f>
        <v/>
      </c>
      <c r="AG329" t="str">
        <f>IFERROR(R329&amp;"*"&amp;ROUND(V329*(S329/(S329+U329))/VLOOKUP(R329,商品!$A$4:$D$67,4,FALSE),0),"")</f>
        <v/>
      </c>
      <c r="AH329" t="str">
        <f>IFERROR(T329&amp;"*"&amp;ROUND(V329*(U329/(S329+U329))/VLOOKUP(T329,商品!$A$4:$D$67,4,FALSE),0),"")</f>
        <v/>
      </c>
    </row>
    <row r="330" customHeight="1" spans="1:34">
      <c r="A330" s="15" t="s">
        <v>345</v>
      </c>
      <c r="C330" s="2">
        <v>5</v>
      </c>
      <c r="D330" s="2" t="s">
        <v>238</v>
      </c>
      <c r="E330" s="2" t="s">
        <v>224</v>
      </c>
      <c r="L330" s="2">
        <f>IFERROR(VLOOKUP($D330&amp;$C330,生产方式定位!$A$2:$E$39,2,FALSE)+VLOOKUP($E330&amp;$C330,生产方式定位!$F$3:$J$39,2,FALSE),0)</f>
        <v>12000</v>
      </c>
      <c r="Q330" s="2">
        <f>IFERROR(VLOOKUP($D330&amp;$C330,生产方式定位!$A$2:$E$39,3,FALSE)+VLOOKUP($E330&amp;$C330,生产方式定位!$F$3:$J$39,3,FALSE),0)</f>
        <v>9200</v>
      </c>
      <c r="V330" s="2">
        <f>IFERROR(VLOOKUP($D330&amp;$C330,生产方式定位!$A$2:$E$39,5,FALSE)+VLOOKUP($E330&amp;$C330,生产方式定位!$F$3:$J$39,5,FALSE),"错误")</f>
        <v>11440</v>
      </c>
      <c r="W330" s="3" t="str">
        <f t="shared" si="25"/>
        <v/>
      </c>
      <c r="X330" s="4" t="str">
        <f t="shared" si="26"/>
        <v/>
      </c>
      <c r="Y330" s="4" t="str">
        <f t="shared" si="27"/>
        <v/>
      </c>
      <c r="Z330" s="5">
        <f t="shared" si="28"/>
        <v>1.05</v>
      </c>
      <c r="AA330" s="6">
        <f t="shared" si="29"/>
        <v>5</v>
      </c>
      <c r="AB330" t="str">
        <f>IFERROR(F330&amp;"*"&amp;ROUND(L330*(G330/(G330+I330+K330))/VLOOKUP(F330,商品!$A$4:$D$67,4,FALSE),0),"")</f>
        <v/>
      </c>
      <c r="AC330" t="str">
        <f>IFERROR(H330&amp;"*"&amp;ROUND(L330*(I330/(G330+I330+K330))/VLOOKUP(H330,商品!$A$4:$D$67,4,FALSE),0),"")</f>
        <v/>
      </c>
      <c r="AD330" t="str">
        <f>IFERROR(J330&amp;"*"&amp;ROUND(L330*(K330/(G330+I330+K330))/VLOOKUP(J330,商品!$A$4:$D$67,4,FALSE),0),"")</f>
        <v/>
      </c>
      <c r="AE330" t="str">
        <f>IFERROR(M330&amp;"*"&amp;ROUND(Q330*(N330/(N330+P330))/VLOOKUP(M330,职业!$A$3:$E$16,4,FALSE),0),"")</f>
        <v/>
      </c>
      <c r="AF330" t="str">
        <f>IFERROR(O330&amp;"*"&amp;ROUND(Q330*(P330/(N330+P330))/VLOOKUP(O330,职业!$A$3:$E$16,4,FALSE),0),"")</f>
        <v/>
      </c>
      <c r="AG330" t="str">
        <f>IFERROR(R330&amp;"*"&amp;ROUND(V330*(S330/(S330+U330))/VLOOKUP(R330,商品!$A$4:$D$67,4,FALSE),0),"")</f>
        <v/>
      </c>
      <c r="AH330" t="str">
        <f>IFERROR(T330&amp;"*"&amp;ROUND(V330*(U330/(S330+U330))/VLOOKUP(T330,商品!$A$4:$D$67,4,FALSE),0),"")</f>
        <v/>
      </c>
    </row>
    <row r="331" customHeight="1" spans="1:34">
      <c r="A331" s="14" t="s">
        <v>345</v>
      </c>
      <c r="C331" s="2">
        <v>1</v>
      </c>
      <c r="D331" s="2" t="s">
        <v>238</v>
      </c>
      <c r="E331" s="2" t="s">
        <v>224</v>
      </c>
      <c r="L331" s="2">
        <f>IFERROR(VLOOKUP($D331&amp;$C331,生产方式定位!$A$2:$E$39,2,FALSE)+VLOOKUP($E331&amp;$C331,生产方式定位!$F$3:$J$39,2,FALSE),0)</f>
        <v>11000</v>
      </c>
      <c r="Q331" s="2">
        <f>IFERROR(VLOOKUP($D331&amp;$C331,生产方式定位!$A$2:$E$39,3,FALSE)+VLOOKUP($E331&amp;$C331,生产方式定位!$F$3:$J$39,3,FALSE),0)</f>
        <v>8000</v>
      </c>
      <c r="V331" s="2">
        <f>IFERROR(VLOOKUP($D331&amp;$C331,生产方式定位!$A$2:$E$39,5,FALSE)+VLOOKUP($E331&amp;$C331,生产方式定位!$F$3:$J$39,5,FALSE),"错误")</f>
        <v>9500</v>
      </c>
      <c r="W331" s="3" t="str">
        <f t="shared" si="25"/>
        <v/>
      </c>
      <c r="X331" s="4" t="str">
        <f t="shared" si="26"/>
        <v/>
      </c>
      <c r="Y331" s="4" t="str">
        <f t="shared" si="27"/>
        <v/>
      </c>
      <c r="Z331" s="5">
        <f t="shared" si="28"/>
        <v>1.16</v>
      </c>
      <c r="AA331" s="6">
        <f t="shared" si="29"/>
        <v>1</v>
      </c>
      <c r="AB331" t="str">
        <f>IFERROR(F331&amp;"*"&amp;ROUND(L331*(G331/(G331+I331+K331))/VLOOKUP(F331,商品!$A$4:$D$67,4,FALSE),0),"")</f>
        <v/>
      </c>
      <c r="AC331" t="str">
        <f>IFERROR(H331&amp;"*"&amp;ROUND(L331*(I331/(G331+I331+K331))/VLOOKUP(H331,商品!$A$4:$D$67,4,FALSE),0),"")</f>
        <v/>
      </c>
      <c r="AD331" t="str">
        <f>IFERROR(J331&amp;"*"&amp;ROUND(L331*(K331/(G331+I331+K331))/VLOOKUP(J331,商品!$A$4:$D$67,4,FALSE),0),"")</f>
        <v/>
      </c>
      <c r="AE331" t="str">
        <f>IFERROR(M331&amp;"*"&amp;ROUND(Q331*(N331/(N331+P331))/VLOOKUP(M331,职业!$A$3:$E$16,4,FALSE),0),"")</f>
        <v/>
      </c>
      <c r="AF331" t="str">
        <f>IFERROR(O331&amp;"*"&amp;ROUND(Q331*(P331/(N331+P331))/VLOOKUP(O331,职业!$A$3:$E$16,4,FALSE),0),"")</f>
        <v/>
      </c>
      <c r="AG331" t="str">
        <f>IFERROR(R331&amp;"*"&amp;ROUND(V331*(S331/(S331+U331))/VLOOKUP(R331,商品!$A$4:$D$67,4,FALSE),0),"")</f>
        <v/>
      </c>
      <c r="AH331" t="str">
        <f>IFERROR(T331&amp;"*"&amp;ROUND(V331*(U331/(S331+U331))/VLOOKUP(T331,商品!$A$4:$D$67,4,FALSE),0),"")</f>
        <v/>
      </c>
    </row>
    <row r="332" customHeight="1" spans="1:34">
      <c r="A332" s="14" t="s">
        <v>345</v>
      </c>
      <c r="C332" s="2">
        <v>2</v>
      </c>
      <c r="D332" s="2" t="s">
        <v>238</v>
      </c>
      <c r="E332" s="2" t="s">
        <v>224</v>
      </c>
      <c r="L332" s="2">
        <f>IFERROR(VLOOKUP($D332&amp;$C332,生产方式定位!$A$2:$E$39,2,FALSE)+VLOOKUP($E332&amp;$C332,生产方式定位!$F$3:$J$39,2,FALSE),0)</f>
        <v>12000</v>
      </c>
      <c r="Q332" s="2">
        <f>IFERROR(VLOOKUP($D332&amp;$C332,生产方式定位!$A$2:$E$39,3,FALSE)+VLOOKUP($E332&amp;$C332,生产方式定位!$F$3:$J$39,3,FALSE),0)</f>
        <v>8300</v>
      </c>
      <c r="V332" s="2">
        <f>IFERROR(VLOOKUP($D332&amp;$C332,生产方式定位!$A$2:$E$39,5,FALSE)+VLOOKUP($E332&amp;$C332,生产方式定位!$F$3:$J$39,5,FALSE),"错误")</f>
        <v>10240</v>
      </c>
      <c r="W332" s="3" t="str">
        <f t="shared" si="25"/>
        <v/>
      </c>
      <c r="X332" s="4" t="str">
        <f t="shared" si="26"/>
        <v/>
      </c>
      <c r="Y332" s="4" t="str">
        <f t="shared" si="27"/>
        <v/>
      </c>
      <c r="Z332" s="5">
        <f t="shared" si="28"/>
        <v>1.17</v>
      </c>
      <c r="AA332" s="6">
        <f t="shared" si="29"/>
        <v>2</v>
      </c>
      <c r="AB332" t="str">
        <f>IFERROR(F332&amp;"*"&amp;ROUND(L332*(G332/(G332+I332+K332))/VLOOKUP(F332,商品!$A$4:$D$67,4,FALSE),0),"")</f>
        <v/>
      </c>
      <c r="AC332" t="str">
        <f>IFERROR(H332&amp;"*"&amp;ROUND(L332*(I332/(G332+I332+K332))/VLOOKUP(H332,商品!$A$4:$D$67,4,FALSE),0),"")</f>
        <v/>
      </c>
      <c r="AD332" t="str">
        <f>IFERROR(J332&amp;"*"&amp;ROUND(L332*(K332/(G332+I332+K332))/VLOOKUP(J332,商品!$A$4:$D$67,4,FALSE),0),"")</f>
        <v/>
      </c>
      <c r="AE332" t="str">
        <f>IFERROR(M332&amp;"*"&amp;ROUND(Q332*(N332/(N332+P332))/VLOOKUP(M332,职业!$A$3:$E$16,4,FALSE),0),"")</f>
        <v/>
      </c>
      <c r="AF332" t="str">
        <f>IFERROR(O332&amp;"*"&amp;ROUND(Q332*(P332/(N332+P332))/VLOOKUP(O332,职业!$A$3:$E$16,4,FALSE),0),"")</f>
        <v/>
      </c>
      <c r="AG332" t="str">
        <f>IFERROR(R332&amp;"*"&amp;ROUND(V332*(S332/(S332+U332))/VLOOKUP(R332,商品!$A$4:$D$67,4,FALSE),0),"")</f>
        <v/>
      </c>
      <c r="AH332" t="str">
        <f>IFERROR(T332&amp;"*"&amp;ROUND(V332*(U332/(S332+U332))/VLOOKUP(T332,商品!$A$4:$D$67,4,FALSE),0),"")</f>
        <v/>
      </c>
    </row>
    <row r="333" customHeight="1" spans="1:34">
      <c r="A333" s="14" t="s">
        <v>345</v>
      </c>
      <c r="C333" s="2">
        <v>3</v>
      </c>
      <c r="D333" s="2" t="s">
        <v>238</v>
      </c>
      <c r="E333" s="2" t="s">
        <v>224</v>
      </c>
      <c r="L333" s="2">
        <f>IFERROR(VLOOKUP($D333&amp;$C333,生产方式定位!$A$2:$E$39,2,FALSE)+VLOOKUP($E333&amp;$C333,生产方式定位!$F$3:$J$39,2,FALSE),0)</f>
        <v>12000</v>
      </c>
      <c r="Q333" s="2">
        <f>IFERROR(VLOOKUP($D333&amp;$C333,生产方式定位!$A$2:$E$39,3,FALSE)+VLOOKUP($E333&amp;$C333,生产方式定位!$F$3:$J$39,3,FALSE),0)</f>
        <v>8600</v>
      </c>
      <c r="V333" s="2">
        <f>IFERROR(VLOOKUP($D333&amp;$C333,生产方式定位!$A$2:$E$39,5,FALSE)+VLOOKUP($E333&amp;$C333,生产方式定位!$F$3:$J$39,5,FALSE),"错误")</f>
        <v>10560</v>
      </c>
      <c r="W333" s="3" t="str">
        <f t="shared" si="25"/>
        <v/>
      </c>
      <c r="X333" s="4" t="str">
        <f t="shared" si="26"/>
        <v/>
      </c>
      <c r="Y333" s="4" t="str">
        <f t="shared" si="27"/>
        <v/>
      </c>
      <c r="Z333" s="5">
        <f t="shared" si="28"/>
        <v>1.14</v>
      </c>
      <c r="AA333" s="6">
        <f t="shared" si="29"/>
        <v>3</v>
      </c>
      <c r="AB333" t="str">
        <f>IFERROR(F333&amp;"*"&amp;ROUND(L333*(G333/(G333+I333+K333))/VLOOKUP(F333,商品!$A$4:$D$67,4,FALSE),0),"")</f>
        <v/>
      </c>
      <c r="AC333" t="str">
        <f>IFERROR(H333&amp;"*"&amp;ROUND(L333*(I333/(G333+I333+K333))/VLOOKUP(H333,商品!$A$4:$D$67,4,FALSE),0),"")</f>
        <v/>
      </c>
      <c r="AD333" t="str">
        <f>IFERROR(J333&amp;"*"&amp;ROUND(L333*(K333/(G333+I333+K333))/VLOOKUP(J333,商品!$A$4:$D$67,4,FALSE),0),"")</f>
        <v/>
      </c>
      <c r="AE333" t="str">
        <f>IFERROR(M333&amp;"*"&amp;ROUND(Q333*(N333/(N333+P333))/VLOOKUP(M333,职业!$A$3:$E$16,4,FALSE),0),"")</f>
        <v/>
      </c>
      <c r="AF333" t="str">
        <f>IFERROR(O333&amp;"*"&amp;ROUND(Q333*(P333/(N333+P333))/VLOOKUP(O333,职业!$A$3:$E$16,4,FALSE),0),"")</f>
        <v/>
      </c>
      <c r="AG333" t="str">
        <f>IFERROR(R333&amp;"*"&amp;ROUND(V333*(S333/(S333+U333))/VLOOKUP(R333,商品!$A$4:$D$67,4,FALSE),0),"")</f>
        <v/>
      </c>
      <c r="AH333" t="str">
        <f>IFERROR(T333&amp;"*"&amp;ROUND(V333*(U333/(S333+U333))/VLOOKUP(T333,商品!$A$4:$D$67,4,FALSE),0),"")</f>
        <v/>
      </c>
    </row>
    <row r="334" customHeight="1" spans="1:34">
      <c r="A334" s="14" t="s">
        <v>345</v>
      </c>
      <c r="C334" s="2">
        <v>4</v>
      </c>
      <c r="D334" s="2" t="s">
        <v>238</v>
      </c>
      <c r="E334" s="2" t="s">
        <v>224</v>
      </c>
      <c r="L334" s="2">
        <f>IFERROR(VLOOKUP($D334&amp;$C334,生产方式定位!$A$2:$E$39,2,FALSE)+VLOOKUP($E334&amp;$C334,生产方式定位!$F$3:$J$39,2,FALSE),0)</f>
        <v>12000</v>
      </c>
      <c r="Q334" s="2">
        <f>IFERROR(VLOOKUP($D334&amp;$C334,生产方式定位!$A$2:$E$39,3,FALSE)+VLOOKUP($E334&amp;$C334,生产方式定位!$F$3:$J$39,3,FALSE),0)</f>
        <v>8900</v>
      </c>
      <c r="V334" s="2">
        <f>IFERROR(VLOOKUP($D334&amp;$C334,生产方式定位!$A$2:$E$39,5,FALSE)+VLOOKUP($E334&amp;$C334,生产方式定位!$F$3:$J$39,5,FALSE),"错误")</f>
        <v>10960</v>
      </c>
      <c r="W334" s="3" t="str">
        <f t="shared" si="25"/>
        <v/>
      </c>
      <c r="X334" s="4" t="str">
        <f t="shared" si="26"/>
        <v/>
      </c>
      <c r="Y334" s="4" t="str">
        <f t="shared" si="27"/>
        <v/>
      </c>
      <c r="Z334" s="5">
        <f t="shared" si="28"/>
        <v>1.09</v>
      </c>
      <c r="AA334" s="6">
        <f t="shared" si="29"/>
        <v>4</v>
      </c>
      <c r="AB334" t="str">
        <f>IFERROR(F334&amp;"*"&amp;ROUND(L334*(G334/(G334+I334+K334))/VLOOKUP(F334,商品!$A$4:$D$67,4,FALSE),0),"")</f>
        <v/>
      </c>
      <c r="AC334" t="str">
        <f>IFERROR(H334&amp;"*"&amp;ROUND(L334*(I334/(G334+I334+K334))/VLOOKUP(H334,商品!$A$4:$D$67,4,FALSE),0),"")</f>
        <v/>
      </c>
      <c r="AD334" t="str">
        <f>IFERROR(J334&amp;"*"&amp;ROUND(L334*(K334/(G334+I334+K334))/VLOOKUP(J334,商品!$A$4:$D$67,4,FALSE),0),"")</f>
        <v/>
      </c>
      <c r="AE334" t="str">
        <f>IFERROR(M334&amp;"*"&amp;ROUND(Q334*(N334/(N334+P334))/VLOOKUP(M334,职业!$A$3:$E$16,4,FALSE),0),"")</f>
        <v/>
      </c>
      <c r="AF334" t="str">
        <f>IFERROR(O334&amp;"*"&amp;ROUND(Q334*(P334/(N334+P334))/VLOOKUP(O334,职业!$A$3:$E$16,4,FALSE),0),"")</f>
        <v/>
      </c>
      <c r="AG334" t="str">
        <f>IFERROR(R334&amp;"*"&amp;ROUND(V334*(S334/(S334+U334))/VLOOKUP(R334,商品!$A$4:$D$67,4,FALSE),0),"")</f>
        <v/>
      </c>
      <c r="AH334" t="str">
        <f>IFERROR(T334&amp;"*"&amp;ROUND(V334*(U334/(S334+U334))/VLOOKUP(T334,商品!$A$4:$D$67,4,FALSE),0),"")</f>
        <v/>
      </c>
    </row>
    <row r="335" customHeight="1" spans="1:34">
      <c r="A335" s="14" t="s">
        <v>345</v>
      </c>
      <c r="C335" s="2">
        <v>5</v>
      </c>
      <c r="D335" s="2" t="s">
        <v>238</v>
      </c>
      <c r="E335" s="2" t="s">
        <v>224</v>
      </c>
      <c r="L335" s="2">
        <f>IFERROR(VLOOKUP($D335&amp;$C335,生产方式定位!$A$2:$E$39,2,FALSE)+VLOOKUP($E335&amp;$C335,生产方式定位!$F$3:$J$39,2,FALSE),0)</f>
        <v>12000</v>
      </c>
      <c r="Q335" s="2">
        <f>IFERROR(VLOOKUP($D335&amp;$C335,生产方式定位!$A$2:$E$39,3,FALSE)+VLOOKUP($E335&amp;$C335,生产方式定位!$F$3:$J$39,3,FALSE),0)</f>
        <v>9200</v>
      </c>
      <c r="V335" s="2">
        <f>IFERROR(VLOOKUP($D335&amp;$C335,生产方式定位!$A$2:$E$39,5,FALSE)+VLOOKUP($E335&amp;$C335,生产方式定位!$F$3:$J$39,5,FALSE),"错误")</f>
        <v>11440</v>
      </c>
      <c r="W335" s="3" t="str">
        <f t="shared" si="25"/>
        <v/>
      </c>
      <c r="X335" s="4" t="str">
        <f t="shared" si="26"/>
        <v/>
      </c>
      <c r="Y335" s="4" t="str">
        <f t="shared" si="27"/>
        <v/>
      </c>
      <c r="Z335" s="5">
        <f t="shared" si="28"/>
        <v>1.05</v>
      </c>
      <c r="AA335" s="6">
        <f t="shared" si="29"/>
        <v>5</v>
      </c>
      <c r="AB335" t="str">
        <f>IFERROR(F335&amp;"*"&amp;ROUND(L335*(G335/(G335+I335+K335))/VLOOKUP(F335,商品!$A$4:$D$67,4,FALSE),0),"")</f>
        <v/>
      </c>
      <c r="AC335" t="str">
        <f>IFERROR(H335&amp;"*"&amp;ROUND(L335*(I335/(G335+I335+K335))/VLOOKUP(H335,商品!$A$4:$D$67,4,FALSE),0),"")</f>
        <v/>
      </c>
      <c r="AD335" t="str">
        <f>IFERROR(J335&amp;"*"&amp;ROUND(L335*(K335/(G335+I335+K335))/VLOOKUP(J335,商品!$A$4:$D$67,4,FALSE),0),"")</f>
        <v/>
      </c>
      <c r="AE335" t="str">
        <f>IFERROR(M335&amp;"*"&amp;ROUND(Q335*(N335/(N335+P335))/VLOOKUP(M335,职业!$A$3:$E$16,4,FALSE),0),"")</f>
        <v/>
      </c>
      <c r="AF335" t="str">
        <f>IFERROR(O335&amp;"*"&amp;ROUND(Q335*(P335/(N335+P335))/VLOOKUP(O335,职业!$A$3:$E$16,4,FALSE),0),"")</f>
        <v/>
      </c>
      <c r="AG335" t="str">
        <f>IFERROR(R335&amp;"*"&amp;ROUND(V335*(S335/(S335+U335))/VLOOKUP(R335,商品!$A$4:$D$67,4,FALSE),0),"")</f>
        <v/>
      </c>
      <c r="AH335" t="str">
        <f>IFERROR(T335&amp;"*"&amp;ROUND(V335*(U335/(S335+U335))/VLOOKUP(T335,商品!$A$4:$D$67,4,FALSE),0),"")</f>
        <v/>
      </c>
    </row>
    <row r="336" customHeight="1" spans="1:34">
      <c r="A336" s="15" t="s">
        <v>346</v>
      </c>
      <c r="C336" s="2">
        <v>1</v>
      </c>
      <c r="D336" s="2" t="s">
        <v>238</v>
      </c>
      <c r="E336" s="2" t="s">
        <v>225</v>
      </c>
      <c r="L336" s="2">
        <f>IFERROR(VLOOKUP($D336&amp;$C336,生产方式定位!$A$2:$E$39,2,FALSE)+VLOOKUP($E336&amp;$C336,生产方式定位!$F$3:$J$39,2,FALSE),0)</f>
        <v>11000</v>
      </c>
      <c r="Q336" s="2">
        <f>IFERROR(VLOOKUP($D336&amp;$C336,生产方式定位!$A$2:$E$39,3,FALSE)+VLOOKUP($E336&amp;$C336,生产方式定位!$F$3:$J$39,3,FALSE),0)</f>
        <v>8000</v>
      </c>
      <c r="V336" s="2">
        <f>IFERROR(VLOOKUP($D336&amp;$C336,生产方式定位!$A$2:$E$39,5,FALSE)+VLOOKUP($E336&amp;$C336,生产方式定位!$F$3:$J$39,5,FALSE),"错误")</f>
        <v>9500</v>
      </c>
      <c r="W336" s="3" t="str">
        <f t="shared" si="25"/>
        <v/>
      </c>
      <c r="X336" s="4" t="str">
        <f t="shared" si="26"/>
        <v/>
      </c>
      <c r="Y336" s="4" t="str">
        <f t="shared" si="27"/>
        <v/>
      </c>
      <c r="Z336" s="5">
        <f t="shared" si="28"/>
        <v>1.16</v>
      </c>
      <c r="AA336" s="6">
        <f t="shared" si="29"/>
        <v>1</v>
      </c>
      <c r="AB336" t="str">
        <f>IFERROR(F336&amp;"*"&amp;ROUND(L336*(G336/(G336+I336+K336))/VLOOKUP(F336,商品!$A$4:$D$67,4,FALSE),0),"")</f>
        <v/>
      </c>
      <c r="AC336" t="str">
        <f>IFERROR(H336&amp;"*"&amp;ROUND(L336*(I336/(G336+I336+K336))/VLOOKUP(H336,商品!$A$4:$D$67,4,FALSE),0),"")</f>
        <v/>
      </c>
      <c r="AD336" t="str">
        <f>IFERROR(J336&amp;"*"&amp;ROUND(L336*(K336/(G336+I336+K336))/VLOOKUP(J336,商品!$A$4:$D$67,4,FALSE),0),"")</f>
        <v/>
      </c>
      <c r="AE336" t="str">
        <f>IFERROR(M336&amp;"*"&amp;ROUND(Q336*(N336/(N336+P336))/VLOOKUP(M336,职业!$A$3:$E$16,4,FALSE),0),"")</f>
        <v/>
      </c>
      <c r="AF336" t="str">
        <f>IFERROR(O336&amp;"*"&amp;ROUND(Q336*(P336/(N336+P336))/VLOOKUP(O336,职业!$A$3:$E$16,4,FALSE),0),"")</f>
        <v/>
      </c>
      <c r="AG336" t="str">
        <f>IFERROR(R336&amp;"*"&amp;ROUND(V336*(S336/(S336+U336))/VLOOKUP(R336,商品!$A$4:$D$67,4,FALSE),0),"")</f>
        <v/>
      </c>
      <c r="AH336" t="str">
        <f>IFERROR(T336&amp;"*"&amp;ROUND(V336*(U336/(S336+U336))/VLOOKUP(T336,商品!$A$4:$D$67,4,FALSE),0),"")</f>
        <v/>
      </c>
    </row>
    <row r="337" customHeight="1" spans="1:34">
      <c r="A337" s="15" t="s">
        <v>346</v>
      </c>
      <c r="C337" s="2">
        <v>2</v>
      </c>
      <c r="D337" s="2" t="s">
        <v>238</v>
      </c>
      <c r="E337" s="2" t="s">
        <v>225</v>
      </c>
      <c r="L337" s="2">
        <f>IFERROR(VLOOKUP($D337&amp;$C337,生产方式定位!$A$2:$E$39,2,FALSE)+VLOOKUP($E337&amp;$C337,生产方式定位!$F$3:$J$39,2,FALSE),0)</f>
        <v>10000</v>
      </c>
      <c r="Q337" s="2">
        <f>IFERROR(VLOOKUP($D337&amp;$C337,生产方式定位!$A$2:$E$39,3,FALSE)+VLOOKUP($E337&amp;$C337,生产方式定位!$F$3:$J$39,3,FALSE),0)</f>
        <v>8500</v>
      </c>
      <c r="V337" s="2">
        <f>IFERROR(VLOOKUP($D337&amp;$C337,生产方式定位!$A$2:$E$39,5,FALSE)+VLOOKUP($E337&amp;$C337,生产方式定位!$F$3:$J$39,5,FALSE),"错误")</f>
        <v>9250</v>
      </c>
      <c r="W337" s="3" t="str">
        <f t="shared" si="25"/>
        <v/>
      </c>
      <c r="X337" s="4" t="str">
        <f t="shared" si="26"/>
        <v/>
      </c>
      <c r="Y337" s="4" t="str">
        <f t="shared" si="27"/>
        <v/>
      </c>
      <c r="Z337" s="5">
        <f t="shared" si="28"/>
        <v>1.08</v>
      </c>
      <c r="AA337" s="6">
        <f t="shared" si="29"/>
        <v>2</v>
      </c>
      <c r="AB337" t="str">
        <f>IFERROR(F337&amp;"*"&amp;ROUND(L337*(G337/(G337+I337+K337))/VLOOKUP(F337,商品!$A$4:$D$67,4,FALSE),0),"")</f>
        <v/>
      </c>
      <c r="AC337" t="str">
        <f>IFERROR(H337&amp;"*"&amp;ROUND(L337*(I337/(G337+I337+K337))/VLOOKUP(H337,商品!$A$4:$D$67,4,FALSE),0),"")</f>
        <v/>
      </c>
      <c r="AD337" t="str">
        <f>IFERROR(J337&amp;"*"&amp;ROUND(L337*(K337/(G337+I337+K337))/VLOOKUP(J337,商品!$A$4:$D$67,4,FALSE),0),"")</f>
        <v/>
      </c>
      <c r="AE337" t="str">
        <f>IFERROR(M337&amp;"*"&amp;ROUND(Q337*(N337/(N337+P337))/VLOOKUP(M337,职业!$A$3:$E$16,4,FALSE),0),"")</f>
        <v/>
      </c>
      <c r="AF337" t="str">
        <f>IFERROR(O337&amp;"*"&amp;ROUND(Q337*(P337/(N337+P337))/VLOOKUP(O337,职业!$A$3:$E$16,4,FALSE),0),"")</f>
        <v/>
      </c>
      <c r="AG337" t="str">
        <f>IFERROR(R337&amp;"*"&amp;ROUND(V337*(S337/(S337+U337))/VLOOKUP(R337,商品!$A$4:$D$67,4,FALSE),0),"")</f>
        <v/>
      </c>
      <c r="AH337" t="str">
        <f>IFERROR(T337&amp;"*"&amp;ROUND(V337*(U337/(S337+U337))/VLOOKUP(T337,商品!$A$4:$D$67,4,FALSE),0),"")</f>
        <v/>
      </c>
    </row>
    <row r="338" customHeight="1" spans="1:34">
      <c r="A338" s="15" t="s">
        <v>346</v>
      </c>
      <c r="C338" s="2">
        <v>3</v>
      </c>
      <c r="D338" s="2" t="s">
        <v>238</v>
      </c>
      <c r="E338" s="2" t="s">
        <v>225</v>
      </c>
      <c r="L338" s="2">
        <f>IFERROR(VLOOKUP($D338&amp;$C338,生产方式定位!$A$2:$E$39,2,FALSE)+VLOOKUP($E338&amp;$C338,生产方式定位!$F$3:$J$39,2,FALSE),0)</f>
        <v>9000</v>
      </c>
      <c r="Q338" s="2">
        <f>IFERROR(VLOOKUP($D338&amp;$C338,生产方式定位!$A$2:$E$39,3,FALSE)+VLOOKUP($E338&amp;$C338,生产方式定位!$F$3:$J$39,3,FALSE),0)</f>
        <v>9000</v>
      </c>
      <c r="V338" s="2">
        <f>IFERROR(VLOOKUP($D338&amp;$C338,生产方式定位!$A$2:$E$39,5,FALSE)+VLOOKUP($E338&amp;$C338,生产方式定位!$F$3:$J$39,5,FALSE),"错误")</f>
        <v>9000</v>
      </c>
      <c r="W338" s="3" t="str">
        <f t="shared" si="25"/>
        <v/>
      </c>
      <c r="X338" s="4" t="str">
        <f t="shared" si="26"/>
        <v/>
      </c>
      <c r="Y338" s="4" t="str">
        <f t="shared" si="27"/>
        <v/>
      </c>
      <c r="Z338" s="5">
        <f t="shared" si="28"/>
        <v>1</v>
      </c>
      <c r="AA338" s="6">
        <f t="shared" si="29"/>
        <v>3</v>
      </c>
      <c r="AB338" t="str">
        <f>IFERROR(F338&amp;"*"&amp;ROUND(L338*(G338/(G338+I338+K338))/VLOOKUP(F338,商品!$A$4:$D$67,4,FALSE),0),"")</f>
        <v/>
      </c>
      <c r="AC338" t="str">
        <f>IFERROR(H338&amp;"*"&amp;ROUND(L338*(I338/(G338+I338+K338))/VLOOKUP(H338,商品!$A$4:$D$67,4,FALSE),0),"")</f>
        <v/>
      </c>
      <c r="AD338" t="str">
        <f>IFERROR(J338&amp;"*"&amp;ROUND(L338*(K338/(G338+I338+K338))/VLOOKUP(J338,商品!$A$4:$D$67,4,FALSE),0),"")</f>
        <v/>
      </c>
      <c r="AE338" t="str">
        <f>IFERROR(M338&amp;"*"&amp;ROUND(Q338*(N338/(N338+P338))/VLOOKUP(M338,职业!$A$3:$E$16,4,FALSE),0),"")</f>
        <v/>
      </c>
      <c r="AF338" t="str">
        <f>IFERROR(O338&amp;"*"&amp;ROUND(Q338*(P338/(N338+P338))/VLOOKUP(O338,职业!$A$3:$E$16,4,FALSE),0),"")</f>
        <v/>
      </c>
      <c r="AG338" t="str">
        <f>IFERROR(R338&amp;"*"&amp;ROUND(V338*(S338/(S338+U338))/VLOOKUP(R338,商品!$A$4:$D$67,4,FALSE),0),"")</f>
        <v/>
      </c>
      <c r="AH338" t="str">
        <f>IFERROR(T338&amp;"*"&amp;ROUND(V338*(U338/(S338+U338))/VLOOKUP(T338,商品!$A$4:$D$67,4,FALSE),0),"")</f>
        <v/>
      </c>
    </row>
    <row r="339" customHeight="1" spans="1:34">
      <c r="A339" s="15" t="s">
        <v>346</v>
      </c>
      <c r="C339" s="2">
        <v>4</v>
      </c>
      <c r="D339" s="2" t="s">
        <v>238</v>
      </c>
      <c r="E339" s="2" t="s">
        <v>225</v>
      </c>
      <c r="L339" s="2">
        <f>IFERROR(VLOOKUP($D339&amp;$C339,生产方式定位!$A$2:$E$39,2,FALSE)+VLOOKUP($E339&amp;$C339,生产方式定位!$F$3:$J$39,2,FALSE),0)</f>
        <v>8000</v>
      </c>
      <c r="Q339" s="2">
        <f>IFERROR(VLOOKUP($D339&amp;$C339,生产方式定位!$A$2:$E$39,3,FALSE)+VLOOKUP($E339&amp;$C339,生产方式定位!$F$3:$J$39,3,FALSE),0)</f>
        <v>9500</v>
      </c>
      <c r="V339" s="2">
        <f>IFERROR(VLOOKUP($D339&amp;$C339,生产方式定位!$A$2:$E$39,5,FALSE)+VLOOKUP($E339&amp;$C339,生产方式定位!$F$3:$J$39,5,FALSE),"错误")</f>
        <v>8750</v>
      </c>
      <c r="W339" s="3" t="str">
        <f t="shared" si="25"/>
        <v/>
      </c>
      <c r="X339" s="4" t="str">
        <f t="shared" si="26"/>
        <v/>
      </c>
      <c r="Y339" s="4" t="str">
        <f t="shared" si="27"/>
        <v/>
      </c>
      <c r="Z339" s="5">
        <f t="shared" si="28"/>
        <v>0.91</v>
      </c>
      <c r="AA339" s="6">
        <f t="shared" si="29"/>
        <v>4</v>
      </c>
      <c r="AB339" t="str">
        <f>IFERROR(F339&amp;"*"&amp;ROUND(L339*(G339/(G339+I339+K339))/VLOOKUP(F339,商品!$A$4:$D$67,4,FALSE),0),"")</f>
        <v/>
      </c>
      <c r="AC339" t="str">
        <f>IFERROR(H339&amp;"*"&amp;ROUND(L339*(I339/(G339+I339+K339))/VLOOKUP(H339,商品!$A$4:$D$67,4,FALSE),0),"")</f>
        <v/>
      </c>
      <c r="AD339" t="str">
        <f>IFERROR(J339&amp;"*"&amp;ROUND(L339*(K339/(G339+I339+K339))/VLOOKUP(J339,商品!$A$4:$D$67,4,FALSE),0),"")</f>
        <v/>
      </c>
      <c r="AE339" t="str">
        <f>IFERROR(M339&amp;"*"&amp;ROUND(Q339*(N339/(N339+P339))/VLOOKUP(M339,职业!$A$3:$E$16,4,FALSE),0),"")</f>
        <v/>
      </c>
      <c r="AF339" t="str">
        <f>IFERROR(O339&amp;"*"&amp;ROUND(Q339*(P339/(N339+P339))/VLOOKUP(O339,职业!$A$3:$E$16,4,FALSE),0),"")</f>
        <v/>
      </c>
      <c r="AG339" t="str">
        <f>IFERROR(R339&amp;"*"&amp;ROUND(V339*(S339/(S339+U339))/VLOOKUP(R339,商品!$A$4:$D$67,4,FALSE),0),"")</f>
        <v/>
      </c>
      <c r="AH339" t="str">
        <f>IFERROR(T339&amp;"*"&amp;ROUND(V339*(U339/(S339+U339))/VLOOKUP(T339,商品!$A$4:$D$67,4,FALSE),0),"")</f>
        <v/>
      </c>
    </row>
    <row r="340" customHeight="1" spans="1:34">
      <c r="A340" s="15" t="s">
        <v>346</v>
      </c>
      <c r="C340" s="2">
        <v>5</v>
      </c>
      <c r="D340" s="2" t="s">
        <v>238</v>
      </c>
      <c r="E340" s="2" t="s">
        <v>225</v>
      </c>
      <c r="L340" s="2">
        <f>IFERROR(VLOOKUP($D340&amp;$C340,生产方式定位!$A$2:$E$39,2,FALSE)+VLOOKUP($E340&amp;$C340,生产方式定位!$F$3:$J$39,2,FALSE),0)</f>
        <v>7000</v>
      </c>
      <c r="Q340" s="2">
        <f>IFERROR(VLOOKUP($D340&amp;$C340,生产方式定位!$A$2:$E$39,3,FALSE)+VLOOKUP($E340&amp;$C340,生产方式定位!$F$3:$J$39,3,FALSE),0)</f>
        <v>10000</v>
      </c>
      <c r="V340" s="2">
        <f>IFERROR(VLOOKUP($D340&amp;$C340,生产方式定位!$A$2:$E$39,5,FALSE)+VLOOKUP($E340&amp;$C340,生产方式定位!$F$3:$J$39,5,FALSE),"错误")</f>
        <v>8500</v>
      </c>
      <c r="W340" s="3" t="str">
        <f t="shared" si="25"/>
        <v/>
      </c>
      <c r="X340" s="4" t="str">
        <f t="shared" si="26"/>
        <v/>
      </c>
      <c r="Y340" s="4" t="str">
        <f t="shared" si="27"/>
        <v/>
      </c>
      <c r="Z340" s="5">
        <f t="shared" si="28"/>
        <v>0.82</v>
      </c>
      <c r="AA340" s="6">
        <f t="shared" si="29"/>
        <v>5</v>
      </c>
      <c r="AB340" t="str">
        <f>IFERROR(F340&amp;"*"&amp;ROUND(L340*(G340/(G340+I340+K340))/VLOOKUP(F340,商品!$A$4:$D$67,4,FALSE),0),"")</f>
        <v/>
      </c>
      <c r="AC340" t="str">
        <f>IFERROR(H340&amp;"*"&amp;ROUND(L340*(I340/(G340+I340+K340))/VLOOKUP(H340,商品!$A$4:$D$67,4,FALSE),0),"")</f>
        <v/>
      </c>
      <c r="AD340" t="str">
        <f>IFERROR(J340&amp;"*"&amp;ROUND(L340*(K340/(G340+I340+K340))/VLOOKUP(J340,商品!$A$4:$D$67,4,FALSE),0),"")</f>
        <v/>
      </c>
      <c r="AE340" t="str">
        <f>IFERROR(M340&amp;"*"&amp;ROUND(Q340*(N340/(N340+P340))/VLOOKUP(M340,职业!$A$3:$E$16,4,FALSE),0),"")</f>
        <v/>
      </c>
      <c r="AF340" t="str">
        <f>IFERROR(O340&amp;"*"&amp;ROUND(Q340*(P340/(N340+P340))/VLOOKUP(O340,职业!$A$3:$E$16,4,FALSE),0),"")</f>
        <v/>
      </c>
      <c r="AG340" t="str">
        <f>IFERROR(R340&amp;"*"&amp;ROUND(V340*(S340/(S340+U340))/VLOOKUP(R340,商品!$A$4:$D$67,4,FALSE),0),"")</f>
        <v/>
      </c>
      <c r="AH340" t="str">
        <f>IFERROR(T340&amp;"*"&amp;ROUND(V340*(U340/(S340+U340))/VLOOKUP(T340,商品!$A$4:$D$67,4,FALSE),0),"")</f>
        <v/>
      </c>
    </row>
    <row r="341" customHeight="1" spans="1:34">
      <c r="A341" s="15" t="s">
        <v>346</v>
      </c>
      <c r="C341" s="2">
        <v>1</v>
      </c>
      <c r="D341" s="2" t="s">
        <v>238</v>
      </c>
      <c r="E341" s="2" t="s">
        <v>225</v>
      </c>
      <c r="L341" s="2">
        <f>IFERROR(VLOOKUP($D341&amp;$C341,生产方式定位!$A$2:$E$39,2,FALSE)+VLOOKUP($E341&amp;$C341,生产方式定位!$F$3:$J$39,2,FALSE),0)</f>
        <v>11000</v>
      </c>
      <c r="Q341" s="2">
        <f>IFERROR(VLOOKUP($D341&amp;$C341,生产方式定位!$A$2:$E$39,3,FALSE)+VLOOKUP($E341&amp;$C341,生产方式定位!$F$3:$J$39,3,FALSE),0)</f>
        <v>8000</v>
      </c>
      <c r="V341" s="2">
        <f>IFERROR(VLOOKUP($D341&amp;$C341,生产方式定位!$A$2:$E$39,5,FALSE)+VLOOKUP($E341&amp;$C341,生产方式定位!$F$3:$J$39,5,FALSE),"错误")</f>
        <v>9500</v>
      </c>
      <c r="W341" s="3" t="str">
        <f t="shared" si="25"/>
        <v/>
      </c>
      <c r="X341" s="4" t="str">
        <f t="shared" si="26"/>
        <v/>
      </c>
      <c r="Y341" s="4" t="str">
        <f t="shared" si="27"/>
        <v/>
      </c>
      <c r="Z341" s="5">
        <f t="shared" si="28"/>
        <v>1.16</v>
      </c>
      <c r="AA341" s="6">
        <f t="shared" si="29"/>
        <v>1</v>
      </c>
      <c r="AB341" t="str">
        <f>IFERROR(F341&amp;"*"&amp;ROUND(L341*(G341/(G341+I341+K341))/VLOOKUP(F341,商品!$A$4:$D$67,4,FALSE),0),"")</f>
        <v/>
      </c>
      <c r="AC341" t="str">
        <f>IFERROR(H341&amp;"*"&amp;ROUND(L341*(I341/(G341+I341+K341))/VLOOKUP(H341,商品!$A$4:$D$67,4,FALSE),0),"")</f>
        <v/>
      </c>
      <c r="AD341" t="str">
        <f>IFERROR(J341&amp;"*"&amp;ROUND(L341*(K341/(G341+I341+K341))/VLOOKUP(J341,商品!$A$4:$D$67,4,FALSE),0),"")</f>
        <v/>
      </c>
      <c r="AE341" t="str">
        <f>IFERROR(M341&amp;"*"&amp;ROUND(Q341*(N341/(N341+P341))/VLOOKUP(M341,职业!$A$3:$E$16,4,FALSE),0),"")</f>
        <v/>
      </c>
      <c r="AF341" t="str">
        <f>IFERROR(O341&amp;"*"&amp;ROUND(Q341*(P341/(N341+P341))/VLOOKUP(O341,职业!$A$3:$E$16,4,FALSE),0),"")</f>
        <v/>
      </c>
      <c r="AG341" t="str">
        <f>IFERROR(R341&amp;"*"&amp;ROUND(V341*(S341/(S341+U341))/VLOOKUP(R341,商品!$A$4:$D$67,4,FALSE),0),"")</f>
        <v/>
      </c>
      <c r="AH341" t="str">
        <f>IFERROR(T341&amp;"*"&amp;ROUND(V341*(U341/(S341+U341))/VLOOKUP(T341,商品!$A$4:$D$67,4,FALSE),0),"")</f>
        <v/>
      </c>
    </row>
    <row r="342" customHeight="1" spans="1:34">
      <c r="A342" s="15" t="s">
        <v>346</v>
      </c>
      <c r="C342" s="2">
        <v>2</v>
      </c>
      <c r="D342" s="2" t="s">
        <v>238</v>
      </c>
      <c r="E342" s="2" t="s">
        <v>225</v>
      </c>
      <c r="L342" s="2">
        <f>IFERROR(VLOOKUP($D342&amp;$C342,生产方式定位!$A$2:$E$39,2,FALSE)+VLOOKUP($E342&amp;$C342,生产方式定位!$F$3:$J$39,2,FALSE),0)</f>
        <v>10000</v>
      </c>
      <c r="Q342" s="2">
        <f>IFERROR(VLOOKUP($D342&amp;$C342,生产方式定位!$A$2:$E$39,3,FALSE)+VLOOKUP($E342&amp;$C342,生产方式定位!$F$3:$J$39,3,FALSE),0)</f>
        <v>8500</v>
      </c>
      <c r="V342" s="2">
        <f>IFERROR(VLOOKUP($D342&amp;$C342,生产方式定位!$A$2:$E$39,5,FALSE)+VLOOKUP($E342&amp;$C342,生产方式定位!$F$3:$J$39,5,FALSE),"错误")</f>
        <v>9250</v>
      </c>
      <c r="W342" s="3" t="str">
        <f t="shared" si="25"/>
        <v/>
      </c>
      <c r="X342" s="4" t="str">
        <f t="shared" si="26"/>
        <v/>
      </c>
      <c r="Y342" s="4" t="str">
        <f t="shared" si="27"/>
        <v/>
      </c>
      <c r="Z342" s="5">
        <f t="shared" si="28"/>
        <v>1.08</v>
      </c>
      <c r="AA342" s="6">
        <f t="shared" si="29"/>
        <v>2</v>
      </c>
      <c r="AB342" t="str">
        <f>IFERROR(F342&amp;"*"&amp;ROUND(L342*(G342/(G342+I342+K342))/VLOOKUP(F342,商品!$A$4:$D$67,4,FALSE),0),"")</f>
        <v/>
      </c>
      <c r="AC342" t="str">
        <f>IFERROR(H342&amp;"*"&amp;ROUND(L342*(I342/(G342+I342+K342))/VLOOKUP(H342,商品!$A$4:$D$67,4,FALSE),0),"")</f>
        <v/>
      </c>
      <c r="AD342" t="str">
        <f>IFERROR(J342&amp;"*"&amp;ROUND(L342*(K342/(G342+I342+K342))/VLOOKUP(J342,商品!$A$4:$D$67,4,FALSE),0),"")</f>
        <v/>
      </c>
      <c r="AE342" t="str">
        <f>IFERROR(M342&amp;"*"&amp;ROUND(Q342*(N342/(N342+P342))/VLOOKUP(M342,职业!$A$3:$E$16,4,FALSE),0),"")</f>
        <v/>
      </c>
      <c r="AF342" t="str">
        <f>IFERROR(O342&amp;"*"&amp;ROUND(Q342*(P342/(N342+P342))/VLOOKUP(O342,职业!$A$3:$E$16,4,FALSE),0),"")</f>
        <v/>
      </c>
      <c r="AG342" t="str">
        <f>IFERROR(R342&amp;"*"&amp;ROUND(V342*(S342/(S342+U342))/VLOOKUP(R342,商品!$A$4:$D$67,4,FALSE),0),"")</f>
        <v/>
      </c>
      <c r="AH342" t="str">
        <f>IFERROR(T342&amp;"*"&amp;ROUND(V342*(U342/(S342+U342))/VLOOKUP(T342,商品!$A$4:$D$67,4,FALSE),0),"")</f>
        <v/>
      </c>
    </row>
    <row r="343" customHeight="1" spans="1:34">
      <c r="A343" s="15" t="s">
        <v>346</v>
      </c>
      <c r="C343" s="2">
        <v>3</v>
      </c>
      <c r="D343" s="2" t="s">
        <v>238</v>
      </c>
      <c r="E343" s="2" t="s">
        <v>225</v>
      </c>
      <c r="L343" s="2">
        <f>IFERROR(VLOOKUP($D343&amp;$C343,生产方式定位!$A$2:$E$39,2,FALSE)+VLOOKUP($E343&amp;$C343,生产方式定位!$F$3:$J$39,2,FALSE),0)</f>
        <v>9000</v>
      </c>
      <c r="Q343" s="2">
        <f>IFERROR(VLOOKUP($D343&amp;$C343,生产方式定位!$A$2:$E$39,3,FALSE)+VLOOKUP($E343&amp;$C343,生产方式定位!$F$3:$J$39,3,FALSE),0)</f>
        <v>9000</v>
      </c>
      <c r="V343" s="2">
        <f>IFERROR(VLOOKUP($D343&amp;$C343,生产方式定位!$A$2:$E$39,5,FALSE)+VLOOKUP($E343&amp;$C343,生产方式定位!$F$3:$J$39,5,FALSE),"错误")</f>
        <v>9000</v>
      </c>
      <c r="W343" s="3" t="str">
        <f t="shared" si="25"/>
        <v/>
      </c>
      <c r="X343" s="4" t="str">
        <f t="shared" si="26"/>
        <v/>
      </c>
      <c r="Y343" s="4" t="str">
        <f t="shared" si="27"/>
        <v/>
      </c>
      <c r="Z343" s="5">
        <f t="shared" si="28"/>
        <v>1</v>
      </c>
      <c r="AA343" s="6">
        <f t="shared" si="29"/>
        <v>3</v>
      </c>
      <c r="AB343" t="str">
        <f>IFERROR(F343&amp;"*"&amp;ROUND(L343*(G343/(G343+I343+K343))/VLOOKUP(F343,商品!$A$4:$D$67,4,FALSE),0),"")</f>
        <v/>
      </c>
      <c r="AC343" t="str">
        <f>IFERROR(H343&amp;"*"&amp;ROUND(L343*(I343/(G343+I343+K343))/VLOOKUP(H343,商品!$A$4:$D$67,4,FALSE),0),"")</f>
        <v/>
      </c>
      <c r="AD343" t="str">
        <f>IFERROR(J343&amp;"*"&amp;ROUND(L343*(K343/(G343+I343+K343))/VLOOKUP(J343,商品!$A$4:$D$67,4,FALSE),0),"")</f>
        <v/>
      </c>
      <c r="AE343" t="str">
        <f>IFERROR(M343&amp;"*"&amp;ROUND(Q343*(N343/(N343+P343))/VLOOKUP(M343,职业!$A$3:$E$16,4,FALSE),0),"")</f>
        <v/>
      </c>
      <c r="AF343" t="str">
        <f>IFERROR(O343&amp;"*"&amp;ROUND(Q343*(P343/(N343+P343))/VLOOKUP(O343,职业!$A$3:$E$16,4,FALSE),0),"")</f>
        <v/>
      </c>
      <c r="AG343" t="str">
        <f>IFERROR(R343&amp;"*"&amp;ROUND(V343*(S343/(S343+U343))/VLOOKUP(R343,商品!$A$4:$D$67,4,FALSE),0),"")</f>
        <v/>
      </c>
      <c r="AH343" t="str">
        <f>IFERROR(T343&amp;"*"&amp;ROUND(V343*(U343/(S343+U343))/VLOOKUP(T343,商品!$A$4:$D$67,4,FALSE),0),"")</f>
        <v/>
      </c>
    </row>
    <row r="344" customHeight="1" spans="1:34">
      <c r="A344" s="14" t="s">
        <v>348</v>
      </c>
      <c r="C344" s="2">
        <v>4</v>
      </c>
      <c r="D344" s="2" t="s">
        <v>238</v>
      </c>
      <c r="E344" s="2" t="s">
        <v>222</v>
      </c>
      <c r="L344" s="2">
        <f>IFERROR(VLOOKUP($D344&amp;$C344,生产方式定位!$A$2:$E$39,2,FALSE)+VLOOKUP($E344&amp;$C344,生产方式定位!$F$3:$J$39,2,FALSE),0)</f>
        <v>11000</v>
      </c>
      <c r="Q344" s="2">
        <f>IFERROR(VLOOKUP($D344&amp;$C344,生产方式定位!$A$2:$E$39,3,FALSE)+VLOOKUP($E344&amp;$C344,生产方式定位!$F$3:$J$39,3,FALSE),0)</f>
        <v>10100</v>
      </c>
      <c r="V344" s="2">
        <f>IFERROR(VLOOKUP($D344&amp;$C344,生产方式定位!$A$2:$E$39,5,FALSE)+VLOOKUP($E344&amp;$C344,生产方式定位!$F$3:$J$39,5,FALSE),"错误")</f>
        <v>11198</v>
      </c>
      <c r="W344" s="3" t="str">
        <f t="shared" si="25"/>
        <v/>
      </c>
      <c r="X344" s="4" t="str">
        <f t="shared" si="26"/>
        <v/>
      </c>
      <c r="Y344" s="4" t="str">
        <f t="shared" si="27"/>
        <v/>
      </c>
      <c r="Z344" s="5">
        <f t="shared" si="28"/>
        <v>0.98</v>
      </c>
      <c r="AA344" s="6">
        <f t="shared" si="29"/>
        <v>4</v>
      </c>
      <c r="AB344" t="str">
        <f>IFERROR(F344&amp;"*"&amp;ROUND(L344*(G344/(G344+I344+K344))/VLOOKUP(F344,商品!$A$4:$D$67,4,FALSE),0),"")</f>
        <v/>
      </c>
      <c r="AC344" t="str">
        <f>IFERROR(H344&amp;"*"&amp;ROUND(L344*(I344/(G344+I344+K344))/VLOOKUP(H344,商品!$A$4:$D$67,4,FALSE),0),"")</f>
        <v/>
      </c>
      <c r="AD344" t="str">
        <f>IFERROR(J344&amp;"*"&amp;ROUND(L344*(K344/(G344+I344+K344))/VLOOKUP(J344,商品!$A$4:$D$67,4,FALSE),0),"")</f>
        <v/>
      </c>
      <c r="AE344" t="str">
        <f>IFERROR(M344&amp;"*"&amp;ROUND(Q344*(N344/(N344+P344))/VLOOKUP(M344,职业!$A$3:$E$16,4,FALSE),0),"")</f>
        <v/>
      </c>
      <c r="AF344" t="str">
        <f>IFERROR(O344&amp;"*"&amp;ROUND(Q344*(P344/(N344+P344))/VLOOKUP(O344,职业!$A$3:$E$16,4,FALSE),0),"")</f>
        <v/>
      </c>
      <c r="AG344" t="str">
        <f>IFERROR(R344&amp;"*"&amp;ROUND(V344*(S344/(S344+U344))/VLOOKUP(R344,商品!$A$4:$D$67,4,FALSE),0),"")</f>
        <v/>
      </c>
      <c r="AH344" t="str">
        <f>IFERROR(T344&amp;"*"&amp;ROUND(V344*(U344/(S344+U344))/VLOOKUP(T344,商品!$A$4:$D$67,4,FALSE),0),"")</f>
        <v/>
      </c>
    </row>
    <row r="345" customHeight="1" spans="1:34">
      <c r="A345" s="14" t="s">
        <v>348</v>
      </c>
      <c r="C345" s="2">
        <v>5</v>
      </c>
      <c r="D345" s="2" t="s">
        <v>238</v>
      </c>
      <c r="E345" s="2" t="s">
        <v>222</v>
      </c>
      <c r="L345" s="2">
        <f>IFERROR(VLOOKUP($D345&amp;$C345,生产方式定位!$A$2:$E$39,2,FALSE)+VLOOKUP($E345&amp;$C345,生产方式定位!$F$3:$J$39,2,FALSE),0)</f>
        <v>11000</v>
      </c>
      <c r="Q345" s="2">
        <f>IFERROR(VLOOKUP($D345&amp;$C345,生产方式定位!$A$2:$E$39,3,FALSE)+VLOOKUP($E345&amp;$C345,生产方式定位!$F$3:$J$39,3,FALSE),0)</f>
        <v>10800</v>
      </c>
      <c r="V345" s="2">
        <f>IFERROR(VLOOKUP($D345&amp;$C345,生产方式定位!$A$2:$E$39,5,FALSE)+VLOOKUP($E345&amp;$C345,生产方式定位!$F$3:$J$39,5,FALSE),"错误")</f>
        <v>12100</v>
      </c>
      <c r="W345" s="3" t="str">
        <f t="shared" si="25"/>
        <v/>
      </c>
      <c r="X345" s="4" t="str">
        <f t="shared" si="26"/>
        <v/>
      </c>
      <c r="Y345" s="4" t="str">
        <f t="shared" si="27"/>
        <v/>
      </c>
      <c r="Z345" s="5">
        <f t="shared" si="28"/>
        <v>0.91</v>
      </c>
      <c r="AA345" s="6">
        <f t="shared" si="29"/>
        <v>5</v>
      </c>
      <c r="AB345" t="str">
        <f>IFERROR(F345&amp;"*"&amp;ROUND(L345*(G345/(G345+I345+K345))/VLOOKUP(F345,商品!$A$4:$D$67,4,FALSE),0),"")</f>
        <v/>
      </c>
      <c r="AC345" t="str">
        <f>IFERROR(H345&amp;"*"&amp;ROUND(L345*(I345/(G345+I345+K345))/VLOOKUP(H345,商品!$A$4:$D$67,4,FALSE),0),"")</f>
        <v/>
      </c>
      <c r="AD345" t="str">
        <f>IFERROR(J345&amp;"*"&amp;ROUND(L345*(K345/(G345+I345+K345))/VLOOKUP(J345,商品!$A$4:$D$67,4,FALSE),0),"")</f>
        <v/>
      </c>
      <c r="AE345" t="str">
        <f>IFERROR(M345&amp;"*"&amp;ROUND(Q345*(N345/(N345+P345))/VLOOKUP(M345,职业!$A$3:$E$16,4,FALSE),0),"")</f>
        <v/>
      </c>
      <c r="AF345" t="str">
        <f>IFERROR(O345&amp;"*"&amp;ROUND(Q345*(P345/(N345+P345))/VLOOKUP(O345,职业!$A$3:$E$16,4,FALSE),0),"")</f>
        <v/>
      </c>
      <c r="AG345" t="str">
        <f>IFERROR(R345&amp;"*"&amp;ROUND(V345*(S345/(S345+U345))/VLOOKUP(R345,商品!$A$4:$D$67,4,FALSE),0),"")</f>
        <v/>
      </c>
      <c r="AH345" t="str">
        <f>IFERROR(T345&amp;"*"&amp;ROUND(V345*(U345/(S345+U345))/VLOOKUP(T345,商品!$A$4:$D$67,4,FALSE),0),"")</f>
        <v/>
      </c>
    </row>
    <row r="346" customHeight="1" spans="1:34">
      <c r="A346" s="14" t="s">
        <v>348</v>
      </c>
      <c r="C346" s="2">
        <v>6</v>
      </c>
      <c r="D346" s="2" t="s">
        <v>238</v>
      </c>
      <c r="E346" s="2" t="s">
        <v>222</v>
      </c>
      <c r="L346" s="2">
        <f>IFERROR(VLOOKUP($D346&amp;$C346,生产方式定位!$A$2:$E$39,2,FALSE)+VLOOKUP($E346&amp;$C346,生产方式定位!$F$3:$J$39,2,FALSE),0)</f>
        <v>0</v>
      </c>
      <c r="Q346" s="2">
        <f>IFERROR(VLOOKUP($D346&amp;$C346,生产方式定位!$A$2:$E$39,3,FALSE)+VLOOKUP($E346&amp;$C346,生产方式定位!$F$3:$J$39,3,FALSE),0)</f>
        <v>0</v>
      </c>
      <c r="V346" s="2" t="str">
        <f>IFERROR(VLOOKUP($D346&amp;$C346,生产方式定位!$A$2:$E$39,5,FALSE)+VLOOKUP($E346&amp;$C346,生产方式定位!$F$3:$J$39,5,FALSE),"错误")</f>
        <v>错误</v>
      </c>
      <c r="W346" s="3" t="str">
        <f t="shared" si="25"/>
        <v/>
      </c>
      <c r="X346" s="4" t="str">
        <f t="shared" si="26"/>
        <v/>
      </c>
      <c r="Y346" s="4" t="str">
        <f t="shared" si="27"/>
        <v/>
      </c>
      <c r="Z346" s="5" t="str">
        <f t="shared" si="28"/>
        <v/>
      </c>
      <c r="AA346" s="6">
        <f t="shared" si="29"/>
        <v>6</v>
      </c>
      <c r="AB346" t="str">
        <f>IFERROR(F346&amp;"*"&amp;ROUND(L346*(G346/(G346+I346+K346))/VLOOKUP(F346,商品!$A$4:$D$67,4,FALSE),0),"")</f>
        <v/>
      </c>
      <c r="AC346" t="str">
        <f>IFERROR(H346&amp;"*"&amp;ROUND(L346*(I346/(G346+I346+K346))/VLOOKUP(H346,商品!$A$4:$D$67,4,FALSE),0),"")</f>
        <v/>
      </c>
      <c r="AD346" t="str">
        <f>IFERROR(J346&amp;"*"&amp;ROUND(L346*(K346/(G346+I346+K346))/VLOOKUP(J346,商品!$A$4:$D$67,4,FALSE),0),"")</f>
        <v/>
      </c>
      <c r="AE346" t="str">
        <f>IFERROR(M346&amp;"*"&amp;ROUND(Q346*(N346/(N346+P346))/VLOOKUP(M346,职业!$A$3:$E$16,4,FALSE),0),"")</f>
        <v/>
      </c>
      <c r="AF346" t="str">
        <f>IFERROR(O346&amp;"*"&amp;ROUND(Q346*(P346/(N346+P346))/VLOOKUP(O346,职业!$A$3:$E$16,4,FALSE),0),"")</f>
        <v/>
      </c>
      <c r="AG346" t="str">
        <f>IFERROR(R346&amp;"*"&amp;ROUND(V346*(S346/(S346+U346))/VLOOKUP(R346,商品!$A$4:$D$67,4,FALSE),0),"")</f>
        <v/>
      </c>
      <c r="AH346" t="str">
        <f>IFERROR(T346&amp;"*"&amp;ROUND(V346*(U346/(S346+U346))/VLOOKUP(T346,商品!$A$4:$D$67,4,FALSE),0),"")</f>
        <v/>
      </c>
    </row>
    <row r="347" customHeight="1" spans="1:34">
      <c r="A347" s="14" t="s">
        <v>348</v>
      </c>
      <c r="C347" s="2">
        <v>7</v>
      </c>
      <c r="D347" s="2" t="s">
        <v>238</v>
      </c>
      <c r="E347" s="2" t="s">
        <v>222</v>
      </c>
      <c r="L347" s="2">
        <f>IFERROR(VLOOKUP($D347&amp;$C347,生产方式定位!$A$2:$E$39,2,FALSE)+VLOOKUP($E347&amp;$C347,生产方式定位!$F$3:$J$39,2,FALSE),0)</f>
        <v>0</v>
      </c>
      <c r="Q347" s="2">
        <f>IFERROR(VLOOKUP($D347&amp;$C347,生产方式定位!$A$2:$E$39,3,FALSE)+VLOOKUP($E347&amp;$C347,生产方式定位!$F$3:$J$39,3,FALSE),0)</f>
        <v>0</v>
      </c>
      <c r="V347" s="2" t="str">
        <f>IFERROR(VLOOKUP($D347&amp;$C347,生产方式定位!$A$2:$E$39,5,FALSE)+VLOOKUP($E347&amp;$C347,生产方式定位!$F$3:$J$39,5,FALSE),"错误")</f>
        <v>错误</v>
      </c>
      <c r="W347" s="3" t="str">
        <f t="shared" si="25"/>
        <v/>
      </c>
      <c r="X347" s="4" t="str">
        <f t="shared" si="26"/>
        <v/>
      </c>
      <c r="Y347" s="4" t="str">
        <f t="shared" si="27"/>
        <v/>
      </c>
      <c r="Z347" s="5" t="str">
        <f t="shared" si="28"/>
        <v/>
      </c>
      <c r="AA347" s="6">
        <f t="shared" si="29"/>
        <v>7</v>
      </c>
      <c r="AB347" t="str">
        <f>IFERROR(F347&amp;"*"&amp;ROUND(L347*(G347/(G347+I347+K347))/VLOOKUP(F347,商品!$A$4:$D$67,4,FALSE),0),"")</f>
        <v/>
      </c>
      <c r="AC347" t="str">
        <f>IFERROR(H347&amp;"*"&amp;ROUND(L347*(I347/(G347+I347+K347))/VLOOKUP(H347,商品!$A$4:$D$67,4,FALSE),0),"")</f>
        <v/>
      </c>
      <c r="AD347" t="str">
        <f>IFERROR(J347&amp;"*"&amp;ROUND(L347*(K347/(G347+I347+K347))/VLOOKUP(J347,商品!$A$4:$D$67,4,FALSE),0),"")</f>
        <v/>
      </c>
      <c r="AE347" t="str">
        <f>IFERROR(M347&amp;"*"&amp;ROUND(Q347*(N347/(N347+P347))/VLOOKUP(M347,职业!$A$3:$E$16,4,FALSE),0),"")</f>
        <v/>
      </c>
      <c r="AF347" t="str">
        <f>IFERROR(O347&amp;"*"&amp;ROUND(Q347*(P347/(N347+P347))/VLOOKUP(O347,职业!$A$3:$E$16,4,FALSE),0),"")</f>
        <v/>
      </c>
      <c r="AG347" t="str">
        <f>IFERROR(R347&amp;"*"&amp;ROUND(V347*(S347/(S347+U347))/VLOOKUP(R347,商品!$A$4:$D$67,4,FALSE),0),"")</f>
        <v/>
      </c>
      <c r="AH347" t="str">
        <f>IFERROR(T347&amp;"*"&amp;ROUND(V347*(U347/(S347+U347))/VLOOKUP(T347,商品!$A$4:$D$67,4,FALSE),0),"")</f>
        <v/>
      </c>
    </row>
    <row r="348" customHeight="1" spans="1:34">
      <c r="A348" s="14" t="s">
        <v>348</v>
      </c>
      <c r="C348" s="2">
        <v>8</v>
      </c>
      <c r="D348" s="2" t="s">
        <v>238</v>
      </c>
      <c r="E348" s="2" t="s">
        <v>222</v>
      </c>
      <c r="L348" s="2">
        <f>IFERROR(VLOOKUP($D348&amp;$C348,生产方式定位!$A$2:$E$39,2,FALSE)+VLOOKUP($E348&amp;$C348,生产方式定位!$F$3:$J$39,2,FALSE),0)</f>
        <v>0</v>
      </c>
      <c r="Q348" s="2">
        <f>IFERROR(VLOOKUP($D348&amp;$C348,生产方式定位!$A$2:$E$39,3,FALSE)+VLOOKUP($E348&amp;$C348,生产方式定位!$F$3:$J$39,3,FALSE),0)</f>
        <v>0</v>
      </c>
      <c r="V348" s="2" t="str">
        <f>IFERROR(VLOOKUP($D348&amp;$C348,生产方式定位!$A$2:$E$39,5,FALSE)+VLOOKUP($E348&amp;$C348,生产方式定位!$F$3:$J$39,5,FALSE),"错误")</f>
        <v>错误</v>
      </c>
      <c r="W348" s="3" t="str">
        <f t="shared" si="25"/>
        <v/>
      </c>
      <c r="X348" s="4" t="str">
        <f t="shared" si="26"/>
        <v/>
      </c>
      <c r="Y348" s="4" t="str">
        <f t="shared" si="27"/>
        <v/>
      </c>
      <c r="Z348" s="5" t="str">
        <f t="shared" si="28"/>
        <v/>
      </c>
      <c r="AA348" s="6">
        <f t="shared" si="29"/>
        <v>8</v>
      </c>
      <c r="AB348" t="str">
        <f>IFERROR(F348&amp;"*"&amp;ROUND(L348*(G348/(G348+I348+K348))/VLOOKUP(F348,商品!$A$4:$D$67,4,FALSE),0),"")</f>
        <v/>
      </c>
      <c r="AC348" t="str">
        <f>IFERROR(H348&amp;"*"&amp;ROUND(L348*(I348/(G348+I348+K348))/VLOOKUP(H348,商品!$A$4:$D$67,4,FALSE),0),"")</f>
        <v/>
      </c>
      <c r="AD348" t="str">
        <f>IFERROR(J348&amp;"*"&amp;ROUND(L348*(K348/(G348+I348+K348))/VLOOKUP(J348,商品!$A$4:$D$67,4,FALSE),0),"")</f>
        <v/>
      </c>
      <c r="AE348" t="str">
        <f>IFERROR(M348&amp;"*"&amp;ROUND(Q348*(N348/(N348+P348))/VLOOKUP(M348,职业!$A$3:$E$16,4,FALSE),0),"")</f>
        <v/>
      </c>
      <c r="AF348" t="str">
        <f>IFERROR(O348&amp;"*"&amp;ROUND(Q348*(P348/(N348+P348))/VLOOKUP(O348,职业!$A$3:$E$16,4,FALSE),0),"")</f>
        <v/>
      </c>
      <c r="AG348" t="str">
        <f>IFERROR(R348&amp;"*"&amp;ROUND(V348*(S348/(S348+U348))/VLOOKUP(R348,商品!$A$4:$D$67,4,FALSE),0),"")</f>
        <v/>
      </c>
      <c r="AH348" t="str">
        <f>IFERROR(T348&amp;"*"&amp;ROUND(V348*(U348/(S348+U348))/VLOOKUP(T348,商品!$A$4:$D$67,4,FALSE),0),"")</f>
        <v/>
      </c>
    </row>
    <row r="349" customHeight="1" spans="1:34">
      <c r="A349" s="15" t="s">
        <v>349</v>
      </c>
      <c r="C349" s="2">
        <v>1</v>
      </c>
      <c r="D349" s="2" t="s">
        <v>238</v>
      </c>
      <c r="E349" s="2" t="s">
        <v>224</v>
      </c>
      <c r="L349" s="2">
        <f>IFERROR(VLOOKUP($D349&amp;$C349,生产方式定位!$A$2:$E$39,2,FALSE)+VLOOKUP($E349&amp;$C349,生产方式定位!$F$3:$J$39,2,FALSE),0)</f>
        <v>11000</v>
      </c>
      <c r="Q349" s="2">
        <f>IFERROR(VLOOKUP($D349&amp;$C349,生产方式定位!$A$2:$E$39,3,FALSE)+VLOOKUP($E349&amp;$C349,生产方式定位!$F$3:$J$39,3,FALSE),0)</f>
        <v>8000</v>
      </c>
      <c r="V349" s="2">
        <f>IFERROR(VLOOKUP($D349&amp;$C349,生产方式定位!$A$2:$E$39,5,FALSE)+VLOOKUP($E349&amp;$C349,生产方式定位!$F$3:$J$39,5,FALSE),"错误")</f>
        <v>9500</v>
      </c>
      <c r="W349" s="3" t="str">
        <f t="shared" si="25"/>
        <v/>
      </c>
      <c r="X349" s="4" t="str">
        <f t="shared" si="26"/>
        <v/>
      </c>
      <c r="Y349" s="4" t="str">
        <f t="shared" si="27"/>
        <v/>
      </c>
      <c r="Z349" s="5">
        <f t="shared" si="28"/>
        <v>1.16</v>
      </c>
      <c r="AA349" s="6">
        <f t="shared" si="29"/>
        <v>1</v>
      </c>
      <c r="AB349" t="str">
        <f>IFERROR(F349&amp;"*"&amp;ROUND(L349*(G349/(G349+I349+K349))/VLOOKUP(F349,商品!$A$4:$D$67,4,FALSE),0),"")</f>
        <v/>
      </c>
      <c r="AC349" t="str">
        <f>IFERROR(H349&amp;"*"&amp;ROUND(L349*(I349/(G349+I349+K349))/VLOOKUP(H349,商品!$A$4:$D$67,4,FALSE),0),"")</f>
        <v/>
      </c>
      <c r="AD349" t="str">
        <f>IFERROR(J349&amp;"*"&amp;ROUND(L349*(K349/(G349+I349+K349))/VLOOKUP(J349,商品!$A$4:$D$67,4,FALSE),0),"")</f>
        <v/>
      </c>
      <c r="AE349" t="str">
        <f>IFERROR(M349&amp;"*"&amp;ROUND(Q349*(N349/(N349+P349))/VLOOKUP(M349,职业!$A$3:$E$16,4,FALSE),0),"")</f>
        <v/>
      </c>
      <c r="AF349" t="str">
        <f>IFERROR(O349&amp;"*"&amp;ROUND(Q349*(P349/(N349+P349))/VLOOKUP(O349,职业!$A$3:$E$16,4,FALSE),0),"")</f>
        <v/>
      </c>
      <c r="AG349" t="str">
        <f>IFERROR(R349&amp;"*"&amp;ROUND(V349*(S349/(S349+U349))/VLOOKUP(R349,商品!$A$4:$D$67,4,FALSE),0),"")</f>
        <v/>
      </c>
      <c r="AH349" t="str">
        <f>IFERROR(T349&amp;"*"&amp;ROUND(V349*(U349/(S349+U349))/VLOOKUP(T349,商品!$A$4:$D$67,4,FALSE),0),"")</f>
        <v/>
      </c>
    </row>
    <row r="350" customHeight="1" spans="1:34">
      <c r="A350" s="15" t="s">
        <v>349</v>
      </c>
      <c r="C350" s="2">
        <v>2</v>
      </c>
      <c r="D350" s="2" t="s">
        <v>238</v>
      </c>
      <c r="E350" s="2" t="s">
        <v>224</v>
      </c>
      <c r="L350" s="2">
        <f>IFERROR(VLOOKUP($D350&amp;$C350,生产方式定位!$A$2:$E$39,2,FALSE)+VLOOKUP($E350&amp;$C350,生产方式定位!$F$3:$J$39,2,FALSE),0)</f>
        <v>12000</v>
      </c>
      <c r="Q350" s="2">
        <f>IFERROR(VLOOKUP($D350&amp;$C350,生产方式定位!$A$2:$E$39,3,FALSE)+VLOOKUP($E350&amp;$C350,生产方式定位!$F$3:$J$39,3,FALSE),0)</f>
        <v>8300</v>
      </c>
      <c r="V350" s="2">
        <f>IFERROR(VLOOKUP($D350&amp;$C350,生产方式定位!$A$2:$E$39,5,FALSE)+VLOOKUP($E350&amp;$C350,生产方式定位!$F$3:$J$39,5,FALSE),"错误")</f>
        <v>10240</v>
      </c>
      <c r="W350" s="3" t="str">
        <f t="shared" si="25"/>
        <v/>
      </c>
      <c r="X350" s="4" t="str">
        <f t="shared" si="26"/>
        <v/>
      </c>
      <c r="Y350" s="4" t="str">
        <f t="shared" si="27"/>
        <v/>
      </c>
      <c r="Z350" s="5">
        <f t="shared" si="28"/>
        <v>1.17</v>
      </c>
      <c r="AA350" s="6">
        <f t="shared" si="29"/>
        <v>2</v>
      </c>
      <c r="AB350" t="str">
        <f>IFERROR(F350&amp;"*"&amp;ROUND(L350*(G350/(G350+I350+K350))/VLOOKUP(F350,商品!$A$4:$D$67,4,FALSE),0),"")</f>
        <v/>
      </c>
      <c r="AC350" t="str">
        <f>IFERROR(H350&amp;"*"&amp;ROUND(L350*(I350/(G350+I350+K350))/VLOOKUP(H350,商品!$A$4:$D$67,4,FALSE),0),"")</f>
        <v/>
      </c>
      <c r="AD350" t="str">
        <f>IFERROR(J350&amp;"*"&amp;ROUND(L350*(K350/(G350+I350+K350))/VLOOKUP(J350,商品!$A$4:$D$67,4,FALSE),0),"")</f>
        <v/>
      </c>
      <c r="AE350" t="str">
        <f>IFERROR(M350&amp;"*"&amp;ROUND(Q350*(N350/(N350+P350))/VLOOKUP(M350,职业!$A$3:$E$16,4,FALSE),0),"")</f>
        <v/>
      </c>
      <c r="AF350" t="str">
        <f>IFERROR(O350&amp;"*"&amp;ROUND(Q350*(P350/(N350+P350))/VLOOKUP(O350,职业!$A$3:$E$16,4,FALSE),0),"")</f>
        <v/>
      </c>
      <c r="AG350" t="str">
        <f>IFERROR(R350&amp;"*"&amp;ROUND(V350*(S350/(S350+U350))/VLOOKUP(R350,商品!$A$4:$D$67,4,FALSE),0),"")</f>
        <v/>
      </c>
      <c r="AH350" t="str">
        <f>IFERROR(T350&amp;"*"&amp;ROUND(V350*(U350/(S350+U350))/VLOOKUP(T350,商品!$A$4:$D$67,4,FALSE),0),"")</f>
        <v/>
      </c>
    </row>
    <row r="351" customHeight="1" spans="1:34">
      <c r="A351" s="15" t="s">
        <v>349</v>
      </c>
      <c r="C351" s="2">
        <v>3</v>
      </c>
      <c r="D351" s="2" t="s">
        <v>238</v>
      </c>
      <c r="E351" s="2" t="s">
        <v>224</v>
      </c>
      <c r="L351" s="2">
        <f>IFERROR(VLOOKUP($D351&amp;$C351,生产方式定位!$A$2:$E$39,2,FALSE)+VLOOKUP($E351&amp;$C351,生产方式定位!$F$3:$J$39,2,FALSE),0)</f>
        <v>12000</v>
      </c>
      <c r="Q351" s="2">
        <f>IFERROR(VLOOKUP($D351&amp;$C351,生产方式定位!$A$2:$E$39,3,FALSE)+VLOOKUP($E351&amp;$C351,生产方式定位!$F$3:$J$39,3,FALSE),0)</f>
        <v>8600</v>
      </c>
      <c r="V351" s="2">
        <f>IFERROR(VLOOKUP($D351&amp;$C351,生产方式定位!$A$2:$E$39,5,FALSE)+VLOOKUP($E351&amp;$C351,生产方式定位!$F$3:$J$39,5,FALSE),"错误")</f>
        <v>10560</v>
      </c>
      <c r="W351" s="3" t="str">
        <f t="shared" si="25"/>
        <v/>
      </c>
      <c r="X351" s="4" t="str">
        <f t="shared" si="26"/>
        <v/>
      </c>
      <c r="Y351" s="4" t="str">
        <f t="shared" si="27"/>
        <v/>
      </c>
      <c r="Z351" s="5">
        <f t="shared" si="28"/>
        <v>1.14</v>
      </c>
      <c r="AA351" s="6">
        <f t="shared" si="29"/>
        <v>3</v>
      </c>
      <c r="AB351" t="str">
        <f>IFERROR(F351&amp;"*"&amp;ROUND(L351*(G351/(G351+I351+K351))/VLOOKUP(F351,商品!$A$4:$D$67,4,FALSE),0),"")</f>
        <v/>
      </c>
      <c r="AC351" t="str">
        <f>IFERROR(H351&amp;"*"&amp;ROUND(L351*(I351/(G351+I351+K351))/VLOOKUP(H351,商品!$A$4:$D$67,4,FALSE),0),"")</f>
        <v/>
      </c>
      <c r="AD351" t="str">
        <f>IFERROR(J351&amp;"*"&amp;ROUND(L351*(K351/(G351+I351+K351))/VLOOKUP(J351,商品!$A$4:$D$67,4,FALSE),0),"")</f>
        <v/>
      </c>
      <c r="AE351" t="str">
        <f>IFERROR(M351&amp;"*"&amp;ROUND(Q351*(N351/(N351+P351))/VLOOKUP(M351,职业!$A$3:$E$16,4,FALSE),0),"")</f>
        <v/>
      </c>
      <c r="AF351" t="str">
        <f>IFERROR(O351&amp;"*"&amp;ROUND(Q351*(P351/(N351+P351))/VLOOKUP(O351,职业!$A$3:$E$16,4,FALSE),0),"")</f>
        <v/>
      </c>
      <c r="AG351" t="str">
        <f>IFERROR(R351&amp;"*"&amp;ROUND(V351*(S351/(S351+U351))/VLOOKUP(R351,商品!$A$4:$D$67,4,FALSE),0),"")</f>
        <v/>
      </c>
      <c r="AH351" t="str">
        <f>IFERROR(T351&amp;"*"&amp;ROUND(V351*(U351/(S351+U351))/VLOOKUP(T351,商品!$A$4:$D$67,4,FALSE),0),"")</f>
        <v/>
      </c>
    </row>
    <row r="352" customHeight="1" spans="1:34">
      <c r="A352" s="15" t="s">
        <v>349</v>
      </c>
      <c r="C352" s="2">
        <v>4</v>
      </c>
      <c r="D352" s="2" t="s">
        <v>238</v>
      </c>
      <c r="E352" s="2" t="s">
        <v>224</v>
      </c>
      <c r="L352" s="2">
        <f>IFERROR(VLOOKUP($D352&amp;$C352,生产方式定位!$A$2:$E$39,2,FALSE)+VLOOKUP($E352&amp;$C352,生产方式定位!$F$3:$J$39,2,FALSE),0)</f>
        <v>12000</v>
      </c>
      <c r="Q352" s="2">
        <f>IFERROR(VLOOKUP($D352&amp;$C352,生产方式定位!$A$2:$E$39,3,FALSE)+VLOOKUP($E352&amp;$C352,生产方式定位!$F$3:$J$39,3,FALSE),0)</f>
        <v>8900</v>
      </c>
      <c r="V352" s="2">
        <f>IFERROR(VLOOKUP($D352&amp;$C352,生产方式定位!$A$2:$E$39,5,FALSE)+VLOOKUP($E352&amp;$C352,生产方式定位!$F$3:$J$39,5,FALSE),"错误")</f>
        <v>10960</v>
      </c>
      <c r="W352" s="3" t="str">
        <f t="shared" si="25"/>
        <v/>
      </c>
      <c r="X352" s="4" t="str">
        <f t="shared" si="26"/>
        <v/>
      </c>
      <c r="Y352" s="4" t="str">
        <f t="shared" si="27"/>
        <v/>
      </c>
      <c r="Z352" s="5">
        <f t="shared" si="28"/>
        <v>1.09</v>
      </c>
      <c r="AA352" s="6">
        <f t="shared" si="29"/>
        <v>4</v>
      </c>
      <c r="AB352" t="str">
        <f>IFERROR(F352&amp;"*"&amp;ROUND(L352*(G352/(G352+I352+K352))/VLOOKUP(F352,商品!$A$4:$D$67,4,FALSE),0),"")</f>
        <v/>
      </c>
      <c r="AC352" t="str">
        <f>IFERROR(H352&amp;"*"&amp;ROUND(L352*(I352/(G352+I352+K352))/VLOOKUP(H352,商品!$A$4:$D$67,4,FALSE),0),"")</f>
        <v/>
      </c>
      <c r="AD352" t="str">
        <f>IFERROR(J352&amp;"*"&amp;ROUND(L352*(K352/(G352+I352+K352))/VLOOKUP(J352,商品!$A$4:$D$67,4,FALSE),0),"")</f>
        <v/>
      </c>
      <c r="AE352" t="str">
        <f>IFERROR(M352&amp;"*"&amp;ROUND(Q352*(N352/(N352+P352))/VLOOKUP(M352,职业!$A$3:$E$16,4,FALSE),0),"")</f>
        <v/>
      </c>
      <c r="AF352" t="str">
        <f>IFERROR(O352&amp;"*"&amp;ROUND(Q352*(P352/(N352+P352))/VLOOKUP(O352,职业!$A$3:$E$16,4,FALSE),0),"")</f>
        <v/>
      </c>
      <c r="AG352" t="str">
        <f>IFERROR(R352&amp;"*"&amp;ROUND(V352*(S352/(S352+U352))/VLOOKUP(R352,商品!$A$4:$D$67,4,FALSE),0),"")</f>
        <v/>
      </c>
      <c r="AH352" t="str">
        <f>IFERROR(T352&amp;"*"&amp;ROUND(V352*(U352/(S352+U352))/VLOOKUP(T352,商品!$A$4:$D$67,4,FALSE),0),"")</f>
        <v/>
      </c>
    </row>
    <row r="353" customHeight="1" spans="1:34">
      <c r="A353" s="15" t="s">
        <v>349</v>
      </c>
      <c r="C353" s="2">
        <v>5</v>
      </c>
      <c r="D353" s="2" t="s">
        <v>238</v>
      </c>
      <c r="E353" s="2" t="s">
        <v>224</v>
      </c>
      <c r="L353" s="2">
        <f>IFERROR(VLOOKUP($D353&amp;$C353,生产方式定位!$A$2:$E$39,2,FALSE)+VLOOKUP($E353&amp;$C353,生产方式定位!$F$3:$J$39,2,FALSE),0)</f>
        <v>12000</v>
      </c>
      <c r="Q353" s="2">
        <f>IFERROR(VLOOKUP($D353&amp;$C353,生产方式定位!$A$2:$E$39,3,FALSE)+VLOOKUP($E353&amp;$C353,生产方式定位!$F$3:$J$39,3,FALSE),0)</f>
        <v>9200</v>
      </c>
      <c r="V353" s="2">
        <f>IFERROR(VLOOKUP($D353&amp;$C353,生产方式定位!$A$2:$E$39,5,FALSE)+VLOOKUP($E353&amp;$C353,生产方式定位!$F$3:$J$39,5,FALSE),"错误")</f>
        <v>11440</v>
      </c>
      <c r="W353" s="3" t="str">
        <f t="shared" si="25"/>
        <v/>
      </c>
      <c r="X353" s="4" t="str">
        <f t="shared" si="26"/>
        <v/>
      </c>
      <c r="Y353" s="4" t="str">
        <f t="shared" si="27"/>
        <v/>
      </c>
      <c r="Z353" s="5">
        <f t="shared" si="28"/>
        <v>1.05</v>
      </c>
      <c r="AA353" s="6">
        <f t="shared" si="29"/>
        <v>5</v>
      </c>
      <c r="AB353" t="str">
        <f>IFERROR(F353&amp;"*"&amp;ROUND(L353*(G353/(G353+I353+K353))/VLOOKUP(F353,商品!$A$4:$D$67,4,FALSE),0),"")</f>
        <v/>
      </c>
      <c r="AC353" t="str">
        <f>IFERROR(H353&amp;"*"&amp;ROUND(L353*(I353/(G353+I353+K353))/VLOOKUP(H353,商品!$A$4:$D$67,4,FALSE),0),"")</f>
        <v/>
      </c>
      <c r="AD353" t="str">
        <f>IFERROR(J353&amp;"*"&amp;ROUND(L353*(K353/(G353+I353+K353))/VLOOKUP(J353,商品!$A$4:$D$67,4,FALSE),0),"")</f>
        <v/>
      </c>
      <c r="AE353" t="str">
        <f>IFERROR(M353&amp;"*"&amp;ROUND(Q353*(N353/(N353+P353))/VLOOKUP(M353,职业!$A$3:$E$16,4,FALSE),0),"")</f>
        <v/>
      </c>
      <c r="AF353" t="str">
        <f>IFERROR(O353&amp;"*"&amp;ROUND(Q353*(P353/(N353+P353))/VLOOKUP(O353,职业!$A$3:$E$16,4,FALSE),0),"")</f>
        <v/>
      </c>
      <c r="AG353" t="str">
        <f>IFERROR(R353&amp;"*"&amp;ROUND(V353*(S353/(S353+U353))/VLOOKUP(R353,商品!$A$4:$D$67,4,FALSE),0),"")</f>
        <v/>
      </c>
      <c r="AH353" t="str">
        <f>IFERROR(T353&amp;"*"&amp;ROUND(V353*(U353/(S353+U353))/VLOOKUP(T353,商品!$A$4:$D$67,4,FALSE),0),"")</f>
        <v/>
      </c>
    </row>
    <row r="354" customHeight="1" spans="1:34">
      <c r="A354" s="14" t="s">
        <v>349</v>
      </c>
      <c r="C354" s="2">
        <v>1</v>
      </c>
      <c r="D354" s="2" t="s">
        <v>238</v>
      </c>
      <c r="E354" s="2" t="s">
        <v>224</v>
      </c>
      <c r="L354" s="2">
        <f>IFERROR(VLOOKUP($D354&amp;$C354,生产方式定位!$A$2:$E$39,2,FALSE)+VLOOKUP($E354&amp;$C354,生产方式定位!$F$3:$J$39,2,FALSE),0)</f>
        <v>11000</v>
      </c>
      <c r="Q354" s="2">
        <f>IFERROR(VLOOKUP($D354&amp;$C354,生产方式定位!$A$2:$E$39,3,FALSE)+VLOOKUP($E354&amp;$C354,生产方式定位!$F$3:$J$39,3,FALSE),0)</f>
        <v>8000</v>
      </c>
      <c r="V354" s="2">
        <f>IFERROR(VLOOKUP($D354&amp;$C354,生产方式定位!$A$2:$E$39,5,FALSE)+VLOOKUP($E354&amp;$C354,生产方式定位!$F$3:$J$39,5,FALSE),"错误")</f>
        <v>9500</v>
      </c>
      <c r="W354" s="3" t="str">
        <f t="shared" si="25"/>
        <v/>
      </c>
      <c r="X354" s="4" t="str">
        <f t="shared" si="26"/>
        <v/>
      </c>
      <c r="Y354" s="4" t="str">
        <f t="shared" si="27"/>
        <v/>
      </c>
      <c r="Z354" s="5">
        <f t="shared" si="28"/>
        <v>1.16</v>
      </c>
      <c r="AA354" s="6">
        <f t="shared" si="29"/>
        <v>1</v>
      </c>
      <c r="AB354" t="str">
        <f>IFERROR(F354&amp;"*"&amp;ROUND(L354*(G354/(G354+I354+K354))/VLOOKUP(F354,商品!$A$4:$D$67,4,FALSE),0),"")</f>
        <v/>
      </c>
      <c r="AC354" t="str">
        <f>IFERROR(H354&amp;"*"&amp;ROUND(L354*(I354/(G354+I354+K354))/VLOOKUP(H354,商品!$A$4:$D$67,4,FALSE),0),"")</f>
        <v/>
      </c>
      <c r="AD354" t="str">
        <f>IFERROR(J354&amp;"*"&amp;ROUND(L354*(K354/(G354+I354+K354))/VLOOKUP(J354,商品!$A$4:$D$67,4,FALSE),0),"")</f>
        <v/>
      </c>
      <c r="AE354" t="str">
        <f>IFERROR(M354&amp;"*"&amp;ROUND(Q354*(N354/(N354+P354))/VLOOKUP(M354,职业!$A$3:$E$16,4,FALSE),0),"")</f>
        <v/>
      </c>
      <c r="AF354" t="str">
        <f>IFERROR(O354&amp;"*"&amp;ROUND(Q354*(P354/(N354+P354))/VLOOKUP(O354,职业!$A$3:$E$16,4,FALSE),0),"")</f>
        <v/>
      </c>
      <c r="AG354" t="str">
        <f>IFERROR(R354&amp;"*"&amp;ROUND(V354*(S354/(S354+U354))/VLOOKUP(R354,商品!$A$4:$D$67,4,FALSE),0),"")</f>
        <v/>
      </c>
      <c r="AH354" t="str">
        <f>IFERROR(T354&amp;"*"&amp;ROUND(V354*(U354/(S354+U354))/VLOOKUP(T354,商品!$A$4:$D$67,4,FALSE),0),"")</f>
        <v/>
      </c>
    </row>
    <row r="355" customHeight="1" spans="1:34">
      <c r="A355" s="14" t="s">
        <v>349</v>
      </c>
      <c r="C355" s="2">
        <v>2</v>
      </c>
      <c r="D355" s="2" t="s">
        <v>238</v>
      </c>
      <c r="E355" s="2" t="s">
        <v>224</v>
      </c>
      <c r="L355" s="2">
        <f>IFERROR(VLOOKUP($D355&amp;$C355,生产方式定位!$A$2:$E$39,2,FALSE)+VLOOKUP($E355&amp;$C355,生产方式定位!$F$3:$J$39,2,FALSE),0)</f>
        <v>12000</v>
      </c>
      <c r="Q355" s="2">
        <f>IFERROR(VLOOKUP($D355&amp;$C355,生产方式定位!$A$2:$E$39,3,FALSE)+VLOOKUP($E355&amp;$C355,生产方式定位!$F$3:$J$39,3,FALSE),0)</f>
        <v>8300</v>
      </c>
      <c r="V355" s="2">
        <f>IFERROR(VLOOKUP($D355&amp;$C355,生产方式定位!$A$2:$E$39,5,FALSE)+VLOOKUP($E355&amp;$C355,生产方式定位!$F$3:$J$39,5,FALSE),"错误")</f>
        <v>10240</v>
      </c>
      <c r="W355" s="3" t="str">
        <f t="shared" si="25"/>
        <v/>
      </c>
      <c r="X355" s="4" t="str">
        <f t="shared" si="26"/>
        <v/>
      </c>
      <c r="Y355" s="4" t="str">
        <f t="shared" si="27"/>
        <v/>
      </c>
      <c r="Z355" s="5">
        <f t="shared" si="28"/>
        <v>1.17</v>
      </c>
      <c r="AA355" s="6">
        <f t="shared" si="29"/>
        <v>2</v>
      </c>
      <c r="AB355" t="str">
        <f>IFERROR(F355&amp;"*"&amp;ROUND(L355*(G355/(G355+I355+K355))/VLOOKUP(F355,商品!$A$4:$D$67,4,FALSE),0),"")</f>
        <v/>
      </c>
      <c r="AC355" t="str">
        <f>IFERROR(H355&amp;"*"&amp;ROUND(L355*(I355/(G355+I355+K355))/VLOOKUP(H355,商品!$A$4:$D$67,4,FALSE),0),"")</f>
        <v/>
      </c>
      <c r="AD355" t="str">
        <f>IFERROR(J355&amp;"*"&amp;ROUND(L355*(K355/(G355+I355+K355))/VLOOKUP(J355,商品!$A$4:$D$67,4,FALSE),0),"")</f>
        <v/>
      </c>
      <c r="AE355" t="str">
        <f>IFERROR(M355&amp;"*"&amp;ROUND(Q355*(N355/(N355+P355))/VLOOKUP(M355,职业!$A$3:$E$16,4,FALSE),0),"")</f>
        <v/>
      </c>
      <c r="AF355" t="str">
        <f>IFERROR(O355&amp;"*"&amp;ROUND(Q355*(P355/(N355+P355))/VLOOKUP(O355,职业!$A$3:$E$16,4,FALSE),0),"")</f>
        <v/>
      </c>
      <c r="AG355" t="str">
        <f>IFERROR(R355&amp;"*"&amp;ROUND(V355*(S355/(S355+U355))/VLOOKUP(R355,商品!$A$4:$D$67,4,FALSE),0),"")</f>
        <v/>
      </c>
      <c r="AH355" t="str">
        <f>IFERROR(T355&amp;"*"&amp;ROUND(V355*(U355/(S355+U355))/VLOOKUP(T355,商品!$A$4:$D$67,4,FALSE),0),"")</f>
        <v/>
      </c>
    </row>
    <row r="356" customHeight="1" spans="1:34">
      <c r="A356" s="14" t="s">
        <v>349</v>
      </c>
      <c r="C356" s="2">
        <v>3</v>
      </c>
      <c r="D356" s="2" t="s">
        <v>238</v>
      </c>
      <c r="E356" s="2" t="s">
        <v>224</v>
      </c>
      <c r="L356" s="2">
        <f>IFERROR(VLOOKUP($D356&amp;$C356,生产方式定位!$A$2:$E$39,2,FALSE)+VLOOKUP($E356&amp;$C356,生产方式定位!$F$3:$J$39,2,FALSE),0)</f>
        <v>12000</v>
      </c>
      <c r="Q356" s="2">
        <f>IFERROR(VLOOKUP($D356&amp;$C356,生产方式定位!$A$2:$E$39,3,FALSE)+VLOOKUP($E356&amp;$C356,生产方式定位!$F$3:$J$39,3,FALSE),0)</f>
        <v>8600</v>
      </c>
      <c r="V356" s="2">
        <f>IFERROR(VLOOKUP($D356&amp;$C356,生产方式定位!$A$2:$E$39,5,FALSE)+VLOOKUP($E356&amp;$C356,生产方式定位!$F$3:$J$39,5,FALSE),"错误")</f>
        <v>10560</v>
      </c>
      <c r="W356" s="3" t="str">
        <f t="shared" si="25"/>
        <v/>
      </c>
      <c r="X356" s="4" t="str">
        <f t="shared" si="26"/>
        <v/>
      </c>
      <c r="Y356" s="4" t="str">
        <f t="shared" si="27"/>
        <v/>
      </c>
      <c r="Z356" s="5">
        <f t="shared" si="28"/>
        <v>1.14</v>
      </c>
      <c r="AA356" s="6">
        <f t="shared" si="29"/>
        <v>3</v>
      </c>
      <c r="AB356" t="str">
        <f>IFERROR(F356&amp;"*"&amp;ROUND(L356*(G356/(G356+I356+K356))/VLOOKUP(F356,商品!$A$4:$D$67,4,FALSE),0),"")</f>
        <v/>
      </c>
      <c r="AC356" t="str">
        <f>IFERROR(H356&amp;"*"&amp;ROUND(L356*(I356/(G356+I356+K356))/VLOOKUP(H356,商品!$A$4:$D$67,4,FALSE),0),"")</f>
        <v/>
      </c>
      <c r="AD356" t="str">
        <f>IFERROR(J356&amp;"*"&amp;ROUND(L356*(K356/(G356+I356+K356))/VLOOKUP(J356,商品!$A$4:$D$67,4,FALSE),0),"")</f>
        <v/>
      </c>
      <c r="AE356" t="str">
        <f>IFERROR(M356&amp;"*"&amp;ROUND(Q356*(N356/(N356+P356))/VLOOKUP(M356,职业!$A$3:$E$16,4,FALSE),0),"")</f>
        <v/>
      </c>
      <c r="AF356" t="str">
        <f>IFERROR(O356&amp;"*"&amp;ROUND(Q356*(P356/(N356+P356))/VLOOKUP(O356,职业!$A$3:$E$16,4,FALSE),0),"")</f>
        <v/>
      </c>
      <c r="AG356" t="str">
        <f>IFERROR(R356&amp;"*"&amp;ROUND(V356*(S356/(S356+U356))/VLOOKUP(R356,商品!$A$4:$D$67,4,FALSE),0),"")</f>
        <v/>
      </c>
      <c r="AH356" t="str">
        <f>IFERROR(T356&amp;"*"&amp;ROUND(V356*(U356/(S356+U356))/VLOOKUP(T356,商品!$A$4:$D$67,4,FALSE),0),"")</f>
        <v/>
      </c>
    </row>
    <row r="357" customHeight="1" spans="1:34">
      <c r="A357" s="14" t="s">
        <v>349</v>
      </c>
      <c r="C357" s="2">
        <v>4</v>
      </c>
      <c r="D357" s="2" t="s">
        <v>238</v>
      </c>
      <c r="E357" s="2" t="s">
        <v>224</v>
      </c>
      <c r="L357" s="2">
        <f>IFERROR(VLOOKUP($D357&amp;$C357,生产方式定位!$A$2:$E$39,2,FALSE)+VLOOKUP($E357&amp;$C357,生产方式定位!$F$3:$J$39,2,FALSE),0)</f>
        <v>12000</v>
      </c>
      <c r="Q357" s="2">
        <f>IFERROR(VLOOKUP($D357&amp;$C357,生产方式定位!$A$2:$E$39,3,FALSE)+VLOOKUP($E357&amp;$C357,生产方式定位!$F$3:$J$39,3,FALSE),0)</f>
        <v>8900</v>
      </c>
      <c r="V357" s="2">
        <f>IFERROR(VLOOKUP($D357&amp;$C357,生产方式定位!$A$2:$E$39,5,FALSE)+VLOOKUP($E357&amp;$C357,生产方式定位!$F$3:$J$39,5,FALSE),"错误")</f>
        <v>10960</v>
      </c>
      <c r="W357" s="3" t="str">
        <f t="shared" si="25"/>
        <v/>
      </c>
      <c r="X357" s="4" t="str">
        <f t="shared" si="26"/>
        <v/>
      </c>
      <c r="Y357" s="4" t="str">
        <f t="shared" si="27"/>
        <v/>
      </c>
      <c r="Z357" s="5">
        <f t="shared" si="28"/>
        <v>1.09</v>
      </c>
      <c r="AA357" s="6">
        <f t="shared" si="29"/>
        <v>4</v>
      </c>
      <c r="AB357" t="str">
        <f>IFERROR(F357&amp;"*"&amp;ROUND(L357*(G357/(G357+I357+K357))/VLOOKUP(F357,商品!$A$4:$D$67,4,FALSE),0),"")</f>
        <v/>
      </c>
      <c r="AC357" t="str">
        <f>IFERROR(H357&amp;"*"&amp;ROUND(L357*(I357/(G357+I357+K357))/VLOOKUP(H357,商品!$A$4:$D$67,4,FALSE),0),"")</f>
        <v/>
      </c>
      <c r="AD357" t="str">
        <f>IFERROR(J357&amp;"*"&amp;ROUND(L357*(K357/(G357+I357+K357))/VLOOKUP(J357,商品!$A$4:$D$67,4,FALSE),0),"")</f>
        <v/>
      </c>
      <c r="AE357" t="str">
        <f>IFERROR(M357&amp;"*"&amp;ROUND(Q357*(N357/(N357+P357))/VLOOKUP(M357,职业!$A$3:$E$16,4,FALSE),0),"")</f>
        <v/>
      </c>
      <c r="AF357" t="str">
        <f>IFERROR(O357&amp;"*"&amp;ROUND(Q357*(P357/(N357+P357))/VLOOKUP(O357,职业!$A$3:$E$16,4,FALSE),0),"")</f>
        <v/>
      </c>
      <c r="AG357" t="str">
        <f>IFERROR(R357&amp;"*"&amp;ROUND(V357*(S357/(S357+U357))/VLOOKUP(R357,商品!$A$4:$D$67,4,FALSE),0),"")</f>
        <v/>
      </c>
      <c r="AH357" t="str">
        <f>IFERROR(T357&amp;"*"&amp;ROUND(V357*(U357/(S357+U357))/VLOOKUP(T357,商品!$A$4:$D$67,4,FALSE),0),"")</f>
        <v/>
      </c>
    </row>
    <row r="358" customHeight="1" spans="1:34">
      <c r="A358" s="14" t="s">
        <v>349</v>
      </c>
      <c r="C358" s="2">
        <v>5</v>
      </c>
      <c r="D358" s="2" t="s">
        <v>238</v>
      </c>
      <c r="E358" s="2" t="s">
        <v>224</v>
      </c>
      <c r="L358" s="2">
        <f>IFERROR(VLOOKUP($D358&amp;$C358,生产方式定位!$A$2:$E$39,2,FALSE)+VLOOKUP($E358&amp;$C358,生产方式定位!$F$3:$J$39,2,FALSE),0)</f>
        <v>12000</v>
      </c>
      <c r="Q358" s="2">
        <f>IFERROR(VLOOKUP($D358&amp;$C358,生产方式定位!$A$2:$E$39,3,FALSE)+VLOOKUP($E358&amp;$C358,生产方式定位!$F$3:$J$39,3,FALSE),0)</f>
        <v>9200</v>
      </c>
      <c r="V358" s="2">
        <f>IFERROR(VLOOKUP($D358&amp;$C358,生产方式定位!$A$2:$E$39,5,FALSE)+VLOOKUP($E358&amp;$C358,生产方式定位!$F$3:$J$39,5,FALSE),"错误")</f>
        <v>11440</v>
      </c>
      <c r="W358" s="3" t="str">
        <f t="shared" si="25"/>
        <v/>
      </c>
      <c r="X358" s="4" t="str">
        <f t="shared" si="26"/>
        <v/>
      </c>
      <c r="Y358" s="4" t="str">
        <f t="shared" si="27"/>
        <v/>
      </c>
      <c r="Z358" s="5">
        <f t="shared" si="28"/>
        <v>1.05</v>
      </c>
      <c r="AA358" s="6">
        <f t="shared" si="29"/>
        <v>5</v>
      </c>
      <c r="AB358" t="str">
        <f>IFERROR(F358&amp;"*"&amp;ROUND(L358*(G358/(G358+I358+K358))/VLOOKUP(F358,商品!$A$4:$D$67,4,FALSE),0),"")</f>
        <v/>
      </c>
      <c r="AC358" t="str">
        <f>IFERROR(H358&amp;"*"&amp;ROUND(L358*(I358/(G358+I358+K358))/VLOOKUP(H358,商品!$A$4:$D$67,4,FALSE),0),"")</f>
        <v/>
      </c>
      <c r="AD358" t="str">
        <f>IFERROR(J358&amp;"*"&amp;ROUND(L358*(K358/(G358+I358+K358))/VLOOKUP(J358,商品!$A$4:$D$67,4,FALSE),0),"")</f>
        <v/>
      </c>
      <c r="AE358" t="str">
        <f>IFERROR(M358&amp;"*"&amp;ROUND(Q358*(N358/(N358+P358))/VLOOKUP(M358,职业!$A$3:$E$16,4,FALSE),0),"")</f>
        <v/>
      </c>
      <c r="AF358" t="str">
        <f>IFERROR(O358&amp;"*"&amp;ROUND(Q358*(P358/(N358+P358))/VLOOKUP(O358,职业!$A$3:$E$16,4,FALSE),0),"")</f>
        <v/>
      </c>
      <c r="AG358" t="str">
        <f>IFERROR(R358&amp;"*"&amp;ROUND(V358*(S358/(S358+U358))/VLOOKUP(R358,商品!$A$4:$D$67,4,FALSE),0),"")</f>
        <v/>
      </c>
      <c r="AH358" t="str">
        <f>IFERROR(T358&amp;"*"&amp;ROUND(V358*(U358/(S358+U358))/VLOOKUP(T358,商品!$A$4:$D$67,4,FALSE),0),"")</f>
        <v/>
      </c>
    </row>
    <row r="359" customHeight="1" spans="1:34">
      <c r="A359" s="15" t="s">
        <v>350</v>
      </c>
      <c r="C359" s="2">
        <v>1</v>
      </c>
      <c r="D359" s="2" t="s">
        <v>238</v>
      </c>
      <c r="E359" s="2" t="s">
        <v>225</v>
      </c>
      <c r="L359" s="2">
        <f>IFERROR(VLOOKUP($D359&amp;$C359,生产方式定位!$A$2:$E$39,2,FALSE)+VLOOKUP($E359&amp;$C359,生产方式定位!$F$3:$J$39,2,FALSE),0)</f>
        <v>11000</v>
      </c>
      <c r="Q359" s="2">
        <f>IFERROR(VLOOKUP($D359&amp;$C359,生产方式定位!$A$2:$E$39,3,FALSE)+VLOOKUP($E359&amp;$C359,生产方式定位!$F$3:$J$39,3,FALSE),0)</f>
        <v>8000</v>
      </c>
      <c r="V359" s="2">
        <f>IFERROR(VLOOKUP($D359&amp;$C359,生产方式定位!$A$2:$E$39,5,FALSE)+VLOOKUP($E359&amp;$C359,生产方式定位!$F$3:$J$39,5,FALSE),"错误")</f>
        <v>9500</v>
      </c>
      <c r="W359" s="3" t="str">
        <f t="shared" si="25"/>
        <v/>
      </c>
      <c r="X359" s="4" t="str">
        <f t="shared" si="26"/>
        <v/>
      </c>
      <c r="Y359" s="4" t="str">
        <f t="shared" si="27"/>
        <v/>
      </c>
      <c r="Z359" s="5">
        <f t="shared" si="28"/>
        <v>1.16</v>
      </c>
      <c r="AA359" s="6">
        <f t="shared" si="29"/>
        <v>1</v>
      </c>
      <c r="AB359" t="str">
        <f>IFERROR(F359&amp;"*"&amp;ROUND(L359*(G359/(G359+I359+K359))/VLOOKUP(F359,商品!$A$4:$D$67,4,FALSE),0),"")</f>
        <v/>
      </c>
      <c r="AC359" t="str">
        <f>IFERROR(H359&amp;"*"&amp;ROUND(L359*(I359/(G359+I359+K359))/VLOOKUP(H359,商品!$A$4:$D$67,4,FALSE),0),"")</f>
        <v/>
      </c>
      <c r="AD359" t="str">
        <f>IFERROR(J359&amp;"*"&amp;ROUND(L359*(K359/(G359+I359+K359))/VLOOKUP(J359,商品!$A$4:$D$67,4,FALSE),0),"")</f>
        <v/>
      </c>
      <c r="AE359" t="str">
        <f>IFERROR(M359&amp;"*"&amp;ROUND(Q359*(N359/(N359+P359))/VLOOKUP(M359,职业!$A$3:$E$16,4,FALSE),0),"")</f>
        <v/>
      </c>
      <c r="AF359" t="str">
        <f>IFERROR(O359&amp;"*"&amp;ROUND(Q359*(P359/(N359+P359))/VLOOKUP(O359,职业!$A$3:$E$16,4,FALSE),0),"")</f>
        <v/>
      </c>
      <c r="AG359" t="str">
        <f>IFERROR(R359&amp;"*"&amp;ROUND(V359*(S359/(S359+U359))/VLOOKUP(R359,商品!$A$4:$D$67,4,FALSE),0),"")</f>
        <v/>
      </c>
      <c r="AH359" t="str">
        <f>IFERROR(T359&amp;"*"&amp;ROUND(V359*(U359/(S359+U359))/VLOOKUP(T359,商品!$A$4:$D$67,4,FALSE),0),"")</f>
        <v/>
      </c>
    </row>
    <row r="360" customHeight="1" spans="1:34">
      <c r="A360" s="15" t="s">
        <v>350</v>
      </c>
      <c r="C360" s="2">
        <v>2</v>
      </c>
      <c r="D360" s="2" t="s">
        <v>238</v>
      </c>
      <c r="E360" s="2" t="s">
        <v>225</v>
      </c>
      <c r="L360" s="2">
        <f>IFERROR(VLOOKUP($D360&amp;$C360,生产方式定位!$A$2:$E$39,2,FALSE)+VLOOKUP($E360&amp;$C360,生产方式定位!$F$3:$J$39,2,FALSE),0)</f>
        <v>10000</v>
      </c>
      <c r="Q360" s="2">
        <f>IFERROR(VLOOKUP($D360&amp;$C360,生产方式定位!$A$2:$E$39,3,FALSE)+VLOOKUP($E360&amp;$C360,生产方式定位!$F$3:$J$39,3,FALSE),0)</f>
        <v>8500</v>
      </c>
      <c r="V360" s="2">
        <f>IFERROR(VLOOKUP($D360&amp;$C360,生产方式定位!$A$2:$E$39,5,FALSE)+VLOOKUP($E360&amp;$C360,生产方式定位!$F$3:$J$39,5,FALSE),"错误")</f>
        <v>9250</v>
      </c>
      <c r="W360" s="3" t="str">
        <f t="shared" si="25"/>
        <v/>
      </c>
      <c r="X360" s="4" t="str">
        <f t="shared" si="26"/>
        <v/>
      </c>
      <c r="Y360" s="4" t="str">
        <f t="shared" si="27"/>
        <v/>
      </c>
      <c r="Z360" s="5">
        <f t="shared" si="28"/>
        <v>1.08</v>
      </c>
      <c r="AA360" s="6">
        <f t="shared" si="29"/>
        <v>2</v>
      </c>
      <c r="AB360" t="str">
        <f>IFERROR(F360&amp;"*"&amp;ROUND(L360*(G360/(G360+I360+K360))/VLOOKUP(F360,商品!$A$4:$D$67,4,FALSE),0),"")</f>
        <v/>
      </c>
      <c r="AC360" t="str">
        <f>IFERROR(H360&amp;"*"&amp;ROUND(L360*(I360/(G360+I360+K360))/VLOOKUP(H360,商品!$A$4:$D$67,4,FALSE),0),"")</f>
        <v/>
      </c>
      <c r="AD360" t="str">
        <f>IFERROR(J360&amp;"*"&amp;ROUND(L360*(K360/(G360+I360+K360))/VLOOKUP(J360,商品!$A$4:$D$67,4,FALSE),0),"")</f>
        <v/>
      </c>
      <c r="AE360" t="str">
        <f>IFERROR(M360&amp;"*"&amp;ROUND(Q360*(N360/(N360+P360))/VLOOKUP(M360,职业!$A$3:$E$16,4,FALSE),0),"")</f>
        <v/>
      </c>
      <c r="AF360" t="str">
        <f>IFERROR(O360&amp;"*"&amp;ROUND(Q360*(P360/(N360+P360))/VLOOKUP(O360,职业!$A$3:$E$16,4,FALSE),0),"")</f>
        <v/>
      </c>
      <c r="AG360" t="str">
        <f>IFERROR(R360&amp;"*"&amp;ROUND(V360*(S360/(S360+U360))/VLOOKUP(R360,商品!$A$4:$D$67,4,FALSE),0),"")</f>
        <v/>
      </c>
      <c r="AH360" t="str">
        <f>IFERROR(T360&amp;"*"&amp;ROUND(V360*(U360/(S360+U360))/VLOOKUP(T360,商品!$A$4:$D$67,4,FALSE),0),"")</f>
        <v/>
      </c>
    </row>
    <row r="361" customHeight="1" spans="1:34">
      <c r="A361" s="15" t="s">
        <v>350</v>
      </c>
      <c r="C361" s="2">
        <v>3</v>
      </c>
      <c r="D361" s="2" t="s">
        <v>238</v>
      </c>
      <c r="E361" s="2" t="s">
        <v>225</v>
      </c>
      <c r="L361" s="2">
        <f>IFERROR(VLOOKUP($D361&amp;$C361,生产方式定位!$A$2:$E$39,2,FALSE)+VLOOKUP($E361&amp;$C361,生产方式定位!$F$3:$J$39,2,FALSE),0)</f>
        <v>9000</v>
      </c>
      <c r="Q361" s="2">
        <f>IFERROR(VLOOKUP($D361&amp;$C361,生产方式定位!$A$2:$E$39,3,FALSE)+VLOOKUP($E361&amp;$C361,生产方式定位!$F$3:$J$39,3,FALSE),0)</f>
        <v>9000</v>
      </c>
      <c r="V361" s="2">
        <f>IFERROR(VLOOKUP($D361&amp;$C361,生产方式定位!$A$2:$E$39,5,FALSE)+VLOOKUP($E361&amp;$C361,生产方式定位!$F$3:$J$39,5,FALSE),"错误")</f>
        <v>9000</v>
      </c>
      <c r="W361" s="3" t="str">
        <f t="shared" si="25"/>
        <v/>
      </c>
      <c r="X361" s="4" t="str">
        <f t="shared" si="26"/>
        <v/>
      </c>
      <c r="Y361" s="4" t="str">
        <f t="shared" si="27"/>
        <v/>
      </c>
      <c r="Z361" s="5">
        <f t="shared" si="28"/>
        <v>1</v>
      </c>
      <c r="AA361" s="6">
        <f t="shared" si="29"/>
        <v>3</v>
      </c>
      <c r="AB361" t="str">
        <f>IFERROR(F361&amp;"*"&amp;ROUND(L361*(G361/(G361+I361+K361))/VLOOKUP(F361,商品!$A$4:$D$67,4,FALSE),0),"")</f>
        <v/>
      </c>
      <c r="AC361" t="str">
        <f>IFERROR(H361&amp;"*"&amp;ROUND(L361*(I361/(G361+I361+K361))/VLOOKUP(H361,商品!$A$4:$D$67,4,FALSE),0),"")</f>
        <v/>
      </c>
      <c r="AD361" t="str">
        <f>IFERROR(J361&amp;"*"&amp;ROUND(L361*(K361/(G361+I361+K361))/VLOOKUP(J361,商品!$A$4:$D$67,4,FALSE),0),"")</f>
        <v/>
      </c>
      <c r="AE361" t="str">
        <f>IFERROR(M361&amp;"*"&amp;ROUND(Q361*(N361/(N361+P361))/VLOOKUP(M361,职业!$A$3:$E$16,4,FALSE),0),"")</f>
        <v/>
      </c>
      <c r="AF361" t="str">
        <f>IFERROR(O361&amp;"*"&amp;ROUND(Q361*(P361/(N361+P361))/VLOOKUP(O361,职业!$A$3:$E$16,4,FALSE),0),"")</f>
        <v/>
      </c>
      <c r="AG361" t="str">
        <f>IFERROR(R361&amp;"*"&amp;ROUND(V361*(S361/(S361+U361))/VLOOKUP(R361,商品!$A$4:$D$67,4,FALSE),0),"")</f>
        <v/>
      </c>
      <c r="AH361" t="str">
        <f>IFERROR(T361&amp;"*"&amp;ROUND(V361*(U361/(S361+U361))/VLOOKUP(T361,商品!$A$4:$D$67,4,FALSE),0),"")</f>
        <v/>
      </c>
    </row>
    <row r="362" customHeight="1" spans="1:34">
      <c r="A362" s="15" t="s">
        <v>350</v>
      </c>
      <c r="C362" s="2">
        <v>4</v>
      </c>
      <c r="D362" s="2" t="s">
        <v>238</v>
      </c>
      <c r="E362" s="2" t="s">
        <v>225</v>
      </c>
      <c r="L362" s="2">
        <f>IFERROR(VLOOKUP($D362&amp;$C362,生产方式定位!$A$2:$E$39,2,FALSE)+VLOOKUP($E362&amp;$C362,生产方式定位!$F$3:$J$39,2,FALSE),0)</f>
        <v>8000</v>
      </c>
      <c r="Q362" s="2">
        <f>IFERROR(VLOOKUP($D362&amp;$C362,生产方式定位!$A$2:$E$39,3,FALSE)+VLOOKUP($E362&amp;$C362,生产方式定位!$F$3:$J$39,3,FALSE),0)</f>
        <v>9500</v>
      </c>
      <c r="V362" s="2">
        <f>IFERROR(VLOOKUP($D362&amp;$C362,生产方式定位!$A$2:$E$39,5,FALSE)+VLOOKUP($E362&amp;$C362,生产方式定位!$F$3:$J$39,5,FALSE),"错误")</f>
        <v>8750</v>
      </c>
      <c r="W362" s="3" t="str">
        <f t="shared" si="25"/>
        <v/>
      </c>
      <c r="X362" s="4" t="str">
        <f t="shared" si="26"/>
        <v/>
      </c>
      <c r="Y362" s="4" t="str">
        <f t="shared" si="27"/>
        <v/>
      </c>
      <c r="Z362" s="5">
        <f t="shared" si="28"/>
        <v>0.91</v>
      </c>
      <c r="AA362" s="6">
        <f t="shared" si="29"/>
        <v>4</v>
      </c>
      <c r="AB362" t="str">
        <f>IFERROR(F362&amp;"*"&amp;ROUND(L362*(G362/(G362+I362+K362))/VLOOKUP(F362,商品!$A$4:$D$67,4,FALSE),0),"")</f>
        <v/>
      </c>
      <c r="AC362" t="str">
        <f>IFERROR(H362&amp;"*"&amp;ROUND(L362*(I362/(G362+I362+K362))/VLOOKUP(H362,商品!$A$4:$D$67,4,FALSE),0),"")</f>
        <v/>
      </c>
      <c r="AD362" t="str">
        <f>IFERROR(J362&amp;"*"&amp;ROUND(L362*(K362/(G362+I362+K362))/VLOOKUP(J362,商品!$A$4:$D$67,4,FALSE),0),"")</f>
        <v/>
      </c>
      <c r="AE362" t="str">
        <f>IFERROR(M362&amp;"*"&amp;ROUND(Q362*(N362/(N362+P362))/VLOOKUP(M362,职业!$A$3:$E$16,4,FALSE),0),"")</f>
        <v/>
      </c>
      <c r="AF362" t="str">
        <f>IFERROR(O362&amp;"*"&amp;ROUND(Q362*(P362/(N362+P362))/VLOOKUP(O362,职业!$A$3:$E$16,4,FALSE),0),"")</f>
        <v/>
      </c>
      <c r="AG362" t="str">
        <f>IFERROR(R362&amp;"*"&amp;ROUND(V362*(S362/(S362+U362))/VLOOKUP(R362,商品!$A$4:$D$67,4,FALSE),0),"")</f>
        <v/>
      </c>
      <c r="AH362" t="str">
        <f>IFERROR(T362&amp;"*"&amp;ROUND(V362*(U362/(S362+U362))/VLOOKUP(T362,商品!$A$4:$D$67,4,FALSE),0),"")</f>
        <v/>
      </c>
    </row>
    <row r="363" customHeight="1" spans="1:34">
      <c r="A363" s="15" t="s">
        <v>350</v>
      </c>
      <c r="C363" s="2">
        <v>5</v>
      </c>
      <c r="D363" s="2" t="s">
        <v>238</v>
      </c>
      <c r="E363" s="2" t="s">
        <v>225</v>
      </c>
      <c r="L363" s="2">
        <f>IFERROR(VLOOKUP($D363&amp;$C363,生产方式定位!$A$2:$E$39,2,FALSE)+VLOOKUP($E363&amp;$C363,生产方式定位!$F$3:$J$39,2,FALSE),0)</f>
        <v>7000</v>
      </c>
      <c r="Q363" s="2">
        <f>IFERROR(VLOOKUP($D363&amp;$C363,生产方式定位!$A$2:$E$39,3,FALSE)+VLOOKUP($E363&amp;$C363,生产方式定位!$F$3:$J$39,3,FALSE),0)</f>
        <v>10000</v>
      </c>
      <c r="V363" s="2">
        <f>IFERROR(VLOOKUP($D363&amp;$C363,生产方式定位!$A$2:$E$39,5,FALSE)+VLOOKUP($E363&amp;$C363,生产方式定位!$F$3:$J$39,5,FALSE),"错误")</f>
        <v>8500</v>
      </c>
      <c r="W363" s="3" t="str">
        <f t="shared" si="25"/>
        <v/>
      </c>
      <c r="X363" s="4" t="str">
        <f t="shared" si="26"/>
        <v/>
      </c>
      <c r="Y363" s="4" t="str">
        <f t="shared" si="27"/>
        <v/>
      </c>
      <c r="Z363" s="5">
        <f t="shared" si="28"/>
        <v>0.82</v>
      </c>
      <c r="AA363" s="6">
        <f t="shared" si="29"/>
        <v>5</v>
      </c>
      <c r="AB363" t="str">
        <f>IFERROR(F363&amp;"*"&amp;ROUND(L363*(G363/(G363+I363+K363))/VLOOKUP(F363,商品!$A$4:$D$67,4,FALSE),0),"")</f>
        <v/>
      </c>
      <c r="AC363" t="str">
        <f>IFERROR(H363&amp;"*"&amp;ROUND(L363*(I363/(G363+I363+K363))/VLOOKUP(H363,商品!$A$4:$D$67,4,FALSE),0),"")</f>
        <v/>
      </c>
      <c r="AD363" t="str">
        <f>IFERROR(J363&amp;"*"&amp;ROUND(L363*(K363/(G363+I363+K363))/VLOOKUP(J363,商品!$A$4:$D$67,4,FALSE),0),"")</f>
        <v/>
      </c>
      <c r="AE363" t="str">
        <f>IFERROR(M363&amp;"*"&amp;ROUND(Q363*(N363/(N363+P363))/VLOOKUP(M363,职业!$A$3:$E$16,4,FALSE),0),"")</f>
        <v/>
      </c>
      <c r="AF363" t="str">
        <f>IFERROR(O363&amp;"*"&amp;ROUND(Q363*(P363/(N363+P363))/VLOOKUP(O363,职业!$A$3:$E$16,4,FALSE),0),"")</f>
        <v/>
      </c>
      <c r="AG363" t="str">
        <f>IFERROR(R363&amp;"*"&amp;ROUND(V363*(S363/(S363+U363))/VLOOKUP(R363,商品!$A$4:$D$67,4,FALSE),0),"")</f>
        <v/>
      </c>
      <c r="AH363" t="str">
        <f>IFERROR(T363&amp;"*"&amp;ROUND(V363*(U363/(S363+U363))/VLOOKUP(T363,商品!$A$4:$D$67,4,FALSE),0),"")</f>
        <v/>
      </c>
    </row>
    <row r="364" customHeight="1" spans="1:34">
      <c r="A364" s="15" t="s">
        <v>350</v>
      </c>
      <c r="C364" s="2">
        <v>1</v>
      </c>
      <c r="D364" s="2" t="s">
        <v>238</v>
      </c>
      <c r="E364" s="2" t="s">
        <v>225</v>
      </c>
      <c r="L364" s="2">
        <f>IFERROR(VLOOKUP($D364&amp;$C364,生产方式定位!$A$2:$E$39,2,FALSE)+VLOOKUP($E364&amp;$C364,生产方式定位!$F$3:$J$39,2,FALSE),0)</f>
        <v>11000</v>
      </c>
      <c r="Q364" s="2">
        <f>IFERROR(VLOOKUP($D364&amp;$C364,生产方式定位!$A$2:$E$39,3,FALSE)+VLOOKUP($E364&amp;$C364,生产方式定位!$F$3:$J$39,3,FALSE),0)</f>
        <v>8000</v>
      </c>
      <c r="V364" s="2">
        <f>IFERROR(VLOOKUP($D364&amp;$C364,生产方式定位!$A$2:$E$39,5,FALSE)+VLOOKUP($E364&amp;$C364,生产方式定位!$F$3:$J$39,5,FALSE),"错误")</f>
        <v>9500</v>
      </c>
      <c r="W364" s="3" t="str">
        <f t="shared" si="25"/>
        <v/>
      </c>
      <c r="X364" s="4" t="str">
        <f t="shared" si="26"/>
        <v/>
      </c>
      <c r="Y364" s="4" t="str">
        <f t="shared" si="27"/>
        <v/>
      </c>
      <c r="Z364" s="5">
        <f t="shared" si="28"/>
        <v>1.16</v>
      </c>
      <c r="AA364" s="6">
        <f t="shared" si="29"/>
        <v>1</v>
      </c>
      <c r="AB364" t="str">
        <f>IFERROR(F364&amp;"*"&amp;ROUND(L364*(G364/(G364+I364+K364))/VLOOKUP(F364,商品!$A$4:$D$67,4,FALSE),0),"")</f>
        <v/>
      </c>
      <c r="AC364" t="str">
        <f>IFERROR(H364&amp;"*"&amp;ROUND(L364*(I364/(G364+I364+K364))/VLOOKUP(H364,商品!$A$4:$D$67,4,FALSE),0),"")</f>
        <v/>
      </c>
      <c r="AD364" t="str">
        <f>IFERROR(J364&amp;"*"&amp;ROUND(L364*(K364/(G364+I364+K364))/VLOOKUP(J364,商品!$A$4:$D$67,4,FALSE),0),"")</f>
        <v/>
      </c>
      <c r="AE364" t="str">
        <f>IFERROR(M364&amp;"*"&amp;ROUND(Q364*(N364/(N364+P364))/VLOOKUP(M364,职业!$A$3:$E$16,4,FALSE),0),"")</f>
        <v/>
      </c>
      <c r="AF364" t="str">
        <f>IFERROR(O364&amp;"*"&amp;ROUND(Q364*(P364/(N364+P364))/VLOOKUP(O364,职业!$A$3:$E$16,4,FALSE),0),"")</f>
        <v/>
      </c>
      <c r="AG364" t="str">
        <f>IFERROR(R364&amp;"*"&amp;ROUND(V364*(S364/(S364+U364))/VLOOKUP(R364,商品!$A$4:$D$67,4,FALSE),0),"")</f>
        <v/>
      </c>
      <c r="AH364" t="str">
        <f>IFERROR(T364&amp;"*"&amp;ROUND(V364*(U364/(S364+U364))/VLOOKUP(T364,商品!$A$4:$D$67,4,FALSE),0),"")</f>
        <v/>
      </c>
    </row>
    <row r="365" customHeight="1" spans="1:34">
      <c r="A365" s="15" t="s">
        <v>350</v>
      </c>
      <c r="C365" s="2">
        <v>2</v>
      </c>
      <c r="D365" s="2" t="s">
        <v>238</v>
      </c>
      <c r="E365" s="2" t="s">
        <v>225</v>
      </c>
      <c r="L365" s="2">
        <f>IFERROR(VLOOKUP($D365&amp;$C365,生产方式定位!$A$2:$E$39,2,FALSE)+VLOOKUP($E365&amp;$C365,生产方式定位!$F$3:$J$39,2,FALSE),0)</f>
        <v>10000</v>
      </c>
      <c r="Q365" s="2">
        <f>IFERROR(VLOOKUP($D365&amp;$C365,生产方式定位!$A$2:$E$39,3,FALSE)+VLOOKUP($E365&amp;$C365,生产方式定位!$F$3:$J$39,3,FALSE),0)</f>
        <v>8500</v>
      </c>
      <c r="V365" s="2">
        <f>IFERROR(VLOOKUP($D365&amp;$C365,生产方式定位!$A$2:$E$39,5,FALSE)+VLOOKUP($E365&amp;$C365,生产方式定位!$F$3:$J$39,5,FALSE),"错误")</f>
        <v>9250</v>
      </c>
      <c r="W365" s="3" t="str">
        <f t="shared" si="25"/>
        <v/>
      </c>
      <c r="X365" s="4" t="str">
        <f t="shared" si="26"/>
        <v/>
      </c>
      <c r="Y365" s="4" t="str">
        <f t="shared" si="27"/>
        <v/>
      </c>
      <c r="Z365" s="5">
        <f t="shared" si="28"/>
        <v>1.08</v>
      </c>
      <c r="AA365" s="6">
        <f t="shared" si="29"/>
        <v>2</v>
      </c>
      <c r="AB365" t="str">
        <f>IFERROR(F365&amp;"*"&amp;ROUND(L365*(G365/(G365+I365+K365))/VLOOKUP(F365,商品!$A$4:$D$67,4,FALSE),0),"")</f>
        <v/>
      </c>
      <c r="AC365" t="str">
        <f>IFERROR(H365&amp;"*"&amp;ROUND(L365*(I365/(G365+I365+K365))/VLOOKUP(H365,商品!$A$4:$D$67,4,FALSE),0),"")</f>
        <v/>
      </c>
      <c r="AD365" t="str">
        <f>IFERROR(J365&amp;"*"&amp;ROUND(L365*(K365/(G365+I365+K365))/VLOOKUP(J365,商品!$A$4:$D$67,4,FALSE),0),"")</f>
        <v/>
      </c>
      <c r="AE365" t="str">
        <f>IFERROR(M365&amp;"*"&amp;ROUND(Q365*(N365/(N365+P365))/VLOOKUP(M365,职业!$A$3:$E$16,4,FALSE),0),"")</f>
        <v/>
      </c>
      <c r="AF365" t="str">
        <f>IFERROR(O365&amp;"*"&amp;ROUND(Q365*(P365/(N365+P365))/VLOOKUP(O365,职业!$A$3:$E$16,4,FALSE),0),"")</f>
        <v/>
      </c>
      <c r="AG365" t="str">
        <f>IFERROR(R365&amp;"*"&amp;ROUND(V365*(S365/(S365+U365))/VLOOKUP(R365,商品!$A$4:$D$67,4,FALSE),0),"")</f>
        <v/>
      </c>
      <c r="AH365" t="str">
        <f>IFERROR(T365&amp;"*"&amp;ROUND(V365*(U365/(S365+U365))/VLOOKUP(T365,商品!$A$4:$D$67,4,FALSE),0),"")</f>
        <v/>
      </c>
    </row>
    <row r="366" customHeight="1" spans="1:34">
      <c r="A366" s="15" t="s">
        <v>350</v>
      </c>
      <c r="C366" s="2">
        <v>3</v>
      </c>
      <c r="D366" s="2" t="s">
        <v>238</v>
      </c>
      <c r="E366" s="2" t="s">
        <v>225</v>
      </c>
      <c r="L366" s="2">
        <f>IFERROR(VLOOKUP($D366&amp;$C366,生产方式定位!$A$2:$E$39,2,FALSE)+VLOOKUP($E366&amp;$C366,生产方式定位!$F$3:$J$39,2,FALSE),0)</f>
        <v>9000</v>
      </c>
      <c r="Q366" s="2">
        <f>IFERROR(VLOOKUP($D366&amp;$C366,生产方式定位!$A$2:$E$39,3,FALSE)+VLOOKUP($E366&amp;$C366,生产方式定位!$F$3:$J$39,3,FALSE),0)</f>
        <v>9000</v>
      </c>
      <c r="V366" s="2">
        <f>IFERROR(VLOOKUP($D366&amp;$C366,生产方式定位!$A$2:$E$39,5,FALSE)+VLOOKUP($E366&amp;$C366,生产方式定位!$F$3:$J$39,5,FALSE),"错误")</f>
        <v>9000</v>
      </c>
      <c r="W366" s="3" t="str">
        <f t="shared" si="25"/>
        <v/>
      </c>
      <c r="X366" s="4" t="str">
        <f t="shared" si="26"/>
        <v/>
      </c>
      <c r="Y366" s="4" t="str">
        <f t="shared" si="27"/>
        <v/>
      </c>
      <c r="Z366" s="5">
        <f t="shared" si="28"/>
        <v>1</v>
      </c>
      <c r="AA366" s="6">
        <f t="shared" si="29"/>
        <v>3</v>
      </c>
      <c r="AB366" t="str">
        <f>IFERROR(F366&amp;"*"&amp;ROUND(L366*(G366/(G366+I366+K366))/VLOOKUP(F366,商品!$A$4:$D$67,4,FALSE),0),"")</f>
        <v/>
      </c>
      <c r="AC366" t="str">
        <f>IFERROR(H366&amp;"*"&amp;ROUND(L366*(I366/(G366+I366+K366))/VLOOKUP(H366,商品!$A$4:$D$67,4,FALSE),0),"")</f>
        <v/>
      </c>
      <c r="AD366" t="str">
        <f>IFERROR(J366&amp;"*"&amp;ROUND(L366*(K366/(G366+I366+K366))/VLOOKUP(J366,商品!$A$4:$D$67,4,FALSE),0),"")</f>
        <v/>
      </c>
      <c r="AE366" t="str">
        <f>IFERROR(M366&amp;"*"&amp;ROUND(Q366*(N366/(N366+P366))/VLOOKUP(M366,职业!$A$3:$E$16,4,FALSE),0),"")</f>
        <v/>
      </c>
      <c r="AF366" t="str">
        <f>IFERROR(O366&amp;"*"&amp;ROUND(Q366*(P366/(N366+P366))/VLOOKUP(O366,职业!$A$3:$E$16,4,FALSE),0),"")</f>
        <v/>
      </c>
      <c r="AG366" t="str">
        <f>IFERROR(R366&amp;"*"&amp;ROUND(V366*(S366/(S366+U366))/VLOOKUP(R366,商品!$A$4:$D$67,4,FALSE),0),"")</f>
        <v/>
      </c>
      <c r="AH366" t="str">
        <f>IFERROR(T366&amp;"*"&amp;ROUND(V366*(U366/(S366+U366))/VLOOKUP(T366,商品!$A$4:$D$67,4,FALSE),0),"")</f>
        <v/>
      </c>
    </row>
    <row r="367" customHeight="1" spans="1:34">
      <c r="A367" s="14" t="s">
        <v>352</v>
      </c>
      <c r="C367" s="2">
        <v>4</v>
      </c>
      <c r="D367" s="2" t="s">
        <v>238</v>
      </c>
      <c r="E367" s="2" t="s">
        <v>222</v>
      </c>
      <c r="L367" s="2">
        <f>IFERROR(VLOOKUP($D367&amp;$C367,生产方式定位!$A$2:$E$39,2,FALSE)+VLOOKUP($E367&amp;$C367,生产方式定位!$F$3:$J$39,2,FALSE),0)</f>
        <v>11000</v>
      </c>
      <c r="Q367" s="2">
        <f>IFERROR(VLOOKUP($D367&amp;$C367,生产方式定位!$A$2:$E$39,3,FALSE)+VLOOKUP($E367&amp;$C367,生产方式定位!$F$3:$J$39,3,FALSE),0)</f>
        <v>10100</v>
      </c>
      <c r="V367" s="2">
        <f>IFERROR(VLOOKUP($D367&amp;$C367,生产方式定位!$A$2:$E$39,5,FALSE)+VLOOKUP($E367&amp;$C367,生产方式定位!$F$3:$J$39,5,FALSE),"错误")</f>
        <v>11198</v>
      </c>
      <c r="W367" s="3" t="str">
        <f t="shared" si="25"/>
        <v/>
      </c>
      <c r="X367" s="4" t="str">
        <f t="shared" si="26"/>
        <v/>
      </c>
      <c r="Y367" s="4" t="str">
        <f t="shared" si="27"/>
        <v/>
      </c>
      <c r="Z367" s="5">
        <f t="shared" si="28"/>
        <v>0.98</v>
      </c>
      <c r="AA367" s="6">
        <f t="shared" si="29"/>
        <v>4</v>
      </c>
      <c r="AB367" t="str">
        <f>IFERROR(F367&amp;"*"&amp;ROUND(L367*(G367/(G367+I367+K367))/VLOOKUP(F367,商品!$A$4:$D$67,4,FALSE),0),"")</f>
        <v/>
      </c>
      <c r="AC367" t="str">
        <f>IFERROR(H367&amp;"*"&amp;ROUND(L367*(I367/(G367+I367+K367))/VLOOKUP(H367,商品!$A$4:$D$67,4,FALSE),0),"")</f>
        <v/>
      </c>
      <c r="AD367" t="str">
        <f>IFERROR(J367&amp;"*"&amp;ROUND(L367*(K367/(G367+I367+K367))/VLOOKUP(J367,商品!$A$4:$D$67,4,FALSE),0),"")</f>
        <v/>
      </c>
      <c r="AE367" t="str">
        <f>IFERROR(M367&amp;"*"&amp;ROUND(Q367*(N367/(N367+P367))/VLOOKUP(M367,职业!$A$3:$E$16,4,FALSE),0),"")</f>
        <v/>
      </c>
      <c r="AF367" t="str">
        <f>IFERROR(O367&amp;"*"&amp;ROUND(Q367*(P367/(N367+P367))/VLOOKUP(O367,职业!$A$3:$E$16,4,FALSE),0),"")</f>
        <v/>
      </c>
      <c r="AG367" t="str">
        <f>IFERROR(R367&amp;"*"&amp;ROUND(V367*(S367/(S367+U367))/VLOOKUP(R367,商品!$A$4:$D$67,4,FALSE),0),"")</f>
        <v/>
      </c>
      <c r="AH367" t="str">
        <f>IFERROR(T367&amp;"*"&amp;ROUND(V367*(U367/(S367+U367))/VLOOKUP(T367,商品!$A$4:$D$67,4,FALSE),0),"")</f>
        <v/>
      </c>
    </row>
    <row r="368" customHeight="1" spans="1:34">
      <c r="A368" s="14" t="s">
        <v>352</v>
      </c>
      <c r="C368" s="2">
        <v>5</v>
      </c>
      <c r="D368" s="2" t="s">
        <v>238</v>
      </c>
      <c r="E368" s="2" t="s">
        <v>222</v>
      </c>
      <c r="L368" s="2">
        <f>IFERROR(VLOOKUP($D368&amp;$C368,生产方式定位!$A$2:$E$39,2,FALSE)+VLOOKUP($E368&amp;$C368,生产方式定位!$F$3:$J$39,2,FALSE),0)</f>
        <v>11000</v>
      </c>
      <c r="Q368" s="2">
        <f>IFERROR(VLOOKUP($D368&amp;$C368,生产方式定位!$A$2:$E$39,3,FALSE)+VLOOKUP($E368&amp;$C368,生产方式定位!$F$3:$J$39,3,FALSE),0)</f>
        <v>10800</v>
      </c>
      <c r="V368" s="2">
        <f>IFERROR(VLOOKUP($D368&amp;$C368,生产方式定位!$A$2:$E$39,5,FALSE)+VLOOKUP($E368&amp;$C368,生产方式定位!$F$3:$J$39,5,FALSE),"错误")</f>
        <v>12100</v>
      </c>
      <c r="W368" s="3" t="str">
        <f t="shared" si="25"/>
        <v/>
      </c>
      <c r="X368" s="4" t="str">
        <f t="shared" si="26"/>
        <v/>
      </c>
      <c r="Y368" s="4" t="str">
        <f t="shared" si="27"/>
        <v/>
      </c>
      <c r="Z368" s="5">
        <f t="shared" si="28"/>
        <v>0.91</v>
      </c>
      <c r="AA368" s="6">
        <f t="shared" si="29"/>
        <v>5</v>
      </c>
      <c r="AB368" t="str">
        <f>IFERROR(F368&amp;"*"&amp;ROUND(L368*(G368/(G368+I368+K368))/VLOOKUP(F368,商品!$A$4:$D$67,4,FALSE),0),"")</f>
        <v/>
      </c>
      <c r="AC368" t="str">
        <f>IFERROR(H368&amp;"*"&amp;ROUND(L368*(I368/(G368+I368+K368))/VLOOKUP(H368,商品!$A$4:$D$67,4,FALSE),0),"")</f>
        <v/>
      </c>
      <c r="AD368" t="str">
        <f>IFERROR(J368&amp;"*"&amp;ROUND(L368*(K368/(G368+I368+K368))/VLOOKUP(J368,商品!$A$4:$D$67,4,FALSE),0),"")</f>
        <v/>
      </c>
      <c r="AE368" t="str">
        <f>IFERROR(M368&amp;"*"&amp;ROUND(Q368*(N368/(N368+P368))/VLOOKUP(M368,职业!$A$3:$E$16,4,FALSE),0),"")</f>
        <v/>
      </c>
      <c r="AF368" t="str">
        <f>IFERROR(O368&amp;"*"&amp;ROUND(Q368*(P368/(N368+P368))/VLOOKUP(O368,职业!$A$3:$E$16,4,FALSE),0),"")</f>
        <v/>
      </c>
      <c r="AG368" t="str">
        <f>IFERROR(R368&amp;"*"&amp;ROUND(V368*(S368/(S368+U368))/VLOOKUP(R368,商品!$A$4:$D$67,4,FALSE),0),"")</f>
        <v/>
      </c>
      <c r="AH368" t="str">
        <f>IFERROR(T368&amp;"*"&amp;ROUND(V368*(U368/(S368+U368))/VLOOKUP(T368,商品!$A$4:$D$67,4,FALSE),0),"")</f>
        <v/>
      </c>
    </row>
    <row r="369" customHeight="1" spans="1:34">
      <c r="A369" s="14" t="s">
        <v>352</v>
      </c>
      <c r="C369" s="2">
        <v>6</v>
      </c>
      <c r="D369" s="2" t="s">
        <v>238</v>
      </c>
      <c r="E369" s="2" t="s">
        <v>222</v>
      </c>
      <c r="L369" s="2">
        <f>IFERROR(VLOOKUP($D369&amp;$C369,生产方式定位!$A$2:$E$39,2,FALSE)+VLOOKUP($E369&amp;$C369,生产方式定位!$F$3:$J$39,2,FALSE),0)</f>
        <v>0</v>
      </c>
      <c r="Q369" s="2">
        <f>IFERROR(VLOOKUP($D369&amp;$C369,生产方式定位!$A$2:$E$39,3,FALSE)+VLOOKUP($E369&amp;$C369,生产方式定位!$F$3:$J$39,3,FALSE),0)</f>
        <v>0</v>
      </c>
      <c r="V369" s="2" t="str">
        <f>IFERROR(VLOOKUP($D369&amp;$C369,生产方式定位!$A$2:$E$39,5,FALSE)+VLOOKUP($E369&amp;$C369,生产方式定位!$F$3:$J$39,5,FALSE),"错误")</f>
        <v>错误</v>
      </c>
      <c r="W369" s="3" t="str">
        <f t="shared" si="25"/>
        <v/>
      </c>
      <c r="X369" s="4" t="str">
        <f t="shared" si="26"/>
        <v/>
      </c>
      <c r="Y369" s="4" t="str">
        <f t="shared" si="27"/>
        <v/>
      </c>
      <c r="Z369" s="5" t="str">
        <f t="shared" si="28"/>
        <v/>
      </c>
      <c r="AA369" s="6">
        <f t="shared" si="29"/>
        <v>6</v>
      </c>
      <c r="AB369" t="str">
        <f>IFERROR(F369&amp;"*"&amp;ROUND(L369*(G369/(G369+I369+K369))/VLOOKUP(F369,商品!$A$4:$D$67,4,FALSE),0),"")</f>
        <v/>
      </c>
      <c r="AC369" t="str">
        <f>IFERROR(H369&amp;"*"&amp;ROUND(L369*(I369/(G369+I369+K369))/VLOOKUP(H369,商品!$A$4:$D$67,4,FALSE),0),"")</f>
        <v/>
      </c>
      <c r="AD369" t="str">
        <f>IFERROR(J369&amp;"*"&amp;ROUND(L369*(K369/(G369+I369+K369))/VLOOKUP(J369,商品!$A$4:$D$67,4,FALSE),0),"")</f>
        <v/>
      </c>
      <c r="AE369" t="str">
        <f>IFERROR(M369&amp;"*"&amp;ROUND(Q369*(N369/(N369+P369))/VLOOKUP(M369,职业!$A$3:$E$16,4,FALSE),0),"")</f>
        <v/>
      </c>
      <c r="AF369" t="str">
        <f>IFERROR(O369&amp;"*"&amp;ROUND(Q369*(P369/(N369+P369))/VLOOKUP(O369,职业!$A$3:$E$16,4,FALSE),0),"")</f>
        <v/>
      </c>
      <c r="AG369" t="str">
        <f>IFERROR(R369&amp;"*"&amp;ROUND(V369*(S369/(S369+U369))/VLOOKUP(R369,商品!$A$4:$D$67,4,FALSE),0),"")</f>
        <v/>
      </c>
      <c r="AH369" t="str">
        <f>IFERROR(T369&amp;"*"&amp;ROUND(V369*(U369/(S369+U369))/VLOOKUP(T369,商品!$A$4:$D$67,4,FALSE),0),"")</f>
        <v/>
      </c>
    </row>
    <row r="370" customHeight="1" spans="1:34">
      <c r="A370" s="14" t="s">
        <v>352</v>
      </c>
      <c r="C370" s="2">
        <v>7</v>
      </c>
      <c r="D370" s="2" t="s">
        <v>238</v>
      </c>
      <c r="E370" s="2" t="s">
        <v>222</v>
      </c>
      <c r="L370" s="2">
        <f>IFERROR(VLOOKUP($D370&amp;$C370,生产方式定位!$A$2:$E$39,2,FALSE)+VLOOKUP($E370&amp;$C370,生产方式定位!$F$3:$J$39,2,FALSE),0)</f>
        <v>0</v>
      </c>
      <c r="Q370" s="2">
        <f>IFERROR(VLOOKUP($D370&amp;$C370,生产方式定位!$A$2:$E$39,3,FALSE)+VLOOKUP($E370&amp;$C370,生产方式定位!$F$3:$J$39,3,FALSE),0)</f>
        <v>0</v>
      </c>
      <c r="V370" s="2" t="str">
        <f>IFERROR(VLOOKUP($D370&amp;$C370,生产方式定位!$A$2:$E$39,5,FALSE)+VLOOKUP($E370&amp;$C370,生产方式定位!$F$3:$J$39,5,FALSE),"错误")</f>
        <v>错误</v>
      </c>
      <c r="W370" s="3" t="str">
        <f t="shared" si="25"/>
        <v/>
      </c>
      <c r="X370" s="4" t="str">
        <f t="shared" si="26"/>
        <v/>
      </c>
      <c r="Y370" s="4" t="str">
        <f t="shared" si="27"/>
        <v/>
      </c>
      <c r="Z370" s="5" t="str">
        <f t="shared" si="28"/>
        <v/>
      </c>
      <c r="AA370" s="6">
        <f t="shared" si="29"/>
        <v>7</v>
      </c>
      <c r="AB370" t="str">
        <f>IFERROR(F370&amp;"*"&amp;ROUND(L370*(G370/(G370+I370+K370))/VLOOKUP(F370,商品!$A$4:$D$67,4,FALSE),0),"")</f>
        <v/>
      </c>
      <c r="AC370" t="str">
        <f>IFERROR(H370&amp;"*"&amp;ROUND(L370*(I370/(G370+I370+K370))/VLOOKUP(H370,商品!$A$4:$D$67,4,FALSE),0),"")</f>
        <v/>
      </c>
      <c r="AD370" t="str">
        <f>IFERROR(J370&amp;"*"&amp;ROUND(L370*(K370/(G370+I370+K370))/VLOOKUP(J370,商品!$A$4:$D$67,4,FALSE),0),"")</f>
        <v/>
      </c>
      <c r="AE370" t="str">
        <f>IFERROR(M370&amp;"*"&amp;ROUND(Q370*(N370/(N370+P370))/VLOOKUP(M370,职业!$A$3:$E$16,4,FALSE),0),"")</f>
        <v/>
      </c>
      <c r="AF370" t="str">
        <f>IFERROR(O370&amp;"*"&amp;ROUND(Q370*(P370/(N370+P370))/VLOOKUP(O370,职业!$A$3:$E$16,4,FALSE),0),"")</f>
        <v/>
      </c>
      <c r="AG370" t="str">
        <f>IFERROR(R370&amp;"*"&amp;ROUND(V370*(S370/(S370+U370))/VLOOKUP(R370,商品!$A$4:$D$67,4,FALSE),0),"")</f>
        <v/>
      </c>
      <c r="AH370" t="str">
        <f>IFERROR(T370&amp;"*"&amp;ROUND(V370*(U370/(S370+U370))/VLOOKUP(T370,商品!$A$4:$D$67,4,FALSE),0),"")</f>
        <v/>
      </c>
    </row>
    <row r="371" customHeight="1" spans="1:34">
      <c r="A371" s="14" t="s">
        <v>352</v>
      </c>
      <c r="C371" s="2">
        <v>8</v>
      </c>
      <c r="D371" s="2" t="s">
        <v>238</v>
      </c>
      <c r="E371" s="2" t="s">
        <v>222</v>
      </c>
      <c r="L371" s="2">
        <f>IFERROR(VLOOKUP($D371&amp;$C371,生产方式定位!$A$2:$E$39,2,FALSE)+VLOOKUP($E371&amp;$C371,生产方式定位!$F$3:$J$39,2,FALSE),0)</f>
        <v>0</v>
      </c>
      <c r="Q371" s="2">
        <f>IFERROR(VLOOKUP($D371&amp;$C371,生产方式定位!$A$2:$E$39,3,FALSE)+VLOOKUP($E371&amp;$C371,生产方式定位!$F$3:$J$39,3,FALSE),0)</f>
        <v>0</v>
      </c>
      <c r="V371" s="2" t="str">
        <f>IFERROR(VLOOKUP($D371&amp;$C371,生产方式定位!$A$2:$E$39,5,FALSE)+VLOOKUP($E371&amp;$C371,生产方式定位!$F$3:$J$39,5,FALSE),"错误")</f>
        <v>错误</v>
      </c>
      <c r="W371" s="3" t="str">
        <f t="shared" si="25"/>
        <v/>
      </c>
      <c r="X371" s="4" t="str">
        <f t="shared" si="26"/>
        <v/>
      </c>
      <c r="Y371" s="4" t="str">
        <f t="shared" si="27"/>
        <v/>
      </c>
      <c r="Z371" s="5" t="str">
        <f t="shared" si="28"/>
        <v/>
      </c>
      <c r="AA371" s="6">
        <f t="shared" si="29"/>
        <v>8</v>
      </c>
      <c r="AB371" t="str">
        <f>IFERROR(F371&amp;"*"&amp;ROUND(L371*(G371/(G371+I371+K371))/VLOOKUP(F371,商品!$A$4:$D$67,4,FALSE),0),"")</f>
        <v/>
      </c>
      <c r="AC371" t="str">
        <f>IFERROR(H371&amp;"*"&amp;ROUND(L371*(I371/(G371+I371+K371))/VLOOKUP(H371,商品!$A$4:$D$67,4,FALSE),0),"")</f>
        <v/>
      </c>
      <c r="AD371" t="str">
        <f>IFERROR(J371&amp;"*"&amp;ROUND(L371*(K371/(G371+I371+K371))/VLOOKUP(J371,商品!$A$4:$D$67,4,FALSE),0),"")</f>
        <v/>
      </c>
      <c r="AE371" t="str">
        <f>IFERROR(M371&amp;"*"&amp;ROUND(Q371*(N371/(N371+P371))/VLOOKUP(M371,职业!$A$3:$E$16,4,FALSE),0),"")</f>
        <v/>
      </c>
      <c r="AF371" t="str">
        <f>IFERROR(O371&amp;"*"&amp;ROUND(Q371*(P371/(N371+P371))/VLOOKUP(O371,职业!$A$3:$E$16,4,FALSE),0),"")</f>
        <v/>
      </c>
      <c r="AG371" t="str">
        <f>IFERROR(R371&amp;"*"&amp;ROUND(V371*(S371/(S371+U371))/VLOOKUP(R371,商品!$A$4:$D$67,4,FALSE),0),"")</f>
        <v/>
      </c>
      <c r="AH371" t="str">
        <f>IFERROR(T371&amp;"*"&amp;ROUND(V371*(U371/(S371+U371))/VLOOKUP(T371,商品!$A$4:$D$67,4,FALSE),0),"")</f>
        <v/>
      </c>
    </row>
    <row r="372" customHeight="1" spans="1:34">
      <c r="A372" s="15" t="s">
        <v>353</v>
      </c>
      <c r="C372" s="2">
        <v>1</v>
      </c>
      <c r="D372" s="2" t="s">
        <v>238</v>
      </c>
      <c r="E372" s="2" t="s">
        <v>224</v>
      </c>
      <c r="L372" s="2">
        <f>IFERROR(VLOOKUP($D372&amp;$C372,生产方式定位!$A$2:$E$39,2,FALSE)+VLOOKUP($E372&amp;$C372,生产方式定位!$F$3:$J$39,2,FALSE),0)</f>
        <v>11000</v>
      </c>
      <c r="Q372" s="2">
        <f>IFERROR(VLOOKUP($D372&amp;$C372,生产方式定位!$A$2:$E$39,3,FALSE)+VLOOKUP($E372&amp;$C372,生产方式定位!$F$3:$J$39,3,FALSE),0)</f>
        <v>8000</v>
      </c>
      <c r="V372" s="2">
        <f>IFERROR(VLOOKUP($D372&amp;$C372,生产方式定位!$A$2:$E$39,5,FALSE)+VLOOKUP($E372&amp;$C372,生产方式定位!$F$3:$J$39,5,FALSE),"错误")</f>
        <v>9500</v>
      </c>
      <c r="W372" s="3" t="str">
        <f t="shared" si="25"/>
        <v/>
      </c>
      <c r="X372" s="4" t="str">
        <f t="shared" si="26"/>
        <v/>
      </c>
      <c r="Y372" s="4" t="str">
        <f t="shared" si="27"/>
        <v/>
      </c>
      <c r="Z372" s="5">
        <f t="shared" si="28"/>
        <v>1.16</v>
      </c>
      <c r="AA372" s="6">
        <f t="shared" si="29"/>
        <v>1</v>
      </c>
      <c r="AB372" t="str">
        <f>IFERROR(F372&amp;"*"&amp;ROUND(L372*(G372/(G372+I372+K372))/VLOOKUP(F372,商品!$A$4:$D$67,4,FALSE),0),"")</f>
        <v/>
      </c>
      <c r="AC372" t="str">
        <f>IFERROR(H372&amp;"*"&amp;ROUND(L372*(I372/(G372+I372+K372))/VLOOKUP(H372,商品!$A$4:$D$67,4,FALSE),0),"")</f>
        <v/>
      </c>
      <c r="AD372" t="str">
        <f>IFERROR(J372&amp;"*"&amp;ROUND(L372*(K372/(G372+I372+K372))/VLOOKUP(J372,商品!$A$4:$D$67,4,FALSE),0),"")</f>
        <v/>
      </c>
      <c r="AE372" t="str">
        <f>IFERROR(M372&amp;"*"&amp;ROUND(Q372*(N372/(N372+P372))/VLOOKUP(M372,职业!$A$3:$E$16,4,FALSE),0),"")</f>
        <v/>
      </c>
      <c r="AF372" t="str">
        <f>IFERROR(O372&amp;"*"&amp;ROUND(Q372*(P372/(N372+P372))/VLOOKUP(O372,职业!$A$3:$E$16,4,FALSE),0),"")</f>
        <v/>
      </c>
      <c r="AG372" t="str">
        <f>IFERROR(R372&amp;"*"&amp;ROUND(V372*(S372/(S372+U372))/VLOOKUP(R372,商品!$A$4:$D$67,4,FALSE),0),"")</f>
        <v/>
      </c>
      <c r="AH372" t="str">
        <f>IFERROR(T372&amp;"*"&amp;ROUND(V372*(U372/(S372+U372))/VLOOKUP(T372,商品!$A$4:$D$67,4,FALSE),0),"")</f>
        <v/>
      </c>
    </row>
    <row r="373" customHeight="1" spans="1:34">
      <c r="A373" s="15" t="s">
        <v>353</v>
      </c>
      <c r="C373" s="2">
        <v>2</v>
      </c>
      <c r="D373" s="2" t="s">
        <v>238</v>
      </c>
      <c r="E373" s="2" t="s">
        <v>224</v>
      </c>
      <c r="L373" s="2">
        <f>IFERROR(VLOOKUP($D373&amp;$C373,生产方式定位!$A$2:$E$39,2,FALSE)+VLOOKUP($E373&amp;$C373,生产方式定位!$F$3:$J$39,2,FALSE),0)</f>
        <v>12000</v>
      </c>
      <c r="Q373" s="2">
        <f>IFERROR(VLOOKUP($D373&amp;$C373,生产方式定位!$A$2:$E$39,3,FALSE)+VLOOKUP($E373&amp;$C373,生产方式定位!$F$3:$J$39,3,FALSE),0)</f>
        <v>8300</v>
      </c>
      <c r="V373" s="2">
        <f>IFERROR(VLOOKUP($D373&amp;$C373,生产方式定位!$A$2:$E$39,5,FALSE)+VLOOKUP($E373&amp;$C373,生产方式定位!$F$3:$J$39,5,FALSE),"错误")</f>
        <v>10240</v>
      </c>
      <c r="W373" s="3" t="str">
        <f t="shared" si="25"/>
        <v/>
      </c>
      <c r="X373" s="4" t="str">
        <f t="shared" si="26"/>
        <v/>
      </c>
      <c r="Y373" s="4" t="str">
        <f t="shared" si="27"/>
        <v/>
      </c>
      <c r="Z373" s="5">
        <f t="shared" si="28"/>
        <v>1.17</v>
      </c>
      <c r="AA373" s="6">
        <f t="shared" si="29"/>
        <v>2</v>
      </c>
      <c r="AB373" t="str">
        <f>IFERROR(F373&amp;"*"&amp;ROUND(L373*(G373/(G373+I373+K373))/VLOOKUP(F373,商品!$A$4:$D$67,4,FALSE),0),"")</f>
        <v/>
      </c>
      <c r="AC373" t="str">
        <f>IFERROR(H373&amp;"*"&amp;ROUND(L373*(I373/(G373+I373+K373))/VLOOKUP(H373,商品!$A$4:$D$67,4,FALSE),0),"")</f>
        <v/>
      </c>
      <c r="AD373" t="str">
        <f>IFERROR(J373&amp;"*"&amp;ROUND(L373*(K373/(G373+I373+K373))/VLOOKUP(J373,商品!$A$4:$D$67,4,FALSE),0),"")</f>
        <v/>
      </c>
      <c r="AE373" t="str">
        <f>IFERROR(M373&amp;"*"&amp;ROUND(Q373*(N373/(N373+P373))/VLOOKUP(M373,职业!$A$3:$E$16,4,FALSE),0),"")</f>
        <v/>
      </c>
      <c r="AF373" t="str">
        <f>IFERROR(O373&amp;"*"&amp;ROUND(Q373*(P373/(N373+P373))/VLOOKUP(O373,职业!$A$3:$E$16,4,FALSE),0),"")</f>
        <v/>
      </c>
      <c r="AG373" t="str">
        <f>IFERROR(R373&amp;"*"&amp;ROUND(V373*(S373/(S373+U373))/VLOOKUP(R373,商品!$A$4:$D$67,4,FALSE),0),"")</f>
        <v/>
      </c>
      <c r="AH373" t="str">
        <f>IFERROR(T373&amp;"*"&amp;ROUND(V373*(U373/(S373+U373))/VLOOKUP(T373,商品!$A$4:$D$67,4,FALSE),0),"")</f>
        <v/>
      </c>
    </row>
    <row r="374" customHeight="1" spans="1:34">
      <c r="A374" s="15" t="s">
        <v>353</v>
      </c>
      <c r="C374" s="2">
        <v>3</v>
      </c>
      <c r="D374" s="2" t="s">
        <v>238</v>
      </c>
      <c r="E374" s="2" t="s">
        <v>224</v>
      </c>
      <c r="L374" s="2">
        <f>IFERROR(VLOOKUP($D374&amp;$C374,生产方式定位!$A$2:$E$39,2,FALSE)+VLOOKUP($E374&amp;$C374,生产方式定位!$F$3:$J$39,2,FALSE),0)</f>
        <v>12000</v>
      </c>
      <c r="Q374" s="2">
        <f>IFERROR(VLOOKUP($D374&amp;$C374,生产方式定位!$A$2:$E$39,3,FALSE)+VLOOKUP($E374&amp;$C374,生产方式定位!$F$3:$J$39,3,FALSE),0)</f>
        <v>8600</v>
      </c>
      <c r="V374" s="2">
        <f>IFERROR(VLOOKUP($D374&amp;$C374,生产方式定位!$A$2:$E$39,5,FALSE)+VLOOKUP($E374&amp;$C374,生产方式定位!$F$3:$J$39,5,FALSE),"错误")</f>
        <v>10560</v>
      </c>
      <c r="W374" s="3" t="str">
        <f t="shared" si="25"/>
        <v/>
      </c>
      <c r="X374" s="4" t="str">
        <f t="shared" si="26"/>
        <v/>
      </c>
      <c r="Y374" s="4" t="str">
        <f t="shared" si="27"/>
        <v/>
      </c>
      <c r="Z374" s="5">
        <f t="shared" si="28"/>
        <v>1.14</v>
      </c>
      <c r="AA374" s="6">
        <f t="shared" si="29"/>
        <v>3</v>
      </c>
      <c r="AB374" t="str">
        <f>IFERROR(F374&amp;"*"&amp;ROUND(L374*(G374/(G374+I374+K374))/VLOOKUP(F374,商品!$A$4:$D$67,4,FALSE),0),"")</f>
        <v/>
      </c>
      <c r="AC374" t="str">
        <f>IFERROR(H374&amp;"*"&amp;ROUND(L374*(I374/(G374+I374+K374))/VLOOKUP(H374,商品!$A$4:$D$67,4,FALSE),0),"")</f>
        <v/>
      </c>
      <c r="AD374" t="str">
        <f>IFERROR(J374&amp;"*"&amp;ROUND(L374*(K374/(G374+I374+K374))/VLOOKUP(J374,商品!$A$4:$D$67,4,FALSE),0),"")</f>
        <v/>
      </c>
      <c r="AE374" t="str">
        <f>IFERROR(M374&amp;"*"&amp;ROUND(Q374*(N374/(N374+P374))/VLOOKUP(M374,职业!$A$3:$E$16,4,FALSE),0),"")</f>
        <v/>
      </c>
      <c r="AF374" t="str">
        <f>IFERROR(O374&amp;"*"&amp;ROUND(Q374*(P374/(N374+P374))/VLOOKUP(O374,职业!$A$3:$E$16,4,FALSE),0),"")</f>
        <v/>
      </c>
      <c r="AG374" t="str">
        <f>IFERROR(R374&amp;"*"&amp;ROUND(V374*(S374/(S374+U374))/VLOOKUP(R374,商品!$A$4:$D$67,4,FALSE),0),"")</f>
        <v/>
      </c>
      <c r="AH374" t="str">
        <f>IFERROR(T374&amp;"*"&amp;ROUND(V374*(U374/(S374+U374))/VLOOKUP(T374,商品!$A$4:$D$67,4,FALSE),0),"")</f>
        <v/>
      </c>
    </row>
    <row r="375" customHeight="1" spans="1:34">
      <c r="A375" s="15" t="s">
        <v>353</v>
      </c>
      <c r="C375" s="2">
        <v>4</v>
      </c>
      <c r="D375" s="2" t="s">
        <v>238</v>
      </c>
      <c r="E375" s="2" t="s">
        <v>224</v>
      </c>
      <c r="L375" s="2">
        <f>IFERROR(VLOOKUP($D375&amp;$C375,生产方式定位!$A$2:$E$39,2,FALSE)+VLOOKUP($E375&amp;$C375,生产方式定位!$F$3:$J$39,2,FALSE),0)</f>
        <v>12000</v>
      </c>
      <c r="Q375" s="2">
        <f>IFERROR(VLOOKUP($D375&amp;$C375,生产方式定位!$A$2:$E$39,3,FALSE)+VLOOKUP($E375&amp;$C375,生产方式定位!$F$3:$J$39,3,FALSE),0)</f>
        <v>8900</v>
      </c>
      <c r="V375" s="2">
        <f>IFERROR(VLOOKUP($D375&amp;$C375,生产方式定位!$A$2:$E$39,5,FALSE)+VLOOKUP($E375&amp;$C375,生产方式定位!$F$3:$J$39,5,FALSE),"错误")</f>
        <v>10960</v>
      </c>
      <c r="W375" s="3" t="str">
        <f t="shared" si="25"/>
        <v/>
      </c>
      <c r="X375" s="4" t="str">
        <f t="shared" si="26"/>
        <v/>
      </c>
      <c r="Y375" s="4" t="str">
        <f t="shared" si="27"/>
        <v/>
      </c>
      <c r="Z375" s="5">
        <f t="shared" si="28"/>
        <v>1.09</v>
      </c>
      <c r="AA375" s="6">
        <f t="shared" si="29"/>
        <v>4</v>
      </c>
      <c r="AB375" t="str">
        <f>IFERROR(F375&amp;"*"&amp;ROUND(L375*(G375/(G375+I375+K375))/VLOOKUP(F375,商品!$A$4:$D$67,4,FALSE),0),"")</f>
        <v/>
      </c>
      <c r="AC375" t="str">
        <f>IFERROR(H375&amp;"*"&amp;ROUND(L375*(I375/(G375+I375+K375))/VLOOKUP(H375,商品!$A$4:$D$67,4,FALSE),0),"")</f>
        <v/>
      </c>
      <c r="AD375" t="str">
        <f>IFERROR(J375&amp;"*"&amp;ROUND(L375*(K375/(G375+I375+K375))/VLOOKUP(J375,商品!$A$4:$D$67,4,FALSE),0),"")</f>
        <v/>
      </c>
      <c r="AE375" t="str">
        <f>IFERROR(M375&amp;"*"&amp;ROUND(Q375*(N375/(N375+P375))/VLOOKUP(M375,职业!$A$3:$E$16,4,FALSE),0),"")</f>
        <v/>
      </c>
      <c r="AF375" t="str">
        <f>IFERROR(O375&amp;"*"&amp;ROUND(Q375*(P375/(N375+P375))/VLOOKUP(O375,职业!$A$3:$E$16,4,FALSE),0),"")</f>
        <v/>
      </c>
      <c r="AG375" t="str">
        <f>IFERROR(R375&amp;"*"&amp;ROUND(V375*(S375/(S375+U375))/VLOOKUP(R375,商品!$A$4:$D$67,4,FALSE),0),"")</f>
        <v/>
      </c>
      <c r="AH375" t="str">
        <f>IFERROR(T375&amp;"*"&amp;ROUND(V375*(U375/(S375+U375))/VLOOKUP(T375,商品!$A$4:$D$67,4,FALSE),0),"")</f>
        <v/>
      </c>
    </row>
    <row r="376" customHeight="1" spans="1:34">
      <c r="A376" s="15" t="s">
        <v>353</v>
      </c>
      <c r="C376" s="2">
        <v>5</v>
      </c>
      <c r="D376" s="2" t="s">
        <v>238</v>
      </c>
      <c r="E376" s="2" t="s">
        <v>224</v>
      </c>
      <c r="L376" s="2">
        <f>IFERROR(VLOOKUP($D376&amp;$C376,生产方式定位!$A$2:$E$39,2,FALSE)+VLOOKUP($E376&amp;$C376,生产方式定位!$F$3:$J$39,2,FALSE),0)</f>
        <v>12000</v>
      </c>
      <c r="Q376" s="2">
        <f>IFERROR(VLOOKUP($D376&amp;$C376,生产方式定位!$A$2:$E$39,3,FALSE)+VLOOKUP($E376&amp;$C376,生产方式定位!$F$3:$J$39,3,FALSE),0)</f>
        <v>9200</v>
      </c>
      <c r="V376" s="2">
        <f>IFERROR(VLOOKUP($D376&amp;$C376,生产方式定位!$A$2:$E$39,5,FALSE)+VLOOKUP($E376&amp;$C376,生产方式定位!$F$3:$J$39,5,FALSE),"错误")</f>
        <v>11440</v>
      </c>
      <c r="W376" s="3" t="str">
        <f t="shared" si="25"/>
        <v/>
      </c>
      <c r="X376" s="4" t="str">
        <f t="shared" si="26"/>
        <v/>
      </c>
      <c r="Y376" s="4" t="str">
        <f t="shared" si="27"/>
        <v/>
      </c>
      <c r="Z376" s="5">
        <f t="shared" si="28"/>
        <v>1.05</v>
      </c>
      <c r="AA376" s="6">
        <f t="shared" si="29"/>
        <v>5</v>
      </c>
      <c r="AB376" t="str">
        <f>IFERROR(F376&amp;"*"&amp;ROUND(L376*(G376/(G376+I376+K376))/VLOOKUP(F376,商品!$A$4:$D$67,4,FALSE),0),"")</f>
        <v/>
      </c>
      <c r="AC376" t="str">
        <f>IFERROR(H376&amp;"*"&amp;ROUND(L376*(I376/(G376+I376+K376))/VLOOKUP(H376,商品!$A$4:$D$67,4,FALSE),0),"")</f>
        <v/>
      </c>
      <c r="AD376" t="str">
        <f>IFERROR(J376&amp;"*"&amp;ROUND(L376*(K376/(G376+I376+K376))/VLOOKUP(J376,商品!$A$4:$D$67,4,FALSE),0),"")</f>
        <v/>
      </c>
      <c r="AE376" t="str">
        <f>IFERROR(M376&amp;"*"&amp;ROUND(Q376*(N376/(N376+P376))/VLOOKUP(M376,职业!$A$3:$E$16,4,FALSE),0),"")</f>
        <v/>
      </c>
      <c r="AF376" t="str">
        <f>IFERROR(O376&amp;"*"&amp;ROUND(Q376*(P376/(N376+P376))/VLOOKUP(O376,职业!$A$3:$E$16,4,FALSE),0),"")</f>
        <v/>
      </c>
      <c r="AG376" t="str">
        <f>IFERROR(R376&amp;"*"&amp;ROUND(V376*(S376/(S376+U376))/VLOOKUP(R376,商品!$A$4:$D$67,4,FALSE),0),"")</f>
        <v/>
      </c>
      <c r="AH376" t="str">
        <f>IFERROR(T376&amp;"*"&amp;ROUND(V376*(U376/(S376+U376))/VLOOKUP(T376,商品!$A$4:$D$67,4,FALSE),0),"")</f>
        <v/>
      </c>
    </row>
    <row r="377" customHeight="1" spans="1:34">
      <c r="A377" s="14" t="s">
        <v>353</v>
      </c>
      <c r="C377" s="2">
        <v>1</v>
      </c>
      <c r="D377" s="2" t="s">
        <v>238</v>
      </c>
      <c r="E377" s="2" t="s">
        <v>224</v>
      </c>
      <c r="L377" s="2">
        <f>IFERROR(VLOOKUP($D377&amp;$C377,生产方式定位!$A$2:$E$39,2,FALSE)+VLOOKUP($E377&amp;$C377,生产方式定位!$F$3:$J$39,2,FALSE),0)</f>
        <v>11000</v>
      </c>
      <c r="Q377" s="2">
        <f>IFERROR(VLOOKUP($D377&amp;$C377,生产方式定位!$A$2:$E$39,3,FALSE)+VLOOKUP($E377&amp;$C377,生产方式定位!$F$3:$J$39,3,FALSE),0)</f>
        <v>8000</v>
      </c>
      <c r="V377" s="2">
        <f>IFERROR(VLOOKUP($D377&amp;$C377,生产方式定位!$A$2:$E$39,5,FALSE)+VLOOKUP($E377&amp;$C377,生产方式定位!$F$3:$J$39,5,FALSE),"错误")</f>
        <v>9500</v>
      </c>
      <c r="W377" s="3" t="str">
        <f t="shared" si="25"/>
        <v/>
      </c>
      <c r="X377" s="4" t="str">
        <f t="shared" si="26"/>
        <v/>
      </c>
      <c r="Y377" s="4" t="str">
        <f t="shared" si="27"/>
        <v/>
      </c>
      <c r="Z377" s="5">
        <f t="shared" si="28"/>
        <v>1.16</v>
      </c>
      <c r="AA377" s="6">
        <f t="shared" si="29"/>
        <v>1</v>
      </c>
      <c r="AB377" t="str">
        <f>IFERROR(F377&amp;"*"&amp;ROUND(L377*(G377/(G377+I377+K377))/VLOOKUP(F377,商品!$A$4:$D$67,4,FALSE),0),"")</f>
        <v/>
      </c>
      <c r="AC377" t="str">
        <f>IFERROR(H377&amp;"*"&amp;ROUND(L377*(I377/(G377+I377+K377))/VLOOKUP(H377,商品!$A$4:$D$67,4,FALSE),0),"")</f>
        <v/>
      </c>
      <c r="AD377" t="str">
        <f>IFERROR(J377&amp;"*"&amp;ROUND(L377*(K377/(G377+I377+K377))/VLOOKUP(J377,商品!$A$4:$D$67,4,FALSE),0),"")</f>
        <v/>
      </c>
      <c r="AE377" t="str">
        <f>IFERROR(M377&amp;"*"&amp;ROUND(Q377*(N377/(N377+P377))/VLOOKUP(M377,职业!$A$3:$E$16,4,FALSE),0),"")</f>
        <v/>
      </c>
      <c r="AF377" t="str">
        <f>IFERROR(O377&amp;"*"&amp;ROUND(Q377*(P377/(N377+P377))/VLOOKUP(O377,职业!$A$3:$E$16,4,FALSE),0),"")</f>
        <v/>
      </c>
      <c r="AG377" t="str">
        <f>IFERROR(R377&amp;"*"&amp;ROUND(V377*(S377/(S377+U377))/VLOOKUP(R377,商品!$A$4:$D$67,4,FALSE),0),"")</f>
        <v/>
      </c>
      <c r="AH377" t="str">
        <f>IFERROR(T377&amp;"*"&amp;ROUND(V377*(U377/(S377+U377))/VLOOKUP(T377,商品!$A$4:$D$67,4,FALSE),0),"")</f>
        <v/>
      </c>
    </row>
    <row r="378" customHeight="1" spans="1:34">
      <c r="A378" s="14" t="s">
        <v>353</v>
      </c>
      <c r="C378" s="2">
        <v>2</v>
      </c>
      <c r="D378" s="2" t="s">
        <v>238</v>
      </c>
      <c r="E378" s="2" t="s">
        <v>224</v>
      </c>
      <c r="L378" s="2">
        <f>IFERROR(VLOOKUP($D378&amp;$C378,生产方式定位!$A$2:$E$39,2,FALSE)+VLOOKUP($E378&amp;$C378,生产方式定位!$F$3:$J$39,2,FALSE),0)</f>
        <v>12000</v>
      </c>
      <c r="Q378" s="2">
        <f>IFERROR(VLOOKUP($D378&amp;$C378,生产方式定位!$A$2:$E$39,3,FALSE)+VLOOKUP($E378&amp;$C378,生产方式定位!$F$3:$J$39,3,FALSE),0)</f>
        <v>8300</v>
      </c>
      <c r="V378" s="2">
        <f>IFERROR(VLOOKUP($D378&amp;$C378,生产方式定位!$A$2:$E$39,5,FALSE)+VLOOKUP($E378&amp;$C378,生产方式定位!$F$3:$J$39,5,FALSE),"错误")</f>
        <v>10240</v>
      </c>
      <c r="W378" s="3" t="str">
        <f t="shared" si="25"/>
        <v/>
      </c>
      <c r="X378" s="4" t="str">
        <f t="shared" si="26"/>
        <v/>
      </c>
      <c r="Y378" s="4" t="str">
        <f t="shared" si="27"/>
        <v/>
      </c>
      <c r="Z378" s="5">
        <f t="shared" si="28"/>
        <v>1.17</v>
      </c>
      <c r="AA378" s="6">
        <f t="shared" si="29"/>
        <v>2</v>
      </c>
      <c r="AB378" t="str">
        <f>IFERROR(F378&amp;"*"&amp;ROUND(L378*(G378/(G378+I378+K378))/VLOOKUP(F378,商品!$A$4:$D$67,4,FALSE),0),"")</f>
        <v/>
      </c>
      <c r="AC378" t="str">
        <f>IFERROR(H378&amp;"*"&amp;ROUND(L378*(I378/(G378+I378+K378))/VLOOKUP(H378,商品!$A$4:$D$67,4,FALSE),0),"")</f>
        <v/>
      </c>
      <c r="AD378" t="str">
        <f>IFERROR(J378&amp;"*"&amp;ROUND(L378*(K378/(G378+I378+K378))/VLOOKUP(J378,商品!$A$4:$D$67,4,FALSE),0),"")</f>
        <v/>
      </c>
      <c r="AE378" t="str">
        <f>IFERROR(M378&amp;"*"&amp;ROUND(Q378*(N378/(N378+P378))/VLOOKUP(M378,职业!$A$3:$E$16,4,FALSE),0),"")</f>
        <v/>
      </c>
      <c r="AF378" t="str">
        <f>IFERROR(O378&amp;"*"&amp;ROUND(Q378*(P378/(N378+P378))/VLOOKUP(O378,职业!$A$3:$E$16,4,FALSE),0),"")</f>
        <v/>
      </c>
      <c r="AG378" t="str">
        <f>IFERROR(R378&amp;"*"&amp;ROUND(V378*(S378/(S378+U378))/VLOOKUP(R378,商品!$A$4:$D$67,4,FALSE),0),"")</f>
        <v/>
      </c>
      <c r="AH378" t="str">
        <f>IFERROR(T378&amp;"*"&amp;ROUND(V378*(U378/(S378+U378))/VLOOKUP(T378,商品!$A$4:$D$67,4,FALSE),0),"")</f>
        <v/>
      </c>
    </row>
    <row r="379" customHeight="1" spans="1:34">
      <c r="A379" s="14" t="s">
        <v>353</v>
      </c>
      <c r="C379" s="2">
        <v>3</v>
      </c>
      <c r="D379" s="2" t="s">
        <v>238</v>
      </c>
      <c r="E379" s="2" t="s">
        <v>224</v>
      </c>
      <c r="L379" s="2">
        <f>IFERROR(VLOOKUP($D379&amp;$C379,生产方式定位!$A$2:$E$39,2,FALSE)+VLOOKUP($E379&amp;$C379,生产方式定位!$F$3:$J$39,2,FALSE),0)</f>
        <v>12000</v>
      </c>
      <c r="Q379" s="2">
        <f>IFERROR(VLOOKUP($D379&amp;$C379,生产方式定位!$A$2:$E$39,3,FALSE)+VLOOKUP($E379&amp;$C379,生产方式定位!$F$3:$J$39,3,FALSE),0)</f>
        <v>8600</v>
      </c>
      <c r="V379" s="2">
        <f>IFERROR(VLOOKUP($D379&amp;$C379,生产方式定位!$A$2:$E$39,5,FALSE)+VLOOKUP($E379&amp;$C379,生产方式定位!$F$3:$J$39,5,FALSE),"错误")</f>
        <v>10560</v>
      </c>
      <c r="W379" s="3" t="str">
        <f t="shared" si="25"/>
        <v/>
      </c>
      <c r="X379" s="4" t="str">
        <f t="shared" si="26"/>
        <v/>
      </c>
      <c r="Y379" s="4" t="str">
        <f t="shared" si="27"/>
        <v/>
      </c>
      <c r="Z379" s="5">
        <f t="shared" si="28"/>
        <v>1.14</v>
      </c>
      <c r="AA379" s="6">
        <f t="shared" si="29"/>
        <v>3</v>
      </c>
      <c r="AB379" t="str">
        <f>IFERROR(F379&amp;"*"&amp;ROUND(L379*(G379/(G379+I379+K379))/VLOOKUP(F379,商品!$A$4:$D$67,4,FALSE),0),"")</f>
        <v/>
      </c>
      <c r="AC379" t="str">
        <f>IFERROR(H379&amp;"*"&amp;ROUND(L379*(I379/(G379+I379+K379))/VLOOKUP(H379,商品!$A$4:$D$67,4,FALSE),0),"")</f>
        <v/>
      </c>
      <c r="AD379" t="str">
        <f>IFERROR(J379&amp;"*"&amp;ROUND(L379*(K379/(G379+I379+K379))/VLOOKUP(J379,商品!$A$4:$D$67,4,FALSE),0),"")</f>
        <v/>
      </c>
      <c r="AE379" t="str">
        <f>IFERROR(M379&amp;"*"&amp;ROUND(Q379*(N379/(N379+P379))/VLOOKUP(M379,职业!$A$3:$E$16,4,FALSE),0),"")</f>
        <v/>
      </c>
      <c r="AF379" t="str">
        <f>IFERROR(O379&amp;"*"&amp;ROUND(Q379*(P379/(N379+P379))/VLOOKUP(O379,职业!$A$3:$E$16,4,FALSE),0),"")</f>
        <v/>
      </c>
      <c r="AG379" t="str">
        <f>IFERROR(R379&amp;"*"&amp;ROUND(V379*(S379/(S379+U379))/VLOOKUP(R379,商品!$A$4:$D$67,4,FALSE),0),"")</f>
        <v/>
      </c>
      <c r="AH379" t="str">
        <f>IFERROR(T379&amp;"*"&amp;ROUND(V379*(U379/(S379+U379))/VLOOKUP(T379,商品!$A$4:$D$67,4,FALSE),0),"")</f>
        <v/>
      </c>
    </row>
    <row r="380" customHeight="1" spans="1:34">
      <c r="A380" s="14" t="s">
        <v>353</v>
      </c>
      <c r="C380" s="2">
        <v>4</v>
      </c>
      <c r="D380" s="2" t="s">
        <v>238</v>
      </c>
      <c r="E380" s="2" t="s">
        <v>224</v>
      </c>
      <c r="L380" s="2">
        <f>IFERROR(VLOOKUP($D380&amp;$C380,生产方式定位!$A$2:$E$39,2,FALSE)+VLOOKUP($E380&amp;$C380,生产方式定位!$F$3:$J$39,2,FALSE),0)</f>
        <v>12000</v>
      </c>
      <c r="Q380" s="2">
        <f>IFERROR(VLOOKUP($D380&amp;$C380,生产方式定位!$A$2:$E$39,3,FALSE)+VLOOKUP($E380&amp;$C380,生产方式定位!$F$3:$J$39,3,FALSE),0)</f>
        <v>8900</v>
      </c>
      <c r="V380" s="2">
        <f>IFERROR(VLOOKUP($D380&amp;$C380,生产方式定位!$A$2:$E$39,5,FALSE)+VLOOKUP($E380&amp;$C380,生产方式定位!$F$3:$J$39,5,FALSE),"错误")</f>
        <v>10960</v>
      </c>
      <c r="W380" s="3" t="str">
        <f t="shared" si="25"/>
        <v/>
      </c>
      <c r="X380" s="4" t="str">
        <f t="shared" si="26"/>
        <v/>
      </c>
      <c r="Y380" s="4" t="str">
        <f t="shared" si="27"/>
        <v/>
      </c>
      <c r="Z380" s="5">
        <f t="shared" si="28"/>
        <v>1.09</v>
      </c>
      <c r="AA380" s="6">
        <f t="shared" si="29"/>
        <v>4</v>
      </c>
      <c r="AB380" t="str">
        <f>IFERROR(F380&amp;"*"&amp;ROUND(L380*(G380/(G380+I380+K380))/VLOOKUP(F380,商品!$A$4:$D$67,4,FALSE),0),"")</f>
        <v/>
      </c>
      <c r="AC380" t="str">
        <f>IFERROR(H380&amp;"*"&amp;ROUND(L380*(I380/(G380+I380+K380))/VLOOKUP(H380,商品!$A$4:$D$67,4,FALSE),0),"")</f>
        <v/>
      </c>
      <c r="AD380" t="str">
        <f>IFERROR(J380&amp;"*"&amp;ROUND(L380*(K380/(G380+I380+K380))/VLOOKUP(J380,商品!$A$4:$D$67,4,FALSE),0),"")</f>
        <v/>
      </c>
      <c r="AE380" t="str">
        <f>IFERROR(M380&amp;"*"&amp;ROUND(Q380*(N380/(N380+P380))/VLOOKUP(M380,职业!$A$3:$E$16,4,FALSE),0),"")</f>
        <v/>
      </c>
      <c r="AF380" t="str">
        <f>IFERROR(O380&amp;"*"&amp;ROUND(Q380*(P380/(N380+P380))/VLOOKUP(O380,职业!$A$3:$E$16,4,FALSE),0),"")</f>
        <v/>
      </c>
      <c r="AG380" t="str">
        <f>IFERROR(R380&amp;"*"&amp;ROUND(V380*(S380/(S380+U380))/VLOOKUP(R380,商品!$A$4:$D$67,4,FALSE),0),"")</f>
        <v/>
      </c>
      <c r="AH380" t="str">
        <f>IFERROR(T380&amp;"*"&amp;ROUND(V380*(U380/(S380+U380))/VLOOKUP(T380,商品!$A$4:$D$67,4,FALSE),0),"")</f>
        <v/>
      </c>
    </row>
    <row r="381" customHeight="1" spans="1:34">
      <c r="A381" s="14" t="s">
        <v>353</v>
      </c>
      <c r="C381" s="2">
        <v>5</v>
      </c>
      <c r="D381" s="2" t="s">
        <v>238</v>
      </c>
      <c r="E381" s="2" t="s">
        <v>224</v>
      </c>
      <c r="L381" s="2">
        <f>IFERROR(VLOOKUP($D381&amp;$C381,生产方式定位!$A$2:$E$39,2,FALSE)+VLOOKUP($E381&amp;$C381,生产方式定位!$F$3:$J$39,2,FALSE),0)</f>
        <v>12000</v>
      </c>
      <c r="Q381" s="2">
        <f>IFERROR(VLOOKUP($D381&amp;$C381,生产方式定位!$A$2:$E$39,3,FALSE)+VLOOKUP($E381&amp;$C381,生产方式定位!$F$3:$J$39,3,FALSE),0)</f>
        <v>9200</v>
      </c>
      <c r="V381" s="2">
        <f>IFERROR(VLOOKUP($D381&amp;$C381,生产方式定位!$A$2:$E$39,5,FALSE)+VLOOKUP($E381&amp;$C381,生产方式定位!$F$3:$J$39,5,FALSE),"错误")</f>
        <v>11440</v>
      </c>
      <c r="W381" s="3" t="str">
        <f t="shared" si="25"/>
        <v/>
      </c>
      <c r="X381" s="4" t="str">
        <f t="shared" si="26"/>
        <v/>
      </c>
      <c r="Y381" s="4" t="str">
        <f t="shared" si="27"/>
        <v/>
      </c>
      <c r="Z381" s="5">
        <f t="shared" si="28"/>
        <v>1.05</v>
      </c>
      <c r="AA381" s="6">
        <f t="shared" si="29"/>
        <v>5</v>
      </c>
      <c r="AB381" t="str">
        <f>IFERROR(F381&amp;"*"&amp;ROUND(L381*(G381/(G381+I381+K381))/VLOOKUP(F381,商品!$A$4:$D$67,4,FALSE),0),"")</f>
        <v/>
      </c>
      <c r="AC381" t="str">
        <f>IFERROR(H381&amp;"*"&amp;ROUND(L381*(I381/(G381+I381+K381))/VLOOKUP(H381,商品!$A$4:$D$67,4,FALSE),0),"")</f>
        <v/>
      </c>
      <c r="AD381" t="str">
        <f>IFERROR(J381&amp;"*"&amp;ROUND(L381*(K381/(G381+I381+K381))/VLOOKUP(J381,商品!$A$4:$D$67,4,FALSE),0),"")</f>
        <v/>
      </c>
      <c r="AE381" t="str">
        <f>IFERROR(M381&amp;"*"&amp;ROUND(Q381*(N381/(N381+P381))/VLOOKUP(M381,职业!$A$3:$E$16,4,FALSE),0),"")</f>
        <v/>
      </c>
      <c r="AF381" t="str">
        <f>IFERROR(O381&amp;"*"&amp;ROUND(Q381*(P381/(N381+P381))/VLOOKUP(O381,职业!$A$3:$E$16,4,FALSE),0),"")</f>
        <v/>
      </c>
      <c r="AG381" t="str">
        <f>IFERROR(R381&amp;"*"&amp;ROUND(V381*(S381/(S381+U381))/VLOOKUP(R381,商品!$A$4:$D$67,4,FALSE),0),"")</f>
        <v/>
      </c>
      <c r="AH381" t="str">
        <f>IFERROR(T381&amp;"*"&amp;ROUND(V381*(U381/(S381+U381))/VLOOKUP(T381,商品!$A$4:$D$67,4,FALSE),0),"")</f>
        <v/>
      </c>
    </row>
    <row r="382" customHeight="1" spans="1:34">
      <c r="A382" s="15" t="s">
        <v>354</v>
      </c>
      <c r="C382" s="2">
        <v>1</v>
      </c>
      <c r="D382" s="2" t="s">
        <v>238</v>
      </c>
      <c r="E382" s="2" t="s">
        <v>225</v>
      </c>
      <c r="L382" s="2">
        <f>IFERROR(VLOOKUP($D382&amp;$C382,生产方式定位!$A$2:$E$39,2,FALSE)+VLOOKUP($E382&amp;$C382,生产方式定位!$F$3:$J$39,2,FALSE),0)</f>
        <v>11000</v>
      </c>
      <c r="Q382" s="2">
        <f>IFERROR(VLOOKUP($D382&amp;$C382,生产方式定位!$A$2:$E$39,3,FALSE)+VLOOKUP($E382&amp;$C382,生产方式定位!$F$3:$J$39,3,FALSE),0)</f>
        <v>8000</v>
      </c>
      <c r="V382" s="2">
        <f>IFERROR(VLOOKUP($D382&amp;$C382,生产方式定位!$A$2:$E$39,5,FALSE)+VLOOKUP($E382&amp;$C382,生产方式定位!$F$3:$J$39,5,FALSE),"错误")</f>
        <v>9500</v>
      </c>
      <c r="W382" s="3" t="str">
        <f t="shared" si="25"/>
        <v/>
      </c>
      <c r="X382" s="4" t="str">
        <f t="shared" si="26"/>
        <v/>
      </c>
      <c r="Y382" s="4" t="str">
        <f t="shared" si="27"/>
        <v/>
      </c>
      <c r="Z382" s="5">
        <f t="shared" si="28"/>
        <v>1.16</v>
      </c>
      <c r="AA382" s="6">
        <f t="shared" si="29"/>
        <v>1</v>
      </c>
      <c r="AB382" t="str">
        <f>IFERROR(F382&amp;"*"&amp;ROUND(L382*(G382/(G382+I382+K382))/VLOOKUP(F382,商品!$A$4:$D$67,4,FALSE),0),"")</f>
        <v/>
      </c>
      <c r="AC382" t="str">
        <f>IFERROR(H382&amp;"*"&amp;ROUND(L382*(I382/(G382+I382+K382))/VLOOKUP(H382,商品!$A$4:$D$67,4,FALSE),0),"")</f>
        <v/>
      </c>
      <c r="AD382" t="str">
        <f>IFERROR(J382&amp;"*"&amp;ROUND(L382*(K382/(G382+I382+K382))/VLOOKUP(J382,商品!$A$4:$D$67,4,FALSE),0),"")</f>
        <v/>
      </c>
      <c r="AE382" t="str">
        <f>IFERROR(M382&amp;"*"&amp;ROUND(Q382*(N382/(N382+P382))/VLOOKUP(M382,职业!$A$3:$E$16,4,FALSE),0),"")</f>
        <v/>
      </c>
      <c r="AF382" t="str">
        <f>IFERROR(O382&amp;"*"&amp;ROUND(Q382*(P382/(N382+P382))/VLOOKUP(O382,职业!$A$3:$E$16,4,FALSE),0),"")</f>
        <v/>
      </c>
      <c r="AG382" t="str">
        <f>IFERROR(R382&amp;"*"&amp;ROUND(V382*(S382/(S382+U382))/VLOOKUP(R382,商品!$A$4:$D$67,4,FALSE),0),"")</f>
        <v/>
      </c>
      <c r="AH382" t="str">
        <f>IFERROR(T382&amp;"*"&amp;ROUND(V382*(U382/(S382+U382))/VLOOKUP(T382,商品!$A$4:$D$67,4,FALSE),0),"")</f>
        <v/>
      </c>
    </row>
    <row r="383" customHeight="1" spans="1:34">
      <c r="A383" s="15" t="s">
        <v>354</v>
      </c>
      <c r="C383" s="2">
        <v>2</v>
      </c>
      <c r="D383" s="2" t="s">
        <v>238</v>
      </c>
      <c r="E383" s="2" t="s">
        <v>225</v>
      </c>
      <c r="L383" s="2">
        <f>IFERROR(VLOOKUP($D383&amp;$C383,生产方式定位!$A$2:$E$39,2,FALSE)+VLOOKUP($E383&amp;$C383,生产方式定位!$F$3:$J$39,2,FALSE),0)</f>
        <v>10000</v>
      </c>
      <c r="Q383" s="2">
        <f>IFERROR(VLOOKUP($D383&amp;$C383,生产方式定位!$A$2:$E$39,3,FALSE)+VLOOKUP($E383&amp;$C383,生产方式定位!$F$3:$J$39,3,FALSE),0)</f>
        <v>8500</v>
      </c>
      <c r="V383" s="2">
        <f>IFERROR(VLOOKUP($D383&amp;$C383,生产方式定位!$A$2:$E$39,5,FALSE)+VLOOKUP($E383&amp;$C383,生产方式定位!$F$3:$J$39,5,FALSE),"错误")</f>
        <v>9250</v>
      </c>
      <c r="W383" s="3" t="str">
        <f t="shared" si="25"/>
        <v/>
      </c>
      <c r="X383" s="4" t="str">
        <f t="shared" si="26"/>
        <v/>
      </c>
      <c r="Y383" s="4" t="str">
        <f t="shared" si="27"/>
        <v/>
      </c>
      <c r="Z383" s="5">
        <f t="shared" si="28"/>
        <v>1.08</v>
      </c>
      <c r="AA383" s="6">
        <f t="shared" si="29"/>
        <v>2</v>
      </c>
      <c r="AB383" t="str">
        <f>IFERROR(F383&amp;"*"&amp;ROUND(L383*(G383/(G383+I383+K383))/VLOOKUP(F383,商品!$A$4:$D$67,4,FALSE),0),"")</f>
        <v/>
      </c>
      <c r="AC383" t="str">
        <f>IFERROR(H383&amp;"*"&amp;ROUND(L383*(I383/(G383+I383+K383))/VLOOKUP(H383,商品!$A$4:$D$67,4,FALSE),0),"")</f>
        <v/>
      </c>
      <c r="AD383" t="str">
        <f>IFERROR(J383&amp;"*"&amp;ROUND(L383*(K383/(G383+I383+K383))/VLOOKUP(J383,商品!$A$4:$D$67,4,FALSE),0),"")</f>
        <v/>
      </c>
      <c r="AE383" t="str">
        <f>IFERROR(M383&amp;"*"&amp;ROUND(Q383*(N383/(N383+P383))/VLOOKUP(M383,职业!$A$3:$E$16,4,FALSE),0),"")</f>
        <v/>
      </c>
      <c r="AF383" t="str">
        <f>IFERROR(O383&amp;"*"&amp;ROUND(Q383*(P383/(N383+P383))/VLOOKUP(O383,职业!$A$3:$E$16,4,FALSE),0),"")</f>
        <v/>
      </c>
      <c r="AG383" t="str">
        <f>IFERROR(R383&amp;"*"&amp;ROUND(V383*(S383/(S383+U383))/VLOOKUP(R383,商品!$A$4:$D$67,4,FALSE),0),"")</f>
        <v/>
      </c>
      <c r="AH383" t="str">
        <f>IFERROR(T383&amp;"*"&amp;ROUND(V383*(U383/(S383+U383))/VLOOKUP(T383,商品!$A$4:$D$67,4,FALSE),0),"")</f>
        <v/>
      </c>
    </row>
    <row r="384" customHeight="1" spans="1:34">
      <c r="A384" s="15" t="s">
        <v>354</v>
      </c>
      <c r="C384" s="2">
        <v>3</v>
      </c>
      <c r="D384" s="2" t="s">
        <v>238</v>
      </c>
      <c r="E384" s="2" t="s">
        <v>225</v>
      </c>
      <c r="L384" s="2">
        <f>IFERROR(VLOOKUP($D384&amp;$C384,生产方式定位!$A$2:$E$39,2,FALSE)+VLOOKUP($E384&amp;$C384,生产方式定位!$F$3:$J$39,2,FALSE),0)</f>
        <v>9000</v>
      </c>
      <c r="Q384" s="2">
        <f>IFERROR(VLOOKUP($D384&amp;$C384,生产方式定位!$A$2:$E$39,3,FALSE)+VLOOKUP($E384&amp;$C384,生产方式定位!$F$3:$J$39,3,FALSE),0)</f>
        <v>9000</v>
      </c>
      <c r="V384" s="2">
        <f>IFERROR(VLOOKUP($D384&amp;$C384,生产方式定位!$A$2:$E$39,5,FALSE)+VLOOKUP($E384&amp;$C384,生产方式定位!$F$3:$J$39,5,FALSE),"错误")</f>
        <v>9000</v>
      </c>
      <c r="W384" s="3" t="str">
        <f t="shared" si="25"/>
        <v/>
      </c>
      <c r="X384" s="4" t="str">
        <f t="shared" si="26"/>
        <v/>
      </c>
      <c r="Y384" s="4" t="str">
        <f t="shared" si="27"/>
        <v/>
      </c>
      <c r="Z384" s="5">
        <f t="shared" si="28"/>
        <v>1</v>
      </c>
      <c r="AA384" s="6">
        <f t="shared" si="29"/>
        <v>3</v>
      </c>
      <c r="AB384" t="str">
        <f>IFERROR(F384&amp;"*"&amp;ROUND(L384*(G384/(G384+I384+K384))/VLOOKUP(F384,商品!$A$4:$D$67,4,FALSE),0),"")</f>
        <v/>
      </c>
      <c r="AC384" t="str">
        <f>IFERROR(H384&amp;"*"&amp;ROUND(L384*(I384/(G384+I384+K384))/VLOOKUP(H384,商品!$A$4:$D$67,4,FALSE),0),"")</f>
        <v/>
      </c>
      <c r="AD384" t="str">
        <f>IFERROR(J384&amp;"*"&amp;ROUND(L384*(K384/(G384+I384+K384))/VLOOKUP(J384,商品!$A$4:$D$67,4,FALSE),0),"")</f>
        <v/>
      </c>
      <c r="AE384" t="str">
        <f>IFERROR(M384&amp;"*"&amp;ROUND(Q384*(N384/(N384+P384))/VLOOKUP(M384,职业!$A$3:$E$16,4,FALSE),0),"")</f>
        <v/>
      </c>
      <c r="AF384" t="str">
        <f>IFERROR(O384&amp;"*"&amp;ROUND(Q384*(P384/(N384+P384))/VLOOKUP(O384,职业!$A$3:$E$16,4,FALSE),0),"")</f>
        <v/>
      </c>
      <c r="AG384" t="str">
        <f>IFERROR(R384&amp;"*"&amp;ROUND(V384*(S384/(S384+U384))/VLOOKUP(R384,商品!$A$4:$D$67,4,FALSE),0),"")</f>
        <v/>
      </c>
      <c r="AH384" t="str">
        <f>IFERROR(T384&amp;"*"&amp;ROUND(V384*(U384/(S384+U384))/VLOOKUP(T384,商品!$A$4:$D$67,4,FALSE),0),"")</f>
        <v/>
      </c>
    </row>
    <row r="385" customHeight="1" spans="1:34">
      <c r="A385" s="15" t="s">
        <v>354</v>
      </c>
      <c r="C385" s="2">
        <v>4</v>
      </c>
      <c r="D385" s="2" t="s">
        <v>238</v>
      </c>
      <c r="E385" s="2" t="s">
        <v>225</v>
      </c>
      <c r="L385" s="2">
        <f>IFERROR(VLOOKUP($D385&amp;$C385,生产方式定位!$A$2:$E$39,2,FALSE)+VLOOKUP($E385&amp;$C385,生产方式定位!$F$3:$J$39,2,FALSE),0)</f>
        <v>8000</v>
      </c>
      <c r="Q385" s="2">
        <f>IFERROR(VLOOKUP($D385&amp;$C385,生产方式定位!$A$2:$E$39,3,FALSE)+VLOOKUP($E385&amp;$C385,生产方式定位!$F$3:$J$39,3,FALSE),0)</f>
        <v>9500</v>
      </c>
      <c r="V385" s="2">
        <f>IFERROR(VLOOKUP($D385&amp;$C385,生产方式定位!$A$2:$E$39,5,FALSE)+VLOOKUP($E385&amp;$C385,生产方式定位!$F$3:$J$39,5,FALSE),"错误")</f>
        <v>8750</v>
      </c>
      <c r="W385" s="3" t="str">
        <f t="shared" si="25"/>
        <v/>
      </c>
      <c r="X385" s="4" t="str">
        <f t="shared" si="26"/>
        <v/>
      </c>
      <c r="Y385" s="4" t="str">
        <f t="shared" si="27"/>
        <v/>
      </c>
      <c r="Z385" s="5">
        <f t="shared" si="28"/>
        <v>0.91</v>
      </c>
      <c r="AA385" s="6">
        <f t="shared" si="29"/>
        <v>4</v>
      </c>
      <c r="AB385" t="str">
        <f>IFERROR(F385&amp;"*"&amp;ROUND(L385*(G385/(G385+I385+K385))/VLOOKUP(F385,商品!$A$4:$D$67,4,FALSE),0),"")</f>
        <v/>
      </c>
      <c r="AC385" t="str">
        <f>IFERROR(H385&amp;"*"&amp;ROUND(L385*(I385/(G385+I385+K385))/VLOOKUP(H385,商品!$A$4:$D$67,4,FALSE),0),"")</f>
        <v/>
      </c>
      <c r="AD385" t="str">
        <f>IFERROR(J385&amp;"*"&amp;ROUND(L385*(K385/(G385+I385+K385))/VLOOKUP(J385,商品!$A$4:$D$67,4,FALSE),0),"")</f>
        <v/>
      </c>
      <c r="AE385" t="str">
        <f>IFERROR(M385&amp;"*"&amp;ROUND(Q385*(N385/(N385+P385))/VLOOKUP(M385,职业!$A$3:$E$16,4,FALSE),0),"")</f>
        <v/>
      </c>
      <c r="AF385" t="str">
        <f>IFERROR(O385&amp;"*"&amp;ROUND(Q385*(P385/(N385+P385))/VLOOKUP(O385,职业!$A$3:$E$16,4,FALSE),0),"")</f>
        <v/>
      </c>
      <c r="AG385" t="str">
        <f>IFERROR(R385&amp;"*"&amp;ROUND(V385*(S385/(S385+U385))/VLOOKUP(R385,商品!$A$4:$D$67,4,FALSE),0),"")</f>
        <v/>
      </c>
      <c r="AH385" t="str">
        <f>IFERROR(T385&amp;"*"&amp;ROUND(V385*(U385/(S385+U385))/VLOOKUP(T385,商品!$A$4:$D$67,4,FALSE),0),"")</f>
        <v/>
      </c>
    </row>
    <row r="386" customHeight="1" spans="1:34">
      <c r="A386" s="15" t="s">
        <v>354</v>
      </c>
      <c r="C386" s="2">
        <v>5</v>
      </c>
      <c r="D386" s="2" t="s">
        <v>238</v>
      </c>
      <c r="E386" s="2" t="s">
        <v>225</v>
      </c>
      <c r="L386" s="2">
        <f>IFERROR(VLOOKUP($D386&amp;$C386,生产方式定位!$A$2:$E$39,2,FALSE)+VLOOKUP($E386&amp;$C386,生产方式定位!$F$3:$J$39,2,FALSE),0)</f>
        <v>7000</v>
      </c>
      <c r="Q386" s="2">
        <f>IFERROR(VLOOKUP($D386&amp;$C386,生产方式定位!$A$2:$E$39,3,FALSE)+VLOOKUP($E386&amp;$C386,生产方式定位!$F$3:$J$39,3,FALSE),0)</f>
        <v>10000</v>
      </c>
      <c r="V386" s="2">
        <f>IFERROR(VLOOKUP($D386&amp;$C386,生产方式定位!$A$2:$E$39,5,FALSE)+VLOOKUP($E386&amp;$C386,生产方式定位!$F$3:$J$39,5,FALSE),"错误")</f>
        <v>8500</v>
      </c>
      <c r="W386" s="3" t="str">
        <f t="shared" si="25"/>
        <v/>
      </c>
      <c r="X386" s="4" t="str">
        <f t="shared" si="26"/>
        <v/>
      </c>
      <c r="Y386" s="4" t="str">
        <f t="shared" si="27"/>
        <v/>
      </c>
      <c r="Z386" s="5">
        <f t="shared" si="28"/>
        <v>0.82</v>
      </c>
      <c r="AA386" s="6">
        <f t="shared" si="29"/>
        <v>5</v>
      </c>
      <c r="AB386" t="str">
        <f>IFERROR(F386&amp;"*"&amp;ROUND(L386*(G386/(G386+I386+K386))/VLOOKUP(F386,商品!$A$4:$D$67,4,FALSE),0),"")</f>
        <v/>
      </c>
      <c r="AC386" t="str">
        <f>IFERROR(H386&amp;"*"&amp;ROUND(L386*(I386/(G386+I386+K386))/VLOOKUP(H386,商品!$A$4:$D$67,4,FALSE),0),"")</f>
        <v/>
      </c>
      <c r="AD386" t="str">
        <f>IFERROR(J386&amp;"*"&amp;ROUND(L386*(K386/(G386+I386+K386))/VLOOKUP(J386,商品!$A$4:$D$67,4,FALSE),0),"")</f>
        <v/>
      </c>
      <c r="AE386" t="str">
        <f>IFERROR(M386&amp;"*"&amp;ROUND(Q386*(N386/(N386+P386))/VLOOKUP(M386,职业!$A$3:$E$16,4,FALSE),0),"")</f>
        <v/>
      </c>
      <c r="AF386" t="str">
        <f>IFERROR(O386&amp;"*"&amp;ROUND(Q386*(P386/(N386+P386))/VLOOKUP(O386,职业!$A$3:$E$16,4,FALSE),0),"")</f>
        <v/>
      </c>
      <c r="AG386" t="str">
        <f>IFERROR(R386&amp;"*"&amp;ROUND(V386*(S386/(S386+U386))/VLOOKUP(R386,商品!$A$4:$D$67,4,FALSE),0),"")</f>
        <v/>
      </c>
      <c r="AH386" t="str">
        <f>IFERROR(T386&amp;"*"&amp;ROUND(V386*(U386/(S386+U386))/VLOOKUP(T386,商品!$A$4:$D$67,4,FALSE),0),"")</f>
        <v/>
      </c>
    </row>
    <row r="387" customHeight="1" spans="1:34">
      <c r="A387" s="15" t="s">
        <v>354</v>
      </c>
      <c r="C387" s="2">
        <v>1</v>
      </c>
      <c r="D387" s="2" t="s">
        <v>238</v>
      </c>
      <c r="E387" s="2" t="s">
        <v>225</v>
      </c>
      <c r="L387" s="2">
        <f>IFERROR(VLOOKUP($D387&amp;$C387,生产方式定位!$A$2:$E$39,2,FALSE)+VLOOKUP($E387&amp;$C387,生产方式定位!$F$3:$J$39,2,FALSE),0)</f>
        <v>11000</v>
      </c>
      <c r="Q387" s="2">
        <f>IFERROR(VLOOKUP($D387&amp;$C387,生产方式定位!$A$2:$E$39,3,FALSE)+VLOOKUP($E387&amp;$C387,生产方式定位!$F$3:$J$39,3,FALSE),0)</f>
        <v>8000</v>
      </c>
      <c r="V387" s="2">
        <f>IFERROR(VLOOKUP($D387&amp;$C387,生产方式定位!$A$2:$E$39,5,FALSE)+VLOOKUP($E387&amp;$C387,生产方式定位!$F$3:$J$39,5,FALSE),"错误")</f>
        <v>9500</v>
      </c>
      <c r="W387" s="3" t="str">
        <f t="shared" si="25"/>
        <v/>
      </c>
      <c r="X387" s="4" t="str">
        <f t="shared" si="26"/>
        <v/>
      </c>
      <c r="Y387" s="4" t="str">
        <f t="shared" si="27"/>
        <v/>
      </c>
      <c r="Z387" s="5">
        <f t="shared" si="28"/>
        <v>1.16</v>
      </c>
      <c r="AA387" s="6">
        <f t="shared" si="29"/>
        <v>1</v>
      </c>
      <c r="AB387" t="str">
        <f>IFERROR(F387&amp;"*"&amp;ROUND(L387*(G387/(G387+I387+K387))/VLOOKUP(F387,商品!$A$4:$D$67,4,FALSE),0),"")</f>
        <v/>
      </c>
      <c r="AC387" t="str">
        <f>IFERROR(H387&amp;"*"&amp;ROUND(L387*(I387/(G387+I387+K387))/VLOOKUP(H387,商品!$A$4:$D$67,4,FALSE),0),"")</f>
        <v/>
      </c>
      <c r="AD387" t="str">
        <f>IFERROR(J387&amp;"*"&amp;ROUND(L387*(K387/(G387+I387+K387))/VLOOKUP(J387,商品!$A$4:$D$67,4,FALSE),0),"")</f>
        <v/>
      </c>
      <c r="AE387" t="str">
        <f>IFERROR(M387&amp;"*"&amp;ROUND(Q387*(N387/(N387+P387))/VLOOKUP(M387,职业!$A$3:$E$16,4,FALSE),0),"")</f>
        <v/>
      </c>
      <c r="AF387" t="str">
        <f>IFERROR(O387&amp;"*"&amp;ROUND(Q387*(P387/(N387+P387))/VLOOKUP(O387,职业!$A$3:$E$16,4,FALSE),0),"")</f>
        <v/>
      </c>
      <c r="AG387" t="str">
        <f>IFERROR(R387&amp;"*"&amp;ROUND(V387*(S387/(S387+U387))/VLOOKUP(R387,商品!$A$4:$D$67,4,FALSE),0),"")</f>
        <v/>
      </c>
      <c r="AH387" t="str">
        <f>IFERROR(T387&amp;"*"&amp;ROUND(V387*(U387/(S387+U387))/VLOOKUP(T387,商品!$A$4:$D$67,4,FALSE),0),"")</f>
        <v/>
      </c>
    </row>
    <row r="388" customHeight="1" spans="1:34">
      <c r="A388" s="15" t="s">
        <v>354</v>
      </c>
      <c r="C388" s="2">
        <v>2</v>
      </c>
      <c r="D388" s="2" t="s">
        <v>238</v>
      </c>
      <c r="E388" s="2" t="s">
        <v>225</v>
      </c>
      <c r="L388" s="2">
        <f>IFERROR(VLOOKUP($D388&amp;$C388,生产方式定位!$A$2:$E$39,2,FALSE)+VLOOKUP($E388&amp;$C388,生产方式定位!$F$3:$J$39,2,FALSE),0)</f>
        <v>10000</v>
      </c>
      <c r="Q388" s="2">
        <f>IFERROR(VLOOKUP($D388&amp;$C388,生产方式定位!$A$2:$E$39,3,FALSE)+VLOOKUP($E388&amp;$C388,生产方式定位!$F$3:$J$39,3,FALSE),0)</f>
        <v>8500</v>
      </c>
      <c r="V388" s="2">
        <f>IFERROR(VLOOKUP($D388&amp;$C388,生产方式定位!$A$2:$E$39,5,FALSE)+VLOOKUP($E388&amp;$C388,生产方式定位!$F$3:$J$39,5,FALSE),"错误")</f>
        <v>9250</v>
      </c>
      <c r="W388" s="3" t="str">
        <f t="shared" si="25"/>
        <v/>
      </c>
      <c r="X388" s="4" t="str">
        <f t="shared" si="26"/>
        <v/>
      </c>
      <c r="Y388" s="4" t="str">
        <f t="shared" si="27"/>
        <v/>
      </c>
      <c r="Z388" s="5">
        <f t="shared" si="28"/>
        <v>1.08</v>
      </c>
      <c r="AA388" s="6">
        <f t="shared" si="29"/>
        <v>2</v>
      </c>
      <c r="AB388" t="str">
        <f>IFERROR(F388&amp;"*"&amp;ROUND(L388*(G388/(G388+I388+K388))/VLOOKUP(F388,商品!$A$4:$D$67,4,FALSE),0),"")</f>
        <v/>
      </c>
      <c r="AC388" t="str">
        <f>IFERROR(H388&amp;"*"&amp;ROUND(L388*(I388/(G388+I388+K388))/VLOOKUP(H388,商品!$A$4:$D$67,4,FALSE),0),"")</f>
        <v/>
      </c>
      <c r="AD388" t="str">
        <f>IFERROR(J388&amp;"*"&amp;ROUND(L388*(K388/(G388+I388+K388))/VLOOKUP(J388,商品!$A$4:$D$67,4,FALSE),0),"")</f>
        <v/>
      </c>
      <c r="AE388" t="str">
        <f>IFERROR(M388&amp;"*"&amp;ROUND(Q388*(N388/(N388+P388))/VLOOKUP(M388,职业!$A$3:$E$16,4,FALSE),0),"")</f>
        <v/>
      </c>
      <c r="AF388" t="str">
        <f>IFERROR(O388&amp;"*"&amp;ROUND(Q388*(P388/(N388+P388))/VLOOKUP(O388,职业!$A$3:$E$16,4,FALSE),0),"")</f>
        <v/>
      </c>
      <c r="AG388" t="str">
        <f>IFERROR(R388&amp;"*"&amp;ROUND(V388*(S388/(S388+U388))/VLOOKUP(R388,商品!$A$4:$D$67,4,FALSE),0),"")</f>
        <v/>
      </c>
      <c r="AH388" t="str">
        <f>IFERROR(T388&amp;"*"&amp;ROUND(V388*(U388/(S388+U388))/VLOOKUP(T388,商品!$A$4:$D$67,4,FALSE),0),"")</f>
        <v/>
      </c>
    </row>
    <row r="389" customHeight="1" spans="1:34">
      <c r="A389" s="15" t="s">
        <v>354</v>
      </c>
      <c r="C389" s="2">
        <v>3</v>
      </c>
      <c r="D389" s="2" t="s">
        <v>238</v>
      </c>
      <c r="E389" s="2" t="s">
        <v>225</v>
      </c>
      <c r="L389" s="2">
        <f>IFERROR(VLOOKUP($D389&amp;$C389,生产方式定位!$A$2:$E$39,2,FALSE)+VLOOKUP($E389&amp;$C389,生产方式定位!$F$3:$J$39,2,FALSE),0)</f>
        <v>9000</v>
      </c>
      <c r="Q389" s="2">
        <f>IFERROR(VLOOKUP($D389&amp;$C389,生产方式定位!$A$2:$E$39,3,FALSE)+VLOOKUP($E389&amp;$C389,生产方式定位!$F$3:$J$39,3,FALSE),0)</f>
        <v>9000</v>
      </c>
      <c r="V389" s="2">
        <f>IFERROR(VLOOKUP($D389&amp;$C389,生产方式定位!$A$2:$E$39,5,FALSE)+VLOOKUP($E389&amp;$C389,生产方式定位!$F$3:$J$39,5,FALSE),"错误")</f>
        <v>9000</v>
      </c>
      <c r="W389" s="3" t="str">
        <f t="shared" ref="W389:W452" si="30">IF(AB389="","",AB389)&amp;IF(AC389="","",","&amp;AC389)&amp;IF(AD389="","",","&amp;AD389)</f>
        <v/>
      </c>
      <c r="X389" s="4" t="str">
        <f t="shared" ref="X389:X452" si="31">IF(AE389="","",AE389)&amp;IF(AF389="","",","&amp;AF389)</f>
        <v/>
      </c>
      <c r="Y389" s="4" t="str">
        <f t="shared" ref="Y389:Y452" si="32">IF(AG389="","",AG389)&amp;IF(AH389="","",","&amp;AH389)</f>
        <v/>
      </c>
      <c r="Z389" s="5">
        <f t="shared" ref="Z389:Z452" si="33">IFERROR(ROUND(L389/V389,2),"")</f>
        <v>1</v>
      </c>
      <c r="AA389" s="6">
        <f t="shared" ref="AA389:AA452" si="34">C389</f>
        <v>3</v>
      </c>
      <c r="AB389" t="str">
        <f>IFERROR(F389&amp;"*"&amp;ROUND(L389*(G389/(G389+I389+K389))/VLOOKUP(F389,商品!$A$4:$D$67,4,FALSE),0),"")</f>
        <v/>
      </c>
      <c r="AC389" t="str">
        <f>IFERROR(H389&amp;"*"&amp;ROUND(L389*(I389/(G389+I389+K389))/VLOOKUP(H389,商品!$A$4:$D$67,4,FALSE),0),"")</f>
        <v/>
      </c>
      <c r="AD389" t="str">
        <f>IFERROR(J389&amp;"*"&amp;ROUND(L389*(K389/(G389+I389+K389))/VLOOKUP(J389,商品!$A$4:$D$67,4,FALSE),0),"")</f>
        <v/>
      </c>
      <c r="AE389" t="str">
        <f>IFERROR(M389&amp;"*"&amp;ROUND(Q389*(N389/(N389+P389))/VLOOKUP(M389,职业!$A$3:$E$16,4,FALSE),0),"")</f>
        <v/>
      </c>
      <c r="AF389" t="str">
        <f>IFERROR(O389&amp;"*"&amp;ROUND(Q389*(P389/(N389+P389))/VLOOKUP(O389,职业!$A$3:$E$16,4,FALSE),0),"")</f>
        <v/>
      </c>
      <c r="AG389" t="str">
        <f>IFERROR(R389&amp;"*"&amp;ROUND(V389*(S389/(S389+U389))/VLOOKUP(R389,商品!$A$4:$D$67,4,FALSE),0),"")</f>
        <v/>
      </c>
      <c r="AH389" t="str">
        <f>IFERROR(T389&amp;"*"&amp;ROUND(V389*(U389/(S389+U389))/VLOOKUP(T389,商品!$A$4:$D$67,4,FALSE),0),"")</f>
        <v/>
      </c>
    </row>
    <row r="390" customHeight="1" spans="1:34">
      <c r="A390" s="14" t="s">
        <v>356</v>
      </c>
      <c r="C390" s="2">
        <v>4</v>
      </c>
      <c r="D390" s="2" t="s">
        <v>238</v>
      </c>
      <c r="E390" s="2" t="s">
        <v>222</v>
      </c>
      <c r="L390" s="2">
        <f>IFERROR(VLOOKUP($D390&amp;$C390,生产方式定位!$A$2:$E$39,2,FALSE)+VLOOKUP($E390&amp;$C390,生产方式定位!$F$3:$J$39,2,FALSE),0)</f>
        <v>11000</v>
      </c>
      <c r="Q390" s="2">
        <f>IFERROR(VLOOKUP($D390&amp;$C390,生产方式定位!$A$2:$E$39,3,FALSE)+VLOOKUP($E390&amp;$C390,生产方式定位!$F$3:$J$39,3,FALSE),0)</f>
        <v>10100</v>
      </c>
      <c r="V390" s="2">
        <f>IFERROR(VLOOKUP($D390&amp;$C390,生产方式定位!$A$2:$E$39,5,FALSE)+VLOOKUP($E390&amp;$C390,生产方式定位!$F$3:$J$39,5,FALSE),"错误")</f>
        <v>11198</v>
      </c>
      <c r="W390" s="3" t="str">
        <f t="shared" si="30"/>
        <v/>
      </c>
      <c r="X390" s="4" t="str">
        <f t="shared" si="31"/>
        <v/>
      </c>
      <c r="Y390" s="4" t="str">
        <f t="shared" si="32"/>
        <v/>
      </c>
      <c r="Z390" s="5">
        <f t="shared" si="33"/>
        <v>0.98</v>
      </c>
      <c r="AA390" s="6">
        <f t="shared" si="34"/>
        <v>4</v>
      </c>
      <c r="AB390" t="str">
        <f>IFERROR(F390&amp;"*"&amp;ROUND(L390*(G390/(G390+I390+K390))/VLOOKUP(F390,商品!$A$4:$D$67,4,FALSE),0),"")</f>
        <v/>
      </c>
      <c r="AC390" t="str">
        <f>IFERROR(H390&amp;"*"&amp;ROUND(L390*(I390/(G390+I390+K390))/VLOOKUP(H390,商品!$A$4:$D$67,4,FALSE),0),"")</f>
        <v/>
      </c>
      <c r="AD390" t="str">
        <f>IFERROR(J390&amp;"*"&amp;ROUND(L390*(K390/(G390+I390+K390))/VLOOKUP(J390,商品!$A$4:$D$67,4,FALSE),0),"")</f>
        <v/>
      </c>
      <c r="AE390" t="str">
        <f>IFERROR(M390&amp;"*"&amp;ROUND(Q390*(N390/(N390+P390))/VLOOKUP(M390,职业!$A$3:$E$16,4,FALSE),0),"")</f>
        <v/>
      </c>
      <c r="AF390" t="str">
        <f>IFERROR(O390&amp;"*"&amp;ROUND(Q390*(P390/(N390+P390))/VLOOKUP(O390,职业!$A$3:$E$16,4,FALSE),0),"")</f>
        <v/>
      </c>
      <c r="AG390" t="str">
        <f>IFERROR(R390&amp;"*"&amp;ROUND(V390*(S390/(S390+U390))/VLOOKUP(R390,商品!$A$4:$D$67,4,FALSE),0),"")</f>
        <v/>
      </c>
      <c r="AH390" t="str">
        <f>IFERROR(T390&amp;"*"&amp;ROUND(V390*(U390/(S390+U390))/VLOOKUP(T390,商品!$A$4:$D$67,4,FALSE),0),"")</f>
        <v/>
      </c>
    </row>
    <row r="391" customHeight="1" spans="1:34">
      <c r="A391" s="14" t="s">
        <v>356</v>
      </c>
      <c r="C391" s="2">
        <v>5</v>
      </c>
      <c r="D391" s="2" t="s">
        <v>238</v>
      </c>
      <c r="E391" s="2" t="s">
        <v>222</v>
      </c>
      <c r="L391" s="2">
        <f>IFERROR(VLOOKUP($D391&amp;$C391,生产方式定位!$A$2:$E$39,2,FALSE)+VLOOKUP($E391&amp;$C391,生产方式定位!$F$3:$J$39,2,FALSE),0)</f>
        <v>11000</v>
      </c>
      <c r="Q391" s="2">
        <f>IFERROR(VLOOKUP($D391&amp;$C391,生产方式定位!$A$2:$E$39,3,FALSE)+VLOOKUP($E391&amp;$C391,生产方式定位!$F$3:$J$39,3,FALSE),0)</f>
        <v>10800</v>
      </c>
      <c r="V391" s="2">
        <f>IFERROR(VLOOKUP($D391&amp;$C391,生产方式定位!$A$2:$E$39,5,FALSE)+VLOOKUP($E391&amp;$C391,生产方式定位!$F$3:$J$39,5,FALSE),"错误")</f>
        <v>12100</v>
      </c>
      <c r="W391" s="3" t="str">
        <f t="shared" si="30"/>
        <v/>
      </c>
      <c r="X391" s="4" t="str">
        <f t="shared" si="31"/>
        <v/>
      </c>
      <c r="Y391" s="4" t="str">
        <f t="shared" si="32"/>
        <v/>
      </c>
      <c r="Z391" s="5">
        <f t="shared" si="33"/>
        <v>0.91</v>
      </c>
      <c r="AA391" s="6">
        <f t="shared" si="34"/>
        <v>5</v>
      </c>
      <c r="AB391" t="str">
        <f>IFERROR(F391&amp;"*"&amp;ROUND(L391*(G391/(G391+I391+K391))/VLOOKUP(F391,商品!$A$4:$D$67,4,FALSE),0),"")</f>
        <v/>
      </c>
      <c r="AC391" t="str">
        <f>IFERROR(H391&amp;"*"&amp;ROUND(L391*(I391/(G391+I391+K391))/VLOOKUP(H391,商品!$A$4:$D$67,4,FALSE),0),"")</f>
        <v/>
      </c>
      <c r="AD391" t="str">
        <f>IFERROR(J391&amp;"*"&amp;ROUND(L391*(K391/(G391+I391+K391))/VLOOKUP(J391,商品!$A$4:$D$67,4,FALSE),0),"")</f>
        <v/>
      </c>
      <c r="AE391" t="str">
        <f>IFERROR(M391&amp;"*"&amp;ROUND(Q391*(N391/(N391+P391))/VLOOKUP(M391,职业!$A$3:$E$16,4,FALSE),0),"")</f>
        <v/>
      </c>
      <c r="AF391" t="str">
        <f>IFERROR(O391&amp;"*"&amp;ROUND(Q391*(P391/(N391+P391))/VLOOKUP(O391,职业!$A$3:$E$16,4,FALSE),0),"")</f>
        <v/>
      </c>
      <c r="AG391" t="str">
        <f>IFERROR(R391&amp;"*"&amp;ROUND(V391*(S391/(S391+U391))/VLOOKUP(R391,商品!$A$4:$D$67,4,FALSE),0),"")</f>
        <v/>
      </c>
      <c r="AH391" t="str">
        <f>IFERROR(T391&amp;"*"&amp;ROUND(V391*(U391/(S391+U391))/VLOOKUP(T391,商品!$A$4:$D$67,4,FALSE),0),"")</f>
        <v/>
      </c>
    </row>
    <row r="392" customHeight="1" spans="1:34">
      <c r="A392" s="14" t="s">
        <v>356</v>
      </c>
      <c r="C392" s="2">
        <v>1</v>
      </c>
      <c r="D392" s="2" t="s">
        <v>238</v>
      </c>
      <c r="E392" s="2" t="s">
        <v>222</v>
      </c>
      <c r="L392" s="2">
        <f>IFERROR(VLOOKUP($D392&amp;$C392,生产方式定位!$A$2:$E$39,2,FALSE)+VLOOKUP($E392&amp;$C392,生产方式定位!$F$3:$J$39,2,FALSE),0)</f>
        <v>11000</v>
      </c>
      <c r="Q392" s="2">
        <f>IFERROR(VLOOKUP($D392&amp;$C392,生产方式定位!$A$2:$E$39,3,FALSE)+VLOOKUP($E392&amp;$C392,生产方式定位!$F$3:$J$39,3,FALSE),0)</f>
        <v>8000</v>
      </c>
      <c r="V392" s="2">
        <f>IFERROR(VLOOKUP($D392&amp;$C392,生产方式定位!$A$2:$E$39,5,FALSE)+VLOOKUP($E392&amp;$C392,生产方式定位!$F$3:$J$39,5,FALSE),"错误")</f>
        <v>9500</v>
      </c>
      <c r="W392" s="3" t="str">
        <f t="shared" si="30"/>
        <v/>
      </c>
      <c r="X392" s="4" t="str">
        <f t="shared" si="31"/>
        <v/>
      </c>
      <c r="Y392" s="4" t="str">
        <f t="shared" si="32"/>
        <v/>
      </c>
      <c r="Z392" s="5">
        <f t="shared" si="33"/>
        <v>1.16</v>
      </c>
      <c r="AA392" s="6">
        <f t="shared" si="34"/>
        <v>1</v>
      </c>
      <c r="AB392" t="str">
        <f>IFERROR(F392&amp;"*"&amp;ROUND(L392*(G392/(G392+I392+K392))/VLOOKUP(F392,商品!$A$4:$D$67,4,FALSE),0),"")</f>
        <v/>
      </c>
      <c r="AC392" t="str">
        <f>IFERROR(H392&amp;"*"&amp;ROUND(L392*(I392/(G392+I392+K392))/VLOOKUP(H392,商品!$A$4:$D$67,4,FALSE),0),"")</f>
        <v/>
      </c>
      <c r="AD392" t="str">
        <f>IFERROR(J392&amp;"*"&amp;ROUND(L392*(K392/(G392+I392+K392))/VLOOKUP(J392,商品!$A$4:$D$67,4,FALSE),0),"")</f>
        <v/>
      </c>
      <c r="AE392" t="str">
        <f>IFERROR(M392&amp;"*"&amp;ROUND(Q392*(N392/(N392+P392))/VLOOKUP(M392,职业!$A$3:$E$16,4,FALSE),0),"")</f>
        <v/>
      </c>
      <c r="AF392" t="str">
        <f>IFERROR(O392&amp;"*"&amp;ROUND(Q392*(P392/(N392+P392))/VLOOKUP(O392,职业!$A$3:$E$16,4,FALSE),0),"")</f>
        <v/>
      </c>
      <c r="AG392" t="str">
        <f>IFERROR(R392&amp;"*"&amp;ROUND(V392*(S392/(S392+U392))/VLOOKUP(R392,商品!$A$4:$D$67,4,FALSE),0),"")</f>
        <v/>
      </c>
      <c r="AH392" t="str">
        <f>IFERROR(T392&amp;"*"&amp;ROUND(V392*(U392/(S392+U392))/VLOOKUP(T392,商品!$A$4:$D$67,4,FALSE),0),"")</f>
        <v/>
      </c>
    </row>
    <row r="393" customHeight="1" spans="1:34">
      <c r="A393" s="14" t="s">
        <v>356</v>
      </c>
      <c r="C393" s="2">
        <v>2</v>
      </c>
      <c r="D393" s="2" t="s">
        <v>238</v>
      </c>
      <c r="E393" s="2" t="s">
        <v>222</v>
      </c>
      <c r="L393" s="2">
        <f>IFERROR(VLOOKUP($D393&amp;$C393,生产方式定位!$A$2:$E$39,2,FALSE)+VLOOKUP($E393&amp;$C393,生产方式定位!$F$3:$J$39,2,FALSE),0)</f>
        <v>11000</v>
      </c>
      <c r="Q393" s="2">
        <f>IFERROR(VLOOKUP($D393&amp;$C393,生产方式定位!$A$2:$E$39,3,FALSE)+VLOOKUP($E393&amp;$C393,生产方式定位!$F$3:$J$39,3,FALSE),0)</f>
        <v>8700</v>
      </c>
      <c r="V393" s="2">
        <f>IFERROR(VLOOKUP($D393&amp;$C393,生产方式定位!$A$2:$E$39,5,FALSE)+VLOOKUP($E393&amp;$C393,生产方式定位!$F$3:$J$39,5,FALSE),"错误")</f>
        <v>9922</v>
      </c>
      <c r="W393" s="3" t="str">
        <f t="shared" si="30"/>
        <v/>
      </c>
      <c r="X393" s="4" t="str">
        <f t="shared" si="31"/>
        <v/>
      </c>
      <c r="Y393" s="4" t="str">
        <f t="shared" si="32"/>
        <v/>
      </c>
      <c r="Z393" s="5">
        <f t="shared" si="33"/>
        <v>1.11</v>
      </c>
      <c r="AA393" s="6">
        <f t="shared" si="34"/>
        <v>2</v>
      </c>
      <c r="AB393" t="str">
        <f>IFERROR(F393&amp;"*"&amp;ROUND(L393*(G393/(G393+I393+K393))/VLOOKUP(F393,商品!$A$4:$D$67,4,FALSE),0),"")</f>
        <v/>
      </c>
      <c r="AC393" t="str">
        <f>IFERROR(H393&amp;"*"&amp;ROUND(L393*(I393/(G393+I393+K393))/VLOOKUP(H393,商品!$A$4:$D$67,4,FALSE),0),"")</f>
        <v/>
      </c>
      <c r="AD393" t="str">
        <f>IFERROR(J393&amp;"*"&amp;ROUND(L393*(K393/(G393+I393+K393))/VLOOKUP(J393,商品!$A$4:$D$67,4,FALSE),0),"")</f>
        <v/>
      </c>
      <c r="AE393" t="str">
        <f>IFERROR(M393&amp;"*"&amp;ROUND(Q393*(N393/(N393+P393))/VLOOKUP(M393,职业!$A$3:$E$16,4,FALSE),0),"")</f>
        <v/>
      </c>
      <c r="AF393" t="str">
        <f>IFERROR(O393&amp;"*"&amp;ROUND(Q393*(P393/(N393+P393))/VLOOKUP(O393,职业!$A$3:$E$16,4,FALSE),0),"")</f>
        <v/>
      </c>
      <c r="AG393" t="str">
        <f>IFERROR(R393&amp;"*"&amp;ROUND(V393*(S393/(S393+U393))/VLOOKUP(R393,商品!$A$4:$D$67,4,FALSE),0),"")</f>
        <v/>
      </c>
      <c r="AH393" t="str">
        <f>IFERROR(T393&amp;"*"&amp;ROUND(V393*(U393/(S393+U393))/VLOOKUP(T393,商品!$A$4:$D$67,4,FALSE),0),"")</f>
        <v/>
      </c>
    </row>
    <row r="394" customHeight="1" spans="1:34">
      <c r="A394" s="14" t="s">
        <v>356</v>
      </c>
      <c r="C394" s="2">
        <v>3</v>
      </c>
      <c r="D394" s="2" t="s">
        <v>238</v>
      </c>
      <c r="E394" s="2" t="s">
        <v>222</v>
      </c>
      <c r="L394" s="2">
        <f>IFERROR(VLOOKUP($D394&amp;$C394,生产方式定位!$A$2:$E$39,2,FALSE)+VLOOKUP($E394&amp;$C394,生产方式定位!$F$3:$J$39,2,FALSE),0)</f>
        <v>11000</v>
      </c>
      <c r="Q394" s="2">
        <f>IFERROR(VLOOKUP($D394&amp;$C394,生产方式定位!$A$2:$E$39,3,FALSE)+VLOOKUP($E394&amp;$C394,生产方式定位!$F$3:$J$39,3,FALSE),0)</f>
        <v>9400</v>
      </c>
      <c r="V394" s="2">
        <f>IFERROR(VLOOKUP($D394&amp;$C394,生产方式定位!$A$2:$E$39,5,FALSE)+VLOOKUP($E394&amp;$C394,生产方式定位!$F$3:$J$39,5,FALSE),"错误")</f>
        <v>10488</v>
      </c>
      <c r="W394" s="3" t="str">
        <f t="shared" si="30"/>
        <v/>
      </c>
      <c r="X394" s="4" t="str">
        <f t="shared" si="31"/>
        <v/>
      </c>
      <c r="Y394" s="4" t="str">
        <f t="shared" si="32"/>
        <v/>
      </c>
      <c r="Z394" s="5">
        <f t="shared" si="33"/>
        <v>1.05</v>
      </c>
      <c r="AA394" s="6">
        <f t="shared" si="34"/>
        <v>3</v>
      </c>
      <c r="AB394" t="str">
        <f>IFERROR(F394&amp;"*"&amp;ROUND(L394*(G394/(G394+I394+K394))/VLOOKUP(F394,商品!$A$4:$D$67,4,FALSE),0),"")</f>
        <v/>
      </c>
      <c r="AC394" t="str">
        <f>IFERROR(H394&amp;"*"&amp;ROUND(L394*(I394/(G394+I394+K394))/VLOOKUP(H394,商品!$A$4:$D$67,4,FALSE),0),"")</f>
        <v/>
      </c>
      <c r="AD394" t="str">
        <f>IFERROR(J394&amp;"*"&amp;ROUND(L394*(K394/(G394+I394+K394))/VLOOKUP(J394,商品!$A$4:$D$67,4,FALSE),0),"")</f>
        <v/>
      </c>
      <c r="AE394" t="str">
        <f>IFERROR(M394&amp;"*"&amp;ROUND(Q394*(N394/(N394+P394))/VLOOKUP(M394,职业!$A$3:$E$16,4,FALSE),0),"")</f>
        <v/>
      </c>
      <c r="AF394" t="str">
        <f>IFERROR(O394&amp;"*"&amp;ROUND(Q394*(P394/(N394+P394))/VLOOKUP(O394,职业!$A$3:$E$16,4,FALSE),0),"")</f>
        <v/>
      </c>
      <c r="AG394" t="str">
        <f>IFERROR(R394&amp;"*"&amp;ROUND(V394*(S394/(S394+U394))/VLOOKUP(R394,商品!$A$4:$D$67,4,FALSE),0),"")</f>
        <v/>
      </c>
      <c r="AH394" t="str">
        <f>IFERROR(T394&amp;"*"&amp;ROUND(V394*(U394/(S394+U394))/VLOOKUP(T394,商品!$A$4:$D$67,4,FALSE),0),"")</f>
        <v/>
      </c>
    </row>
    <row r="395" customHeight="1" spans="1:34">
      <c r="A395" s="15" t="s">
        <v>357</v>
      </c>
      <c r="C395" s="2">
        <v>4</v>
      </c>
      <c r="D395" s="2" t="s">
        <v>238</v>
      </c>
      <c r="E395" s="2" t="s">
        <v>224</v>
      </c>
      <c r="L395" s="2">
        <f>IFERROR(VLOOKUP($D395&amp;$C395,生产方式定位!$A$2:$E$39,2,FALSE)+VLOOKUP($E395&amp;$C395,生产方式定位!$F$3:$J$39,2,FALSE),0)</f>
        <v>12000</v>
      </c>
      <c r="Q395" s="2">
        <f>IFERROR(VLOOKUP($D395&amp;$C395,生产方式定位!$A$2:$E$39,3,FALSE)+VLOOKUP($E395&amp;$C395,生产方式定位!$F$3:$J$39,3,FALSE),0)</f>
        <v>8900</v>
      </c>
      <c r="V395" s="2">
        <f>IFERROR(VLOOKUP($D395&amp;$C395,生产方式定位!$A$2:$E$39,5,FALSE)+VLOOKUP($E395&amp;$C395,生产方式定位!$F$3:$J$39,5,FALSE),"错误")</f>
        <v>10960</v>
      </c>
      <c r="W395" s="3" t="str">
        <f t="shared" si="30"/>
        <v/>
      </c>
      <c r="X395" s="4" t="str">
        <f t="shared" si="31"/>
        <v/>
      </c>
      <c r="Y395" s="4" t="str">
        <f t="shared" si="32"/>
        <v/>
      </c>
      <c r="Z395" s="5">
        <f t="shared" si="33"/>
        <v>1.09</v>
      </c>
      <c r="AA395" s="6">
        <f t="shared" si="34"/>
        <v>4</v>
      </c>
      <c r="AB395" t="str">
        <f>IFERROR(F395&amp;"*"&amp;ROUND(L395*(G395/(G395+I395+K395))/VLOOKUP(F395,商品!$A$4:$D$67,4,FALSE),0),"")</f>
        <v/>
      </c>
      <c r="AC395" t="str">
        <f>IFERROR(H395&amp;"*"&amp;ROUND(L395*(I395/(G395+I395+K395))/VLOOKUP(H395,商品!$A$4:$D$67,4,FALSE),0),"")</f>
        <v/>
      </c>
      <c r="AD395" t="str">
        <f>IFERROR(J395&amp;"*"&amp;ROUND(L395*(K395/(G395+I395+K395))/VLOOKUP(J395,商品!$A$4:$D$67,4,FALSE),0),"")</f>
        <v/>
      </c>
      <c r="AE395" t="str">
        <f>IFERROR(M395&amp;"*"&amp;ROUND(Q395*(N395/(N395+P395))/VLOOKUP(M395,职业!$A$3:$E$16,4,FALSE),0),"")</f>
        <v/>
      </c>
      <c r="AF395" t="str">
        <f>IFERROR(O395&amp;"*"&amp;ROUND(Q395*(P395/(N395+P395))/VLOOKUP(O395,职业!$A$3:$E$16,4,FALSE),0),"")</f>
        <v/>
      </c>
      <c r="AG395" t="str">
        <f>IFERROR(R395&amp;"*"&amp;ROUND(V395*(S395/(S395+U395))/VLOOKUP(R395,商品!$A$4:$D$67,4,FALSE),0),"")</f>
        <v/>
      </c>
      <c r="AH395" t="str">
        <f>IFERROR(T395&amp;"*"&amp;ROUND(V395*(U395/(S395+U395))/VLOOKUP(T395,商品!$A$4:$D$67,4,FALSE),0),"")</f>
        <v/>
      </c>
    </row>
    <row r="396" customHeight="1" spans="1:34">
      <c r="A396" s="15" t="s">
        <v>357</v>
      </c>
      <c r="C396" s="2">
        <v>5</v>
      </c>
      <c r="D396" s="2" t="s">
        <v>238</v>
      </c>
      <c r="E396" s="2" t="s">
        <v>224</v>
      </c>
      <c r="L396" s="2">
        <f>IFERROR(VLOOKUP($D396&amp;$C396,生产方式定位!$A$2:$E$39,2,FALSE)+VLOOKUP($E396&amp;$C396,生产方式定位!$F$3:$J$39,2,FALSE),0)</f>
        <v>12000</v>
      </c>
      <c r="Q396" s="2">
        <f>IFERROR(VLOOKUP($D396&amp;$C396,生产方式定位!$A$2:$E$39,3,FALSE)+VLOOKUP($E396&amp;$C396,生产方式定位!$F$3:$J$39,3,FALSE),0)</f>
        <v>9200</v>
      </c>
      <c r="V396" s="2">
        <f>IFERROR(VLOOKUP($D396&amp;$C396,生产方式定位!$A$2:$E$39,5,FALSE)+VLOOKUP($E396&amp;$C396,生产方式定位!$F$3:$J$39,5,FALSE),"错误")</f>
        <v>11440</v>
      </c>
      <c r="W396" s="3" t="str">
        <f t="shared" si="30"/>
        <v/>
      </c>
      <c r="X396" s="4" t="str">
        <f t="shared" si="31"/>
        <v/>
      </c>
      <c r="Y396" s="4" t="str">
        <f t="shared" si="32"/>
        <v/>
      </c>
      <c r="Z396" s="5">
        <f t="shared" si="33"/>
        <v>1.05</v>
      </c>
      <c r="AA396" s="6">
        <f t="shared" si="34"/>
        <v>5</v>
      </c>
      <c r="AB396" t="str">
        <f>IFERROR(F396&amp;"*"&amp;ROUND(L396*(G396/(G396+I396+K396))/VLOOKUP(F396,商品!$A$4:$D$67,4,FALSE),0),"")</f>
        <v/>
      </c>
      <c r="AC396" t="str">
        <f>IFERROR(H396&amp;"*"&amp;ROUND(L396*(I396/(G396+I396+K396))/VLOOKUP(H396,商品!$A$4:$D$67,4,FALSE),0),"")</f>
        <v/>
      </c>
      <c r="AD396" t="str">
        <f>IFERROR(J396&amp;"*"&amp;ROUND(L396*(K396/(G396+I396+K396))/VLOOKUP(J396,商品!$A$4:$D$67,4,FALSE),0),"")</f>
        <v/>
      </c>
      <c r="AE396" t="str">
        <f>IFERROR(M396&amp;"*"&amp;ROUND(Q396*(N396/(N396+P396))/VLOOKUP(M396,职业!$A$3:$E$16,4,FALSE),0),"")</f>
        <v/>
      </c>
      <c r="AF396" t="str">
        <f>IFERROR(O396&amp;"*"&amp;ROUND(Q396*(P396/(N396+P396))/VLOOKUP(O396,职业!$A$3:$E$16,4,FALSE),0),"")</f>
        <v/>
      </c>
      <c r="AG396" t="str">
        <f>IFERROR(R396&amp;"*"&amp;ROUND(V396*(S396/(S396+U396))/VLOOKUP(R396,商品!$A$4:$D$67,4,FALSE),0),"")</f>
        <v/>
      </c>
      <c r="AH396" t="str">
        <f>IFERROR(T396&amp;"*"&amp;ROUND(V396*(U396/(S396+U396))/VLOOKUP(T396,商品!$A$4:$D$67,4,FALSE),0),"")</f>
        <v/>
      </c>
    </row>
    <row r="397" customHeight="1" spans="1:34">
      <c r="A397" s="15" t="s">
        <v>357</v>
      </c>
      <c r="C397" s="2">
        <v>1</v>
      </c>
      <c r="D397" s="2" t="s">
        <v>238</v>
      </c>
      <c r="E397" s="2" t="s">
        <v>224</v>
      </c>
      <c r="L397" s="2">
        <f>IFERROR(VLOOKUP($D397&amp;$C397,生产方式定位!$A$2:$E$39,2,FALSE)+VLOOKUP($E397&amp;$C397,生产方式定位!$F$3:$J$39,2,FALSE),0)</f>
        <v>11000</v>
      </c>
      <c r="Q397" s="2">
        <f>IFERROR(VLOOKUP($D397&amp;$C397,生产方式定位!$A$2:$E$39,3,FALSE)+VLOOKUP($E397&amp;$C397,生产方式定位!$F$3:$J$39,3,FALSE),0)</f>
        <v>8000</v>
      </c>
      <c r="V397" s="2">
        <f>IFERROR(VLOOKUP($D397&amp;$C397,生产方式定位!$A$2:$E$39,5,FALSE)+VLOOKUP($E397&amp;$C397,生产方式定位!$F$3:$J$39,5,FALSE),"错误")</f>
        <v>9500</v>
      </c>
      <c r="W397" s="3" t="str">
        <f t="shared" si="30"/>
        <v/>
      </c>
      <c r="X397" s="4" t="str">
        <f t="shared" si="31"/>
        <v/>
      </c>
      <c r="Y397" s="4" t="str">
        <f t="shared" si="32"/>
        <v/>
      </c>
      <c r="Z397" s="5">
        <f t="shared" si="33"/>
        <v>1.16</v>
      </c>
      <c r="AA397" s="6">
        <f t="shared" si="34"/>
        <v>1</v>
      </c>
      <c r="AB397" t="str">
        <f>IFERROR(F397&amp;"*"&amp;ROUND(L397*(G397/(G397+I397+K397))/VLOOKUP(F397,商品!$A$4:$D$67,4,FALSE),0),"")</f>
        <v/>
      </c>
      <c r="AC397" t="str">
        <f>IFERROR(H397&amp;"*"&amp;ROUND(L397*(I397/(G397+I397+K397))/VLOOKUP(H397,商品!$A$4:$D$67,4,FALSE),0),"")</f>
        <v/>
      </c>
      <c r="AD397" t="str">
        <f>IFERROR(J397&amp;"*"&amp;ROUND(L397*(K397/(G397+I397+K397))/VLOOKUP(J397,商品!$A$4:$D$67,4,FALSE),0),"")</f>
        <v/>
      </c>
      <c r="AE397" t="str">
        <f>IFERROR(M397&amp;"*"&amp;ROUND(Q397*(N397/(N397+P397))/VLOOKUP(M397,职业!$A$3:$E$16,4,FALSE),0),"")</f>
        <v/>
      </c>
      <c r="AF397" t="str">
        <f>IFERROR(O397&amp;"*"&amp;ROUND(Q397*(P397/(N397+P397))/VLOOKUP(O397,职业!$A$3:$E$16,4,FALSE),0),"")</f>
        <v/>
      </c>
      <c r="AG397" t="str">
        <f>IFERROR(R397&amp;"*"&amp;ROUND(V397*(S397/(S397+U397))/VLOOKUP(R397,商品!$A$4:$D$67,4,FALSE),0),"")</f>
        <v/>
      </c>
      <c r="AH397" t="str">
        <f>IFERROR(T397&amp;"*"&amp;ROUND(V397*(U397/(S397+U397))/VLOOKUP(T397,商品!$A$4:$D$67,4,FALSE),0),"")</f>
        <v/>
      </c>
    </row>
    <row r="398" customHeight="1" spans="1:34">
      <c r="A398" s="15" t="s">
        <v>357</v>
      </c>
      <c r="C398" s="2">
        <v>2</v>
      </c>
      <c r="D398" s="2" t="s">
        <v>238</v>
      </c>
      <c r="E398" s="2" t="s">
        <v>224</v>
      </c>
      <c r="L398" s="2">
        <f>IFERROR(VLOOKUP($D398&amp;$C398,生产方式定位!$A$2:$E$39,2,FALSE)+VLOOKUP($E398&amp;$C398,生产方式定位!$F$3:$J$39,2,FALSE),0)</f>
        <v>12000</v>
      </c>
      <c r="Q398" s="2">
        <f>IFERROR(VLOOKUP($D398&amp;$C398,生产方式定位!$A$2:$E$39,3,FALSE)+VLOOKUP($E398&amp;$C398,生产方式定位!$F$3:$J$39,3,FALSE),0)</f>
        <v>8300</v>
      </c>
      <c r="V398" s="2">
        <f>IFERROR(VLOOKUP($D398&amp;$C398,生产方式定位!$A$2:$E$39,5,FALSE)+VLOOKUP($E398&amp;$C398,生产方式定位!$F$3:$J$39,5,FALSE),"错误")</f>
        <v>10240</v>
      </c>
      <c r="W398" s="3" t="str">
        <f t="shared" si="30"/>
        <v/>
      </c>
      <c r="X398" s="4" t="str">
        <f t="shared" si="31"/>
        <v/>
      </c>
      <c r="Y398" s="4" t="str">
        <f t="shared" si="32"/>
        <v/>
      </c>
      <c r="Z398" s="5">
        <f t="shared" si="33"/>
        <v>1.17</v>
      </c>
      <c r="AA398" s="6">
        <f t="shared" si="34"/>
        <v>2</v>
      </c>
      <c r="AB398" t="str">
        <f>IFERROR(F398&amp;"*"&amp;ROUND(L398*(G398/(G398+I398+K398))/VLOOKUP(F398,商品!$A$4:$D$67,4,FALSE),0),"")</f>
        <v/>
      </c>
      <c r="AC398" t="str">
        <f>IFERROR(H398&amp;"*"&amp;ROUND(L398*(I398/(G398+I398+K398))/VLOOKUP(H398,商品!$A$4:$D$67,4,FALSE),0),"")</f>
        <v/>
      </c>
      <c r="AD398" t="str">
        <f>IFERROR(J398&amp;"*"&amp;ROUND(L398*(K398/(G398+I398+K398))/VLOOKUP(J398,商品!$A$4:$D$67,4,FALSE),0),"")</f>
        <v/>
      </c>
      <c r="AE398" t="str">
        <f>IFERROR(M398&amp;"*"&amp;ROUND(Q398*(N398/(N398+P398))/VLOOKUP(M398,职业!$A$3:$E$16,4,FALSE),0),"")</f>
        <v/>
      </c>
      <c r="AF398" t="str">
        <f>IFERROR(O398&amp;"*"&amp;ROUND(Q398*(P398/(N398+P398))/VLOOKUP(O398,职业!$A$3:$E$16,4,FALSE),0),"")</f>
        <v/>
      </c>
      <c r="AG398" t="str">
        <f>IFERROR(R398&amp;"*"&amp;ROUND(V398*(S398/(S398+U398))/VLOOKUP(R398,商品!$A$4:$D$67,4,FALSE),0),"")</f>
        <v/>
      </c>
      <c r="AH398" t="str">
        <f>IFERROR(T398&amp;"*"&amp;ROUND(V398*(U398/(S398+U398))/VLOOKUP(T398,商品!$A$4:$D$67,4,FALSE),0),"")</f>
        <v/>
      </c>
    </row>
    <row r="399" customHeight="1" spans="1:34">
      <c r="A399" s="15" t="s">
        <v>357</v>
      </c>
      <c r="C399" s="2">
        <v>3</v>
      </c>
      <c r="D399" s="2" t="s">
        <v>238</v>
      </c>
      <c r="E399" s="2" t="s">
        <v>224</v>
      </c>
      <c r="L399" s="2">
        <f>IFERROR(VLOOKUP($D399&amp;$C399,生产方式定位!$A$2:$E$39,2,FALSE)+VLOOKUP($E399&amp;$C399,生产方式定位!$F$3:$J$39,2,FALSE),0)</f>
        <v>12000</v>
      </c>
      <c r="Q399" s="2">
        <f>IFERROR(VLOOKUP($D399&amp;$C399,生产方式定位!$A$2:$E$39,3,FALSE)+VLOOKUP($E399&amp;$C399,生产方式定位!$F$3:$J$39,3,FALSE),0)</f>
        <v>8600</v>
      </c>
      <c r="V399" s="2">
        <f>IFERROR(VLOOKUP($D399&amp;$C399,生产方式定位!$A$2:$E$39,5,FALSE)+VLOOKUP($E399&amp;$C399,生产方式定位!$F$3:$J$39,5,FALSE),"错误")</f>
        <v>10560</v>
      </c>
      <c r="W399" s="3" t="str">
        <f t="shared" si="30"/>
        <v/>
      </c>
      <c r="X399" s="4" t="str">
        <f t="shared" si="31"/>
        <v/>
      </c>
      <c r="Y399" s="4" t="str">
        <f t="shared" si="32"/>
        <v/>
      </c>
      <c r="Z399" s="5">
        <f t="shared" si="33"/>
        <v>1.14</v>
      </c>
      <c r="AA399" s="6">
        <f t="shared" si="34"/>
        <v>3</v>
      </c>
      <c r="AB399" t="str">
        <f>IFERROR(F399&amp;"*"&amp;ROUND(L399*(G399/(G399+I399+K399))/VLOOKUP(F399,商品!$A$4:$D$67,4,FALSE),0),"")</f>
        <v/>
      </c>
      <c r="AC399" t="str">
        <f>IFERROR(H399&amp;"*"&amp;ROUND(L399*(I399/(G399+I399+K399))/VLOOKUP(H399,商品!$A$4:$D$67,4,FALSE),0),"")</f>
        <v/>
      </c>
      <c r="AD399" t="str">
        <f>IFERROR(J399&amp;"*"&amp;ROUND(L399*(K399/(G399+I399+K399))/VLOOKUP(J399,商品!$A$4:$D$67,4,FALSE),0),"")</f>
        <v/>
      </c>
      <c r="AE399" t="str">
        <f>IFERROR(M399&amp;"*"&amp;ROUND(Q399*(N399/(N399+P399))/VLOOKUP(M399,职业!$A$3:$E$16,4,FALSE),0),"")</f>
        <v/>
      </c>
      <c r="AF399" t="str">
        <f>IFERROR(O399&amp;"*"&amp;ROUND(Q399*(P399/(N399+P399))/VLOOKUP(O399,职业!$A$3:$E$16,4,FALSE),0),"")</f>
        <v/>
      </c>
      <c r="AG399" t="str">
        <f>IFERROR(R399&amp;"*"&amp;ROUND(V399*(S399/(S399+U399))/VLOOKUP(R399,商品!$A$4:$D$67,4,FALSE),0),"")</f>
        <v/>
      </c>
      <c r="AH399" t="str">
        <f>IFERROR(T399&amp;"*"&amp;ROUND(V399*(U399/(S399+U399))/VLOOKUP(T399,商品!$A$4:$D$67,4,FALSE),0),"")</f>
        <v/>
      </c>
    </row>
    <row r="400" customHeight="1" spans="1:34">
      <c r="A400" s="14" t="s">
        <v>357</v>
      </c>
      <c r="C400" s="2">
        <v>4</v>
      </c>
      <c r="D400" s="2" t="s">
        <v>238</v>
      </c>
      <c r="E400" s="2" t="s">
        <v>224</v>
      </c>
      <c r="L400" s="2">
        <f>IFERROR(VLOOKUP($D400&amp;$C400,生产方式定位!$A$2:$E$39,2,FALSE)+VLOOKUP($E400&amp;$C400,生产方式定位!$F$3:$J$39,2,FALSE),0)</f>
        <v>12000</v>
      </c>
      <c r="Q400" s="2">
        <f>IFERROR(VLOOKUP($D400&amp;$C400,生产方式定位!$A$2:$E$39,3,FALSE)+VLOOKUP($E400&amp;$C400,生产方式定位!$F$3:$J$39,3,FALSE),0)</f>
        <v>8900</v>
      </c>
      <c r="V400" s="2">
        <f>IFERROR(VLOOKUP($D400&amp;$C400,生产方式定位!$A$2:$E$39,5,FALSE)+VLOOKUP($E400&amp;$C400,生产方式定位!$F$3:$J$39,5,FALSE),"错误")</f>
        <v>10960</v>
      </c>
      <c r="W400" s="3" t="str">
        <f t="shared" si="30"/>
        <v/>
      </c>
      <c r="X400" s="4" t="str">
        <f t="shared" si="31"/>
        <v/>
      </c>
      <c r="Y400" s="4" t="str">
        <f t="shared" si="32"/>
        <v/>
      </c>
      <c r="Z400" s="5">
        <f t="shared" si="33"/>
        <v>1.09</v>
      </c>
      <c r="AA400" s="6">
        <f t="shared" si="34"/>
        <v>4</v>
      </c>
      <c r="AB400" t="str">
        <f>IFERROR(F400&amp;"*"&amp;ROUND(L400*(G400/(G400+I400+K400))/VLOOKUP(F400,商品!$A$4:$D$67,4,FALSE),0),"")</f>
        <v/>
      </c>
      <c r="AC400" t="str">
        <f>IFERROR(H400&amp;"*"&amp;ROUND(L400*(I400/(G400+I400+K400))/VLOOKUP(H400,商品!$A$4:$D$67,4,FALSE),0),"")</f>
        <v/>
      </c>
      <c r="AD400" t="str">
        <f>IFERROR(J400&amp;"*"&amp;ROUND(L400*(K400/(G400+I400+K400))/VLOOKUP(J400,商品!$A$4:$D$67,4,FALSE),0),"")</f>
        <v/>
      </c>
      <c r="AE400" t="str">
        <f>IFERROR(M400&amp;"*"&amp;ROUND(Q400*(N400/(N400+P400))/VLOOKUP(M400,职业!$A$3:$E$16,4,FALSE),0),"")</f>
        <v/>
      </c>
      <c r="AF400" t="str">
        <f>IFERROR(O400&amp;"*"&amp;ROUND(Q400*(P400/(N400+P400))/VLOOKUP(O400,职业!$A$3:$E$16,4,FALSE),0),"")</f>
        <v/>
      </c>
      <c r="AG400" t="str">
        <f>IFERROR(R400&amp;"*"&amp;ROUND(V400*(S400/(S400+U400))/VLOOKUP(R400,商品!$A$4:$D$67,4,FALSE),0),"")</f>
        <v/>
      </c>
      <c r="AH400" t="str">
        <f>IFERROR(T400&amp;"*"&amp;ROUND(V400*(U400/(S400+U400))/VLOOKUP(T400,商品!$A$4:$D$67,4,FALSE),0),"")</f>
        <v/>
      </c>
    </row>
    <row r="401" customHeight="1" spans="1:34">
      <c r="A401" s="14" t="s">
        <v>357</v>
      </c>
      <c r="C401" s="2">
        <v>5</v>
      </c>
      <c r="D401" s="2" t="s">
        <v>238</v>
      </c>
      <c r="E401" s="2" t="s">
        <v>224</v>
      </c>
      <c r="L401" s="2">
        <f>IFERROR(VLOOKUP($D401&amp;$C401,生产方式定位!$A$2:$E$39,2,FALSE)+VLOOKUP($E401&amp;$C401,生产方式定位!$F$3:$J$39,2,FALSE),0)</f>
        <v>12000</v>
      </c>
      <c r="Q401" s="2">
        <f>IFERROR(VLOOKUP($D401&amp;$C401,生产方式定位!$A$2:$E$39,3,FALSE)+VLOOKUP($E401&amp;$C401,生产方式定位!$F$3:$J$39,3,FALSE),0)</f>
        <v>9200</v>
      </c>
      <c r="V401" s="2">
        <f>IFERROR(VLOOKUP($D401&amp;$C401,生产方式定位!$A$2:$E$39,5,FALSE)+VLOOKUP($E401&amp;$C401,生产方式定位!$F$3:$J$39,5,FALSE),"错误")</f>
        <v>11440</v>
      </c>
      <c r="W401" s="3" t="str">
        <f t="shared" si="30"/>
        <v/>
      </c>
      <c r="X401" s="4" t="str">
        <f t="shared" si="31"/>
        <v/>
      </c>
      <c r="Y401" s="4" t="str">
        <f t="shared" si="32"/>
        <v/>
      </c>
      <c r="Z401" s="5">
        <f t="shared" si="33"/>
        <v>1.05</v>
      </c>
      <c r="AA401" s="6">
        <f t="shared" si="34"/>
        <v>5</v>
      </c>
      <c r="AB401" t="str">
        <f>IFERROR(F401&amp;"*"&amp;ROUND(L401*(G401/(G401+I401+K401))/VLOOKUP(F401,商品!$A$4:$D$67,4,FALSE),0),"")</f>
        <v/>
      </c>
      <c r="AC401" t="str">
        <f>IFERROR(H401&amp;"*"&amp;ROUND(L401*(I401/(G401+I401+K401))/VLOOKUP(H401,商品!$A$4:$D$67,4,FALSE),0),"")</f>
        <v/>
      </c>
      <c r="AD401" t="str">
        <f>IFERROR(J401&amp;"*"&amp;ROUND(L401*(K401/(G401+I401+K401))/VLOOKUP(J401,商品!$A$4:$D$67,4,FALSE),0),"")</f>
        <v/>
      </c>
      <c r="AE401" t="str">
        <f>IFERROR(M401&amp;"*"&amp;ROUND(Q401*(N401/(N401+P401))/VLOOKUP(M401,职业!$A$3:$E$16,4,FALSE),0),"")</f>
        <v/>
      </c>
      <c r="AF401" t="str">
        <f>IFERROR(O401&amp;"*"&amp;ROUND(Q401*(P401/(N401+P401))/VLOOKUP(O401,职业!$A$3:$E$16,4,FALSE),0),"")</f>
        <v/>
      </c>
      <c r="AG401" t="str">
        <f>IFERROR(R401&amp;"*"&amp;ROUND(V401*(S401/(S401+U401))/VLOOKUP(R401,商品!$A$4:$D$67,4,FALSE),0),"")</f>
        <v/>
      </c>
      <c r="AH401" t="str">
        <f>IFERROR(T401&amp;"*"&amp;ROUND(V401*(U401/(S401+U401))/VLOOKUP(T401,商品!$A$4:$D$67,4,FALSE),0),"")</f>
        <v/>
      </c>
    </row>
    <row r="402" customHeight="1" spans="1:34">
      <c r="A402" s="14" t="s">
        <v>357</v>
      </c>
      <c r="C402" s="2">
        <v>1</v>
      </c>
      <c r="D402" s="2" t="s">
        <v>238</v>
      </c>
      <c r="E402" s="2" t="s">
        <v>224</v>
      </c>
      <c r="L402" s="2">
        <f>IFERROR(VLOOKUP($D402&amp;$C402,生产方式定位!$A$2:$E$39,2,FALSE)+VLOOKUP($E402&amp;$C402,生产方式定位!$F$3:$J$39,2,FALSE),0)</f>
        <v>11000</v>
      </c>
      <c r="Q402" s="2">
        <f>IFERROR(VLOOKUP($D402&amp;$C402,生产方式定位!$A$2:$E$39,3,FALSE)+VLOOKUP($E402&amp;$C402,生产方式定位!$F$3:$J$39,3,FALSE),0)</f>
        <v>8000</v>
      </c>
      <c r="V402" s="2">
        <f>IFERROR(VLOOKUP($D402&amp;$C402,生产方式定位!$A$2:$E$39,5,FALSE)+VLOOKUP($E402&amp;$C402,生产方式定位!$F$3:$J$39,5,FALSE),"错误")</f>
        <v>9500</v>
      </c>
      <c r="W402" s="3" t="str">
        <f t="shared" si="30"/>
        <v/>
      </c>
      <c r="X402" s="4" t="str">
        <f t="shared" si="31"/>
        <v/>
      </c>
      <c r="Y402" s="4" t="str">
        <f t="shared" si="32"/>
        <v/>
      </c>
      <c r="Z402" s="5">
        <f t="shared" si="33"/>
        <v>1.16</v>
      </c>
      <c r="AA402" s="6">
        <f t="shared" si="34"/>
        <v>1</v>
      </c>
      <c r="AB402" t="str">
        <f>IFERROR(F402&amp;"*"&amp;ROUND(L402*(G402/(G402+I402+K402))/VLOOKUP(F402,商品!$A$4:$D$67,4,FALSE),0),"")</f>
        <v/>
      </c>
      <c r="AC402" t="str">
        <f>IFERROR(H402&amp;"*"&amp;ROUND(L402*(I402/(G402+I402+K402))/VLOOKUP(H402,商品!$A$4:$D$67,4,FALSE),0),"")</f>
        <v/>
      </c>
      <c r="AD402" t="str">
        <f>IFERROR(J402&amp;"*"&amp;ROUND(L402*(K402/(G402+I402+K402))/VLOOKUP(J402,商品!$A$4:$D$67,4,FALSE),0),"")</f>
        <v/>
      </c>
      <c r="AE402" t="str">
        <f>IFERROR(M402&amp;"*"&amp;ROUND(Q402*(N402/(N402+P402))/VLOOKUP(M402,职业!$A$3:$E$16,4,FALSE),0),"")</f>
        <v/>
      </c>
      <c r="AF402" t="str">
        <f>IFERROR(O402&amp;"*"&amp;ROUND(Q402*(P402/(N402+P402))/VLOOKUP(O402,职业!$A$3:$E$16,4,FALSE),0),"")</f>
        <v/>
      </c>
      <c r="AG402" t="str">
        <f>IFERROR(R402&amp;"*"&amp;ROUND(V402*(S402/(S402+U402))/VLOOKUP(R402,商品!$A$4:$D$67,4,FALSE),0),"")</f>
        <v/>
      </c>
      <c r="AH402" t="str">
        <f>IFERROR(T402&amp;"*"&amp;ROUND(V402*(U402/(S402+U402))/VLOOKUP(T402,商品!$A$4:$D$67,4,FALSE),0),"")</f>
        <v/>
      </c>
    </row>
    <row r="403" customHeight="1" spans="1:34">
      <c r="A403" s="14" t="s">
        <v>357</v>
      </c>
      <c r="C403" s="2">
        <v>2</v>
      </c>
      <c r="D403" s="2" t="s">
        <v>238</v>
      </c>
      <c r="E403" s="2" t="s">
        <v>224</v>
      </c>
      <c r="L403" s="2">
        <f>IFERROR(VLOOKUP($D403&amp;$C403,生产方式定位!$A$2:$E$39,2,FALSE)+VLOOKUP($E403&amp;$C403,生产方式定位!$F$3:$J$39,2,FALSE),0)</f>
        <v>12000</v>
      </c>
      <c r="Q403" s="2">
        <f>IFERROR(VLOOKUP($D403&amp;$C403,生产方式定位!$A$2:$E$39,3,FALSE)+VLOOKUP($E403&amp;$C403,生产方式定位!$F$3:$J$39,3,FALSE),0)</f>
        <v>8300</v>
      </c>
      <c r="V403" s="2">
        <f>IFERROR(VLOOKUP($D403&amp;$C403,生产方式定位!$A$2:$E$39,5,FALSE)+VLOOKUP($E403&amp;$C403,生产方式定位!$F$3:$J$39,5,FALSE),"错误")</f>
        <v>10240</v>
      </c>
      <c r="W403" s="3" t="str">
        <f t="shared" si="30"/>
        <v/>
      </c>
      <c r="X403" s="4" t="str">
        <f t="shared" si="31"/>
        <v/>
      </c>
      <c r="Y403" s="4" t="str">
        <f t="shared" si="32"/>
        <v/>
      </c>
      <c r="Z403" s="5">
        <f t="shared" si="33"/>
        <v>1.17</v>
      </c>
      <c r="AA403" s="6">
        <f t="shared" si="34"/>
        <v>2</v>
      </c>
      <c r="AB403" t="str">
        <f>IFERROR(F403&amp;"*"&amp;ROUND(L403*(G403/(G403+I403+K403))/VLOOKUP(F403,商品!$A$4:$D$67,4,FALSE),0),"")</f>
        <v/>
      </c>
      <c r="AC403" t="str">
        <f>IFERROR(H403&amp;"*"&amp;ROUND(L403*(I403/(G403+I403+K403))/VLOOKUP(H403,商品!$A$4:$D$67,4,FALSE),0),"")</f>
        <v/>
      </c>
      <c r="AD403" t="str">
        <f>IFERROR(J403&amp;"*"&amp;ROUND(L403*(K403/(G403+I403+K403))/VLOOKUP(J403,商品!$A$4:$D$67,4,FALSE),0),"")</f>
        <v/>
      </c>
      <c r="AE403" t="str">
        <f>IFERROR(M403&amp;"*"&amp;ROUND(Q403*(N403/(N403+P403))/VLOOKUP(M403,职业!$A$3:$E$16,4,FALSE),0),"")</f>
        <v/>
      </c>
      <c r="AF403" t="str">
        <f>IFERROR(O403&amp;"*"&amp;ROUND(Q403*(P403/(N403+P403))/VLOOKUP(O403,职业!$A$3:$E$16,4,FALSE),0),"")</f>
        <v/>
      </c>
      <c r="AG403" t="str">
        <f>IFERROR(R403&amp;"*"&amp;ROUND(V403*(S403/(S403+U403))/VLOOKUP(R403,商品!$A$4:$D$67,4,FALSE),0),"")</f>
        <v/>
      </c>
      <c r="AH403" t="str">
        <f>IFERROR(T403&amp;"*"&amp;ROUND(V403*(U403/(S403+U403))/VLOOKUP(T403,商品!$A$4:$D$67,4,FALSE),0),"")</f>
        <v/>
      </c>
    </row>
    <row r="404" customHeight="1" spans="1:34">
      <c r="A404" s="14" t="s">
        <v>357</v>
      </c>
      <c r="C404" s="2">
        <v>3</v>
      </c>
      <c r="D404" s="2" t="s">
        <v>238</v>
      </c>
      <c r="E404" s="2" t="s">
        <v>224</v>
      </c>
      <c r="L404" s="2">
        <f>IFERROR(VLOOKUP($D404&amp;$C404,生产方式定位!$A$2:$E$39,2,FALSE)+VLOOKUP($E404&amp;$C404,生产方式定位!$F$3:$J$39,2,FALSE),0)</f>
        <v>12000</v>
      </c>
      <c r="Q404" s="2">
        <f>IFERROR(VLOOKUP($D404&amp;$C404,生产方式定位!$A$2:$E$39,3,FALSE)+VLOOKUP($E404&amp;$C404,生产方式定位!$F$3:$J$39,3,FALSE),0)</f>
        <v>8600</v>
      </c>
      <c r="V404" s="2">
        <f>IFERROR(VLOOKUP($D404&amp;$C404,生产方式定位!$A$2:$E$39,5,FALSE)+VLOOKUP($E404&amp;$C404,生产方式定位!$F$3:$J$39,5,FALSE),"错误")</f>
        <v>10560</v>
      </c>
      <c r="W404" s="3" t="str">
        <f t="shared" si="30"/>
        <v/>
      </c>
      <c r="X404" s="4" t="str">
        <f t="shared" si="31"/>
        <v/>
      </c>
      <c r="Y404" s="4" t="str">
        <f t="shared" si="32"/>
        <v/>
      </c>
      <c r="Z404" s="5">
        <f t="shared" si="33"/>
        <v>1.14</v>
      </c>
      <c r="AA404" s="6">
        <f t="shared" si="34"/>
        <v>3</v>
      </c>
      <c r="AB404" t="str">
        <f>IFERROR(F404&amp;"*"&amp;ROUND(L404*(G404/(G404+I404+K404))/VLOOKUP(F404,商品!$A$4:$D$67,4,FALSE),0),"")</f>
        <v/>
      </c>
      <c r="AC404" t="str">
        <f>IFERROR(H404&amp;"*"&amp;ROUND(L404*(I404/(G404+I404+K404))/VLOOKUP(H404,商品!$A$4:$D$67,4,FALSE),0),"")</f>
        <v/>
      </c>
      <c r="AD404" t="str">
        <f>IFERROR(J404&amp;"*"&amp;ROUND(L404*(K404/(G404+I404+K404))/VLOOKUP(J404,商品!$A$4:$D$67,4,FALSE),0),"")</f>
        <v/>
      </c>
      <c r="AE404" t="str">
        <f>IFERROR(M404&amp;"*"&amp;ROUND(Q404*(N404/(N404+P404))/VLOOKUP(M404,职业!$A$3:$E$16,4,FALSE),0),"")</f>
        <v/>
      </c>
      <c r="AF404" t="str">
        <f>IFERROR(O404&amp;"*"&amp;ROUND(Q404*(P404/(N404+P404))/VLOOKUP(O404,职业!$A$3:$E$16,4,FALSE),0),"")</f>
        <v/>
      </c>
      <c r="AG404" t="str">
        <f>IFERROR(R404&amp;"*"&amp;ROUND(V404*(S404/(S404+U404))/VLOOKUP(R404,商品!$A$4:$D$67,4,FALSE),0),"")</f>
        <v/>
      </c>
      <c r="AH404" t="str">
        <f>IFERROR(T404&amp;"*"&amp;ROUND(V404*(U404/(S404+U404))/VLOOKUP(T404,商品!$A$4:$D$67,4,FALSE),0),"")</f>
        <v/>
      </c>
    </row>
    <row r="405" customHeight="1" spans="1:34">
      <c r="A405" s="15" t="s">
        <v>358</v>
      </c>
      <c r="C405" s="2">
        <v>4</v>
      </c>
      <c r="D405" s="2" t="s">
        <v>238</v>
      </c>
      <c r="E405" s="2" t="s">
        <v>225</v>
      </c>
      <c r="L405" s="2">
        <f>IFERROR(VLOOKUP($D405&amp;$C405,生产方式定位!$A$2:$E$39,2,FALSE)+VLOOKUP($E405&amp;$C405,生产方式定位!$F$3:$J$39,2,FALSE),0)</f>
        <v>8000</v>
      </c>
      <c r="Q405" s="2">
        <f>IFERROR(VLOOKUP($D405&amp;$C405,生产方式定位!$A$2:$E$39,3,FALSE)+VLOOKUP($E405&amp;$C405,生产方式定位!$F$3:$J$39,3,FALSE),0)</f>
        <v>9500</v>
      </c>
      <c r="V405" s="2">
        <f>IFERROR(VLOOKUP($D405&amp;$C405,生产方式定位!$A$2:$E$39,5,FALSE)+VLOOKUP($E405&amp;$C405,生产方式定位!$F$3:$J$39,5,FALSE),"错误")</f>
        <v>8750</v>
      </c>
      <c r="W405" s="3" t="str">
        <f t="shared" si="30"/>
        <v/>
      </c>
      <c r="X405" s="4" t="str">
        <f t="shared" si="31"/>
        <v/>
      </c>
      <c r="Y405" s="4" t="str">
        <f t="shared" si="32"/>
        <v/>
      </c>
      <c r="Z405" s="5">
        <f t="shared" si="33"/>
        <v>0.91</v>
      </c>
      <c r="AA405" s="6">
        <f t="shared" si="34"/>
        <v>4</v>
      </c>
      <c r="AB405" t="str">
        <f>IFERROR(F405&amp;"*"&amp;ROUND(L405*(G405/(G405+I405+K405))/VLOOKUP(F405,商品!$A$4:$D$67,4,FALSE),0),"")</f>
        <v/>
      </c>
      <c r="AC405" t="str">
        <f>IFERROR(H405&amp;"*"&amp;ROUND(L405*(I405/(G405+I405+K405))/VLOOKUP(H405,商品!$A$4:$D$67,4,FALSE),0),"")</f>
        <v/>
      </c>
      <c r="AD405" t="str">
        <f>IFERROR(J405&amp;"*"&amp;ROUND(L405*(K405/(G405+I405+K405))/VLOOKUP(J405,商品!$A$4:$D$67,4,FALSE),0),"")</f>
        <v/>
      </c>
      <c r="AE405" t="str">
        <f>IFERROR(M405&amp;"*"&amp;ROUND(Q405*(N405/(N405+P405))/VLOOKUP(M405,职业!$A$3:$E$16,4,FALSE),0),"")</f>
        <v/>
      </c>
      <c r="AF405" t="str">
        <f>IFERROR(O405&amp;"*"&amp;ROUND(Q405*(P405/(N405+P405))/VLOOKUP(O405,职业!$A$3:$E$16,4,FALSE),0),"")</f>
        <v/>
      </c>
      <c r="AG405" t="str">
        <f>IFERROR(R405&amp;"*"&amp;ROUND(V405*(S405/(S405+U405))/VLOOKUP(R405,商品!$A$4:$D$67,4,FALSE),0),"")</f>
        <v/>
      </c>
      <c r="AH405" t="str">
        <f>IFERROR(T405&amp;"*"&amp;ROUND(V405*(U405/(S405+U405))/VLOOKUP(T405,商品!$A$4:$D$67,4,FALSE),0),"")</f>
        <v/>
      </c>
    </row>
    <row r="406" customHeight="1" spans="1:34">
      <c r="A406" s="15" t="s">
        <v>358</v>
      </c>
      <c r="C406" s="2">
        <v>5</v>
      </c>
      <c r="D406" s="2" t="s">
        <v>238</v>
      </c>
      <c r="E406" s="2" t="s">
        <v>225</v>
      </c>
      <c r="L406" s="2">
        <f>IFERROR(VLOOKUP($D406&amp;$C406,生产方式定位!$A$2:$E$39,2,FALSE)+VLOOKUP($E406&amp;$C406,生产方式定位!$F$3:$J$39,2,FALSE),0)</f>
        <v>7000</v>
      </c>
      <c r="Q406" s="2">
        <f>IFERROR(VLOOKUP($D406&amp;$C406,生产方式定位!$A$2:$E$39,3,FALSE)+VLOOKUP($E406&amp;$C406,生产方式定位!$F$3:$J$39,3,FALSE),0)</f>
        <v>10000</v>
      </c>
      <c r="V406" s="2">
        <f>IFERROR(VLOOKUP($D406&amp;$C406,生产方式定位!$A$2:$E$39,5,FALSE)+VLOOKUP($E406&amp;$C406,生产方式定位!$F$3:$J$39,5,FALSE),"错误")</f>
        <v>8500</v>
      </c>
      <c r="W406" s="3" t="str">
        <f t="shared" si="30"/>
        <v/>
      </c>
      <c r="X406" s="4" t="str">
        <f t="shared" si="31"/>
        <v/>
      </c>
      <c r="Y406" s="4" t="str">
        <f t="shared" si="32"/>
        <v/>
      </c>
      <c r="Z406" s="5">
        <f t="shared" si="33"/>
        <v>0.82</v>
      </c>
      <c r="AA406" s="6">
        <f t="shared" si="34"/>
        <v>5</v>
      </c>
      <c r="AB406" t="str">
        <f>IFERROR(F406&amp;"*"&amp;ROUND(L406*(G406/(G406+I406+K406))/VLOOKUP(F406,商品!$A$4:$D$67,4,FALSE),0),"")</f>
        <v/>
      </c>
      <c r="AC406" t="str">
        <f>IFERROR(H406&amp;"*"&amp;ROUND(L406*(I406/(G406+I406+K406))/VLOOKUP(H406,商品!$A$4:$D$67,4,FALSE),0),"")</f>
        <v/>
      </c>
      <c r="AD406" t="str">
        <f>IFERROR(J406&amp;"*"&amp;ROUND(L406*(K406/(G406+I406+K406))/VLOOKUP(J406,商品!$A$4:$D$67,4,FALSE),0),"")</f>
        <v/>
      </c>
      <c r="AE406" t="str">
        <f>IFERROR(M406&amp;"*"&amp;ROUND(Q406*(N406/(N406+P406))/VLOOKUP(M406,职业!$A$3:$E$16,4,FALSE),0),"")</f>
        <v/>
      </c>
      <c r="AF406" t="str">
        <f>IFERROR(O406&amp;"*"&amp;ROUND(Q406*(P406/(N406+P406))/VLOOKUP(O406,职业!$A$3:$E$16,4,FALSE),0),"")</f>
        <v/>
      </c>
      <c r="AG406" t="str">
        <f>IFERROR(R406&amp;"*"&amp;ROUND(V406*(S406/(S406+U406))/VLOOKUP(R406,商品!$A$4:$D$67,4,FALSE),0),"")</f>
        <v/>
      </c>
      <c r="AH406" t="str">
        <f>IFERROR(T406&amp;"*"&amp;ROUND(V406*(U406/(S406+U406))/VLOOKUP(T406,商品!$A$4:$D$67,4,FALSE),0),"")</f>
        <v/>
      </c>
    </row>
    <row r="407" customHeight="1" spans="1:34">
      <c r="A407" s="15" t="s">
        <v>358</v>
      </c>
      <c r="C407" s="2">
        <v>1</v>
      </c>
      <c r="D407" s="2" t="s">
        <v>238</v>
      </c>
      <c r="E407" s="2" t="s">
        <v>225</v>
      </c>
      <c r="L407" s="2">
        <f>IFERROR(VLOOKUP($D407&amp;$C407,生产方式定位!$A$2:$E$39,2,FALSE)+VLOOKUP($E407&amp;$C407,生产方式定位!$F$3:$J$39,2,FALSE),0)</f>
        <v>11000</v>
      </c>
      <c r="Q407" s="2">
        <f>IFERROR(VLOOKUP($D407&amp;$C407,生产方式定位!$A$2:$E$39,3,FALSE)+VLOOKUP($E407&amp;$C407,生产方式定位!$F$3:$J$39,3,FALSE),0)</f>
        <v>8000</v>
      </c>
      <c r="V407" s="2">
        <f>IFERROR(VLOOKUP($D407&amp;$C407,生产方式定位!$A$2:$E$39,5,FALSE)+VLOOKUP($E407&amp;$C407,生产方式定位!$F$3:$J$39,5,FALSE),"错误")</f>
        <v>9500</v>
      </c>
      <c r="W407" s="3" t="str">
        <f t="shared" si="30"/>
        <v/>
      </c>
      <c r="X407" s="4" t="str">
        <f t="shared" si="31"/>
        <v/>
      </c>
      <c r="Y407" s="4" t="str">
        <f t="shared" si="32"/>
        <v/>
      </c>
      <c r="Z407" s="5">
        <f t="shared" si="33"/>
        <v>1.16</v>
      </c>
      <c r="AA407" s="6">
        <f t="shared" si="34"/>
        <v>1</v>
      </c>
      <c r="AB407" t="str">
        <f>IFERROR(F407&amp;"*"&amp;ROUND(L407*(G407/(G407+I407+K407))/VLOOKUP(F407,商品!$A$4:$D$67,4,FALSE),0),"")</f>
        <v/>
      </c>
      <c r="AC407" t="str">
        <f>IFERROR(H407&amp;"*"&amp;ROUND(L407*(I407/(G407+I407+K407))/VLOOKUP(H407,商品!$A$4:$D$67,4,FALSE),0),"")</f>
        <v/>
      </c>
      <c r="AD407" t="str">
        <f>IFERROR(J407&amp;"*"&amp;ROUND(L407*(K407/(G407+I407+K407))/VLOOKUP(J407,商品!$A$4:$D$67,4,FALSE),0),"")</f>
        <v/>
      </c>
      <c r="AE407" t="str">
        <f>IFERROR(M407&amp;"*"&amp;ROUND(Q407*(N407/(N407+P407))/VLOOKUP(M407,职业!$A$3:$E$16,4,FALSE),0),"")</f>
        <v/>
      </c>
      <c r="AF407" t="str">
        <f>IFERROR(O407&amp;"*"&amp;ROUND(Q407*(P407/(N407+P407))/VLOOKUP(O407,职业!$A$3:$E$16,4,FALSE),0),"")</f>
        <v/>
      </c>
      <c r="AG407" t="str">
        <f>IFERROR(R407&amp;"*"&amp;ROUND(V407*(S407/(S407+U407))/VLOOKUP(R407,商品!$A$4:$D$67,4,FALSE),0),"")</f>
        <v/>
      </c>
      <c r="AH407" t="str">
        <f>IFERROR(T407&amp;"*"&amp;ROUND(V407*(U407/(S407+U407))/VLOOKUP(T407,商品!$A$4:$D$67,4,FALSE),0),"")</f>
        <v/>
      </c>
    </row>
    <row r="408" customHeight="1" spans="1:34">
      <c r="A408" s="15" t="s">
        <v>358</v>
      </c>
      <c r="C408" s="2">
        <v>2</v>
      </c>
      <c r="D408" s="2" t="s">
        <v>238</v>
      </c>
      <c r="E408" s="2" t="s">
        <v>225</v>
      </c>
      <c r="L408" s="2">
        <f>IFERROR(VLOOKUP($D408&amp;$C408,生产方式定位!$A$2:$E$39,2,FALSE)+VLOOKUP($E408&amp;$C408,生产方式定位!$F$3:$J$39,2,FALSE),0)</f>
        <v>10000</v>
      </c>
      <c r="Q408" s="2">
        <f>IFERROR(VLOOKUP($D408&amp;$C408,生产方式定位!$A$2:$E$39,3,FALSE)+VLOOKUP($E408&amp;$C408,生产方式定位!$F$3:$J$39,3,FALSE),0)</f>
        <v>8500</v>
      </c>
      <c r="V408" s="2">
        <f>IFERROR(VLOOKUP($D408&amp;$C408,生产方式定位!$A$2:$E$39,5,FALSE)+VLOOKUP($E408&amp;$C408,生产方式定位!$F$3:$J$39,5,FALSE),"错误")</f>
        <v>9250</v>
      </c>
      <c r="W408" s="3" t="str">
        <f t="shared" si="30"/>
        <v/>
      </c>
      <c r="X408" s="4" t="str">
        <f t="shared" si="31"/>
        <v/>
      </c>
      <c r="Y408" s="4" t="str">
        <f t="shared" si="32"/>
        <v/>
      </c>
      <c r="Z408" s="5">
        <f t="shared" si="33"/>
        <v>1.08</v>
      </c>
      <c r="AA408" s="6">
        <f t="shared" si="34"/>
        <v>2</v>
      </c>
      <c r="AB408" t="str">
        <f>IFERROR(F408&amp;"*"&amp;ROUND(L408*(G408/(G408+I408+K408))/VLOOKUP(F408,商品!$A$4:$D$67,4,FALSE),0),"")</f>
        <v/>
      </c>
      <c r="AC408" t="str">
        <f>IFERROR(H408&amp;"*"&amp;ROUND(L408*(I408/(G408+I408+K408))/VLOOKUP(H408,商品!$A$4:$D$67,4,FALSE),0),"")</f>
        <v/>
      </c>
      <c r="AD408" t="str">
        <f>IFERROR(J408&amp;"*"&amp;ROUND(L408*(K408/(G408+I408+K408))/VLOOKUP(J408,商品!$A$4:$D$67,4,FALSE),0),"")</f>
        <v/>
      </c>
      <c r="AE408" t="str">
        <f>IFERROR(M408&amp;"*"&amp;ROUND(Q408*(N408/(N408+P408))/VLOOKUP(M408,职业!$A$3:$E$16,4,FALSE),0),"")</f>
        <v/>
      </c>
      <c r="AF408" t="str">
        <f>IFERROR(O408&amp;"*"&amp;ROUND(Q408*(P408/(N408+P408))/VLOOKUP(O408,职业!$A$3:$E$16,4,FALSE),0),"")</f>
        <v/>
      </c>
      <c r="AG408" t="str">
        <f>IFERROR(R408&amp;"*"&amp;ROUND(V408*(S408/(S408+U408))/VLOOKUP(R408,商品!$A$4:$D$67,4,FALSE),0),"")</f>
        <v/>
      </c>
      <c r="AH408" t="str">
        <f>IFERROR(T408&amp;"*"&amp;ROUND(V408*(U408/(S408+U408))/VLOOKUP(T408,商品!$A$4:$D$67,4,FALSE),0),"")</f>
        <v/>
      </c>
    </row>
    <row r="409" customHeight="1" spans="1:34">
      <c r="A409" s="15" t="s">
        <v>358</v>
      </c>
      <c r="C409" s="2">
        <v>3</v>
      </c>
      <c r="D409" s="2" t="s">
        <v>238</v>
      </c>
      <c r="E409" s="2" t="s">
        <v>225</v>
      </c>
      <c r="L409" s="2">
        <f>IFERROR(VLOOKUP($D409&amp;$C409,生产方式定位!$A$2:$E$39,2,FALSE)+VLOOKUP($E409&amp;$C409,生产方式定位!$F$3:$J$39,2,FALSE),0)</f>
        <v>9000</v>
      </c>
      <c r="Q409" s="2">
        <f>IFERROR(VLOOKUP($D409&amp;$C409,生产方式定位!$A$2:$E$39,3,FALSE)+VLOOKUP($E409&amp;$C409,生产方式定位!$F$3:$J$39,3,FALSE),0)</f>
        <v>9000</v>
      </c>
      <c r="V409" s="2">
        <f>IFERROR(VLOOKUP($D409&amp;$C409,生产方式定位!$A$2:$E$39,5,FALSE)+VLOOKUP($E409&amp;$C409,生产方式定位!$F$3:$J$39,5,FALSE),"错误")</f>
        <v>9000</v>
      </c>
      <c r="W409" s="3" t="str">
        <f t="shared" si="30"/>
        <v/>
      </c>
      <c r="X409" s="4" t="str">
        <f t="shared" si="31"/>
        <v/>
      </c>
      <c r="Y409" s="4" t="str">
        <f t="shared" si="32"/>
        <v/>
      </c>
      <c r="Z409" s="5">
        <f t="shared" si="33"/>
        <v>1</v>
      </c>
      <c r="AA409" s="6">
        <f t="shared" si="34"/>
        <v>3</v>
      </c>
      <c r="AB409" t="str">
        <f>IFERROR(F409&amp;"*"&amp;ROUND(L409*(G409/(G409+I409+K409))/VLOOKUP(F409,商品!$A$4:$D$67,4,FALSE),0),"")</f>
        <v/>
      </c>
      <c r="AC409" t="str">
        <f>IFERROR(H409&amp;"*"&amp;ROUND(L409*(I409/(G409+I409+K409))/VLOOKUP(H409,商品!$A$4:$D$67,4,FALSE),0),"")</f>
        <v/>
      </c>
      <c r="AD409" t="str">
        <f>IFERROR(J409&amp;"*"&amp;ROUND(L409*(K409/(G409+I409+K409))/VLOOKUP(J409,商品!$A$4:$D$67,4,FALSE),0),"")</f>
        <v/>
      </c>
      <c r="AE409" t="str">
        <f>IFERROR(M409&amp;"*"&amp;ROUND(Q409*(N409/(N409+P409))/VLOOKUP(M409,职业!$A$3:$E$16,4,FALSE),0),"")</f>
        <v/>
      </c>
      <c r="AF409" t="str">
        <f>IFERROR(O409&amp;"*"&amp;ROUND(Q409*(P409/(N409+P409))/VLOOKUP(O409,职业!$A$3:$E$16,4,FALSE),0),"")</f>
        <v/>
      </c>
      <c r="AG409" t="str">
        <f>IFERROR(R409&amp;"*"&amp;ROUND(V409*(S409/(S409+U409))/VLOOKUP(R409,商品!$A$4:$D$67,4,FALSE),0),"")</f>
        <v/>
      </c>
      <c r="AH409" t="str">
        <f>IFERROR(T409&amp;"*"&amp;ROUND(V409*(U409/(S409+U409))/VLOOKUP(T409,商品!$A$4:$D$67,4,FALSE),0),"")</f>
        <v/>
      </c>
    </row>
    <row r="410" customHeight="1" spans="1:34">
      <c r="A410" s="15" t="s">
        <v>358</v>
      </c>
      <c r="C410" s="2">
        <v>4</v>
      </c>
      <c r="D410" s="2" t="s">
        <v>238</v>
      </c>
      <c r="E410" s="2" t="s">
        <v>225</v>
      </c>
      <c r="L410" s="2">
        <f>IFERROR(VLOOKUP($D410&amp;$C410,生产方式定位!$A$2:$E$39,2,FALSE)+VLOOKUP($E410&amp;$C410,生产方式定位!$F$3:$J$39,2,FALSE),0)</f>
        <v>8000</v>
      </c>
      <c r="Q410" s="2">
        <f>IFERROR(VLOOKUP($D410&amp;$C410,生产方式定位!$A$2:$E$39,3,FALSE)+VLOOKUP($E410&amp;$C410,生产方式定位!$F$3:$J$39,3,FALSE),0)</f>
        <v>9500</v>
      </c>
      <c r="V410" s="2">
        <f>IFERROR(VLOOKUP($D410&amp;$C410,生产方式定位!$A$2:$E$39,5,FALSE)+VLOOKUP($E410&amp;$C410,生产方式定位!$F$3:$J$39,5,FALSE),"错误")</f>
        <v>8750</v>
      </c>
      <c r="W410" s="3" t="str">
        <f t="shared" si="30"/>
        <v/>
      </c>
      <c r="X410" s="4" t="str">
        <f t="shared" si="31"/>
        <v/>
      </c>
      <c r="Y410" s="4" t="str">
        <f t="shared" si="32"/>
        <v/>
      </c>
      <c r="Z410" s="5">
        <f t="shared" si="33"/>
        <v>0.91</v>
      </c>
      <c r="AA410" s="6">
        <f t="shared" si="34"/>
        <v>4</v>
      </c>
      <c r="AB410" t="str">
        <f>IFERROR(F410&amp;"*"&amp;ROUND(L410*(G410/(G410+I410+K410))/VLOOKUP(F410,商品!$A$4:$D$67,4,FALSE),0),"")</f>
        <v/>
      </c>
      <c r="AC410" t="str">
        <f>IFERROR(H410&amp;"*"&amp;ROUND(L410*(I410/(G410+I410+K410))/VLOOKUP(H410,商品!$A$4:$D$67,4,FALSE),0),"")</f>
        <v/>
      </c>
      <c r="AD410" t="str">
        <f>IFERROR(J410&amp;"*"&amp;ROUND(L410*(K410/(G410+I410+K410))/VLOOKUP(J410,商品!$A$4:$D$67,4,FALSE),0),"")</f>
        <v/>
      </c>
      <c r="AE410" t="str">
        <f>IFERROR(M410&amp;"*"&amp;ROUND(Q410*(N410/(N410+P410))/VLOOKUP(M410,职业!$A$3:$E$16,4,FALSE),0),"")</f>
        <v/>
      </c>
      <c r="AF410" t="str">
        <f>IFERROR(O410&amp;"*"&amp;ROUND(Q410*(P410/(N410+P410))/VLOOKUP(O410,职业!$A$3:$E$16,4,FALSE),0),"")</f>
        <v/>
      </c>
      <c r="AG410" t="str">
        <f>IFERROR(R410&amp;"*"&amp;ROUND(V410*(S410/(S410+U410))/VLOOKUP(R410,商品!$A$4:$D$67,4,FALSE),0),"")</f>
        <v/>
      </c>
      <c r="AH410" t="str">
        <f>IFERROR(T410&amp;"*"&amp;ROUND(V410*(U410/(S410+U410))/VLOOKUP(T410,商品!$A$4:$D$67,4,FALSE),0),"")</f>
        <v/>
      </c>
    </row>
    <row r="411" customHeight="1" spans="1:34">
      <c r="A411" s="15" t="s">
        <v>358</v>
      </c>
      <c r="C411" s="2">
        <v>5</v>
      </c>
      <c r="D411" s="2" t="s">
        <v>238</v>
      </c>
      <c r="E411" s="2" t="s">
        <v>225</v>
      </c>
      <c r="L411" s="2">
        <f>IFERROR(VLOOKUP($D411&amp;$C411,生产方式定位!$A$2:$E$39,2,FALSE)+VLOOKUP($E411&amp;$C411,生产方式定位!$F$3:$J$39,2,FALSE),0)</f>
        <v>7000</v>
      </c>
      <c r="Q411" s="2">
        <f>IFERROR(VLOOKUP($D411&amp;$C411,生产方式定位!$A$2:$E$39,3,FALSE)+VLOOKUP($E411&amp;$C411,生产方式定位!$F$3:$J$39,3,FALSE),0)</f>
        <v>10000</v>
      </c>
      <c r="V411" s="2">
        <f>IFERROR(VLOOKUP($D411&amp;$C411,生产方式定位!$A$2:$E$39,5,FALSE)+VLOOKUP($E411&amp;$C411,生产方式定位!$F$3:$J$39,5,FALSE),"错误")</f>
        <v>8500</v>
      </c>
      <c r="W411" s="3" t="str">
        <f t="shared" si="30"/>
        <v/>
      </c>
      <c r="X411" s="4" t="str">
        <f t="shared" si="31"/>
        <v/>
      </c>
      <c r="Y411" s="4" t="str">
        <f t="shared" si="32"/>
        <v/>
      </c>
      <c r="Z411" s="5">
        <f t="shared" si="33"/>
        <v>0.82</v>
      </c>
      <c r="AA411" s="6">
        <f t="shared" si="34"/>
        <v>5</v>
      </c>
      <c r="AB411" t="str">
        <f>IFERROR(F411&amp;"*"&amp;ROUND(L411*(G411/(G411+I411+K411))/VLOOKUP(F411,商品!$A$4:$D$67,4,FALSE),0),"")</f>
        <v/>
      </c>
      <c r="AC411" t="str">
        <f>IFERROR(H411&amp;"*"&amp;ROUND(L411*(I411/(G411+I411+K411))/VLOOKUP(H411,商品!$A$4:$D$67,4,FALSE),0),"")</f>
        <v/>
      </c>
      <c r="AD411" t="str">
        <f>IFERROR(J411&amp;"*"&amp;ROUND(L411*(K411/(G411+I411+K411))/VLOOKUP(J411,商品!$A$4:$D$67,4,FALSE),0),"")</f>
        <v/>
      </c>
      <c r="AE411" t="str">
        <f>IFERROR(M411&amp;"*"&amp;ROUND(Q411*(N411/(N411+P411))/VLOOKUP(M411,职业!$A$3:$E$16,4,FALSE),0),"")</f>
        <v/>
      </c>
      <c r="AF411" t="str">
        <f>IFERROR(O411&amp;"*"&amp;ROUND(Q411*(P411/(N411+P411))/VLOOKUP(O411,职业!$A$3:$E$16,4,FALSE),0),"")</f>
        <v/>
      </c>
      <c r="AG411" t="str">
        <f>IFERROR(R411&amp;"*"&amp;ROUND(V411*(S411/(S411+U411))/VLOOKUP(R411,商品!$A$4:$D$67,4,FALSE),0),"")</f>
        <v/>
      </c>
      <c r="AH411" t="str">
        <f>IFERROR(T411&amp;"*"&amp;ROUND(V411*(U411/(S411+U411))/VLOOKUP(T411,商品!$A$4:$D$67,4,FALSE),0),"")</f>
        <v/>
      </c>
    </row>
    <row r="412" customHeight="1" spans="1:34">
      <c r="A412" s="15" t="s">
        <v>358</v>
      </c>
      <c r="C412" s="2">
        <v>1</v>
      </c>
      <c r="D412" s="2" t="s">
        <v>238</v>
      </c>
      <c r="E412" s="2" t="s">
        <v>225</v>
      </c>
      <c r="L412" s="2">
        <f>IFERROR(VLOOKUP($D412&amp;$C412,生产方式定位!$A$2:$E$39,2,FALSE)+VLOOKUP($E412&amp;$C412,生产方式定位!$F$3:$J$39,2,FALSE),0)</f>
        <v>11000</v>
      </c>
      <c r="Q412" s="2">
        <f>IFERROR(VLOOKUP($D412&amp;$C412,生产方式定位!$A$2:$E$39,3,FALSE)+VLOOKUP($E412&amp;$C412,生产方式定位!$F$3:$J$39,3,FALSE),0)</f>
        <v>8000</v>
      </c>
      <c r="V412" s="2">
        <f>IFERROR(VLOOKUP($D412&amp;$C412,生产方式定位!$A$2:$E$39,5,FALSE)+VLOOKUP($E412&amp;$C412,生产方式定位!$F$3:$J$39,5,FALSE),"错误")</f>
        <v>9500</v>
      </c>
      <c r="W412" s="3" t="str">
        <f t="shared" si="30"/>
        <v/>
      </c>
      <c r="X412" s="4" t="str">
        <f t="shared" si="31"/>
        <v/>
      </c>
      <c r="Y412" s="4" t="str">
        <f t="shared" si="32"/>
        <v/>
      </c>
      <c r="Z412" s="5">
        <f t="shared" si="33"/>
        <v>1.16</v>
      </c>
      <c r="AA412" s="6">
        <f t="shared" si="34"/>
        <v>1</v>
      </c>
      <c r="AB412" t="str">
        <f>IFERROR(F412&amp;"*"&amp;ROUND(L412*(G412/(G412+I412+K412))/VLOOKUP(F412,商品!$A$4:$D$67,4,FALSE),0),"")</f>
        <v/>
      </c>
      <c r="AC412" t="str">
        <f>IFERROR(H412&amp;"*"&amp;ROUND(L412*(I412/(G412+I412+K412))/VLOOKUP(H412,商品!$A$4:$D$67,4,FALSE),0),"")</f>
        <v/>
      </c>
      <c r="AD412" t="str">
        <f>IFERROR(J412&amp;"*"&amp;ROUND(L412*(K412/(G412+I412+K412))/VLOOKUP(J412,商品!$A$4:$D$67,4,FALSE),0),"")</f>
        <v/>
      </c>
      <c r="AE412" t="str">
        <f>IFERROR(M412&amp;"*"&amp;ROUND(Q412*(N412/(N412+P412))/VLOOKUP(M412,职业!$A$3:$E$16,4,FALSE),0),"")</f>
        <v/>
      </c>
      <c r="AF412" t="str">
        <f>IFERROR(O412&amp;"*"&amp;ROUND(Q412*(P412/(N412+P412))/VLOOKUP(O412,职业!$A$3:$E$16,4,FALSE),0),"")</f>
        <v/>
      </c>
      <c r="AG412" t="str">
        <f>IFERROR(R412&amp;"*"&amp;ROUND(V412*(S412/(S412+U412))/VLOOKUP(R412,商品!$A$4:$D$67,4,FALSE),0),"")</f>
        <v/>
      </c>
      <c r="AH412" t="str">
        <f>IFERROR(T412&amp;"*"&amp;ROUND(V412*(U412/(S412+U412))/VLOOKUP(T412,商品!$A$4:$D$67,4,FALSE),0),"")</f>
        <v/>
      </c>
    </row>
    <row r="413" customHeight="1" spans="1:34">
      <c r="A413" s="14" t="s">
        <v>360</v>
      </c>
      <c r="C413" s="2">
        <v>2</v>
      </c>
      <c r="D413" s="2" t="s">
        <v>238</v>
      </c>
      <c r="E413" s="2" t="s">
        <v>222</v>
      </c>
      <c r="L413" s="2">
        <f>IFERROR(VLOOKUP($D413&amp;$C413,生产方式定位!$A$2:$E$39,2,FALSE)+VLOOKUP($E413&amp;$C413,生产方式定位!$F$3:$J$39,2,FALSE),0)</f>
        <v>11000</v>
      </c>
      <c r="Q413" s="2">
        <f>IFERROR(VLOOKUP($D413&amp;$C413,生产方式定位!$A$2:$E$39,3,FALSE)+VLOOKUP($E413&amp;$C413,生产方式定位!$F$3:$J$39,3,FALSE),0)</f>
        <v>8700</v>
      </c>
      <c r="V413" s="2">
        <f>IFERROR(VLOOKUP($D413&amp;$C413,生产方式定位!$A$2:$E$39,5,FALSE)+VLOOKUP($E413&amp;$C413,生产方式定位!$F$3:$J$39,5,FALSE),"错误")</f>
        <v>9922</v>
      </c>
      <c r="W413" s="3" t="str">
        <f t="shared" si="30"/>
        <v/>
      </c>
      <c r="X413" s="4" t="str">
        <f t="shared" si="31"/>
        <v/>
      </c>
      <c r="Y413" s="4" t="str">
        <f t="shared" si="32"/>
        <v/>
      </c>
      <c r="Z413" s="5">
        <f t="shared" si="33"/>
        <v>1.11</v>
      </c>
      <c r="AA413" s="6">
        <f t="shared" si="34"/>
        <v>2</v>
      </c>
      <c r="AB413" t="str">
        <f>IFERROR(F413&amp;"*"&amp;ROUND(L413*(G413/(G413+I413+K413))/VLOOKUP(F413,商品!$A$4:$D$67,4,FALSE),0),"")</f>
        <v/>
      </c>
      <c r="AC413" t="str">
        <f>IFERROR(H413&amp;"*"&amp;ROUND(L413*(I413/(G413+I413+K413))/VLOOKUP(H413,商品!$A$4:$D$67,4,FALSE),0),"")</f>
        <v/>
      </c>
      <c r="AD413" t="str">
        <f>IFERROR(J413&amp;"*"&amp;ROUND(L413*(K413/(G413+I413+K413))/VLOOKUP(J413,商品!$A$4:$D$67,4,FALSE),0),"")</f>
        <v/>
      </c>
      <c r="AE413" t="str">
        <f>IFERROR(M413&amp;"*"&amp;ROUND(Q413*(N413/(N413+P413))/VLOOKUP(M413,职业!$A$3:$E$16,4,FALSE),0),"")</f>
        <v/>
      </c>
      <c r="AF413" t="str">
        <f>IFERROR(O413&amp;"*"&amp;ROUND(Q413*(P413/(N413+P413))/VLOOKUP(O413,职业!$A$3:$E$16,4,FALSE),0),"")</f>
        <v/>
      </c>
      <c r="AG413" t="str">
        <f>IFERROR(R413&amp;"*"&amp;ROUND(V413*(S413/(S413+U413))/VLOOKUP(R413,商品!$A$4:$D$67,4,FALSE),0),"")</f>
        <v/>
      </c>
      <c r="AH413" t="str">
        <f>IFERROR(T413&amp;"*"&amp;ROUND(V413*(U413/(S413+U413))/VLOOKUP(T413,商品!$A$4:$D$67,4,FALSE),0),"")</f>
        <v/>
      </c>
    </row>
    <row r="414" customHeight="1" spans="1:34">
      <c r="A414" s="14" t="s">
        <v>360</v>
      </c>
      <c r="C414" s="2">
        <v>3</v>
      </c>
      <c r="D414" s="2" t="s">
        <v>238</v>
      </c>
      <c r="E414" s="2" t="s">
        <v>222</v>
      </c>
      <c r="L414" s="2">
        <f>IFERROR(VLOOKUP($D414&amp;$C414,生产方式定位!$A$2:$E$39,2,FALSE)+VLOOKUP($E414&amp;$C414,生产方式定位!$F$3:$J$39,2,FALSE),0)</f>
        <v>11000</v>
      </c>
      <c r="Q414" s="2">
        <f>IFERROR(VLOOKUP($D414&amp;$C414,生产方式定位!$A$2:$E$39,3,FALSE)+VLOOKUP($E414&amp;$C414,生产方式定位!$F$3:$J$39,3,FALSE),0)</f>
        <v>9400</v>
      </c>
      <c r="V414" s="2">
        <f>IFERROR(VLOOKUP($D414&amp;$C414,生产方式定位!$A$2:$E$39,5,FALSE)+VLOOKUP($E414&amp;$C414,生产方式定位!$F$3:$J$39,5,FALSE),"错误")</f>
        <v>10488</v>
      </c>
      <c r="W414" s="3" t="str">
        <f t="shared" si="30"/>
        <v/>
      </c>
      <c r="X414" s="4" t="str">
        <f t="shared" si="31"/>
        <v/>
      </c>
      <c r="Y414" s="4" t="str">
        <f t="shared" si="32"/>
        <v/>
      </c>
      <c r="Z414" s="5">
        <f t="shared" si="33"/>
        <v>1.05</v>
      </c>
      <c r="AA414" s="6">
        <f t="shared" si="34"/>
        <v>3</v>
      </c>
      <c r="AB414" t="str">
        <f>IFERROR(F414&amp;"*"&amp;ROUND(L414*(G414/(G414+I414+K414))/VLOOKUP(F414,商品!$A$4:$D$67,4,FALSE),0),"")</f>
        <v/>
      </c>
      <c r="AC414" t="str">
        <f>IFERROR(H414&amp;"*"&amp;ROUND(L414*(I414/(G414+I414+K414))/VLOOKUP(H414,商品!$A$4:$D$67,4,FALSE),0),"")</f>
        <v/>
      </c>
      <c r="AD414" t="str">
        <f>IFERROR(J414&amp;"*"&amp;ROUND(L414*(K414/(G414+I414+K414))/VLOOKUP(J414,商品!$A$4:$D$67,4,FALSE),0),"")</f>
        <v/>
      </c>
      <c r="AE414" t="str">
        <f>IFERROR(M414&amp;"*"&amp;ROUND(Q414*(N414/(N414+P414))/VLOOKUP(M414,职业!$A$3:$E$16,4,FALSE),0),"")</f>
        <v/>
      </c>
      <c r="AF414" t="str">
        <f>IFERROR(O414&amp;"*"&amp;ROUND(Q414*(P414/(N414+P414))/VLOOKUP(O414,职业!$A$3:$E$16,4,FALSE),0),"")</f>
        <v/>
      </c>
      <c r="AG414" t="str">
        <f>IFERROR(R414&amp;"*"&amp;ROUND(V414*(S414/(S414+U414))/VLOOKUP(R414,商品!$A$4:$D$67,4,FALSE),0),"")</f>
        <v/>
      </c>
      <c r="AH414" t="str">
        <f>IFERROR(T414&amp;"*"&amp;ROUND(V414*(U414/(S414+U414))/VLOOKUP(T414,商品!$A$4:$D$67,4,FALSE),0),"")</f>
        <v/>
      </c>
    </row>
    <row r="415" customHeight="1" spans="1:34">
      <c r="A415" s="14" t="s">
        <v>360</v>
      </c>
      <c r="C415" s="2">
        <v>4</v>
      </c>
      <c r="D415" s="2" t="s">
        <v>238</v>
      </c>
      <c r="E415" s="2" t="s">
        <v>222</v>
      </c>
      <c r="L415" s="2">
        <f>IFERROR(VLOOKUP($D415&amp;$C415,生产方式定位!$A$2:$E$39,2,FALSE)+VLOOKUP($E415&amp;$C415,生产方式定位!$F$3:$J$39,2,FALSE),0)</f>
        <v>11000</v>
      </c>
      <c r="Q415" s="2">
        <f>IFERROR(VLOOKUP($D415&amp;$C415,生产方式定位!$A$2:$E$39,3,FALSE)+VLOOKUP($E415&amp;$C415,生产方式定位!$F$3:$J$39,3,FALSE),0)</f>
        <v>10100</v>
      </c>
      <c r="V415" s="2">
        <f>IFERROR(VLOOKUP($D415&amp;$C415,生产方式定位!$A$2:$E$39,5,FALSE)+VLOOKUP($E415&amp;$C415,生产方式定位!$F$3:$J$39,5,FALSE),"错误")</f>
        <v>11198</v>
      </c>
      <c r="W415" s="3" t="str">
        <f t="shared" si="30"/>
        <v/>
      </c>
      <c r="X415" s="4" t="str">
        <f t="shared" si="31"/>
        <v/>
      </c>
      <c r="Y415" s="4" t="str">
        <f t="shared" si="32"/>
        <v/>
      </c>
      <c r="Z415" s="5">
        <f t="shared" si="33"/>
        <v>0.98</v>
      </c>
      <c r="AA415" s="6">
        <f t="shared" si="34"/>
        <v>4</v>
      </c>
      <c r="AB415" t="str">
        <f>IFERROR(F415&amp;"*"&amp;ROUND(L415*(G415/(G415+I415+K415))/VLOOKUP(F415,商品!$A$4:$D$67,4,FALSE),0),"")</f>
        <v/>
      </c>
      <c r="AC415" t="str">
        <f>IFERROR(H415&amp;"*"&amp;ROUND(L415*(I415/(G415+I415+K415))/VLOOKUP(H415,商品!$A$4:$D$67,4,FALSE),0),"")</f>
        <v/>
      </c>
      <c r="AD415" t="str">
        <f>IFERROR(J415&amp;"*"&amp;ROUND(L415*(K415/(G415+I415+K415))/VLOOKUP(J415,商品!$A$4:$D$67,4,FALSE),0),"")</f>
        <v/>
      </c>
      <c r="AE415" t="str">
        <f>IFERROR(M415&amp;"*"&amp;ROUND(Q415*(N415/(N415+P415))/VLOOKUP(M415,职业!$A$3:$E$16,4,FALSE),0),"")</f>
        <v/>
      </c>
      <c r="AF415" t="str">
        <f>IFERROR(O415&amp;"*"&amp;ROUND(Q415*(P415/(N415+P415))/VLOOKUP(O415,职业!$A$3:$E$16,4,FALSE),0),"")</f>
        <v/>
      </c>
      <c r="AG415" t="str">
        <f>IFERROR(R415&amp;"*"&amp;ROUND(V415*(S415/(S415+U415))/VLOOKUP(R415,商品!$A$4:$D$67,4,FALSE),0),"")</f>
        <v/>
      </c>
      <c r="AH415" t="str">
        <f>IFERROR(T415&amp;"*"&amp;ROUND(V415*(U415/(S415+U415))/VLOOKUP(T415,商品!$A$4:$D$67,4,FALSE),0),"")</f>
        <v/>
      </c>
    </row>
    <row r="416" customHeight="1" spans="1:34">
      <c r="A416" s="14" t="s">
        <v>360</v>
      </c>
      <c r="C416" s="2">
        <v>5</v>
      </c>
      <c r="D416" s="2" t="s">
        <v>238</v>
      </c>
      <c r="E416" s="2" t="s">
        <v>222</v>
      </c>
      <c r="L416" s="2">
        <f>IFERROR(VLOOKUP($D416&amp;$C416,生产方式定位!$A$2:$E$39,2,FALSE)+VLOOKUP($E416&amp;$C416,生产方式定位!$F$3:$J$39,2,FALSE),0)</f>
        <v>11000</v>
      </c>
      <c r="Q416" s="2">
        <f>IFERROR(VLOOKUP($D416&amp;$C416,生产方式定位!$A$2:$E$39,3,FALSE)+VLOOKUP($E416&amp;$C416,生产方式定位!$F$3:$J$39,3,FALSE),0)</f>
        <v>10800</v>
      </c>
      <c r="V416" s="2">
        <f>IFERROR(VLOOKUP($D416&amp;$C416,生产方式定位!$A$2:$E$39,5,FALSE)+VLOOKUP($E416&amp;$C416,生产方式定位!$F$3:$J$39,5,FALSE),"错误")</f>
        <v>12100</v>
      </c>
      <c r="W416" s="3" t="str">
        <f t="shared" si="30"/>
        <v/>
      </c>
      <c r="X416" s="4" t="str">
        <f t="shared" si="31"/>
        <v/>
      </c>
      <c r="Y416" s="4" t="str">
        <f t="shared" si="32"/>
        <v/>
      </c>
      <c r="Z416" s="5">
        <f t="shared" si="33"/>
        <v>0.91</v>
      </c>
      <c r="AA416" s="6">
        <f t="shared" si="34"/>
        <v>5</v>
      </c>
      <c r="AB416" t="str">
        <f>IFERROR(F416&amp;"*"&amp;ROUND(L416*(G416/(G416+I416+K416))/VLOOKUP(F416,商品!$A$4:$D$67,4,FALSE),0),"")</f>
        <v/>
      </c>
      <c r="AC416" t="str">
        <f>IFERROR(H416&amp;"*"&amp;ROUND(L416*(I416/(G416+I416+K416))/VLOOKUP(H416,商品!$A$4:$D$67,4,FALSE),0),"")</f>
        <v/>
      </c>
      <c r="AD416" t="str">
        <f>IFERROR(J416&amp;"*"&amp;ROUND(L416*(K416/(G416+I416+K416))/VLOOKUP(J416,商品!$A$4:$D$67,4,FALSE),0),"")</f>
        <v/>
      </c>
      <c r="AE416" t="str">
        <f>IFERROR(M416&amp;"*"&amp;ROUND(Q416*(N416/(N416+P416))/VLOOKUP(M416,职业!$A$3:$E$16,4,FALSE),0),"")</f>
        <v/>
      </c>
      <c r="AF416" t="str">
        <f>IFERROR(O416&amp;"*"&amp;ROUND(Q416*(P416/(N416+P416))/VLOOKUP(O416,职业!$A$3:$E$16,4,FALSE),0),"")</f>
        <v/>
      </c>
      <c r="AG416" t="str">
        <f>IFERROR(R416&amp;"*"&amp;ROUND(V416*(S416/(S416+U416))/VLOOKUP(R416,商品!$A$4:$D$67,4,FALSE),0),"")</f>
        <v/>
      </c>
      <c r="AH416" t="str">
        <f>IFERROR(T416&amp;"*"&amp;ROUND(V416*(U416/(S416+U416))/VLOOKUP(T416,商品!$A$4:$D$67,4,FALSE),0),"")</f>
        <v/>
      </c>
    </row>
    <row r="417" customHeight="1" spans="1:34">
      <c r="A417" s="14" t="s">
        <v>360</v>
      </c>
      <c r="C417" s="2">
        <v>1</v>
      </c>
      <c r="D417" s="2" t="s">
        <v>238</v>
      </c>
      <c r="E417" s="2" t="s">
        <v>222</v>
      </c>
      <c r="L417" s="2">
        <f>IFERROR(VLOOKUP($D417&amp;$C417,生产方式定位!$A$2:$E$39,2,FALSE)+VLOOKUP($E417&amp;$C417,生产方式定位!$F$3:$J$39,2,FALSE),0)</f>
        <v>11000</v>
      </c>
      <c r="Q417" s="2">
        <f>IFERROR(VLOOKUP($D417&amp;$C417,生产方式定位!$A$2:$E$39,3,FALSE)+VLOOKUP($E417&amp;$C417,生产方式定位!$F$3:$J$39,3,FALSE),0)</f>
        <v>8000</v>
      </c>
      <c r="V417" s="2">
        <f>IFERROR(VLOOKUP($D417&amp;$C417,生产方式定位!$A$2:$E$39,5,FALSE)+VLOOKUP($E417&amp;$C417,生产方式定位!$F$3:$J$39,5,FALSE),"错误")</f>
        <v>9500</v>
      </c>
      <c r="W417" s="3" t="str">
        <f t="shared" si="30"/>
        <v/>
      </c>
      <c r="X417" s="4" t="str">
        <f t="shared" si="31"/>
        <v/>
      </c>
      <c r="Y417" s="4" t="str">
        <f t="shared" si="32"/>
        <v/>
      </c>
      <c r="Z417" s="5">
        <f t="shared" si="33"/>
        <v>1.16</v>
      </c>
      <c r="AA417" s="6">
        <f t="shared" si="34"/>
        <v>1</v>
      </c>
      <c r="AB417" t="str">
        <f>IFERROR(F417&amp;"*"&amp;ROUND(L417*(G417/(G417+I417+K417))/VLOOKUP(F417,商品!$A$4:$D$67,4,FALSE),0),"")</f>
        <v/>
      </c>
      <c r="AC417" t="str">
        <f>IFERROR(H417&amp;"*"&amp;ROUND(L417*(I417/(G417+I417+K417))/VLOOKUP(H417,商品!$A$4:$D$67,4,FALSE),0),"")</f>
        <v/>
      </c>
      <c r="AD417" t="str">
        <f>IFERROR(J417&amp;"*"&amp;ROUND(L417*(K417/(G417+I417+K417))/VLOOKUP(J417,商品!$A$4:$D$67,4,FALSE),0),"")</f>
        <v/>
      </c>
      <c r="AE417" t="str">
        <f>IFERROR(M417&amp;"*"&amp;ROUND(Q417*(N417/(N417+P417))/VLOOKUP(M417,职业!$A$3:$E$16,4,FALSE),0),"")</f>
        <v/>
      </c>
      <c r="AF417" t="str">
        <f>IFERROR(O417&amp;"*"&amp;ROUND(Q417*(P417/(N417+P417))/VLOOKUP(O417,职业!$A$3:$E$16,4,FALSE),0),"")</f>
        <v/>
      </c>
      <c r="AG417" t="str">
        <f>IFERROR(R417&amp;"*"&amp;ROUND(V417*(S417/(S417+U417))/VLOOKUP(R417,商品!$A$4:$D$67,4,FALSE),0),"")</f>
        <v/>
      </c>
      <c r="AH417" t="str">
        <f>IFERROR(T417&amp;"*"&amp;ROUND(V417*(U417/(S417+U417))/VLOOKUP(T417,商品!$A$4:$D$67,4,FALSE),0),"")</f>
        <v/>
      </c>
    </row>
    <row r="418" customHeight="1" spans="1:34">
      <c r="A418" s="15" t="s">
        <v>361</v>
      </c>
      <c r="C418" s="2">
        <v>2</v>
      </c>
      <c r="D418" s="2" t="s">
        <v>238</v>
      </c>
      <c r="E418" s="2" t="s">
        <v>224</v>
      </c>
      <c r="L418" s="2">
        <f>IFERROR(VLOOKUP($D418&amp;$C418,生产方式定位!$A$2:$E$39,2,FALSE)+VLOOKUP($E418&amp;$C418,生产方式定位!$F$3:$J$39,2,FALSE),0)</f>
        <v>12000</v>
      </c>
      <c r="Q418" s="2">
        <f>IFERROR(VLOOKUP($D418&amp;$C418,生产方式定位!$A$2:$E$39,3,FALSE)+VLOOKUP($E418&amp;$C418,生产方式定位!$F$3:$J$39,3,FALSE),0)</f>
        <v>8300</v>
      </c>
      <c r="V418" s="2">
        <f>IFERROR(VLOOKUP($D418&amp;$C418,生产方式定位!$A$2:$E$39,5,FALSE)+VLOOKUP($E418&amp;$C418,生产方式定位!$F$3:$J$39,5,FALSE),"错误")</f>
        <v>10240</v>
      </c>
      <c r="W418" s="3" t="str">
        <f t="shared" si="30"/>
        <v/>
      </c>
      <c r="X418" s="4" t="str">
        <f t="shared" si="31"/>
        <v/>
      </c>
      <c r="Y418" s="4" t="str">
        <f t="shared" si="32"/>
        <v/>
      </c>
      <c r="Z418" s="5">
        <f t="shared" si="33"/>
        <v>1.17</v>
      </c>
      <c r="AA418" s="6">
        <f t="shared" si="34"/>
        <v>2</v>
      </c>
      <c r="AB418" t="str">
        <f>IFERROR(F418&amp;"*"&amp;ROUND(L418*(G418/(G418+I418+K418))/VLOOKUP(F418,商品!$A$4:$D$67,4,FALSE),0),"")</f>
        <v/>
      </c>
      <c r="AC418" t="str">
        <f>IFERROR(H418&amp;"*"&amp;ROUND(L418*(I418/(G418+I418+K418))/VLOOKUP(H418,商品!$A$4:$D$67,4,FALSE),0),"")</f>
        <v/>
      </c>
      <c r="AD418" t="str">
        <f>IFERROR(J418&amp;"*"&amp;ROUND(L418*(K418/(G418+I418+K418))/VLOOKUP(J418,商品!$A$4:$D$67,4,FALSE),0),"")</f>
        <v/>
      </c>
      <c r="AE418" t="str">
        <f>IFERROR(M418&amp;"*"&amp;ROUND(Q418*(N418/(N418+P418))/VLOOKUP(M418,职业!$A$3:$E$16,4,FALSE),0),"")</f>
        <v/>
      </c>
      <c r="AF418" t="str">
        <f>IFERROR(O418&amp;"*"&amp;ROUND(Q418*(P418/(N418+P418))/VLOOKUP(O418,职业!$A$3:$E$16,4,FALSE),0),"")</f>
        <v/>
      </c>
      <c r="AG418" t="str">
        <f>IFERROR(R418&amp;"*"&amp;ROUND(V418*(S418/(S418+U418))/VLOOKUP(R418,商品!$A$4:$D$67,4,FALSE),0),"")</f>
        <v/>
      </c>
      <c r="AH418" t="str">
        <f>IFERROR(T418&amp;"*"&amp;ROUND(V418*(U418/(S418+U418))/VLOOKUP(T418,商品!$A$4:$D$67,4,FALSE),0),"")</f>
        <v/>
      </c>
    </row>
    <row r="419" customHeight="1" spans="1:34">
      <c r="A419" s="15" t="s">
        <v>361</v>
      </c>
      <c r="C419" s="2">
        <v>3</v>
      </c>
      <c r="D419" s="2" t="s">
        <v>238</v>
      </c>
      <c r="E419" s="2" t="s">
        <v>224</v>
      </c>
      <c r="L419" s="2">
        <f>IFERROR(VLOOKUP($D419&amp;$C419,生产方式定位!$A$2:$E$39,2,FALSE)+VLOOKUP($E419&amp;$C419,生产方式定位!$F$3:$J$39,2,FALSE),0)</f>
        <v>12000</v>
      </c>
      <c r="Q419" s="2">
        <f>IFERROR(VLOOKUP($D419&amp;$C419,生产方式定位!$A$2:$E$39,3,FALSE)+VLOOKUP($E419&amp;$C419,生产方式定位!$F$3:$J$39,3,FALSE),0)</f>
        <v>8600</v>
      </c>
      <c r="V419" s="2">
        <f>IFERROR(VLOOKUP($D419&amp;$C419,生产方式定位!$A$2:$E$39,5,FALSE)+VLOOKUP($E419&amp;$C419,生产方式定位!$F$3:$J$39,5,FALSE),"错误")</f>
        <v>10560</v>
      </c>
      <c r="W419" s="3" t="str">
        <f t="shared" si="30"/>
        <v/>
      </c>
      <c r="X419" s="4" t="str">
        <f t="shared" si="31"/>
        <v/>
      </c>
      <c r="Y419" s="4" t="str">
        <f t="shared" si="32"/>
        <v/>
      </c>
      <c r="Z419" s="5">
        <f t="shared" si="33"/>
        <v>1.14</v>
      </c>
      <c r="AA419" s="6">
        <f t="shared" si="34"/>
        <v>3</v>
      </c>
      <c r="AB419" t="str">
        <f>IFERROR(F419&amp;"*"&amp;ROUND(L419*(G419/(G419+I419+K419))/VLOOKUP(F419,商品!$A$4:$D$67,4,FALSE),0),"")</f>
        <v/>
      </c>
      <c r="AC419" t="str">
        <f>IFERROR(H419&amp;"*"&amp;ROUND(L419*(I419/(G419+I419+K419))/VLOOKUP(H419,商品!$A$4:$D$67,4,FALSE),0),"")</f>
        <v/>
      </c>
      <c r="AD419" t="str">
        <f>IFERROR(J419&amp;"*"&amp;ROUND(L419*(K419/(G419+I419+K419))/VLOOKUP(J419,商品!$A$4:$D$67,4,FALSE),0),"")</f>
        <v/>
      </c>
      <c r="AE419" t="str">
        <f>IFERROR(M419&amp;"*"&amp;ROUND(Q419*(N419/(N419+P419))/VLOOKUP(M419,职业!$A$3:$E$16,4,FALSE),0),"")</f>
        <v/>
      </c>
      <c r="AF419" t="str">
        <f>IFERROR(O419&amp;"*"&amp;ROUND(Q419*(P419/(N419+P419))/VLOOKUP(O419,职业!$A$3:$E$16,4,FALSE),0),"")</f>
        <v/>
      </c>
      <c r="AG419" t="str">
        <f>IFERROR(R419&amp;"*"&amp;ROUND(V419*(S419/(S419+U419))/VLOOKUP(R419,商品!$A$4:$D$67,4,FALSE),0),"")</f>
        <v/>
      </c>
      <c r="AH419" t="str">
        <f>IFERROR(T419&amp;"*"&amp;ROUND(V419*(U419/(S419+U419))/VLOOKUP(T419,商品!$A$4:$D$67,4,FALSE),0),"")</f>
        <v/>
      </c>
    </row>
    <row r="420" customHeight="1" spans="1:34">
      <c r="A420" s="15" t="s">
        <v>361</v>
      </c>
      <c r="C420" s="2">
        <v>4</v>
      </c>
      <c r="D420" s="2" t="s">
        <v>238</v>
      </c>
      <c r="E420" s="2" t="s">
        <v>224</v>
      </c>
      <c r="L420" s="2">
        <f>IFERROR(VLOOKUP($D420&amp;$C420,生产方式定位!$A$2:$E$39,2,FALSE)+VLOOKUP($E420&amp;$C420,生产方式定位!$F$3:$J$39,2,FALSE),0)</f>
        <v>12000</v>
      </c>
      <c r="Q420" s="2">
        <f>IFERROR(VLOOKUP($D420&amp;$C420,生产方式定位!$A$2:$E$39,3,FALSE)+VLOOKUP($E420&amp;$C420,生产方式定位!$F$3:$J$39,3,FALSE),0)</f>
        <v>8900</v>
      </c>
      <c r="V420" s="2">
        <f>IFERROR(VLOOKUP($D420&amp;$C420,生产方式定位!$A$2:$E$39,5,FALSE)+VLOOKUP($E420&amp;$C420,生产方式定位!$F$3:$J$39,5,FALSE),"错误")</f>
        <v>10960</v>
      </c>
      <c r="W420" s="3" t="str">
        <f t="shared" si="30"/>
        <v/>
      </c>
      <c r="X420" s="4" t="str">
        <f t="shared" si="31"/>
        <v/>
      </c>
      <c r="Y420" s="4" t="str">
        <f t="shared" si="32"/>
        <v/>
      </c>
      <c r="Z420" s="5">
        <f t="shared" si="33"/>
        <v>1.09</v>
      </c>
      <c r="AA420" s="6">
        <f t="shared" si="34"/>
        <v>4</v>
      </c>
      <c r="AB420" t="str">
        <f>IFERROR(F420&amp;"*"&amp;ROUND(L420*(G420/(G420+I420+K420))/VLOOKUP(F420,商品!$A$4:$D$67,4,FALSE),0),"")</f>
        <v/>
      </c>
      <c r="AC420" t="str">
        <f>IFERROR(H420&amp;"*"&amp;ROUND(L420*(I420/(G420+I420+K420))/VLOOKUP(H420,商品!$A$4:$D$67,4,FALSE),0),"")</f>
        <v/>
      </c>
      <c r="AD420" t="str">
        <f>IFERROR(J420&amp;"*"&amp;ROUND(L420*(K420/(G420+I420+K420))/VLOOKUP(J420,商品!$A$4:$D$67,4,FALSE),0),"")</f>
        <v/>
      </c>
      <c r="AE420" t="str">
        <f>IFERROR(M420&amp;"*"&amp;ROUND(Q420*(N420/(N420+P420))/VLOOKUP(M420,职业!$A$3:$E$16,4,FALSE),0),"")</f>
        <v/>
      </c>
      <c r="AF420" t="str">
        <f>IFERROR(O420&amp;"*"&amp;ROUND(Q420*(P420/(N420+P420))/VLOOKUP(O420,职业!$A$3:$E$16,4,FALSE),0),"")</f>
        <v/>
      </c>
      <c r="AG420" t="str">
        <f>IFERROR(R420&amp;"*"&amp;ROUND(V420*(S420/(S420+U420))/VLOOKUP(R420,商品!$A$4:$D$67,4,FALSE),0),"")</f>
        <v/>
      </c>
      <c r="AH420" t="str">
        <f>IFERROR(T420&amp;"*"&amp;ROUND(V420*(U420/(S420+U420))/VLOOKUP(T420,商品!$A$4:$D$67,4,FALSE),0),"")</f>
        <v/>
      </c>
    </row>
    <row r="421" customHeight="1" spans="1:34">
      <c r="A421" s="15" t="s">
        <v>361</v>
      </c>
      <c r="C421" s="2">
        <v>5</v>
      </c>
      <c r="D421" s="2" t="s">
        <v>238</v>
      </c>
      <c r="E421" s="2" t="s">
        <v>224</v>
      </c>
      <c r="L421" s="2">
        <f>IFERROR(VLOOKUP($D421&amp;$C421,生产方式定位!$A$2:$E$39,2,FALSE)+VLOOKUP($E421&amp;$C421,生产方式定位!$F$3:$J$39,2,FALSE),0)</f>
        <v>12000</v>
      </c>
      <c r="Q421" s="2">
        <f>IFERROR(VLOOKUP($D421&amp;$C421,生产方式定位!$A$2:$E$39,3,FALSE)+VLOOKUP($E421&amp;$C421,生产方式定位!$F$3:$J$39,3,FALSE),0)</f>
        <v>9200</v>
      </c>
      <c r="V421" s="2">
        <f>IFERROR(VLOOKUP($D421&amp;$C421,生产方式定位!$A$2:$E$39,5,FALSE)+VLOOKUP($E421&amp;$C421,生产方式定位!$F$3:$J$39,5,FALSE),"错误")</f>
        <v>11440</v>
      </c>
      <c r="W421" s="3" t="str">
        <f t="shared" si="30"/>
        <v/>
      </c>
      <c r="X421" s="4" t="str">
        <f t="shared" si="31"/>
        <v/>
      </c>
      <c r="Y421" s="4" t="str">
        <f t="shared" si="32"/>
        <v/>
      </c>
      <c r="Z421" s="5">
        <f t="shared" si="33"/>
        <v>1.05</v>
      </c>
      <c r="AA421" s="6">
        <f t="shared" si="34"/>
        <v>5</v>
      </c>
      <c r="AB421" t="str">
        <f>IFERROR(F421&amp;"*"&amp;ROUND(L421*(G421/(G421+I421+K421))/VLOOKUP(F421,商品!$A$4:$D$67,4,FALSE),0),"")</f>
        <v/>
      </c>
      <c r="AC421" t="str">
        <f>IFERROR(H421&amp;"*"&amp;ROUND(L421*(I421/(G421+I421+K421))/VLOOKUP(H421,商品!$A$4:$D$67,4,FALSE),0),"")</f>
        <v/>
      </c>
      <c r="AD421" t="str">
        <f>IFERROR(J421&amp;"*"&amp;ROUND(L421*(K421/(G421+I421+K421))/VLOOKUP(J421,商品!$A$4:$D$67,4,FALSE),0),"")</f>
        <v/>
      </c>
      <c r="AE421" t="str">
        <f>IFERROR(M421&amp;"*"&amp;ROUND(Q421*(N421/(N421+P421))/VLOOKUP(M421,职业!$A$3:$E$16,4,FALSE),0),"")</f>
        <v/>
      </c>
      <c r="AF421" t="str">
        <f>IFERROR(O421&amp;"*"&amp;ROUND(Q421*(P421/(N421+P421))/VLOOKUP(O421,职业!$A$3:$E$16,4,FALSE),0),"")</f>
        <v/>
      </c>
      <c r="AG421" t="str">
        <f>IFERROR(R421&amp;"*"&amp;ROUND(V421*(S421/(S421+U421))/VLOOKUP(R421,商品!$A$4:$D$67,4,FALSE),0),"")</f>
        <v/>
      </c>
      <c r="AH421" t="str">
        <f>IFERROR(T421&amp;"*"&amp;ROUND(V421*(U421/(S421+U421))/VLOOKUP(T421,商品!$A$4:$D$67,4,FALSE),0),"")</f>
        <v/>
      </c>
    </row>
    <row r="422" customHeight="1" spans="1:34">
      <c r="A422" s="15" t="s">
        <v>361</v>
      </c>
      <c r="C422" s="2">
        <v>1</v>
      </c>
      <c r="D422" s="2" t="s">
        <v>238</v>
      </c>
      <c r="E422" s="2" t="s">
        <v>224</v>
      </c>
      <c r="L422" s="2">
        <f>IFERROR(VLOOKUP($D422&amp;$C422,生产方式定位!$A$2:$E$39,2,FALSE)+VLOOKUP($E422&amp;$C422,生产方式定位!$F$3:$J$39,2,FALSE),0)</f>
        <v>11000</v>
      </c>
      <c r="Q422" s="2">
        <f>IFERROR(VLOOKUP($D422&amp;$C422,生产方式定位!$A$2:$E$39,3,FALSE)+VLOOKUP($E422&amp;$C422,生产方式定位!$F$3:$J$39,3,FALSE),0)</f>
        <v>8000</v>
      </c>
      <c r="V422" s="2">
        <f>IFERROR(VLOOKUP($D422&amp;$C422,生产方式定位!$A$2:$E$39,5,FALSE)+VLOOKUP($E422&amp;$C422,生产方式定位!$F$3:$J$39,5,FALSE),"错误")</f>
        <v>9500</v>
      </c>
      <c r="W422" s="3" t="str">
        <f t="shared" si="30"/>
        <v/>
      </c>
      <c r="X422" s="4" t="str">
        <f t="shared" si="31"/>
        <v/>
      </c>
      <c r="Y422" s="4" t="str">
        <f t="shared" si="32"/>
        <v/>
      </c>
      <c r="Z422" s="5">
        <f t="shared" si="33"/>
        <v>1.16</v>
      </c>
      <c r="AA422" s="6">
        <f t="shared" si="34"/>
        <v>1</v>
      </c>
      <c r="AB422" t="str">
        <f>IFERROR(F422&amp;"*"&amp;ROUND(L422*(G422/(G422+I422+K422))/VLOOKUP(F422,商品!$A$4:$D$67,4,FALSE),0),"")</f>
        <v/>
      </c>
      <c r="AC422" t="str">
        <f>IFERROR(H422&amp;"*"&amp;ROUND(L422*(I422/(G422+I422+K422))/VLOOKUP(H422,商品!$A$4:$D$67,4,FALSE),0),"")</f>
        <v/>
      </c>
      <c r="AD422" t="str">
        <f>IFERROR(J422&amp;"*"&amp;ROUND(L422*(K422/(G422+I422+K422))/VLOOKUP(J422,商品!$A$4:$D$67,4,FALSE),0),"")</f>
        <v/>
      </c>
      <c r="AE422" t="str">
        <f>IFERROR(M422&amp;"*"&amp;ROUND(Q422*(N422/(N422+P422))/VLOOKUP(M422,职业!$A$3:$E$16,4,FALSE),0),"")</f>
        <v/>
      </c>
      <c r="AF422" t="str">
        <f>IFERROR(O422&amp;"*"&amp;ROUND(Q422*(P422/(N422+P422))/VLOOKUP(O422,职业!$A$3:$E$16,4,FALSE),0),"")</f>
        <v/>
      </c>
      <c r="AG422" t="str">
        <f>IFERROR(R422&amp;"*"&amp;ROUND(V422*(S422/(S422+U422))/VLOOKUP(R422,商品!$A$4:$D$67,4,FALSE),0),"")</f>
        <v/>
      </c>
      <c r="AH422" t="str">
        <f>IFERROR(T422&amp;"*"&amp;ROUND(V422*(U422/(S422+U422))/VLOOKUP(T422,商品!$A$4:$D$67,4,FALSE),0),"")</f>
        <v/>
      </c>
    </row>
    <row r="423" customHeight="1" spans="1:34">
      <c r="A423" s="14" t="s">
        <v>361</v>
      </c>
      <c r="C423" s="2">
        <v>2</v>
      </c>
      <c r="D423" s="2" t="s">
        <v>238</v>
      </c>
      <c r="E423" s="2" t="s">
        <v>224</v>
      </c>
      <c r="L423" s="2">
        <f>IFERROR(VLOOKUP($D423&amp;$C423,生产方式定位!$A$2:$E$39,2,FALSE)+VLOOKUP($E423&amp;$C423,生产方式定位!$F$3:$J$39,2,FALSE),0)</f>
        <v>12000</v>
      </c>
      <c r="Q423" s="2">
        <f>IFERROR(VLOOKUP($D423&amp;$C423,生产方式定位!$A$2:$E$39,3,FALSE)+VLOOKUP($E423&amp;$C423,生产方式定位!$F$3:$J$39,3,FALSE),0)</f>
        <v>8300</v>
      </c>
      <c r="V423" s="2">
        <f>IFERROR(VLOOKUP($D423&amp;$C423,生产方式定位!$A$2:$E$39,5,FALSE)+VLOOKUP($E423&amp;$C423,生产方式定位!$F$3:$J$39,5,FALSE),"错误")</f>
        <v>10240</v>
      </c>
      <c r="W423" s="3" t="str">
        <f t="shared" si="30"/>
        <v/>
      </c>
      <c r="X423" s="4" t="str">
        <f t="shared" si="31"/>
        <v/>
      </c>
      <c r="Y423" s="4" t="str">
        <f t="shared" si="32"/>
        <v/>
      </c>
      <c r="Z423" s="5">
        <f t="shared" si="33"/>
        <v>1.17</v>
      </c>
      <c r="AA423" s="6">
        <f t="shared" si="34"/>
        <v>2</v>
      </c>
      <c r="AB423" t="str">
        <f>IFERROR(F423&amp;"*"&amp;ROUND(L423*(G423/(G423+I423+K423))/VLOOKUP(F423,商品!$A$4:$D$67,4,FALSE),0),"")</f>
        <v/>
      </c>
      <c r="AC423" t="str">
        <f>IFERROR(H423&amp;"*"&amp;ROUND(L423*(I423/(G423+I423+K423))/VLOOKUP(H423,商品!$A$4:$D$67,4,FALSE),0),"")</f>
        <v/>
      </c>
      <c r="AD423" t="str">
        <f>IFERROR(J423&amp;"*"&amp;ROUND(L423*(K423/(G423+I423+K423))/VLOOKUP(J423,商品!$A$4:$D$67,4,FALSE),0),"")</f>
        <v/>
      </c>
      <c r="AE423" t="str">
        <f>IFERROR(M423&amp;"*"&amp;ROUND(Q423*(N423/(N423+P423))/VLOOKUP(M423,职业!$A$3:$E$16,4,FALSE),0),"")</f>
        <v/>
      </c>
      <c r="AF423" t="str">
        <f>IFERROR(O423&amp;"*"&amp;ROUND(Q423*(P423/(N423+P423))/VLOOKUP(O423,职业!$A$3:$E$16,4,FALSE),0),"")</f>
        <v/>
      </c>
      <c r="AG423" t="str">
        <f>IFERROR(R423&amp;"*"&amp;ROUND(V423*(S423/(S423+U423))/VLOOKUP(R423,商品!$A$4:$D$67,4,FALSE),0),"")</f>
        <v/>
      </c>
      <c r="AH423" t="str">
        <f>IFERROR(T423&amp;"*"&amp;ROUND(V423*(U423/(S423+U423))/VLOOKUP(T423,商品!$A$4:$D$67,4,FALSE),0),"")</f>
        <v/>
      </c>
    </row>
    <row r="424" customHeight="1" spans="1:34">
      <c r="A424" s="14" t="s">
        <v>361</v>
      </c>
      <c r="C424" s="2">
        <v>3</v>
      </c>
      <c r="D424" s="2" t="s">
        <v>238</v>
      </c>
      <c r="E424" s="2" t="s">
        <v>224</v>
      </c>
      <c r="L424" s="2">
        <f>IFERROR(VLOOKUP($D424&amp;$C424,生产方式定位!$A$2:$E$39,2,FALSE)+VLOOKUP($E424&amp;$C424,生产方式定位!$F$3:$J$39,2,FALSE),0)</f>
        <v>12000</v>
      </c>
      <c r="Q424" s="2">
        <f>IFERROR(VLOOKUP($D424&amp;$C424,生产方式定位!$A$2:$E$39,3,FALSE)+VLOOKUP($E424&amp;$C424,生产方式定位!$F$3:$J$39,3,FALSE),0)</f>
        <v>8600</v>
      </c>
      <c r="V424" s="2">
        <f>IFERROR(VLOOKUP($D424&amp;$C424,生产方式定位!$A$2:$E$39,5,FALSE)+VLOOKUP($E424&amp;$C424,生产方式定位!$F$3:$J$39,5,FALSE),"错误")</f>
        <v>10560</v>
      </c>
      <c r="W424" s="3" t="str">
        <f t="shared" si="30"/>
        <v/>
      </c>
      <c r="X424" s="4" t="str">
        <f t="shared" si="31"/>
        <v/>
      </c>
      <c r="Y424" s="4" t="str">
        <f t="shared" si="32"/>
        <v/>
      </c>
      <c r="Z424" s="5">
        <f t="shared" si="33"/>
        <v>1.14</v>
      </c>
      <c r="AA424" s="6">
        <f t="shared" si="34"/>
        <v>3</v>
      </c>
      <c r="AB424" t="str">
        <f>IFERROR(F424&amp;"*"&amp;ROUND(L424*(G424/(G424+I424+K424))/VLOOKUP(F424,商品!$A$4:$D$67,4,FALSE),0),"")</f>
        <v/>
      </c>
      <c r="AC424" t="str">
        <f>IFERROR(H424&amp;"*"&amp;ROUND(L424*(I424/(G424+I424+K424))/VLOOKUP(H424,商品!$A$4:$D$67,4,FALSE),0),"")</f>
        <v/>
      </c>
      <c r="AD424" t="str">
        <f>IFERROR(J424&amp;"*"&amp;ROUND(L424*(K424/(G424+I424+K424))/VLOOKUP(J424,商品!$A$4:$D$67,4,FALSE),0),"")</f>
        <v/>
      </c>
      <c r="AE424" t="str">
        <f>IFERROR(M424&amp;"*"&amp;ROUND(Q424*(N424/(N424+P424))/VLOOKUP(M424,职业!$A$3:$E$16,4,FALSE),0),"")</f>
        <v/>
      </c>
      <c r="AF424" t="str">
        <f>IFERROR(O424&amp;"*"&amp;ROUND(Q424*(P424/(N424+P424))/VLOOKUP(O424,职业!$A$3:$E$16,4,FALSE),0),"")</f>
        <v/>
      </c>
      <c r="AG424" t="str">
        <f>IFERROR(R424&amp;"*"&amp;ROUND(V424*(S424/(S424+U424))/VLOOKUP(R424,商品!$A$4:$D$67,4,FALSE),0),"")</f>
        <v/>
      </c>
      <c r="AH424" t="str">
        <f>IFERROR(T424&amp;"*"&amp;ROUND(V424*(U424/(S424+U424))/VLOOKUP(T424,商品!$A$4:$D$67,4,FALSE),0),"")</f>
        <v/>
      </c>
    </row>
    <row r="425" customHeight="1" spans="1:34">
      <c r="A425" s="14" t="s">
        <v>361</v>
      </c>
      <c r="C425" s="2">
        <v>4</v>
      </c>
      <c r="D425" s="2" t="s">
        <v>238</v>
      </c>
      <c r="E425" s="2" t="s">
        <v>224</v>
      </c>
      <c r="L425" s="2">
        <f>IFERROR(VLOOKUP($D425&amp;$C425,生产方式定位!$A$2:$E$39,2,FALSE)+VLOOKUP($E425&amp;$C425,生产方式定位!$F$3:$J$39,2,FALSE),0)</f>
        <v>12000</v>
      </c>
      <c r="Q425" s="2">
        <f>IFERROR(VLOOKUP($D425&amp;$C425,生产方式定位!$A$2:$E$39,3,FALSE)+VLOOKUP($E425&amp;$C425,生产方式定位!$F$3:$J$39,3,FALSE),0)</f>
        <v>8900</v>
      </c>
      <c r="V425" s="2">
        <f>IFERROR(VLOOKUP($D425&amp;$C425,生产方式定位!$A$2:$E$39,5,FALSE)+VLOOKUP($E425&amp;$C425,生产方式定位!$F$3:$J$39,5,FALSE),"错误")</f>
        <v>10960</v>
      </c>
      <c r="W425" s="3" t="str">
        <f t="shared" si="30"/>
        <v/>
      </c>
      <c r="X425" s="4" t="str">
        <f t="shared" si="31"/>
        <v/>
      </c>
      <c r="Y425" s="4" t="str">
        <f t="shared" si="32"/>
        <v/>
      </c>
      <c r="Z425" s="5">
        <f t="shared" si="33"/>
        <v>1.09</v>
      </c>
      <c r="AA425" s="6">
        <f t="shared" si="34"/>
        <v>4</v>
      </c>
      <c r="AB425" t="str">
        <f>IFERROR(F425&amp;"*"&amp;ROUND(L425*(G425/(G425+I425+K425))/VLOOKUP(F425,商品!$A$4:$D$67,4,FALSE),0),"")</f>
        <v/>
      </c>
      <c r="AC425" t="str">
        <f>IFERROR(H425&amp;"*"&amp;ROUND(L425*(I425/(G425+I425+K425))/VLOOKUP(H425,商品!$A$4:$D$67,4,FALSE),0),"")</f>
        <v/>
      </c>
      <c r="AD425" t="str">
        <f>IFERROR(J425&amp;"*"&amp;ROUND(L425*(K425/(G425+I425+K425))/VLOOKUP(J425,商品!$A$4:$D$67,4,FALSE),0),"")</f>
        <v/>
      </c>
      <c r="AE425" t="str">
        <f>IFERROR(M425&amp;"*"&amp;ROUND(Q425*(N425/(N425+P425))/VLOOKUP(M425,职业!$A$3:$E$16,4,FALSE),0),"")</f>
        <v/>
      </c>
      <c r="AF425" t="str">
        <f>IFERROR(O425&amp;"*"&amp;ROUND(Q425*(P425/(N425+P425))/VLOOKUP(O425,职业!$A$3:$E$16,4,FALSE),0),"")</f>
        <v/>
      </c>
      <c r="AG425" t="str">
        <f>IFERROR(R425&amp;"*"&amp;ROUND(V425*(S425/(S425+U425))/VLOOKUP(R425,商品!$A$4:$D$67,4,FALSE),0),"")</f>
        <v/>
      </c>
      <c r="AH425" t="str">
        <f>IFERROR(T425&amp;"*"&amp;ROUND(V425*(U425/(S425+U425))/VLOOKUP(T425,商品!$A$4:$D$67,4,FALSE),0),"")</f>
        <v/>
      </c>
    </row>
    <row r="426" customHeight="1" spans="1:34">
      <c r="A426" s="14" t="s">
        <v>361</v>
      </c>
      <c r="C426" s="2">
        <v>5</v>
      </c>
      <c r="D426" s="2" t="s">
        <v>238</v>
      </c>
      <c r="E426" s="2" t="s">
        <v>224</v>
      </c>
      <c r="L426" s="2">
        <f>IFERROR(VLOOKUP($D426&amp;$C426,生产方式定位!$A$2:$E$39,2,FALSE)+VLOOKUP($E426&amp;$C426,生产方式定位!$F$3:$J$39,2,FALSE),0)</f>
        <v>12000</v>
      </c>
      <c r="Q426" s="2">
        <f>IFERROR(VLOOKUP($D426&amp;$C426,生产方式定位!$A$2:$E$39,3,FALSE)+VLOOKUP($E426&amp;$C426,生产方式定位!$F$3:$J$39,3,FALSE),0)</f>
        <v>9200</v>
      </c>
      <c r="V426" s="2">
        <f>IFERROR(VLOOKUP($D426&amp;$C426,生产方式定位!$A$2:$E$39,5,FALSE)+VLOOKUP($E426&amp;$C426,生产方式定位!$F$3:$J$39,5,FALSE),"错误")</f>
        <v>11440</v>
      </c>
      <c r="W426" s="3" t="str">
        <f t="shared" si="30"/>
        <v/>
      </c>
      <c r="X426" s="4" t="str">
        <f t="shared" si="31"/>
        <v/>
      </c>
      <c r="Y426" s="4" t="str">
        <f t="shared" si="32"/>
        <v/>
      </c>
      <c r="Z426" s="5">
        <f t="shared" si="33"/>
        <v>1.05</v>
      </c>
      <c r="AA426" s="6">
        <f t="shared" si="34"/>
        <v>5</v>
      </c>
      <c r="AB426" t="str">
        <f>IFERROR(F426&amp;"*"&amp;ROUND(L426*(G426/(G426+I426+K426))/VLOOKUP(F426,商品!$A$4:$D$67,4,FALSE),0),"")</f>
        <v/>
      </c>
      <c r="AC426" t="str">
        <f>IFERROR(H426&amp;"*"&amp;ROUND(L426*(I426/(G426+I426+K426))/VLOOKUP(H426,商品!$A$4:$D$67,4,FALSE),0),"")</f>
        <v/>
      </c>
      <c r="AD426" t="str">
        <f>IFERROR(J426&amp;"*"&amp;ROUND(L426*(K426/(G426+I426+K426))/VLOOKUP(J426,商品!$A$4:$D$67,4,FALSE),0),"")</f>
        <v/>
      </c>
      <c r="AE426" t="str">
        <f>IFERROR(M426&amp;"*"&amp;ROUND(Q426*(N426/(N426+P426))/VLOOKUP(M426,职业!$A$3:$E$16,4,FALSE),0),"")</f>
        <v/>
      </c>
      <c r="AF426" t="str">
        <f>IFERROR(O426&amp;"*"&amp;ROUND(Q426*(P426/(N426+P426))/VLOOKUP(O426,职业!$A$3:$E$16,4,FALSE),0),"")</f>
        <v/>
      </c>
      <c r="AG426" t="str">
        <f>IFERROR(R426&amp;"*"&amp;ROUND(V426*(S426/(S426+U426))/VLOOKUP(R426,商品!$A$4:$D$67,4,FALSE),0),"")</f>
        <v/>
      </c>
      <c r="AH426" t="str">
        <f>IFERROR(T426&amp;"*"&amp;ROUND(V426*(U426/(S426+U426))/VLOOKUP(T426,商品!$A$4:$D$67,4,FALSE),0),"")</f>
        <v/>
      </c>
    </row>
    <row r="427" customHeight="1" spans="1:34">
      <c r="A427" s="14" t="s">
        <v>361</v>
      </c>
      <c r="C427" s="2">
        <v>1</v>
      </c>
      <c r="D427" s="2" t="s">
        <v>238</v>
      </c>
      <c r="E427" s="2" t="s">
        <v>224</v>
      </c>
      <c r="L427" s="2">
        <f>IFERROR(VLOOKUP($D427&amp;$C427,生产方式定位!$A$2:$E$39,2,FALSE)+VLOOKUP($E427&amp;$C427,生产方式定位!$F$3:$J$39,2,FALSE),0)</f>
        <v>11000</v>
      </c>
      <c r="Q427" s="2">
        <f>IFERROR(VLOOKUP($D427&amp;$C427,生产方式定位!$A$2:$E$39,3,FALSE)+VLOOKUP($E427&amp;$C427,生产方式定位!$F$3:$J$39,3,FALSE),0)</f>
        <v>8000</v>
      </c>
      <c r="V427" s="2">
        <f>IFERROR(VLOOKUP($D427&amp;$C427,生产方式定位!$A$2:$E$39,5,FALSE)+VLOOKUP($E427&amp;$C427,生产方式定位!$F$3:$J$39,5,FALSE),"错误")</f>
        <v>9500</v>
      </c>
      <c r="W427" s="3" t="str">
        <f t="shared" si="30"/>
        <v/>
      </c>
      <c r="X427" s="4" t="str">
        <f t="shared" si="31"/>
        <v/>
      </c>
      <c r="Y427" s="4" t="str">
        <f t="shared" si="32"/>
        <v/>
      </c>
      <c r="Z427" s="5">
        <f t="shared" si="33"/>
        <v>1.16</v>
      </c>
      <c r="AA427" s="6">
        <f t="shared" si="34"/>
        <v>1</v>
      </c>
      <c r="AB427" t="str">
        <f>IFERROR(F427&amp;"*"&amp;ROUND(L427*(G427/(G427+I427+K427))/VLOOKUP(F427,商品!$A$4:$D$67,4,FALSE),0),"")</f>
        <v/>
      </c>
      <c r="AC427" t="str">
        <f>IFERROR(H427&amp;"*"&amp;ROUND(L427*(I427/(G427+I427+K427))/VLOOKUP(H427,商品!$A$4:$D$67,4,FALSE),0),"")</f>
        <v/>
      </c>
      <c r="AD427" t="str">
        <f>IFERROR(J427&amp;"*"&amp;ROUND(L427*(K427/(G427+I427+K427))/VLOOKUP(J427,商品!$A$4:$D$67,4,FALSE),0),"")</f>
        <v/>
      </c>
      <c r="AE427" t="str">
        <f>IFERROR(M427&amp;"*"&amp;ROUND(Q427*(N427/(N427+P427))/VLOOKUP(M427,职业!$A$3:$E$16,4,FALSE),0),"")</f>
        <v/>
      </c>
      <c r="AF427" t="str">
        <f>IFERROR(O427&amp;"*"&amp;ROUND(Q427*(P427/(N427+P427))/VLOOKUP(O427,职业!$A$3:$E$16,4,FALSE),0),"")</f>
        <v/>
      </c>
      <c r="AG427" t="str">
        <f>IFERROR(R427&amp;"*"&amp;ROUND(V427*(S427/(S427+U427))/VLOOKUP(R427,商品!$A$4:$D$67,4,FALSE),0),"")</f>
        <v/>
      </c>
      <c r="AH427" t="str">
        <f>IFERROR(T427&amp;"*"&amp;ROUND(V427*(U427/(S427+U427))/VLOOKUP(T427,商品!$A$4:$D$67,4,FALSE),0),"")</f>
        <v/>
      </c>
    </row>
    <row r="428" customHeight="1" spans="1:34">
      <c r="A428" s="15" t="s">
        <v>362</v>
      </c>
      <c r="C428" s="2">
        <v>2</v>
      </c>
      <c r="D428" s="2" t="s">
        <v>238</v>
      </c>
      <c r="E428" s="2" t="s">
        <v>225</v>
      </c>
      <c r="L428" s="2">
        <f>IFERROR(VLOOKUP($D428&amp;$C428,生产方式定位!$A$2:$E$39,2,FALSE)+VLOOKUP($E428&amp;$C428,生产方式定位!$F$3:$J$39,2,FALSE),0)</f>
        <v>10000</v>
      </c>
      <c r="Q428" s="2">
        <f>IFERROR(VLOOKUP($D428&amp;$C428,生产方式定位!$A$2:$E$39,3,FALSE)+VLOOKUP($E428&amp;$C428,生产方式定位!$F$3:$J$39,3,FALSE),0)</f>
        <v>8500</v>
      </c>
      <c r="V428" s="2">
        <f>IFERROR(VLOOKUP($D428&amp;$C428,生产方式定位!$A$2:$E$39,5,FALSE)+VLOOKUP($E428&amp;$C428,生产方式定位!$F$3:$J$39,5,FALSE),"错误")</f>
        <v>9250</v>
      </c>
      <c r="W428" s="3" t="str">
        <f t="shared" si="30"/>
        <v/>
      </c>
      <c r="X428" s="4" t="str">
        <f t="shared" si="31"/>
        <v/>
      </c>
      <c r="Y428" s="4" t="str">
        <f t="shared" si="32"/>
        <v/>
      </c>
      <c r="Z428" s="5">
        <f t="shared" si="33"/>
        <v>1.08</v>
      </c>
      <c r="AA428" s="6">
        <f t="shared" si="34"/>
        <v>2</v>
      </c>
      <c r="AB428" t="str">
        <f>IFERROR(F428&amp;"*"&amp;ROUND(L428*(G428/(G428+I428+K428))/VLOOKUP(F428,商品!$A$4:$D$67,4,FALSE),0),"")</f>
        <v/>
      </c>
      <c r="AC428" t="str">
        <f>IFERROR(H428&amp;"*"&amp;ROUND(L428*(I428/(G428+I428+K428))/VLOOKUP(H428,商品!$A$4:$D$67,4,FALSE),0),"")</f>
        <v/>
      </c>
      <c r="AD428" t="str">
        <f>IFERROR(J428&amp;"*"&amp;ROUND(L428*(K428/(G428+I428+K428))/VLOOKUP(J428,商品!$A$4:$D$67,4,FALSE),0),"")</f>
        <v/>
      </c>
      <c r="AE428" t="str">
        <f>IFERROR(M428&amp;"*"&amp;ROUND(Q428*(N428/(N428+P428))/VLOOKUP(M428,职业!$A$3:$E$16,4,FALSE),0),"")</f>
        <v/>
      </c>
      <c r="AF428" t="str">
        <f>IFERROR(O428&amp;"*"&amp;ROUND(Q428*(P428/(N428+P428))/VLOOKUP(O428,职业!$A$3:$E$16,4,FALSE),0),"")</f>
        <v/>
      </c>
      <c r="AG428" t="str">
        <f>IFERROR(R428&amp;"*"&amp;ROUND(V428*(S428/(S428+U428))/VLOOKUP(R428,商品!$A$4:$D$67,4,FALSE),0),"")</f>
        <v/>
      </c>
      <c r="AH428" t="str">
        <f>IFERROR(T428&amp;"*"&amp;ROUND(V428*(U428/(S428+U428))/VLOOKUP(T428,商品!$A$4:$D$67,4,FALSE),0),"")</f>
        <v/>
      </c>
    </row>
    <row r="429" customHeight="1" spans="1:34">
      <c r="A429" s="15" t="s">
        <v>362</v>
      </c>
      <c r="C429" s="2">
        <v>3</v>
      </c>
      <c r="D429" s="2" t="s">
        <v>238</v>
      </c>
      <c r="E429" s="2" t="s">
        <v>225</v>
      </c>
      <c r="L429" s="2">
        <f>IFERROR(VLOOKUP($D429&amp;$C429,生产方式定位!$A$2:$E$39,2,FALSE)+VLOOKUP($E429&amp;$C429,生产方式定位!$F$3:$J$39,2,FALSE),0)</f>
        <v>9000</v>
      </c>
      <c r="Q429" s="2">
        <f>IFERROR(VLOOKUP($D429&amp;$C429,生产方式定位!$A$2:$E$39,3,FALSE)+VLOOKUP($E429&amp;$C429,生产方式定位!$F$3:$J$39,3,FALSE),0)</f>
        <v>9000</v>
      </c>
      <c r="V429" s="2">
        <f>IFERROR(VLOOKUP($D429&amp;$C429,生产方式定位!$A$2:$E$39,5,FALSE)+VLOOKUP($E429&amp;$C429,生产方式定位!$F$3:$J$39,5,FALSE),"错误")</f>
        <v>9000</v>
      </c>
      <c r="W429" s="3" t="str">
        <f t="shared" si="30"/>
        <v/>
      </c>
      <c r="X429" s="4" t="str">
        <f t="shared" si="31"/>
        <v/>
      </c>
      <c r="Y429" s="4" t="str">
        <f t="shared" si="32"/>
        <v/>
      </c>
      <c r="Z429" s="5">
        <f t="shared" si="33"/>
        <v>1</v>
      </c>
      <c r="AA429" s="6">
        <f t="shared" si="34"/>
        <v>3</v>
      </c>
      <c r="AB429" t="str">
        <f>IFERROR(F429&amp;"*"&amp;ROUND(L429*(G429/(G429+I429+K429))/VLOOKUP(F429,商品!$A$4:$D$67,4,FALSE),0),"")</f>
        <v/>
      </c>
      <c r="AC429" t="str">
        <f>IFERROR(H429&amp;"*"&amp;ROUND(L429*(I429/(G429+I429+K429))/VLOOKUP(H429,商品!$A$4:$D$67,4,FALSE),0),"")</f>
        <v/>
      </c>
      <c r="AD429" t="str">
        <f>IFERROR(J429&amp;"*"&amp;ROUND(L429*(K429/(G429+I429+K429))/VLOOKUP(J429,商品!$A$4:$D$67,4,FALSE),0),"")</f>
        <v/>
      </c>
      <c r="AE429" t="str">
        <f>IFERROR(M429&amp;"*"&amp;ROUND(Q429*(N429/(N429+P429))/VLOOKUP(M429,职业!$A$3:$E$16,4,FALSE),0),"")</f>
        <v/>
      </c>
      <c r="AF429" t="str">
        <f>IFERROR(O429&amp;"*"&amp;ROUND(Q429*(P429/(N429+P429))/VLOOKUP(O429,职业!$A$3:$E$16,4,FALSE),0),"")</f>
        <v/>
      </c>
      <c r="AG429" t="str">
        <f>IFERROR(R429&amp;"*"&amp;ROUND(V429*(S429/(S429+U429))/VLOOKUP(R429,商品!$A$4:$D$67,4,FALSE),0),"")</f>
        <v/>
      </c>
      <c r="AH429" t="str">
        <f>IFERROR(T429&amp;"*"&amp;ROUND(V429*(U429/(S429+U429))/VLOOKUP(T429,商品!$A$4:$D$67,4,FALSE),0),"")</f>
        <v/>
      </c>
    </row>
    <row r="430" customHeight="1" spans="1:34">
      <c r="A430" s="15" t="s">
        <v>362</v>
      </c>
      <c r="C430" s="2">
        <v>4</v>
      </c>
      <c r="D430" s="2" t="s">
        <v>238</v>
      </c>
      <c r="E430" s="2" t="s">
        <v>225</v>
      </c>
      <c r="L430" s="2">
        <f>IFERROR(VLOOKUP($D430&amp;$C430,生产方式定位!$A$2:$E$39,2,FALSE)+VLOOKUP($E430&amp;$C430,生产方式定位!$F$3:$J$39,2,FALSE),0)</f>
        <v>8000</v>
      </c>
      <c r="Q430" s="2">
        <f>IFERROR(VLOOKUP($D430&amp;$C430,生产方式定位!$A$2:$E$39,3,FALSE)+VLOOKUP($E430&amp;$C430,生产方式定位!$F$3:$J$39,3,FALSE),0)</f>
        <v>9500</v>
      </c>
      <c r="V430" s="2">
        <f>IFERROR(VLOOKUP($D430&amp;$C430,生产方式定位!$A$2:$E$39,5,FALSE)+VLOOKUP($E430&amp;$C430,生产方式定位!$F$3:$J$39,5,FALSE),"错误")</f>
        <v>8750</v>
      </c>
      <c r="W430" s="3" t="str">
        <f t="shared" si="30"/>
        <v/>
      </c>
      <c r="X430" s="4" t="str">
        <f t="shared" si="31"/>
        <v/>
      </c>
      <c r="Y430" s="4" t="str">
        <f t="shared" si="32"/>
        <v/>
      </c>
      <c r="Z430" s="5">
        <f t="shared" si="33"/>
        <v>0.91</v>
      </c>
      <c r="AA430" s="6">
        <f t="shared" si="34"/>
        <v>4</v>
      </c>
      <c r="AB430" t="str">
        <f>IFERROR(F430&amp;"*"&amp;ROUND(L430*(G430/(G430+I430+K430))/VLOOKUP(F430,商品!$A$4:$D$67,4,FALSE),0),"")</f>
        <v/>
      </c>
      <c r="AC430" t="str">
        <f>IFERROR(H430&amp;"*"&amp;ROUND(L430*(I430/(G430+I430+K430))/VLOOKUP(H430,商品!$A$4:$D$67,4,FALSE),0),"")</f>
        <v/>
      </c>
      <c r="AD430" t="str">
        <f>IFERROR(J430&amp;"*"&amp;ROUND(L430*(K430/(G430+I430+K430))/VLOOKUP(J430,商品!$A$4:$D$67,4,FALSE),0),"")</f>
        <v/>
      </c>
      <c r="AE430" t="str">
        <f>IFERROR(M430&amp;"*"&amp;ROUND(Q430*(N430/(N430+P430))/VLOOKUP(M430,职业!$A$3:$E$16,4,FALSE),0),"")</f>
        <v/>
      </c>
      <c r="AF430" t="str">
        <f>IFERROR(O430&amp;"*"&amp;ROUND(Q430*(P430/(N430+P430))/VLOOKUP(O430,职业!$A$3:$E$16,4,FALSE),0),"")</f>
        <v/>
      </c>
      <c r="AG430" t="str">
        <f>IFERROR(R430&amp;"*"&amp;ROUND(V430*(S430/(S430+U430))/VLOOKUP(R430,商品!$A$4:$D$67,4,FALSE),0),"")</f>
        <v/>
      </c>
      <c r="AH430" t="str">
        <f>IFERROR(T430&amp;"*"&amp;ROUND(V430*(U430/(S430+U430))/VLOOKUP(T430,商品!$A$4:$D$67,4,FALSE),0),"")</f>
        <v/>
      </c>
    </row>
    <row r="431" customHeight="1" spans="1:34">
      <c r="A431" s="15" t="s">
        <v>362</v>
      </c>
      <c r="C431" s="2">
        <v>5</v>
      </c>
      <c r="D431" s="2" t="s">
        <v>238</v>
      </c>
      <c r="E431" s="2" t="s">
        <v>225</v>
      </c>
      <c r="L431" s="2">
        <f>IFERROR(VLOOKUP($D431&amp;$C431,生产方式定位!$A$2:$E$39,2,FALSE)+VLOOKUP($E431&amp;$C431,生产方式定位!$F$3:$J$39,2,FALSE),0)</f>
        <v>7000</v>
      </c>
      <c r="Q431" s="2">
        <f>IFERROR(VLOOKUP($D431&amp;$C431,生产方式定位!$A$2:$E$39,3,FALSE)+VLOOKUP($E431&amp;$C431,生产方式定位!$F$3:$J$39,3,FALSE),0)</f>
        <v>10000</v>
      </c>
      <c r="V431" s="2">
        <f>IFERROR(VLOOKUP($D431&amp;$C431,生产方式定位!$A$2:$E$39,5,FALSE)+VLOOKUP($E431&amp;$C431,生产方式定位!$F$3:$J$39,5,FALSE),"错误")</f>
        <v>8500</v>
      </c>
      <c r="W431" s="3" t="str">
        <f t="shared" si="30"/>
        <v/>
      </c>
      <c r="X431" s="4" t="str">
        <f t="shared" si="31"/>
        <v/>
      </c>
      <c r="Y431" s="4" t="str">
        <f t="shared" si="32"/>
        <v/>
      </c>
      <c r="Z431" s="5">
        <f t="shared" si="33"/>
        <v>0.82</v>
      </c>
      <c r="AA431" s="6">
        <f t="shared" si="34"/>
        <v>5</v>
      </c>
      <c r="AB431" t="str">
        <f>IFERROR(F431&amp;"*"&amp;ROUND(L431*(G431/(G431+I431+K431))/VLOOKUP(F431,商品!$A$4:$D$67,4,FALSE),0),"")</f>
        <v/>
      </c>
      <c r="AC431" t="str">
        <f>IFERROR(H431&amp;"*"&amp;ROUND(L431*(I431/(G431+I431+K431))/VLOOKUP(H431,商品!$A$4:$D$67,4,FALSE),0),"")</f>
        <v/>
      </c>
      <c r="AD431" t="str">
        <f>IFERROR(J431&amp;"*"&amp;ROUND(L431*(K431/(G431+I431+K431))/VLOOKUP(J431,商品!$A$4:$D$67,4,FALSE),0),"")</f>
        <v/>
      </c>
      <c r="AE431" t="str">
        <f>IFERROR(M431&amp;"*"&amp;ROUND(Q431*(N431/(N431+P431))/VLOOKUP(M431,职业!$A$3:$E$16,4,FALSE),0),"")</f>
        <v/>
      </c>
      <c r="AF431" t="str">
        <f>IFERROR(O431&amp;"*"&amp;ROUND(Q431*(P431/(N431+P431))/VLOOKUP(O431,职业!$A$3:$E$16,4,FALSE),0),"")</f>
        <v/>
      </c>
      <c r="AG431" t="str">
        <f>IFERROR(R431&amp;"*"&amp;ROUND(V431*(S431/(S431+U431))/VLOOKUP(R431,商品!$A$4:$D$67,4,FALSE),0),"")</f>
        <v/>
      </c>
      <c r="AH431" t="str">
        <f>IFERROR(T431&amp;"*"&amp;ROUND(V431*(U431/(S431+U431))/VLOOKUP(T431,商品!$A$4:$D$67,4,FALSE),0),"")</f>
        <v/>
      </c>
    </row>
    <row r="432" customHeight="1" spans="1:34">
      <c r="A432" s="15" t="s">
        <v>362</v>
      </c>
      <c r="C432" s="2">
        <v>1</v>
      </c>
      <c r="D432" s="2" t="s">
        <v>238</v>
      </c>
      <c r="E432" s="2" t="s">
        <v>225</v>
      </c>
      <c r="L432" s="2">
        <f>IFERROR(VLOOKUP($D432&amp;$C432,生产方式定位!$A$2:$E$39,2,FALSE)+VLOOKUP($E432&amp;$C432,生产方式定位!$F$3:$J$39,2,FALSE),0)</f>
        <v>11000</v>
      </c>
      <c r="Q432" s="2">
        <f>IFERROR(VLOOKUP($D432&amp;$C432,生产方式定位!$A$2:$E$39,3,FALSE)+VLOOKUP($E432&amp;$C432,生产方式定位!$F$3:$J$39,3,FALSE),0)</f>
        <v>8000</v>
      </c>
      <c r="V432" s="2">
        <f>IFERROR(VLOOKUP($D432&amp;$C432,生产方式定位!$A$2:$E$39,5,FALSE)+VLOOKUP($E432&amp;$C432,生产方式定位!$F$3:$J$39,5,FALSE),"错误")</f>
        <v>9500</v>
      </c>
      <c r="W432" s="3" t="str">
        <f t="shared" si="30"/>
        <v/>
      </c>
      <c r="X432" s="4" t="str">
        <f t="shared" si="31"/>
        <v/>
      </c>
      <c r="Y432" s="4" t="str">
        <f t="shared" si="32"/>
        <v/>
      </c>
      <c r="Z432" s="5">
        <f t="shared" si="33"/>
        <v>1.16</v>
      </c>
      <c r="AA432" s="6">
        <f t="shared" si="34"/>
        <v>1</v>
      </c>
      <c r="AB432" t="str">
        <f>IFERROR(F432&amp;"*"&amp;ROUND(L432*(G432/(G432+I432+K432))/VLOOKUP(F432,商品!$A$4:$D$67,4,FALSE),0),"")</f>
        <v/>
      </c>
      <c r="AC432" t="str">
        <f>IFERROR(H432&amp;"*"&amp;ROUND(L432*(I432/(G432+I432+K432))/VLOOKUP(H432,商品!$A$4:$D$67,4,FALSE),0),"")</f>
        <v/>
      </c>
      <c r="AD432" t="str">
        <f>IFERROR(J432&amp;"*"&amp;ROUND(L432*(K432/(G432+I432+K432))/VLOOKUP(J432,商品!$A$4:$D$67,4,FALSE),0),"")</f>
        <v/>
      </c>
      <c r="AE432" t="str">
        <f>IFERROR(M432&amp;"*"&amp;ROUND(Q432*(N432/(N432+P432))/VLOOKUP(M432,职业!$A$3:$E$16,4,FALSE),0),"")</f>
        <v/>
      </c>
      <c r="AF432" t="str">
        <f>IFERROR(O432&amp;"*"&amp;ROUND(Q432*(P432/(N432+P432))/VLOOKUP(O432,职业!$A$3:$E$16,4,FALSE),0),"")</f>
        <v/>
      </c>
      <c r="AG432" t="str">
        <f>IFERROR(R432&amp;"*"&amp;ROUND(V432*(S432/(S432+U432))/VLOOKUP(R432,商品!$A$4:$D$67,4,FALSE),0),"")</f>
        <v/>
      </c>
      <c r="AH432" t="str">
        <f>IFERROR(T432&amp;"*"&amp;ROUND(V432*(U432/(S432+U432))/VLOOKUP(T432,商品!$A$4:$D$67,4,FALSE),0),"")</f>
        <v/>
      </c>
    </row>
    <row r="433" customHeight="1" spans="1:34">
      <c r="A433" s="15" t="s">
        <v>362</v>
      </c>
      <c r="C433" s="2">
        <v>2</v>
      </c>
      <c r="D433" s="2" t="s">
        <v>238</v>
      </c>
      <c r="E433" s="2" t="s">
        <v>225</v>
      </c>
      <c r="L433" s="2">
        <f>IFERROR(VLOOKUP($D433&amp;$C433,生产方式定位!$A$2:$E$39,2,FALSE)+VLOOKUP($E433&amp;$C433,生产方式定位!$F$3:$J$39,2,FALSE),0)</f>
        <v>10000</v>
      </c>
      <c r="Q433" s="2">
        <f>IFERROR(VLOOKUP($D433&amp;$C433,生产方式定位!$A$2:$E$39,3,FALSE)+VLOOKUP($E433&amp;$C433,生产方式定位!$F$3:$J$39,3,FALSE),0)</f>
        <v>8500</v>
      </c>
      <c r="V433" s="2">
        <f>IFERROR(VLOOKUP($D433&amp;$C433,生产方式定位!$A$2:$E$39,5,FALSE)+VLOOKUP($E433&amp;$C433,生产方式定位!$F$3:$J$39,5,FALSE),"错误")</f>
        <v>9250</v>
      </c>
      <c r="W433" s="3" t="str">
        <f t="shared" si="30"/>
        <v/>
      </c>
      <c r="X433" s="4" t="str">
        <f t="shared" si="31"/>
        <v/>
      </c>
      <c r="Y433" s="4" t="str">
        <f t="shared" si="32"/>
        <v/>
      </c>
      <c r="Z433" s="5">
        <f t="shared" si="33"/>
        <v>1.08</v>
      </c>
      <c r="AA433" s="6">
        <f t="shared" si="34"/>
        <v>2</v>
      </c>
      <c r="AB433" t="str">
        <f>IFERROR(F433&amp;"*"&amp;ROUND(L433*(G433/(G433+I433+K433))/VLOOKUP(F433,商品!$A$4:$D$67,4,FALSE),0),"")</f>
        <v/>
      </c>
      <c r="AC433" t="str">
        <f>IFERROR(H433&amp;"*"&amp;ROUND(L433*(I433/(G433+I433+K433))/VLOOKUP(H433,商品!$A$4:$D$67,4,FALSE),0),"")</f>
        <v/>
      </c>
      <c r="AD433" t="str">
        <f>IFERROR(J433&amp;"*"&amp;ROUND(L433*(K433/(G433+I433+K433))/VLOOKUP(J433,商品!$A$4:$D$67,4,FALSE),0),"")</f>
        <v/>
      </c>
      <c r="AE433" t="str">
        <f>IFERROR(M433&amp;"*"&amp;ROUND(Q433*(N433/(N433+P433))/VLOOKUP(M433,职业!$A$3:$E$16,4,FALSE),0),"")</f>
        <v/>
      </c>
      <c r="AF433" t="str">
        <f>IFERROR(O433&amp;"*"&amp;ROUND(Q433*(P433/(N433+P433))/VLOOKUP(O433,职业!$A$3:$E$16,4,FALSE),0),"")</f>
        <v/>
      </c>
      <c r="AG433" t="str">
        <f>IFERROR(R433&amp;"*"&amp;ROUND(V433*(S433/(S433+U433))/VLOOKUP(R433,商品!$A$4:$D$67,4,FALSE),0),"")</f>
        <v/>
      </c>
      <c r="AH433" t="str">
        <f>IFERROR(T433&amp;"*"&amp;ROUND(V433*(U433/(S433+U433))/VLOOKUP(T433,商品!$A$4:$D$67,4,FALSE),0),"")</f>
        <v/>
      </c>
    </row>
    <row r="434" customHeight="1" spans="1:34">
      <c r="A434" s="15" t="s">
        <v>362</v>
      </c>
      <c r="C434" s="2">
        <v>3</v>
      </c>
      <c r="D434" s="2" t="s">
        <v>238</v>
      </c>
      <c r="E434" s="2" t="s">
        <v>225</v>
      </c>
      <c r="L434" s="2">
        <f>IFERROR(VLOOKUP($D434&amp;$C434,生产方式定位!$A$2:$E$39,2,FALSE)+VLOOKUP($E434&amp;$C434,生产方式定位!$F$3:$J$39,2,FALSE),0)</f>
        <v>9000</v>
      </c>
      <c r="Q434" s="2">
        <f>IFERROR(VLOOKUP($D434&amp;$C434,生产方式定位!$A$2:$E$39,3,FALSE)+VLOOKUP($E434&amp;$C434,生产方式定位!$F$3:$J$39,3,FALSE),0)</f>
        <v>9000</v>
      </c>
      <c r="V434" s="2">
        <f>IFERROR(VLOOKUP($D434&amp;$C434,生产方式定位!$A$2:$E$39,5,FALSE)+VLOOKUP($E434&amp;$C434,生产方式定位!$F$3:$J$39,5,FALSE),"错误")</f>
        <v>9000</v>
      </c>
      <c r="W434" s="3" t="str">
        <f t="shared" si="30"/>
        <v/>
      </c>
      <c r="X434" s="4" t="str">
        <f t="shared" si="31"/>
        <v/>
      </c>
      <c r="Y434" s="4" t="str">
        <f t="shared" si="32"/>
        <v/>
      </c>
      <c r="Z434" s="5">
        <f t="shared" si="33"/>
        <v>1</v>
      </c>
      <c r="AA434" s="6">
        <f t="shared" si="34"/>
        <v>3</v>
      </c>
      <c r="AB434" t="str">
        <f>IFERROR(F434&amp;"*"&amp;ROUND(L434*(G434/(G434+I434+K434))/VLOOKUP(F434,商品!$A$4:$D$67,4,FALSE),0),"")</f>
        <v/>
      </c>
      <c r="AC434" t="str">
        <f>IFERROR(H434&amp;"*"&amp;ROUND(L434*(I434/(G434+I434+K434))/VLOOKUP(H434,商品!$A$4:$D$67,4,FALSE),0),"")</f>
        <v/>
      </c>
      <c r="AD434" t="str">
        <f>IFERROR(J434&amp;"*"&amp;ROUND(L434*(K434/(G434+I434+K434))/VLOOKUP(J434,商品!$A$4:$D$67,4,FALSE),0),"")</f>
        <v/>
      </c>
      <c r="AE434" t="str">
        <f>IFERROR(M434&amp;"*"&amp;ROUND(Q434*(N434/(N434+P434))/VLOOKUP(M434,职业!$A$3:$E$16,4,FALSE),0),"")</f>
        <v/>
      </c>
      <c r="AF434" t="str">
        <f>IFERROR(O434&amp;"*"&amp;ROUND(Q434*(P434/(N434+P434))/VLOOKUP(O434,职业!$A$3:$E$16,4,FALSE),0),"")</f>
        <v/>
      </c>
      <c r="AG434" t="str">
        <f>IFERROR(R434&amp;"*"&amp;ROUND(V434*(S434/(S434+U434))/VLOOKUP(R434,商品!$A$4:$D$67,4,FALSE),0),"")</f>
        <v/>
      </c>
      <c r="AH434" t="str">
        <f>IFERROR(T434&amp;"*"&amp;ROUND(V434*(U434/(S434+U434))/VLOOKUP(T434,商品!$A$4:$D$67,4,FALSE),0),"")</f>
        <v/>
      </c>
    </row>
    <row r="435" customHeight="1" spans="1:34">
      <c r="A435" s="15" t="s">
        <v>362</v>
      </c>
      <c r="C435" s="2">
        <v>4</v>
      </c>
      <c r="D435" s="2" t="s">
        <v>238</v>
      </c>
      <c r="E435" s="2" t="s">
        <v>225</v>
      </c>
      <c r="L435" s="2">
        <f>IFERROR(VLOOKUP($D435&amp;$C435,生产方式定位!$A$2:$E$39,2,FALSE)+VLOOKUP($E435&amp;$C435,生产方式定位!$F$3:$J$39,2,FALSE),0)</f>
        <v>8000</v>
      </c>
      <c r="Q435" s="2">
        <f>IFERROR(VLOOKUP($D435&amp;$C435,生产方式定位!$A$2:$E$39,3,FALSE)+VLOOKUP($E435&amp;$C435,生产方式定位!$F$3:$J$39,3,FALSE),0)</f>
        <v>9500</v>
      </c>
      <c r="V435" s="2">
        <f>IFERROR(VLOOKUP($D435&amp;$C435,生产方式定位!$A$2:$E$39,5,FALSE)+VLOOKUP($E435&amp;$C435,生产方式定位!$F$3:$J$39,5,FALSE),"错误")</f>
        <v>8750</v>
      </c>
      <c r="W435" s="3" t="str">
        <f t="shared" si="30"/>
        <v/>
      </c>
      <c r="X435" s="4" t="str">
        <f t="shared" si="31"/>
        <v/>
      </c>
      <c r="Y435" s="4" t="str">
        <f t="shared" si="32"/>
        <v/>
      </c>
      <c r="Z435" s="5">
        <f t="shared" si="33"/>
        <v>0.91</v>
      </c>
      <c r="AA435" s="6">
        <f t="shared" si="34"/>
        <v>4</v>
      </c>
      <c r="AB435" t="str">
        <f>IFERROR(F435&amp;"*"&amp;ROUND(L435*(G435/(G435+I435+K435))/VLOOKUP(F435,商品!$A$4:$D$67,4,FALSE),0),"")</f>
        <v/>
      </c>
      <c r="AC435" t="str">
        <f>IFERROR(H435&amp;"*"&amp;ROUND(L435*(I435/(G435+I435+K435))/VLOOKUP(H435,商品!$A$4:$D$67,4,FALSE),0),"")</f>
        <v/>
      </c>
      <c r="AD435" t="str">
        <f>IFERROR(J435&amp;"*"&amp;ROUND(L435*(K435/(G435+I435+K435))/VLOOKUP(J435,商品!$A$4:$D$67,4,FALSE),0),"")</f>
        <v/>
      </c>
      <c r="AE435" t="str">
        <f>IFERROR(M435&amp;"*"&amp;ROUND(Q435*(N435/(N435+P435))/VLOOKUP(M435,职业!$A$3:$E$16,4,FALSE),0),"")</f>
        <v/>
      </c>
      <c r="AF435" t="str">
        <f>IFERROR(O435&amp;"*"&amp;ROUND(Q435*(P435/(N435+P435))/VLOOKUP(O435,职业!$A$3:$E$16,4,FALSE),0),"")</f>
        <v/>
      </c>
      <c r="AG435" t="str">
        <f>IFERROR(R435&amp;"*"&amp;ROUND(V435*(S435/(S435+U435))/VLOOKUP(R435,商品!$A$4:$D$67,4,FALSE),0),"")</f>
        <v/>
      </c>
      <c r="AH435" t="str">
        <f>IFERROR(T435&amp;"*"&amp;ROUND(V435*(U435/(S435+U435))/VLOOKUP(T435,商品!$A$4:$D$67,4,FALSE),0),"")</f>
        <v/>
      </c>
    </row>
    <row r="436" customHeight="1" spans="1:34">
      <c r="A436" s="14" t="s">
        <v>364</v>
      </c>
      <c r="C436" s="2">
        <v>5</v>
      </c>
      <c r="D436" s="2" t="s">
        <v>238</v>
      </c>
      <c r="E436" s="2" t="s">
        <v>222</v>
      </c>
      <c r="L436" s="2">
        <f>IFERROR(VLOOKUP($D436&amp;$C436,生产方式定位!$A$2:$E$39,2,FALSE)+VLOOKUP($E436&amp;$C436,生产方式定位!$F$3:$J$39,2,FALSE),0)</f>
        <v>11000</v>
      </c>
      <c r="Q436" s="2">
        <f>IFERROR(VLOOKUP($D436&amp;$C436,生产方式定位!$A$2:$E$39,3,FALSE)+VLOOKUP($E436&amp;$C436,生产方式定位!$F$3:$J$39,3,FALSE),0)</f>
        <v>10800</v>
      </c>
      <c r="V436" s="2">
        <f>IFERROR(VLOOKUP($D436&amp;$C436,生产方式定位!$A$2:$E$39,5,FALSE)+VLOOKUP($E436&amp;$C436,生产方式定位!$F$3:$J$39,5,FALSE),"错误")</f>
        <v>12100</v>
      </c>
      <c r="W436" s="3" t="str">
        <f t="shared" si="30"/>
        <v/>
      </c>
      <c r="X436" s="4" t="str">
        <f t="shared" si="31"/>
        <v/>
      </c>
      <c r="Y436" s="4" t="str">
        <f t="shared" si="32"/>
        <v/>
      </c>
      <c r="Z436" s="5">
        <f t="shared" si="33"/>
        <v>0.91</v>
      </c>
      <c r="AA436" s="6">
        <f t="shared" si="34"/>
        <v>5</v>
      </c>
      <c r="AB436" t="str">
        <f>IFERROR(F436&amp;"*"&amp;ROUND(L436*(G436/(G436+I436+K436))/VLOOKUP(F436,商品!$A$4:$D$67,4,FALSE),0),"")</f>
        <v/>
      </c>
      <c r="AC436" t="str">
        <f>IFERROR(H436&amp;"*"&amp;ROUND(L436*(I436/(G436+I436+K436))/VLOOKUP(H436,商品!$A$4:$D$67,4,FALSE),0),"")</f>
        <v/>
      </c>
      <c r="AD436" t="str">
        <f>IFERROR(J436&amp;"*"&amp;ROUND(L436*(K436/(G436+I436+K436))/VLOOKUP(J436,商品!$A$4:$D$67,4,FALSE),0),"")</f>
        <v/>
      </c>
      <c r="AE436" t="str">
        <f>IFERROR(M436&amp;"*"&amp;ROUND(Q436*(N436/(N436+P436))/VLOOKUP(M436,职业!$A$3:$E$16,4,FALSE),0),"")</f>
        <v/>
      </c>
      <c r="AF436" t="str">
        <f>IFERROR(O436&amp;"*"&amp;ROUND(Q436*(P436/(N436+P436))/VLOOKUP(O436,职业!$A$3:$E$16,4,FALSE),0),"")</f>
        <v/>
      </c>
      <c r="AG436" t="str">
        <f>IFERROR(R436&amp;"*"&amp;ROUND(V436*(S436/(S436+U436))/VLOOKUP(R436,商品!$A$4:$D$67,4,FALSE),0),"")</f>
        <v/>
      </c>
      <c r="AH436" t="str">
        <f>IFERROR(T436&amp;"*"&amp;ROUND(V436*(U436/(S436+U436))/VLOOKUP(T436,商品!$A$4:$D$67,4,FALSE),0),"")</f>
        <v/>
      </c>
    </row>
    <row r="437" customHeight="1" spans="1:34">
      <c r="A437" s="14" t="s">
        <v>364</v>
      </c>
      <c r="C437" s="2">
        <v>1</v>
      </c>
      <c r="D437" s="2" t="s">
        <v>238</v>
      </c>
      <c r="E437" s="2" t="s">
        <v>222</v>
      </c>
      <c r="L437" s="2">
        <f>IFERROR(VLOOKUP($D437&amp;$C437,生产方式定位!$A$2:$E$39,2,FALSE)+VLOOKUP($E437&amp;$C437,生产方式定位!$F$3:$J$39,2,FALSE),0)</f>
        <v>11000</v>
      </c>
      <c r="Q437" s="2">
        <f>IFERROR(VLOOKUP($D437&amp;$C437,生产方式定位!$A$2:$E$39,3,FALSE)+VLOOKUP($E437&amp;$C437,生产方式定位!$F$3:$J$39,3,FALSE),0)</f>
        <v>8000</v>
      </c>
      <c r="V437" s="2">
        <f>IFERROR(VLOOKUP($D437&amp;$C437,生产方式定位!$A$2:$E$39,5,FALSE)+VLOOKUP($E437&amp;$C437,生产方式定位!$F$3:$J$39,5,FALSE),"错误")</f>
        <v>9500</v>
      </c>
      <c r="W437" s="3" t="str">
        <f t="shared" si="30"/>
        <v/>
      </c>
      <c r="X437" s="4" t="str">
        <f t="shared" si="31"/>
        <v/>
      </c>
      <c r="Y437" s="4" t="str">
        <f t="shared" si="32"/>
        <v/>
      </c>
      <c r="Z437" s="5">
        <f t="shared" si="33"/>
        <v>1.16</v>
      </c>
      <c r="AA437" s="6">
        <f t="shared" si="34"/>
        <v>1</v>
      </c>
      <c r="AB437" t="str">
        <f>IFERROR(F437&amp;"*"&amp;ROUND(L437*(G437/(G437+I437+K437))/VLOOKUP(F437,商品!$A$4:$D$67,4,FALSE),0),"")</f>
        <v/>
      </c>
      <c r="AC437" t="str">
        <f>IFERROR(H437&amp;"*"&amp;ROUND(L437*(I437/(G437+I437+K437))/VLOOKUP(H437,商品!$A$4:$D$67,4,FALSE),0),"")</f>
        <v/>
      </c>
      <c r="AD437" t="str">
        <f>IFERROR(J437&amp;"*"&amp;ROUND(L437*(K437/(G437+I437+K437))/VLOOKUP(J437,商品!$A$4:$D$67,4,FALSE),0),"")</f>
        <v/>
      </c>
      <c r="AE437" t="str">
        <f>IFERROR(M437&amp;"*"&amp;ROUND(Q437*(N437/(N437+P437))/VLOOKUP(M437,职业!$A$3:$E$16,4,FALSE),0),"")</f>
        <v/>
      </c>
      <c r="AF437" t="str">
        <f>IFERROR(O437&amp;"*"&amp;ROUND(Q437*(P437/(N437+P437))/VLOOKUP(O437,职业!$A$3:$E$16,4,FALSE),0),"")</f>
        <v/>
      </c>
      <c r="AG437" t="str">
        <f>IFERROR(R437&amp;"*"&amp;ROUND(V437*(S437/(S437+U437))/VLOOKUP(R437,商品!$A$4:$D$67,4,FALSE),0),"")</f>
        <v/>
      </c>
      <c r="AH437" t="str">
        <f>IFERROR(T437&amp;"*"&amp;ROUND(V437*(U437/(S437+U437))/VLOOKUP(T437,商品!$A$4:$D$67,4,FALSE),0),"")</f>
        <v/>
      </c>
    </row>
    <row r="438" customHeight="1" spans="1:34">
      <c r="A438" s="14" t="s">
        <v>364</v>
      </c>
      <c r="C438" s="2">
        <v>2</v>
      </c>
      <c r="D438" s="2" t="s">
        <v>238</v>
      </c>
      <c r="E438" s="2" t="s">
        <v>222</v>
      </c>
      <c r="L438" s="2">
        <f>IFERROR(VLOOKUP($D438&amp;$C438,生产方式定位!$A$2:$E$39,2,FALSE)+VLOOKUP($E438&amp;$C438,生产方式定位!$F$3:$J$39,2,FALSE),0)</f>
        <v>11000</v>
      </c>
      <c r="Q438" s="2">
        <f>IFERROR(VLOOKUP($D438&amp;$C438,生产方式定位!$A$2:$E$39,3,FALSE)+VLOOKUP($E438&amp;$C438,生产方式定位!$F$3:$J$39,3,FALSE),0)</f>
        <v>8700</v>
      </c>
      <c r="V438" s="2">
        <f>IFERROR(VLOOKUP($D438&amp;$C438,生产方式定位!$A$2:$E$39,5,FALSE)+VLOOKUP($E438&amp;$C438,生产方式定位!$F$3:$J$39,5,FALSE),"错误")</f>
        <v>9922</v>
      </c>
      <c r="W438" s="3" t="str">
        <f t="shared" si="30"/>
        <v/>
      </c>
      <c r="X438" s="4" t="str">
        <f t="shared" si="31"/>
        <v/>
      </c>
      <c r="Y438" s="4" t="str">
        <f t="shared" si="32"/>
        <v/>
      </c>
      <c r="Z438" s="5">
        <f t="shared" si="33"/>
        <v>1.11</v>
      </c>
      <c r="AA438" s="6">
        <f t="shared" si="34"/>
        <v>2</v>
      </c>
      <c r="AB438" t="str">
        <f>IFERROR(F438&amp;"*"&amp;ROUND(L438*(G438/(G438+I438+K438))/VLOOKUP(F438,商品!$A$4:$D$67,4,FALSE),0),"")</f>
        <v/>
      </c>
      <c r="AC438" t="str">
        <f>IFERROR(H438&amp;"*"&amp;ROUND(L438*(I438/(G438+I438+K438))/VLOOKUP(H438,商品!$A$4:$D$67,4,FALSE),0),"")</f>
        <v/>
      </c>
      <c r="AD438" t="str">
        <f>IFERROR(J438&amp;"*"&amp;ROUND(L438*(K438/(G438+I438+K438))/VLOOKUP(J438,商品!$A$4:$D$67,4,FALSE),0),"")</f>
        <v/>
      </c>
      <c r="AE438" t="str">
        <f>IFERROR(M438&amp;"*"&amp;ROUND(Q438*(N438/(N438+P438))/VLOOKUP(M438,职业!$A$3:$E$16,4,FALSE),0),"")</f>
        <v/>
      </c>
      <c r="AF438" t="str">
        <f>IFERROR(O438&amp;"*"&amp;ROUND(Q438*(P438/(N438+P438))/VLOOKUP(O438,职业!$A$3:$E$16,4,FALSE),0),"")</f>
        <v/>
      </c>
      <c r="AG438" t="str">
        <f>IFERROR(R438&amp;"*"&amp;ROUND(V438*(S438/(S438+U438))/VLOOKUP(R438,商品!$A$4:$D$67,4,FALSE),0),"")</f>
        <v/>
      </c>
      <c r="AH438" t="str">
        <f>IFERROR(T438&amp;"*"&amp;ROUND(V438*(U438/(S438+U438))/VLOOKUP(T438,商品!$A$4:$D$67,4,FALSE),0),"")</f>
        <v/>
      </c>
    </row>
    <row r="439" customHeight="1" spans="1:34">
      <c r="A439" s="14" t="s">
        <v>364</v>
      </c>
      <c r="C439" s="2">
        <v>3</v>
      </c>
      <c r="D439" s="2" t="s">
        <v>238</v>
      </c>
      <c r="E439" s="2" t="s">
        <v>222</v>
      </c>
      <c r="L439" s="2">
        <f>IFERROR(VLOOKUP($D439&amp;$C439,生产方式定位!$A$2:$E$39,2,FALSE)+VLOOKUP($E439&amp;$C439,生产方式定位!$F$3:$J$39,2,FALSE),0)</f>
        <v>11000</v>
      </c>
      <c r="Q439" s="2">
        <f>IFERROR(VLOOKUP($D439&amp;$C439,生产方式定位!$A$2:$E$39,3,FALSE)+VLOOKUP($E439&amp;$C439,生产方式定位!$F$3:$J$39,3,FALSE),0)</f>
        <v>9400</v>
      </c>
      <c r="V439" s="2">
        <f>IFERROR(VLOOKUP($D439&amp;$C439,生产方式定位!$A$2:$E$39,5,FALSE)+VLOOKUP($E439&amp;$C439,生产方式定位!$F$3:$J$39,5,FALSE),"错误")</f>
        <v>10488</v>
      </c>
      <c r="W439" s="3" t="str">
        <f t="shared" si="30"/>
        <v/>
      </c>
      <c r="X439" s="4" t="str">
        <f t="shared" si="31"/>
        <v/>
      </c>
      <c r="Y439" s="4" t="str">
        <f t="shared" si="32"/>
        <v/>
      </c>
      <c r="Z439" s="5">
        <f t="shared" si="33"/>
        <v>1.05</v>
      </c>
      <c r="AA439" s="6">
        <f t="shared" si="34"/>
        <v>3</v>
      </c>
      <c r="AB439" t="str">
        <f>IFERROR(F439&amp;"*"&amp;ROUND(L439*(G439/(G439+I439+K439))/VLOOKUP(F439,商品!$A$4:$D$67,4,FALSE),0),"")</f>
        <v/>
      </c>
      <c r="AC439" t="str">
        <f>IFERROR(H439&amp;"*"&amp;ROUND(L439*(I439/(G439+I439+K439))/VLOOKUP(H439,商品!$A$4:$D$67,4,FALSE),0),"")</f>
        <v/>
      </c>
      <c r="AD439" t="str">
        <f>IFERROR(J439&amp;"*"&amp;ROUND(L439*(K439/(G439+I439+K439))/VLOOKUP(J439,商品!$A$4:$D$67,4,FALSE),0),"")</f>
        <v/>
      </c>
      <c r="AE439" t="str">
        <f>IFERROR(M439&amp;"*"&amp;ROUND(Q439*(N439/(N439+P439))/VLOOKUP(M439,职业!$A$3:$E$16,4,FALSE),0),"")</f>
        <v/>
      </c>
      <c r="AF439" t="str">
        <f>IFERROR(O439&amp;"*"&amp;ROUND(Q439*(P439/(N439+P439))/VLOOKUP(O439,职业!$A$3:$E$16,4,FALSE),0),"")</f>
        <v/>
      </c>
      <c r="AG439" t="str">
        <f>IFERROR(R439&amp;"*"&amp;ROUND(V439*(S439/(S439+U439))/VLOOKUP(R439,商品!$A$4:$D$67,4,FALSE),0),"")</f>
        <v/>
      </c>
      <c r="AH439" t="str">
        <f>IFERROR(T439&amp;"*"&amp;ROUND(V439*(U439/(S439+U439))/VLOOKUP(T439,商品!$A$4:$D$67,4,FALSE),0),"")</f>
        <v/>
      </c>
    </row>
    <row r="440" customHeight="1" spans="1:34">
      <c r="A440" s="14" t="s">
        <v>364</v>
      </c>
      <c r="C440" s="2">
        <v>4</v>
      </c>
      <c r="D440" s="2" t="s">
        <v>238</v>
      </c>
      <c r="E440" s="2" t="s">
        <v>222</v>
      </c>
      <c r="L440" s="2">
        <f>IFERROR(VLOOKUP($D440&amp;$C440,生产方式定位!$A$2:$E$39,2,FALSE)+VLOOKUP($E440&amp;$C440,生产方式定位!$F$3:$J$39,2,FALSE),0)</f>
        <v>11000</v>
      </c>
      <c r="Q440" s="2">
        <f>IFERROR(VLOOKUP($D440&amp;$C440,生产方式定位!$A$2:$E$39,3,FALSE)+VLOOKUP($E440&amp;$C440,生产方式定位!$F$3:$J$39,3,FALSE),0)</f>
        <v>10100</v>
      </c>
      <c r="V440" s="2">
        <f>IFERROR(VLOOKUP($D440&amp;$C440,生产方式定位!$A$2:$E$39,5,FALSE)+VLOOKUP($E440&amp;$C440,生产方式定位!$F$3:$J$39,5,FALSE),"错误")</f>
        <v>11198</v>
      </c>
      <c r="W440" s="3" t="str">
        <f t="shared" si="30"/>
        <v/>
      </c>
      <c r="X440" s="4" t="str">
        <f t="shared" si="31"/>
        <v/>
      </c>
      <c r="Y440" s="4" t="str">
        <f t="shared" si="32"/>
        <v/>
      </c>
      <c r="Z440" s="5">
        <f t="shared" si="33"/>
        <v>0.98</v>
      </c>
      <c r="AA440" s="6">
        <f t="shared" si="34"/>
        <v>4</v>
      </c>
      <c r="AB440" t="str">
        <f>IFERROR(F440&amp;"*"&amp;ROUND(L440*(G440/(G440+I440+K440))/VLOOKUP(F440,商品!$A$4:$D$67,4,FALSE),0),"")</f>
        <v/>
      </c>
      <c r="AC440" t="str">
        <f>IFERROR(H440&amp;"*"&amp;ROUND(L440*(I440/(G440+I440+K440))/VLOOKUP(H440,商品!$A$4:$D$67,4,FALSE),0),"")</f>
        <v/>
      </c>
      <c r="AD440" t="str">
        <f>IFERROR(J440&amp;"*"&amp;ROUND(L440*(K440/(G440+I440+K440))/VLOOKUP(J440,商品!$A$4:$D$67,4,FALSE),0),"")</f>
        <v/>
      </c>
      <c r="AE440" t="str">
        <f>IFERROR(M440&amp;"*"&amp;ROUND(Q440*(N440/(N440+P440))/VLOOKUP(M440,职业!$A$3:$E$16,4,FALSE),0),"")</f>
        <v/>
      </c>
      <c r="AF440" t="str">
        <f>IFERROR(O440&amp;"*"&amp;ROUND(Q440*(P440/(N440+P440))/VLOOKUP(O440,职业!$A$3:$E$16,4,FALSE),0),"")</f>
        <v/>
      </c>
      <c r="AG440" t="str">
        <f>IFERROR(R440&amp;"*"&amp;ROUND(V440*(S440/(S440+U440))/VLOOKUP(R440,商品!$A$4:$D$67,4,FALSE),0),"")</f>
        <v/>
      </c>
      <c r="AH440" t="str">
        <f>IFERROR(T440&amp;"*"&amp;ROUND(V440*(U440/(S440+U440))/VLOOKUP(T440,商品!$A$4:$D$67,4,FALSE),0),"")</f>
        <v/>
      </c>
    </row>
    <row r="441" customHeight="1" spans="1:34">
      <c r="A441" s="15" t="s">
        <v>365</v>
      </c>
      <c r="C441" s="2">
        <v>5</v>
      </c>
      <c r="D441" s="2" t="s">
        <v>238</v>
      </c>
      <c r="E441" s="2" t="s">
        <v>223</v>
      </c>
      <c r="L441" s="2">
        <f>IFERROR(VLOOKUP($D441&amp;$C441,生产方式定位!$A$2:$E$39,2,FALSE)+VLOOKUP($E441&amp;$C441,生产方式定位!$F$3:$J$39,2,FALSE),0)</f>
        <v>11000</v>
      </c>
      <c r="Q441" s="2">
        <f>IFERROR(VLOOKUP($D441&amp;$C441,生产方式定位!$A$2:$E$39,3,FALSE)+VLOOKUP($E441&amp;$C441,生产方式定位!$F$3:$J$39,3,FALSE),0)</f>
        <v>15000</v>
      </c>
      <c r="V441" s="2">
        <f>IFERROR(VLOOKUP($D441&amp;$C441,生产方式定位!$A$2:$E$39,5,FALSE)+VLOOKUP($E441&amp;$C441,生产方式定位!$F$3:$J$39,5,FALSE),"错误")</f>
        <v>13563</v>
      </c>
      <c r="W441" s="3" t="str">
        <f t="shared" si="30"/>
        <v/>
      </c>
      <c r="X441" s="4" t="str">
        <f t="shared" si="31"/>
        <v/>
      </c>
      <c r="Y441" s="4" t="str">
        <f t="shared" si="32"/>
        <v/>
      </c>
      <c r="Z441" s="5">
        <f t="shared" si="33"/>
        <v>0.81</v>
      </c>
      <c r="AA441" s="6">
        <f t="shared" si="34"/>
        <v>5</v>
      </c>
      <c r="AB441" t="str">
        <f>IFERROR(F441&amp;"*"&amp;ROUND(L441*(G441/(G441+I441+K441))/VLOOKUP(F441,商品!$A$4:$D$67,4,FALSE),0),"")</f>
        <v/>
      </c>
      <c r="AC441" t="str">
        <f>IFERROR(H441&amp;"*"&amp;ROUND(L441*(I441/(G441+I441+K441))/VLOOKUP(H441,商品!$A$4:$D$67,4,FALSE),0),"")</f>
        <v/>
      </c>
      <c r="AD441" t="str">
        <f>IFERROR(J441&amp;"*"&amp;ROUND(L441*(K441/(G441+I441+K441))/VLOOKUP(J441,商品!$A$4:$D$67,4,FALSE),0),"")</f>
        <v/>
      </c>
      <c r="AE441" t="str">
        <f>IFERROR(M441&amp;"*"&amp;ROUND(Q441*(N441/(N441+P441))/VLOOKUP(M441,职业!$A$3:$E$16,4,FALSE),0),"")</f>
        <v/>
      </c>
      <c r="AF441" t="str">
        <f>IFERROR(O441&amp;"*"&amp;ROUND(Q441*(P441/(N441+P441))/VLOOKUP(O441,职业!$A$3:$E$16,4,FALSE),0),"")</f>
        <v/>
      </c>
      <c r="AG441" t="str">
        <f>IFERROR(R441&amp;"*"&amp;ROUND(V441*(S441/(S441+U441))/VLOOKUP(R441,商品!$A$4:$D$67,4,FALSE),0),"")</f>
        <v/>
      </c>
      <c r="AH441" t="str">
        <f>IFERROR(T441&amp;"*"&amp;ROUND(V441*(U441/(S441+U441))/VLOOKUP(T441,商品!$A$4:$D$67,4,FALSE),0),"")</f>
        <v/>
      </c>
    </row>
    <row r="442" customHeight="1" spans="1:34">
      <c r="A442" s="15" t="s">
        <v>365</v>
      </c>
      <c r="C442" s="2">
        <v>1</v>
      </c>
      <c r="D442" s="2" t="s">
        <v>238</v>
      </c>
      <c r="E442" s="2" t="s">
        <v>223</v>
      </c>
      <c r="L442" s="2">
        <f>IFERROR(VLOOKUP($D442&amp;$C442,生产方式定位!$A$2:$E$39,2,FALSE)+VLOOKUP($E442&amp;$C442,生产方式定位!$F$3:$J$39,2,FALSE),0)</f>
        <v>11000</v>
      </c>
      <c r="Q442" s="2">
        <f>IFERROR(VLOOKUP($D442&amp;$C442,生产方式定位!$A$2:$E$39,3,FALSE)+VLOOKUP($E442&amp;$C442,生产方式定位!$F$3:$J$39,3,FALSE),0)</f>
        <v>8000</v>
      </c>
      <c r="V442" s="2">
        <f>IFERROR(VLOOKUP($D442&amp;$C442,生产方式定位!$A$2:$E$39,5,FALSE)+VLOOKUP($E442&amp;$C442,生产方式定位!$F$3:$J$39,5,FALSE),"错误")</f>
        <v>9500</v>
      </c>
      <c r="W442" s="3" t="str">
        <f t="shared" si="30"/>
        <v/>
      </c>
      <c r="X442" s="4" t="str">
        <f t="shared" si="31"/>
        <v/>
      </c>
      <c r="Y442" s="4" t="str">
        <f t="shared" si="32"/>
        <v/>
      </c>
      <c r="Z442" s="5">
        <f t="shared" si="33"/>
        <v>1.16</v>
      </c>
      <c r="AA442" s="6">
        <f t="shared" si="34"/>
        <v>1</v>
      </c>
      <c r="AB442" t="str">
        <f>IFERROR(F442&amp;"*"&amp;ROUND(L442*(G442/(G442+I442+K442))/VLOOKUP(F442,商品!$A$4:$D$67,4,FALSE),0),"")</f>
        <v/>
      </c>
      <c r="AC442" t="str">
        <f>IFERROR(H442&amp;"*"&amp;ROUND(L442*(I442/(G442+I442+K442))/VLOOKUP(H442,商品!$A$4:$D$67,4,FALSE),0),"")</f>
        <v/>
      </c>
      <c r="AD442" t="str">
        <f>IFERROR(J442&amp;"*"&amp;ROUND(L442*(K442/(G442+I442+K442))/VLOOKUP(J442,商品!$A$4:$D$67,4,FALSE),0),"")</f>
        <v/>
      </c>
      <c r="AE442" t="str">
        <f>IFERROR(M442&amp;"*"&amp;ROUND(Q442*(N442/(N442+P442))/VLOOKUP(M442,职业!$A$3:$E$16,4,FALSE),0),"")</f>
        <v/>
      </c>
      <c r="AF442" t="str">
        <f>IFERROR(O442&amp;"*"&amp;ROUND(Q442*(P442/(N442+P442))/VLOOKUP(O442,职业!$A$3:$E$16,4,FALSE),0),"")</f>
        <v/>
      </c>
      <c r="AG442" t="str">
        <f>IFERROR(R442&amp;"*"&amp;ROUND(V442*(S442/(S442+U442))/VLOOKUP(R442,商品!$A$4:$D$67,4,FALSE),0),"")</f>
        <v/>
      </c>
      <c r="AH442" t="str">
        <f>IFERROR(T442&amp;"*"&amp;ROUND(V442*(U442/(S442+U442))/VLOOKUP(T442,商品!$A$4:$D$67,4,FALSE),0),"")</f>
        <v/>
      </c>
    </row>
    <row r="443" customHeight="1" spans="1:34">
      <c r="A443" s="15" t="s">
        <v>365</v>
      </c>
      <c r="C443" s="2">
        <v>2</v>
      </c>
      <c r="D443" s="2" t="s">
        <v>238</v>
      </c>
      <c r="E443" s="2" t="s">
        <v>223</v>
      </c>
      <c r="L443" s="2">
        <f>IFERROR(VLOOKUP($D443&amp;$C443,生产方式定位!$A$2:$E$39,2,FALSE)+VLOOKUP($E443&amp;$C443,生产方式定位!$F$3:$J$39,2,FALSE),0)</f>
        <v>11000</v>
      </c>
      <c r="Q443" s="2">
        <f>IFERROR(VLOOKUP($D443&amp;$C443,生产方式定位!$A$2:$E$39,3,FALSE)+VLOOKUP($E443&amp;$C443,生产方式定位!$F$3:$J$39,3,FALSE),0)</f>
        <v>10500</v>
      </c>
      <c r="V443" s="2">
        <f>IFERROR(VLOOKUP($D443&amp;$C443,生产方式定位!$A$2:$E$39,5,FALSE)+VLOOKUP($E443&amp;$C443,生产方式定位!$F$3:$J$39,5,FALSE),"错误")</f>
        <v>10795</v>
      </c>
      <c r="W443" s="3" t="str">
        <f t="shared" si="30"/>
        <v/>
      </c>
      <c r="X443" s="4" t="str">
        <f t="shared" si="31"/>
        <v/>
      </c>
      <c r="Y443" s="4" t="str">
        <f t="shared" si="32"/>
        <v/>
      </c>
      <c r="Z443" s="5">
        <f t="shared" si="33"/>
        <v>1.02</v>
      </c>
      <c r="AA443" s="6">
        <f t="shared" si="34"/>
        <v>2</v>
      </c>
      <c r="AB443" t="str">
        <f>IFERROR(F443&amp;"*"&amp;ROUND(L443*(G443/(G443+I443+K443))/VLOOKUP(F443,商品!$A$4:$D$67,4,FALSE),0),"")</f>
        <v/>
      </c>
      <c r="AC443" t="str">
        <f>IFERROR(H443&amp;"*"&amp;ROUND(L443*(I443/(G443+I443+K443))/VLOOKUP(H443,商品!$A$4:$D$67,4,FALSE),0),"")</f>
        <v/>
      </c>
      <c r="AD443" t="str">
        <f>IFERROR(J443&amp;"*"&amp;ROUND(L443*(K443/(G443+I443+K443))/VLOOKUP(J443,商品!$A$4:$D$67,4,FALSE),0),"")</f>
        <v/>
      </c>
      <c r="AE443" t="str">
        <f>IFERROR(M443&amp;"*"&amp;ROUND(Q443*(N443/(N443+P443))/VLOOKUP(M443,职业!$A$3:$E$16,4,FALSE),0),"")</f>
        <v/>
      </c>
      <c r="AF443" t="str">
        <f>IFERROR(O443&amp;"*"&amp;ROUND(Q443*(P443/(N443+P443))/VLOOKUP(O443,职业!$A$3:$E$16,4,FALSE),0),"")</f>
        <v/>
      </c>
      <c r="AG443" t="str">
        <f>IFERROR(R443&amp;"*"&amp;ROUND(V443*(S443/(S443+U443))/VLOOKUP(R443,商品!$A$4:$D$67,4,FALSE),0),"")</f>
        <v/>
      </c>
      <c r="AH443" t="str">
        <f>IFERROR(T443&amp;"*"&amp;ROUND(V443*(U443/(S443+U443))/VLOOKUP(T443,商品!$A$4:$D$67,4,FALSE),0),"")</f>
        <v/>
      </c>
    </row>
    <row r="444" customHeight="1" spans="1:34">
      <c r="A444" s="15" t="s">
        <v>365</v>
      </c>
      <c r="C444" s="2">
        <v>3</v>
      </c>
      <c r="D444" s="2" t="s">
        <v>238</v>
      </c>
      <c r="E444" s="2" t="s">
        <v>223</v>
      </c>
      <c r="L444" s="2">
        <f>IFERROR(VLOOKUP($D444&amp;$C444,生产方式定位!$A$2:$E$39,2,FALSE)+VLOOKUP($E444&amp;$C444,生产方式定位!$F$3:$J$39,2,FALSE),0)</f>
        <v>11000</v>
      </c>
      <c r="Q444" s="2">
        <f>IFERROR(VLOOKUP($D444&amp;$C444,生产方式定位!$A$2:$E$39,3,FALSE)+VLOOKUP($E444&amp;$C444,生产方式定位!$F$3:$J$39,3,FALSE),0)</f>
        <v>12000</v>
      </c>
      <c r="V444" s="2">
        <f>IFERROR(VLOOKUP($D444&amp;$C444,生产方式定位!$A$2:$E$39,5,FALSE)+VLOOKUP($E444&amp;$C444,生产方式定位!$F$3:$J$39,5,FALSE),"错误")</f>
        <v>11650</v>
      </c>
      <c r="W444" s="3" t="str">
        <f t="shared" si="30"/>
        <v/>
      </c>
      <c r="X444" s="4" t="str">
        <f t="shared" si="31"/>
        <v/>
      </c>
      <c r="Y444" s="4" t="str">
        <f t="shared" si="32"/>
        <v/>
      </c>
      <c r="Z444" s="5">
        <f t="shared" si="33"/>
        <v>0.94</v>
      </c>
      <c r="AA444" s="6">
        <f t="shared" si="34"/>
        <v>3</v>
      </c>
      <c r="AB444" t="str">
        <f>IFERROR(F444&amp;"*"&amp;ROUND(L444*(G444/(G444+I444+K444))/VLOOKUP(F444,商品!$A$4:$D$67,4,FALSE),0),"")</f>
        <v/>
      </c>
      <c r="AC444" t="str">
        <f>IFERROR(H444&amp;"*"&amp;ROUND(L444*(I444/(G444+I444+K444))/VLOOKUP(H444,商品!$A$4:$D$67,4,FALSE),0),"")</f>
        <v/>
      </c>
      <c r="AD444" t="str">
        <f>IFERROR(J444&amp;"*"&amp;ROUND(L444*(K444/(G444+I444+K444))/VLOOKUP(J444,商品!$A$4:$D$67,4,FALSE),0),"")</f>
        <v/>
      </c>
      <c r="AE444" t="str">
        <f>IFERROR(M444&amp;"*"&amp;ROUND(Q444*(N444/(N444+P444))/VLOOKUP(M444,职业!$A$3:$E$16,4,FALSE),0),"")</f>
        <v/>
      </c>
      <c r="AF444" t="str">
        <f>IFERROR(O444&amp;"*"&amp;ROUND(Q444*(P444/(N444+P444))/VLOOKUP(O444,职业!$A$3:$E$16,4,FALSE),0),"")</f>
        <v/>
      </c>
      <c r="AG444" t="str">
        <f>IFERROR(R444&amp;"*"&amp;ROUND(V444*(S444/(S444+U444))/VLOOKUP(R444,商品!$A$4:$D$67,4,FALSE),0),"")</f>
        <v/>
      </c>
      <c r="AH444" t="str">
        <f>IFERROR(T444&amp;"*"&amp;ROUND(V444*(U444/(S444+U444))/VLOOKUP(T444,商品!$A$4:$D$67,4,FALSE),0),"")</f>
        <v/>
      </c>
    </row>
    <row r="445" customHeight="1" spans="1:34">
      <c r="A445" s="15" t="s">
        <v>365</v>
      </c>
      <c r="C445" s="2">
        <v>4</v>
      </c>
      <c r="D445" s="2" t="s">
        <v>238</v>
      </c>
      <c r="E445" s="2" t="s">
        <v>223</v>
      </c>
      <c r="L445" s="2">
        <f>IFERROR(VLOOKUP($D445&amp;$C445,生产方式定位!$A$2:$E$39,2,FALSE)+VLOOKUP($E445&amp;$C445,生产方式定位!$F$3:$J$39,2,FALSE),0)</f>
        <v>11000</v>
      </c>
      <c r="Q445" s="2">
        <f>IFERROR(VLOOKUP($D445&amp;$C445,生产方式定位!$A$2:$E$39,3,FALSE)+VLOOKUP($E445&amp;$C445,生产方式定位!$F$3:$J$39,3,FALSE),0)</f>
        <v>13500</v>
      </c>
      <c r="V445" s="2">
        <f>IFERROR(VLOOKUP($D445&amp;$C445,生产方式定位!$A$2:$E$39,5,FALSE)+VLOOKUP($E445&amp;$C445,生产方式定位!$F$3:$J$39,5,FALSE),"错误")</f>
        <v>12565</v>
      </c>
      <c r="W445" s="3" t="str">
        <f t="shared" si="30"/>
        <v/>
      </c>
      <c r="X445" s="4" t="str">
        <f t="shared" si="31"/>
        <v/>
      </c>
      <c r="Y445" s="4" t="str">
        <f t="shared" si="32"/>
        <v/>
      </c>
      <c r="Z445" s="5">
        <f t="shared" si="33"/>
        <v>0.88</v>
      </c>
      <c r="AA445" s="6">
        <f t="shared" si="34"/>
        <v>4</v>
      </c>
      <c r="AB445" t="str">
        <f>IFERROR(F445&amp;"*"&amp;ROUND(L445*(G445/(G445+I445+K445))/VLOOKUP(F445,商品!$A$4:$D$67,4,FALSE),0),"")</f>
        <v/>
      </c>
      <c r="AC445" t="str">
        <f>IFERROR(H445&amp;"*"&amp;ROUND(L445*(I445/(G445+I445+K445))/VLOOKUP(H445,商品!$A$4:$D$67,4,FALSE),0),"")</f>
        <v/>
      </c>
      <c r="AD445" t="str">
        <f>IFERROR(J445&amp;"*"&amp;ROUND(L445*(K445/(G445+I445+K445))/VLOOKUP(J445,商品!$A$4:$D$67,4,FALSE),0),"")</f>
        <v/>
      </c>
      <c r="AE445" t="str">
        <f>IFERROR(M445&amp;"*"&amp;ROUND(Q445*(N445/(N445+P445))/VLOOKUP(M445,职业!$A$3:$E$16,4,FALSE),0),"")</f>
        <v/>
      </c>
      <c r="AF445" t="str">
        <f>IFERROR(O445&amp;"*"&amp;ROUND(Q445*(P445/(N445+P445))/VLOOKUP(O445,职业!$A$3:$E$16,4,FALSE),0),"")</f>
        <v/>
      </c>
      <c r="AG445" t="str">
        <f>IFERROR(R445&amp;"*"&amp;ROUND(V445*(S445/(S445+U445))/VLOOKUP(R445,商品!$A$4:$D$67,4,FALSE),0),"")</f>
        <v/>
      </c>
      <c r="AH445" t="str">
        <f>IFERROR(T445&amp;"*"&amp;ROUND(V445*(U445/(S445+U445))/VLOOKUP(T445,商品!$A$4:$D$67,4,FALSE),0),"")</f>
        <v/>
      </c>
    </row>
    <row r="446" customHeight="1" spans="1:34">
      <c r="A446" s="14" t="s">
        <v>366</v>
      </c>
      <c r="C446" s="2">
        <v>5</v>
      </c>
      <c r="D446" s="2" t="s">
        <v>238</v>
      </c>
      <c r="E446" s="2" t="s">
        <v>224</v>
      </c>
      <c r="L446" s="2">
        <f>IFERROR(VLOOKUP($D446&amp;$C446,生产方式定位!$A$2:$E$39,2,FALSE)+VLOOKUP($E446&amp;$C446,生产方式定位!$F$3:$J$39,2,FALSE),0)</f>
        <v>12000</v>
      </c>
      <c r="Q446" s="2">
        <f>IFERROR(VLOOKUP($D446&amp;$C446,生产方式定位!$A$2:$E$39,3,FALSE)+VLOOKUP($E446&amp;$C446,生产方式定位!$F$3:$J$39,3,FALSE),0)</f>
        <v>9200</v>
      </c>
      <c r="V446" s="2">
        <f>IFERROR(VLOOKUP($D446&amp;$C446,生产方式定位!$A$2:$E$39,5,FALSE)+VLOOKUP($E446&amp;$C446,生产方式定位!$F$3:$J$39,5,FALSE),"错误")</f>
        <v>11440</v>
      </c>
      <c r="W446" s="3" t="str">
        <f t="shared" si="30"/>
        <v/>
      </c>
      <c r="X446" s="4" t="str">
        <f t="shared" si="31"/>
        <v/>
      </c>
      <c r="Y446" s="4" t="str">
        <f t="shared" si="32"/>
        <v/>
      </c>
      <c r="Z446" s="5">
        <f t="shared" si="33"/>
        <v>1.05</v>
      </c>
      <c r="AA446" s="6">
        <f t="shared" si="34"/>
        <v>5</v>
      </c>
      <c r="AB446" t="str">
        <f>IFERROR(F446&amp;"*"&amp;ROUND(L446*(G446/(G446+I446+K446))/VLOOKUP(F446,商品!$A$4:$D$67,4,FALSE),0),"")</f>
        <v/>
      </c>
      <c r="AC446" t="str">
        <f>IFERROR(H446&amp;"*"&amp;ROUND(L446*(I446/(G446+I446+K446))/VLOOKUP(H446,商品!$A$4:$D$67,4,FALSE),0),"")</f>
        <v/>
      </c>
      <c r="AD446" t="str">
        <f>IFERROR(J446&amp;"*"&amp;ROUND(L446*(K446/(G446+I446+K446))/VLOOKUP(J446,商品!$A$4:$D$67,4,FALSE),0),"")</f>
        <v/>
      </c>
      <c r="AE446" t="str">
        <f>IFERROR(M446&amp;"*"&amp;ROUND(Q446*(N446/(N446+P446))/VLOOKUP(M446,职业!$A$3:$E$16,4,FALSE),0),"")</f>
        <v/>
      </c>
      <c r="AF446" t="str">
        <f>IFERROR(O446&amp;"*"&amp;ROUND(Q446*(P446/(N446+P446))/VLOOKUP(O446,职业!$A$3:$E$16,4,FALSE),0),"")</f>
        <v/>
      </c>
      <c r="AG446" t="str">
        <f>IFERROR(R446&amp;"*"&amp;ROUND(V446*(S446/(S446+U446))/VLOOKUP(R446,商品!$A$4:$D$67,4,FALSE),0),"")</f>
        <v/>
      </c>
      <c r="AH446" t="str">
        <f>IFERROR(T446&amp;"*"&amp;ROUND(V446*(U446/(S446+U446))/VLOOKUP(T446,商品!$A$4:$D$67,4,FALSE),0),"")</f>
        <v/>
      </c>
    </row>
    <row r="447" customHeight="1" spans="1:34">
      <c r="A447" s="14" t="s">
        <v>366</v>
      </c>
      <c r="C447" s="2">
        <v>1</v>
      </c>
      <c r="D447" s="2" t="s">
        <v>238</v>
      </c>
      <c r="E447" s="2" t="s">
        <v>224</v>
      </c>
      <c r="L447" s="2">
        <f>IFERROR(VLOOKUP($D447&amp;$C447,生产方式定位!$A$2:$E$39,2,FALSE)+VLOOKUP($E447&amp;$C447,生产方式定位!$F$3:$J$39,2,FALSE),0)</f>
        <v>11000</v>
      </c>
      <c r="Q447" s="2">
        <f>IFERROR(VLOOKUP($D447&amp;$C447,生产方式定位!$A$2:$E$39,3,FALSE)+VLOOKUP($E447&amp;$C447,生产方式定位!$F$3:$J$39,3,FALSE),0)</f>
        <v>8000</v>
      </c>
      <c r="V447" s="2">
        <f>IFERROR(VLOOKUP($D447&amp;$C447,生产方式定位!$A$2:$E$39,5,FALSE)+VLOOKUP($E447&amp;$C447,生产方式定位!$F$3:$J$39,5,FALSE),"错误")</f>
        <v>9500</v>
      </c>
      <c r="W447" s="3" t="str">
        <f t="shared" si="30"/>
        <v/>
      </c>
      <c r="X447" s="4" t="str">
        <f t="shared" si="31"/>
        <v/>
      </c>
      <c r="Y447" s="4" t="str">
        <f t="shared" si="32"/>
        <v/>
      </c>
      <c r="Z447" s="5">
        <f t="shared" si="33"/>
        <v>1.16</v>
      </c>
      <c r="AA447" s="6">
        <f t="shared" si="34"/>
        <v>1</v>
      </c>
      <c r="AB447" t="str">
        <f>IFERROR(F447&amp;"*"&amp;ROUND(L447*(G447/(G447+I447+K447))/VLOOKUP(F447,商品!$A$4:$D$67,4,FALSE),0),"")</f>
        <v/>
      </c>
      <c r="AC447" t="str">
        <f>IFERROR(H447&amp;"*"&amp;ROUND(L447*(I447/(G447+I447+K447))/VLOOKUP(H447,商品!$A$4:$D$67,4,FALSE),0),"")</f>
        <v/>
      </c>
      <c r="AD447" t="str">
        <f>IFERROR(J447&amp;"*"&amp;ROUND(L447*(K447/(G447+I447+K447))/VLOOKUP(J447,商品!$A$4:$D$67,4,FALSE),0),"")</f>
        <v/>
      </c>
      <c r="AE447" t="str">
        <f>IFERROR(M447&amp;"*"&amp;ROUND(Q447*(N447/(N447+P447))/VLOOKUP(M447,职业!$A$3:$E$16,4,FALSE),0),"")</f>
        <v/>
      </c>
      <c r="AF447" t="str">
        <f>IFERROR(O447&amp;"*"&amp;ROUND(Q447*(P447/(N447+P447))/VLOOKUP(O447,职业!$A$3:$E$16,4,FALSE),0),"")</f>
        <v/>
      </c>
      <c r="AG447" t="str">
        <f>IFERROR(R447&amp;"*"&amp;ROUND(V447*(S447/(S447+U447))/VLOOKUP(R447,商品!$A$4:$D$67,4,FALSE),0),"")</f>
        <v/>
      </c>
      <c r="AH447" t="str">
        <f>IFERROR(T447&amp;"*"&amp;ROUND(V447*(U447/(S447+U447))/VLOOKUP(T447,商品!$A$4:$D$67,4,FALSE),0),"")</f>
        <v/>
      </c>
    </row>
    <row r="448" customHeight="1" spans="1:34">
      <c r="A448" s="14" t="s">
        <v>366</v>
      </c>
      <c r="C448" s="2">
        <v>2</v>
      </c>
      <c r="D448" s="2" t="s">
        <v>238</v>
      </c>
      <c r="E448" s="2" t="s">
        <v>224</v>
      </c>
      <c r="L448" s="2">
        <f>IFERROR(VLOOKUP($D448&amp;$C448,生产方式定位!$A$2:$E$39,2,FALSE)+VLOOKUP($E448&amp;$C448,生产方式定位!$F$3:$J$39,2,FALSE),0)</f>
        <v>12000</v>
      </c>
      <c r="Q448" s="2">
        <f>IFERROR(VLOOKUP($D448&amp;$C448,生产方式定位!$A$2:$E$39,3,FALSE)+VLOOKUP($E448&amp;$C448,生产方式定位!$F$3:$J$39,3,FALSE),0)</f>
        <v>8300</v>
      </c>
      <c r="V448" s="2">
        <f>IFERROR(VLOOKUP($D448&amp;$C448,生产方式定位!$A$2:$E$39,5,FALSE)+VLOOKUP($E448&amp;$C448,生产方式定位!$F$3:$J$39,5,FALSE),"错误")</f>
        <v>10240</v>
      </c>
      <c r="W448" s="3" t="str">
        <f t="shared" si="30"/>
        <v/>
      </c>
      <c r="X448" s="4" t="str">
        <f t="shared" si="31"/>
        <v/>
      </c>
      <c r="Y448" s="4" t="str">
        <f t="shared" si="32"/>
        <v/>
      </c>
      <c r="Z448" s="5">
        <f t="shared" si="33"/>
        <v>1.17</v>
      </c>
      <c r="AA448" s="6">
        <f t="shared" si="34"/>
        <v>2</v>
      </c>
      <c r="AB448" t="str">
        <f>IFERROR(F448&amp;"*"&amp;ROUND(L448*(G448/(G448+I448+K448))/VLOOKUP(F448,商品!$A$4:$D$67,4,FALSE),0),"")</f>
        <v/>
      </c>
      <c r="AC448" t="str">
        <f>IFERROR(H448&amp;"*"&amp;ROUND(L448*(I448/(G448+I448+K448))/VLOOKUP(H448,商品!$A$4:$D$67,4,FALSE),0),"")</f>
        <v/>
      </c>
      <c r="AD448" t="str">
        <f>IFERROR(J448&amp;"*"&amp;ROUND(L448*(K448/(G448+I448+K448))/VLOOKUP(J448,商品!$A$4:$D$67,4,FALSE),0),"")</f>
        <v/>
      </c>
      <c r="AE448" t="str">
        <f>IFERROR(M448&amp;"*"&amp;ROUND(Q448*(N448/(N448+P448))/VLOOKUP(M448,职业!$A$3:$E$16,4,FALSE),0),"")</f>
        <v/>
      </c>
      <c r="AF448" t="str">
        <f>IFERROR(O448&amp;"*"&amp;ROUND(Q448*(P448/(N448+P448))/VLOOKUP(O448,职业!$A$3:$E$16,4,FALSE),0),"")</f>
        <v/>
      </c>
      <c r="AG448" t="str">
        <f>IFERROR(R448&amp;"*"&amp;ROUND(V448*(S448/(S448+U448))/VLOOKUP(R448,商品!$A$4:$D$67,4,FALSE),0),"")</f>
        <v/>
      </c>
      <c r="AH448" t="str">
        <f>IFERROR(T448&amp;"*"&amp;ROUND(V448*(U448/(S448+U448))/VLOOKUP(T448,商品!$A$4:$D$67,4,FALSE),0),"")</f>
        <v/>
      </c>
    </row>
    <row r="449" customHeight="1" spans="1:34">
      <c r="A449" s="14" t="s">
        <v>366</v>
      </c>
      <c r="C449" s="2">
        <v>3</v>
      </c>
      <c r="D449" s="2" t="s">
        <v>238</v>
      </c>
      <c r="E449" s="2" t="s">
        <v>224</v>
      </c>
      <c r="L449" s="2">
        <f>IFERROR(VLOOKUP($D449&amp;$C449,生产方式定位!$A$2:$E$39,2,FALSE)+VLOOKUP($E449&amp;$C449,生产方式定位!$F$3:$J$39,2,FALSE),0)</f>
        <v>12000</v>
      </c>
      <c r="Q449" s="2">
        <f>IFERROR(VLOOKUP($D449&amp;$C449,生产方式定位!$A$2:$E$39,3,FALSE)+VLOOKUP($E449&amp;$C449,生产方式定位!$F$3:$J$39,3,FALSE),0)</f>
        <v>8600</v>
      </c>
      <c r="V449" s="2">
        <f>IFERROR(VLOOKUP($D449&amp;$C449,生产方式定位!$A$2:$E$39,5,FALSE)+VLOOKUP($E449&amp;$C449,生产方式定位!$F$3:$J$39,5,FALSE),"错误")</f>
        <v>10560</v>
      </c>
      <c r="W449" s="3" t="str">
        <f t="shared" si="30"/>
        <v/>
      </c>
      <c r="X449" s="4" t="str">
        <f t="shared" si="31"/>
        <v/>
      </c>
      <c r="Y449" s="4" t="str">
        <f t="shared" si="32"/>
        <v/>
      </c>
      <c r="Z449" s="5">
        <f t="shared" si="33"/>
        <v>1.14</v>
      </c>
      <c r="AA449" s="6">
        <f t="shared" si="34"/>
        <v>3</v>
      </c>
      <c r="AB449" t="str">
        <f>IFERROR(F449&amp;"*"&amp;ROUND(L449*(G449/(G449+I449+K449))/VLOOKUP(F449,商品!$A$4:$D$67,4,FALSE),0),"")</f>
        <v/>
      </c>
      <c r="AC449" t="str">
        <f>IFERROR(H449&amp;"*"&amp;ROUND(L449*(I449/(G449+I449+K449))/VLOOKUP(H449,商品!$A$4:$D$67,4,FALSE),0),"")</f>
        <v/>
      </c>
      <c r="AD449" t="str">
        <f>IFERROR(J449&amp;"*"&amp;ROUND(L449*(K449/(G449+I449+K449))/VLOOKUP(J449,商品!$A$4:$D$67,4,FALSE),0),"")</f>
        <v/>
      </c>
      <c r="AE449" t="str">
        <f>IFERROR(M449&amp;"*"&amp;ROUND(Q449*(N449/(N449+P449))/VLOOKUP(M449,职业!$A$3:$E$16,4,FALSE),0),"")</f>
        <v/>
      </c>
      <c r="AF449" t="str">
        <f>IFERROR(O449&amp;"*"&amp;ROUND(Q449*(P449/(N449+P449))/VLOOKUP(O449,职业!$A$3:$E$16,4,FALSE),0),"")</f>
        <v/>
      </c>
      <c r="AG449" t="str">
        <f>IFERROR(R449&amp;"*"&amp;ROUND(V449*(S449/(S449+U449))/VLOOKUP(R449,商品!$A$4:$D$67,4,FALSE),0),"")</f>
        <v/>
      </c>
      <c r="AH449" t="str">
        <f>IFERROR(T449&amp;"*"&amp;ROUND(V449*(U449/(S449+U449))/VLOOKUP(T449,商品!$A$4:$D$67,4,FALSE),0),"")</f>
        <v/>
      </c>
    </row>
    <row r="450" customHeight="1" spans="1:34">
      <c r="A450" s="14" t="s">
        <v>366</v>
      </c>
      <c r="C450" s="2">
        <v>4</v>
      </c>
      <c r="D450" s="2" t="s">
        <v>238</v>
      </c>
      <c r="E450" s="2" t="s">
        <v>224</v>
      </c>
      <c r="L450" s="2">
        <f>IFERROR(VLOOKUP($D450&amp;$C450,生产方式定位!$A$2:$E$39,2,FALSE)+VLOOKUP($E450&amp;$C450,生产方式定位!$F$3:$J$39,2,FALSE),0)</f>
        <v>12000</v>
      </c>
      <c r="Q450" s="2">
        <f>IFERROR(VLOOKUP($D450&amp;$C450,生产方式定位!$A$2:$E$39,3,FALSE)+VLOOKUP($E450&amp;$C450,生产方式定位!$F$3:$J$39,3,FALSE),0)</f>
        <v>8900</v>
      </c>
      <c r="V450" s="2">
        <f>IFERROR(VLOOKUP($D450&amp;$C450,生产方式定位!$A$2:$E$39,5,FALSE)+VLOOKUP($E450&amp;$C450,生产方式定位!$F$3:$J$39,5,FALSE),"错误")</f>
        <v>10960</v>
      </c>
      <c r="W450" s="3" t="str">
        <f t="shared" si="30"/>
        <v/>
      </c>
      <c r="X450" s="4" t="str">
        <f t="shared" si="31"/>
        <v/>
      </c>
      <c r="Y450" s="4" t="str">
        <f t="shared" si="32"/>
        <v/>
      </c>
      <c r="Z450" s="5">
        <f t="shared" si="33"/>
        <v>1.09</v>
      </c>
      <c r="AA450" s="6">
        <f t="shared" si="34"/>
        <v>4</v>
      </c>
      <c r="AB450" t="str">
        <f>IFERROR(F450&amp;"*"&amp;ROUND(L450*(G450/(G450+I450+K450))/VLOOKUP(F450,商品!$A$4:$D$67,4,FALSE),0),"")</f>
        <v/>
      </c>
      <c r="AC450" t="str">
        <f>IFERROR(H450&amp;"*"&amp;ROUND(L450*(I450/(G450+I450+K450))/VLOOKUP(H450,商品!$A$4:$D$67,4,FALSE),0),"")</f>
        <v/>
      </c>
      <c r="AD450" t="str">
        <f>IFERROR(J450&amp;"*"&amp;ROUND(L450*(K450/(G450+I450+K450))/VLOOKUP(J450,商品!$A$4:$D$67,4,FALSE),0),"")</f>
        <v/>
      </c>
      <c r="AE450" t="str">
        <f>IFERROR(M450&amp;"*"&amp;ROUND(Q450*(N450/(N450+P450))/VLOOKUP(M450,职业!$A$3:$E$16,4,FALSE),0),"")</f>
        <v/>
      </c>
      <c r="AF450" t="str">
        <f>IFERROR(O450&amp;"*"&amp;ROUND(Q450*(P450/(N450+P450))/VLOOKUP(O450,职业!$A$3:$E$16,4,FALSE),0),"")</f>
        <v/>
      </c>
      <c r="AG450" t="str">
        <f>IFERROR(R450&amp;"*"&amp;ROUND(V450*(S450/(S450+U450))/VLOOKUP(R450,商品!$A$4:$D$67,4,FALSE),0),"")</f>
        <v/>
      </c>
      <c r="AH450" t="str">
        <f>IFERROR(T450&amp;"*"&amp;ROUND(V450*(U450/(S450+U450))/VLOOKUP(T450,商品!$A$4:$D$67,4,FALSE),0),"")</f>
        <v/>
      </c>
    </row>
    <row r="451" customHeight="1" spans="1:34">
      <c r="A451" s="15" t="s">
        <v>366</v>
      </c>
      <c r="C451" s="2">
        <v>5</v>
      </c>
      <c r="D451" s="2" t="s">
        <v>238</v>
      </c>
      <c r="E451" s="2" t="s">
        <v>224</v>
      </c>
      <c r="L451" s="2">
        <f>IFERROR(VLOOKUP($D451&amp;$C451,生产方式定位!$A$2:$E$39,2,FALSE)+VLOOKUP($E451&amp;$C451,生产方式定位!$F$3:$J$39,2,FALSE),0)</f>
        <v>12000</v>
      </c>
      <c r="Q451" s="2">
        <f>IFERROR(VLOOKUP($D451&amp;$C451,生产方式定位!$A$2:$E$39,3,FALSE)+VLOOKUP($E451&amp;$C451,生产方式定位!$F$3:$J$39,3,FALSE),0)</f>
        <v>9200</v>
      </c>
      <c r="V451" s="2">
        <f>IFERROR(VLOOKUP($D451&amp;$C451,生产方式定位!$A$2:$E$39,5,FALSE)+VLOOKUP($E451&amp;$C451,生产方式定位!$F$3:$J$39,5,FALSE),"错误")</f>
        <v>11440</v>
      </c>
      <c r="W451" s="3" t="str">
        <f t="shared" si="30"/>
        <v/>
      </c>
      <c r="X451" s="4" t="str">
        <f t="shared" si="31"/>
        <v/>
      </c>
      <c r="Y451" s="4" t="str">
        <f t="shared" si="32"/>
        <v/>
      </c>
      <c r="Z451" s="5">
        <f t="shared" si="33"/>
        <v>1.05</v>
      </c>
      <c r="AA451" s="6">
        <f t="shared" si="34"/>
        <v>5</v>
      </c>
      <c r="AB451" t="str">
        <f>IFERROR(F451&amp;"*"&amp;ROUND(L451*(G451/(G451+I451+K451))/VLOOKUP(F451,商品!$A$4:$D$67,4,FALSE),0),"")</f>
        <v/>
      </c>
      <c r="AC451" t="str">
        <f>IFERROR(H451&amp;"*"&amp;ROUND(L451*(I451/(G451+I451+K451))/VLOOKUP(H451,商品!$A$4:$D$67,4,FALSE),0),"")</f>
        <v/>
      </c>
      <c r="AD451" t="str">
        <f>IFERROR(J451&amp;"*"&amp;ROUND(L451*(K451/(G451+I451+K451))/VLOOKUP(J451,商品!$A$4:$D$67,4,FALSE),0),"")</f>
        <v/>
      </c>
      <c r="AE451" t="str">
        <f>IFERROR(M451&amp;"*"&amp;ROUND(Q451*(N451/(N451+P451))/VLOOKUP(M451,职业!$A$3:$E$16,4,FALSE),0),"")</f>
        <v/>
      </c>
      <c r="AF451" t="str">
        <f>IFERROR(O451&amp;"*"&amp;ROUND(Q451*(P451/(N451+P451))/VLOOKUP(O451,职业!$A$3:$E$16,4,FALSE),0),"")</f>
        <v/>
      </c>
      <c r="AG451" t="str">
        <f>IFERROR(R451&amp;"*"&amp;ROUND(V451*(S451/(S451+U451))/VLOOKUP(R451,商品!$A$4:$D$67,4,FALSE),0),"")</f>
        <v/>
      </c>
      <c r="AH451" t="str">
        <f>IFERROR(T451&amp;"*"&amp;ROUND(V451*(U451/(S451+U451))/VLOOKUP(T451,商品!$A$4:$D$67,4,FALSE),0),"")</f>
        <v/>
      </c>
    </row>
    <row r="452" customHeight="1" spans="1:34">
      <c r="A452" s="15" t="s">
        <v>366</v>
      </c>
      <c r="C452" s="2">
        <v>6</v>
      </c>
      <c r="D452" s="2" t="s">
        <v>238</v>
      </c>
      <c r="E452" s="2" t="s">
        <v>224</v>
      </c>
      <c r="L452" s="2">
        <f>IFERROR(VLOOKUP($D452&amp;$C452,生产方式定位!$A$2:$E$39,2,FALSE)+VLOOKUP($E452&amp;$C452,生产方式定位!$F$3:$J$39,2,FALSE),0)</f>
        <v>0</v>
      </c>
      <c r="Q452" s="2">
        <f>IFERROR(VLOOKUP($D452&amp;$C452,生产方式定位!$A$2:$E$39,3,FALSE)+VLOOKUP($E452&amp;$C452,生产方式定位!$F$3:$J$39,3,FALSE),0)</f>
        <v>0</v>
      </c>
      <c r="V452" s="2" t="str">
        <f>IFERROR(VLOOKUP($D452&amp;$C452,生产方式定位!$A$2:$E$39,5,FALSE)+VLOOKUP($E452&amp;$C452,生产方式定位!$F$3:$J$39,5,FALSE),"错误")</f>
        <v>错误</v>
      </c>
      <c r="W452" s="3" t="str">
        <f t="shared" si="30"/>
        <v/>
      </c>
      <c r="X452" s="4" t="str">
        <f t="shared" si="31"/>
        <v/>
      </c>
      <c r="Y452" s="4" t="str">
        <f t="shared" si="32"/>
        <v/>
      </c>
      <c r="Z452" s="5" t="str">
        <f t="shared" si="33"/>
        <v/>
      </c>
      <c r="AA452" s="6">
        <f t="shared" si="34"/>
        <v>6</v>
      </c>
      <c r="AB452" t="str">
        <f>IFERROR(F452&amp;"*"&amp;ROUND(L452*(G452/(G452+I452+K452))/VLOOKUP(F452,商品!$A$4:$D$67,4,FALSE),0),"")</f>
        <v/>
      </c>
      <c r="AC452" t="str">
        <f>IFERROR(H452&amp;"*"&amp;ROUND(L452*(I452/(G452+I452+K452))/VLOOKUP(H452,商品!$A$4:$D$67,4,FALSE),0),"")</f>
        <v/>
      </c>
      <c r="AD452" t="str">
        <f>IFERROR(J452&amp;"*"&amp;ROUND(L452*(K452/(G452+I452+K452))/VLOOKUP(J452,商品!$A$4:$D$67,4,FALSE),0),"")</f>
        <v/>
      </c>
      <c r="AE452" t="str">
        <f>IFERROR(M452&amp;"*"&amp;ROUND(Q452*(N452/(N452+P452))/VLOOKUP(M452,职业!$A$3:$E$16,4,FALSE),0),"")</f>
        <v/>
      </c>
      <c r="AF452" t="str">
        <f>IFERROR(O452&amp;"*"&amp;ROUND(Q452*(P452/(N452+P452))/VLOOKUP(O452,职业!$A$3:$E$16,4,FALSE),0),"")</f>
        <v/>
      </c>
      <c r="AG452" t="str">
        <f>IFERROR(R452&amp;"*"&amp;ROUND(V452*(S452/(S452+U452))/VLOOKUP(R452,商品!$A$4:$D$67,4,FALSE),0),"")</f>
        <v/>
      </c>
      <c r="AH452" t="str">
        <f>IFERROR(T452&amp;"*"&amp;ROUND(V452*(U452/(S452+U452))/VLOOKUP(T452,商品!$A$4:$D$67,4,FALSE),0),"")</f>
        <v/>
      </c>
    </row>
    <row r="453" customHeight="1" spans="1:34">
      <c r="A453" s="15" t="s">
        <v>366</v>
      </c>
      <c r="C453" s="2">
        <v>7</v>
      </c>
      <c r="D453" s="2" t="s">
        <v>238</v>
      </c>
      <c r="E453" s="2" t="s">
        <v>224</v>
      </c>
      <c r="L453" s="2">
        <f>IFERROR(VLOOKUP($D453&amp;$C453,生产方式定位!$A$2:$E$39,2,FALSE)+VLOOKUP($E453&amp;$C453,生产方式定位!$F$3:$J$39,2,FALSE),0)</f>
        <v>0</v>
      </c>
      <c r="Q453" s="2">
        <f>IFERROR(VLOOKUP($D453&amp;$C453,生产方式定位!$A$2:$E$39,3,FALSE)+VLOOKUP($E453&amp;$C453,生产方式定位!$F$3:$J$39,3,FALSE),0)</f>
        <v>0</v>
      </c>
      <c r="V453" s="2" t="str">
        <f>IFERROR(VLOOKUP($D453&amp;$C453,生产方式定位!$A$2:$E$39,5,FALSE)+VLOOKUP($E453&amp;$C453,生产方式定位!$F$3:$J$39,5,FALSE),"错误")</f>
        <v>错误</v>
      </c>
      <c r="W453" s="3" t="str">
        <f t="shared" ref="W453:W516" si="35">IF(AB453="","",AB453)&amp;IF(AC453="","",","&amp;AC453)&amp;IF(AD453="","",","&amp;AD453)</f>
        <v/>
      </c>
      <c r="X453" s="4" t="str">
        <f t="shared" ref="X453:X516" si="36">IF(AE453="","",AE453)&amp;IF(AF453="","",","&amp;AF453)</f>
        <v/>
      </c>
      <c r="Y453" s="4" t="str">
        <f t="shared" ref="Y453:Y516" si="37">IF(AG453="","",AG453)&amp;IF(AH453="","",","&amp;AH453)</f>
        <v/>
      </c>
      <c r="Z453" s="5" t="str">
        <f t="shared" ref="Z453:Z516" si="38">IFERROR(ROUND(L453/V453,2),"")</f>
        <v/>
      </c>
      <c r="AA453" s="6">
        <f t="shared" ref="AA453:AA516" si="39">C453</f>
        <v>7</v>
      </c>
      <c r="AB453" t="str">
        <f>IFERROR(F453&amp;"*"&amp;ROUND(L453*(G453/(G453+I453+K453))/VLOOKUP(F453,商品!$A$4:$D$67,4,FALSE),0),"")</f>
        <v/>
      </c>
      <c r="AC453" t="str">
        <f>IFERROR(H453&amp;"*"&amp;ROUND(L453*(I453/(G453+I453+K453))/VLOOKUP(H453,商品!$A$4:$D$67,4,FALSE),0),"")</f>
        <v/>
      </c>
      <c r="AD453" t="str">
        <f>IFERROR(J453&amp;"*"&amp;ROUND(L453*(K453/(G453+I453+K453))/VLOOKUP(J453,商品!$A$4:$D$67,4,FALSE),0),"")</f>
        <v/>
      </c>
      <c r="AE453" t="str">
        <f>IFERROR(M453&amp;"*"&amp;ROUND(Q453*(N453/(N453+P453))/VLOOKUP(M453,职业!$A$3:$E$16,4,FALSE),0),"")</f>
        <v/>
      </c>
      <c r="AF453" t="str">
        <f>IFERROR(O453&amp;"*"&amp;ROUND(Q453*(P453/(N453+P453))/VLOOKUP(O453,职业!$A$3:$E$16,4,FALSE),0),"")</f>
        <v/>
      </c>
      <c r="AG453" t="str">
        <f>IFERROR(R453&amp;"*"&amp;ROUND(V453*(S453/(S453+U453))/VLOOKUP(R453,商品!$A$4:$D$67,4,FALSE),0),"")</f>
        <v/>
      </c>
      <c r="AH453" t="str">
        <f>IFERROR(T453&amp;"*"&amp;ROUND(V453*(U453/(S453+U453))/VLOOKUP(T453,商品!$A$4:$D$67,4,FALSE),0),"")</f>
        <v/>
      </c>
    </row>
    <row r="454" customHeight="1" spans="1:34">
      <c r="A454" s="15" t="s">
        <v>366</v>
      </c>
      <c r="C454" s="2">
        <v>8</v>
      </c>
      <c r="D454" s="2" t="s">
        <v>238</v>
      </c>
      <c r="E454" s="2" t="s">
        <v>224</v>
      </c>
      <c r="L454" s="2">
        <f>IFERROR(VLOOKUP($D454&amp;$C454,生产方式定位!$A$2:$E$39,2,FALSE)+VLOOKUP($E454&amp;$C454,生产方式定位!$F$3:$J$39,2,FALSE),0)</f>
        <v>0</v>
      </c>
      <c r="Q454" s="2">
        <f>IFERROR(VLOOKUP($D454&amp;$C454,生产方式定位!$A$2:$E$39,3,FALSE)+VLOOKUP($E454&amp;$C454,生产方式定位!$F$3:$J$39,3,FALSE),0)</f>
        <v>0</v>
      </c>
      <c r="V454" s="2" t="str">
        <f>IFERROR(VLOOKUP($D454&amp;$C454,生产方式定位!$A$2:$E$39,5,FALSE)+VLOOKUP($E454&amp;$C454,生产方式定位!$F$3:$J$39,5,FALSE),"错误")</f>
        <v>错误</v>
      </c>
      <c r="W454" s="3" t="str">
        <f t="shared" si="35"/>
        <v/>
      </c>
      <c r="X454" s="4" t="str">
        <f t="shared" si="36"/>
        <v/>
      </c>
      <c r="Y454" s="4" t="str">
        <f t="shared" si="37"/>
        <v/>
      </c>
      <c r="Z454" s="5" t="str">
        <f t="shared" si="38"/>
        <v/>
      </c>
      <c r="AA454" s="6">
        <f t="shared" si="39"/>
        <v>8</v>
      </c>
      <c r="AB454" t="str">
        <f>IFERROR(F454&amp;"*"&amp;ROUND(L454*(G454/(G454+I454+K454))/VLOOKUP(F454,商品!$A$4:$D$67,4,FALSE),0),"")</f>
        <v/>
      </c>
      <c r="AC454" t="str">
        <f>IFERROR(H454&amp;"*"&amp;ROUND(L454*(I454/(G454+I454+K454))/VLOOKUP(H454,商品!$A$4:$D$67,4,FALSE),0),"")</f>
        <v/>
      </c>
      <c r="AD454" t="str">
        <f>IFERROR(J454&amp;"*"&amp;ROUND(L454*(K454/(G454+I454+K454))/VLOOKUP(J454,商品!$A$4:$D$67,4,FALSE),0),"")</f>
        <v/>
      </c>
      <c r="AE454" t="str">
        <f>IFERROR(M454&amp;"*"&amp;ROUND(Q454*(N454/(N454+P454))/VLOOKUP(M454,职业!$A$3:$E$16,4,FALSE),0),"")</f>
        <v/>
      </c>
      <c r="AF454" t="str">
        <f>IFERROR(O454&amp;"*"&amp;ROUND(Q454*(P454/(N454+P454))/VLOOKUP(O454,职业!$A$3:$E$16,4,FALSE),0),"")</f>
        <v/>
      </c>
      <c r="AG454" t="str">
        <f>IFERROR(R454&amp;"*"&amp;ROUND(V454*(S454/(S454+U454))/VLOOKUP(R454,商品!$A$4:$D$67,4,FALSE),0),"")</f>
        <v/>
      </c>
      <c r="AH454" t="str">
        <f>IFERROR(T454&amp;"*"&amp;ROUND(V454*(U454/(S454+U454))/VLOOKUP(T454,商品!$A$4:$D$67,4,FALSE),0),"")</f>
        <v/>
      </c>
    </row>
    <row r="455" customHeight="1" spans="1:34">
      <c r="A455" s="15" t="s">
        <v>366</v>
      </c>
      <c r="C455" s="2">
        <v>1</v>
      </c>
      <c r="D455" s="2" t="s">
        <v>238</v>
      </c>
      <c r="E455" s="2" t="s">
        <v>224</v>
      </c>
      <c r="L455" s="2">
        <f>IFERROR(VLOOKUP($D455&amp;$C455,生产方式定位!$A$2:$E$39,2,FALSE)+VLOOKUP($E455&amp;$C455,生产方式定位!$F$3:$J$39,2,FALSE),0)</f>
        <v>11000</v>
      </c>
      <c r="Q455" s="2">
        <f>IFERROR(VLOOKUP($D455&amp;$C455,生产方式定位!$A$2:$E$39,3,FALSE)+VLOOKUP($E455&amp;$C455,生产方式定位!$F$3:$J$39,3,FALSE),0)</f>
        <v>8000</v>
      </c>
      <c r="V455" s="2">
        <f>IFERROR(VLOOKUP($D455&amp;$C455,生产方式定位!$A$2:$E$39,5,FALSE)+VLOOKUP($E455&amp;$C455,生产方式定位!$F$3:$J$39,5,FALSE),"错误")</f>
        <v>9500</v>
      </c>
      <c r="W455" s="3" t="str">
        <f t="shared" si="35"/>
        <v/>
      </c>
      <c r="X455" s="4" t="str">
        <f t="shared" si="36"/>
        <v/>
      </c>
      <c r="Y455" s="4" t="str">
        <f t="shared" si="37"/>
        <v/>
      </c>
      <c r="Z455" s="5">
        <f t="shared" si="38"/>
        <v>1.16</v>
      </c>
      <c r="AA455" s="6">
        <f t="shared" si="39"/>
        <v>1</v>
      </c>
      <c r="AB455" t="str">
        <f>IFERROR(F455&amp;"*"&amp;ROUND(L455*(G455/(G455+I455+K455))/VLOOKUP(F455,商品!$A$4:$D$67,4,FALSE),0),"")</f>
        <v/>
      </c>
      <c r="AC455" t="str">
        <f>IFERROR(H455&amp;"*"&amp;ROUND(L455*(I455/(G455+I455+K455))/VLOOKUP(H455,商品!$A$4:$D$67,4,FALSE),0),"")</f>
        <v/>
      </c>
      <c r="AD455" t="str">
        <f>IFERROR(J455&amp;"*"&amp;ROUND(L455*(K455/(G455+I455+K455))/VLOOKUP(J455,商品!$A$4:$D$67,4,FALSE),0),"")</f>
        <v/>
      </c>
      <c r="AE455" t="str">
        <f>IFERROR(M455&amp;"*"&amp;ROUND(Q455*(N455/(N455+P455))/VLOOKUP(M455,职业!$A$3:$E$16,4,FALSE),0),"")</f>
        <v/>
      </c>
      <c r="AF455" t="str">
        <f>IFERROR(O455&amp;"*"&amp;ROUND(Q455*(P455/(N455+P455))/VLOOKUP(O455,职业!$A$3:$E$16,4,FALSE),0),"")</f>
        <v/>
      </c>
      <c r="AG455" t="str">
        <f>IFERROR(R455&amp;"*"&amp;ROUND(V455*(S455/(S455+U455))/VLOOKUP(R455,商品!$A$4:$D$67,4,FALSE),0),"")</f>
        <v/>
      </c>
      <c r="AH455" t="str">
        <f>IFERROR(T455&amp;"*"&amp;ROUND(V455*(U455/(S455+U455))/VLOOKUP(T455,商品!$A$4:$D$67,4,FALSE),0),"")</f>
        <v/>
      </c>
    </row>
    <row r="456" customHeight="1" spans="1:34">
      <c r="A456" s="14" t="s">
        <v>367</v>
      </c>
      <c r="C456" s="2">
        <v>2</v>
      </c>
      <c r="D456" s="2" t="s">
        <v>238</v>
      </c>
      <c r="E456" s="2" t="s">
        <v>225</v>
      </c>
      <c r="L456" s="2">
        <f>IFERROR(VLOOKUP($D456&amp;$C456,生产方式定位!$A$2:$E$39,2,FALSE)+VLOOKUP($E456&amp;$C456,生产方式定位!$F$3:$J$39,2,FALSE),0)</f>
        <v>10000</v>
      </c>
      <c r="Q456" s="2">
        <f>IFERROR(VLOOKUP($D456&amp;$C456,生产方式定位!$A$2:$E$39,3,FALSE)+VLOOKUP($E456&amp;$C456,生产方式定位!$F$3:$J$39,3,FALSE),0)</f>
        <v>8500</v>
      </c>
      <c r="V456" s="2">
        <f>IFERROR(VLOOKUP($D456&amp;$C456,生产方式定位!$A$2:$E$39,5,FALSE)+VLOOKUP($E456&amp;$C456,生产方式定位!$F$3:$J$39,5,FALSE),"错误")</f>
        <v>9250</v>
      </c>
      <c r="W456" s="3" t="str">
        <f t="shared" si="35"/>
        <v/>
      </c>
      <c r="X456" s="4" t="str">
        <f t="shared" si="36"/>
        <v/>
      </c>
      <c r="Y456" s="4" t="str">
        <f t="shared" si="37"/>
        <v/>
      </c>
      <c r="Z456" s="5">
        <f t="shared" si="38"/>
        <v>1.08</v>
      </c>
      <c r="AA456" s="6">
        <f t="shared" si="39"/>
        <v>2</v>
      </c>
      <c r="AB456" t="str">
        <f>IFERROR(F456&amp;"*"&amp;ROUND(L456*(G456/(G456+I456+K456))/VLOOKUP(F456,商品!$A$4:$D$67,4,FALSE),0),"")</f>
        <v/>
      </c>
      <c r="AC456" t="str">
        <f>IFERROR(H456&amp;"*"&amp;ROUND(L456*(I456/(G456+I456+K456))/VLOOKUP(H456,商品!$A$4:$D$67,4,FALSE),0),"")</f>
        <v/>
      </c>
      <c r="AD456" t="str">
        <f>IFERROR(J456&amp;"*"&amp;ROUND(L456*(K456/(G456+I456+K456))/VLOOKUP(J456,商品!$A$4:$D$67,4,FALSE),0),"")</f>
        <v/>
      </c>
      <c r="AE456" t="str">
        <f>IFERROR(M456&amp;"*"&amp;ROUND(Q456*(N456/(N456+P456))/VLOOKUP(M456,职业!$A$3:$E$16,4,FALSE),0),"")</f>
        <v/>
      </c>
      <c r="AF456" t="str">
        <f>IFERROR(O456&amp;"*"&amp;ROUND(Q456*(P456/(N456+P456))/VLOOKUP(O456,职业!$A$3:$E$16,4,FALSE),0),"")</f>
        <v/>
      </c>
      <c r="AG456" t="str">
        <f>IFERROR(R456&amp;"*"&amp;ROUND(V456*(S456/(S456+U456))/VLOOKUP(R456,商品!$A$4:$D$67,4,FALSE),0),"")</f>
        <v/>
      </c>
      <c r="AH456" t="str">
        <f>IFERROR(T456&amp;"*"&amp;ROUND(V456*(U456/(S456+U456))/VLOOKUP(T456,商品!$A$4:$D$67,4,FALSE),0),"")</f>
        <v/>
      </c>
    </row>
    <row r="457" customHeight="1" spans="1:34">
      <c r="A457" s="14" t="s">
        <v>367</v>
      </c>
      <c r="C457" s="2">
        <v>3</v>
      </c>
      <c r="D457" s="2" t="s">
        <v>238</v>
      </c>
      <c r="E457" s="2" t="s">
        <v>225</v>
      </c>
      <c r="L457" s="2">
        <f>IFERROR(VLOOKUP($D457&amp;$C457,生产方式定位!$A$2:$E$39,2,FALSE)+VLOOKUP($E457&amp;$C457,生产方式定位!$F$3:$J$39,2,FALSE),0)</f>
        <v>9000</v>
      </c>
      <c r="Q457" s="2">
        <f>IFERROR(VLOOKUP($D457&amp;$C457,生产方式定位!$A$2:$E$39,3,FALSE)+VLOOKUP($E457&amp;$C457,生产方式定位!$F$3:$J$39,3,FALSE),0)</f>
        <v>9000</v>
      </c>
      <c r="V457" s="2">
        <f>IFERROR(VLOOKUP($D457&amp;$C457,生产方式定位!$A$2:$E$39,5,FALSE)+VLOOKUP($E457&amp;$C457,生产方式定位!$F$3:$J$39,5,FALSE),"错误")</f>
        <v>9000</v>
      </c>
      <c r="W457" s="3" t="str">
        <f t="shared" si="35"/>
        <v/>
      </c>
      <c r="X457" s="4" t="str">
        <f t="shared" si="36"/>
        <v/>
      </c>
      <c r="Y457" s="4" t="str">
        <f t="shared" si="37"/>
        <v/>
      </c>
      <c r="Z457" s="5">
        <f t="shared" si="38"/>
        <v>1</v>
      </c>
      <c r="AA457" s="6">
        <f t="shared" si="39"/>
        <v>3</v>
      </c>
      <c r="AB457" t="str">
        <f>IFERROR(F457&amp;"*"&amp;ROUND(L457*(G457/(G457+I457+K457))/VLOOKUP(F457,商品!$A$4:$D$67,4,FALSE),0),"")</f>
        <v/>
      </c>
      <c r="AC457" t="str">
        <f>IFERROR(H457&amp;"*"&amp;ROUND(L457*(I457/(G457+I457+K457))/VLOOKUP(H457,商品!$A$4:$D$67,4,FALSE),0),"")</f>
        <v/>
      </c>
      <c r="AD457" t="str">
        <f>IFERROR(J457&amp;"*"&amp;ROUND(L457*(K457/(G457+I457+K457))/VLOOKUP(J457,商品!$A$4:$D$67,4,FALSE),0),"")</f>
        <v/>
      </c>
      <c r="AE457" t="str">
        <f>IFERROR(M457&amp;"*"&amp;ROUND(Q457*(N457/(N457+P457))/VLOOKUP(M457,职业!$A$3:$E$16,4,FALSE),0),"")</f>
        <v/>
      </c>
      <c r="AF457" t="str">
        <f>IFERROR(O457&amp;"*"&amp;ROUND(Q457*(P457/(N457+P457))/VLOOKUP(O457,职业!$A$3:$E$16,4,FALSE),0),"")</f>
        <v/>
      </c>
      <c r="AG457" t="str">
        <f>IFERROR(R457&amp;"*"&amp;ROUND(V457*(S457/(S457+U457))/VLOOKUP(R457,商品!$A$4:$D$67,4,FALSE),0),"")</f>
        <v/>
      </c>
      <c r="AH457" t="str">
        <f>IFERROR(T457&amp;"*"&amp;ROUND(V457*(U457/(S457+U457))/VLOOKUP(T457,商品!$A$4:$D$67,4,FALSE),0),"")</f>
        <v/>
      </c>
    </row>
    <row r="458" customHeight="1" spans="1:34">
      <c r="A458" s="14" t="s">
        <v>367</v>
      </c>
      <c r="C458" s="2">
        <v>4</v>
      </c>
      <c r="D458" s="2" t="s">
        <v>238</v>
      </c>
      <c r="E458" s="2" t="s">
        <v>225</v>
      </c>
      <c r="L458" s="2">
        <f>IFERROR(VLOOKUP($D458&amp;$C458,生产方式定位!$A$2:$E$39,2,FALSE)+VLOOKUP($E458&amp;$C458,生产方式定位!$F$3:$J$39,2,FALSE),0)</f>
        <v>8000</v>
      </c>
      <c r="Q458" s="2">
        <f>IFERROR(VLOOKUP($D458&amp;$C458,生产方式定位!$A$2:$E$39,3,FALSE)+VLOOKUP($E458&amp;$C458,生产方式定位!$F$3:$J$39,3,FALSE),0)</f>
        <v>9500</v>
      </c>
      <c r="V458" s="2">
        <f>IFERROR(VLOOKUP($D458&amp;$C458,生产方式定位!$A$2:$E$39,5,FALSE)+VLOOKUP($E458&amp;$C458,生产方式定位!$F$3:$J$39,5,FALSE),"错误")</f>
        <v>8750</v>
      </c>
      <c r="W458" s="3" t="str">
        <f t="shared" si="35"/>
        <v/>
      </c>
      <c r="X458" s="4" t="str">
        <f t="shared" si="36"/>
        <v/>
      </c>
      <c r="Y458" s="4" t="str">
        <f t="shared" si="37"/>
        <v/>
      </c>
      <c r="Z458" s="5">
        <f t="shared" si="38"/>
        <v>0.91</v>
      </c>
      <c r="AA458" s="6">
        <f t="shared" si="39"/>
        <v>4</v>
      </c>
      <c r="AB458" t="str">
        <f>IFERROR(F458&amp;"*"&amp;ROUND(L458*(G458/(G458+I458+K458))/VLOOKUP(F458,商品!$A$4:$D$67,4,FALSE),0),"")</f>
        <v/>
      </c>
      <c r="AC458" t="str">
        <f>IFERROR(H458&amp;"*"&amp;ROUND(L458*(I458/(G458+I458+K458))/VLOOKUP(H458,商品!$A$4:$D$67,4,FALSE),0),"")</f>
        <v/>
      </c>
      <c r="AD458" t="str">
        <f>IFERROR(J458&amp;"*"&amp;ROUND(L458*(K458/(G458+I458+K458))/VLOOKUP(J458,商品!$A$4:$D$67,4,FALSE),0),"")</f>
        <v/>
      </c>
      <c r="AE458" t="str">
        <f>IFERROR(M458&amp;"*"&amp;ROUND(Q458*(N458/(N458+P458))/VLOOKUP(M458,职业!$A$3:$E$16,4,FALSE),0),"")</f>
        <v/>
      </c>
      <c r="AF458" t="str">
        <f>IFERROR(O458&amp;"*"&amp;ROUND(Q458*(P458/(N458+P458))/VLOOKUP(O458,职业!$A$3:$E$16,4,FALSE),0),"")</f>
        <v/>
      </c>
      <c r="AG458" t="str">
        <f>IFERROR(R458&amp;"*"&amp;ROUND(V458*(S458/(S458+U458))/VLOOKUP(R458,商品!$A$4:$D$67,4,FALSE),0),"")</f>
        <v/>
      </c>
      <c r="AH458" t="str">
        <f>IFERROR(T458&amp;"*"&amp;ROUND(V458*(U458/(S458+U458))/VLOOKUP(T458,商品!$A$4:$D$67,4,FALSE),0),"")</f>
        <v/>
      </c>
    </row>
    <row r="459" customHeight="1" spans="1:34">
      <c r="A459" s="14" t="s">
        <v>367</v>
      </c>
      <c r="C459" s="2">
        <v>5</v>
      </c>
      <c r="D459" s="2" t="s">
        <v>238</v>
      </c>
      <c r="E459" s="2" t="s">
        <v>225</v>
      </c>
      <c r="L459" s="2">
        <f>IFERROR(VLOOKUP($D459&amp;$C459,生产方式定位!$A$2:$E$39,2,FALSE)+VLOOKUP($E459&amp;$C459,生产方式定位!$F$3:$J$39,2,FALSE),0)</f>
        <v>7000</v>
      </c>
      <c r="Q459" s="2">
        <f>IFERROR(VLOOKUP($D459&amp;$C459,生产方式定位!$A$2:$E$39,3,FALSE)+VLOOKUP($E459&amp;$C459,生产方式定位!$F$3:$J$39,3,FALSE),0)</f>
        <v>10000</v>
      </c>
      <c r="V459" s="2">
        <f>IFERROR(VLOOKUP($D459&amp;$C459,生产方式定位!$A$2:$E$39,5,FALSE)+VLOOKUP($E459&amp;$C459,生产方式定位!$F$3:$J$39,5,FALSE),"错误")</f>
        <v>8500</v>
      </c>
      <c r="W459" s="3" t="str">
        <f t="shared" si="35"/>
        <v/>
      </c>
      <c r="X459" s="4" t="str">
        <f t="shared" si="36"/>
        <v/>
      </c>
      <c r="Y459" s="4" t="str">
        <f t="shared" si="37"/>
        <v/>
      </c>
      <c r="Z459" s="5">
        <f t="shared" si="38"/>
        <v>0.82</v>
      </c>
      <c r="AA459" s="6">
        <f t="shared" si="39"/>
        <v>5</v>
      </c>
      <c r="AB459" t="str">
        <f>IFERROR(F459&amp;"*"&amp;ROUND(L459*(G459/(G459+I459+K459))/VLOOKUP(F459,商品!$A$4:$D$67,4,FALSE),0),"")</f>
        <v/>
      </c>
      <c r="AC459" t="str">
        <f>IFERROR(H459&amp;"*"&amp;ROUND(L459*(I459/(G459+I459+K459))/VLOOKUP(H459,商品!$A$4:$D$67,4,FALSE),0),"")</f>
        <v/>
      </c>
      <c r="AD459" t="str">
        <f>IFERROR(J459&amp;"*"&amp;ROUND(L459*(K459/(G459+I459+K459))/VLOOKUP(J459,商品!$A$4:$D$67,4,FALSE),0),"")</f>
        <v/>
      </c>
      <c r="AE459" t="str">
        <f>IFERROR(M459&amp;"*"&amp;ROUND(Q459*(N459/(N459+P459))/VLOOKUP(M459,职业!$A$3:$E$16,4,FALSE),0),"")</f>
        <v/>
      </c>
      <c r="AF459" t="str">
        <f>IFERROR(O459&amp;"*"&amp;ROUND(Q459*(P459/(N459+P459))/VLOOKUP(O459,职业!$A$3:$E$16,4,FALSE),0),"")</f>
        <v/>
      </c>
      <c r="AG459" t="str">
        <f>IFERROR(R459&amp;"*"&amp;ROUND(V459*(S459/(S459+U459))/VLOOKUP(R459,商品!$A$4:$D$67,4,FALSE),0),"")</f>
        <v/>
      </c>
      <c r="AH459" t="str">
        <f>IFERROR(T459&amp;"*"&amp;ROUND(V459*(U459/(S459+U459))/VLOOKUP(T459,商品!$A$4:$D$67,4,FALSE),0),"")</f>
        <v/>
      </c>
    </row>
    <row r="460" customHeight="1" spans="1:34">
      <c r="A460" s="14" t="s">
        <v>367</v>
      </c>
      <c r="C460" s="2">
        <v>6</v>
      </c>
      <c r="D460" s="2" t="s">
        <v>238</v>
      </c>
      <c r="E460" s="2" t="s">
        <v>225</v>
      </c>
      <c r="L460" s="2">
        <f>IFERROR(VLOOKUP($D460&amp;$C460,生产方式定位!$A$2:$E$39,2,FALSE)+VLOOKUP($E460&amp;$C460,生产方式定位!$F$3:$J$39,2,FALSE),0)</f>
        <v>0</v>
      </c>
      <c r="Q460" s="2">
        <f>IFERROR(VLOOKUP($D460&amp;$C460,生产方式定位!$A$2:$E$39,3,FALSE)+VLOOKUP($E460&amp;$C460,生产方式定位!$F$3:$J$39,3,FALSE),0)</f>
        <v>0</v>
      </c>
      <c r="V460" s="2" t="str">
        <f>IFERROR(VLOOKUP($D460&amp;$C460,生产方式定位!$A$2:$E$39,5,FALSE)+VLOOKUP($E460&amp;$C460,生产方式定位!$F$3:$J$39,5,FALSE),"错误")</f>
        <v>错误</v>
      </c>
      <c r="W460" s="3" t="str">
        <f t="shared" si="35"/>
        <v/>
      </c>
      <c r="X460" s="4" t="str">
        <f t="shared" si="36"/>
        <v/>
      </c>
      <c r="Y460" s="4" t="str">
        <f t="shared" si="37"/>
        <v/>
      </c>
      <c r="Z460" s="5" t="str">
        <f t="shared" si="38"/>
        <v/>
      </c>
      <c r="AA460" s="6">
        <f t="shared" si="39"/>
        <v>6</v>
      </c>
      <c r="AB460" t="str">
        <f>IFERROR(F460&amp;"*"&amp;ROUND(L460*(G460/(G460+I460+K460))/VLOOKUP(F460,商品!$A$4:$D$67,4,FALSE),0),"")</f>
        <v/>
      </c>
      <c r="AC460" t="str">
        <f>IFERROR(H460&amp;"*"&amp;ROUND(L460*(I460/(G460+I460+K460))/VLOOKUP(H460,商品!$A$4:$D$67,4,FALSE),0),"")</f>
        <v/>
      </c>
      <c r="AD460" t="str">
        <f>IFERROR(J460&amp;"*"&amp;ROUND(L460*(K460/(G460+I460+K460))/VLOOKUP(J460,商品!$A$4:$D$67,4,FALSE),0),"")</f>
        <v/>
      </c>
      <c r="AE460" t="str">
        <f>IFERROR(M460&amp;"*"&amp;ROUND(Q460*(N460/(N460+P460))/VLOOKUP(M460,职业!$A$3:$E$16,4,FALSE),0),"")</f>
        <v/>
      </c>
      <c r="AF460" t="str">
        <f>IFERROR(O460&amp;"*"&amp;ROUND(Q460*(P460/(N460+P460))/VLOOKUP(O460,职业!$A$3:$E$16,4,FALSE),0),"")</f>
        <v/>
      </c>
      <c r="AG460" t="str">
        <f>IFERROR(R460&amp;"*"&amp;ROUND(V460*(S460/(S460+U460))/VLOOKUP(R460,商品!$A$4:$D$67,4,FALSE),0),"")</f>
        <v/>
      </c>
      <c r="AH460" t="str">
        <f>IFERROR(T460&amp;"*"&amp;ROUND(V460*(U460/(S460+U460))/VLOOKUP(T460,商品!$A$4:$D$67,4,FALSE),0),"")</f>
        <v/>
      </c>
    </row>
    <row r="461" customHeight="1" spans="1:34">
      <c r="A461" s="14" t="s">
        <v>367</v>
      </c>
      <c r="C461" s="2">
        <v>7</v>
      </c>
      <c r="D461" s="2" t="s">
        <v>238</v>
      </c>
      <c r="E461" s="2" t="s">
        <v>225</v>
      </c>
      <c r="L461" s="2">
        <f>IFERROR(VLOOKUP($D461&amp;$C461,生产方式定位!$A$2:$E$39,2,FALSE)+VLOOKUP($E461&amp;$C461,生产方式定位!$F$3:$J$39,2,FALSE),0)</f>
        <v>0</v>
      </c>
      <c r="Q461" s="2">
        <f>IFERROR(VLOOKUP($D461&amp;$C461,生产方式定位!$A$2:$E$39,3,FALSE)+VLOOKUP($E461&amp;$C461,生产方式定位!$F$3:$J$39,3,FALSE),0)</f>
        <v>0</v>
      </c>
      <c r="V461" s="2" t="str">
        <f>IFERROR(VLOOKUP($D461&amp;$C461,生产方式定位!$A$2:$E$39,5,FALSE)+VLOOKUP($E461&amp;$C461,生产方式定位!$F$3:$J$39,5,FALSE),"错误")</f>
        <v>错误</v>
      </c>
      <c r="W461" s="3" t="str">
        <f t="shared" si="35"/>
        <v/>
      </c>
      <c r="X461" s="4" t="str">
        <f t="shared" si="36"/>
        <v/>
      </c>
      <c r="Y461" s="4" t="str">
        <f t="shared" si="37"/>
        <v/>
      </c>
      <c r="Z461" s="5" t="str">
        <f t="shared" si="38"/>
        <v/>
      </c>
      <c r="AA461" s="6">
        <f t="shared" si="39"/>
        <v>7</v>
      </c>
      <c r="AB461" t="str">
        <f>IFERROR(F461&amp;"*"&amp;ROUND(L461*(G461/(G461+I461+K461))/VLOOKUP(F461,商品!$A$4:$D$67,4,FALSE),0),"")</f>
        <v/>
      </c>
      <c r="AC461" t="str">
        <f>IFERROR(H461&amp;"*"&amp;ROUND(L461*(I461/(G461+I461+K461))/VLOOKUP(H461,商品!$A$4:$D$67,4,FALSE),0),"")</f>
        <v/>
      </c>
      <c r="AD461" t="str">
        <f>IFERROR(J461&amp;"*"&amp;ROUND(L461*(K461/(G461+I461+K461))/VLOOKUP(J461,商品!$A$4:$D$67,4,FALSE),0),"")</f>
        <v/>
      </c>
      <c r="AE461" t="str">
        <f>IFERROR(M461&amp;"*"&amp;ROUND(Q461*(N461/(N461+P461))/VLOOKUP(M461,职业!$A$3:$E$16,4,FALSE),0),"")</f>
        <v/>
      </c>
      <c r="AF461" t="str">
        <f>IFERROR(O461&amp;"*"&amp;ROUND(Q461*(P461/(N461+P461))/VLOOKUP(O461,职业!$A$3:$E$16,4,FALSE),0),"")</f>
        <v/>
      </c>
      <c r="AG461" t="str">
        <f>IFERROR(R461&amp;"*"&amp;ROUND(V461*(S461/(S461+U461))/VLOOKUP(R461,商品!$A$4:$D$67,4,FALSE),0),"")</f>
        <v/>
      </c>
      <c r="AH461" t="str">
        <f>IFERROR(T461&amp;"*"&amp;ROUND(V461*(U461/(S461+U461))/VLOOKUP(T461,商品!$A$4:$D$67,4,FALSE),0),"")</f>
        <v/>
      </c>
    </row>
    <row r="462" customHeight="1" spans="1:34">
      <c r="A462" s="14" t="s">
        <v>367</v>
      </c>
      <c r="C462" s="2">
        <v>8</v>
      </c>
      <c r="D462" s="2" t="s">
        <v>238</v>
      </c>
      <c r="E462" s="2" t="s">
        <v>225</v>
      </c>
      <c r="L462" s="2">
        <f>IFERROR(VLOOKUP($D462&amp;$C462,生产方式定位!$A$2:$E$39,2,FALSE)+VLOOKUP($E462&amp;$C462,生产方式定位!$F$3:$J$39,2,FALSE),0)</f>
        <v>0</v>
      </c>
      <c r="Q462" s="2">
        <f>IFERROR(VLOOKUP($D462&amp;$C462,生产方式定位!$A$2:$E$39,3,FALSE)+VLOOKUP($E462&amp;$C462,生产方式定位!$F$3:$J$39,3,FALSE),0)</f>
        <v>0</v>
      </c>
      <c r="V462" s="2" t="str">
        <f>IFERROR(VLOOKUP($D462&amp;$C462,生产方式定位!$A$2:$E$39,5,FALSE)+VLOOKUP($E462&amp;$C462,生产方式定位!$F$3:$J$39,5,FALSE),"错误")</f>
        <v>错误</v>
      </c>
      <c r="W462" s="3" t="str">
        <f t="shared" si="35"/>
        <v/>
      </c>
      <c r="X462" s="4" t="str">
        <f t="shared" si="36"/>
        <v/>
      </c>
      <c r="Y462" s="4" t="str">
        <f t="shared" si="37"/>
        <v/>
      </c>
      <c r="Z462" s="5" t="str">
        <f t="shared" si="38"/>
        <v/>
      </c>
      <c r="AA462" s="6">
        <f t="shared" si="39"/>
        <v>8</v>
      </c>
      <c r="AB462" t="str">
        <f>IFERROR(F462&amp;"*"&amp;ROUND(L462*(G462/(G462+I462+K462))/VLOOKUP(F462,商品!$A$4:$D$67,4,FALSE),0),"")</f>
        <v/>
      </c>
      <c r="AC462" t="str">
        <f>IFERROR(H462&amp;"*"&amp;ROUND(L462*(I462/(G462+I462+K462))/VLOOKUP(H462,商品!$A$4:$D$67,4,FALSE),0),"")</f>
        <v/>
      </c>
      <c r="AD462" t="str">
        <f>IFERROR(J462&amp;"*"&amp;ROUND(L462*(K462/(G462+I462+K462))/VLOOKUP(J462,商品!$A$4:$D$67,4,FALSE),0),"")</f>
        <v/>
      </c>
      <c r="AE462" t="str">
        <f>IFERROR(M462&amp;"*"&amp;ROUND(Q462*(N462/(N462+P462))/VLOOKUP(M462,职业!$A$3:$E$16,4,FALSE),0),"")</f>
        <v/>
      </c>
      <c r="AF462" t="str">
        <f>IFERROR(O462&amp;"*"&amp;ROUND(Q462*(P462/(N462+P462))/VLOOKUP(O462,职业!$A$3:$E$16,4,FALSE),0),"")</f>
        <v/>
      </c>
      <c r="AG462" t="str">
        <f>IFERROR(R462&amp;"*"&amp;ROUND(V462*(S462/(S462+U462))/VLOOKUP(R462,商品!$A$4:$D$67,4,FALSE),0),"")</f>
        <v/>
      </c>
      <c r="AH462" t="str">
        <f>IFERROR(T462&amp;"*"&amp;ROUND(V462*(U462/(S462+U462))/VLOOKUP(T462,商品!$A$4:$D$67,4,FALSE),0),"")</f>
        <v/>
      </c>
    </row>
    <row r="463" customHeight="1" spans="1:34">
      <c r="A463" s="14" t="s">
        <v>367</v>
      </c>
      <c r="C463" s="2">
        <v>1</v>
      </c>
      <c r="D463" s="2" t="s">
        <v>238</v>
      </c>
      <c r="E463" s="2" t="s">
        <v>225</v>
      </c>
      <c r="L463" s="2">
        <f>IFERROR(VLOOKUP($D463&amp;$C463,生产方式定位!$A$2:$E$39,2,FALSE)+VLOOKUP($E463&amp;$C463,生产方式定位!$F$3:$J$39,2,FALSE),0)</f>
        <v>11000</v>
      </c>
      <c r="Q463" s="2">
        <f>IFERROR(VLOOKUP($D463&amp;$C463,生产方式定位!$A$2:$E$39,3,FALSE)+VLOOKUP($E463&amp;$C463,生产方式定位!$F$3:$J$39,3,FALSE),0)</f>
        <v>8000</v>
      </c>
      <c r="V463" s="2">
        <f>IFERROR(VLOOKUP($D463&amp;$C463,生产方式定位!$A$2:$E$39,5,FALSE)+VLOOKUP($E463&amp;$C463,生产方式定位!$F$3:$J$39,5,FALSE),"错误")</f>
        <v>9500</v>
      </c>
      <c r="W463" s="3" t="str">
        <f t="shared" si="35"/>
        <v/>
      </c>
      <c r="X463" s="4" t="str">
        <f t="shared" si="36"/>
        <v/>
      </c>
      <c r="Y463" s="4" t="str">
        <f t="shared" si="37"/>
        <v/>
      </c>
      <c r="Z463" s="5">
        <f t="shared" si="38"/>
        <v>1.16</v>
      </c>
      <c r="AA463" s="6">
        <f t="shared" si="39"/>
        <v>1</v>
      </c>
      <c r="AB463" t="str">
        <f>IFERROR(F463&amp;"*"&amp;ROUND(L463*(G463/(G463+I463+K463))/VLOOKUP(F463,商品!$A$4:$D$67,4,FALSE),0),"")</f>
        <v/>
      </c>
      <c r="AC463" t="str">
        <f>IFERROR(H463&amp;"*"&amp;ROUND(L463*(I463/(G463+I463+K463))/VLOOKUP(H463,商品!$A$4:$D$67,4,FALSE),0),"")</f>
        <v/>
      </c>
      <c r="AD463" t="str">
        <f>IFERROR(J463&amp;"*"&amp;ROUND(L463*(K463/(G463+I463+K463))/VLOOKUP(J463,商品!$A$4:$D$67,4,FALSE),0),"")</f>
        <v/>
      </c>
      <c r="AE463" t="str">
        <f>IFERROR(M463&amp;"*"&amp;ROUND(Q463*(N463/(N463+P463))/VLOOKUP(M463,职业!$A$3:$E$16,4,FALSE),0),"")</f>
        <v/>
      </c>
      <c r="AF463" t="str">
        <f>IFERROR(O463&amp;"*"&amp;ROUND(Q463*(P463/(N463+P463))/VLOOKUP(O463,职业!$A$3:$E$16,4,FALSE),0),"")</f>
        <v/>
      </c>
      <c r="AG463" t="str">
        <f>IFERROR(R463&amp;"*"&amp;ROUND(V463*(S463/(S463+U463))/VLOOKUP(R463,商品!$A$4:$D$67,4,FALSE),0),"")</f>
        <v/>
      </c>
      <c r="AH463" t="str">
        <f>IFERROR(T463&amp;"*"&amp;ROUND(V463*(U463/(S463+U463))/VLOOKUP(T463,商品!$A$4:$D$67,4,FALSE),0),"")</f>
        <v/>
      </c>
    </row>
    <row r="464" customHeight="1" spans="1:34">
      <c r="A464" s="15" t="s">
        <v>369</v>
      </c>
      <c r="C464" s="2">
        <v>2</v>
      </c>
      <c r="D464" s="2" t="s">
        <v>238</v>
      </c>
      <c r="E464" s="2" t="s">
        <v>222</v>
      </c>
      <c r="L464" s="2">
        <f>IFERROR(VLOOKUP($D464&amp;$C464,生产方式定位!$A$2:$E$39,2,FALSE)+VLOOKUP($E464&amp;$C464,生产方式定位!$F$3:$J$39,2,FALSE),0)</f>
        <v>11000</v>
      </c>
      <c r="Q464" s="2">
        <f>IFERROR(VLOOKUP($D464&amp;$C464,生产方式定位!$A$2:$E$39,3,FALSE)+VLOOKUP($E464&amp;$C464,生产方式定位!$F$3:$J$39,3,FALSE),0)</f>
        <v>8700</v>
      </c>
      <c r="V464" s="2">
        <f>IFERROR(VLOOKUP($D464&amp;$C464,生产方式定位!$A$2:$E$39,5,FALSE)+VLOOKUP($E464&amp;$C464,生产方式定位!$F$3:$J$39,5,FALSE),"错误")</f>
        <v>9922</v>
      </c>
      <c r="W464" s="3" t="str">
        <f t="shared" si="35"/>
        <v/>
      </c>
      <c r="X464" s="4" t="str">
        <f t="shared" si="36"/>
        <v/>
      </c>
      <c r="Y464" s="4" t="str">
        <f t="shared" si="37"/>
        <v/>
      </c>
      <c r="Z464" s="5">
        <f t="shared" si="38"/>
        <v>1.11</v>
      </c>
      <c r="AA464" s="6">
        <f t="shared" si="39"/>
        <v>2</v>
      </c>
      <c r="AB464" t="str">
        <f>IFERROR(F464&amp;"*"&amp;ROUND(L464*(G464/(G464+I464+K464))/VLOOKUP(F464,商品!$A$4:$D$67,4,FALSE),0),"")</f>
        <v/>
      </c>
      <c r="AC464" t="str">
        <f>IFERROR(H464&amp;"*"&amp;ROUND(L464*(I464/(G464+I464+K464))/VLOOKUP(H464,商品!$A$4:$D$67,4,FALSE),0),"")</f>
        <v/>
      </c>
      <c r="AD464" t="str">
        <f>IFERROR(J464&amp;"*"&amp;ROUND(L464*(K464/(G464+I464+K464))/VLOOKUP(J464,商品!$A$4:$D$67,4,FALSE),0),"")</f>
        <v/>
      </c>
      <c r="AE464" t="str">
        <f>IFERROR(M464&amp;"*"&amp;ROUND(Q464*(N464/(N464+P464))/VLOOKUP(M464,职业!$A$3:$E$16,4,FALSE),0),"")</f>
        <v/>
      </c>
      <c r="AF464" t="str">
        <f>IFERROR(O464&amp;"*"&amp;ROUND(Q464*(P464/(N464+P464))/VLOOKUP(O464,职业!$A$3:$E$16,4,FALSE),0),"")</f>
        <v/>
      </c>
      <c r="AG464" t="str">
        <f>IFERROR(R464&amp;"*"&amp;ROUND(V464*(S464/(S464+U464))/VLOOKUP(R464,商品!$A$4:$D$67,4,FALSE),0),"")</f>
        <v/>
      </c>
      <c r="AH464" t="str">
        <f>IFERROR(T464&amp;"*"&amp;ROUND(V464*(U464/(S464+U464))/VLOOKUP(T464,商品!$A$4:$D$67,4,FALSE),0),"")</f>
        <v/>
      </c>
    </row>
    <row r="465" customHeight="1" spans="1:34">
      <c r="A465" s="15" t="s">
        <v>369</v>
      </c>
      <c r="C465" s="2">
        <v>3</v>
      </c>
      <c r="D465" s="2" t="s">
        <v>238</v>
      </c>
      <c r="E465" s="2" t="s">
        <v>222</v>
      </c>
      <c r="L465" s="2">
        <f>IFERROR(VLOOKUP($D465&amp;$C465,生产方式定位!$A$2:$E$39,2,FALSE)+VLOOKUP($E465&amp;$C465,生产方式定位!$F$3:$J$39,2,FALSE),0)</f>
        <v>11000</v>
      </c>
      <c r="Q465" s="2">
        <f>IFERROR(VLOOKUP($D465&amp;$C465,生产方式定位!$A$2:$E$39,3,FALSE)+VLOOKUP($E465&amp;$C465,生产方式定位!$F$3:$J$39,3,FALSE),0)</f>
        <v>9400</v>
      </c>
      <c r="V465" s="2">
        <f>IFERROR(VLOOKUP($D465&amp;$C465,生产方式定位!$A$2:$E$39,5,FALSE)+VLOOKUP($E465&amp;$C465,生产方式定位!$F$3:$J$39,5,FALSE),"错误")</f>
        <v>10488</v>
      </c>
      <c r="W465" s="3" t="str">
        <f t="shared" si="35"/>
        <v/>
      </c>
      <c r="X465" s="4" t="str">
        <f t="shared" si="36"/>
        <v/>
      </c>
      <c r="Y465" s="4" t="str">
        <f t="shared" si="37"/>
        <v/>
      </c>
      <c r="Z465" s="5">
        <f t="shared" si="38"/>
        <v>1.05</v>
      </c>
      <c r="AA465" s="6">
        <f t="shared" si="39"/>
        <v>3</v>
      </c>
      <c r="AB465" t="str">
        <f>IFERROR(F465&amp;"*"&amp;ROUND(L465*(G465/(G465+I465+K465))/VLOOKUP(F465,商品!$A$4:$D$67,4,FALSE),0),"")</f>
        <v/>
      </c>
      <c r="AC465" t="str">
        <f>IFERROR(H465&amp;"*"&amp;ROUND(L465*(I465/(G465+I465+K465))/VLOOKUP(H465,商品!$A$4:$D$67,4,FALSE),0),"")</f>
        <v/>
      </c>
      <c r="AD465" t="str">
        <f>IFERROR(J465&amp;"*"&amp;ROUND(L465*(K465/(G465+I465+K465))/VLOOKUP(J465,商品!$A$4:$D$67,4,FALSE),0),"")</f>
        <v/>
      </c>
      <c r="AE465" t="str">
        <f>IFERROR(M465&amp;"*"&amp;ROUND(Q465*(N465/(N465+P465))/VLOOKUP(M465,职业!$A$3:$E$16,4,FALSE),0),"")</f>
        <v/>
      </c>
      <c r="AF465" t="str">
        <f>IFERROR(O465&amp;"*"&amp;ROUND(Q465*(P465/(N465+P465))/VLOOKUP(O465,职业!$A$3:$E$16,4,FALSE),0),"")</f>
        <v/>
      </c>
      <c r="AG465" t="str">
        <f>IFERROR(R465&amp;"*"&amp;ROUND(V465*(S465/(S465+U465))/VLOOKUP(R465,商品!$A$4:$D$67,4,FALSE),0),"")</f>
        <v/>
      </c>
      <c r="AH465" t="str">
        <f>IFERROR(T465&amp;"*"&amp;ROUND(V465*(U465/(S465+U465))/VLOOKUP(T465,商品!$A$4:$D$67,4,FALSE),0),"")</f>
        <v/>
      </c>
    </row>
    <row r="466" customHeight="1" spans="1:34">
      <c r="A466" s="15" t="s">
        <v>369</v>
      </c>
      <c r="C466" s="2">
        <v>4</v>
      </c>
      <c r="D466" s="2" t="s">
        <v>238</v>
      </c>
      <c r="E466" s="2" t="s">
        <v>222</v>
      </c>
      <c r="L466" s="2">
        <f>IFERROR(VLOOKUP($D466&amp;$C466,生产方式定位!$A$2:$E$39,2,FALSE)+VLOOKUP($E466&amp;$C466,生产方式定位!$F$3:$J$39,2,FALSE),0)</f>
        <v>11000</v>
      </c>
      <c r="Q466" s="2">
        <f>IFERROR(VLOOKUP($D466&amp;$C466,生产方式定位!$A$2:$E$39,3,FALSE)+VLOOKUP($E466&amp;$C466,生产方式定位!$F$3:$J$39,3,FALSE),0)</f>
        <v>10100</v>
      </c>
      <c r="V466" s="2">
        <f>IFERROR(VLOOKUP($D466&amp;$C466,生产方式定位!$A$2:$E$39,5,FALSE)+VLOOKUP($E466&amp;$C466,生产方式定位!$F$3:$J$39,5,FALSE),"错误")</f>
        <v>11198</v>
      </c>
      <c r="W466" s="3" t="str">
        <f t="shared" si="35"/>
        <v/>
      </c>
      <c r="X466" s="4" t="str">
        <f t="shared" si="36"/>
        <v/>
      </c>
      <c r="Y466" s="4" t="str">
        <f t="shared" si="37"/>
        <v/>
      </c>
      <c r="Z466" s="5">
        <f t="shared" si="38"/>
        <v>0.98</v>
      </c>
      <c r="AA466" s="6">
        <f t="shared" si="39"/>
        <v>4</v>
      </c>
      <c r="AB466" t="str">
        <f>IFERROR(F466&amp;"*"&amp;ROUND(L466*(G466/(G466+I466+K466))/VLOOKUP(F466,商品!$A$4:$D$67,4,FALSE),0),"")</f>
        <v/>
      </c>
      <c r="AC466" t="str">
        <f>IFERROR(H466&amp;"*"&amp;ROUND(L466*(I466/(G466+I466+K466))/VLOOKUP(H466,商品!$A$4:$D$67,4,FALSE),0),"")</f>
        <v/>
      </c>
      <c r="AD466" t="str">
        <f>IFERROR(J466&amp;"*"&amp;ROUND(L466*(K466/(G466+I466+K466))/VLOOKUP(J466,商品!$A$4:$D$67,4,FALSE),0),"")</f>
        <v/>
      </c>
      <c r="AE466" t="str">
        <f>IFERROR(M466&amp;"*"&amp;ROUND(Q466*(N466/(N466+P466))/VLOOKUP(M466,职业!$A$3:$E$16,4,FALSE),0),"")</f>
        <v/>
      </c>
      <c r="AF466" t="str">
        <f>IFERROR(O466&amp;"*"&amp;ROUND(Q466*(P466/(N466+P466))/VLOOKUP(O466,职业!$A$3:$E$16,4,FALSE),0),"")</f>
        <v/>
      </c>
      <c r="AG466" t="str">
        <f>IFERROR(R466&amp;"*"&amp;ROUND(V466*(S466/(S466+U466))/VLOOKUP(R466,商品!$A$4:$D$67,4,FALSE),0),"")</f>
        <v/>
      </c>
      <c r="AH466" t="str">
        <f>IFERROR(T466&amp;"*"&amp;ROUND(V466*(U466/(S466+U466))/VLOOKUP(T466,商品!$A$4:$D$67,4,FALSE),0),"")</f>
        <v/>
      </c>
    </row>
    <row r="467" customHeight="1" spans="1:34">
      <c r="A467" s="15" t="s">
        <v>369</v>
      </c>
      <c r="C467" s="2">
        <v>5</v>
      </c>
      <c r="D467" s="2" t="s">
        <v>238</v>
      </c>
      <c r="E467" s="2" t="s">
        <v>222</v>
      </c>
      <c r="L467" s="2">
        <f>IFERROR(VLOOKUP($D467&amp;$C467,生产方式定位!$A$2:$E$39,2,FALSE)+VLOOKUP($E467&amp;$C467,生产方式定位!$F$3:$J$39,2,FALSE),0)</f>
        <v>11000</v>
      </c>
      <c r="Q467" s="2">
        <f>IFERROR(VLOOKUP($D467&amp;$C467,生产方式定位!$A$2:$E$39,3,FALSE)+VLOOKUP($E467&amp;$C467,生产方式定位!$F$3:$J$39,3,FALSE),0)</f>
        <v>10800</v>
      </c>
      <c r="V467" s="2">
        <f>IFERROR(VLOOKUP($D467&amp;$C467,生产方式定位!$A$2:$E$39,5,FALSE)+VLOOKUP($E467&amp;$C467,生产方式定位!$F$3:$J$39,5,FALSE),"错误")</f>
        <v>12100</v>
      </c>
      <c r="W467" s="3" t="str">
        <f t="shared" si="35"/>
        <v/>
      </c>
      <c r="X467" s="4" t="str">
        <f t="shared" si="36"/>
        <v/>
      </c>
      <c r="Y467" s="4" t="str">
        <f t="shared" si="37"/>
        <v/>
      </c>
      <c r="Z467" s="5">
        <f t="shared" si="38"/>
        <v>0.91</v>
      </c>
      <c r="AA467" s="6">
        <f t="shared" si="39"/>
        <v>5</v>
      </c>
      <c r="AB467" t="str">
        <f>IFERROR(F467&amp;"*"&amp;ROUND(L467*(G467/(G467+I467+K467))/VLOOKUP(F467,商品!$A$4:$D$67,4,FALSE),0),"")</f>
        <v/>
      </c>
      <c r="AC467" t="str">
        <f>IFERROR(H467&amp;"*"&amp;ROUND(L467*(I467/(G467+I467+K467))/VLOOKUP(H467,商品!$A$4:$D$67,4,FALSE),0),"")</f>
        <v/>
      </c>
      <c r="AD467" t="str">
        <f>IFERROR(J467&amp;"*"&amp;ROUND(L467*(K467/(G467+I467+K467))/VLOOKUP(J467,商品!$A$4:$D$67,4,FALSE),0),"")</f>
        <v/>
      </c>
      <c r="AE467" t="str">
        <f>IFERROR(M467&amp;"*"&amp;ROUND(Q467*(N467/(N467+P467))/VLOOKUP(M467,职业!$A$3:$E$16,4,FALSE),0),"")</f>
        <v/>
      </c>
      <c r="AF467" t="str">
        <f>IFERROR(O467&amp;"*"&amp;ROUND(Q467*(P467/(N467+P467))/VLOOKUP(O467,职业!$A$3:$E$16,4,FALSE),0),"")</f>
        <v/>
      </c>
      <c r="AG467" t="str">
        <f>IFERROR(R467&amp;"*"&amp;ROUND(V467*(S467/(S467+U467))/VLOOKUP(R467,商品!$A$4:$D$67,4,FALSE),0),"")</f>
        <v/>
      </c>
      <c r="AH467" t="str">
        <f>IFERROR(T467&amp;"*"&amp;ROUND(V467*(U467/(S467+U467))/VLOOKUP(T467,商品!$A$4:$D$67,4,FALSE),0),"")</f>
        <v/>
      </c>
    </row>
    <row r="468" customHeight="1" spans="1:34">
      <c r="A468" s="15" t="s">
        <v>369</v>
      </c>
      <c r="C468" s="2">
        <v>1</v>
      </c>
      <c r="D468" s="2" t="s">
        <v>238</v>
      </c>
      <c r="E468" s="2" t="s">
        <v>222</v>
      </c>
      <c r="L468" s="2">
        <f>IFERROR(VLOOKUP($D468&amp;$C468,生产方式定位!$A$2:$E$39,2,FALSE)+VLOOKUP($E468&amp;$C468,生产方式定位!$F$3:$J$39,2,FALSE),0)</f>
        <v>11000</v>
      </c>
      <c r="Q468" s="2">
        <f>IFERROR(VLOOKUP($D468&amp;$C468,生产方式定位!$A$2:$E$39,3,FALSE)+VLOOKUP($E468&amp;$C468,生产方式定位!$F$3:$J$39,3,FALSE),0)</f>
        <v>8000</v>
      </c>
      <c r="V468" s="2">
        <f>IFERROR(VLOOKUP($D468&amp;$C468,生产方式定位!$A$2:$E$39,5,FALSE)+VLOOKUP($E468&amp;$C468,生产方式定位!$F$3:$J$39,5,FALSE),"错误")</f>
        <v>9500</v>
      </c>
      <c r="W468" s="3" t="str">
        <f t="shared" si="35"/>
        <v/>
      </c>
      <c r="X468" s="4" t="str">
        <f t="shared" si="36"/>
        <v/>
      </c>
      <c r="Y468" s="4" t="str">
        <f t="shared" si="37"/>
        <v/>
      </c>
      <c r="Z468" s="5">
        <f t="shared" si="38"/>
        <v>1.16</v>
      </c>
      <c r="AA468" s="6">
        <f t="shared" si="39"/>
        <v>1</v>
      </c>
      <c r="AB468" t="str">
        <f>IFERROR(F468&amp;"*"&amp;ROUND(L468*(G468/(G468+I468+K468))/VLOOKUP(F468,商品!$A$4:$D$67,4,FALSE),0),"")</f>
        <v/>
      </c>
      <c r="AC468" t="str">
        <f>IFERROR(H468&amp;"*"&amp;ROUND(L468*(I468/(G468+I468+K468))/VLOOKUP(H468,商品!$A$4:$D$67,4,FALSE),0),"")</f>
        <v/>
      </c>
      <c r="AD468" t="str">
        <f>IFERROR(J468&amp;"*"&amp;ROUND(L468*(K468/(G468+I468+K468))/VLOOKUP(J468,商品!$A$4:$D$67,4,FALSE),0),"")</f>
        <v/>
      </c>
      <c r="AE468" t="str">
        <f>IFERROR(M468&amp;"*"&amp;ROUND(Q468*(N468/(N468+P468))/VLOOKUP(M468,职业!$A$3:$E$16,4,FALSE),0),"")</f>
        <v/>
      </c>
      <c r="AF468" t="str">
        <f>IFERROR(O468&amp;"*"&amp;ROUND(Q468*(P468/(N468+P468))/VLOOKUP(O468,职业!$A$3:$E$16,4,FALSE),0),"")</f>
        <v/>
      </c>
      <c r="AG468" t="str">
        <f>IFERROR(R468&amp;"*"&amp;ROUND(V468*(S468/(S468+U468))/VLOOKUP(R468,商品!$A$4:$D$67,4,FALSE),0),"")</f>
        <v/>
      </c>
      <c r="AH468" t="str">
        <f>IFERROR(T468&amp;"*"&amp;ROUND(V468*(U468/(S468+U468))/VLOOKUP(T468,商品!$A$4:$D$67,4,FALSE),0),"")</f>
        <v/>
      </c>
    </row>
    <row r="469" customHeight="1" spans="1:34">
      <c r="A469" s="14" t="s">
        <v>370</v>
      </c>
      <c r="C469" s="2">
        <v>2</v>
      </c>
      <c r="D469" s="2" t="s">
        <v>238</v>
      </c>
      <c r="E469" s="2" t="s">
        <v>223</v>
      </c>
      <c r="L469" s="2">
        <f>IFERROR(VLOOKUP($D469&amp;$C469,生产方式定位!$A$2:$E$39,2,FALSE)+VLOOKUP($E469&amp;$C469,生产方式定位!$F$3:$J$39,2,FALSE),0)</f>
        <v>11000</v>
      </c>
      <c r="Q469" s="2">
        <f>IFERROR(VLOOKUP($D469&amp;$C469,生产方式定位!$A$2:$E$39,3,FALSE)+VLOOKUP($E469&amp;$C469,生产方式定位!$F$3:$J$39,3,FALSE),0)</f>
        <v>10500</v>
      </c>
      <c r="V469" s="2">
        <f>IFERROR(VLOOKUP($D469&amp;$C469,生产方式定位!$A$2:$E$39,5,FALSE)+VLOOKUP($E469&amp;$C469,生产方式定位!$F$3:$J$39,5,FALSE),"错误")</f>
        <v>10795</v>
      </c>
      <c r="W469" s="3" t="str">
        <f t="shared" si="35"/>
        <v/>
      </c>
      <c r="X469" s="4" t="str">
        <f t="shared" si="36"/>
        <v/>
      </c>
      <c r="Y469" s="4" t="str">
        <f t="shared" si="37"/>
        <v/>
      </c>
      <c r="Z469" s="5">
        <f t="shared" si="38"/>
        <v>1.02</v>
      </c>
      <c r="AA469" s="6">
        <f t="shared" si="39"/>
        <v>2</v>
      </c>
      <c r="AB469" t="str">
        <f>IFERROR(F469&amp;"*"&amp;ROUND(L469*(G469/(G469+I469+K469))/VLOOKUP(F469,商品!$A$4:$D$67,4,FALSE),0),"")</f>
        <v/>
      </c>
      <c r="AC469" t="str">
        <f>IFERROR(H469&amp;"*"&amp;ROUND(L469*(I469/(G469+I469+K469))/VLOOKUP(H469,商品!$A$4:$D$67,4,FALSE),0),"")</f>
        <v/>
      </c>
      <c r="AD469" t="str">
        <f>IFERROR(J469&amp;"*"&amp;ROUND(L469*(K469/(G469+I469+K469))/VLOOKUP(J469,商品!$A$4:$D$67,4,FALSE),0),"")</f>
        <v/>
      </c>
      <c r="AE469" t="str">
        <f>IFERROR(M469&amp;"*"&amp;ROUND(Q469*(N469/(N469+P469))/VLOOKUP(M469,职业!$A$3:$E$16,4,FALSE),0),"")</f>
        <v/>
      </c>
      <c r="AF469" t="str">
        <f>IFERROR(O469&amp;"*"&amp;ROUND(Q469*(P469/(N469+P469))/VLOOKUP(O469,职业!$A$3:$E$16,4,FALSE),0),"")</f>
        <v/>
      </c>
      <c r="AG469" t="str">
        <f>IFERROR(R469&amp;"*"&amp;ROUND(V469*(S469/(S469+U469))/VLOOKUP(R469,商品!$A$4:$D$67,4,FALSE),0),"")</f>
        <v/>
      </c>
      <c r="AH469" t="str">
        <f>IFERROR(T469&amp;"*"&amp;ROUND(V469*(U469/(S469+U469))/VLOOKUP(T469,商品!$A$4:$D$67,4,FALSE),0),"")</f>
        <v/>
      </c>
    </row>
    <row r="470" customHeight="1" spans="1:34">
      <c r="A470" s="14" t="s">
        <v>370</v>
      </c>
      <c r="C470" s="2">
        <v>3</v>
      </c>
      <c r="D470" s="2" t="s">
        <v>238</v>
      </c>
      <c r="E470" s="2" t="s">
        <v>223</v>
      </c>
      <c r="L470" s="2">
        <f>IFERROR(VLOOKUP($D470&amp;$C470,生产方式定位!$A$2:$E$39,2,FALSE)+VLOOKUP($E470&amp;$C470,生产方式定位!$F$3:$J$39,2,FALSE),0)</f>
        <v>11000</v>
      </c>
      <c r="Q470" s="2">
        <f>IFERROR(VLOOKUP($D470&amp;$C470,生产方式定位!$A$2:$E$39,3,FALSE)+VLOOKUP($E470&amp;$C470,生产方式定位!$F$3:$J$39,3,FALSE),0)</f>
        <v>12000</v>
      </c>
      <c r="V470" s="2">
        <f>IFERROR(VLOOKUP($D470&amp;$C470,生产方式定位!$A$2:$E$39,5,FALSE)+VLOOKUP($E470&amp;$C470,生产方式定位!$F$3:$J$39,5,FALSE),"错误")</f>
        <v>11650</v>
      </c>
      <c r="W470" s="3" t="str">
        <f t="shared" si="35"/>
        <v/>
      </c>
      <c r="X470" s="4" t="str">
        <f t="shared" si="36"/>
        <v/>
      </c>
      <c r="Y470" s="4" t="str">
        <f t="shared" si="37"/>
        <v/>
      </c>
      <c r="Z470" s="5">
        <f t="shared" si="38"/>
        <v>0.94</v>
      </c>
      <c r="AA470" s="6">
        <f t="shared" si="39"/>
        <v>3</v>
      </c>
      <c r="AB470" t="str">
        <f>IFERROR(F470&amp;"*"&amp;ROUND(L470*(G470/(G470+I470+K470))/VLOOKUP(F470,商品!$A$4:$D$67,4,FALSE),0),"")</f>
        <v/>
      </c>
      <c r="AC470" t="str">
        <f>IFERROR(H470&amp;"*"&amp;ROUND(L470*(I470/(G470+I470+K470))/VLOOKUP(H470,商品!$A$4:$D$67,4,FALSE),0),"")</f>
        <v/>
      </c>
      <c r="AD470" t="str">
        <f>IFERROR(J470&amp;"*"&amp;ROUND(L470*(K470/(G470+I470+K470))/VLOOKUP(J470,商品!$A$4:$D$67,4,FALSE),0),"")</f>
        <v/>
      </c>
      <c r="AE470" t="str">
        <f>IFERROR(M470&amp;"*"&amp;ROUND(Q470*(N470/(N470+P470))/VLOOKUP(M470,职业!$A$3:$E$16,4,FALSE),0),"")</f>
        <v/>
      </c>
      <c r="AF470" t="str">
        <f>IFERROR(O470&amp;"*"&amp;ROUND(Q470*(P470/(N470+P470))/VLOOKUP(O470,职业!$A$3:$E$16,4,FALSE),0),"")</f>
        <v/>
      </c>
      <c r="AG470" t="str">
        <f>IFERROR(R470&amp;"*"&amp;ROUND(V470*(S470/(S470+U470))/VLOOKUP(R470,商品!$A$4:$D$67,4,FALSE),0),"")</f>
        <v/>
      </c>
      <c r="AH470" t="str">
        <f>IFERROR(T470&amp;"*"&amp;ROUND(V470*(U470/(S470+U470))/VLOOKUP(T470,商品!$A$4:$D$67,4,FALSE),0),"")</f>
        <v/>
      </c>
    </row>
    <row r="471" customHeight="1" spans="1:34">
      <c r="A471" s="14" t="s">
        <v>370</v>
      </c>
      <c r="C471" s="2">
        <v>4</v>
      </c>
      <c r="D471" s="2" t="s">
        <v>238</v>
      </c>
      <c r="E471" s="2" t="s">
        <v>223</v>
      </c>
      <c r="L471" s="2">
        <f>IFERROR(VLOOKUP($D471&amp;$C471,生产方式定位!$A$2:$E$39,2,FALSE)+VLOOKUP($E471&amp;$C471,生产方式定位!$F$3:$J$39,2,FALSE),0)</f>
        <v>11000</v>
      </c>
      <c r="Q471" s="2">
        <f>IFERROR(VLOOKUP($D471&amp;$C471,生产方式定位!$A$2:$E$39,3,FALSE)+VLOOKUP($E471&amp;$C471,生产方式定位!$F$3:$J$39,3,FALSE),0)</f>
        <v>13500</v>
      </c>
      <c r="V471" s="2">
        <f>IFERROR(VLOOKUP($D471&amp;$C471,生产方式定位!$A$2:$E$39,5,FALSE)+VLOOKUP($E471&amp;$C471,生产方式定位!$F$3:$J$39,5,FALSE),"错误")</f>
        <v>12565</v>
      </c>
      <c r="W471" s="3" t="str">
        <f t="shared" si="35"/>
        <v/>
      </c>
      <c r="X471" s="4" t="str">
        <f t="shared" si="36"/>
        <v/>
      </c>
      <c r="Y471" s="4" t="str">
        <f t="shared" si="37"/>
        <v/>
      </c>
      <c r="Z471" s="5">
        <f t="shared" si="38"/>
        <v>0.88</v>
      </c>
      <c r="AA471" s="6">
        <f t="shared" si="39"/>
        <v>4</v>
      </c>
      <c r="AB471" t="str">
        <f>IFERROR(F471&amp;"*"&amp;ROUND(L471*(G471/(G471+I471+K471))/VLOOKUP(F471,商品!$A$4:$D$67,4,FALSE),0),"")</f>
        <v/>
      </c>
      <c r="AC471" t="str">
        <f>IFERROR(H471&amp;"*"&amp;ROUND(L471*(I471/(G471+I471+K471))/VLOOKUP(H471,商品!$A$4:$D$67,4,FALSE),0),"")</f>
        <v/>
      </c>
      <c r="AD471" t="str">
        <f>IFERROR(J471&amp;"*"&amp;ROUND(L471*(K471/(G471+I471+K471))/VLOOKUP(J471,商品!$A$4:$D$67,4,FALSE),0),"")</f>
        <v/>
      </c>
      <c r="AE471" t="str">
        <f>IFERROR(M471&amp;"*"&amp;ROUND(Q471*(N471/(N471+P471))/VLOOKUP(M471,职业!$A$3:$E$16,4,FALSE),0),"")</f>
        <v/>
      </c>
      <c r="AF471" t="str">
        <f>IFERROR(O471&amp;"*"&amp;ROUND(Q471*(P471/(N471+P471))/VLOOKUP(O471,职业!$A$3:$E$16,4,FALSE),0),"")</f>
        <v/>
      </c>
      <c r="AG471" t="str">
        <f>IFERROR(R471&amp;"*"&amp;ROUND(V471*(S471/(S471+U471))/VLOOKUP(R471,商品!$A$4:$D$67,4,FALSE),0),"")</f>
        <v/>
      </c>
      <c r="AH471" t="str">
        <f>IFERROR(T471&amp;"*"&amp;ROUND(V471*(U471/(S471+U471))/VLOOKUP(T471,商品!$A$4:$D$67,4,FALSE),0),"")</f>
        <v/>
      </c>
    </row>
    <row r="472" customHeight="1" spans="1:34">
      <c r="A472" s="14" t="s">
        <v>370</v>
      </c>
      <c r="C472" s="2">
        <v>5</v>
      </c>
      <c r="D472" s="2" t="s">
        <v>238</v>
      </c>
      <c r="E472" s="2" t="s">
        <v>223</v>
      </c>
      <c r="L472" s="2">
        <f>IFERROR(VLOOKUP($D472&amp;$C472,生产方式定位!$A$2:$E$39,2,FALSE)+VLOOKUP($E472&amp;$C472,生产方式定位!$F$3:$J$39,2,FALSE),0)</f>
        <v>11000</v>
      </c>
      <c r="Q472" s="2">
        <f>IFERROR(VLOOKUP($D472&amp;$C472,生产方式定位!$A$2:$E$39,3,FALSE)+VLOOKUP($E472&amp;$C472,生产方式定位!$F$3:$J$39,3,FALSE),0)</f>
        <v>15000</v>
      </c>
      <c r="V472" s="2">
        <f>IFERROR(VLOOKUP($D472&amp;$C472,生产方式定位!$A$2:$E$39,5,FALSE)+VLOOKUP($E472&amp;$C472,生产方式定位!$F$3:$J$39,5,FALSE),"错误")</f>
        <v>13563</v>
      </c>
      <c r="W472" s="3" t="str">
        <f t="shared" si="35"/>
        <v/>
      </c>
      <c r="X472" s="4" t="str">
        <f t="shared" si="36"/>
        <v/>
      </c>
      <c r="Y472" s="4" t="str">
        <f t="shared" si="37"/>
        <v/>
      </c>
      <c r="Z472" s="5">
        <f t="shared" si="38"/>
        <v>0.81</v>
      </c>
      <c r="AA472" s="6">
        <f t="shared" si="39"/>
        <v>5</v>
      </c>
      <c r="AB472" t="str">
        <f>IFERROR(F472&amp;"*"&amp;ROUND(L472*(G472/(G472+I472+K472))/VLOOKUP(F472,商品!$A$4:$D$67,4,FALSE),0),"")</f>
        <v/>
      </c>
      <c r="AC472" t="str">
        <f>IFERROR(H472&amp;"*"&amp;ROUND(L472*(I472/(G472+I472+K472))/VLOOKUP(H472,商品!$A$4:$D$67,4,FALSE),0),"")</f>
        <v/>
      </c>
      <c r="AD472" t="str">
        <f>IFERROR(J472&amp;"*"&amp;ROUND(L472*(K472/(G472+I472+K472))/VLOOKUP(J472,商品!$A$4:$D$67,4,FALSE),0),"")</f>
        <v/>
      </c>
      <c r="AE472" t="str">
        <f>IFERROR(M472&amp;"*"&amp;ROUND(Q472*(N472/(N472+P472))/VLOOKUP(M472,职业!$A$3:$E$16,4,FALSE),0),"")</f>
        <v/>
      </c>
      <c r="AF472" t="str">
        <f>IFERROR(O472&amp;"*"&amp;ROUND(Q472*(P472/(N472+P472))/VLOOKUP(O472,职业!$A$3:$E$16,4,FALSE),0),"")</f>
        <v/>
      </c>
      <c r="AG472" t="str">
        <f>IFERROR(R472&amp;"*"&amp;ROUND(V472*(S472/(S472+U472))/VLOOKUP(R472,商品!$A$4:$D$67,4,FALSE),0),"")</f>
        <v/>
      </c>
      <c r="AH472" t="str">
        <f>IFERROR(T472&amp;"*"&amp;ROUND(V472*(U472/(S472+U472))/VLOOKUP(T472,商品!$A$4:$D$67,4,FALSE),0),"")</f>
        <v/>
      </c>
    </row>
    <row r="473" customHeight="1" spans="1:34">
      <c r="A473" s="14" t="s">
        <v>370</v>
      </c>
      <c r="C473" s="2">
        <v>1</v>
      </c>
      <c r="D473" s="2" t="s">
        <v>238</v>
      </c>
      <c r="E473" s="2" t="s">
        <v>223</v>
      </c>
      <c r="L473" s="2">
        <f>IFERROR(VLOOKUP($D473&amp;$C473,生产方式定位!$A$2:$E$39,2,FALSE)+VLOOKUP($E473&amp;$C473,生产方式定位!$F$3:$J$39,2,FALSE),0)</f>
        <v>11000</v>
      </c>
      <c r="Q473" s="2">
        <f>IFERROR(VLOOKUP($D473&amp;$C473,生产方式定位!$A$2:$E$39,3,FALSE)+VLOOKUP($E473&amp;$C473,生产方式定位!$F$3:$J$39,3,FALSE),0)</f>
        <v>8000</v>
      </c>
      <c r="V473" s="2">
        <f>IFERROR(VLOOKUP($D473&amp;$C473,生产方式定位!$A$2:$E$39,5,FALSE)+VLOOKUP($E473&amp;$C473,生产方式定位!$F$3:$J$39,5,FALSE),"错误")</f>
        <v>9500</v>
      </c>
      <c r="W473" s="3" t="str">
        <f t="shared" si="35"/>
        <v/>
      </c>
      <c r="X473" s="4" t="str">
        <f t="shared" si="36"/>
        <v/>
      </c>
      <c r="Y473" s="4" t="str">
        <f t="shared" si="37"/>
        <v/>
      </c>
      <c r="Z473" s="5">
        <f t="shared" si="38"/>
        <v>1.16</v>
      </c>
      <c r="AA473" s="6">
        <f t="shared" si="39"/>
        <v>1</v>
      </c>
      <c r="AB473" t="str">
        <f>IFERROR(F473&amp;"*"&amp;ROUND(L473*(G473/(G473+I473+K473))/VLOOKUP(F473,商品!$A$4:$D$67,4,FALSE),0),"")</f>
        <v/>
      </c>
      <c r="AC473" t="str">
        <f>IFERROR(H473&amp;"*"&amp;ROUND(L473*(I473/(G473+I473+K473))/VLOOKUP(H473,商品!$A$4:$D$67,4,FALSE),0),"")</f>
        <v/>
      </c>
      <c r="AD473" t="str">
        <f>IFERROR(J473&amp;"*"&amp;ROUND(L473*(K473/(G473+I473+K473))/VLOOKUP(J473,商品!$A$4:$D$67,4,FALSE),0),"")</f>
        <v/>
      </c>
      <c r="AE473" t="str">
        <f>IFERROR(M473&amp;"*"&amp;ROUND(Q473*(N473/(N473+P473))/VLOOKUP(M473,职业!$A$3:$E$16,4,FALSE),0),"")</f>
        <v/>
      </c>
      <c r="AF473" t="str">
        <f>IFERROR(O473&amp;"*"&amp;ROUND(Q473*(P473/(N473+P473))/VLOOKUP(O473,职业!$A$3:$E$16,4,FALSE),0),"")</f>
        <v/>
      </c>
      <c r="AG473" t="str">
        <f>IFERROR(R473&amp;"*"&amp;ROUND(V473*(S473/(S473+U473))/VLOOKUP(R473,商品!$A$4:$D$67,4,FALSE),0),"")</f>
        <v/>
      </c>
      <c r="AH473" t="str">
        <f>IFERROR(T473&amp;"*"&amp;ROUND(V473*(U473/(S473+U473))/VLOOKUP(T473,商品!$A$4:$D$67,4,FALSE),0),"")</f>
        <v/>
      </c>
    </row>
    <row r="474" customHeight="1" spans="1:34">
      <c r="A474" s="15" t="s">
        <v>371</v>
      </c>
      <c r="C474" s="2">
        <v>2</v>
      </c>
      <c r="D474" s="2" t="s">
        <v>238</v>
      </c>
      <c r="E474" s="2" t="s">
        <v>224</v>
      </c>
      <c r="L474" s="2">
        <f>IFERROR(VLOOKUP($D474&amp;$C474,生产方式定位!$A$2:$E$39,2,FALSE)+VLOOKUP($E474&amp;$C474,生产方式定位!$F$3:$J$39,2,FALSE),0)</f>
        <v>12000</v>
      </c>
      <c r="Q474" s="2">
        <f>IFERROR(VLOOKUP($D474&amp;$C474,生产方式定位!$A$2:$E$39,3,FALSE)+VLOOKUP($E474&amp;$C474,生产方式定位!$F$3:$J$39,3,FALSE),0)</f>
        <v>8300</v>
      </c>
      <c r="V474" s="2">
        <f>IFERROR(VLOOKUP($D474&amp;$C474,生产方式定位!$A$2:$E$39,5,FALSE)+VLOOKUP($E474&amp;$C474,生产方式定位!$F$3:$J$39,5,FALSE),"错误")</f>
        <v>10240</v>
      </c>
      <c r="W474" s="3" t="str">
        <f t="shared" si="35"/>
        <v/>
      </c>
      <c r="X474" s="4" t="str">
        <f t="shared" si="36"/>
        <v/>
      </c>
      <c r="Y474" s="4" t="str">
        <f t="shared" si="37"/>
        <v/>
      </c>
      <c r="Z474" s="5">
        <f t="shared" si="38"/>
        <v>1.17</v>
      </c>
      <c r="AA474" s="6">
        <f t="shared" si="39"/>
        <v>2</v>
      </c>
      <c r="AB474" t="str">
        <f>IFERROR(F474&amp;"*"&amp;ROUND(L474*(G474/(G474+I474+K474))/VLOOKUP(F474,商品!$A$4:$D$67,4,FALSE),0),"")</f>
        <v/>
      </c>
      <c r="AC474" t="str">
        <f>IFERROR(H474&amp;"*"&amp;ROUND(L474*(I474/(G474+I474+K474))/VLOOKUP(H474,商品!$A$4:$D$67,4,FALSE),0),"")</f>
        <v/>
      </c>
      <c r="AD474" t="str">
        <f>IFERROR(J474&amp;"*"&amp;ROUND(L474*(K474/(G474+I474+K474))/VLOOKUP(J474,商品!$A$4:$D$67,4,FALSE),0),"")</f>
        <v/>
      </c>
      <c r="AE474" t="str">
        <f>IFERROR(M474&amp;"*"&amp;ROUND(Q474*(N474/(N474+P474))/VLOOKUP(M474,职业!$A$3:$E$16,4,FALSE),0),"")</f>
        <v/>
      </c>
      <c r="AF474" t="str">
        <f>IFERROR(O474&amp;"*"&amp;ROUND(Q474*(P474/(N474+P474))/VLOOKUP(O474,职业!$A$3:$E$16,4,FALSE),0),"")</f>
        <v/>
      </c>
      <c r="AG474" t="str">
        <f>IFERROR(R474&amp;"*"&amp;ROUND(V474*(S474/(S474+U474))/VLOOKUP(R474,商品!$A$4:$D$67,4,FALSE),0),"")</f>
        <v/>
      </c>
      <c r="AH474" t="str">
        <f>IFERROR(T474&amp;"*"&amp;ROUND(V474*(U474/(S474+U474))/VLOOKUP(T474,商品!$A$4:$D$67,4,FALSE),0),"")</f>
        <v/>
      </c>
    </row>
    <row r="475" customHeight="1" spans="1:34">
      <c r="A475" s="15" t="s">
        <v>371</v>
      </c>
      <c r="C475" s="2">
        <v>3</v>
      </c>
      <c r="D475" s="2" t="s">
        <v>238</v>
      </c>
      <c r="E475" s="2" t="s">
        <v>224</v>
      </c>
      <c r="L475" s="2">
        <f>IFERROR(VLOOKUP($D475&amp;$C475,生产方式定位!$A$2:$E$39,2,FALSE)+VLOOKUP($E475&amp;$C475,生产方式定位!$F$3:$J$39,2,FALSE),0)</f>
        <v>12000</v>
      </c>
      <c r="Q475" s="2">
        <f>IFERROR(VLOOKUP($D475&amp;$C475,生产方式定位!$A$2:$E$39,3,FALSE)+VLOOKUP($E475&amp;$C475,生产方式定位!$F$3:$J$39,3,FALSE),0)</f>
        <v>8600</v>
      </c>
      <c r="V475" s="2">
        <f>IFERROR(VLOOKUP($D475&amp;$C475,生产方式定位!$A$2:$E$39,5,FALSE)+VLOOKUP($E475&amp;$C475,生产方式定位!$F$3:$J$39,5,FALSE),"错误")</f>
        <v>10560</v>
      </c>
      <c r="W475" s="3" t="str">
        <f t="shared" si="35"/>
        <v/>
      </c>
      <c r="X475" s="4" t="str">
        <f t="shared" si="36"/>
        <v/>
      </c>
      <c r="Y475" s="4" t="str">
        <f t="shared" si="37"/>
        <v/>
      </c>
      <c r="Z475" s="5">
        <f t="shared" si="38"/>
        <v>1.14</v>
      </c>
      <c r="AA475" s="6">
        <f t="shared" si="39"/>
        <v>3</v>
      </c>
      <c r="AB475" t="str">
        <f>IFERROR(F475&amp;"*"&amp;ROUND(L475*(G475/(G475+I475+K475))/VLOOKUP(F475,商品!$A$4:$D$67,4,FALSE),0),"")</f>
        <v/>
      </c>
      <c r="AC475" t="str">
        <f>IFERROR(H475&amp;"*"&amp;ROUND(L475*(I475/(G475+I475+K475))/VLOOKUP(H475,商品!$A$4:$D$67,4,FALSE),0),"")</f>
        <v/>
      </c>
      <c r="AD475" t="str">
        <f>IFERROR(J475&amp;"*"&amp;ROUND(L475*(K475/(G475+I475+K475))/VLOOKUP(J475,商品!$A$4:$D$67,4,FALSE),0),"")</f>
        <v/>
      </c>
      <c r="AE475" t="str">
        <f>IFERROR(M475&amp;"*"&amp;ROUND(Q475*(N475/(N475+P475))/VLOOKUP(M475,职业!$A$3:$E$16,4,FALSE),0),"")</f>
        <v/>
      </c>
      <c r="AF475" t="str">
        <f>IFERROR(O475&amp;"*"&amp;ROUND(Q475*(P475/(N475+P475))/VLOOKUP(O475,职业!$A$3:$E$16,4,FALSE),0),"")</f>
        <v/>
      </c>
      <c r="AG475" t="str">
        <f>IFERROR(R475&amp;"*"&amp;ROUND(V475*(S475/(S475+U475))/VLOOKUP(R475,商品!$A$4:$D$67,4,FALSE),0),"")</f>
        <v/>
      </c>
      <c r="AH475" t="str">
        <f>IFERROR(T475&amp;"*"&amp;ROUND(V475*(U475/(S475+U475))/VLOOKUP(T475,商品!$A$4:$D$67,4,FALSE),0),"")</f>
        <v/>
      </c>
    </row>
    <row r="476" customHeight="1" spans="1:34">
      <c r="A476" s="15" t="s">
        <v>371</v>
      </c>
      <c r="C476" s="2">
        <v>4</v>
      </c>
      <c r="D476" s="2" t="s">
        <v>238</v>
      </c>
      <c r="E476" s="2" t="s">
        <v>224</v>
      </c>
      <c r="L476" s="2">
        <f>IFERROR(VLOOKUP($D476&amp;$C476,生产方式定位!$A$2:$E$39,2,FALSE)+VLOOKUP($E476&amp;$C476,生产方式定位!$F$3:$J$39,2,FALSE),0)</f>
        <v>12000</v>
      </c>
      <c r="Q476" s="2">
        <f>IFERROR(VLOOKUP($D476&amp;$C476,生产方式定位!$A$2:$E$39,3,FALSE)+VLOOKUP($E476&amp;$C476,生产方式定位!$F$3:$J$39,3,FALSE),0)</f>
        <v>8900</v>
      </c>
      <c r="V476" s="2">
        <f>IFERROR(VLOOKUP($D476&amp;$C476,生产方式定位!$A$2:$E$39,5,FALSE)+VLOOKUP($E476&amp;$C476,生产方式定位!$F$3:$J$39,5,FALSE),"错误")</f>
        <v>10960</v>
      </c>
      <c r="W476" s="3" t="str">
        <f t="shared" si="35"/>
        <v/>
      </c>
      <c r="X476" s="4" t="str">
        <f t="shared" si="36"/>
        <v/>
      </c>
      <c r="Y476" s="4" t="str">
        <f t="shared" si="37"/>
        <v/>
      </c>
      <c r="Z476" s="5">
        <f t="shared" si="38"/>
        <v>1.09</v>
      </c>
      <c r="AA476" s="6">
        <f t="shared" si="39"/>
        <v>4</v>
      </c>
      <c r="AB476" t="str">
        <f>IFERROR(F476&amp;"*"&amp;ROUND(L476*(G476/(G476+I476+K476))/VLOOKUP(F476,商品!$A$4:$D$67,4,FALSE),0),"")</f>
        <v/>
      </c>
      <c r="AC476" t="str">
        <f>IFERROR(H476&amp;"*"&amp;ROUND(L476*(I476/(G476+I476+K476))/VLOOKUP(H476,商品!$A$4:$D$67,4,FALSE),0),"")</f>
        <v/>
      </c>
      <c r="AD476" t="str">
        <f>IFERROR(J476&amp;"*"&amp;ROUND(L476*(K476/(G476+I476+K476))/VLOOKUP(J476,商品!$A$4:$D$67,4,FALSE),0),"")</f>
        <v/>
      </c>
      <c r="AE476" t="str">
        <f>IFERROR(M476&amp;"*"&amp;ROUND(Q476*(N476/(N476+P476))/VLOOKUP(M476,职业!$A$3:$E$16,4,FALSE),0),"")</f>
        <v/>
      </c>
      <c r="AF476" t="str">
        <f>IFERROR(O476&amp;"*"&amp;ROUND(Q476*(P476/(N476+P476))/VLOOKUP(O476,职业!$A$3:$E$16,4,FALSE),0),"")</f>
        <v/>
      </c>
      <c r="AG476" t="str">
        <f>IFERROR(R476&amp;"*"&amp;ROUND(V476*(S476/(S476+U476))/VLOOKUP(R476,商品!$A$4:$D$67,4,FALSE),0),"")</f>
        <v/>
      </c>
      <c r="AH476" t="str">
        <f>IFERROR(T476&amp;"*"&amp;ROUND(V476*(U476/(S476+U476))/VLOOKUP(T476,商品!$A$4:$D$67,4,FALSE),0),"")</f>
        <v/>
      </c>
    </row>
    <row r="477" customHeight="1" spans="1:34">
      <c r="A477" s="15" t="s">
        <v>371</v>
      </c>
      <c r="C477" s="2">
        <v>5</v>
      </c>
      <c r="D477" s="2" t="s">
        <v>238</v>
      </c>
      <c r="E477" s="2" t="s">
        <v>224</v>
      </c>
      <c r="L477" s="2">
        <f>IFERROR(VLOOKUP($D477&amp;$C477,生产方式定位!$A$2:$E$39,2,FALSE)+VLOOKUP($E477&amp;$C477,生产方式定位!$F$3:$J$39,2,FALSE),0)</f>
        <v>12000</v>
      </c>
      <c r="Q477" s="2">
        <f>IFERROR(VLOOKUP($D477&amp;$C477,生产方式定位!$A$2:$E$39,3,FALSE)+VLOOKUP($E477&amp;$C477,生产方式定位!$F$3:$J$39,3,FALSE),0)</f>
        <v>9200</v>
      </c>
      <c r="V477" s="2">
        <f>IFERROR(VLOOKUP($D477&amp;$C477,生产方式定位!$A$2:$E$39,5,FALSE)+VLOOKUP($E477&amp;$C477,生产方式定位!$F$3:$J$39,5,FALSE),"错误")</f>
        <v>11440</v>
      </c>
      <c r="W477" s="3" t="str">
        <f t="shared" si="35"/>
        <v/>
      </c>
      <c r="X477" s="4" t="str">
        <f t="shared" si="36"/>
        <v/>
      </c>
      <c r="Y477" s="4" t="str">
        <f t="shared" si="37"/>
        <v/>
      </c>
      <c r="Z477" s="5">
        <f t="shared" si="38"/>
        <v>1.05</v>
      </c>
      <c r="AA477" s="6">
        <f t="shared" si="39"/>
        <v>5</v>
      </c>
      <c r="AB477" t="str">
        <f>IFERROR(F477&amp;"*"&amp;ROUND(L477*(G477/(G477+I477+K477))/VLOOKUP(F477,商品!$A$4:$D$67,4,FALSE),0),"")</f>
        <v/>
      </c>
      <c r="AC477" t="str">
        <f>IFERROR(H477&amp;"*"&amp;ROUND(L477*(I477/(G477+I477+K477))/VLOOKUP(H477,商品!$A$4:$D$67,4,FALSE),0),"")</f>
        <v/>
      </c>
      <c r="AD477" t="str">
        <f>IFERROR(J477&amp;"*"&amp;ROUND(L477*(K477/(G477+I477+K477))/VLOOKUP(J477,商品!$A$4:$D$67,4,FALSE),0),"")</f>
        <v/>
      </c>
      <c r="AE477" t="str">
        <f>IFERROR(M477&amp;"*"&amp;ROUND(Q477*(N477/(N477+P477))/VLOOKUP(M477,职业!$A$3:$E$16,4,FALSE),0),"")</f>
        <v/>
      </c>
      <c r="AF477" t="str">
        <f>IFERROR(O477&amp;"*"&amp;ROUND(Q477*(P477/(N477+P477))/VLOOKUP(O477,职业!$A$3:$E$16,4,FALSE),0),"")</f>
        <v/>
      </c>
      <c r="AG477" t="str">
        <f>IFERROR(R477&amp;"*"&amp;ROUND(V477*(S477/(S477+U477))/VLOOKUP(R477,商品!$A$4:$D$67,4,FALSE),0),"")</f>
        <v/>
      </c>
      <c r="AH477" t="str">
        <f>IFERROR(T477&amp;"*"&amp;ROUND(V477*(U477/(S477+U477))/VLOOKUP(T477,商品!$A$4:$D$67,4,FALSE),0),"")</f>
        <v/>
      </c>
    </row>
    <row r="478" customHeight="1" spans="1:34">
      <c r="A478" s="15" t="s">
        <v>371</v>
      </c>
      <c r="C478" s="2">
        <v>1</v>
      </c>
      <c r="D478" s="2" t="s">
        <v>238</v>
      </c>
      <c r="E478" s="2" t="s">
        <v>224</v>
      </c>
      <c r="L478" s="2">
        <f>IFERROR(VLOOKUP($D478&amp;$C478,生产方式定位!$A$2:$E$39,2,FALSE)+VLOOKUP($E478&amp;$C478,生产方式定位!$F$3:$J$39,2,FALSE),0)</f>
        <v>11000</v>
      </c>
      <c r="Q478" s="2">
        <f>IFERROR(VLOOKUP($D478&amp;$C478,生产方式定位!$A$2:$E$39,3,FALSE)+VLOOKUP($E478&amp;$C478,生产方式定位!$F$3:$J$39,3,FALSE),0)</f>
        <v>8000</v>
      </c>
      <c r="V478" s="2">
        <f>IFERROR(VLOOKUP($D478&amp;$C478,生产方式定位!$A$2:$E$39,5,FALSE)+VLOOKUP($E478&amp;$C478,生产方式定位!$F$3:$J$39,5,FALSE),"错误")</f>
        <v>9500</v>
      </c>
      <c r="W478" s="3" t="str">
        <f t="shared" si="35"/>
        <v/>
      </c>
      <c r="X478" s="4" t="str">
        <f t="shared" si="36"/>
        <v/>
      </c>
      <c r="Y478" s="4" t="str">
        <f t="shared" si="37"/>
        <v/>
      </c>
      <c r="Z478" s="5">
        <f t="shared" si="38"/>
        <v>1.16</v>
      </c>
      <c r="AA478" s="6">
        <f t="shared" si="39"/>
        <v>1</v>
      </c>
      <c r="AB478" t="str">
        <f>IFERROR(F478&amp;"*"&amp;ROUND(L478*(G478/(G478+I478+K478))/VLOOKUP(F478,商品!$A$4:$D$67,4,FALSE),0),"")</f>
        <v/>
      </c>
      <c r="AC478" t="str">
        <f>IFERROR(H478&amp;"*"&amp;ROUND(L478*(I478/(G478+I478+K478))/VLOOKUP(H478,商品!$A$4:$D$67,4,FALSE),0),"")</f>
        <v/>
      </c>
      <c r="AD478" t="str">
        <f>IFERROR(J478&amp;"*"&amp;ROUND(L478*(K478/(G478+I478+K478))/VLOOKUP(J478,商品!$A$4:$D$67,4,FALSE),0),"")</f>
        <v/>
      </c>
      <c r="AE478" t="str">
        <f>IFERROR(M478&amp;"*"&amp;ROUND(Q478*(N478/(N478+P478))/VLOOKUP(M478,职业!$A$3:$E$16,4,FALSE),0),"")</f>
        <v/>
      </c>
      <c r="AF478" t="str">
        <f>IFERROR(O478&amp;"*"&amp;ROUND(Q478*(P478/(N478+P478))/VLOOKUP(O478,职业!$A$3:$E$16,4,FALSE),0),"")</f>
        <v/>
      </c>
      <c r="AG478" t="str">
        <f>IFERROR(R478&amp;"*"&amp;ROUND(V478*(S478/(S478+U478))/VLOOKUP(R478,商品!$A$4:$D$67,4,FALSE),0),"")</f>
        <v/>
      </c>
      <c r="AH478" t="str">
        <f>IFERROR(T478&amp;"*"&amp;ROUND(V478*(U478/(S478+U478))/VLOOKUP(T478,商品!$A$4:$D$67,4,FALSE),0),"")</f>
        <v/>
      </c>
    </row>
    <row r="479" customHeight="1" spans="1:34">
      <c r="A479" s="14" t="s">
        <v>371</v>
      </c>
      <c r="C479" s="2">
        <v>2</v>
      </c>
      <c r="D479" s="2" t="s">
        <v>238</v>
      </c>
      <c r="E479" s="2" t="s">
        <v>224</v>
      </c>
      <c r="L479" s="2">
        <f>IFERROR(VLOOKUP($D479&amp;$C479,生产方式定位!$A$2:$E$39,2,FALSE)+VLOOKUP($E479&amp;$C479,生产方式定位!$F$3:$J$39,2,FALSE),0)</f>
        <v>12000</v>
      </c>
      <c r="Q479" s="2">
        <f>IFERROR(VLOOKUP($D479&amp;$C479,生产方式定位!$A$2:$E$39,3,FALSE)+VLOOKUP($E479&amp;$C479,生产方式定位!$F$3:$J$39,3,FALSE),0)</f>
        <v>8300</v>
      </c>
      <c r="V479" s="2">
        <f>IFERROR(VLOOKUP($D479&amp;$C479,生产方式定位!$A$2:$E$39,5,FALSE)+VLOOKUP($E479&amp;$C479,生产方式定位!$F$3:$J$39,5,FALSE),"错误")</f>
        <v>10240</v>
      </c>
      <c r="W479" s="3" t="str">
        <f t="shared" si="35"/>
        <v/>
      </c>
      <c r="X479" s="4" t="str">
        <f t="shared" si="36"/>
        <v/>
      </c>
      <c r="Y479" s="4" t="str">
        <f t="shared" si="37"/>
        <v/>
      </c>
      <c r="Z479" s="5">
        <f t="shared" si="38"/>
        <v>1.17</v>
      </c>
      <c r="AA479" s="6">
        <f t="shared" si="39"/>
        <v>2</v>
      </c>
      <c r="AB479" t="str">
        <f>IFERROR(F479&amp;"*"&amp;ROUND(L479*(G479/(G479+I479+K479))/VLOOKUP(F479,商品!$A$4:$D$67,4,FALSE),0),"")</f>
        <v/>
      </c>
      <c r="AC479" t="str">
        <f>IFERROR(H479&amp;"*"&amp;ROUND(L479*(I479/(G479+I479+K479))/VLOOKUP(H479,商品!$A$4:$D$67,4,FALSE),0),"")</f>
        <v/>
      </c>
      <c r="AD479" t="str">
        <f>IFERROR(J479&amp;"*"&amp;ROUND(L479*(K479/(G479+I479+K479))/VLOOKUP(J479,商品!$A$4:$D$67,4,FALSE),0),"")</f>
        <v/>
      </c>
      <c r="AE479" t="str">
        <f>IFERROR(M479&amp;"*"&amp;ROUND(Q479*(N479/(N479+P479))/VLOOKUP(M479,职业!$A$3:$E$16,4,FALSE),0),"")</f>
        <v/>
      </c>
      <c r="AF479" t="str">
        <f>IFERROR(O479&amp;"*"&amp;ROUND(Q479*(P479/(N479+P479))/VLOOKUP(O479,职业!$A$3:$E$16,4,FALSE),0),"")</f>
        <v/>
      </c>
      <c r="AG479" t="str">
        <f>IFERROR(R479&amp;"*"&amp;ROUND(V479*(S479/(S479+U479))/VLOOKUP(R479,商品!$A$4:$D$67,4,FALSE),0),"")</f>
        <v/>
      </c>
      <c r="AH479" t="str">
        <f>IFERROR(T479&amp;"*"&amp;ROUND(V479*(U479/(S479+U479))/VLOOKUP(T479,商品!$A$4:$D$67,4,FALSE),0),"")</f>
        <v/>
      </c>
    </row>
    <row r="480" customHeight="1" spans="1:34">
      <c r="A480" s="14" t="s">
        <v>371</v>
      </c>
      <c r="C480" s="2">
        <v>3</v>
      </c>
      <c r="D480" s="2" t="s">
        <v>238</v>
      </c>
      <c r="E480" s="2" t="s">
        <v>224</v>
      </c>
      <c r="L480" s="2">
        <f>IFERROR(VLOOKUP($D480&amp;$C480,生产方式定位!$A$2:$E$39,2,FALSE)+VLOOKUP($E480&amp;$C480,生产方式定位!$F$3:$J$39,2,FALSE),0)</f>
        <v>12000</v>
      </c>
      <c r="Q480" s="2">
        <f>IFERROR(VLOOKUP($D480&amp;$C480,生产方式定位!$A$2:$E$39,3,FALSE)+VLOOKUP($E480&amp;$C480,生产方式定位!$F$3:$J$39,3,FALSE),0)</f>
        <v>8600</v>
      </c>
      <c r="V480" s="2">
        <f>IFERROR(VLOOKUP($D480&amp;$C480,生产方式定位!$A$2:$E$39,5,FALSE)+VLOOKUP($E480&amp;$C480,生产方式定位!$F$3:$J$39,5,FALSE),"错误")</f>
        <v>10560</v>
      </c>
      <c r="W480" s="3" t="str">
        <f t="shared" si="35"/>
        <v/>
      </c>
      <c r="X480" s="4" t="str">
        <f t="shared" si="36"/>
        <v/>
      </c>
      <c r="Y480" s="4" t="str">
        <f t="shared" si="37"/>
        <v/>
      </c>
      <c r="Z480" s="5">
        <f t="shared" si="38"/>
        <v>1.14</v>
      </c>
      <c r="AA480" s="6">
        <f t="shared" si="39"/>
        <v>3</v>
      </c>
      <c r="AB480" t="str">
        <f>IFERROR(F480&amp;"*"&amp;ROUND(L480*(G480/(G480+I480+K480))/VLOOKUP(F480,商品!$A$4:$D$67,4,FALSE),0),"")</f>
        <v/>
      </c>
      <c r="AC480" t="str">
        <f>IFERROR(H480&amp;"*"&amp;ROUND(L480*(I480/(G480+I480+K480))/VLOOKUP(H480,商品!$A$4:$D$67,4,FALSE),0),"")</f>
        <v/>
      </c>
      <c r="AD480" t="str">
        <f>IFERROR(J480&amp;"*"&amp;ROUND(L480*(K480/(G480+I480+K480))/VLOOKUP(J480,商品!$A$4:$D$67,4,FALSE),0),"")</f>
        <v/>
      </c>
      <c r="AE480" t="str">
        <f>IFERROR(M480&amp;"*"&amp;ROUND(Q480*(N480/(N480+P480))/VLOOKUP(M480,职业!$A$3:$E$16,4,FALSE),0),"")</f>
        <v/>
      </c>
      <c r="AF480" t="str">
        <f>IFERROR(O480&amp;"*"&amp;ROUND(Q480*(P480/(N480+P480))/VLOOKUP(O480,职业!$A$3:$E$16,4,FALSE),0),"")</f>
        <v/>
      </c>
      <c r="AG480" t="str">
        <f>IFERROR(R480&amp;"*"&amp;ROUND(V480*(S480/(S480+U480))/VLOOKUP(R480,商品!$A$4:$D$67,4,FALSE),0),"")</f>
        <v/>
      </c>
      <c r="AH480" t="str">
        <f>IFERROR(T480&amp;"*"&amp;ROUND(V480*(U480/(S480+U480))/VLOOKUP(T480,商品!$A$4:$D$67,4,FALSE),0),"")</f>
        <v/>
      </c>
    </row>
    <row r="481" customHeight="1" spans="1:34">
      <c r="A481" s="14" t="s">
        <v>371</v>
      </c>
      <c r="C481" s="2">
        <v>4</v>
      </c>
      <c r="D481" s="2" t="s">
        <v>238</v>
      </c>
      <c r="E481" s="2" t="s">
        <v>224</v>
      </c>
      <c r="L481" s="2">
        <f>IFERROR(VLOOKUP($D481&amp;$C481,生产方式定位!$A$2:$E$39,2,FALSE)+VLOOKUP($E481&amp;$C481,生产方式定位!$F$3:$J$39,2,FALSE),0)</f>
        <v>12000</v>
      </c>
      <c r="Q481" s="2">
        <f>IFERROR(VLOOKUP($D481&amp;$C481,生产方式定位!$A$2:$E$39,3,FALSE)+VLOOKUP($E481&amp;$C481,生产方式定位!$F$3:$J$39,3,FALSE),0)</f>
        <v>8900</v>
      </c>
      <c r="V481" s="2">
        <f>IFERROR(VLOOKUP($D481&amp;$C481,生产方式定位!$A$2:$E$39,5,FALSE)+VLOOKUP($E481&amp;$C481,生产方式定位!$F$3:$J$39,5,FALSE),"错误")</f>
        <v>10960</v>
      </c>
      <c r="W481" s="3" t="str">
        <f t="shared" si="35"/>
        <v/>
      </c>
      <c r="X481" s="4" t="str">
        <f t="shared" si="36"/>
        <v/>
      </c>
      <c r="Y481" s="4" t="str">
        <f t="shared" si="37"/>
        <v/>
      </c>
      <c r="Z481" s="5">
        <f t="shared" si="38"/>
        <v>1.09</v>
      </c>
      <c r="AA481" s="6">
        <f t="shared" si="39"/>
        <v>4</v>
      </c>
      <c r="AB481" t="str">
        <f>IFERROR(F481&amp;"*"&amp;ROUND(L481*(G481/(G481+I481+K481))/VLOOKUP(F481,商品!$A$4:$D$67,4,FALSE),0),"")</f>
        <v/>
      </c>
      <c r="AC481" t="str">
        <f>IFERROR(H481&amp;"*"&amp;ROUND(L481*(I481/(G481+I481+K481))/VLOOKUP(H481,商品!$A$4:$D$67,4,FALSE),0),"")</f>
        <v/>
      </c>
      <c r="AD481" t="str">
        <f>IFERROR(J481&amp;"*"&amp;ROUND(L481*(K481/(G481+I481+K481))/VLOOKUP(J481,商品!$A$4:$D$67,4,FALSE),0),"")</f>
        <v/>
      </c>
      <c r="AE481" t="str">
        <f>IFERROR(M481&amp;"*"&amp;ROUND(Q481*(N481/(N481+P481))/VLOOKUP(M481,职业!$A$3:$E$16,4,FALSE),0),"")</f>
        <v/>
      </c>
      <c r="AF481" t="str">
        <f>IFERROR(O481&amp;"*"&amp;ROUND(Q481*(P481/(N481+P481))/VLOOKUP(O481,职业!$A$3:$E$16,4,FALSE),0),"")</f>
        <v/>
      </c>
      <c r="AG481" t="str">
        <f>IFERROR(R481&amp;"*"&amp;ROUND(V481*(S481/(S481+U481))/VLOOKUP(R481,商品!$A$4:$D$67,4,FALSE),0),"")</f>
        <v/>
      </c>
      <c r="AH481" t="str">
        <f>IFERROR(T481&amp;"*"&amp;ROUND(V481*(U481/(S481+U481))/VLOOKUP(T481,商品!$A$4:$D$67,4,FALSE),0),"")</f>
        <v/>
      </c>
    </row>
    <row r="482" customHeight="1" spans="1:34">
      <c r="A482" s="14" t="s">
        <v>371</v>
      </c>
      <c r="C482" s="2">
        <v>5</v>
      </c>
      <c r="D482" s="2" t="s">
        <v>238</v>
      </c>
      <c r="E482" s="2" t="s">
        <v>224</v>
      </c>
      <c r="L482" s="2">
        <f>IFERROR(VLOOKUP($D482&amp;$C482,生产方式定位!$A$2:$E$39,2,FALSE)+VLOOKUP($E482&amp;$C482,生产方式定位!$F$3:$J$39,2,FALSE),0)</f>
        <v>12000</v>
      </c>
      <c r="Q482" s="2">
        <f>IFERROR(VLOOKUP($D482&amp;$C482,生产方式定位!$A$2:$E$39,3,FALSE)+VLOOKUP($E482&amp;$C482,生产方式定位!$F$3:$J$39,3,FALSE),0)</f>
        <v>9200</v>
      </c>
      <c r="V482" s="2">
        <f>IFERROR(VLOOKUP($D482&amp;$C482,生产方式定位!$A$2:$E$39,5,FALSE)+VLOOKUP($E482&amp;$C482,生产方式定位!$F$3:$J$39,5,FALSE),"错误")</f>
        <v>11440</v>
      </c>
      <c r="W482" s="3" t="str">
        <f t="shared" si="35"/>
        <v/>
      </c>
      <c r="X482" s="4" t="str">
        <f t="shared" si="36"/>
        <v/>
      </c>
      <c r="Y482" s="4" t="str">
        <f t="shared" si="37"/>
        <v/>
      </c>
      <c r="Z482" s="5">
        <f t="shared" si="38"/>
        <v>1.05</v>
      </c>
      <c r="AA482" s="6">
        <f t="shared" si="39"/>
        <v>5</v>
      </c>
      <c r="AB482" t="str">
        <f>IFERROR(F482&amp;"*"&amp;ROUND(L482*(G482/(G482+I482+K482))/VLOOKUP(F482,商品!$A$4:$D$67,4,FALSE),0),"")</f>
        <v/>
      </c>
      <c r="AC482" t="str">
        <f>IFERROR(H482&amp;"*"&amp;ROUND(L482*(I482/(G482+I482+K482))/VLOOKUP(H482,商品!$A$4:$D$67,4,FALSE),0),"")</f>
        <v/>
      </c>
      <c r="AD482" t="str">
        <f>IFERROR(J482&amp;"*"&amp;ROUND(L482*(K482/(G482+I482+K482))/VLOOKUP(J482,商品!$A$4:$D$67,4,FALSE),0),"")</f>
        <v/>
      </c>
      <c r="AE482" t="str">
        <f>IFERROR(M482&amp;"*"&amp;ROUND(Q482*(N482/(N482+P482))/VLOOKUP(M482,职业!$A$3:$E$16,4,FALSE),0),"")</f>
        <v/>
      </c>
      <c r="AF482" t="str">
        <f>IFERROR(O482&amp;"*"&amp;ROUND(Q482*(P482/(N482+P482))/VLOOKUP(O482,职业!$A$3:$E$16,4,FALSE),0),"")</f>
        <v/>
      </c>
      <c r="AG482" t="str">
        <f>IFERROR(R482&amp;"*"&amp;ROUND(V482*(S482/(S482+U482))/VLOOKUP(R482,商品!$A$4:$D$67,4,FALSE),0),"")</f>
        <v/>
      </c>
      <c r="AH482" t="str">
        <f>IFERROR(T482&amp;"*"&amp;ROUND(V482*(U482/(S482+U482))/VLOOKUP(T482,商品!$A$4:$D$67,4,FALSE),0),"")</f>
        <v/>
      </c>
    </row>
    <row r="483" customHeight="1" spans="1:34">
      <c r="A483" s="14" t="s">
        <v>371</v>
      </c>
      <c r="C483" s="2">
        <v>6</v>
      </c>
      <c r="D483" s="2" t="s">
        <v>238</v>
      </c>
      <c r="E483" s="2" t="s">
        <v>224</v>
      </c>
      <c r="L483" s="2">
        <f>IFERROR(VLOOKUP($D483&amp;$C483,生产方式定位!$A$2:$E$39,2,FALSE)+VLOOKUP($E483&amp;$C483,生产方式定位!$F$3:$J$39,2,FALSE),0)</f>
        <v>0</v>
      </c>
      <c r="Q483" s="2">
        <f>IFERROR(VLOOKUP($D483&amp;$C483,生产方式定位!$A$2:$E$39,3,FALSE)+VLOOKUP($E483&amp;$C483,生产方式定位!$F$3:$J$39,3,FALSE),0)</f>
        <v>0</v>
      </c>
      <c r="V483" s="2" t="str">
        <f>IFERROR(VLOOKUP($D483&amp;$C483,生产方式定位!$A$2:$E$39,5,FALSE)+VLOOKUP($E483&amp;$C483,生产方式定位!$F$3:$J$39,5,FALSE),"错误")</f>
        <v>错误</v>
      </c>
      <c r="W483" s="3" t="str">
        <f t="shared" si="35"/>
        <v/>
      </c>
      <c r="X483" s="4" t="str">
        <f t="shared" si="36"/>
        <v/>
      </c>
      <c r="Y483" s="4" t="str">
        <f t="shared" si="37"/>
        <v/>
      </c>
      <c r="Z483" s="5" t="str">
        <f t="shared" si="38"/>
        <v/>
      </c>
      <c r="AA483" s="6">
        <f t="shared" si="39"/>
        <v>6</v>
      </c>
      <c r="AB483" t="str">
        <f>IFERROR(F483&amp;"*"&amp;ROUND(L483*(G483/(G483+I483+K483))/VLOOKUP(F483,商品!$A$4:$D$67,4,FALSE),0),"")</f>
        <v/>
      </c>
      <c r="AC483" t="str">
        <f>IFERROR(H483&amp;"*"&amp;ROUND(L483*(I483/(G483+I483+K483))/VLOOKUP(H483,商品!$A$4:$D$67,4,FALSE),0),"")</f>
        <v/>
      </c>
      <c r="AD483" t="str">
        <f>IFERROR(J483&amp;"*"&amp;ROUND(L483*(K483/(G483+I483+K483))/VLOOKUP(J483,商品!$A$4:$D$67,4,FALSE),0),"")</f>
        <v/>
      </c>
      <c r="AE483" t="str">
        <f>IFERROR(M483&amp;"*"&amp;ROUND(Q483*(N483/(N483+P483))/VLOOKUP(M483,职业!$A$3:$E$16,4,FALSE),0),"")</f>
        <v/>
      </c>
      <c r="AF483" t="str">
        <f>IFERROR(O483&amp;"*"&amp;ROUND(Q483*(P483/(N483+P483))/VLOOKUP(O483,职业!$A$3:$E$16,4,FALSE),0),"")</f>
        <v/>
      </c>
      <c r="AG483" t="str">
        <f>IFERROR(R483&amp;"*"&amp;ROUND(V483*(S483/(S483+U483))/VLOOKUP(R483,商品!$A$4:$D$67,4,FALSE),0),"")</f>
        <v/>
      </c>
      <c r="AH483" t="str">
        <f>IFERROR(T483&amp;"*"&amp;ROUND(V483*(U483/(S483+U483))/VLOOKUP(T483,商品!$A$4:$D$67,4,FALSE),0),"")</f>
        <v/>
      </c>
    </row>
    <row r="484" customHeight="1" spans="1:34">
      <c r="A484" s="15" t="s">
        <v>372</v>
      </c>
      <c r="C484" s="2">
        <v>7</v>
      </c>
      <c r="D484" s="2" t="s">
        <v>238</v>
      </c>
      <c r="E484" s="2" t="s">
        <v>225</v>
      </c>
      <c r="L484" s="2">
        <f>IFERROR(VLOOKUP($D484&amp;$C484,生产方式定位!$A$2:$E$39,2,FALSE)+VLOOKUP($E484&amp;$C484,生产方式定位!$F$3:$J$39,2,FALSE),0)</f>
        <v>0</v>
      </c>
      <c r="Q484" s="2">
        <f>IFERROR(VLOOKUP($D484&amp;$C484,生产方式定位!$A$2:$E$39,3,FALSE)+VLOOKUP($E484&amp;$C484,生产方式定位!$F$3:$J$39,3,FALSE),0)</f>
        <v>0</v>
      </c>
      <c r="V484" s="2" t="str">
        <f>IFERROR(VLOOKUP($D484&amp;$C484,生产方式定位!$A$2:$E$39,5,FALSE)+VLOOKUP($E484&amp;$C484,生产方式定位!$F$3:$J$39,5,FALSE),"错误")</f>
        <v>错误</v>
      </c>
      <c r="W484" s="3" t="str">
        <f t="shared" si="35"/>
        <v/>
      </c>
      <c r="X484" s="4" t="str">
        <f t="shared" si="36"/>
        <v/>
      </c>
      <c r="Y484" s="4" t="str">
        <f t="shared" si="37"/>
        <v/>
      </c>
      <c r="Z484" s="5" t="str">
        <f t="shared" si="38"/>
        <v/>
      </c>
      <c r="AA484" s="6">
        <f t="shared" si="39"/>
        <v>7</v>
      </c>
      <c r="AB484" t="str">
        <f>IFERROR(F484&amp;"*"&amp;ROUND(L484*(G484/(G484+I484+K484))/VLOOKUP(F484,商品!$A$4:$D$67,4,FALSE),0),"")</f>
        <v/>
      </c>
      <c r="AC484" t="str">
        <f>IFERROR(H484&amp;"*"&amp;ROUND(L484*(I484/(G484+I484+K484))/VLOOKUP(H484,商品!$A$4:$D$67,4,FALSE),0),"")</f>
        <v/>
      </c>
      <c r="AD484" t="str">
        <f>IFERROR(J484&amp;"*"&amp;ROUND(L484*(K484/(G484+I484+K484))/VLOOKUP(J484,商品!$A$4:$D$67,4,FALSE),0),"")</f>
        <v/>
      </c>
      <c r="AE484" t="str">
        <f>IFERROR(M484&amp;"*"&amp;ROUND(Q484*(N484/(N484+P484))/VLOOKUP(M484,职业!$A$3:$E$16,4,FALSE),0),"")</f>
        <v/>
      </c>
      <c r="AF484" t="str">
        <f>IFERROR(O484&amp;"*"&amp;ROUND(Q484*(P484/(N484+P484))/VLOOKUP(O484,职业!$A$3:$E$16,4,FALSE),0),"")</f>
        <v/>
      </c>
      <c r="AG484" t="str">
        <f>IFERROR(R484&amp;"*"&amp;ROUND(V484*(S484/(S484+U484))/VLOOKUP(R484,商品!$A$4:$D$67,4,FALSE),0),"")</f>
        <v/>
      </c>
      <c r="AH484" t="str">
        <f>IFERROR(T484&amp;"*"&amp;ROUND(V484*(U484/(S484+U484))/VLOOKUP(T484,商品!$A$4:$D$67,4,FALSE),0),"")</f>
        <v/>
      </c>
    </row>
    <row r="485" customHeight="1" spans="1:34">
      <c r="A485" s="15" t="s">
        <v>372</v>
      </c>
      <c r="C485" s="2">
        <v>8</v>
      </c>
      <c r="D485" s="2" t="s">
        <v>238</v>
      </c>
      <c r="E485" s="2" t="s">
        <v>225</v>
      </c>
      <c r="L485" s="2">
        <f>IFERROR(VLOOKUP($D485&amp;$C485,生产方式定位!$A$2:$E$39,2,FALSE)+VLOOKUP($E485&amp;$C485,生产方式定位!$F$3:$J$39,2,FALSE),0)</f>
        <v>0</v>
      </c>
      <c r="Q485" s="2">
        <f>IFERROR(VLOOKUP($D485&amp;$C485,生产方式定位!$A$2:$E$39,3,FALSE)+VLOOKUP($E485&amp;$C485,生产方式定位!$F$3:$J$39,3,FALSE),0)</f>
        <v>0</v>
      </c>
      <c r="V485" s="2" t="str">
        <f>IFERROR(VLOOKUP($D485&amp;$C485,生产方式定位!$A$2:$E$39,5,FALSE)+VLOOKUP($E485&amp;$C485,生产方式定位!$F$3:$J$39,5,FALSE),"错误")</f>
        <v>错误</v>
      </c>
      <c r="W485" s="3" t="str">
        <f t="shared" si="35"/>
        <v/>
      </c>
      <c r="X485" s="4" t="str">
        <f t="shared" si="36"/>
        <v/>
      </c>
      <c r="Y485" s="4" t="str">
        <f t="shared" si="37"/>
        <v/>
      </c>
      <c r="Z485" s="5" t="str">
        <f t="shared" si="38"/>
        <v/>
      </c>
      <c r="AA485" s="6">
        <f t="shared" si="39"/>
        <v>8</v>
      </c>
      <c r="AB485" t="str">
        <f>IFERROR(F485&amp;"*"&amp;ROUND(L485*(G485/(G485+I485+K485))/VLOOKUP(F485,商品!$A$4:$D$67,4,FALSE),0),"")</f>
        <v/>
      </c>
      <c r="AC485" t="str">
        <f>IFERROR(H485&amp;"*"&amp;ROUND(L485*(I485/(G485+I485+K485))/VLOOKUP(H485,商品!$A$4:$D$67,4,FALSE),0),"")</f>
        <v/>
      </c>
      <c r="AD485" t="str">
        <f>IFERROR(J485&amp;"*"&amp;ROUND(L485*(K485/(G485+I485+K485))/VLOOKUP(J485,商品!$A$4:$D$67,4,FALSE),0),"")</f>
        <v/>
      </c>
      <c r="AE485" t="str">
        <f>IFERROR(M485&amp;"*"&amp;ROUND(Q485*(N485/(N485+P485))/VLOOKUP(M485,职业!$A$3:$E$16,4,FALSE),0),"")</f>
        <v/>
      </c>
      <c r="AF485" t="str">
        <f>IFERROR(O485&amp;"*"&amp;ROUND(Q485*(P485/(N485+P485))/VLOOKUP(O485,职业!$A$3:$E$16,4,FALSE),0),"")</f>
        <v/>
      </c>
      <c r="AG485" t="str">
        <f>IFERROR(R485&amp;"*"&amp;ROUND(V485*(S485/(S485+U485))/VLOOKUP(R485,商品!$A$4:$D$67,4,FALSE),0),"")</f>
        <v/>
      </c>
      <c r="AH485" t="str">
        <f>IFERROR(T485&amp;"*"&amp;ROUND(V485*(U485/(S485+U485))/VLOOKUP(T485,商品!$A$4:$D$67,4,FALSE),0),"")</f>
        <v/>
      </c>
    </row>
    <row r="486" customHeight="1" spans="1:34">
      <c r="A486" s="15" t="s">
        <v>372</v>
      </c>
      <c r="C486" s="2">
        <v>1</v>
      </c>
      <c r="D486" s="2" t="s">
        <v>238</v>
      </c>
      <c r="E486" s="2" t="s">
        <v>225</v>
      </c>
      <c r="L486" s="2">
        <f>IFERROR(VLOOKUP($D486&amp;$C486,生产方式定位!$A$2:$E$39,2,FALSE)+VLOOKUP($E486&amp;$C486,生产方式定位!$F$3:$J$39,2,FALSE),0)</f>
        <v>11000</v>
      </c>
      <c r="Q486" s="2">
        <f>IFERROR(VLOOKUP($D486&amp;$C486,生产方式定位!$A$2:$E$39,3,FALSE)+VLOOKUP($E486&amp;$C486,生产方式定位!$F$3:$J$39,3,FALSE),0)</f>
        <v>8000</v>
      </c>
      <c r="V486" s="2">
        <f>IFERROR(VLOOKUP($D486&amp;$C486,生产方式定位!$A$2:$E$39,5,FALSE)+VLOOKUP($E486&amp;$C486,生产方式定位!$F$3:$J$39,5,FALSE),"错误")</f>
        <v>9500</v>
      </c>
      <c r="W486" s="3" t="str">
        <f t="shared" si="35"/>
        <v/>
      </c>
      <c r="X486" s="4" t="str">
        <f t="shared" si="36"/>
        <v/>
      </c>
      <c r="Y486" s="4" t="str">
        <f t="shared" si="37"/>
        <v/>
      </c>
      <c r="Z486" s="5">
        <f t="shared" si="38"/>
        <v>1.16</v>
      </c>
      <c r="AA486" s="6">
        <f t="shared" si="39"/>
        <v>1</v>
      </c>
      <c r="AB486" t="str">
        <f>IFERROR(F486&amp;"*"&amp;ROUND(L486*(G486/(G486+I486+K486))/VLOOKUP(F486,商品!$A$4:$D$67,4,FALSE),0),"")</f>
        <v/>
      </c>
      <c r="AC486" t="str">
        <f>IFERROR(H486&amp;"*"&amp;ROUND(L486*(I486/(G486+I486+K486))/VLOOKUP(H486,商品!$A$4:$D$67,4,FALSE),0),"")</f>
        <v/>
      </c>
      <c r="AD486" t="str">
        <f>IFERROR(J486&amp;"*"&amp;ROUND(L486*(K486/(G486+I486+K486))/VLOOKUP(J486,商品!$A$4:$D$67,4,FALSE),0),"")</f>
        <v/>
      </c>
      <c r="AE486" t="str">
        <f>IFERROR(M486&amp;"*"&amp;ROUND(Q486*(N486/(N486+P486))/VLOOKUP(M486,职业!$A$3:$E$16,4,FALSE),0),"")</f>
        <v/>
      </c>
      <c r="AF486" t="str">
        <f>IFERROR(O486&amp;"*"&amp;ROUND(Q486*(P486/(N486+P486))/VLOOKUP(O486,职业!$A$3:$E$16,4,FALSE),0),"")</f>
        <v/>
      </c>
      <c r="AG486" t="str">
        <f>IFERROR(R486&amp;"*"&amp;ROUND(V486*(S486/(S486+U486))/VLOOKUP(R486,商品!$A$4:$D$67,4,FALSE),0),"")</f>
        <v/>
      </c>
      <c r="AH486" t="str">
        <f>IFERROR(T486&amp;"*"&amp;ROUND(V486*(U486/(S486+U486))/VLOOKUP(T486,商品!$A$4:$D$67,4,FALSE),0),"")</f>
        <v/>
      </c>
    </row>
    <row r="487" customHeight="1" spans="1:34">
      <c r="A487" s="15" t="s">
        <v>372</v>
      </c>
      <c r="C487" s="2">
        <v>2</v>
      </c>
      <c r="D487" s="2" t="s">
        <v>238</v>
      </c>
      <c r="E487" s="2" t="s">
        <v>225</v>
      </c>
      <c r="L487" s="2">
        <f>IFERROR(VLOOKUP($D487&amp;$C487,生产方式定位!$A$2:$E$39,2,FALSE)+VLOOKUP($E487&amp;$C487,生产方式定位!$F$3:$J$39,2,FALSE),0)</f>
        <v>10000</v>
      </c>
      <c r="Q487" s="2">
        <f>IFERROR(VLOOKUP($D487&amp;$C487,生产方式定位!$A$2:$E$39,3,FALSE)+VLOOKUP($E487&amp;$C487,生产方式定位!$F$3:$J$39,3,FALSE),0)</f>
        <v>8500</v>
      </c>
      <c r="V487" s="2">
        <f>IFERROR(VLOOKUP($D487&amp;$C487,生产方式定位!$A$2:$E$39,5,FALSE)+VLOOKUP($E487&amp;$C487,生产方式定位!$F$3:$J$39,5,FALSE),"错误")</f>
        <v>9250</v>
      </c>
      <c r="W487" s="3" t="str">
        <f t="shared" si="35"/>
        <v/>
      </c>
      <c r="X487" s="4" t="str">
        <f t="shared" si="36"/>
        <v/>
      </c>
      <c r="Y487" s="4" t="str">
        <f t="shared" si="37"/>
        <v/>
      </c>
      <c r="Z487" s="5">
        <f t="shared" si="38"/>
        <v>1.08</v>
      </c>
      <c r="AA487" s="6">
        <f t="shared" si="39"/>
        <v>2</v>
      </c>
      <c r="AB487" t="str">
        <f>IFERROR(F487&amp;"*"&amp;ROUND(L487*(G487/(G487+I487+K487))/VLOOKUP(F487,商品!$A$4:$D$67,4,FALSE),0),"")</f>
        <v/>
      </c>
      <c r="AC487" t="str">
        <f>IFERROR(H487&amp;"*"&amp;ROUND(L487*(I487/(G487+I487+K487))/VLOOKUP(H487,商品!$A$4:$D$67,4,FALSE),0),"")</f>
        <v/>
      </c>
      <c r="AD487" t="str">
        <f>IFERROR(J487&amp;"*"&amp;ROUND(L487*(K487/(G487+I487+K487))/VLOOKUP(J487,商品!$A$4:$D$67,4,FALSE),0),"")</f>
        <v/>
      </c>
      <c r="AE487" t="str">
        <f>IFERROR(M487&amp;"*"&amp;ROUND(Q487*(N487/(N487+P487))/VLOOKUP(M487,职业!$A$3:$E$16,4,FALSE),0),"")</f>
        <v/>
      </c>
      <c r="AF487" t="str">
        <f>IFERROR(O487&amp;"*"&amp;ROUND(Q487*(P487/(N487+P487))/VLOOKUP(O487,职业!$A$3:$E$16,4,FALSE),0),"")</f>
        <v/>
      </c>
      <c r="AG487" t="str">
        <f>IFERROR(R487&amp;"*"&amp;ROUND(V487*(S487/(S487+U487))/VLOOKUP(R487,商品!$A$4:$D$67,4,FALSE),0),"")</f>
        <v/>
      </c>
      <c r="AH487" t="str">
        <f>IFERROR(T487&amp;"*"&amp;ROUND(V487*(U487/(S487+U487))/VLOOKUP(T487,商品!$A$4:$D$67,4,FALSE),0),"")</f>
        <v/>
      </c>
    </row>
    <row r="488" customHeight="1" spans="1:34">
      <c r="A488" s="15" t="s">
        <v>372</v>
      </c>
      <c r="C488" s="2">
        <v>3</v>
      </c>
      <c r="D488" s="2" t="s">
        <v>238</v>
      </c>
      <c r="E488" s="2" t="s">
        <v>225</v>
      </c>
      <c r="L488" s="2">
        <f>IFERROR(VLOOKUP($D488&amp;$C488,生产方式定位!$A$2:$E$39,2,FALSE)+VLOOKUP($E488&amp;$C488,生产方式定位!$F$3:$J$39,2,FALSE),0)</f>
        <v>9000</v>
      </c>
      <c r="Q488" s="2">
        <f>IFERROR(VLOOKUP($D488&amp;$C488,生产方式定位!$A$2:$E$39,3,FALSE)+VLOOKUP($E488&amp;$C488,生产方式定位!$F$3:$J$39,3,FALSE),0)</f>
        <v>9000</v>
      </c>
      <c r="V488" s="2">
        <f>IFERROR(VLOOKUP($D488&amp;$C488,生产方式定位!$A$2:$E$39,5,FALSE)+VLOOKUP($E488&amp;$C488,生产方式定位!$F$3:$J$39,5,FALSE),"错误")</f>
        <v>9000</v>
      </c>
      <c r="W488" s="3" t="str">
        <f t="shared" si="35"/>
        <v/>
      </c>
      <c r="X488" s="4" t="str">
        <f t="shared" si="36"/>
        <v/>
      </c>
      <c r="Y488" s="4" t="str">
        <f t="shared" si="37"/>
        <v/>
      </c>
      <c r="Z488" s="5">
        <f t="shared" si="38"/>
        <v>1</v>
      </c>
      <c r="AA488" s="6">
        <f t="shared" si="39"/>
        <v>3</v>
      </c>
      <c r="AB488" t="str">
        <f>IFERROR(F488&amp;"*"&amp;ROUND(L488*(G488/(G488+I488+K488))/VLOOKUP(F488,商品!$A$4:$D$67,4,FALSE),0),"")</f>
        <v/>
      </c>
      <c r="AC488" t="str">
        <f>IFERROR(H488&amp;"*"&amp;ROUND(L488*(I488/(G488+I488+K488))/VLOOKUP(H488,商品!$A$4:$D$67,4,FALSE),0),"")</f>
        <v/>
      </c>
      <c r="AD488" t="str">
        <f>IFERROR(J488&amp;"*"&amp;ROUND(L488*(K488/(G488+I488+K488))/VLOOKUP(J488,商品!$A$4:$D$67,4,FALSE),0),"")</f>
        <v/>
      </c>
      <c r="AE488" t="str">
        <f>IFERROR(M488&amp;"*"&amp;ROUND(Q488*(N488/(N488+P488))/VLOOKUP(M488,职业!$A$3:$E$16,4,FALSE),0),"")</f>
        <v/>
      </c>
      <c r="AF488" t="str">
        <f>IFERROR(O488&amp;"*"&amp;ROUND(Q488*(P488/(N488+P488))/VLOOKUP(O488,职业!$A$3:$E$16,4,FALSE),0),"")</f>
        <v/>
      </c>
      <c r="AG488" t="str">
        <f>IFERROR(R488&amp;"*"&amp;ROUND(V488*(S488/(S488+U488))/VLOOKUP(R488,商品!$A$4:$D$67,4,FALSE),0),"")</f>
        <v/>
      </c>
      <c r="AH488" t="str">
        <f>IFERROR(T488&amp;"*"&amp;ROUND(V488*(U488/(S488+U488))/VLOOKUP(T488,商品!$A$4:$D$67,4,FALSE),0),"")</f>
        <v/>
      </c>
    </row>
    <row r="489" customHeight="1" spans="1:34">
      <c r="A489" s="15" t="s">
        <v>372</v>
      </c>
      <c r="C489" s="2">
        <v>4</v>
      </c>
      <c r="D489" s="2" t="s">
        <v>238</v>
      </c>
      <c r="E489" s="2" t="s">
        <v>225</v>
      </c>
      <c r="L489" s="2">
        <f>IFERROR(VLOOKUP($D489&amp;$C489,生产方式定位!$A$2:$E$39,2,FALSE)+VLOOKUP($E489&amp;$C489,生产方式定位!$F$3:$J$39,2,FALSE),0)</f>
        <v>8000</v>
      </c>
      <c r="Q489" s="2">
        <f>IFERROR(VLOOKUP($D489&amp;$C489,生产方式定位!$A$2:$E$39,3,FALSE)+VLOOKUP($E489&amp;$C489,生产方式定位!$F$3:$J$39,3,FALSE),0)</f>
        <v>9500</v>
      </c>
      <c r="V489" s="2">
        <f>IFERROR(VLOOKUP($D489&amp;$C489,生产方式定位!$A$2:$E$39,5,FALSE)+VLOOKUP($E489&amp;$C489,生产方式定位!$F$3:$J$39,5,FALSE),"错误")</f>
        <v>8750</v>
      </c>
      <c r="W489" s="3" t="str">
        <f t="shared" si="35"/>
        <v/>
      </c>
      <c r="X489" s="4" t="str">
        <f t="shared" si="36"/>
        <v/>
      </c>
      <c r="Y489" s="4" t="str">
        <f t="shared" si="37"/>
        <v/>
      </c>
      <c r="Z489" s="5">
        <f t="shared" si="38"/>
        <v>0.91</v>
      </c>
      <c r="AA489" s="6">
        <f t="shared" si="39"/>
        <v>4</v>
      </c>
      <c r="AB489" t="str">
        <f>IFERROR(F489&amp;"*"&amp;ROUND(L489*(G489/(G489+I489+K489))/VLOOKUP(F489,商品!$A$4:$D$67,4,FALSE),0),"")</f>
        <v/>
      </c>
      <c r="AC489" t="str">
        <f>IFERROR(H489&amp;"*"&amp;ROUND(L489*(I489/(G489+I489+K489))/VLOOKUP(H489,商品!$A$4:$D$67,4,FALSE),0),"")</f>
        <v/>
      </c>
      <c r="AD489" t="str">
        <f>IFERROR(J489&amp;"*"&amp;ROUND(L489*(K489/(G489+I489+K489))/VLOOKUP(J489,商品!$A$4:$D$67,4,FALSE),0),"")</f>
        <v/>
      </c>
      <c r="AE489" t="str">
        <f>IFERROR(M489&amp;"*"&amp;ROUND(Q489*(N489/(N489+P489))/VLOOKUP(M489,职业!$A$3:$E$16,4,FALSE),0),"")</f>
        <v/>
      </c>
      <c r="AF489" t="str">
        <f>IFERROR(O489&amp;"*"&amp;ROUND(Q489*(P489/(N489+P489))/VLOOKUP(O489,职业!$A$3:$E$16,4,FALSE),0),"")</f>
        <v/>
      </c>
      <c r="AG489" t="str">
        <f>IFERROR(R489&amp;"*"&amp;ROUND(V489*(S489/(S489+U489))/VLOOKUP(R489,商品!$A$4:$D$67,4,FALSE),0),"")</f>
        <v/>
      </c>
      <c r="AH489" t="str">
        <f>IFERROR(T489&amp;"*"&amp;ROUND(V489*(U489/(S489+U489))/VLOOKUP(T489,商品!$A$4:$D$67,4,FALSE),0),"")</f>
        <v/>
      </c>
    </row>
    <row r="490" customHeight="1" spans="1:34">
      <c r="A490" s="15" t="s">
        <v>372</v>
      </c>
      <c r="C490" s="2">
        <v>5</v>
      </c>
      <c r="D490" s="2" t="s">
        <v>238</v>
      </c>
      <c r="E490" s="2" t="s">
        <v>225</v>
      </c>
      <c r="L490" s="2">
        <f>IFERROR(VLOOKUP($D490&amp;$C490,生产方式定位!$A$2:$E$39,2,FALSE)+VLOOKUP($E490&amp;$C490,生产方式定位!$F$3:$J$39,2,FALSE),0)</f>
        <v>7000</v>
      </c>
      <c r="Q490" s="2">
        <f>IFERROR(VLOOKUP($D490&amp;$C490,生产方式定位!$A$2:$E$39,3,FALSE)+VLOOKUP($E490&amp;$C490,生产方式定位!$F$3:$J$39,3,FALSE),0)</f>
        <v>10000</v>
      </c>
      <c r="V490" s="2">
        <f>IFERROR(VLOOKUP($D490&amp;$C490,生产方式定位!$A$2:$E$39,5,FALSE)+VLOOKUP($E490&amp;$C490,生产方式定位!$F$3:$J$39,5,FALSE),"错误")</f>
        <v>8500</v>
      </c>
      <c r="W490" s="3" t="str">
        <f t="shared" si="35"/>
        <v/>
      </c>
      <c r="X490" s="4" t="str">
        <f t="shared" si="36"/>
        <v/>
      </c>
      <c r="Y490" s="4" t="str">
        <f t="shared" si="37"/>
        <v/>
      </c>
      <c r="Z490" s="5">
        <f t="shared" si="38"/>
        <v>0.82</v>
      </c>
      <c r="AA490" s="6">
        <f t="shared" si="39"/>
        <v>5</v>
      </c>
      <c r="AB490" t="str">
        <f>IFERROR(F490&amp;"*"&amp;ROUND(L490*(G490/(G490+I490+K490))/VLOOKUP(F490,商品!$A$4:$D$67,4,FALSE),0),"")</f>
        <v/>
      </c>
      <c r="AC490" t="str">
        <f>IFERROR(H490&amp;"*"&amp;ROUND(L490*(I490/(G490+I490+K490))/VLOOKUP(H490,商品!$A$4:$D$67,4,FALSE),0),"")</f>
        <v/>
      </c>
      <c r="AD490" t="str">
        <f>IFERROR(J490&amp;"*"&amp;ROUND(L490*(K490/(G490+I490+K490))/VLOOKUP(J490,商品!$A$4:$D$67,4,FALSE),0),"")</f>
        <v/>
      </c>
      <c r="AE490" t="str">
        <f>IFERROR(M490&amp;"*"&amp;ROUND(Q490*(N490/(N490+P490))/VLOOKUP(M490,职业!$A$3:$E$16,4,FALSE),0),"")</f>
        <v/>
      </c>
      <c r="AF490" t="str">
        <f>IFERROR(O490&amp;"*"&amp;ROUND(Q490*(P490/(N490+P490))/VLOOKUP(O490,职业!$A$3:$E$16,4,FALSE),0),"")</f>
        <v/>
      </c>
      <c r="AG490" t="str">
        <f>IFERROR(R490&amp;"*"&amp;ROUND(V490*(S490/(S490+U490))/VLOOKUP(R490,商品!$A$4:$D$67,4,FALSE),0),"")</f>
        <v/>
      </c>
      <c r="AH490" t="str">
        <f>IFERROR(T490&amp;"*"&amp;ROUND(V490*(U490/(S490+U490))/VLOOKUP(T490,商品!$A$4:$D$67,4,FALSE),0),"")</f>
        <v/>
      </c>
    </row>
    <row r="491" customHeight="1" spans="1:34">
      <c r="A491" s="15" t="s">
        <v>372</v>
      </c>
      <c r="C491" s="2">
        <v>1</v>
      </c>
      <c r="D491" s="2" t="s">
        <v>238</v>
      </c>
      <c r="E491" s="2" t="s">
        <v>225</v>
      </c>
      <c r="L491" s="2">
        <f>IFERROR(VLOOKUP($D491&amp;$C491,生产方式定位!$A$2:$E$39,2,FALSE)+VLOOKUP($E491&amp;$C491,生产方式定位!$F$3:$J$39,2,FALSE),0)</f>
        <v>11000</v>
      </c>
      <c r="Q491" s="2">
        <f>IFERROR(VLOOKUP($D491&amp;$C491,生产方式定位!$A$2:$E$39,3,FALSE)+VLOOKUP($E491&amp;$C491,生产方式定位!$F$3:$J$39,3,FALSE),0)</f>
        <v>8000</v>
      </c>
      <c r="V491" s="2">
        <f>IFERROR(VLOOKUP($D491&amp;$C491,生产方式定位!$A$2:$E$39,5,FALSE)+VLOOKUP($E491&amp;$C491,生产方式定位!$F$3:$J$39,5,FALSE),"错误")</f>
        <v>9500</v>
      </c>
      <c r="W491" s="3" t="str">
        <f t="shared" si="35"/>
        <v/>
      </c>
      <c r="X491" s="4" t="str">
        <f t="shared" si="36"/>
        <v/>
      </c>
      <c r="Y491" s="4" t="str">
        <f t="shared" si="37"/>
        <v/>
      </c>
      <c r="Z491" s="5">
        <f t="shared" si="38"/>
        <v>1.16</v>
      </c>
      <c r="AA491" s="6">
        <f t="shared" si="39"/>
        <v>1</v>
      </c>
      <c r="AB491" t="str">
        <f>IFERROR(F491&amp;"*"&amp;ROUND(L491*(G491/(G491+I491+K491))/VLOOKUP(F491,商品!$A$4:$D$67,4,FALSE),0),"")</f>
        <v/>
      </c>
      <c r="AC491" t="str">
        <f>IFERROR(H491&amp;"*"&amp;ROUND(L491*(I491/(G491+I491+K491))/VLOOKUP(H491,商品!$A$4:$D$67,4,FALSE),0),"")</f>
        <v/>
      </c>
      <c r="AD491" t="str">
        <f>IFERROR(J491&amp;"*"&amp;ROUND(L491*(K491/(G491+I491+K491))/VLOOKUP(J491,商品!$A$4:$D$67,4,FALSE),0),"")</f>
        <v/>
      </c>
      <c r="AE491" t="str">
        <f>IFERROR(M491&amp;"*"&amp;ROUND(Q491*(N491/(N491+P491))/VLOOKUP(M491,职业!$A$3:$E$16,4,FALSE),0),"")</f>
        <v/>
      </c>
      <c r="AF491" t="str">
        <f>IFERROR(O491&amp;"*"&amp;ROUND(Q491*(P491/(N491+P491))/VLOOKUP(O491,职业!$A$3:$E$16,4,FALSE),0),"")</f>
        <v/>
      </c>
      <c r="AG491" t="str">
        <f>IFERROR(R491&amp;"*"&amp;ROUND(V491*(S491/(S491+U491))/VLOOKUP(R491,商品!$A$4:$D$67,4,FALSE),0),"")</f>
        <v/>
      </c>
      <c r="AH491" t="str">
        <f>IFERROR(T491&amp;"*"&amp;ROUND(V491*(U491/(S491+U491))/VLOOKUP(T491,商品!$A$4:$D$67,4,FALSE),0),"")</f>
        <v/>
      </c>
    </row>
    <row r="492" customHeight="1" spans="1:34">
      <c r="A492" s="14" t="s">
        <v>374</v>
      </c>
      <c r="C492" s="2">
        <v>2</v>
      </c>
      <c r="D492" s="2" t="s">
        <v>247</v>
      </c>
      <c r="E492" s="2" t="s">
        <v>222</v>
      </c>
      <c r="L492" s="2">
        <f>IFERROR(VLOOKUP($D492&amp;$C492,生产方式定位!$A$2:$E$39,2,FALSE)+VLOOKUP($E492&amp;$C492,生产方式定位!$F$3:$J$39,2,FALSE),0)</f>
        <v>18500</v>
      </c>
      <c r="Q492" s="2">
        <f>IFERROR(VLOOKUP($D492&amp;$C492,生产方式定位!$A$2:$E$39,3,FALSE)+VLOOKUP($E492&amp;$C492,生产方式定位!$F$3:$J$39,3,FALSE),0)</f>
        <v>9200</v>
      </c>
      <c r="V492" s="2">
        <f>IFERROR(VLOOKUP($D492&amp;$C492,生产方式定位!$A$2:$E$39,5,FALSE)+VLOOKUP($E492&amp;$C492,生产方式定位!$F$3:$J$39,5,FALSE),"错误")</f>
        <v>13922</v>
      </c>
      <c r="W492" s="3" t="str">
        <f t="shared" si="35"/>
        <v/>
      </c>
      <c r="X492" s="4" t="str">
        <f t="shared" si="36"/>
        <v/>
      </c>
      <c r="Y492" s="4" t="str">
        <f t="shared" si="37"/>
        <v/>
      </c>
      <c r="Z492" s="5">
        <f t="shared" si="38"/>
        <v>1.33</v>
      </c>
      <c r="AA492" s="6">
        <f t="shared" si="39"/>
        <v>2</v>
      </c>
      <c r="AB492" t="str">
        <f>IFERROR(F492&amp;"*"&amp;ROUND(L492*(G492/(G492+I492+K492))/VLOOKUP(F492,商品!$A$4:$D$67,4,FALSE),0),"")</f>
        <v/>
      </c>
      <c r="AC492" t="str">
        <f>IFERROR(H492&amp;"*"&amp;ROUND(L492*(I492/(G492+I492+K492))/VLOOKUP(H492,商品!$A$4:$D$67,4,FALSE),0),"")</f>
        <v/>
      </c>
      <c r="AD492" t="str">
        <f>IFERROR(J492&amp;"*"&amp;ROUND(L492*(K492/(G492+I492+K492))/VLOOKUP(J492,商品!$A$4:$D$67,4,FALSE),0),"")</f>
        <v/>
      </c>
      <c r="AE492" t="str">
        <f>IFERROR(M492&amp;"*"&amp;ROUND(Q492*(N492/(N492+P492))/VLOOKUP(M492,职业!$A$3:$E$16,4,FALSE),0),"")</f>
        <v/>
      </c>
      <c r="AF492" t="str">
        <f>IFERROR(O492&amp;"*"&amp;ROUND(Q492*(P492/(N492+P492))/VLOOKUP(O492,职业!$A$3:$E$16,4,FALSE),0),"")</f>
        <v/>
      </c>
      <c r="AG492" t="str">
        <f>IFERROR(R492&amp;"*"&amp;ROUND(V492*(S492/(S492+U492))/VLOOKUP(R492,商品!$A$4:$D$67,4,FALSE),0),"")</f>
        <v/>
      </c>
      <c r="AH492" t="str">
        <f>IFERROR(T492&amp;"*"&amp;ROUND(V492*(U492/(S492+U492))/VLOOKUP(T492,商品!$A$4:$D$67,4,FALSE),0),"")</f>
        <v/>
      </c>
    </row>
    <row r="493" customHeight="1" spans="1:34">
      <c r="A493" s="14" t="s">
        <v>374</v>
      </c>
      <c r="C493" s="2">
        <v>3</v>
      </c>
      <c r="D493" s="2" t="s">
        <v>247</v>
      </c>
      <c r="E493" s="2" t="s">
        <v>222</v>
      </c>
      <c r="L493" s="2">
        <f>IFERROR(VLOOKUP($D493&amp;$C493,生产方式定位!$A$2:$E$39,2,FALSE)+VLOOKUP($E493&amp;$C493,生产方式定位!$F$3:$J$39,2,FALSE),0)</f>
        <v>17000</v>
      </c>
      <c r="Q493" s="2">
        <f>IFERROR(VLOOKUP($D493&amp;$C493,生产方式定位!$A$2:$E$39,3,FALSE)+VLOOKUP($E493&amp;$C493,生产方式定位!$F$3:$J$39,3,FALSE),0)</f>
        <v>8400</v>
      </c>
      <c r="V493" s="2">
        <f>IFERROR(VLOOKUP($D493&amp;$C493,生产方式定位!$A$2:$E$39,5,FALSE)+VLOOKUP($E493&amp;$C493,生产方式定位!$F$3:$J$39,5,FALSE),"错误")</f>
        <v>12988</v>
      </c>
      <c r="W493" s="3" t="str">
        <f t="shared" si="35"/>
        <v/>
      </c>
      <c r="X493" s="4" t="str">
        <f t="shared" si="36"/>
        <v/>
      </c>
      <c r="Y493" s="4" t="str">
        <f t="shared" si="37"/>
        <v/>
      </c>
      <c r="Z493" s="5">
        <f t="shared" si="38"/>
        <v>1.31</v>
      </c>
      <c r="AA493" s="6">
        <f t="shared" si="39"/>
        <v>3</v>
      </c>
      <c r="AB493" t="str">
        <f>IFERROR(F493&amp;"*"&amp;ROUND(L493*(G493/(G493+I493+K493))/VLOOKUP(F493,商品!$A$4:$D$67,4,FALSE),0),"")</f>
        <v/>
      </c>
      <c r="AC493" t="str">
        <f>IFERROR(H493&amp;"*"&amp;ROUND(L493*(I493/(G493+I493+K493))/VLOOKUP(H493,商品!$A$4:$D$67,4,FALSE),0),"")</f>
        <v/>
      </c>
      <c r="AD493" t="str">
        <f>IFERROR(J493&amp;"*"&amp;ROUND(L493*(K493/(G493+I493+K493))/VLOOKUP(J493,商品!$A$4:$D$67,4,FALSE),0),"")</f>
        <v/>
      </c>
      <c r="AE493" t="str">
        <f>IFERROR(M493&amp;"*"&amp;ROUND(Q493*(N493/(N493+P493))/VLOOKUP(M493,职业!$A$3:$E$16,4,FALSE),0),"")</f>
        <v/>
      </c>
      <c r="AF493" t="str">
        <f>IFERROR(O493&amp;"*"&amp;ROUND(Q493*(P493/(N493+P493))/VLOOKUP(O493,职业!$A$3:$E$16,4,FALSE),0),"")</f>
        <v/>
      </c>
      <c r="AG493" t="str">
        <f>IFERROR(R493&amp;"*"&amp;ROUND(V493*(S493/(S493+U493))/VLOOKUP(R493,商品!$A$4:$D$67,4,FALSE),0),"")</f>
        <v/>
      </c>
      <c r="AH493" t="str">
        <f>IFERROR(T493&amp;"*"&amp;ROUND(V493*(U493/(S493+U493))/VLOOKUP(T493,商品!$A$4:$D$67,4,FALSE),0),"")</f>
        <v/>
      </c>
    </row>
    <row r="494" customHeight="1" spans="1:34">
      <c r="A494" s="14" t="s">
        <v>374</v>
      </c>
      <c r="C494" s="2">
        <v>4</v>
      </c>
      <c r="D494" s="2" t="s">
        <v>247</v>
      </c>
      <c r="E494" s="2" t="s">
        <v>222</v>
      </c>
      <c r="L494" s="2">
        <f>IFERROR(VLOOKUP($D494&amp;$C494,生产方式定位!$A$2:$E$39,2,FALSE)+VLOOKUP($E494&amp;$C494,生产方式定位!$F$3:$J$39,2,FALSE),0)</f>
        <v>15500</v>
      </c>
      <c r="Q494" s="2">
        <f>IFERROR(VLOOKUP($D494&amp;$C494,生产方式定位!$A$2:$E$39,3,FALSE)+VLOOKUP($E494&amp;$C494,生产方式定位!$F$3:$J$39,3,FALSE),0)</f>
        <v>7600</v>
      </c>
      <c r="V494" s="2">
        <f>IFERROR(VLOOKUP($D494&amp;$C494,生产方式定位!$A$2:$E$39,5,FALSE)+VLOOKUP($E494&amp;$C494,生产方式定位!$F$3:$J$39,5,FALSE),"错误")</f>
        <v>12198</v>
      </c>
      <c r="W494" s="3" t="str">
        <f t="shared" si="35"/>
        <v/>
      </c>
      <c r="X494" s="4" t="str">
        <f t="shared" si="36"/>
        <v/>
      </c>
      <c r="Y494" s="4" t="str">
        <f t="shared" si="37"/>
        <v/>
      </c>
      <c r="Z494" s="5">
        <f t="shared" si="38"/>
        <v>1.27</v>
      </c>
      <c r="AA494" s="6">
        <f t="shared" si="39"/>
        <v>4</v>
      </c>
      <c r="AB494" t="str">
        <f>IFERROR(F494&amp;"*"&amp;ROUND(L494*(G494/(G494+I494+K494))/VLOOKUP(F494,商品!$A$4:$D$67,4,FALSE),0),"")</f>
        <v/>
      </c>
      <c r="AC494" t="str">
        <f>IFERROR(H494&amp;"*"&amp;ROUND(L494*(I494/(G494+I494+K494))/VLOOKUP(H494,商品!$A$4:$D$67,4,FALSE),0),"")</f>
        <v/>
      </c>
      <c r="AD494" t="str">
        <f>IFERROR(J494&amp;"*"&amp;ROUND(L494*(K494/(G494+I494+K494))/VLOOKUP(J494,商品!$A$4:$D$67,4,FALSE),0),"")</f>
        <v/>
      </c>
      <c r="AE494" t="str">
        <f>IFERROR(M494&amp;"*"&amp;ROUND(Q494*(N494/(N494+P494))/VLOOKUP(M494,职业!$A$3:$E$16,4,FALSE),0),"")</f>
        <v/>
      </c>
      <c r="AF494" t="str">
        <f>IFERROR(O494&amp;"*"&amp;ROUND(Q494*(P494/(N494+P494))/VLOOKUP(O494,职业!$A$3:$E$16,4,FALSE),0),"")</f>
        <v/>
      </c>
      <c r="AG494" t="str">
        <f>IFERROR(R494&amp;"*"&amp;ROUND(V494*(S494/(S494+U494))/VLOOKUP(R494,商品!$A$4:$D$67,4,FALSE),0),"")</f>
        <v/>
      </c>
      <c r="AH494" t="str">
        <f>IFERROR(T494&amp;"*"&amp;ROUND(V494*(U494/(S494+U494))/VLOOKUP(T494,商品!$A$4:$D$67,4,FALSE),0),"")</f>
        <v/>
      </c>
    </row>
    <row r="495" customHeight="1" spans="1:34">
      <c r="A495" s="14" t="s">
        <v>374</v>
      </c>
      <c r="C495" s="2">
        <v>5</v>
      </c>
      <c r="D495" s="2" t="s">
        <v>247</v>
      </c>
      <c r="E495" s="2" t="s">
        <v>222</v>
      </c>
      <c r="L495" s="2">
        <f>IFERROR(VLOOKUP($D495&amp;$C495,生产方式定位!$A$2:$E$39,2,FALSE)+VLOOKUP($E495&amp;$C495,生产方式定位!$F$3:$J$39,2,FALSE),0)</f>
        <v>14000</v>
      </c>
      <c r="Q495" s="2">
        <f>IFERROR(VLOOKUP($D495&amp;$C495,生产方式定位!$A$2:$E$39,3,FALSE)+VLOOKUP($E495&amp;$C495,生产方式定位!$F$3:$J$39,3,FALSE),0)</f>
        <v>6800</v>
      </c>
      <c r="V495" s="2">
        <f>IFERROR(VLOOKUP($D495&amp;$C495,生产方式定位!$A$2:$E$39,5,FALSE)+VLOOKUP($E495&amp;$C495,生产方式定位!$F$3:$J$39,5,FALSE),"错误")</f>
        <v>11600</v>
      </c>
      <c r="W495" s="3" t="str">
        <f t="shared" si="35"/>
        <v/>
      </c>
      <c r="X495" s="4" t="str">
        <f t="shared" si="36"/>
        <v/>
      </c>
      <c r="Y495" s="4" t="str">
        <f t="shared" si="37"/>
        <v/>
      </c>
      <c r="Z495" s="5">
        <f t="shared" si="38"/>
        <v>1.21</v>
      </c>
      <c r="AA495" s="6">
        <f t="shared" si="39"/>
        <v>5</v>
      </c>
      <c r="AB495" t="str">
        <f>IFERROR(F495&amp;"*"&amp;ROUND(L495*(G495/(G495+I495+K495))/VLOOKUP(F495,商品!$A$4:$D$67,4,FALSE),0),"")</f>
        <v/>
      </c>
      <c r="AC495" t="str">
        <f>IFERROR(H495&amp;"*"&amp;ROUND(L495*(I495/(G495+I495+K495))/VLOOKUP(H495,商品!$A$4:$D$67,4,FALSE),0),"")</f>
        <v/>
      </c>
      <c r="AD495" t="str">
        <f>IFERROR(J495&amp;"*"&amp;ROUND(L495*(K495/(G495+I495+K495))/VLOOKUP(J495,商品!$A$4:$D$67,4,FALSE),0),"")</f>
        <v/>
      </c>
      <c r="AE495" t="str">
        <f>IFERROR(M495&amp;"*"&amp;ROUND(Q495*(N495/(N495+P495))/VLOOKUP(M495,职业!$A$3:$E$16,4,FALSE),0),"")</f>
        <v/>
      </c>
      <c r="AF495" t="str">
        <f>IFERROR(O495&amp;"*"&amp;ROUND(Q495*(P495/(N495+P495))/VLOOKUP(O495,职业!$A$3:$E$16,4,FALSE),0),"")</f>
        <v/>
      </c>
      <c r="AG495" t="str">
        <f>IFERROR(R495&amp;"*"&amp;ROUND(V495*(S495/(S495+U495))/VLOOKUP(R495,商品!$A$4:$D$67,4,FALSE),0),"")</f>
        <v/>
      </c>
      <c r="AH495" t="str">
        <f>IFERROR(T495&amp;"*"&amp;ROUND(V495*(U495/(S495+U495))/VLOOKUP(T495,商品!$A$4:$D$67,4,FALSE),0),"")</f>
        <v/>
      </c>
    </row>
    <row r="496" customHeight="1" spans="1:34">
      <c r="A496" s="14" t="s">
        <v>374</v>
      </c>
      <c r="C496" s="2">
        <v>1</v>
      </c>
      <c r="D496" s="2" t="s">
        <v>247</v>
      </c>
      <c r="E496" s="2" t="s">
        <v>222</v>
      </c>
      <c r="L496" s="2">
        <f>IFERROR(VLOOKUP($D496&amp;$C496,生产方式定位!$A$2:$E$39,2,FALSE)+VLOOKUP($E496&amp;$C496,生产方式定位!$F$3:$J$39,2,FALSE),0)</f>
        <v>20000</v>
      </c>
      <c r="Q496" s="2">
        <f>IFERROR(VLOOKUP($D496&amp;$C496,生产方式定位!$A$2:$E$39,3,FALSE)+VLOOKUP($E496&amp;$C496,生产方式定位!$F$3:$J$39,3,FALSE),0)</f>
        <v>10000</v>
      </c>
      <c r="V496" s="2">
        <f>IFERROR(VLOOKUP($D496&amp;$C496,生产方式定位!$A$2:$E$39,5,FALSE)+VLOOKUP($E496&amp;$C496,生产方式定位!$F$3:$J$39,5,FALSE),"错误")</f>
        <v>15000</v>
      </c>
      <c r="W496" s="3" t="str">
        <f t="shared" si="35"/>
        <v/>
      </c>
      <c r="X496" s="4" t="str">
        <f t="shared" si="36"/>
        <v/>
      </c>
      <c r="Y496" s="4" t="str">
        <f t="shared" si="37"/>
        <v/>
      </c>
      <c r="Z496" s="5">
        <f t="shared" si="38"/>
        <v>1.33</v>
      </c>
      <c r="AA496" s="6">
        <f t="shared" si="39"/>
        <v>1</v>
      </c>
      <c r="AB496" t="str">
        <f>IFERROR(F496&amp;"*"&amp;ROUND(L496*(G496/(G496+I496+K496))/VLOOKUP(F496,商品!$A$4:$D$67,4,FALSE),0),"")</f>
        <v/>
      </c>
      <c r="AC496" t="str">
        <f>IFERROR(H496&amp;"*"&amp;ROUND(L496*(I496/(G496+I496+K496))/VLOOKUP(H496,商品!$A$4:$D$67,4,FALSE),0),"")</f>
        <v/>
      </c>
      <c r="AD496" t="str">
        <f>IFERROR(J496&amp;"*"&amp;ROUND(L496*(K496/(G496+I496+K496))/VLOOKUP(J496,商品!$A$4:$D$67,4,FALSE),0),"")</f>
        <v/>
      </c>
      <c r="AE496" t="str">
        <f>IFERROR(M496&amp;"*"&amp;ROUND(Q496*(N496/(N496+P496))/VLOOKUP(M496,职业!$A$3:$E$16,4,FALSE),0),"")</f>
        <v/>
      </c>
      <c r="AF496" t="str">
        <f>IFERROR(O496&amp;"*"&amp;ROUND(Q496*(P496/(N496+P496))/VLOOKUP(O496,职业!$A$3:$E$16,4,FALSE),0),"")</f>
        <v/>
      </c>
      <c r="AG496" t="str">
        <f>IFERROR(R496&amp;"*"&amp;ROUND(V496*(S496/(S496+U496))/VLOOKUP(R496,商品!$A$4:$D$67,4,FALSE),0),"")</f>
        <v/>
      </c>
      <c r="AH496" t="str">
        <f>IFERROR(T496&amp;"*"&amp;ROUND(V496*(U496/(S496+U496))/VLOOKUP(T496,商品!$A$4:$D$67,4,FALSE),0),"")</f>
        <v/>
      </c>
    </row>
    <row r="497" customHeight="1" spans="1:34">
      <c r="A497" s="15" t="s">
        <v>375</v>
      </c>
      <c r="C497" s="2">
        <v>2</v>
      </c>
      <c r="D497" s="2" t="s">
        <v>247</v>
      </c>
      <c r="E497" s="2" t="s">
        <v>225</v>
      </c>
      <c r="L497" s="2">
        <f>IFERROR(VLOOKUP($D497&amp;$C497,生产方式定位!$A$2:$E$39,2,FALSE)+VLOOKUP($E497&amp;$C497,生产方式定位!$F$3:$J$39,2,FALSE),0)</f>
        <v>17500</v>
      </c>
      <c r="Q497" s="2">
        <f>IFERROR(VLOOKUP($D497&amp;$C497,生产方式定位!$A$2:$E$39,3,FALSE)+VLOOKUP($E497&amp;$C497,生产方式定位!$F$3:$J$39,3,FALSE),0)</f>
        <v>9000</v>
      </c>
      <c r="V497" s="2">
        <f>IFERROR(VLOOKUP($D497&amp;$C497,生产方式定位!$A$2:$E$39,5,FALSE)+VLOOKUP($E497&amp;$C497,生产方式定位!$F$3:$J$39,5,FALSE),"错误")</f>
        <v>13250</v>
      </c>
      <c r="W497" s="3" t="str">
        <f t="shared" si="35"/>
        <v/>
      </c>
      <c r="X497" s="4" t="str">
        <f t="shared" si="36"/>
        <v/>
      </c>
      <c r="Y497" s="4" t="str">
        <f t="shared" si="37"/>
        <v/>
      </c>
      <c r="Z497" s="5">
        <f t="shared" si="38"/>
        <v>1.32</v>
      </c>
      <c r="AA497" s="6">
        <f t="shared" si="39"/>
        <v>2</v>
      </c>
      <c r="AB497" t="str">
        <f>IFERROR(F497&amp;"*"&amp;ROUND(L497*(G497/(G497+I497+K497))/VLOOKUP(F497,商品!$A$4:$D$67,4,FALSE),0),"")</f>
        <v/>
      </c>
      <c r="AC497" t="str">
        <f>IFERROR(H497&amp;"*"&amp;ROUND(L497*(I497/(G497+I497+K497))/VLOOKUP(H497,商品!$A$4:$D$67,4,FALSE),0),"")</f>
        <v/>
      </c>
      <c r="AD497" t="str">
        <f>IFERROR(J497&amp;"*"&amp;ROUND(L497*(K497/(G497+I497+K497))/VLOOKUP(J497,商品!$A$4:$D$67,4,FALSE),0),"")</f>
        <v/>
      </c>
      <c r="AE497" t="str">
        <f>IFERROR(M497&amp;"*"&amp;ROUND(Q497*(N497/(N497+P497))/VLOOKUP(M497,职业!$A$3:$E$16,4,FALSE),0),"")</f>
        <v/>
      </c>
      <c r="AF497" t="str">
        <f>IFERROR(O497&amp;"*"&amp;ROUND(Q497*(P497/(N497+P497))/VLOOKUP(O497,职业!$A$3:$E$16,4,FALSE),0),"")</f>
        <v/>
      </c>
      <c r="AG497" t="str">
        <f>IFERROR(R497&amp;"*"&amp;ROUND(V497*(S497/(S497+U497))/VLOOKUP(R497,商品!$A$4:$D$67,4,FALSE),0),"")</f>
        <v/>
      </c>
      <c r="AH497" t="str">
        <f>IFERROR(T497&amp;"*"&amp;ROUND(V497*(U497/(S497+U497))/VLOOKUP(T497,商品!$A$4:$D$67,4,FALSE),0),"")</f>
        <v/>
      </c>
    </row>
    <row r="498" customHeight="1" spans="1:34">
      <c r="A498" s="15" t="s">
        <v>375</v>
      </c>
      <c r="C498" s="2">
        <v>3</v>
      </c>
      <c r="D498" s="2" t="s">
        <v>247</v>
      </c>
      <c r="E498" s="2" t="s">
        <v>225</v>
      </c>
      <c r="L498" s="2">
        <f>IFERROR(VLOOKUP($D498&amp;$C498,生产方式定位!$A$2:$E$39,2,FALSE)+VLOOKUP($E498&amp;$C498,生产方式定位!$F$3:$J$39,2,FALSE),0)</f>
        <v>15000</v>
      </c>
      <c r="Q498" s="2">
        <f>IFERROR(VLOOKUP($D498&amp;$C498,生产方式定位!$A$2:$E$39,3,FALSE)+VLOOKUP($E498&amp;$C498,生产方式定位!$F$3:$J$39,3,FALSE),0)</f>
        <v>8000</v>
      </c>
      <c r="V498" s="2">
        <f>IFERROR(VLOOKUP($D498&amp;$C498,生产方式定位!$A$2:$E$39,5,FALSE)+VLOOKUP($E498&amp;$C498,生产方式定位!$F$3:$J$39,5,FALSE),"错误")</f>
        <v>11500</v>
      </c>
      <c r="W498" s="3" t="str">
        <f t="shared" si="35"/>
        <v/>
      </c>
      <c r="X498" s="4" t="str">
        <f t="shared" si="36"/>
        <v/>
      </c>
      <c r="Y498" s="4" t="str">
        <f t="shared" si="37"/>
        <v/>
      </c>
      <c r="Z498" s="5">
        <f t="shared" si="38"/>
        <v>1.3</v>
      </c>
      <c r="AA498" s="6">
        <f t="shared" si="39"/>
        <v>3</v>
      </c>
      <c r="AB498" t="str">
        <f>IFERROR(F498&amp;"*"&amp;ROUND(L498*(G498/(G498+I498+K498))/VLOOKUP(F498,商品!$A$4:$D$67,4,FALSE),0),"")</f>
        <v/>
      </c>
      <c r="AC498" t="str">
        <f>IFERROR(H498&amp;"*"&amp;ROUND(L498*(I498/(G498+I498+K498))/VLOOKUP(H498,商品!$A$4:$D$67,4,FALSE),0),"")</f>
        <v/>
      </c>
      <c r="AD498" t="str">
        <f>IFERROR(J498&amp;"*"&amp;ROUND(L498*(K498/(G498+I498+K498))/VLOOKUP(J498,商品!$A$4:$D$67,4,FALSE),0),"")</f>
        <v/>
      </c>
      <c r="AE498" t="str">
        <f>IFERROR(M498&amp;"*"&amp;ROUND(Q498*(N498/(N498+P498))/VLOOKUP(M498,职业!$A$3:$E$16,4,FALSE),0),"")</f>
        <v/>
      </c>
      <c r="AF498" t="str">
        <f>IFERROR(O498&amp;"*"&amp;ROUND(Q498*(P498/(N498+P498))/VLOOKUP(O498,职业!$A$3:$E$16,4,FALSE),0),"")</f>
        <v/>
      </c>
      <c r="AG498" t="str">
        <f>IFERROR(R498&amp;"*"&amp;ROUND(V498*(S498/(S498+U498))/VLOOKUP(R498,商品!$A$4:$D$67,4,FALSE),0),"")</f>
        <v/>
      </c>
      <c r="AH498" t="str">
        <f>IFERROR(T498&amp;"*"&amp;ROUND(V498*(U498/(S498+U498))/VLOOKUP(T498,商品!$A$4:$D$67,4,FALSE),0),"")</f>
        <v/>
      </c>
    </row>
    <row r="499" customHeight="1" spans="1:34">
      <c r="A499" s="15" t="s">
        <v>375</v>
      </c>
      <c r="C499" s="2">
        <v>4</v>
      </c>
      <c r="D499" s="2" t="s">
        <v>247</v>
      </c>
      <c r="E499" s="2" t="s">
        <v>225</v>
      </c>
      <c r="L499" s="2">
        <f>IFERROR(VLOOKUP($D499&amp;$C499,生产方式定位!$A$2:$E$39,2,FALSE)+VLOOKUP($E499&amp;$C499,生产方式定位!$F$3:$J$39,2,FALSE),0)</f>
        <v>12500</v>
      </c>
      <c r="Q499" s="2">
        <f>IFERROR(VLOOKUP($D499&amp;$C499,生产方式定位!$A$2:$E$39,3,FALSE)+VLOOKUP($E499&amp;$C499,生产方式定位!$F$3:$J$39,3,FALSE),0)</f>
        <v>7000</v>
      </c>
      <c r="V499" s="2">
        <f>IFERROR(VLOOKUP($D499&amp;$C499,生产方式定位!$A$2:$E$39,5,FALSE)+VLOOKUP($E499&amp;$C499,生产方式定位!$F$3:$J$39,5,FALSE),"错误")</f>
        <v>9750</v>
      </c>
      <c r="W499" s="3" t="str">
        <f t="shared" si="35"/>
        <v/>
      </c>
      <c r="X499" s="4" t="str">
        <f t="shared" si="36"/>
        <v/>
      </c>
      <c r="Y499" s="4" t="str">
        <f t="shared" si="37"/>
        <v/>
      </c>
      <c r="Z499" s="5">
        <f t="shared" si="38"/>
        <v>1.28</v>
      </c>
      <c r="AA499" s="6">
        <f t="shared" si="39"/>
        <v>4</v>
      </c>
      <c r="AB499" t="str">
        <f>IFERROR(F499&amp;"*"&amp;ROUND(L499*(G499/(G499+I499+K499))/VLOOKUP(F499,商品!$A$4:$D$67,4,FALSE),0),"")</f>
        <v/>
      </c>
      <c r="AC499" t="str">
        <f>IFERROR(H499&amp;"*"&amp;ROUND(L499*(I499/(G499+I499+K499))/VLOOKUP(H499,商品!$A$4:$D$67,4,FALSE),0),"")</f>
        <v/>
      </c>
      <c r="AD499" t="str">
        <f>IFERROR(J499&amp;"*"&amp;ROUND(L499*(K499/(G499+I499+K499))/VLOOKUP(J499,商品!$A$4:$D$67,4,FALSE),0),"")</f>
        <v/>
      </c>
      <c r="AE499" t="str">
        <f>IFERROR(M499&amp;"*"&amp;ROUND(Q499*(N499/(N499+P499))/VLOOKUP(M499,职业!$A$3:$E$16,4,FALSE),0),"")</f>
        <v/>
      </c>
      <c r="AF499" t="str">
        <f>IFERROR(O499&amp;"*"&amp;ROUND(Q499*(P499/(N499+P499))/VLOOKUP(O499,职业!$A$3:$E$16,4,FALSE),0),"")</f>
        <v/>
      </c>
      <c r="AG499" t="str">
        <f>IFERROR(R499&amp;"*"&amp;ROUND(V499*(S499/(S499+U499))/VLOOKUP(R499,商品!$A$4:$D$67,4,FALSE),0),"")</f>
        <v/>
      </c>
      <c r="AH499" t="str">
        <f>IFERROR(T499&amp;"*"&amp;ROUND(V499*(U499/(S499+U499))/VLOOKUP(T499,商品!$A$4:$D$67,4,FALSE),0),"")</f>
        <v/>
      </c>
    </row>
    <row r="500" customHeight="1" spans="1:34">
      <c r="A500" s="15" t="s">
        <v>375</v>
      </c>
      <c r="C500" s="2">
        <v>5</v>
      </c>
      <c r="D500" s="2" t="s">
        <v>247</v>
      </c>
      <c r="E500" s="2" t="s">
        <v>225</v>
      </c>
      <c r="L500" s="2">
        <f>IFERROR(VLOOKUP($D500&amp;$C500,生产方式定位!$A$2:$E$39,2,FALSE)+VLOOKUP($E500&amp;$C500,生产方式定位!$F$3:$J$39,2,FALSE),0)</f>
        <v>10000</v>
      </c>
      <c r="Q500" s="2">
        <f>IFERROR(VLOOKUP($D500&amp;$C500,生产方式定位!$A$2:$E$39,3,FALSE)+VLOOKUP($E500&amp;$C500,生产方式定位!$F$3:$J$39,3,FALSE),0)</f>
        <v>6000</v>
      </c>
      <c r="V500" s="2">
        <f>IFERROR(VLOOKUP($D500&amp;$C500,生产方式定位!$A$2:$E$39,5,FALSE)+VLOOKUP($E500&amp;$C500,生产方式定位!$F$3:$J$39,5,FALSE),"错误")</f>
        <v>8000</v>
      </c>
      <c r="W500" s="3" t="str">
        <f t="shared" si="35"/>
        <v/>
      </c>
      <c r="X500" s="4" t="str">
        <f t="shared" si="36"/>
        <v/>
      </c>
      <c r="Y500" s="4" t="str">
        <f t="shared" si="37"/>
        <v/>
      </c>
      <c r="Z500" s="5">
        <f t="shared" si="38"/>
        <v>1.25</v>
      </c>
      <c r="AA500" s="6">
        <f t="shared" si="39"/>
        <v>5</v>
      </c>
      <c r="AB500" t="str">
        <f>IFERROR(F500&amp;"*"&amp;ROUND(L500*(G500/(G500+I500+K500))/VLOOKUP(F500,商品!$A$4:$D$67,4,FALSE),0),"")</f>
        <v/>
      </c>
      <c r="AC500" t="str">
        <f>IFERROR(H500&amp;"*"&amp;ROUND(L500*(I500/(G500+I500+K500))/VLOOKUP(H500,商品!$A$4:$D$67,4,FALSE),0),"")</f>
        <v/>
      </c>
      <c r="AD500" t="str">
        <f>IFERROR(J500&amp;"*"&amp;ROUND(L500*(K500/(G500+I500+K500))/VLOOKUP(J500,商品!$A$4:$D$67,4,FALSE),0),"")</f>
        <v/>
      </c>
      <c r="AE500" t="str">
        <f>IFERROR(M500&amp;"*"&amp;ROUND(Q500*(N500/(N500+P500))/VLOOKUP(M500,职业!$A$3:$E$16,4,FALSE),0),"")</f>
        <v/>
      </c>
      <c r="AF500" t="str">
        <f>IFERROR(O500&amp;"*"&amp;ROUND(Q500*(P500/(N500+P500))/VLOOKUP(O500,职业!$A$3:$E$16,4,FALSE),0),"")</f>
        <v/>
      </c>
      <c r="AG500" t="str">
        <f>IFERROR(R500&amp;"*"&amp;ROUND(V500*(S500/(S500+U500))/VLOOKUP(R500,商品!$A$4:$D$67,4,FALSE),0),"")</f>
        <v/>
      </c>
      <c r="AH500" t="str">
        <f>IFERROR(T500&amp;"*"&amp;ROUND(V500*(U500/(S500+U500))/VLOOKUP(T500,商品!$A$4:$D$67,4,FALSE),0),"")</f>
        <v/>
      </c>
    </row>
    <row r="501" customHeight="1" spans="1:34">
      <c r="A501" s="15" t="s">
        <v>375</v>
      </c>
      <c r="C501" s="2">
        <v>6</v>
      </c>
      <c r="D501" s="2" t="s">
        <v>247</v>
      </c>
      <c r="E501" s="2" t="s">
        <v>225</v>
      </c>
      <c r="L501" s="2">
        <f>IFERROR(VLOOKUP($D501&amp;$C501,生产方式定位!$A$2:$E$39,2,FALSE)+VLOOKUP($E501&amp;$C501,生产方式定位!$F$3:$J$39,2,FALSE),0)</f>
        <v>0</v>
      </c>
      <c r="Q501" s="2">
        <f>IFERROR(VLOOKUP($D501&amp;$C501,生产方式定位!$A$2:$E$39,3,FALSE)+VLOOKUP($E501&amp;$C501,生产方式定位!$F$3:$J$39,3,FALSE),0)</f>
        <v>0</v>
      </c>
      <c r="V501" s="2" t="str">
        <f>IFERROR(VLOOKUP($D501&amp;$C501,生产方式定位!$A$2:$E$39,5,FALSE)+VLOOKUP($E501&amp;$C501,生产方式定位!$F$3:$J$39,5,FALSE),"错误")</f>
        <v>错误</v>
      </c>
      <c r="W501" s="3" t="str">
        <f t="shared" si="35"/>
        <v/>
      </c>
      <c r="X501" s="4" t="str">
        <f t="shared" si="36"/>
        <v/>
      </c>
      <c r="Y501" s="4" t="str">
        <f t="shared" si="37"/>
        <v/>
      </c>
      <c r="Z501" s="5" t="str">
        <f t="shared" si="38"/>
        <v/>
      </c>
      <c r="AA501" s="6">
        <f t="shared" si="39"/>
        <v>6</v>
      </c>
      <c r="AB501" t="str">
        <f>IFERROR(F501&amp;"*"&amp;ROUND(L501*(G501/(G501+I501+K501))/VLOOKUP(F501,商品!$A$4:$D$67,4,FALSE),0),"")</f>
        <v/>
      </c>
      <c r="AC501" t="str">
        <f>IFERROR(H501&amp;"*"&amp;ROUND(L501*(I501/(G501+I501+K501))/VLOOKUP(H501,商品!$A$4:$D$67,4,FALSE),0),"")</f>
        <v/>
      </c>
      <c r="AD501" t="str">
        <f>IFERROR(J501&amp;"*"&amp;ROUND(L501*(K501/(G501+I501+K501))/VLOOKUP(J501,商品!$A$4:$D$67,4,FALSE),0),"")</f>
        <v/>
      </c>
      <c r="AE501" t="str">
        <f>IFERROR(M501&amp;"*"&amp;ROUND(Q501*(N501/(N501+P501))/VLOOKUP(M501,职业!$A$3:$E$16,4,FALSE),0),"")</f>
        <v/>
      </c>
      <c r="AF501" t="str">
        <f>IFERROR(O501&amp;"*"&amp;ROUND(Q501*(P501/(N501+P501))/VLOOKUP(O501,职业!$A$3:$E$16,4,FALSE),0),"")</f>
        <v/>
      </c>
      <c r="AG501" t="str">
        <f>IFERROR(R501&amp;"*"&amp;ROUND(V501*(S501/(S501+U501))/VLOOKUP(R501,商品!$A$4:$D$67,4,FALSE),0),"")</f>
        <v/>
      </c>
      <c r="AH501" t="str">
        <f>IFERROR(T501&amp;"*"&amp;ROUND(V501*(U501/(S501+U501))/VLOOKUP(T501,商品!$A$4:$D$67,4,FALSE),0),"")</f>
        <v/>
      </c>
    </row>
    <row r="502" customHeight="1" spans="1:34">
      <c r="A502" s="14" t="s">
        <v>377</v>
      </c>
      <c r="C502" s="2">
        <v>7</v>
      </c>
      <c r="D502" s="2" t="s">
        <v>247</v>
      </c>
      <c r="E502" s="2" t="s">
        <v>222</v>
      </c>
      <c r="L502" s="2">
        <f>IFERROR(VLOOKUP($D502&amp;$C502,生产方式定位!$A$2:$E$39,2,FALSE)+VLOOKUP($E502&amp;$C502,生产方式定位!$F$3:$J$39,2,FALSE),0)</f>
        <v>0</v>
      </c>
      <c r="Q502" s="2">
        <f>IFERROR(VLOOKUP($D502&amp;$C502,生产方式定位!$A$2:$E$39,3,FALSE)+VLOOKUP($E502&amp;$C502,生产方式定位!$F$3:$J$39,3,FALSE),0)</f>
        <v>0</v>
      </c>
      <c r="V502" s="2" t="str">
        <f>IFERROR(VLOOKUP($D502&amp;$C502,生产方式定位!$A$2:$E$39,5,FALSE)+VLOOKUP($E502&amp;$C502,生产方式定位!$F$3:$J$39,5,FALSE),"错误")</f>
        <v>错误</v>
      </c>
      <c r="W502" s="3" t="str">
        <f t="shared" si="35"/>
        <v/>
      </c>
      <c r="X502" s="4" t="str">
        <f t="shared" si="36"/>
        <v/>
      </c>
      <c r="Y502" s="4" t="str">
        <f t="shared" si="37"/>
        <v/>
      </c>
      <c r="Z502" s="5" t="str">
        <f t="shared" si="38"/>
        <v/>
      </c>
      <c r="AA502" s="6">
        <f t="shared" si="39"/>
        <v>7</v>
      </c>
      <c r="AB502" t="str">
        <f>IFERROR(F502&amp;"*"&amp;ROUND(L502*(G502/(G502+I502+K502))/VLOOKUP(F502,商品!$A$4:$D$67,4,FALSE),0),"")</f>
        <v/>
      </c>
      <c r="AC502" t="str">
        <f>IFERROR(H502&amp;"*"&amp;ROUND(L502*(I502/(G502+I502+K502))/VLOOKUP(H502,商品!$A$4:$D$67,4,FALSE),0),"")</f>
        <v/>
      </c>
      <c r="AD502" t="str">
        <f>IFERROR(J502&amp;"*"&amp;ROUND(L502*(K502/(G502+I502+K502))/VLOOKUP(J502,商品!$A$4:$D$67,4,FALSE),0),"")</f>
        <v/>
      </c>
      <c r="AE502" t="str">
        <f>IFERROR(M502&amp;"*"&amp;ROUND(Q502*(N502/(N502+P502))/VLOOKUP(M502,职业!$A$3:$E$16,4,FALSE),0),"")</f>
        <v/>
      </c>
      <c r="AF502" t="str">
        <f>IFERROR(O502&amp;"*"&amp;ROUND(Q502*(P502/(N502+P502))/VLOOKUP(O502,职业!$A$3:$E$16,4,FALSE),0),"")</f>
        <v/>
      </c>
      <c r="AG502" t="str">
        <f>IFERROR(R502&amp;"*"&amp;ROUND(V502*(S502/(S502+U502))/VLOOKUP(R502,商品!$A$4:$D$67,4,FALSE),0),"")</f>
        <v/>
      </c>
      <c r="AH502" t="str">
        <f>IFERROR(T502&amp;"*"&amp;ROUND(V502*(U502/(S502+U502))/VLOOKUP(T502,商品!$A$4:$D$67,4,FALSE),0),"")</f>
        <v/>
      </c>
    </row>
    <row r="503" customHeight="1" spans="1:34">
      <c r="A503" s="14" t="s">
        <v>377</v>
      </c>
      <c r="C503" s="2">
        <v>8</v>
      </c>
      <c r="D503" s="2" t="s">
        <v>247</v>
      </c>
      <c r="E503" s="2" t="s">
        <v>222</v>
      </c>
      <c r="L503" s="2">
        <f>IFERROR(VLOOKUP($D503&amp;$C503,生产方式定位!$A$2:$E$39,2,FALSE)+VLOOKUP($E503&amp;$C503,生产方式定位!$F$3:$J$39,2,FALSE),0)</f>
        <v>0</v>
      </c>
      <c r="Q503" s="2">
        <f>IFERROR(VLOOKUP($D503&amp;$C503,生产方式定位!$A$2:$E$39,3,FALSE)+VLOOKUP($E503&amp;$C503,生产方式定位!$F$3:$J$39,3,FALSE),0)</f>
        <v>0</v>
      </c>
      <c r="V503" s="2" t="str">
        <f>IFERROR(VLOOKUP($D503&amp;$C503,生产方式定位!$A$2:$E$39,5,FALSE)+VLOOKUP($E503&amp;$C503,生产方式定位!$F$3:$J$39,5,FALSE),"错误")</f>
        <v>错误</v>
      </c>
      <c r="W503" s="3" t="str">
        <f t="shared" si="35"/>
        <v/>
      </c>
      <c r="X503" s="4" t="str">
        <f t="shared" si="36"/>
        <v/>
      </c>
      <c r="Y503" s="4" t="str">
        <f t="shared" si="37"/>
        <v/>
      </c>
      <c r="Z503" s="5" t="str">
        <f t="shared" si="38"/>
        <v/>
      </c>
      <c r="AA503" s="6">
        <f t="shared" si="39"/>
        <v>8</v>
      </c>
      <c r="AB503" t="str">
        <f>IFERROR(F503&amp;"*"&amp;ROUND(L503*(G503/(G503+I503+K503))/VLOOKUP(F503,商品!$A$4:$D$67,4,FALSE),0),"")</f>
        <v/>
      </c>
      <c r="AC503" t="str">
        <f>IFERROR(H503&amp;"*"&amp;ROUND(L503*(I503/(G503+I503+K503))/VLOOKUP(H503,商品!$A$4:$D$67,4,FALSE),0),"")</f>
        <v/>
      </c>
      <c r="AD503" t="str">
        <f>IFERROR(J503&amp;"*"&amp;ROUND(L503*(K503/(G503+I503+K503))/VLOOKUP(J503,商品!$A$4:$D$67,4,FALSE),0),"")</f>
        <v/>
      </c>
      <c r="AE503" t="str">
        <f>IFERROR(M503&amp;"*"&amp;ROUND(Q503*(N503/(N503+P503))/VLOOKUP(M503,职业!$A$3:$E$16,4,FALSE),0),"")</f>
        <v/>
      </c>
      <c r="AF503" t="str">
        <f>IFERROR(O503&amp;"*"&amp;ROUND(Q503*(P503/(N503+P503))/VLOOKUP(O503,职业!$A$3:$E$16,4,FALSE),0),"")</f>
        <v/>
      </c>
      <c r="AG503" t="str">
        <f>IFERROR(R503&amp;"*"&amp;ROUND(V503*(S503/(S503+U503))/VLOOKUP(R503,商品!$A$4:$D$67,4,FALSE),0),"")</f>
        <v/>
      </c>
      <c r="AH503" t="str">
        <f>IFERROR(T503&amp;"*"&amp;ROUND(V503*(U503/(S503+U503))/VLOOKUP(T503,商品!$A$4:$D$67,4,FALSE),0),"")</f>
        <v/>
      </c>
    </row>
    <row r="504" customHeight="1" spans="1:34">
      <c r="A504" s="14" t="s">
        <v>377</v>
      </c>
      <c r="C504" s="2">
        <v>1</v>
      </c>
      <c r="D504" s="2" t="s">
        <v>247</v>
      </c>
      <c r="E504" s="2" t="s">
        <v>222</v>
      </c>
      <c r="L504" s="2">
        <f>IFERROR(VLOOKUP($D504&amp;$C504,生产方式定位!$A$2:$E$39,2,FALSE)+VLOOKUP($E504&amp;$C504,生产方式定位!$F$3:$J$39,2,FALSE),0)</f>
        <v>20000</v>
      </c>
      <c r="Q504" s="2">
        <f>IFERROR(VLOOKUP($D504&amp;$C504,生产方式定位!$A$2:$E$39,3,FALSE)+VLOOKUP($E504&amp;$C504,生产方式定位!$F$3:$J$39,3,FALSE),0)</f>
        <v>10000</v>
      </c>
      <c r="V504" s="2">
        <f>IFERROR(VLOOKUP($D504&amp;$C504,生产方式定位!$A$2:$E$39,5,FALSE)+VLOOKUP($E504&amp;$C504,生产方式定位!$F$3:$J$39,5,FALSE),"错误")</f>
        <v>15000</v>
      </c>
      <c r="W504" s="3" t="str">
        <f t="shared" si="35"/>
        <v/>
      </c>
      <c r="X504" s="4" t="str">
        <f t="shared" si="36"/>
        <v/>
      </c>
      <c r="Y504" s="4" t="str">
        <f t="shared" si="37"/>
        <v/>
      </c>
      <c r="Z504" s="5">
        <f t="shared" si="38"/>
        <v>1.33</v>
      </c>
      <c r="AA504" s="6">
        <f t="shared" si="39"/>
        <v>1</v>
      </c>
      <c r="AB504" t="str">
        <f>IFERROR(F504&amp;"*"&amp;ROUND(L504*(G504/(G504+I504+K504))/VLOOKUP(F504,商品!$A$4:$D$67,4,FALSE),0),"")</f>
        <v/>
      </c>
      <c r="AC504" t="str">
        <f>IFERROR(H504&amp;"*"&amp;ROUND(L504*(I504/(G504+I504+K504))/VLOOKUP(H504,商品!$A$4:$D$67,4,FALSE),0),"")</f>
        <v/>
      </c>
      <c r="AD504" t="str">
        <f>IFERROR(J504&amp;"*"&amp;ROUND(L504*(K504/(G504+I504+K504))/VLOOKUP(J504,商品!$A$4:$D$67,4,FALSE),0),"")</f>
        <v/>
      </c>
      <c r="AE504" t="str">
        <f>IFERROR(M504&amp;"*"&amp;ROUND(Q504*(N504/(N504+P504))/VLOOKUP(M504,职业!$A$3:$E$16,4,FALSE),0),"")</f>
        <v/>
      </c>
      <c r="AF504" t="str">
        <f>IFERROR(O504&amp;"*"&amp;ROUND(Q504*(P504/(N504+P504))/VLOOKUP(O504,职业!$A$3:$E$16,4,FALSE),0),"")</f>
        <v/>
      </c>
      <c r="AG504" t="str">
        <f>IFERROR(R504&amp;"*"&amp;ROUND(V504*(S504/(S504+U504))/VLOOKUP(R504,商品!$A$4:$D$67,4,FALSE),0),"")</f>
        <v/>
      </c>
      <c r="AH504" t="str">
        <f>IFERROR(T504&amp;"*"&amp;ROUND(V504*(U504/(S504+U504))/VLOOKUP(T504,商品!$A$4:$D$67,4,FALSE),0),"")</f>
        <v/>
      </c>
    </row>
    <row r="505" customHeight="1" spans="1:34">
      <c r="A505" s="14" t="s">
        <v>377</v>
      </c>
      <c r="C505" s="2">
        <v>2</v>
      </c>
      <c r="D505" s="2" t="s">
        <v>247</v>
      </c>
      <c r="E505" s="2" t="s">
        <v>222</v>
      </c>
      <c r="L505" s="2">
        <f>IFERROR(VLOOKUP($D505&amp;$C505,生产方式定位!$A$2:$E$39,2,FALSE)+VLOOKUP($E505&amp;$C505,生产方式定位!$F$3:$J$39,2,FALSE),0)</f>
        <v>18500</v>
      </c>
      <c r="Q505" s="2">
        <f>IFERROR(VLOOKUP($D505&amp;$C505,生产方式定位!$A$2:$E$39,3,FALSE)+VLOOKUP($E505&amp;$C505,生产方式定位!$F$3:$J$39,3,FALSE),0)</f>
        <v>9200</v>
      </c>
      <c r="V505" s="2">
        <f>IFERROR(VLOOKUP($D505&amp;$C505,生产方式定位!$A$2:$E$39,5,FALSE)+VLOOKUP($E505&amp;$C505,生产方式定位!$F$3:$J$39,5,FALSE),"错误")</f>
        <v>13922</v>
      </c>
      <c r="W505" s="3" t="str">
        <f t="shared" si="35"/>
        <v/>
      </c>
      <c r="X505" s="4" t="str">
        <f t="shared" si="36"/>
        <v/>
      </c>
      <c r="Y505" s="4" t="str">
        <f t="shared" si="37"/>
        <v/>
      </c>
      <c r="Z505" s="5">
        <f t="shared" si="38"/>
        <v>1.33</v>
      </c>
      <c r="AA505" s="6">
        <f t="shared" si="39"/>
        <v>2</v>
      </c>
      <c r="AB505" t="str">
        <f>IFERROR(F505&amp;"*"&amp;ROUND(L505*(G505/(G505+I505+K505))/VLOOKUP(F505,商品!$A$4:$D$67,4,FALSE),0),"")</f>
        <v/>
      </c>
      <c r="AC505" t="str">
        <f>IFERROR(H505&amp;"*"&amp;ROUND(L505*(I505/(G505+I505+K505))/VLOOKUP(H505,商品!$A$4:$D$67,4,FALSE),0),"")</f>
        <v/>
      </c>
      <c r="AD505" t="str">
        <f>IFERROR(J505&amp;"*"&amp;ROUND(L505*(K505/(G505+I505+K505))/VLOOKUP(J505,商品!$A$4:$D$67,4,FALSE),0),"")</f>
        <v/>
      </c>
      <c r="AE505" t="str">
        <f>IFERROR(M505&amp;"*"&amp;ROUND(Q505*(N505/(N505+P505))/VLOOKUP(M505,职业!$A$3:$E$16,4,FALSE),0),"")</f>
        <v/>
      </c>
      <c r="AF505" t="str">
        <f>IFERROR(O505&amp;"*"&amp;ROUND(Q505*(P505/(N505+P505))/VLOOKUP(O505,职业!$A$3:$E$16,4,FALSE),0),"")</f>
        <v/>
      </c>
      <c r="AG505" t="str">
        <f>IFERROR(R505&amp;"*"&amp;ROUND(V505*(S505/(S505+U505))/VLOOKUP(R505,商品!$A$4:$D$67,4,FALSE),0),"")</f>
        <v/>
      </c>
      <c r="AH505" t="str">
        <f>IFERROR(T505&amp;"*"&amp;ROUND(V505*(U505/(S505+U505))/VLOOKUP(T505,商品!$A$4:$D$67,4,FALSE),0),"")</f>
        <v/>
      </c>
    </row>
    <row r="506" customHeight="1" spans="1:34">
      <c r="A506" s="14" t="s">
        <v>377</v>
      </c>
      <c r="C506" s="2">
        <v>3</v>
      </c>
      <c r="D506" s="2" t="s">
        <v>247</v>
      </c>
      <c r="E506" s="2" t="s">
        <v>222</v>
      </c>
      <c r="L506" s="2">
        <f>IFERROR(VLOOKUP($D506&amp;$C506,生产方式定位!$A$2:$E$39,2,FALSE)+VLOOKUP($E506&amp;$C506,生产方式定位!$F$3:$J$39,2,FALSE),0)</f>
        <v>17000</v>
      </c>
      <c r="Q506" s="2">
        <f>IFERROR(VLOOKUP($D506&amp;$C506,生产方式定位!$A$2:$E$39,3,FALSE)+VLOOKUP($E506&amp;$C506,生产方式定位!$F$3:$J$39,3,FALSE),0)</f>
        <v>8400</v>
      </c>
      <c r="V506" s="2">
        <f>IFERROR(VLOOKUP($D506&amp;$C506,生产方式定位!$A$2:$E$39,5,FALSE)+VLOOKUP($E506&amp;$C506,生产方式定位!$F$3:$J$39,5,FALSE),"错误")</f>
        <v>12988</v>
      </c>
      <c r="W506" s="3" t="str">
        <f t="shared" si="35"/>
        <v/>
      </c>
      <c r="X506" s="4" t="str">
        <f t="shared" si="36"/>
        <v/>
      </c>
      <c r="Y506" s="4" t="str">
        <f t="shared" si="37"/>
        <v/>
      </c>
      <c r="Z506" s="5">
        <f t="shared" si="38"/>
        <v>1.31</v>
      </c>
      <c r="AA506" s="6">
        <f t="shared" si="39"/>
        <v>3</v>
      </c>
      <c r="AB506" t="str">
        <f>IFERROR(F506&amp;"*"&amp;ROUND(L506*(G506/(G506+I506+K506))/VLOOKUP(F506,商品!$A$4:$D$67,4,FALSE),0),"")</f>
        <v/>
      </c>
      <c r="AC506" t="str">
        <f>IFERROR(H506&amp;"*"&amp;ROUND(L506*(I506/(G506+I506+K506))/VLOOKUP(H506,商品!$A$4:$D$67,4,FALSE),0),"")</f>
        <v/>
      </c>
      <c r="AD506" t="str">
        <f>IFERROR(J506&amp;"*"&amp;ROUND(L506*(K506/(G506+I506+K506))/VLOOKUP(J506,商品!$A$4:$D$67,4,FALSE),0),"")</f>
        <v/>
      </c>
      <c r="AE506" t="str">
        <f>IFERROR(M506&amp;"*"&amp;ROUND(Q506*(N506/(N506+P506))/VLOOKUP(M506,职业!$A$3:$E$16,4,FALSE),0),"")</f>
        <v/>
      </c>
      <c r="AF506" t="str">
        <f>IFERROR(O506&amp;"*"&amp;ROUND(Q506*(P506/(N506+P506))/VLOOKUP(O506,职业!$A$3:$E$16,4,FALSE),0),"")</f>
        <v/>
      </c>
      <c r="AG506" t="str">
        <f>IFERROR(R506&amp;"*"&amp;ROUND(V506*(S506/(S506+U506))/VLOOKUP(R506,商品!$A$4:$D$67,4,FALSE),0),"")</f>
        <v/>
      </c>
      <c r="AH506" t="str">
        <f>IFERROR(T506&amp;"*"&amp;ROUND(V506*(U506/(S506+U506))/VLOOKUP(T506,商品!$A$4:$D$67,4,FALSE),0),"")</f>
        <v/>
      </c>
    </row>
    <row r="507" customHeight="1" spans="1:34">
      <c r="A507" s="15" t="s">
        <v>378</v>
      </c>
      <c r="C507" s="2">
        <v>4</v>
      </c>
      <c r="D507" s="2" t="s">
        <v>247</v>
      </c>
      <c r="E507" s="2" t="s">
        <v>225</v>
      </c>
      <c r="L507" s="2">
        <f>IFERROR(VLOOKUP($D507&amp;$C507,生产方式定位!$A$2:$E$39,2,FALSE)+VLOOKUP($E507&amp;$C507,生产方式定位!$F$3:$J$39,2,FALSE),0)</f>
        <v>12500</v>
      </c>
      <c r="Q507" s="2">
        <f>IFERROR(VLOOKUP($D507&amp;$C507,生产方式定位!$A$2:$E$39,3,FALSE)+VLOOKUP($E507&amp;$C507,生产方式定位!$F$3:$J$39,3,FALSE),0)</f>
        <v>7000</v>
      </c>
      <c r="V507" s="2">
        <f>IFERROR(VLOOKUP($D507&amp;$C507,生产方式定位!$A$2:$E$39,5,FALSE)+VLOOKUP($E507&amp;$C507,生产方式定位!$F$3:$J$39,5,FALSE),"错误")</f>
        <v>9750</v>
      </c>
      <c r="W507" s="3" t="str">
        <f t="shared" si="35"/>
        <v/>
      </c>
      <c r="X507" s="4" t="str">
        <f t="shared" si="36"/>
        <v/>
      </c>
      <c r="Y507" s="4" t="str">
        <f t="shared" si="37"/>
        <v/>
      </c>
      <c r="Z507" s="5">
        <f t="shared" si="38"/>
        <v>1.28</v>
      </c>
      <c r="AA507" s="6">
        <f t="shared" si="39"/>
        <v>4</v>
      </c>
      <c r="AB507" t="str">
        <f>IFERROR(F507&amp;"*"&amp;ROUND(L507*(G507/(G507+I507+K507))/VLOOKUP(F507,商品!$A$4:$D$67,4,FALSE),0),"")</f>
        <v/>
      </c>
      <c r="AC507" t="str">
        <f>IFERROR(H507&amp;"*"&amp;ROUND(L507*(I507/(G507+I507+K507))/VLOOKUP(H507,商品!$A$4:$D$67,4,FALSE),0),"")</f>
        <v/>
      </c>
      <c r="AD507" t="str">
        <f>IFERROR(J507&amp;"*"&amp;ROUND(L507*(K507/(G507+I507+K507))/VLOOKUP(J507,商品!$A$4:$D$67,4,FALSE),0),"")</f>
        <v/>
      </c>
      <c r="AE507" t="str">
        <f>IFERROR(M507&amp;"*"&amp;ROUND(Q507*(N507/(N507+P507))/VLOOKUP(M507,职业!$A$3:$E$16,4,FALSE),0),"")</f>
        <v/>
      </c>
      <c r="AF507" t="str">
        <f>IFERROR(O507&amp;"*"&amp;ROUND(Q507*(P507/(N507+P507))/VLOOKUP(O507,职业!$A$3:$E$16,4,FALSE),0),"")</f>
        <v/>
      </c>
      <c r="AG507" t="str">
        <f>IFERROR(R507&amp;"*"&amp;ROUND(V507*(S507/(S507+U507))/VLOOKUP(R507,商品!$A$4:$D$67,4,FALSE),0),"")</f>
        <v/>
      </c>
      <c r="AH507" t="str">
        <f>IFERROR(T507&amp;"*"&amp;ROUND(V507*(U507/(S507+U507))/VLOOKUP(T507,商品!$A$4:$D$67,4,FALSE),0),"")</f>
        <v/>
      </c>
    </row>
    <row r="508" customHeight="1" spans="1:34">
      <c r="A508" s="15" t="s">
        <v>378</v>
      </c>
      <c r="C508" s="2">
        <v>5</v>
      </c>
      <c r="D508" s="2" t="s">
        <v>247</v>
      </c>
      <c r="E508" s="2" t="s">
        <v>225</v>
      </c>
      <c r="L508" s="2">
        <f>IFERROR(VLOOKUP($D508&amp;$C508,生产方式定位!$A$2:$E$39,2,FALSE)+VLOOKUP($E508&amp;$C508,生产方式定位!$F$3:$J$39,2,FALSE),0)</f>
        <v>10000</v>
      </c>
      <c r="Q508" s="2">
        <f>IFERROR(VLOOKUP($D508&amp;$C508,生产方式定位!$A$2:$E$39,3,FALSE)+VLOOKUP($E508&amp;$C508,生产方式定位!$F$3:$J$39,3,FALSE),0)</f>
        <v>6000</v>
      </c>
      <c r="V508" s="2">
        <f>IFERROR(VLOOKUP($D508&amp;$C508,生产方式定位!$A$2:$E$39,5,FALSE)+VLOOKUP($E508&amp;$C508,生产方式定位!$F$3:$J$39,5,FALSE),"错误")</f>
        <v>8000</v>
      </c>
      <c r="W508" s="3" t="str">
        <f t="shared" si="35"/>
        <v/>
      </c>
      <c r="X508" s="4" t="str">
        <f t="shared" si="36"/>
        <v/>
      </c>
      <c r="Y508" s="4" t="str">
        <f t="shared" si="37"/>
        <v/>
      </c>
      <c r="Z508" s="5">
        <f t="shared" si="38"/>
        <v>1.25</v>
      </c>
      <c r="AA508" s="6">
        <f t="shared" si="39"/>
        <v>5</v>
      </c>
      <c r="AB508" t="str">
        <f>IFERROR(F508&amp;"*"&amp;ROUND(L508*(G508/(G508+I508+K508))/VLOOKUP(F508,商品!$A$4:$D$67,4,FALSE),0),"")</f>
        <v/>
      </c>
      <c r="AC508" t="str">
        <f>IFERROR(H508&amp;"*"&amp;ROUND(L508*(I508/(G508+I508+K508))/VLOOKUP(H508,商品!$A$4:$D$67,4,FALSE),0),"")</f>
        <v/>
      </c>
      <c r="AD508" t="str">
        <f>IFERROR(J508&amp;"*"&amp;ROUND(L508*(K508/(G508+I508+K508))/VLOOKUP(J508,商品!$A$4:$D$67,4,FALSE),0),"")</f>
        <v/>
      </c>
      <c r="AE508" t="str">
        <f>IFERROR(M508&amp;"*"&amp;ROUND(Q508*(N508/(N508+P508))/VLOOKUP(M508,职业!$A$3:$E$16,4,FALSE),0),"")</f>
        <v/>
      </c>
      <c r="AF508" t="str">
        <f>IFERROR(O508&amp;"*"&amp;ROUND(Q508*(P508/(N508+P508))/VLOOKUP(O508,职业!$A$3:$E$16,4,FALSE),0),"")</f>
        <v/>
      </c>
      <c r="AG508" t="str">
        <f>IFERROR(R508&amp;"*"&amp;ROUND(V508*(S508/(S508+U508))/VLOOKUP(R508,商品!$A$4:$D$67,4,FALSE),0),"")</f>
        <v/>
      </c>
      <c r="AH508" t="str">
        <f>IFERROR(T508&amp;"*"&amp;ROUND(V508*(U508/(S508+U508))/VLOOKUP(T508,商品!$A$4:$D$67,4,FALSE),0),"")</f>
        <v/>
      </c>
    </row>
    <row r="509" customHeight="1" spans="1:34">
      <c r="A509" s="15" t="s">
        <v>378</v>
      </c>
      <c r="C509" s="2">
        <v>1</v>
      </c>
      <c r="D509" s="2" t="s">
        <v>247</v>
      </c>
      <c r="E509" s="2" t="s">
        <v>225</v>
      </c>
      <c r="L509" s="2">
        <f>IFERROR(VLOOKUP($D509&amp;$C509,生产方式定位!$A$2:$E$39,2,FALSE)+VLOOKUP($E509&amp;$C509,生产方式定位!$F$3:$J$39,2,FALSE),0)</f>
        <v>20000</v>
      </c>
      <c r="Q509" s="2">
        <f>IFERROR(VLOOKUP($D509&amp;$C509,生产方式定位!$A$2:$E$39,3,FALSE)+VLOOKUP($E509&amp;$C509,生产方式定位!$F$3:$J$39,3,FALSE),0)</f>
        <v>10000</v>
      </c>
      <c r="V509" s="2">
        <f>IFERROR(VLOOKUP($D509&amp;$C509,生产方式定位!$A$2:$E$39,5,FALSE)+VLOOKUP($E509&amp;$C509,生产方式定位!$F$3:$J$39,5,FALSE),"错误")</f>
        <v>15000</v>
      </c>
      <c r="W509" s="3" t="str">
        <f t="shared" si="35"/>
        <v/>
      </c>
      <c r="X509" s="4" t="str">
        <f t="shared" si="36"/>
        <v/>
      </c>
      <c r="Y509" s="4" t="str">
        <f t="shared" si="37"/>
        <v/>
      </c>
      <c r="Z509" s="5">
        <f t="shared" si="38"/>
        <v>1.33</v>
      </c>
      <c r="AA509" s="6">
        <f t="shared" si="39"/>
        <v>1</v>
      </c>
      <c r="AB509" t="str">
        <f>IFERROR(F509&amp;"*"&amp;ROUND(L509*(G509/(G509+I509+K509))/VLOOKUP(F509,商品!$A$4:$D$67,4,FALSE),0),"")</f>
        <v/>
      </c>
      <c r="AC509" t="str">
        <f>IFERROR(H509&amp;"*"&amp;ROUND(L509*(I509/(G509+I509+K509))/VLOOKUP(H509,商品!$A$4:$D$67,4,FALSE),0),"")</f>
        <v/>
      </c>
      <c r="AD509" t="str">
        <f>IFERROR(J509&amp;"*"&amp;ROUND(L509*(K509/(G509+I509+K509))/VLOOKUP(J509,商品!$A$4:$D$67,4,FALSE),0),"")</f>
        <v/>
      </c>
      <c r="AE509" t="str">
        <f>IFERROR(M509&amp;"*"&amp;ROUND(Q509*(N509/(N509+P509))/VLOOKUP(M509,职业!$A$3:$E$16,4,FALSE),0),"")</f>
        <v/>
      </c>
      <c r="AF509" t="str">
        <f>IFERROR(O509&amp;"*"&amp;ROUND(Q509*(P509/(N509+P509))/VLOOKUP(O509,职业!$A$3:$E$16,4,FALSE),0),"")</f>
        <v/>
      </c>
      <c r="AG509" t="str">
        <f>IFERROR(R509&amp;"*"&amp;ROUND(V509*(S509/(S509+U509))/VLOOKUP(R509,商品!$A$4:$D$67,4,FALSE),0),"")</f>
        <v/>
      </c>
      <c r="AH509" t="str">
        <f>IFERROR(T509&amp;"*"&amp;ROUND(V509*(U509/(S509+U509))/VLOOKUP(T509,商品!$A$4:$D$67,4,FALSE),0),"")</f>
        <v/>
      </c>
    </row>
    <row r="510" customHeight="1" spans="1:34">
      <c r="A510" s="15" t="s">
        <v>378</v>
      </c>
      <c r="C510" s="2">
        <v>2</v>
      </c>
      <c r="D510" s="2" t="s">
        <v>247</v>
      </c>
      <c r="E510" s="2" t="s">
        <v>225</v>
      </c>
      <c r="L510" s="2">
        <f>IFERROR(VLOOKUP($D510&amp;$C510,生产方式定位!$A$2:$E$39,2,FALSE)+VLOOKUP($E510&amp;$C510,生产方式定位!$F$3:$J$39,2,FALSE),0)</f>
        <v>17500</v>
      </c>
      <c r="Q510" s="2">
        <f>IFERROR(VLOOKUP($D510&amp;$C510,生产方式定位!$A$2:$E$39,3,FALSE)+VLOOKUP($E510&amp;$C510,生产方式定位!$F$3:$J$39,3,FALSE),0)</f>
        <v>9000</v>
      </c>
      <c r="V510" s="2">
        <f>IFERROR(VLOOKUP($D510&amp;$C510,生产方式定位!$A$2:$E$39,5,FALSE)+VLOOKUP($E510&amp;$C510,生产方式定位!$F$3:$J$39,5,FALSE),"错误")</f>
        <v>13250</v>
      </c>
      <c r="W510" s="3" t="str">
        <f t="shared" si="35"/>
        <v/>
      </c>
      <c r="X510" s="4" t="str">
        <f t="shared" si="36"/>
        <v/>
      </c>
      <c r="Y510" s="4" t="str">
        <f t="shared" si="37"/>
        <v/>
      </c>
      <c r="Z510" s="5">
        <f t="shared" si="38"/>
        <v>1.32</v>
      </c>
      <c r="AA510" s="6">
        <f t="shared" si="39"/>
        <v>2</v>
      </c>
      <c r="AB510" t="str">
        <f>IFERROR(F510&amp;"*"&amp;ROUND(L510*(G510/(G510+I510+K510))/VLOOKUP(F510,商品!$A$4:$D$67,4,FALSE),0),"")</f>
        <v/>
      </c>
      <c r="AC510" t="str">
        <f>IFERROR(H510&amp;"*"&amp;ROUND(L510*(I510/(G510+I510+K510))/VLOOKUP(H510,商品!$A$4:$D$67,4,FALSE),0),"")</f>
        <v/>
      </c>
      <c r="AD510" t="str">
        <f>IFERROR(J510&amp;"*"&amp;ROUND(L510*(K510/(G510+I510+K510))/VLOOKUP(J510,商品!$A$4:$D$67,4,FALSE),0),"")</f>
        <v/>
      </c>
      <c r="AE510" t="str">
        <f>IFERROR(M510&amp;"*"&amp;ROUND(Q510*(N510/(N510+P510))/VLOOKUP(M510,职业!$A$3:$E$16,4,FALSE),0),"")</f>
        <v/>
      </c>
      <c r="AF510" t="str">
        <f>IFERROR(O510&amp;"*"&amp;ROUND(Q510*(P510/(N510+P510))/VLOOKUP(O510,职业!$A$3:$E$16,4,FALSE),0),"")</f>
        <v/>
      </c>
      <c r="AG510" t="str">
        <f>IFERROR(R510&amp;"*"&amp;ROUND(V510*(S510/(S510+U510))/VLOOKUP(R510,商品!$A$4:$D$67,4,FALSE),0),"")</f>
        <v/>
      </c>
      <c r="AH510" t="str">
        <f>IFERROR(T510&amp;"*"&amp;ROUND(V510*(U510/(S510+U510))/VLOOKUP(T510,商品!$A$4:$D$67,4,FALSE),0),"")</f>
        <v/>
      </c>
    </row>
    <row r="511" customHeight="1" spans="1:34">
      <c r="A511" s="15" t="s">
        <v>378</v>
      </c>
      <c r="C511" s="2">
        <v>3</v>
      </c>
      <c r="D511" s="2" t="s">
        <v>247</v>
      </c>
      <c r="E511" s="2" t="s">
        <v>225</v>
      </c>
      <c r="L511" s="2">
        <f>IFERROR(VLOOKUP($D511&amp;$C511,生产方式定位!$A$2:$E$39,2,FALSE)+VLOOKUP($E511&amp;$C511,生产方式定位!$F$3:$J$39,2,FALSE),0)</f>
        <v>15000</v>
      </c>
      <c r="Q511" s="2">
        <f>IFERROR(VLOOKUP($D511&amp;$C511,生产方式定位!$A$2:$E$39,3,FALSE)+VLOOKUP($E511&amp;$C511,生产方式定位!$F$3:$J$39,3,FALSE),0)</f>
        <v>8000</v>
      </c>
      <c r="V511" s="2">
        <f>IFERROR(VLOOKUP($D511&amp;$C511,生产方式定位!$A$2:$E$39,5,FALSE)+VLOOKUP($E511&amp;$C511,生产方式定位!$F$3:$J$39,5,FALSE),"错误")</f>
        <v>11500</v>
      </c>
      <c r="W511" s="3" t="str">
        <f t="shared" si="35"/>
        <v/>
      </c>
      <c r="X511" s="4" t="str">
        <f t="shared" si="36"/>
        <v/>
      </c>
      <c r="Y511" s="4" t="str">
        <f t="shared" si="37"/>
        <v/>
      </c>
      <c r="Z511" s="5">
        <f t="shared" si="38"/>
        <v>1.3</v>
      </c>
      <c r="AA511" s="6">
        <f t="shared" si="39"/>
        <v>3</v>
      </c>
      <c r="AB511" t="str">
        <f>IFERROR(F511&amp;"*"&amp;ROUND(L511*(G511/(G511+I511+K511))/VLOOKUP(F511,商品!$A$4:$D$67,4,FALSE),0),"")</f>
        <v/>
      </c>
      <c r="AC511" t="str">
        <f>IFERROR(H511&amp;"*"&amp;ROUND(L511*(I511/(G511+I511+K511))/VLOOKUP(H511,商品!$A$4:$D$67,4,FALSE),0),"")</f>
        <v/>
      </c>
      <c r="AD511" t="str">
        <f>IFERROR(J511&amp;"*"&amp;ROUND(L511*(K511/(G511+I511+K511))/VLOOKUP(J511,商品!$A$4:$D$67,4,FALSE),0),"")</f>
        <v/>
      </c>
      <c r="AE511" t="str">
        <f>IFERROR(M511&amp;"*"&amp;ROUND(Q511*(N511/(N511+P511))/VLOOKUP(M511,职业!$A$3:$E$16,4,FALSE),0),"")</f>
        <v/>
      </c>
      <c r="AF511" t="str">
        <f>IFERROR(O511&amp;"*"&amp;ROUND(Q511*(P511/(N511+P511))/VLOOKUP(O511,职业!$A$3:$E$16,4,FALSE),0),"")</f>
        <v/>
      </c>
      <c r="AG511" t="str">
        <f>IFERROR(R511&amp;"*"&amp;ROUND(V511*(S511/(S511+U511))/VLOOKUP(R511,商品!$A$4:$D$67,4,FALSE),0),"")</f>
        <v/>
      </c>
      <c r="AH511" t="str">
        <f>IFERROR(T511&amp;"*"&amp;ROUND(V511*(U511/(S511+U511))/VLOOKUP(T511,商品!$A$4:$D$67,4,FALSE),0),"")</f>
        <v/>
      </c>
    </row>
    <row r="512" customHeight="1" spans="1:34">
      <c r="A512" s="14" t="s">
        <v>380</v>
      </c>
      <c r="C512" s="2">
        <v>4</v>
      </c>
      <c r="D512" s="2" t="s">
        <v>247</v>
      </c>
      <c r="E512" s="2" t="s">
        <v>222</v>
      </c>
      <c r="L512" s="2">
        <f>IFERROR(VLOOKUP($D512&amp;$C512,生产方式定位!$A$2:$E$39,2,FALSE)+VLOOKUP($E512&amp;$C512,生产方式定位!$F$3:$J$39,2,FALSE),0)</f>
        <v>15500</v>
      </c>
      <c r="Q512" s="2">
        <f>IFERROR(VLOOKUP($D512&amp;$C512,生产方式定位!$A$2:$E$39,3,FALSE)+VLOOKUP($E512&amp;$C512,生产方式定位!$F$3:$J$39,3,FALSE),0)</f>
        <v>7600</v>
      </c>
      <c r="V512" s="2">
        <f>IFERROR(VLOOKUP($D512&amp;$C512,生产方式定位!$A$2:$E$39,5,FALSE)+VLOOKUP($E512&amp;$C512,生产方式定位!$F$3:$J$39,5,FALSE),"错误")</f>
        <v>12198</v>
      </c>
      <c r="W512" s="3" t="str">
        <f t="shared" si="35"/>
        <v/>
      </c>
      <c r="X512" s="4" t="str">
        <f t="shared" si="36"/>
        <v/>
      </c>
      <c r="Y512" s="4" t="str">
        <f t="shared" si="37"/>
        <v/>
      </c>
      <c r="Z512" s="5">
        <f t="shared" si="38"/>
        <v>1.27</v>
      </c>
      <c r="AA512" s="6">
        <f t="shared" si="39"/>
        <v>4</v>
      </c>
      <c r="AB512" t="str">
        <f>IFERROR(F512&amp;"*"&amp;ROUND(L512*(G512/(G512+I512+K512))/VLOOKUP(F512,商品!$A$4:$D$67,4,FALSE),0),"")</f>
        <v/>
      </c>
      <c r="AC512" t="str">
        <f>IFERROR(H512&amp;"*"&amp;ROUND(L512*(I512/(G512+I512+K512))/VLOOKUP(H512,商品!$A$4:$D$67,4,FALSE),0),"")</f>
        <v/>
      </c>
      <c r="AD512" t="str">
        <f>IFERROR(J512&amp;"*"&amp;ROUND(L512*(K512/(G512+I512+K512))/VLOOKUP(J512,商品!$A$4:$D$67,4,FALSE),0),"")</f>
        <v/>
      </c>
      <c r="AE512" t="str">
        <f>IFERROR(M512&amp;"*"&amp;ROUND(Q512*(N512/(N512+P512))/VLOOKUP(M512,职业!$A$3:$E$16,4,FALSE),0),"")</f>
        <v/>
      </c>
      <c r="AF512" t="str">
        <f>IFERROR(O512&amp;"*"&amp;ROUND(Q512*(P512/(N512+P512))/VLOOKUP(O512,职业!$A$3:$E$16,4,FALSE),0),"")</f>
        <v/>
      </c>
      <c r="AG512" t="str">
        <f>IFERROR(R512&amp;"*"&amp;ROUND(V512*(S512/(S512+U512))/VLOOKUP(R512,商品!$A$4:$D$67,4,FALSE),0),"")</f>
        <v/>
      </c>
      <c r="AH512" t="str">
        <f>IFERROR(T512&amp;"*"&amp;ROUND(V512*(U512/(S512+U512))/VLOOKUP(T512,商品!$A$4:$D$67,4,FALSE),0),"")</f>
        <v/>
      </c>
    </row>
    <row r="513" customHeight="1" spans="1:34">
      <c r="A513" s="14" t="s">
        <v>380</v>
      </c>
      <c r="C513" s="2">
        <v>5</v>
      </c>
      <c r="D513" s="2" t="s">
        <v>247</v>
      </c>
      <c r="E513" s="2" t="s">
        <v>222</v>
      </c>
      <c r="L513" s="2">
        <f>IFERROR(VLOOKUP($D513&amp;$C513,生产方式定位!$A$2:$E$39,2,FALSE)+VLOOKUP($E513&amp;$C513,生产方式定位!$F$3:$J$39,2,FALSE),0)</f>
        <v>14000</v>
      </c>
      <c r="Q513" s="2">
        <f>IFERROR(VLOOKUP($D513&amp;$C513,生产方式定位!$A$2:$E$39,3,FALSE)+VLOOKUP($E513&amp;$C513,生产方式定位!$F$3:$J$39,3,FALSE),0)</f>
        <v>6800</v>
      </c>
      <c r="V513" s="2">
        <f>IFERROR(VLOOKUP($D513&amp;$C513,生产方式定位!$A$2:$E$39,5,FALSE)+VLOOKUP($E513&amp;$C513,生产方式定位!$F$3:$J$39,5,FALSE),"错误")</f>
        <v>11600</v>
      </c>
      <c r="W513" s="3" t="str">
        <f t="shared" si="35"/>
        <v/>
      </c>
      <c r="X513" s="4" t="str">
        <f t="shared" si="36"/>
        <v/>
      </c>
      <c r="Y513" s="4" t="str">
        <f t="shared" si="37"/>
        <v/>
      </c>
      <c r="Z513" s="5">
        <f t="shared" si="38"/>
        <v>1.21</v>
      </c>
      <c r="AA513" s="6">
        <f t="shared" si="39"/>
        <v>5</v>
      </c>
      <c r="AB513" t="str">
        <f>IFERROR(F513&amp;"*"&amp;ROUND(L513*(G513/(G513+I513+K513))/VLOOKUP(F513,商品!$A$4:$D$67,4,FALSE),0),"")</f>
        <v/>
      </c>
      <c r="AC513" t="str">
        <f>IFERROR(H513&amp;"*"&amp;ROUND(L513*(I513/(G513+I513+K513))/VLOOKUP(H513,商品!$A$4:$D$67,4,FALSE),0),"")</f>
        <v/>
      </c>
      <c r="AD513" t="str">
        <f>IFERROR(J513&amp;"*"&amp;ROUND(L513*(K513/(G513+I513+K513))/VLOOKUP(J513,商品!$A$4:$D$67,4,FALSE),0),"")</f>
        <v/>
      </c>
      <c r="AE513" t="str">
        <f>IFERROR(M513&amp;"*"&amp;ROUND(Q513*(N513/(N513+P513))/VLOOKUP(M513,职业!$A$3:$E$16,4,FALSE),0),"")</f>
        <v/>
      </c>
      <c r="AF513" t="str">
        <f>IFERROR(O513&amp;"*"&amp;ROUND(Q513*(P513/(N513+P513))/VLOOKUP(O513,职业!$A$3:$E$16,4,FALSE),0),"")</f>
        <v/>
      </c>
      <c r="AG513" t="str">
        <f>IFERROR(R513&amp;"*"&amp;ROUND(V513*(S513/(S513+U513))/VLOOKUP(R513,商品!$A$4:$D$67,4,FALSE),0),"")</f>
        <v/>
      </c>
      <c r="AH513" t="str">
        <f>IFERROR(T513&amp;"*"&amp;ROUND(V513*(U513/(S513+U513))/VLOOKUP(T513,商品!$A$4:$D$67,4,FALSE),0),"")</f>
        <v/>
      </c>
    </row>
    <row r="514" customHeight="1" spans="1:34">
      <c r="A514" s="14" t="s">
        <v>380</v>
      </c>
      <c r="C514" s="2">
        <v>6</v>
      </c>
      <c r="D514" s="2" t="s">
        <v>247</v>
      </c>
      <c r="E514" s="2" t="s">
        <v>222</v>
      </c>
      <c r="L514" s="2">
        <f>IFERROR(VLOOKUP($D514&amp;$C514,生产方式定位!$A$2:$E$39,2,FALSE)+VLOOKUP($E514&amp;$C514,生产方式定位!$F$3:$J$39,2,FALSE),0)</f>
        <v>0</v>
      </c>
      <c r="Q514" s="2">
        <f>IFERROR(VLOOKUP($D514&amp;$C514,生产方式定位!$A$2:$E$39,3,FALSE)+VLOOKUP($E514&amp;$C514,生产方式定位!$F$3:$J$39,3,FALSE),0)</f>
        <v>0</v>
      </c>
      <c r="V514" s="2" t="str">
        <f>IFERROR(VLOOKUP($D514&amp;$C514,生产方式定位!$A$2:$E$39,5,FALSE)+VLOOKUP($E514&amp;$C514,生产方式定位!$F$3:$J$39,5,FALSE),"错误")</f>
        <v>错误</v>
      </c>
      <c r="W514" s="3" t="str">
        <f t="shared" si="35"/>
        <v/>
      </c>
      <c r="X514" s="4" t="str">
        <f t="shared" si="36"/>
        <v/>
      </c>
      <c r="Y514" s="4" t="str">
        <f t="shared" si="37"/>
        <v/>
      </c>
      <c r="Z514" s="5" t="str">
        <f t="shared" si="38"/>
        <v/>
      </c>
      <c r="AA514" s="6">
        <f t="shared" si="39"/>
        <v>6</v>
      </c>
      <c r="AB514" t="str">
        <f>IFERROR(F514&amp;"*"&amp;ROUND(L514*(G514/(G514+I514+K514))/VLOOKUP(F514,商品!$A$4:$D$67,4,FALSE),0),"")</f>
        <v/>
      </c>
      <c r="AC514" t="str">
        <f>IFERROR(H514&amp;"*"&amp;ROUND(L514*(I514/(G514+I514+K514))/VLOOKUP(H514,商品!$A$4:$D$67,4,FALSE),0),"")</f>
        <v/>
      </c>
      <c r="AD514" t="str">
        <f>IFERROR(J514&amp;"*"&amp;ROUND(L514*(K514/(G514+I514+K514))/VLOOKUP(J514,商品!$A$4:$D$67,4,FALSE),0),"")</f>
        <v/>
      </c>
      <c r="AE514" t="str">
        <f>IFERROR(M514&amp;"*"&amp;ROUND(Q514*(N514/(N514+P514))/VLOOKUP(M514,职业!$A$3:$E$16,4,FALSE),0),"")</f>
        <v/>
      </c>
      <c r="AF514" t="str">
        <f>IFERROR(O514&amp;"*"&amp;ROUND(Q514*(P514/(N514+P514))/VLOOKUP(O514,职业!$A$3:$E$16,4,FALSE),0),"")</f>
        <v/>
      </c>
      <c r="AG514" t="str">
        <f>IFERROR(R514&amp;"*"&amp;ROUND(V514*(S514/(S514+U514))/VLOOKUP(R514,商品!$A$4:$D$67,4,FALSE),0),"")</f>
        <v/>
      </c>
      <c r="AH514" t="str">
        <f>IFERROR(T514&amp;"*"&amp;ROUND(V514*(U514/(S514+U514))/VLOOKUP(T514,商品!$A$4:$D$67,4,FALSE),0),"")</f>
        <v/>
      </c>
    </row>
    <row r="515" customHeight="1" spans="1:34">
      <c r="A515" s="14" t="s">
        <v>380</v>
      </c>
      <c r="C515" s="2">
        <v>7</v>
      </c>
      <c r="D515" s="2" t="s">
        <v>247</v>
      </c>
      <c r="E515" s="2" t="s">
        <v>222</v>
      </c>
      <c r="L515" s="2">
        <f>IFERROR(VLOOKUP($D515&amp;$C515,生产方式定位!$A$2:$E$39,2,FALSE)+VLOOKUP($E515&amp;$C515,生产方式定位!$F$3:$J$39,2,FALSE),0)</f>
        <v>0</v>
      </c>
      <c r="Q515" s="2">
        <f>IFERROR(VLOOKUP($D515&amp;$C515,生产方式定位!$A$2:$E$39,3,FALSE)+VLOOKUP($E515&amp;$C515,生产方式定位!$F$3:$J$39,3,FALSE),0)</f>
        <v>0</v>
      </c>
      <c r="V515" s="2" t="str">
        <f>IFERROR(VLOOKUP($D515&amp;$C515,生产方式定位!$A$2:$E$39,5,FALSE)+VLOOKUP($E515&amp;$C515,生产方式定位!$F$3:$J$39,5,FALSE),"错误")</f>
        <v>错误</v>
      </c>
      <c r="W515" s="3" t="str">
        <f t="shared" si="35"/>
        <v/>
      </c>
      <c r="X515" s="4" t="str">
        <f t="shared" si="36"/>
        <v/>
      </c>
      <c r="Y515" s="4" t="str">
        <f t="shared" si="37"/>
        <v/>
      </c>
      <c r="Z515" s="5" t="str">
        <f t="shared" si="38"/>
        <v/>
      </c>
      <c r="AA515" s="6">
        <f t="shared" si="39"/>
        <v>7</v>
      </c>
      <c r="AB515" t="str">
        <f>IFERROR(F515&amp;"*"&amp;ROUND(L515*(G515/(G515+I515+K515))/VLOOKUP(F515,商品!$A$4:$D$67,4,FALSE),0),"")</f>
        <v/>
      </c>
      <c r="AC515" t="str">
        <f>IFERROR(H515&amp;"*"&amp;ROUND(L515*(I515/(G515+I515+K515))/VLOOKUP(H515,商品!$A$4:$D$67,4,FALSE),0),"")</f>
        <v/>
      </c>
      <c r="AD515" t="str">
        <f>IFERROR(J515&amp;"*"&amp;ROUND(L515*(K515/(G515+I515+K515))/VLOOKUP(J515,商品!$A$4:$D$67,4,FALSE),0),"")</f>
        <v/>
      </c>
      <c r="AE515" t="str">
        <f>IFERROR(M515&amp;"*"&amp;ROUND(Q515*(N515/(N515+P515))/VLOOKUP(M515,职业!$A$3:$E$16,4,FALSE),0),"")</f>
        <v/>
      </c>
      <c r="AF515" t="str">
        <f>IFERROR(O515&amp;"*"&amp;ROUND(Q515*(P515/(N515+P515))/VLOOKUP(O515,职业!$A$3:$E$16,4,FALSE),0),"")</f>
        <v/>
      </c>
      <c r="AG515" t="str">
        <f>IFERROR(R515&amp;"*"&amp;ROUND(V515*(S515/(S515+U515))/VLOOKUP(R515,商品!$A$4:$D$67,4,FALSE),0),"")</f>
        <v/>
      </c>
      <c r="AH515" t="str">
        <f>IFERROR(T515&amp;"*"&amp;ROUND(V515*(U515/(S515+U515))/VLOOKUP(T515,商品!$A$4:$D$67,4,FALSE),0),"")</f>
        <v/>
      </c>
    </row>
    <row r="516" customHeight="1" spans="1:34">
      <c r="A516" s="14" t="s">
        <v>380</v>
      </c>
      <c r="C516" s="2">
        <v>8</v>
      </c>
      <c r="D516" s="2" t="s">
        <v>247</v>
      </c>
      <c r="E516" s="2" t="s">
        <v>222</v>
      </c>
      <c r="L516" s="2">
        <f>IFERROR(VLOOKUP($D516&amp;$C516,生产方式定位!$A$2:$E$39,2,FALSE)+VLOOKUP($E516&amp;$C516,生产方式定位!$F$3:$J$39,2,FALSE),0)</f>
        <v>0</v>
      </c>
      <c r="Q516" s="2">
        <f>IFERROR(VLOOKUP($D516&amp;$C516,生产方式定位!$A$2:$E$39,3,FALSE)+VLOOKUP($E516&amp;$C516,生产方式定位!$F$3:$J$39,3,FALSE),0)</f>
        <v>0</v>
      </c>
      <c r="V516" s="2" t="str">
        <f>IFERROR(VLOOKUP($D516&amp;$C516,生产方式定位!$A$2:$E$39,5,FALSE)+VLOOKUP($E516&amp;$C516,生产方式定位!$F$3:$J$39,5,FALSE),"错误")</f>
        <v>错误</v>
      </c>
      <c r="W516" s="3" t="str">
        <f t="shared" si="35"/>
        <v/>
      </c>
      <c r="X516" s="4" t="str">
        <f t="shared" si="36"/>
        <v/>
      </c>
      <c r="Y516" s="4" t="str">
        <f t="shared" si="37"/>
        <v/>
      </c>
      <c r="Z516" s="5" t="str">
        <f t="shared" si="38"/>
        <v/>
      </c>
      <c r="AA516" s="6">
        <f t="shared" si="39"/>
        <v>8</v>
      </c>
      <c r="AB516" t="str">
        <f>IFERROR(F516&amp;"*"&amp;ROUND(L516*(G516/(G516+I516+K516))/VLOOKUP(F516,商品!$A$4:$D$67,4,FALSE),0),"")</f>
        <v/>
      </c>
      <c r="AC516" t="str">
        <f>IFERROR(H516&amp;"*"&amp;ROUND(L516*(I516/(G516+I516+K516))/VLOOKUP(H516,商品!$A$4:$D$67,4,FALSE),0),"")</f>
        <v/>
      </c>
      <c r="AD516" t="str">
        <f>IFERROR(J516&amp;"*"&amp;ROUND(L516*(K516/(G516+I516+K516))/VLOOKUP(J516,商品!$A$4:$D$67,4,FALSE),0),"")</f>
        <v/>
      </c>
      <c r="AE516" t="str">
        <f>IFERROR(M516&amp;"*"&amp;ROUND(Q516*(N516/(N516+P516))/VLOOKUP(M516,职业!$A$3:$E$16,4,FALSE),0),"")</f>
        <v/>
      </c>
      <c r="AF516" t="str">
        <f>IFERROR(O516&amp;"*"&amp;ROUND(Q516*(P516/(N516+P516))/VLOOKUP(O516,职业!$A$3:$E$16,4,FALSE),0),"")</f>
        <v/>
      </c>
      <c r="AG516" t="str">
        <f>IFERROR(R516&amp;"*"&amp;ROUND(V516*(S516/(S516+U516))/VLOOKUP(R516,商品!$A$4:$D$67,4,FALSE),0),"")</f>
        <v/>
      </c>
      <c r="AH516" t="str">
        <f>IFERROR(T516&amp;"*"&amp;ROUND(V516*(U516/(S516+U516))/VLOOKUP(T516,商品!$A$4:$D$67,4,FALSE),0),"")</f>
        <v/>
      </c>
    </row>
    <row r="517" customHeight="1" spans="1:34">
      <c r="A517" s="15" t="s">
        <v>381</v>
      </c>
      <c r="C517" s="2">
        <v>1</v>
      </c>
      <c r="D517" s="2" t="s">
        <v>247</v>
      </c>
      <c r="E517" s="2" t="s">
        <v>225</v>
      </c>
      <c r="L517" s="2">
        <f>IFERROR(VLOOKUP($D517&amp;$C517,生产方式定位!$A$2:$E$39,2,FALSE)+VLOOKUP($E517&amp;$C517,生产方式定位!$F$3:$J$39,2,FALSE),0)</f>
        <v>20000</v>
      </c>
      <c r="Q517" s="2">
        <f>IFERROR(VLOOKUP($D517&amp;$C517,生产方式定位!$A$2:$E$39,3,FALSE)+VLOOKUP($E517&amp;$C517,生产方式定位!$F$3:$J$39,3,FALSE),0)</f>
        <v>10000</v>
      </c>
      <c r="V517" s="2">
        <f>IFERROR(VLOOKUP($D517&amp;$C517,生产方式定位!$A$2:$E$39,5,FALSE)+VLOOKUP($E517&amp;$C517,生产方式定位!$F$3:$J$39,5,FALSE),"错误")</f>
        <v>15000</v>
      </c>
      <c r="W517" s="3" t="str">
        <f t="shared" ref="W517:W580" si="40">IF(AB517="","",AB517)&amp;IF(AC517="","",","&amp;AC517)&amp;IF(AD517="","",","&amp;AD517)</f>
        <v/>
      </c>
      <c r="X517" s="4" t="str">
        <f t="shared" ref="X517:X580" si="41">IF(AE517="","",AE517)&amp;IF(AF517="","",","&amp;AF517)</f>
        <v/>
      </c>
      <c r="Y517" s="4" t="str">
        <f t="shared" ref="Y517:Y580" si="42">IF(AG517="","",AG517)&amp;IF(AH517="","",","&amp;AH517)</f>
        <v/>
      </c>
      <c r="Z517" s="5">
        <f t="shared" ref="Z517:Z580" si="43">IFERROR(ROUND(L517/V517,2),"")</f>
        <v>1.33</v>
      </c>
      <c r="AA517" s="6">
        <f t="shared" ref="AA517:AA580" si="44">C517</f>
        <v>1</v>
      </c>
      <c r="AB517" t="str">
        <f>IFERROR(F517&amp;"*"&amp;ROUND(L517*(G517/(G517+I517+K517))/VLOOKUP(F517,商品!$A$4:$D$67,4,FALSE),0),"")</f>
        <v/>
      </c>
      <c r="AC517" t="str">
        <f>IFERROR(H517&amp;"*"&amp;ROUND(L517*(I517/(G517+I517+K517))/VLOOKUP(H517,商品!$A$4:$D$67,4,FALSE),0),"")</f>
        <v/>
      </c>
      <c r="AD517" t="str">
        <f>IFERROR(J517&amp;"*"&amp;ROUND(L517*(K517/(G517+I517+K517))/VLOOKUP(J517,商品!$A$4:$D$67,4,FALSE),0),"")</f>
        <v/>
      </c>
      <c r="AE517" t="str">
        <f>IFERROR(M517&amp;"*"&amp;ROUND(Q517*(N517/(N517+P517))/VLOOKUP(M517,职业!$A$3:$E$16,4,FALSE),0),"")</f>
        <v/>
      </c>
      <c r="AF517" t="str">
        <f>IFERROR(O517&amp;"*"&amp;ROUND(Q517*(P517/(N517+P517))/VLOOKUP(O517,职业!$A$3:$E$16,4,FALSE),0),"")</f>
        <v/>
      </c>
      <c r="AG517" t="str">
        <f>IFERROR(R517&amp;"*"&amp;ROUND(V517*(S517/(S517+U517))/VLOOKUP(R517,商品!$A$4:$D$67,4,FALSE),0),"")</f>
        <v/>
      </c>
      <c r="AH517" t="str">
        <f>IFERROR(T517&amp;"*"&amp;ROUND(V517*(U517/(S517+U517))/VLOOKUP(T517,商品!$A$4:$D$67,4,FALSE),0),"")</f>
        <v/>
      </c>
    </row>
    <row r="518" customHeight="1" spans="1:34">
      <c r="A518" s="15" t="s">
        <v>381</v>
      </c>
      <c r="C518" s="2">
        <v>2</v>
      </c>
      <c r="D518" s="2" t="s">
        <v>247</v>
      </c>
      <c r="E518" s="2" t="s">
        <v>225</v>
      </c>
      <c r="L518" s="2">
        <f>IFERROR(VLOOKUP($D518&amp;$C518,生产方式定位!$A$2:$E$39,2,FALSE)+VLOOKUP($E518&amp;$C518,生产方式定位!$F$3:$J$39,2,FALSE),0)</f>
        <v>17500</v>
      </c>
      <c r="Q518" s="2">
        <f>IFERROR(VLOOKUP($D518&amp;$C518,生产方式定位!$A$2:$E$39,3,FALSE)+VLOOKUP($E518&amp;$C518,生产方式定位!$F$3:$J$39,3,FALSE),0)</f>
        <v>9000</v>
      </c>
      <c r="V518" s="2">
        <f>IFERROR(VLOOKUP($D518&amp;$C518,生产方式定位!$A$2:$E$39,5,FALSE)+VLOOKUP($E518&amp;$C518,生产方式定位!$F$3:$J$39,5,FALSE),"错误")</f>
        <v>13250</v>
      </c>
      <c r="W518" s="3" t="str">
        <f t="shared" si="40"/>
        <v/>
      </c>
      <c r="X518" s="4" t="str">
        <f t="shared" si="41"/>
        <v/>
      </c>
      <c r="Y518" s="4" t="str">
        <f t="shared" si="42"/>
        <v/>
      </c>
      <c r="Z518" s="5">
        <f t="shared" si="43"/>
        <v>1.32</v>
      </c>
      <c r="AA518" s="6">
        <f t="shared" si="44"/>
        <v>2</v>
      </c>
      <c r="AB518" t="str">
        <f>IFERROR(F518&amp;"*"&amp;ROUND(L518*(G518/(G518+I518+K518))/VLOOKUP(F518,商品!$A$4:$D$67,4,FALSE),0),"")</f>
        <v/>
      </c>
      <c r="AC518" t="str">
        <f>IFERROR(H518&amp;"*"&amp;ROUND(L518*(I518/(G518+I518+K518))/VLOOKUP(H518,商品!$A$4:$D$67,4,FALSE),0),"")</f>
        <v/>
      </c>
      <c r="AD518" t="str">
        <f>IFERROR(J518&amp;"*"&amp;ROUND(L518*(K518/(G518+I518+K518))/VLOOKUP(J518,商品!$A$4:$D$67,4,FALSE),0),"")</f>
        <v/>
      </c>
      <c r="AE518" t="str">
        <f>IFERROR(M518&amp;"*"&amp;ROUND(Q518*(N518/(N518+P518))/VLOOKUP(M518,职业!$A$3:$E$16,4,FALSE),0),"")</f>
        <v/>
      </c>
      <c r="AF518" t="str">
        <f>IFERROR(O518&amp;"*"&amp;ROUND(Q518*(P518/(N518+P518))/VLOOKUP(O518,职业!$A$3:$E$16,4,FALSE),0),"")</f>
        <v/>
      </c>
      <c r="AG518" t="str">
        <f>IFERROR(R518&amp;"*"&amp;ROUND(V518*(S518/(S518+U518))/VLOOKUP(R518,商品!$A$4:$D$67,4,FALSE),0),"")</f>
        <v/>
      </c>
      <c r="AH518" t="str">
        <f>IFERROR(T518&amp;"*"&amp;ROUND(V518*(U518/(S518+U518))/VLOOKUP(T518,商品!$A$4:$D$67,4,FALSE),0),"")</f>
        <v/>
      </c>
    </row>
    <row r="519" customHeight="1" spans="1:34">
      <c r="A519" s="15" t="s">
        <v>381</v>
      </c>
      <c r="C519" s="2">
        <v>3</v>
      </c>
      <c r="D519" s="2" t="s">
        <v>247</v>
      </c>
      <c r="E519" s="2" t="s">
        <v>225</v>
      </c>
      <c r="L519" s="2">
        <f>IFERROR(VLOOKUP($D519&amp;$C519,生产方式定位!$A$2:$E$39,2,FALSE)+VLOOKUP($E519&amp;$C519,生产方式定位!$F$3:$J$39,2,FALSE),0)</f>
        <v>15000</v>
      </c>
      <c r="Q519" s="2">
        <f>IFERROR(VLOOKUP($D519&amp;$C519,生产方式定位!$A$2:$E$39,3,FALSE)+VLOOKUP($E519&amp;$C519,生产方式定位!$F$3:$J$39,3,FALSE),0)</f>
        <v>8000</v>
      </c>
      <c r="V519" s="2">
        <f>IFERROR(VLOOKUP($D519&amp;$C519,生产方式定位!$A$2:$E$39,5,FALSE)+VLOOKUP($E519&amp;$C519,生产方式定位!$F$3:$J$39,5,FALSE),"错误")</f>
        <v>11500</v>
      </c>
      <c r="W519" s="3" t="str">
        <f t="shared" si="40"/>
        <v/>
      </c>
      <c r="X519" s="4" t="str">
        <f t="shared" si="41"/>
        <v/>
      </c>
      <c r="Y519" s="4" t="str">
        <f t="shared" si="42"/>
        <v/>
      </c>
      <c r="Z519" s="5">
        <f t="shared" si="43"/>
        <v>1.3</v>
      </c>
      <c r="AA519" s="6">
        <f t="shared" si="44"/>
        <v>3</v>
      </c>
      <c r="AB519" t="str">
        <f>IFERROR(F519&amp;"*"&amp;ROUND(L519*(G519/(G519+I519+K519))/VLOOKUP(F519,商品!$A$4:$D$67,4,FALSE),0),"")</f>
        <v/>
      </c>
      <c r="AC519" t="str">
        <f>IFERROR(H519&amp;"*"&amp;ROUND(L519*(I519/(G519+I519+K519))/VLOOKUP(H519,商品!$A$4:$D$67,4,FALSE),0),"")</f>
        <v/>
      </c>
      <c r="AD519" t="str">
        <f>IFERROR(J519&amp;"*"&amp;ROUND(L519*(K519/(G519+I519+K519))/VLOOKUP(J519,商品!$A$4:$D$67,4,FALSE),0),"")</f>
        <v/>
      </c>
      <c r="AE519" t="str">
        <f>IFERROR(M519&amp;"*"&amp;ROUND(Q519*(N519/(N519+P519))/VLOOKUP(M519,职业!$A$3:$E$16,4,FALSE),0),"")</f>
        <v/>
      </c>
      <c r="AF519" t="str">
        <f>IFERROR(O519&amp;"*"&amp;ROUND(Q519*(P519/(N519+P519))/VLOOKUP(O519,职业!$A$3:$E$16,4,FALSE),0),"")</f>
        <v/>
      </c>
      <c r="AG519" t="str">
        <f>IFERROR(R519&amp;"*"&amp;ROUND(V519*(S519/(S519+U519))/VLOOKUP(R519,商品!$A$4:$D$67,4,FALSE),0),"")</f>
        <v/>
      </c>
      <c r="AH519" t="str">
        <f>IFERROR(T519&amp;"*"&amp;ROUND(V519*(U519/(S519+U519))/VLOOKUP(T519,商品!$A$4:$D$67,4,FALSE),0),"")</f>
        <v/>
      </c>
    </row>
    <row r="520" customHeight="1" spans="1:34">
      <c r="A520" s="15" t="s">
        <v>381</v>
      </c>
      <c r="C520" s="2">
        <v>4</v>
      </c>
      <c r="D520" s="2" t="s">
        <v>247</v>
      </c>
      <c r="E520" s="2" t="s">
        <v>225</v>
      </c>
      <c r="L520" s="2">
        <f>IFERROR(VLOOKUP($D520&amp;$C520,生产方式定位!$A$2:$E$39,2,FALSE)+VLOOKUP($E520&amp;$C520,生产方式定位!$F$3:$J$39,2,FALSE),0)</f>
        <v>12500</v>
      </c>
      <c r="Q520" s="2">
        <f>IFERROR(VLOOKUP($D520&amp;$C520,生产方式定位!$A$2:$E$39,3,FALSE)+VLOOKUP($E520&amp;$C520,生产方式定位!$F$3:$J$39,3,FALSE),0)</f>
        <v>7000</v>
      </c>
      <c r="V520" s="2">
        <f>IFERROR(VLOOKUP($D520&amp;$C520,生产方式定位!$A$2:$E$39,5,FALSE)+VLOOKUP($E520&amp;$C520,生产方式定位!$F$3:$J$39,5,FALSE),"错误")</f>
        <v>9750</v>
      </c>
      <c r="W520" s="3" t="str">
        <f t="shared" si="40"/>
        <v/>
      </c>
      <c r="X520" s="4" t="str">
        <f t="shared" si="41"/>
        <v/>
      </c>
      <c r="Y520" s="4" t="str">
        <f t="shared" si="42"/>
        <v/>
      </c>
      <c r="Z520" s="5">
        <f t="shared" si="43"/>
        <v>1.28</v>
      </c>
      <c r="AA520" s="6">
        <f t="shared" si="44"/>
        <v>4</v>
      </c>
      <c r="AB520" t="str">
        <f>IFERROR(F520&amp;"*"&amp;ROUND(L520*(G520/(G520+I520+K520))/VLOOKUP(F520,商品!$A$4:$D$67,4,FALSE),0),"")</f>
        <v/>
      </c>
      <c r="AC520" t="str">
        <f>IFERROR(H520&amp;"*"&amp;ROUND(L520*(I520/(G520+I520+K520))/VLOOKUP(H520,商品!$A$4:$D$67,4,FALSE),0),"")</f>
        <v/>
      </c>
      <c r="AD520" t="str">
        <f>IFERROR(J520&amp;"*"&amp;ROUND(L520*(K520/(G520+I520+K520))/VLOOKUP(J520,商品!$A$4:$D$67,4,FALSE),0),"")</f>
        <v/>
      </c>
      <c r="AE520" t="str">
        <f>IFERROR(M520&amp;"*"&amp;ROUND(Q520*(N520/(N520+P520))/VLOOKUP(M520,职业!$A$3:$E$16,4,FALSE),0),"")</f>
        <v/>
      </c>
      <c r="AF520" t="str">
        <f>IFERROR(O520&amp;"*"&amp;ROUND(Q520*(P520/(N520+P520))/VLOOKUP(O520,职业!$A$3:$E$16,4,FALSE),0),"")</f>
        <v/>
      </c>
      <c r="AG520" t="str">
        <f>IFERROR(R520&amp;"*"&amp;ROUND(V520*(S520/(S520+U520))/VLOOKUP(R520,商品!$A$4:$D$67,4,FALSE),0),"")</f>
        <v/>
      </c>
      <c r="AH520" t="str">
        <f>IFERROR(T520&amp;"*"&amp;ROUND(V520*(U520/(S520+U520))/VLOOKUP(T520,商品!$A$4:$D$67,4,FALSE),0),"")</f>
        <v/>
      </c>
    </row>
    <row r="521" customHeight="1" spans="1:34">
      <c r="A521" s="15" t="s">
        <v>381</v>
      </c>
      <c r="C521" s="2">
        <v>5</v>
      </c>
      <c r="D521" s="2" t="s">
        <v>247</v>
      </c>
      <c r="E521" s="2" t="s">
        <v>225</v>
      </c>
      <c r="L521" s="2">
        <f>IFERROR(VLOOKUP($D521&amp;$C521,生产方式定位!$A$2:$E$39,2,FALSE)+VLOOKUP($E521&amp;$C521,生产方式定位!$F$3:$J$39,2,FALSE),0)</f>
        <v>10000</v>
      </c>
      <c r="Q521" s="2">
        <f>IFERROR(VLOOKUP($D521&amp;$C521,生产方式定位!$A$2:$E$39,3,FALSE)+VLOOKUP($E521&amp;$C521,生产方式定位!$F$3:$J$39,3,FALSE),0)</f>
        <v>6000</v>
      </c>
      <c r="V521" s="2">
        <f>IFERROR(VLOOKUP($D521&amp;$C521,生产方式定位!$A$2:$E$39,5,FALSE)+VLOOKUP($E521&amp;$C521,生产方式定位!$F$3:$J$39,5,FALSE),"错误")</f>
        <v>8000</v>
      </c>
      <c r="W521" s="3" t="str">
        <f t="shared" si="40"/>
        <v/>
      </c>
      <c r="X521" s="4" t="str">
        <f t="shared" si="41"/>
        <v/>
      </c>
      <c r="Y521" s="4" t="str">
        <f t="shared" si="42"/>
        <v/>
      </c>
      <c r="Z521" s="5">
        <f t="shared" si="43"/>
        <v>1.25</v>
      </c>
      <c r="AA521" s="6">
        <f t="shared" si="44"/>
        <v>5</v>
      </c>
      <c r="AB521" t="str">
        <f>IFERROR(F521&amp;"*"&amp;ROUND(L521*(G521/(G521+I521+K521))/VLOOKUP(F521,商品!$A$4:$D$67,4,FALSE),0),"")</f>
        <v/>
      </c>
      <c r="AC521" t="str">
        <f>IFERROR(H521&amp;"*"&amp;ROUND(L521*(I521/(G521+I521+K521))/VLOOKUP(H521,商品!$A$4:$D$67,4,FALSE),0),"")</f>
        <v/>
      </c>
      <c r="AD521" t="str">
        <f>IFERROR(J521&amp;"*"&amp;ROUND(L521*(K521/(G521+I521+K521))/VLOOKUP(J521,商品!$A$4:$D$67,4,FALSE),0),"")</f>
        <v/>
      </c>
      <c r="AE521" t="str">
        <f>IFERROR(M521&amp;"*"&amp;ROUND(Q521*(N521/(N521+P521))/VLOOKUP(M521,职业!$A$3:$E$16,4,FALSE),0),"")</f>
        <v/>
      </c>
      <c r="AF521" t="str">
        <f>IFERROR(O521&amp;"*"&amp;ROUND(Q521*(P521/(N521+P521))/VLOOKUP(O521,职业!$A$3:$E$16,4,FALSE),0),"")</f>
        <v/>
      </c>
      <c r="AG521" t="str">
        <f>IFERROR(R521&amp;"*"&amp;ROUND(V521*(S521/(S521+U521))/VLOOKUP(R521,商品!$A$4:$D$67,4,FALSE),0),"")</f>
        <v/>
      </c>
      <c r="AH521" t="str">
        <f>IFERROR(T521&amp;"*"&amp;ROUND(V521*(U521/(S521+U521))/VLOOKUP(T521,商品!$A$4:$D$67,4,FALSE),0),"")</f>
        <v/>
      </c>
    </row>
    <row r="522" customHeight="1" spans="1:34">
      <c r="A522" s="14" t="s">
        <v>383</v>
      </c>
      <c r="C522" s="2">
        <v>6</v>
      </c>
      <c r="D522" s="2" t="s">
        <v>247</v>
      </c>
      <c r="E522" s="2" t="s">
        <v>222</v>
      </c>
      <c r="L522" s="2">
        <f>IFERROR(VLOOKUP($D522&amp;$C522,生产方式定位!$A$2:$E$39,2,FALSE)+VLOOKUP($E522&amp;$C522,生产方式定位!$F$3:$J$39,2,FALSE),0)</f>
        <v>0</v>
      </c>
      <c r="Q522" s="2">
        <f>IFERROR(VLOOKUP($D522&amp;$C522,生产方式定位!$A$2:$E$39,3,FALSE)+VLOOKUP($E522&amp;$C522,生产方式定位!$F$3:$J$39,3,FALSE),0)</f>
        <v>0</v>
      </c>
      <c r="V522" s="2" t="str">
        <f>IFERROR(VLOOKUP($D522&amp;$C522,生产方式定位!$A$2:$E$39,5,FALSE)+VLOOKUP($E522&amp;$C522,生产方式定位!$F$3:$J$39,5,FALSE),"错误")</f>
        <v>错误</v>
      </c>
      <c r="W522" s="3" t="str">
        <f t="shared" si="40"/>
        <v/>
      </c>
      <c r="X522" s="4" t="str">
        <f t="shared" si="41"/>
        <v/>
      </c>
      <c r="Y522" s="4" t="str">
        <f t="shared" si="42"/>
        <v/>
      </c>
      <c r="Z522" s="5" t="str">
        <f t="shared" si="43"/>
        <v/>
      </c>
      <c r="AA522" s="6">
        <f t="shared" si="44"/>
        <v>6</v>
      </c>
      <c r="AB522" t="str">
        <f>IFERROR(F522&amp;"*"&amp;ROUND(L522*(G522/(G522+I522+K522))/VLOOKUP(F522,商品!$A$4:$D$67,4,FALSE),0),"")</f>
        <v/>
      </c>
      <c r="AC522" t="str">
        <f>IFERROR(H522&amp;"*"&amp;ROUND(L522*(I522/(G522+I522+K522))/VLOOKUP(H522,商品!$A$4:$D$67,4,FALSE),0),"")</f>
        <v/>
      </c>
      <c r="AD522" t="str">
        <f>IFERROR(J522&amp;"*"&amp;ROUND(L522*(K522/(G522+I522+K522))/VLOOKUP(J522,商品!$A$4:$D$67,4,FALSE),0),"")</f>
        <v/>
      </c>
      <c r="AE522" t="str">
        <f>IFERROR(M522&amp;"*"&amp;ROUND(Q522*(N522/(N522+P522))/VLOOKUP(M522,职业!$A$3:$E$16,4,FALSE),0),"")</f>
        <v/>
      </c>
      <c r="AF522" t="str">
        <f>IFERROR(O522&amp;"*"&amp;ROUND(Q522*(P522/(N522+P522))/VLOOKUP(O522,职业!$A$3:$E$16,4,FALSE),0),"")</f>
        <v/>
      </c>
      <c r="AG522" t="str">
        <f>IFERROR(R522&amp;"*"&amp;ROUND(V522*(S522/(S522+U522))/VLOOKUP(R522,商品!$A$4:$D$67,4,FALSE),0),"")</f>
        <v/>
      </c>
      <c r="AH522" t="str">
        <f>IFERROR(T522&amp;"*"&amp;ROUND(V522*(U522/(S522+U522))/VLOOKUP(T522,商品!$A$4:$D$67,4,FALSE),0),"")</f>
        <v/>
      </c>
    </row>
    <row r="523" customHeight="1" spans="1:34">
      <c r="A523" s="14" t="s">
        <v>383</v>
      </c>
      <c r="C523" s="2">
        <v>7</v>
      </c>
      <c r="D523" s="2" t="s">
        <v>247</v>
      </c>
      <c r="E523" s="2" t="s">
        <v>222</v>
      </c>
      <c r="L523" s="2">
        <f>IFERROR(VLOOKUP($D523&amp;$C523,生产方式定位!$A$2:$E$39,2,FALSE)+VLOOKUP($E523&amp;$C523,生产方式定位!$F$3:$J$39,2,FALSE),0)</f>
        <v>0</v>
      </c>
      <c r="Q523" s="2">
        <f>IFERROR(VLOOKUP($D523&amp;$C523,生产方式定位!$A$2:$E$39,3,FALSE)+VLOOKUP($E523&amp;$C523,生产方式定位!$F$3:$J$39,3,FALSE),0)</f>
        <v>0</v>
      </c>
      <c r="V523" s="2" t="str">
        <f>IFERROR(VLOOKUP($D523&amp;$C523,生产方式定位!$A$2:$E$39,5,FALSE)+VLOOKUP($E523&amp;$C523,生产方式定位!$F$3:$J$39,5,FALSE),"错误")</f>
        <v>错误</v>
      </c>
      <c r="W523" s="3" t="str">
        <f t="shared" si="40"/>
        <v/>
      </c>
      <c r="X523" s="4" t="str">
        <f t="shared" si="41"/>
        <v/>
      </c>
      <c r="Y523" s="4" t="str">
        <f t="shared" si="42"/>
        <v/>
      </c>
      <c r="Z523" s="5" t="str">
        <f t="shared" si="43"/>
        <v/>
      </c>
      <c r="AA523" s="6">
        <f t="shared" si="44"/>
        <v>7</v>
      </c>
      <c r="AB523" t="str">
        <f>IFERROR(F523&amp;"*"&amp;ROUND(L523*(G523/(G523+I523+K523))/VLOOKUP(F523,商品!$A$4:$D$67,4,FALSE),0),"")</f>
        <v/>
      </c>
      <c r="AC523" t="str">
        <f>IFERROR(H523&amp;"*"&amp;ROUND(L523*(I523/(G523+I523+K523))/VLOOKUP(H523,商品!$A$4:$D$67,4,FALSE),0),"")</f>
        <v/>
      </c>
      <c r="AD523" t="str">
        <f>IFERROR(J523&amp;"*"&amp;ROUND(L523*(K523/(G523+I523+K523))/VLOOKUP(J523,商品!$A$4:$D$67,4,FALSE),0),"")</f>
        <v/>
      </c>
      <c r="AE523" t="str">
        <f>IFERROR(M523&amp;"*"&amp;ROUND(Q523*(N523/(N523+P523))/VLOOKUP(M523,职业!$A$3:$E$16,4,FALSE),0),"")</f>
        <v/>
      </c>
      <c r="AF523" t="str">
        <f>IFERROR(O523&amp;"*"&amp;ROUND(Q523*(P523/(N523+P523))/VLOOKUP(O523,职业!$A$3:$E$16,4,FALSE),0),"")</f>
        <v/>
      </c>
      <c r="AG523" t="str">
        <f>IFERROR(R523&amp;"*"&amp;ROUND(V523*(S523/(S523+U523))/VLOOKUP(R523,商品!$A$4:$D$67,4,FALSE),0),"")</f>
        <v/>
      </c>
      <c r="AH523" t="str">
        <f>IFERROR(T523&amp;"*"&amp;ROUND(V523*(U523/(S523+U523))/VLOOKUP(T523,商品!$A$4:$D$67,4,FALSE),0),"")</f>
        <v/>
      </c>
    </row>
    <row r="524" customHeight="1" spans="1:34">
      <c r="A524" s="14" t="s">
        <v>383</v>
      </c>
      <c r="C524" s="2">
        <v>8</v>
      </c>
      <c r="D524" s="2" t="s">
        <v>247</v>
      </c>
      <c r="E524" s="2" t="s">
        <v>222</v>
      </c>
      <c r="L524" s="2">
        <f>IFERROR(VLOOKUP($D524&amp;$C524,生产方式定位!$A$2:$E$39,2,FALSE)+VLOOKUP($E524&amp;$C524,生产方式定位!$F$3:$J$39,2,FALSE),0)</f>
        <v>0</v>
      </c>
      <c r="Q524" s="2">
        <f>IFERROR(VLOOKUP($D524&amp;$C524,生产方式定位!$A$2:$E$39,3,FALSE)+VLOOKUP($E524&amp;$C524,生产方式定位!$F$3:$J$39,3,FALSE),0)</f>
        <v>0</v>
      </c>
      <c r="V524" s="2" t="str">
        <f>IFERROR(VLOOKUP($D524&amp;$C524,生产方式定位!$A$2:$E$39,5,FALSE)+VLOOKUP($E524&amp;$C524,生产方式定位!$F$3:$J$39,5,FALSE),"错误")</f>
        <v>错误</v>
      </c>
      <c r="W524" s="3" t="str">
        <f t="shared" si="40"/>
        <v/>
      </c>
      <c r="X524" s="4" t="str">
        <f t="shared" si="41"/>
        <v/>
      </c>
      <c r="Y524" s="4" t="str">
        <f t="shared" si="42"/>
        <v/>
      </c>
      <c r="Z524" s="5" t="str">
        <f t="shared" si="43"/>
        <v/>
      </c>
      <c r="AA524" s="6">
        <f t="shared" si="44"/>
        <v>8</v>
      </c>
      <c r="AB524" t="str">
        <f>IFERROR(F524&amp;"*"&amp;ROUND(L524*(G524/(G524+I524+K524))/VLOOKUP(F524,商品!$A$4:$D$67,4,FALSE),0),"")</f>
        <v/>
      </c>
      <c r="AC524" t="str">
        <f>IFERROR(H524&amp;"*"&amp;ROUND(L524*(I524/(G524+I524+K524))/VLOOKUP(H524,商品!$A$4:$D$67,4,FALSE),0),"")</f>
        <v/>
      </c>
      <c r="AD524" t="str">
        <f>IFERROR(J524&amp;"*"&amp;ROUND(L524*(K524/(G524+I524+K524))/VLOOKUP(J524,商品!$A$4:$D$67,4,FALSE),0),"")</f>
        <v/>
      </c>
      <c r="AE524" t="str">
        <f>IFERROR(M524&amp;"*"&amp;ROUND(Q524*(N524/(N524+P524))/VLOOKUP(M524,职业!$A$3:$E$16,4,FALSE),0),"")</f>
        <v/>
      </c>
      <c r="AF524" t="str">
        <f>IFERROR(O524&amp;"*"&amp;ROUND(Q524*(P524/(N524+P524))/VLOOKUP(O524,职业!$A$3:$E$16,4,FALSE),0),"")</f>
        <v/>
      </c>
      <c r="AG524" t="str">
        <f>IFERROR(R524&amp;"*"&amp;ROUND(V524*(S524/(S524+U524))/VLOOKUP(R524,商品!$A$4:$D$67,4,FALSE),0),"")</f>
        <v/>
      </c>
      <c r="AH524" t="str">
        <f>IFERROR(T524&amp;"*"&amp;ROUND(V524*(U524/(S524+U524))/VLOOKUP(T524,商品!$A$4:$D$67,4,FALSE),0),"")</f>
        <v/>
      </c>
    </row>
    <row r="525" customHeight="1" spans="1:34">
      <c r="A525" s="14" t="s">
        <v>383</v>
      </c>
      <c r="C525" s="2">
        <v>1</v>
      </c>
      <c r="D525" s="2" t="s">
        <v>247</v>
      </c>
      <c r="E525" s="2" t="s">
        <v>222</v>
      </c>
      <c r="L525" s="2">
        <f>IFERROR(VLOOKUP($D525&amp;$C525,生产方式定位!$A$2:$E$39,2,FALSE)+VLOOKUP($E525&amp;$C525,生产方式定位!$F$3:$J$39,2,FALSE),0)</f>
        <v>20000</v>
      </c>
      <c r="Q525" s="2">
        <f>IFERROR(VLOOKUP($D525&amp;$C525,生产方式定位!$A$2:$E$39,3,FALSE)+VLOOKUP($E525&amp;$C525,生产方式定位!$F$3:$J$39,3,FALSE),0)</f>
        <v>10000</v>
      </c>
      <c r="V525" s="2">
        <f>IFERROR(VLOOKUP($D525&amp;$C525,生产方式定位!$A$2:$E$39,5,FALSE)+VLOOKUP($E525&amp;$C525,生产方式定位!$F$3:$J$39,5,FALSE),"错误")</f>
        <v>15000</v>
      </c>
      <c r="W525" s="3" t="str">
        <f t="shared" si="40"/>
        <v/>
      </c>
      <c r="X525" s="4" t="str">
        <f t="shared" si="41"/>
        <v/>
      </c>
      <c r="Y525" s="4" t="str">
        <f t="shared" si="42"/>
        <v/>
      </c>
      <c r="Z525" s="5">
        <f t="shared" si="43"/>
        <v>1.33</v>
      </c>
      <c r="AA525" s="6">
        <f t="shared" si="44"/>
        <v>1</v>
      </c>
      <c r="AB525" t="str">
        <f>IFERROR(F525&amp;"*"&amp;ROUND(L525*(G525/(G525+I525+K525))/VLOOKUP(F525,商品!$A$4:$D$67,4,FALSE),0),"")</f>
        <v/>
      </c>
      <c r="AC525" t="str">
        <f>IFERROR(H525&amp;"*"&amp;ROUND(L525*(I525/(G525+I525+K525))/VLOOKUP(H525,商品!$A$4:$D$67,4,FALSE),0),"")</f>
        <v/>
      </c>
      <c r="AD525" t="str">
        <f>IFERROR(J525&amp;"*"&amp;ROUND(L525*(K525/(G525+I525+K525))/VLOOKUP(J525,商品!$A$4:$D$67,4,FALSE),0),"")</f>
        <v/>
      </c>
      <c r="AE525" t="str">
        <f>IFERROR(M525&amp;"*"&amp;ROUND(Q525*(N525/(N525+P525))/VLOOKUP(M525,职业!$A$3:$E$16,4,FALSE),0),"")</f>
        <v/>
      </c>
      <c r="AF525" t="str">
        <f>IFERROR(O525&amp;"*"&amp;ROUND(Q525*(P525/(N525+P525))/VLOOKUP(O525,职业!$A$3:$E$16,4,FALSE),0),"")</f>
        <v/>
      </c>
      <c r="AG525" t="str">
        <f>IFERROR(R525&amp;"*"&amp;ROUND(V525*(S525/(S525+U525))/VLOOKUP(R525,商品!$A$4:$D$67,4,FALSE),0),"")</f>
        <v/>
      </c>
      <c r="AH525" t="str">
        <f>IFERROR(T525&amp;"*"&amp;ROUND(V525*(U525/(S525+U525))/VLOOKUP(T525,商品!$A$4:$D$67,4,FALSE),0),"")</f>
        <v/>
      </c>
    </row>
    <row r="526" customHeight="1" spans="1:34">
      <c r="A526" s="14" t="s">
        <v>383</v>
      </c>
      <c r="C526" s="2">
        <v>2</v>
      </c>
      <c r="D526" s="2" t="s">
        <v>247</v>
      </c>
      <c r="E526" s="2" t="s">
        <v>222</v>
      </c>
      <c r="L526" s="2">
        <f>IFERROR(VLOOKUP($D526&amp;$C526,生产方式定位!$A$2:$E$39,2,FALSE)+VLOOKUP($E526&amp;$C526,生产方式定位!$F$3:$J$39,2,FALSE),0)</f>
        <v>18500</v>
      </c>
      <c r="Q526" s="2">
        <f>IFERROR(VLOOKUP($D526&amp;$C526,生产方式定位!$A$2:$E$39,3,FALSE)+VLOOKUP($E526&amp;$C526,生产方式定位!$F$3:$J$39,3,FALSE),0)</f>
        <v>9200</v>
      </c>
      <c r="V526" s="2">
        <f>IFERROR(VLOOKUP($D526&amp;$C526,生产方式定位!$A$2:$E$39,5,FALSE)+VLOOKUP($E526&amp;$C526,生产方式定位!$F$3:$J$39,5,FALSE),"错误")</f>
        <v>13922</v>
      </c>
      <c r="W526" s="3" t="str">
        <f t="shared" si="40"/>
        <v/>
      </c>
      <c r="X526" s="4" t="str">
        <f t="shared" si="41"/>
        <v/>
      </c>
      <c r="Y526" s="4" t="str">
        <f t="shared" si="42"/>
        <v/>
      </c>
      <c r="Z526" s="5">
        <f t="shared" si="43"/>
        <v>1.33</v>
      </c>
      <c r="AA526" s="6">
        <f t="shared" si="44"/>
        <v>2</v>
      </c>
      <c r="AB526" t="str">
        <f>IFERROR(F526&amp;"*"&amp;ROUND(L526*(G526/(G526+I526+K526))/VLOOKUP(F526,商品!$A$4:$D$67,4,FALSE),0),"")</f>
        <v/>
      </c>
      <c r="AC526" t="str">
        <f>IFERROR(H526&amp;"*"&amp;ROUND(L526*(I526/(G526+I526+K526))/VLOOKUP(H526,商品!$A$4:$D$67,4,FALSE),0),"")</f>
        <v/>
      </c>
      <c r="AD526" t="str">
        <f>IFERROR(J526&amp;"*"&amp;ROUND(L526*(K526/(G526+I526+K526))/VLOOKUP(J526,商品!$A$4:$D$67,4,FALSE),0),"")</f>
        <v/>
      </c>
      <c r="AE526" t="str">
        <f>IFERROR(M526&amp;"*"&amp;ROUND(Q526*(N526/(N526+P526))/VLOOKUP(M526,职业!$A$3:$E$16,4,FALSE),0),"")</f>
        <v/>
      </c>
      <c r="AF526" t="str">
        <f>IFERROR(O526&amp;"*"&amp;ROUND(Q526*(P526/(N526+P526))/VLOOKUP(O526,职业!$A$3:$E$16,4,FALSE),0),"")</f>
        <v/>
      </c>
      <c r="AG526" t="str">
        <f>IFERROR(R526&amp;"*"&amp;ROUND(V526*(S526/(S526+U526))/VLOOKUP(R526,商品!$A$4:$D$67,4,FALSE),0),"")</f>
        <v/>
      </c>
      <c r="AH526" t="str">
        <f>IFERROR(T526&amp;"*"&amp;ROUND(V526*(U526/(S526+U526))/VLOOKUP(T526,商品!$A$4:$D$67,4,FALSE),0),"")</f>
        <v/>
      </c>
    </row>
    <row r="527" customHeight="1" spans="1:34">
      <c r="A527" s="15" t="s">
        <v>384</v>
      </c>
      <c r="C527" s="2">
        <v>3</v>
      </c>
      <c r="D527" s="2" t="s">
        <v>247</v>
      </c>
      <c r="E527" s="2" t="s">
        <v>225</v>
      </c>
      <c r="L527" s="2">
        <f>IFERROR(VLOOKUP($D527&amp;$C527,生产方式定位!$A$2:$E$39,2,FALSE)+VLOOKUP($E527&amp;$C527,生产方式定位!$F$3:$J$39,2,FALSE),0)</f>
        <v>15000</v>
      </c>
      <c r="Q527" s="2">
        <f>IFERROR(VLOOKUP($D527&amp;$C527,生产方式定位!$A$2:$E$39,3,FALSE)+VLOOKUP($E527&amp;$C527,生产方式定位!$F$3:$J$39,3,FALSE),0)</f>
        <v>8000</v>
      </c>
      <c r="V527" s="2">
        <f>IFERROR(VLOOKUP($D527&amp;$C527,生产方式定位!$A$2:$E$39,5,FALSE)+VLOOKUP($E527&amp;$C527,生产方式定位!$F$3:$J$39,5,FALSE),"错误")</f>
        <v>11500</v>
      </c>
      <c r="W527" s="3" t="str">
        <f t="shared" si="40"/>
        <v/>
      </c>
      <c r="X527" s="4" t="str">
        <f t="shared" si="41"/>
        <v/>
      </c>
      <c r="Y527" s="4" t="str">
        <f t="shared" si="42"/>
        <v/>
      </c>
      <c r="Z527" s="5">
        <f t="shared" si="43"/>
        <v>1.3</v>
      </c>
      <c r="AA527" s="6">
        <f t="shared" si="44"/>
        <v>3</v>
      </c>
      <c r="AB527" t="str">
        <f>IFERROR(F527&amp;"*"&amp;ROUND(L527*(G527/(G527+I527+K527))/VLOOKUP(F527,商品!$A$4:$D$67,4,FALSE),0),"")</f>
        <v/>
      </c>
      <c r="AC527" t="str">
        <f>IFERROR(H527&amp;"*"&amp;ROUND(L527*(I527/(G527+I527+K527))/VLOOKUP(H527,商品!$A$4:$D$67,4,FALSE),0),"")</f>
        <v/>
      </c>
      <c r="AD527" t="str">
        <f>IFERROR(J527&amp;"*"&amp;ROUND(L527*(K527/(G527+I527+K527))/VLOOKUP(J527,商品!$A$4:$D$67,4,FALSE),0),"")</f>
        <v/>
      </c>
      <c r="AE527" t="str">
        <f>IFERROR(M527&amp;"*"&amp;ROUND(Q527*(N527/(N527+P527))/VLOOKUP(M527,职业!$A$3:$E$16,4,FALSE),0),"")</f>
        <v/>
      </c>
      <c r="AF527" t="str">
        <f>IFERROR(O527&amp;"*"&amp;ROUND(Q527*(P527/(N527+P527))/VLOOKUP(O527,职业!$A$3:$E$16,4,FALSE),0),"")</f>
        <v/>
      </c>
      <c r="AG527" t="str">
        <f>IFERROR(R527&amp;"*"&amp;ROUND(V527*(S527/(S527+U527))/VLOOKUP(R527,商品!$A$4:$D$67,4,FALSE),0),"")</f>
        <v/>
      </c>
      <c r="AH527" t="str">
        <f>IFERROR(T527&amp;"*"&amp;ROUND(V527*(U527/(S527+U527))/VLOOKUP(T527,商品!$A$4:$D$67,4,FALSE),0),"")</f>
        <v/>
      </c>
    </row>
    <row r="528" customHeight="1" spans="1:34">
      <c r="A528" s="15" t="s">
        <v>384</v>
      </c>
      <c r="C528" s="2">
        <v>4</v>
      </c>
      <c r="D528" s="2" t="s">
        <v>247</v>
      </c>
      <c r="E528" s="2" t="s">
        <v>225</v>
      </c>
      <c r="L528" s="2">
        <f>IFERROR(VLOOKUP($D528&amp;$C528,生产方式定位!$A$2:$E$39,2,FALSE)+VLOOKUP($E528&amp;$C528,生产方式定位!$F$3:$J$39,2,FALSE),0)</f>
        <v>12500</v>
      </c>
      <c r="Q528" s="2">
        <f>IFERROR(VLOOKUP($D528&amp;$C528,生产方式定位!$A$2:$E$39,3,FALSE)+VLOOKUP($E528&amp;$C528,生产方式定位!$F$3:$J$39,3,FALSE),0)</f>
        <v>7000</v>
      </c>
      <c r="V528" s="2">
        <f>IFERROR(VLOOKUP($D528&amp;$C528,生产方式定位!$A$2:$E$39,5,FALSE)+VLOOKUP($E528&amp;$C528,生产方式定位!$F$3:$J$39,5,FALSE),"错误")</f>
        <v>9750</v>
      </c>
      <c r="W528" s="3" t="str">
        <f t="shared" si="40"/>
        <v/>
      </c>
      <c r="X528" s="4" t="str">
        <f t="shared" si="41"/>
        <v/>
      </c>
      <c r="Y528" s="4" t="str">
        <f t="shared" si="42"/>
        <v/>
      </c>
      <c r="Z528" s="5">
        <f t="shared" si="43"/>
        <v>1.28</v>
      </c>
      <c r="AA528" s="6">
        <f t="shared" si="44"/>
        <v>4</v>
      </c>
      <c r="AB528" t="str">
        <f>IFERROR(F528&amp;"*"&amp;ROUND(L528*(G528/(G528+I528+K528))/VLOOKUP(F528,商品!$A$4:$D$67,4,FALSE),0),"")</f>
        <v/>
      </c>
      <c r="AC528" t="str">
        <f>IFERROR(H528&amp;"*"&amp;ROUND(L528*(I528/(G528+I528+K528))/VLOOKUP(H528,商品!$A$4:$D$67,4,FALSE),0),"")</f>
        <v/>
      </c>
      <c r="AD528" t="str">
        <f>IFERROR(J528&amp;"*"&amp;ROUND(L528*(K528/(G528+I528+K528))/VLOOKUP(J528,商品!$A$4:$D$67,4,FALSE),0),"")</f>
        <v/>
      </c>
      <c r="AE528" t="str">
        <f>IFERROR(M528&amp;"*"&amp;ROUND(Q528*(N528/(N528+P528))/VLOOKUP(M528,职业!$A$3:$E$16,4,FALSE),0),"")</f>
        <v/>
      </c>
      <c r="AF528" t="str">
        <f>IFERROR(O528&amp;"*"&amp;ROUND(Q528*(P528/(N528+P528))/VLOOKUP(O528,职业!$A$3:$E$16,4,FALSE),0),"")</f>
        <v/>
      </c>
      <c r="AG528" t="str">
        <f>IFERROR(R528&amp;"*"&amp;ROUND(V528*(S528/(S528+U528))/VLOOKUP(R528,商品!$A$4:$D$67,4,FALSE),0),"")</f>
        <v/>
      </c>
      <c r="AH528" t="str">
        <f>IFERROR(T528&amp;"*"&amp;ROUND(V528*(U528/(S528+U528))/VLOOKUP(T528,商品!$A$4:$D$67,4,FALSE),0),"")</f>
        <v/>
      </c>
    </row>
    <row r="529" customHeight="1" spans="1:34">
      <c r="A529" s="15" t="s">
        <v>384</v>
      </c>
      <c r="C529" s="2">
        <v>5</v>
      </c>
      <c r="D529" s="2" t="s">
        <v>247</v>
      </c>
      <c r="E529" s="2" t="s">
        <v>225</v>
      </c>
      <c r="L529" s="2">
        <f>IFERROR(VLOOKUP($D529&amp;$C529,生产方式定位!$A$2:$E$39,2,FALSE)+VLOOKUP($E529&amp;$C529,生产方式定位!$F$3:$J$39,2,FALSE),0)</f>
        <v>10000</v>
      </c>
      <c r="Q529" s="2">
        <f>IFERROR(VLOOKUP($D529&amp;$C529,生产方式定位!$A$2:$E$39,3,FALSE)+VLOOKUP($E529&amp;$C529,生产方式定位!$F$3:$J$39,3,FALSE),0)</f>
        <v>6000</v>
      </c>
      <c r="V529" s="2">
        <f>IFERROR(VLOOKUP($D529&amp;$C529,生产方式定位!$A$2:$E$39,5,FALSE)+VLOOKUP($E529&amp;$C529,生产方式定位!$F$3:$J$39,5,FALSE),"错误")</f>
        <v>8000</v>
      </c>
      <c r="W529" s="3" t="str">
        <f t="shared" si="40"/>
        <v/>
      </c>
      <c r="X529" s="4" t="str">
        <f t="shared" si="41"/>
        <v/>
      </c>
      <c r="Y529" s="4" t="str">
        <f t="shared" si="42"/>
        <v/>
      </c>
      <c r="Z529" s="5">
        <f t="shared" si="43"/>
        <v>1.25</v>
      </c>
      <c r="AA529" s="6">
        <f t="shared" si="44"/>
        <v>5</v>
      </c>
      <c r="AB529" t="str">
        <f>IFERROR(F529&amp;"*"&amp;ROUND(L529*(G529/(G529+I529+K529))/VLOOKUP(F529,商品!$A$4:$D$67,4,FALSE),0),"")</f>
        <v/>
      </c>
      <c r="AC529" t="str">
        <f>IFERROR(H529&amp;"*"&amp;ROUND(L529*(I529/(G529+I529+K529))/VLOOKUP(H529,商品!$A$4:$D$67,4,FALSE),0),"")</f>
        <v/>
      </c>
      <c r="AD529" t="str">
        <f>IFERROR(J529&amp;"*"&amp;ROUND(L529*(K529/(G529+I529+K529))/VLOOKUP(J529,商品!$A$4:$D$67,4,FALSE),0),"")</f>
        <v/>
      </c>
      <c r="AE529" t="str">
        <f>IFERROR(M529&amp;"*"&amp;ROUND(Q529*(N529/(N529+P529))/VLOOKUP(M529,职业!$A$3:$E$16,4,FALSE),0),"")</f>
        <v/>
      </c>
      <c r="AF529" t="str">
        <f>IFERROR(O529&amp;"*"&amp;ROUND(Q529*(P529/(N529+P529))/VLOOKUP(O529,职业!$A$3:$E$16,4,FALSE),0),"")</f>
        <v/>
      </c>
      <c r="AG529" t="str">
        <f>IFERROR(R529&amp;"*"&amp;ROUND(V529*(S529/(S529+U529))/VLOOKUP(R529,商品!$A$4:$D$67,4,FALSE),0),"")</f>
        <v/>
      </c>
      <c r="AH529" t="str">
        <f>IFERROR(T529&amp;"*"&amp;ROUND(V529*(U529/(S529+U529))/VLOOKUP(T529,商品!$A$4:$D$67,4,FALSE),0),"")</f>
        <v/>
      </c>
    </row>
    <row r="530" customHeight="1" spans="1:34">
      <c r="A530" s="15" t="s">
        <v>384</v>
      </c>
      <c r="C530" s="2">
        <v>1</v>
      </c>
      <c r="D530" s="2" t="s">
        <v>247</v>
      </c>
      <c r="E530" s="2" t="s">
        <v>225</v>
      </c>
      <c r="L530" s="2">
        <f>IFERROR(VLOOKUP($D530&amp;$C530,生产方式定位!$A$2:$E$39,2,FALSE)+VLOOKUP($E530&amp;$C530,生产方式定位!$F$3:$J$39,2,FALSE),0)</f>
        <v>20000</v>
      </c>
      <c r="Q530" s="2">
        <f>IFERROR(VLOOKUP($D530&amp;$C530,生产方式定位!$A$2:$E$39,3,FALSE)+VLOOKUP($E530&amp;$C530,生产方式定位!$F$3:$J$39,3,FALSE),0)</f>
        <v>10000</v>
      </c>
      <c r="V530" s="2">
        <f>IFERROR(VLOOKUP($D530&amp;$C530,生产方式定位!$A$2:$E$39,5,FALSE)+VLOOKUP($E530&amp;$C530,生产方式定位!$F$3:$J$39,5,FALSE),"错误")</f>
        <v>15000</v>
      </c>
      <c r="W530" s="3" t="str">
        <f t="shared" si="40"/>
        <v/>
      </c>
      <c r="X530" s="4" t="str">
        <f t="shared" si="41"/>
        <v/>
      </c>
      <c r="Y530" s="4" t="str">
        <f t="shared" si="42"/>
        <v/>
      </c>
      <c r="Z530" s="5">
        <f t="shared" si="43"/>
        <v>1.33</v>
      </c>
      <c r="AA530" s="6">
        <f t="shared" si="44"/>
        <v>1</v>
      </c>
      <c r="AB530" t="str">
        <f>IFERROR(F530&amp;"*"&amp;ROUND(L530*(G530/(G530+I530+K530))/VLOOKUP(F530,商品!$A$4:$D$67,4,FALSE),0),"")</f>
        <v/>
      </c>
      <c r="AC530" t="str">
        <f>IFERROR(H530&amp;"*"&amp;ROUND(L530*(I530/(G530+I530+K530))/VLOOKUP(H530,商品!$A$4:$D$67,4,FALSE),0),"")</f>
        <v/>
      </c>
      <c r="AD530" t="str">
        <f>IFERROR(J530&amp;"*"&amp;ROUND(L530*(K530/(G530+I530+K530))/VLOOKUP(J530,商品!$A$4:$D$67,4,FALSE),0),"")</f>
        <v/>
      </c>
      <c r="AE530" t="str">
        <f>IFERROR(M530&amp;"*"&amp;ROUND(Q530*(N530/(N530+P530))/VLOOKUP(M530,职业!$A$3:$E$16,4,FALSE),0),"")</f>
        <v/>
      </c>
      <c r="AF530" t="str">
        <f>IFERROR(O530&amp;"*"&amp;ROUND(Q530*(P530/(N530+P530))/VLOOKUP(O530,职业!$A$3:$E$16,4,FALSE),0),"")</f>
        <v/>
      </c>
      <c r="AG530" t="str">
        <f>IFERROR(R530&amp;"*"&amp;ROUND(V530*(S530/(S530+U530))/VLOOKUP(R530,商品!$A$4:$D$67,4,FALSE),0),"")</f>
        <v/>
      </c>
      <c r="AH530" t="str">
        <f>IFERROR(T530&amp;"*"&amp;ROUND(V530*(U530/(S530+U530))/VLOOKUP(T530,商品!$A$4:$D$67,4,FALSE),0),"")</f>
        <v/>
      </c>
    </row>
    <row r="531" customHeight="1" spans="1:34">
      <c r="A531" s="15" t="s">
        <v>384</v>
      </c>
      <c r="C531" s="2">
        <v>2</v>
      </c>
      <c r="D531" s="2" t="s">
        <v>247</v>
      </c>
      <c r="E531" s="2" t="s">
        <v>225</v>
      </c>
      <c r="L531" s="2">
        <f>IFERROR(VLOOKUP($D531&amp;$C531,生产方式定位!$A$2:$E$39,2,FALSE)+VLOOKUP($E531&amp;$C531,生产方式定位!$F$3:$J$39,2,FALSE),0)</f>
        <v>17500</v>
      </c>
      <c r="Q531" s="2">
        <f>IFERROR(VLOOKUP($D531&amp;$C531,生产方式定位!$A$2:$E$39,3,FALSE)+VLOOKUP($E531&amp;$C531,生产方式定位!$F$3:$J$39,3,FALSE),0)</f>
        <v>9000</v>
      </c>
      <c r="V531" s="2">
        <f>IFERROR(VLOOKUP($D531&amp;$C531,生产方式定位!$A$2:$E$39,5,FALSE)+VLOOKUP($E531&amp;$C531,生产方式定位!$F$3:$J$39,5,FALSE),"错误")</f>
        <v>13250</v>
      </c>
      <c r="W531" s="3" t="str">
        <f t="shared" si="40"/>
        <v/>
      </c>
      <c r="X531" s="4" t="str">
        <f t="shared" si="41"/>
        <v/>
      </c>
      <c r="Y531" s="4" t="str">
        <f t="shared" si="42"/>
        <v/>
      </c>
      <c r="Z531" s="5">
        <f t="shared" si="43"/>
        <v>1.32</v>
      </c>
      <c r="AA531" s="6">
        <f t="shared" si="44"/>
        <v>2</v>
      </c>
      <c r="AB531" t="str">
        <f>IFERROR(F531&amp;"*"&amp;ROUND(L531*(G531/(G531+I531+K531))/VLOOKUP(F531,商品!$A$4:$D$67,4,FALSE),0),"")</f>
        <v/>
      </c>
      <c r="AC531" t="str">
        <f>IFERROR(H531&amp;"*"&amp;ROUND(L531*(I531/(G531+I531+K531))/VLOOKUP(H531,商品!$A$4:$D$67,4,FALSE),0),"")</f>
        <v/>
      </c>
      <c r="AD531" t="str">
        <f>IFERROR(J531&amp;"*"&amp;ROUND(L531*(K531/(G531+I531+K531))/VLOOKUP(J531,商品!$A$4:$D$67,4,FALSE),0),"")</f>
        <v/>
      </c>
      <c r="AE531" t="str">
        <f>IFERROR(M531&amp;"*"&amp;ROUND(Q531*(N531/(N531+P531))/VLOOKUP(M531,职业!$A$3:$E$16,4,FALSE),0),"")</f>
        <v/>
      </c>
      <c r="AF531" t="str">
        <f>IFERROR(O531&amp;"*"&amp;ROUND(Q531*(P531/(N531+P531))/VLOOKUP(O531,职业!$A$3:$E$16,4,FALSE),0),"")</f>
        <v/>
      </c>
      <c r="AG531" t="str">
        <f>IFERROR(R531&amp;"*"&amp;ROUND(V531*(S531/(S531+U531))/VLOOKUP(R531,商品!$A$4:$D$67,4,FALSE),0),"")</f>
        <v/>
      </c>
      <c r="AH531" t="str">
        <f>IFERROR(T531&amp;"*"&amp;ROUND(V531*(U531/(S531+U531))/VLOOKUP(T531,商品!$A$4:$D$67,4,FALSE),0),"")</f>
        <v/>
      </c>
    </row>
    <row r="532" customHeight="1" spans="1:34">
      <c r="A532" s="15" t="s">
        <v>384</v>
      </c>
      <c r="C532" s="2">
        <v>3</v>
      </c>
      <c r="D532" s="2" t="s">
        <v>247</v>
      </c>
      <c r="E532" s="2" t="s">
        <v>225</v>
      </c>
      <c r="L532" s="2">
        <f>IFERROR(VLOOKUP($D532&amp;$C532,生产方式定位!$A$2:$E$39,2,FALSE)+VLOOKUP($E532&amp;$C532,生产方式定位!$F$3:$J$39,2,FALSE),0)</f>
        <v>15000</v>
      </c>
      <c r="Q532" s="2">
        <f>IFERROR(VLOOKUP($D532&amp;$C532,生产方式定位!$A$2:$E$39,3,FALSE)+VLOOKUP($E532&amp;$C532,生产方式定位!$F$3:$J$39,3,FALSE),0)</f>
        <v>8000</v>
      </c>
      <c r="V532" s="2">
        <f>IFERROR(VLOOKUP($D532&amp;$C532,生产方式定位!$A$2:$E$39,5,FALSE)+VLOOKUP($E532&amp;$C532,生产方式定位!$F$3:$J$39,5,FALSE),"错误")</f>
        <v>11500</v>
      </c>
      <c r="W532" s="3" t="str">
        <f t="shared" si="40"/>
        <v/>
      </c>
      <c r="X532" s="4" t="str">
        <f t="shared" si="41"/>
        <v/>
      </c>
      <c r="Y532" s="4" t="str">
        <f t="shared" si="42"/>
        <v/>
      </c>
      <c r="Z532" s="5">
        <f t="shared" si="43"/>
        <v>1.3</v>
      </c>
      <c r="AA532" s="6">
        <f t="shared" si="44"/>
        <v>3</v>
      </c>
      <c r="AB532" t="str">
        <f>IFERROR(F532&amp;"*"&amp;ROUND(L532*(G532/(G532+I532+K532))/VLOOKUP(F532,商品!$A$4:$D$67,4,FALSE),0),"")</f>
        <v/>
      </c>
      <c r="AC532" t="str">
        <f>IFERROR(H532&amp;"*"&amp;ROUND(L532*(I532/(G532+I532+K532))/VLOOKUP(H532,商品!$A$4:$D$67,4,FALSE),0),"")</f>
        <v/>
      </c>
      <c r="AD532" t="str">
        <f>IFERROR(J532&amp;"*"&amp;ROUND(L532*(K532/(G532+I532+K532))/VLOOKUP(J532,商品!$A$4:$D$67,4,FALSE),0),"")</f>
        <v/>
      </c>
      <c r="AE532" t="str">
        <f>IFERROR(M532&amp;"*"&amp;ROUND(Q532*(N532/(N532+P532))/VLOOKUP(M532,职业!$A$3:$E$16,4,FALSE),0),"")</f>
        <v/>
      </c>
      <c r="AF532" t="str">
        <f>IFERROR(O532&amp;"*"&amp;ROUND(Q532*(P532/(N532+P532))/VLOOKUP(O532,职业!$A$3:$E$16,4,FALSE),0),"")</f>
        <v/>
      </c>
      <c r="AG532" t="str">
        <f>IFERROR(R532&amp;"*"&amp;ROUND(V532*(S532/(S532+U532))/VLOOKUP(R532,商品!$A$4:$D$67,4,FALSE),0),"")</f>
        <v/>
      </c>
      <c r="AH532" t="str">
        <f>IFERROR(T532&amp;"*"&amp;ROUND(V532*(U532/(S532+U532))/VLOOKUP(T532,商品!$A$4:$D$67,4,FALSE),0),"")</f>
        <v/>
      </c>
    </row>
    <row r="533" customHeight="1" spans="1:34">
      <c r="A533" s="15" t="s">
        <v>384</v>
      </c>
      <c r="C533" s="2">
        <v>4</v>
      </c>
      <c r="D533" s="2" t="s">
        <v>247</v>
      </c>
      <c r="E533" s="2" t="s">
        <v>225</v>
      </c>
      <c r="L533" s="2">
        <f>IFERROR(VLOOKUP($D533&amp;$C533,生产方式定位!$A$2:$E$39,2,FALSE)+VLOOKUP($E533&amp;$C533,生产方式定位!$F$3:$J$39,2,FALSE),0)</f>
        <v>12500</v>
      </c>
      <c r="Q533" s="2">
        <f>IFERROR(VLOOKUP($D533&amp;$C533,生产方式定位!$A$2:$E$39,3,FALSE)+VLOOKUP($E533&amp;$C533,生产方式定位!$F$3:$J$39,3,FALSE),0)</f>
        <v>7000</v>
      </c>
      <c r="V533" s="2">
        <f>IFERROR(VLOOKUP($D533&amp;$C533,生产方式定位!$A$2:$E$39,5,FALSE)+VLOOKUP($E533&amp;$C533,生产方式定位!$F$3:$J$39,5,FALSE),"错误")</f>
        <v>9750</v>
      </c>
      <c r="W533" s="3" t="str">
        <f t="shared" si="40"/>
        <v/>
      </c>
      <c r="X533" s="4" t="str">
        <f t="shared" si="41"/>
        <v/>
      </c>
      <c r="Y533" s="4" t="str">
        <f t="shared" si="42"/>
        <v/>
      </c>
      <c r="Z533" s="5">
        <f t="shared" si="43"/>
        <v>1.28</v>
      </c>
      <c r="AA533" s="6">
        <f t="shared" si="44"/>
        <v>4</v>
      </c>
      <c r="AB533" t="str">
        <f>IFERROR(F533&amp;"*"&amp;ROUND(L533*(G533/(G533+I533+K533))/VLOOKUP(F533,商品!$A$4:$D$67,4,FALSE),0),"")</f>
        <v/>
      </c>
      <c r="AC533" t="str">
        <f>IFERROR(H533&amp;"*"&amp;ROUND(L533*(I533/(G533+I533+K533))/VLOOKUP(H533,商品!$A$4:$D$67,4,FALSE),0),"")</f>
        <v/>
      </c>
      <c r="AD533" t="str">
        <f>IFERROR(J533&amp;"*"&amp;ROUND(L533*(K533/(G533+I533+K533))/VLOOKUP(J533,商品!$A$4:$D$67,4,FALSE),0),"")</f>
        <v/>
      </c>
      <c r="AE533" t="str">
        <f>IFERROR(M533&amp;"*"&amp;ROUND(Q533*(N533/(N533+P533))/VLOOKUP(M533,职业!$A$3:$E$16,4,FALSE),0),"")</f>
        <v/>
      </c>
      <c r="AF533" t="str">
        <f>IFERROR(O533&amp;"*"&amp;ROUND(Q533*(P533/(N533+P533))/VLOOKUP(O533,职业!$A$3:$E$16,4,FALSE),0),"")</f>
        <v/>
      </c>
      <c r="AG533" t="str">
        <f>IFERROR(R533&amp;"*"&amp;ROUND(V533*(S533/(S533+U533))/VLOOKUP(R533,商品!$A$4:$D$67,4,FALSE),0),"")</f>
        <v/>
      </c>
      <c r="AH533" t="str">
        <f>IFERROR(T533&amp;"*"&amp;ROUND(V533*(U533/(S533+U533))/VLOOKUP(T533,商品!$A$4:$D$67,4,FALSE),0),"")</f>
        <v/>
      </c>
    </row>
    <row r="534" customHeight="1" spans="1:34">
      <c r="A534" s="15" t="s">
        <v>384</v>
      </c>
      <c r="C534" s="2">
        <v>5</v>
      </c>
      <c r="D534" s="2" t="s">
        <v>247</v>
      </c>
      <c r="E534" s="2" t="s">
        <v>225</v>
      </c>
      <c r="L534" s="2">
        <f>IFERROR(VLOOKUP($D534&amp;$C534,生产方式定位!$A$2:$E$39,2,FALSE)+VLOOKUP($E534&amp;$C534,生产方式定位!$F$3:$J$39,2,FALSE),0)</f>
        <v>10000</v>
      </c>
      <c r="Q534" s="2">
        <f>IFERROR(VLOOKUP($D534&amp;$C534,生产方式定位!$A$2:$E$39,3,FALSE)+VLOOKUP($E534&amp;$C534,生产方式定位!$F$3:$J$39,3,FALSE),0)</f>
        <v>6000</v>
      </c>
      <c r="V534" s="2">
        <f>IFERROR(VLOOKUP($D534&amp;$C534,生产方式定位!$A$2:$E$39,5,FALSE)+VLOOKUP($E534&amp;$C534,生产方式定位!$F$3:$J$39,5,FALSE),"错误")</f>
        <v>8000</v>
      </c>
      <c r="W534" s="3" t="str">
        <f t="shared" si="40"/>
        <v/>
      </c>
      <c r="X534" s="4" t="str">
        <f t="shared" si="41"/>
        <v/>
      </c>
      <c r="Y534" s="4" t="str">
        <f t="shared" si="42"/>
        <v/>
      </c>
      <c r="Z534" s="5">
        <f t="shared" si="43"/>
        <v>1.25</v>
      </c>
      <c r="AA534" s="6">
        <f t="shared" si="44"/>
        <v>5</v>
      </c>
      <c r="AB534" t="str">
        <f>IFERROR(F534&amp;"*"&amp;ROUND(L534*(G534/(G534+I534+K534))/VLOOKUP(F534,商品!$A$4:$D$67,4,FALSE),0),"")</f>
        <v/>
      </c>
      <c r="AC534" t="str">
        <f>IFERROR(H534&amp;"*"&amp;ROUND(L534*(I534/(G534+I534+K534))/VLOOKUP(H534,商品!$A$4:$D$67,4,FALSE),0),"")</f>
        <v/>
      </c>
      <c r="AD534" t="str">
        <f>IFERROR(J534&amp;"*"&amp;ROUND(L534*(K534/(G534+I534+K534))/VLOOKUP(J534,商品!$A$4:$D$67,4,FALSE),0),"")</f>
        <v/>
      </c>
      <c r="AE534" t="str">
        <f>IFERROR(M534&amp;"*"&amp;ROUND(Q534*(N534/(N534+P534))/VLOOKUP(M534,职业!$A$3:$E$16,4,FALSE),0),"")</f>
        <v/>
      </c>
      <c r="AF534" t="str">
        <f>IFERROR(O534&amp;"*"&amp;ROUND(Q534*(P534/(N534+P534))/VLOOKUP(O534,职业!$A$3:$E$16,4,FALSE),0),"")</f>
        <v/>
      </c>
      <c r="AG534" t="str">
        <f>IFERROR(R534&amp;"*"&amp;ROUND(V534*(S534/(S534+U534))/VLOOKUP(R534,商品!$A$4:$D$67,4,FALSE),0),"")</f>
        <v/>
      </c>
      <c r="AH534" t="str">
        <f>IFERROR(T534&amp;"*"&amp;ROUND(V534*(U534/(S534+U534))/VLOOKUP(T534,商品!$A$4:$D$67,4,FALSE),0),"")</f>
        <v/>
      </c>
    </row>
    <row r="535" customHeight="1" spans="1:34">
      <c r="A535" s="14" t="s">
        <v>384</v>
      </c>
      <c r="C535" s="2">
        <v>6</v>
      </c>
      <c r="D535" s="2" t="s">
        <v>247</v>
      </c>
      <c r="E535" s="2" t="s">
        <v>225</v>
      </c>
      <c r="L535" s="2">
        <f>IFERROR(VLOOKUP($D535&amp;$C535,生产方式定位!$A$2:$E$39,2,FALSE)+VLOOKUP($E535&amp;$C535,生产方式定位!$F$3:$J$39,2,FALSE),0)</f>
        <v>0</v>
      </c>
      <c r="Q535" s="2">
        <f>IFERROR(VLOOKUP($D535&amp;$C535,生产方式定位!$A$2:$E$39,3,FALSE)+VLOOKUP($E535&amp;$C535,生产方式定位!$F$3:$J$39,3,FALSE),0)</f>
        <v>0</v>
      </c>
      <c r="V535" s="2" t="str">
        <f>IFERROR(VLOOKUP($D535&amp;$C535,生产方式定位!$A$2:$E$39,5,FALSE)+VLOOKUP($E535&amp;$C535,生产方式定位!$F$3:$J$39,5,FALSE),"错误")</f>
        <v>错误</v>
      </c>
      <c r="W535" s="3" t="str">
        <f t="shared" si="40"/>
        <v/>
      </c>
      <c r="X535" s="4" t="str">
        <f t="shared" si="41"/>
        <v/>
      </c>
      <c r="Y535" s="4" t="str">
        <f t="shared" si="42"/>
        <v/>
      </c>
      <c r="Z535" s="5" t="str">
        <f t="shared" si="43"/>
        <v/>
      </c>
      <c r="AA535" s="6">
        <f t="shared" si="44"/>
        <v>6</v>
      </c>
      <c r="AB535" t="str">
        <f>IFERROR(F535&amp;"*"&amp;ROUND(L535*(G535/(G535+I535+K535))/VLOOKUP(F535,商品!$A$4:$D$67,4,FALSE),0),"")</f>
        <v/>
      </c>
      <c r="AC535" t="str">
        <f>IFERROR(H535&amp;"*"&amp;ROUND(L535*(I535/(G535+I535+K535))/VLOOKUP(H535,商品!$A$4:$D$67,4,FALSE),0),"")</f>
        <v/>
      </c>
      <c r="AD535" t="str">
        <f>IFERROR(J535&amp;"*"&amp;ROUND(L535*(K535/(G535+I535+K535))/VLOOKUP(J535,商品!$A$4:$D$67,4,FALSE),0),"")</f>
        <v/>
      </c>
      <c r="AE535" t="str">
        <f>IFERROR(M535&amp;"*"&amp;ROUND(Q535*(N535/(N535+P535))/VLOOKUP(M535,职业!$A$3:$E$16,4,FALSE),0),"")</f>
        <v/>
      </c>
      <c r="AF535" t="str">
        <f>IFERROR(O535&amp;"*"&amp;ROUND(Q535*(P535/(N535+P535))/VLOOKUP(O535,职业!$A$3:$E$16,4,FALSE),0),"")</f>
        <v/>
      </c>
      <c r="AG535" t="str">
        <f>IFERROR(R535&amp;"*"&amp;ROUND(V535*(S535/(S535+U535))/VLOOKUP(R535,商品!$A$4:$D$67,4,FALSE),0),"")</f>
        <v/>
      </c>
      <c r="AH535" t="str">
        <f>IFERROR(T535&amp;"*"&amp;ROUND(V535*(U535/(S535+U535))/VLOOKUP(T535,商品!$A$4:$D$67,4,FALSE),0),"")</f>
        <v/>
      </c>
    </row>
    <row r="536" customHeight="1" spans="1:34">
      <c r="A536" s="14" t="s">
        <v>384</v>
      </c>
      <c r="C536" s="2">
        <v>7</v>
      </c>
      <c r="D536" s="2" t="s">
        <v>247</v>
      </c>
      <c r="E536" s="2" t="s">
        <v>225</v>
      </c>
      <c r="L536" s="2">
        <f>IFERROR(VLOOKUP($D536&amp;$C536,生产方式定位!$A$2:$E$39,2,FALSE)+VLOOKUP($E536&amp;$C536,生产方式定位!$F$3:$J$39,2,FALSE),0)</f>
        <v>0</v>
      </c>
      <c r="Q536" s="2">
        <f>IFERROR(VLOOKUP($D536&amp;$C536,生产方式定位!$A$2:$E$39,3,FALSE)+VLOOKUP($E536&amp;$C536,生产方式定位!$F$3:$J$39,3,FALSE),0)</f>
        <v>0</v>
      </c>
      <c r="V536" s="2" t="str">
        <f>IFERROR(VLOOKUP($D536&amp;$C536,生产方式定位!$A$2:$E$39,5,FALSE)+VLOOKUP($E536&amp;$C536,生产方式定位!$F$3:$J$39,5,FALSE),"错误")</f>
        <v>错误</v>
      </c>
      <c r="W536" s="3" t="str">
        <f t="shared" si="40"/>
        <v/>
      </c>
      <c r="X536" s="4" t="str">
        <f t="shared" si="41"/>
        <v/>
      </c>
      <c r="Y536" s="4" t="str">
        <f t="shared" si="42"/>
        <v/>
      </c>
      <c r="Z536" s="5" t="str">
        <f t="shared" si="43"/>
        <v/>
      </c>
      <c r="AA536" s="6">
        <f t="shared" si="44"/>
        <v>7</v>
      </c>
      <c r="AB536" t="str">
        <f>IFERROR(F536&amp;"*"&amp;ROUND(L536*(G536/(G536+I536+K536))/VLOOKUP(F536,商品!$A$4:$D$67,4,FALSE),0),"")</f>
        <v/>
      </c>
      <c r="AC536" t="str">
        <f>IFERROR(H536&amp;"*"&amp;ROUND(L536*(I536/(G536+I536+K536))/VLOOKUP(H536,商品!$A$4:$D$67,4,FALSE),0),"")</f>
        <v/>
      </c>
      <c r="AD536" t="str">
        <f>IFERROR(J536&amp;"*"&amp;ROUND(L536*(K536/(G536+I536+K536))/VLOOKUP(J536,商品!$A$4:$D$67,4,FALSE),0),"")</f>
        <v/>
      </c>
      <c r="AE536" t="str">
        <f>IFERROR(M536&amp;"*"&amp;ROUND(Q536*(N536/(N536+P536))/VLOOKUP(M536,职业!$A$3:$E$16,4,FALSE),0),"")</f>
        <v/>
      </c>
      <c r="AF536" t="str">
        <f>IFERROR(O536&amp;"*"&amp;ROUND(Q536*(P536/(N536+P536))/VLOOKUP(O536,职业!$A$3:$E$16,4,FALSE),0),"")</f>
        <v/>
      </c>
      <c r="AG536" t="str">
        <f>IFERROR(R536&amp;"*"&amp;ROUND(V536*(S536/(S536+U536))/VLOOKUP(R536,商品!$A$4:$D$67,4,FALSE),0),"")</f>
        <v/>
      </c>
      <c r="AH536" t="str">
        <f>IFERROR(T536&amp;"*"&amp;ROUND(V536*(U536/(S536+U536))/VLOOKUP(T536,商品!$A$4:$D$67,4,FALSE),0),"")</f>
        <v/>
      </c>
    </row>
    <row r="537" customHeight="1" spans="1:34">
      <c r="A537" s="14" t="s">
        <v>384</v>
      </c>
      <c r="C537" s="2">
        <v>8</v>
      </c>
      <c r="D537" s="2" t="s">
        <v>247</v>
      </c>
      <c r="E537" s="2" t="s">
        <v>225</v>
      </c>
      <c r="L537" s="2">
        <f>IFERROR(VLOOKUP($D537&amp;$C537,生产方式定位!$A$2:$E$39,2,FALSE)+VLOOKUP($E537&amp;$C537,生产方式定位!$F$3:$J$39,2,FALSE),0)</f>
        <v>0</v>
      </c>
      <c r="Q537" s="2">
        <f>IFERROR(VLOOKUP($D537&amp;$C537,生产方式定位!$A$2:$E$39,3,FALSE)+VLOOKUP($E537&amp;$C537,生产方式定位!$F$3:$J$39,3,FALSE),0)</f>
        <v>0</v>
      </c>
      <c r="V537" s="2" t="str">
        <f>IFERROR(VLOOKUP($D537&amp;$C537,生产方式定位!$A$2:$E$39,5,FALSE)+VLOOKUP($E537&amp;$C537,生产方式定位!$F$3:$J$39,5,FALSE),"错误")</f>
        <v>错误</v>
      </c>
      <c r="W537" s="3" t="str">
        <f t="shared" si="40"/>
        <v/>
      </c>
      <c r="X537" s="4" t="str">
        <f t="shared" si="41"/>
        <v/>
      </c>
      <c r="Y537" s="4" t="str">
        <f t="shared" si="42"/>
        <v/>
      </c>
      <c r="Z537" s="5" t="str">
        <f t="shared" si="43"/>
        <v/>
      </c>
      <c r="AA537" s="6">
        <f t="shared" si="44"/>
        <v>8</v>
      </c>
      <c r="AB537" t="str">
        <f>IFERROR(F537&amp;"*"&amp;ROUND(L537*(G537/(G537+I537+K537))/VLOOKUP(F537,商品!$A$4:$D$67,4,FALSE),0),"")</f>
        <v/>
      </c>
      <c r="AC537" t="str">
        <f>IFERROR(H537&amp;"*"&amp;ROUND(L537*(I537/(G537+I537+K537))/VLOOKUP(H537,商品!$A$4:$D$67,4,FALSE),0),"")</f>
        <v/>
      </c>
      <c r="AD537" t="str">
        <f>IFERROR(J537&amp;"*"&amp;ROUND(L537*(K537/(G537+I537+K537))/VLOOKUP(J537,商品!$A$4:$D$67,4,FALSE),0),"")</f>
        <v/>
      </c>
      <c r="AE537" t="str">
        <f>IFERROR(M537&amp;"*"&amp;ROUND(Q537*(N537/(N537+P537))/VLOOKUP(M537,职业!$A$3:$E$16,4,FALSE),0),"")</f>
        <v/>
      </c>
      <c r="AF537" t="str">
        <f>IFERROR(O537&amp;"*"&amp;ROUND(Q537*(P537/(N537+P537))/VLOOKUP(O537,职业!$A$3:$E$16,4,FALSE),0),"")</f>
        <v/>
      </c>
      <c r="AG537" t="str">
        <f>IFERROR(R537&amp;"*"&amp;ROUND(V537*(S537/(S537+U537))/VLOOKUP(R537,商品!$A$4:$D$67,4,FALSE),0),"")</f>
        <v/>
      </c>
      <c r="AH537" t="str">
        <f>IFERROR(T537&amp;"*"&amp;ROUND(V537*(U537/(S537+U537))/VLOOKUP(T537,商品!$A$4:$D$67,4,FALSE),0),"")</f>
        <v/>
      </c>
    </row>
    <row r="538" customHeight="1" spans="1:34">
      <c r="A538" s="14" t="s">
        <v>384</v>
      </c>
      <c r="C538" s="2">
        <v>1</v>
      </c>
      <c r="D538" s="2" t="s">
        <v>247</v>
      </c>
      <c r="E538" s="2" t="s">
        <v>225</v>
      </c>
      <c r="L538" s="2">
        <f>IFERROR(VLOOKUP($D538&amp;$C538,生产方式定位!$A$2:$E$39,2,FALSE)+VLOOKUP($E538&amp;$C538,生产方式定位!$F$3:$J$39,2,FALSE),0)</f>
        <v>20000</v>
      </c>
      <c r="Q538" s="2">
        <f>IFERROR(VLOOKUP($D538&amp;$C538,生产方式定位!$A$2:$E$39,3,FALSE)+VLOOKUP($E538&amp;$C538,生产方式定位!$F$3:$J$39,3,FALSE),0)</f>
        <v>10000</v>
      </c>
      <c r="V538" s="2">
        <f>IFERROR(VLOOKUP($D538&amp;$C538,生产方式定位!$A$2:$E$39,5,FALSE)+VLOOKUP($E538&amp;$C538,生产方式定位!$F$3:$J$39,5,FALSE),"错误")</f>
        <v>15000</v>
      </c>
      <c r="W538" s="3" t="str">
        <f t="shared" si="40"/>
        <v/>
      </c>
      <c r="X538" s="4" t="str">
        <f t="shared" si="41"/>
        <v/>
      </c>
      <c r="Y538" s="4" t="str">
        <f t="shared" si="42"/>
        <v/>
      </c>
      <c r="Z538" s="5">
        <f t="shared" si="43"/>
        <v>1.33</v>
      </c>
      <c r="AA538" s="6">
        <f t="shared" si="44"/>
        <v>1</v>
      </c>
      <c r="AB538" t="str">
        <f>IFERROR(F538&amp;"*"&amp;ROUND(L538*(G538/(G538+I538+K538))/VLOOKUP(F538,商品!$A$4:$D$67,4,FALSE),0),"")</f>
        <v/>
      </c>
      <c r="AC538" t="str">
        <f>IFERROR(H538&amp;"*"&amp;ROUND(L538*(I538/(G538+I538+K538))/VLOOKUP(H538,商品!$A$4:$D$67,4,FALSE),0),"")</f>
        <v/>
      </c>
      <c r="AD538" t="str">
        <f>IFERROR(J538&amp;"*"&amp;ROUND(L538*(K538/(G538+I538+K538))/VLOOKUP(J538,商品!$A$4:$D$67,4,FALSE),0),"")</f>
        <v/>
      </c>
      <c r="AE538" t="str">
        <f>IFERROR(M538&amp;"*"&amp;ROUND(Q538*(N538/(N538+P538))/VLOOKUP(M538,职业!$A$3:$E$16,4,FALSE),0),"")</f>
        <v/>
      </c>
      <c r="AF538" t="str">
        <f>IFERROR(O538&amp;"*"&amp;ROUND(Q538*(P538/(N538+P538))/VLOOKUP(O538,职业!$A$3:$E$16,4,FALSE),0),"")</f>
        <v/>
      </c>
      <c r="AG538" t="str">
        <f>IFERROR(R538&amp;"*"&amp;ROUND(V538*(S538/(S538+U538))/VLOOKUP(R538,商品!$A$4:$D$67,4,FALSE),0),"")</f>
        <v/>
      </c>
      <c r="AH538" t="str">
        <f>IFERROR(T538&amp;"*"&amp;ROUND(V538*(U538/(S538+U538))/VLOOKUP(T538,商品!$A$4:$D$67,4,FALSE),0),"")</f>
        <v/>
      </c>
    </row>
    <row r="539" customHeight="1" spans="1:34">
      <c r="A539" s="14" t="s">
        <v>384</v>
      </c>
      <c r="C539" s="2">
        <v>2</v>
      </c>
      <c r="D539" s="2" t="s">
        <v>247</v>
      </c>
      <c r="E539" s="2" t="s">
        <v>225</v>
      </c>
      <c r="L539" s="2">
        <f>IFERROR(VLOOKUP($D539&amp;$C539,生产方式定位!$A$2:$E$39,2,FALSE)+VLOOKUP($E539&amp;$C539,生产方式定位!$F$3:$J$39,2,FALSE),0)</f>
        <v>17500</v>
      </c>
      <c r="Q539" s="2">
        <f>IFERROR(VLOOKUP($D539&amp;$C539,生产方式定位!$A$2:$E$39,3,FALSE)+VLOOKUP($E539&amp;$C539,生产方式定位!$F$3:$J$39,3,FALSE),0)</f>
        <v>9000</v>
      </c>
      <c r="V539" s="2">
        <f>IFERROR(VLOOKUP($D539&amp;$C539,生产方式定位!$A$2:$E$39,5,FALSE)+VLOOKUP($E539&amp;$C539,生产方式定位!$F$3:$J$39,5,FALSE),"错误")</f>
        <v>13250</v>
      </c>
      <c r="W539" s="3" t="str">
        <f t="shared" si="40"/>
        <v/>
      </c>
      <c r="X539" s="4" t="str">
        <f t="shared" si="41"/>
        <v/>
      </c>
      <c r="Y539" s="4" t="str">
        <f t="shared" si="42"/>
        <v/>
      </c>
      <c r="Z539" s="5">
        <f t="shared" si="43"/>
        <v>1.32</v>
      </c>
      <c r="AA539" s="6">
        <f t="shared" si="44"/>
        <v>2</v>
      </c>
      <c r="AB539" t="str">
        <f>IFERROR(F539&amp;"*"&amp;ROUND(L539*(G539/(G539+I539+K539))/VLOOKUP(F539,商品!$A$4:$D$67,4,FALSE),0),"")</f>
        <v/>
      </c>
      <c r="AC539" t="str">
        <f>IFERROR(H539&amp;"*"&amp;ROUND(L539*(I539/(G539+I539+K539))/VLOOKUP(H539,商品!$A$4:$D$67,4,FALSE),0),"")</f>
        <v/>
      </c>
      <c r="AD539" t="str">
        <f>IFERROR(J539&amp;"*"&amp;ROUND(L539*(K539/(G539+I539+K539))/VLOOKUP(J539,商品!$A$4:$D$67,4,FALSE),0),"")</f>
        <v/>
      </c>
      <c r="AE539" t="str">
        <f>IFERROR(M539&amp;"*"&amp;ROUND(Q539*(N539/(N539+P539))/VLOOKUP(M539,职业!$A$3:$E$16,4,FALSE),0),"")</f>
        <v/>
      </c>
      <c r="AF539" t="str">
        <f>IFERROR(O539&amp;"*"&amp;ROUND(Q539*(P539/(N539+P539))/VLOOKUP(O539,职业!$A$3:$E$16,4,FALSE),0),"")</f>
        <v/>
      </c>
      <c r="AG539" t="str">
        <f>IFERROR(R539&amp;"*"&amp;ROUND(V539*(S539/(S539+U539))/VLOOKUP(R539,商品!$A$4:$D$67,4,FALSE),0),"")</f>
        <v/>
      </c>
      <c r="AH539" t="str">
        <f>IFERROR(T539&amp;"*"&amp;ROUND(V539*(U539/(S539+U539))/VLOOKUP(T539,商品!$A$4:$D$67,4,FALSE),0),"")</f>
        <v/>
      </c>
    </row>
    <row r="540" customHeight="1" spans="1:34">
      <c r="A540" s="14" t="s">
        <v>384</v>
      </c>
      <c r="C540" s="2">
        <v>3</v>
      </c>
      <c r="D540" s="2" t="s">
        <v>247</v>
      </c>
      <c r="E540" s="2" t="s">
        <v>225</v>
      </c>
      <c r="L540" s="2">
        <f>IFERROR(VLOOKUP($D540&amp;$C540,生产方式定位!$A$2:$E$39,2,FALSE)+VLOOKUP($E540&amp;$C540,生产方式定位!$F$3:$J$39,2,FALSE),0)</f>
        <v>15000</v>
      </c>
      <c r="Q540" s="2">
        <f>IFERROR(VLOOKUP($D540&amp;$C540,生产方式定位!$A$2:$E$39,3,FALSE)+VLOOKUP($E540&amp;$C540,生产方式定位!$F$3:$J$39,3,FALSE),0)</f>
        <v>8000</v>
      </c>
      <c r="V540" s="2">
        <f>IFERROR(VLOOKUP($D540&amp;$C540,生产方式定位!$A$2:$E$39,5,FALSE)+VLOOKUP($E540&amp;$C540,生产方式定位!$F$3:$J$39,5,FALSE),"错误")</f>
        <v>11500</v>
      </c>
      <c r="W540" s="3" t="str">
        <f t="shared" si="40"/>
        <v/>
      </c>
      <c r="X540" s="4" t="str">
        <f t="shared" si="41"/>
        <v/>
      </c>
      <c r="Y540" s="4" t="str">
        <f t="shared" si="42"/>
        <v/>
      </c>
      <c r="Z540" s="5">
        <f t="shared" si="43"/>
        <v>1.3</v>
      </c>
      <c r="AA540" s="6">
        <f t="shared" si="44"/>
        <v>3</v>
      </c>
      <c r="AB540" t="str">
        <f>IFERROR(F540&amp;"*"&amp;ROUND(L540*(G540/(G540+I540+K540))/VLOOKUP(F540,商品!$A$4:$D$67,4,FALSE),0),"")</f>
        <v/>
      </c>
      <c r="AC540" t="str">
        <f>IFERROR(H540&amp;"*"&amp;ROUND(L540*(I540/(G540+I540+K540))/VLOOKUP(H540,商品!$A$4:$D$67,4,FALSE),0),"")</f>
        <v/>
      </c>
      <c r="AD540" t="str">
        <f>IFERROR(J540&amp;"*"&amp;ROUND(L540*(K540/(G540+I540+K540))/VLOOKUP(J540,商品!$A$4:$D$67,4,FALSE),0),"")</f>
        <v/>
      </c>
      <c r="AE540" t="str">
        <f>IFERROR(M540&amp;"*"&amp;ROUND(Q540*(N540/(N540+P540))/VLOOKUP(M540,职业!$A$3:$E$16,4,FALSE),0),"")</f>
        <v/>
      </c>
      <c r="AF540" t="str">
        <f>IFERROR(O540&amp;"*"&amp;ROUND(Q540*(P540/(N540+P540))/VLOOKUP(O540,职业!$A$3:$E$16,4,FALSE),0),"")</f>
        <v/>
      </c>
      <c r="AG540" t="str">
        <f>IFERROR(R540&amp;"*"&amp;ROUND(V540*(S540/(S540+U540))/VLOOKUP(R540,商品!$A$4:$D$67,4,FALSE),0),"")</f>
        <v/>
      </c>
      <c r="AH540" t="str">
        <f>IFERROR(T540&amp;"*"&amp;ROUND(V540*(U540/(S540+U540))/VLOOKUP(T540,商品!$A$4:$D$67,4,FALSE),0),"")</f>
        <v/>
      </c>
    </row>
    <row r="541" customHeight="1" spans="1:34">
      <c r="A541" s="14" t="s">
        <v>384</v>
      </c>
      <c r="C541" s="2">
        <v>4</v>
      </c>
      <c r="D541" s="2" t="s">
        <v>247</v>
      </c>
      <c r="E541" s="2" t="s">
        <v>225</v>
      </c>
      <c r="L541" s="2">
        <f>IFERROR(VLOOKUP($D541&amp;$C541,生产方式定位!$A$2:$E$39,2,FALSE)+VLOOKUP($E541&amp;$C541,生产方式定位!$F$3:$J$39,2,FALSE),0)</f>
        <v>12500</v>
      </c>
      <c r="Q541" s="2">
        <f>IFERROR(VLOOKUP($D541&amp;$C541,生产方式定位!$A$2:$E$39,3,FALSE)+VLOOKUP($E541&amp;$C541,生产方式定位!$F$3:$J$39,3,FALSE),0)</f>
        <v>7000</v>
      </c>
      <c r="V541" s="2">
        <f>IFERROR(VLOOKUP($D541&amp;$C541,生产方式定位!$A$2:$E$39,5,FALSE)+VLOOKUP($E541&amp;$C541,生产方式定位!$F$3:$J$39,5,FALSE),"错误")</f>
        <v>9750</v>
      </c>
      <c r="W541" s="3" t="str">
        <f t="shared" si="40"/>
        <v/>
      </c>
      <c r="X541" s="4" t="str">
        <f t="shared" si="41"/>
        <v/>
      </c>
      <c r="Y541" s="4" t="str">
        <f t="shared" si="42"/>
        <v/>
      </c>
      <c r="Z541" s="5">
        <f t="shared" si="43"/>
        <v>1.28</v>
      </c>
      <c r="AA541" s="6">
        <f t="shared" si="44"/>
        <v>4</v>
      </c>
      <c r="AB541" t="str">
        <f>IFERROR(F541&amp;"*"&amp;ROUND(L541*(G541/(G541+I541+K541))/VLOOKUP(F541,商品!$A$4:$D$67,4,FALSE),0),"")</f>
        <v/>
      </c>
      <c r="AC541" t="str">
        <f>IFERROR(H541&amp;"*"&amp;ROUND(L541*(I541/(G541+I541+K541))/VLOOKUP(H541,商品!$A$4:$D$67,4,FALSE),0),"")</f>
        <v/>
      </c>
      <c r="AD541" t="str">
        <f>IFERROR(J541&amp;"*"&amp;ROUND(L541*(K541/(G541+I541+K541))/VLOOKUP(J541,商品!$A$4:$D$67,4,FALSE),0),"")</f>
        <v/>
      </c>
      <c r="AE541" t="str">
        <f>IFERROR(M541&amp;"*"&amp;ROUND(Q541*(N541/(N541+P541))/VLOOKUP(M541,职业!$A$3:$E$16,4,FALSE),0),"")</f>
        <v/>
      </c>
      <c r="AF541" t="str">
        <f>IFERROR(O541&amp;"*"&amp;ROUND(Q541*(P541/(N541+P541))/VLOOKUP(O541,职业!$A$3:$E$16,4,FALSE),0),"")</f>
        <v/>
      </c>
      <c r="AG541" t="str">
        <f>IFERROR(R541&amp;"*"&amp;ROUND(V541*(S541/(S541+U541))/VLOOKUP(R541,商品!$A$4:$D$67,4,FALSE),0),"")</f>
        <v/>
      </c>
      <c r="AH541" t="str">
        <f>IFERROR(T541&amp;"*"&amp;ROUND(V541*(U541/(S541+U541))/VLOOKUP(T541,商品!$A$4:$D$67,4,FALSE),0),"")</f>
        <v/>
      </c>
    </row>
    <row r="542" customHeight="1" spans="1:34">
      <c r="A542" s="14" t="s">
        <v>384</v>
      </c>
      <c r="C542" s="2">
        <v>5</v>
      </c>
      <c r="D542" s="2" t="s">
        <v>247</v>
      </c>
      <c r="E542" s="2" t="s">
        <v>225</v>
      </c>
      <c r="L542" s="2">
        <f>IFERROR(VLOOKUP($D542&amp;$C542,生产方式定位!$A$2:$E$39,2,FALSE)+VLOOKUP($E542&amp;$C542,生产方式定位!$F$3:$J$39,2,FALSE),0)</f>
        <v>10000</v>
      </c>
      <c r="Q542" s="2">
        <f>IFERROR(VLOOKUP($D542&amp;$C542,生产方式定位!$A$2:$E$39,3,FALSE)+VLOOKUP($E542&amp;$C542,生产方式定位!$F$3:$J$39,3,FALSE),0)</f>
        <v>6000</v>
      </c>
      <c r="V542" s="2">
        <f>IFERROR(VLOOKUP($D542&amp;$C542,生产方式定位!$A$2:$E$39,5,FALSE)+VLOOKUP($E542&amp;$C542,生产方式定位!$F$3:$J$39,5,FALSE),"错误")</f>
        <v>8000</v>
      </c>
      <c r="W542" s="3" t="str">
        <f t="shared" si="40"/>
        <v/>
      </c>
      <c r="X542" s="4" t="str">
        <f t="shared" si="41"/>
        <v/>
      </c>
      <c r="Y542" s="4" t="str">
        <f t="shared" si="42"/>
        <v/>
      </c>
      <c r="Z542" s="5">
        <f t="shared" si="43"/>
        <v>1.25</v>
      </c>
      <c r="AA542" s="6">
        <f t="shared" si="44"/>
        <v>5</v>
      </c>
      <c r="AB542" t="str">
        <f>IFERROR(F542&amp;"*"&amp;ROUND(L542*(G542/(G542+I542+K542))/VLOOKUP(F542,商品!$A$4:$D$67,4,FALSE),0),"")</f>
        <v/>
      </c>
      <c r="AC542" t="str">
        <f>IFERROR(H542&amp;"*"&amp;ROUND(L542*(I542/(G542+I542+K542))/VLOOKUP(H542,商品!$A$4:$D$67,4,FALSE),0),"")</f>
        <v/>
      </c>
      <c r="AD542" t="str">
        <f>IFERROR(J542&amp;"*"&amp;ROUND(L542*(K542/(G542+I542+K542))/VLOOKUP(J542,商品!$A$4:$D$67,4,FALSE),0),"")</f>
        <v/>
      </c>
      <c r="AE542" t="str">
        <f>IFERROR(M542&amp;"*"&amp;ROUND(Q542*(N542/(N542+P542))/VLOOKUP(M542,职业!$A$3:$E$16,4,FALSE),0),"")</f>
        <v/>
      </c>
      <c r="AF542" t="str">
        <f>IFERROR(O542&amp;"*"&amp;ROUND(Q542*(P542/(N542+P542))/VLOOKUP(O542,职业!$A$3:$E$16,4,FALSE),0),"")</f>
        <v/>
      </c>
      <c r="AG542" t="str">
        <f>IFERROR(R542&amp;"*"&amp;ROUND(V542*(S542/(S542+U542))/VLOOKUP(R542,商品!$A$4:$D$67,4,FALSE),0),"")</f>
        <v/>
      </c>
      <c r="AH542" t="str">
        <f>IFERROR(T542&amp;"*"&amp;ROUND(V542*(U542/(S542+U542))/VLOOKUP(T542,商品!$A$4:$D$67,4,FALSE),0),"")</f>
        <v/>
      </c>
    </row>
    <row r="543" customHeight="1" spans="1:34">
      <c r="A543" s="15" t="s">
        <v>386</v>
      </c>
      <c r="C543" s="2">
        <v>6</v>
      </c>
      <c r="D543" s="2" t="s">
        <v>247</v>
      </c>
      <c r="E543" s="2" t="s">
        <v>222</v>
      </c>
      <c r="L543" s="2">
        <f>IFERROR(VLOOKUP($D543&amp;$C543,生产方式定位!$A$2:$E$39,2,FALSE)+VLOOKUP($E543&amp;$C543,生产方式定位!$F$3:$J$39,2,FALSE),0)</f>
        <v>0</v>
      </c>
      <c r="Q543" s="2">
        <f>IFERROR(VLOOKUP($D543&amp;$C543,生产方式定位!$A$2:$E$39,3,FALSE)+VLOOKUP($E543&amp;$C543,生产方式定位!$F$3:$J$39,3,FALSE),0)</f>
        <v>0</v>
      </c>
      <c r="V543" s="2" t="str">
        <f>IFERROR(VLOOKUP($D543&amp;$C543,生产方式定位!$A$2:$E$39,5,FALSE)+VLOOKUP($E543&amp;$C543,生产方式定位!$F$3:$J$39,5,FALSE),"错误")</f>
        <v>错误</v>
      </c>
      <c r="W543" s="3" t="str">
        <f t="shared" si="40"/>
        <v/>
      </c>
      <c r="X543" s="4" t="str">
        <f t="shared" si="41"/>
        <v/>
      </c>
      <c r="Y543" s="4" t="str">
        <f t="shared" si="42"/>
        <v/>
      </c>
      <c r="Z543" s="5" t="str">
        <f t="shared" si="43"/>
        <v/>
      </c>
      <c r="AA543" s="6">
        <f t="shared" si="44"/>
        <v>6</v>
      </c>
      <c r="AB543" t="str">
        <f>IFERROR(F543&amp;"*"&amp;ROUND(L543*(G543/(G543+I543+K543))/VLOOKUP(F543,商品!$A$4:$D$67,4,FALSE),0),"")</f>
        <v/>
      </c>
      <c r="AC543" t="str">
        <f>IFERROR(H543&amp;"*"&amp;ROUND(L543*(I543/(G543+I543+K543))/VLOOKUP(H543,商品!$A$4:$D$67,4,FALSE),0),"")</f>
        <v/>
      </c>
      <c r="AD543" t="str">
        <f>IFERROR(J543&amp;"*"&amp;ROUND(L543*(K543/(G543+I543+K543))/VLOOKUP(J543,商品!$A$4:$D$67,4,FALSE),0),"")</f>
        <v/>
      </c>
      <c r="AE543" t="str">
        <f>IFERROR(M543&amp;"*"&amp;ROUND(Q543*(N543/(N543+P543))/VLOOKUP(M543,职业!$A$3:$E$16,4,FALSE),0),"")</f>
        <v/>
      </c>
      <c r="AF543" t="str">
        <f>IFERROR(O543&amp;"*"&amp;ROUND(Q543*(P543/(N543+P543))/VLOOKUP(O543,职业!$A$3:$E$16,4,FALSE),0),"")</f>
        <v/>
      </c>
      <c r="AG543" t="str">
        <f>IFERROR(R543&amp;"*"&amp;ROUND(V543*(S543/(S543+U543))/VLOOKUP(R543,商品!$A$4:$D$67,4,FALSE),0),"")</f>
        <v/>
      </c>
      <c r="AH543" t="str">
        <f>IFERROR(T543&amp;"*"&amp;ROUND(V543*(U543/(S543+U543))/VLOOKUP(T543,商品!$A$4:$D$67,4,FALSE),0),"")</f>
        <v/>
      </c>
    </row>
    <row r="544" customHeight="1" spans="1:34">
      <c r="A544" s="15" t="s">
        <v>386</v>
      </c>
      <c r="C544" s="2">
        <v>7</v>
      </c>
      <c r="D544" s="2" t="s">
        <v>247</v>
      </c>
      <c r="E544" s="2" t="s">
        <v>222</v>
      </c>
      <c r="L544" s="2">
        <f>IFERROR(VLOOKUP($D544&amp;$C544,生产方式定位!$A$2:$E$39,2,FALSE)+VLOOKUP($E544&amp;$C544,生产方式定位!$F$3:$J$39,2,FALSE),0)</f>
        <v>0</v>
      </c>
      <c r="Q544" s="2">
        <f>IFERROR(VLOOKUP($D544&amp;$C544,生产方式定位!$A$2:$E$39,3,FALSE)+VLOOKUP($E544&amp;$C544,生产方式定位!$F$3:$J$39,3,FALSE),0)</f>
        <v>0</v>
      </c>
      <c r="V544" s="2" t="str">
        <f>IFERROR(VLOOKUP($D544&amp;$C544,生产方式定位!$A$2:$E$39,5,FALSE)+VLOOKUP($E544&amp;$C544,生产方式定位!$F$3:$J$39,5,FALSE),"错误")</f>
        <v>错误</v>
      </c>
      <c r="W544" s="3" t="str">
        <f t="shared" si="40"/>
        <v/>
      </c>
      <c r="X544" s="4" t="str">
        <f t="shared" si="41"/>
        <v/>
      </c>
      <c r="Y544" s="4" t="str">
        <f t="shared" si="42"/>
        <v/>
      </c>
      <c r="Z544" s="5" t="str">
        <f t="shared" si="43"/>
        <v/>
      </c>
      <c r="AA544" s="6">
        <f t="shared" si="44"/>
        <v>7</v>
      </c>
      <c r="AB544" t="str">
        <f>IFERROR(F544&amp;"*"&amp;ROUND(L544*(G544/(G544+I544+K544))/VLOOKUP(F544,商品!$A$4:$D$67,4,FALSE),0),"")</f>
        <v/>
      </c>
      <c r="AC544" t="str">
        <f>IFERROR(H544&amp;"*"&amp;ROUND(L544*(I544/(G544+I544+K544))/VLOOKUP(H544,商品!$A$4:$D$67,4,FALSE),0),"")</f>
        <v/>
      </c>
      <c r="AD544" t="str">
        <f>IFERROR(J544&amp;"*"&amp;ROUND(L544*(K544/(G544+I544+K544))/VLOOKUP(J544,商品!$A$4:$D$67,4,FALSE),0),"")</f>
        <v/>
      </c>
      <c r="AE544" t="str">
        <f>IFERROR(M544&amp;"*"&amp;ROUND(Q544*(N544/(N544+P544))/VLOOKUP(M544,职业!$A$3:$E$16,4,FALSE),0),"")</f>
        <v/>
      </c>
      <c r="AF544" t="str">
        <f>IFERROR(O544&amp;"*"&amp;ROUND(Q544*(P544/(N544+P544))/VLOOKUP(O544,职业!$A$3:$E$16,4,FALSE),0),"")</f>
        <v/>
      </c>
      <c r="AG544" t="str">
        <f>IFERROR(R544&amp;"*"&amp;ROUND(V544*(S544/(S544+U544))/VLOOKUP(R544,商品!$A$4:$D$67,4,FALSE),0),"")</f>
        <v/>
      </c>
      <c r="AH544" t="str">
        <f>IFERROR(T544&amp;"*"&amp;ROUND(V544*(U544/(S544+U544))/VLOOKUP(T544,商品!$A$4:$D$67,4,FALSE),0),"")</f>
        <v/>
      </c>
    </row>
    <row r="545" customHeight="1" spans="1:34">
      <c r="A545" s="15" t="s">
        <v>386</v>
      </c>
      <c r="C545" s="2">
        <v>8</v>
      </c>
      <c r="D545" s="2" t="s">
        <v>247</v>
      </c>
      <c r="E545" s="2" t="s">
        <v>222</v>
      </c>
      <c r="L545" s="2">
        <f>IFERROR(VLOOKUP($D545&amp;$C545,生产方式定位!$A$2:$E$39,2,FALSE)+VLOOKUP($E545&amp;$C545,生产方式定位!$F$3:$J$39,2,FALSE),0)</f>
        <v>0</v>
      </c>
      <c r="Q545" s="2">
        <f>IFERROR(VLOOKUP($D545&amp;$C545,生产方式定位!$A$2:$E$39,3,FALSE)+VLOOKUP($E545&amp;$C545,生产方式定位!$F$3:$J$39,3,FALSE),0)</f>
        <v>0</v>
      </c>
      <c r="V545" s="2" t="str">
        <f>IFERROR(VLOOKUP($D545&amp;$C545,生产方式定位!$A$2:$E$39,5,FALSE)+VLOOKUP($E545&amp;$C545,生产方式定位!$F$3:$J$39,5,FALSE),"错误")</f>
        <v>错误</v>
      </c>
      <c r="W545" s="3" t="str">
        <f t="shared" si="40"/>
        <v/>
      </c>
      <c r="X545" s="4" t="str">
        <f t="shared" si="41"/>
        <v/>
      </c>
      <c r="Y545" s="4" t="str">
        <f t="shared" si="42"/>
        <v/>
      </c>
      <c r="Z545" s="5" t="str">
        <f t="shared" si="43"/>
        <v/>
      </c>
      <c r="AA545" s="6">
        <f t="shared" si="44"/>
        <v>8</v>
      </c>
      <c r="AB545" t="str">
        <f>IFERROR(F545&amp;"*"&amp;ROUND(L545*(G545/(G545+I545+K545))/VLOOKUP(F545,商品!$A$4:$D$67,4,FALSE),0),"")</f>
        <v/>
      </c>
      <c r="AC545" t="str">
        <f>IFERROR(H545&amp;"*"&amp;ROUND(L545*(I545/(G545+I545+K545))/VLOOKUP(H545,商品!$A$4:$D$67,4,FALSE),0),"")</f>
        <v/>
      </c>
      <c r="AD545" t="str">
        <f>IFERROR(J545&amp;"*"&amp;ROUND(L545*(K545/(G545+I545+K545))/VLOOKUP(J545,商品!$A$4:$D$67,4,FALSE),0),"")</f>
        <v/>
      </c>
      <c r="AE545" t="str">
        <f>IFERROR(M545&amp;"*"&amp;ROUND(Q545*(N545/(N545+P545))/VLOOKUP(M545,职业!$A$3:$E$16,4,FALSE),0),"")</f>
        <v/>
      </c>
      <c r="AF545" t="str">
        <f>IFERROR(O545&amp;"*"&amp;ROUND(Q545*(P545/(N545+P545))/VLOOKUP(O545,职业!$A$3:$E$16,4,FALSE),0),"")</f>
        <v/>
      </c>
      <c r="AG545" t="str">
        <f>IFERROR(R545&amp;"*"&amp;ROUND(V545*(S545/(S545+U545))/VLOOKUP(R545,商品!$A$4:$D$67,4,FALSE),0),"")</f>
        <v/>
      </c>
      <c r="AH545" t="str">
        <f>IFERROR(T545&amp;"*"&amp;ROUND(V545*(U545/(S545+U545))/VLOOKUP(T545,商品!$A$4:$D$67,4,FALSE),0),"")</f>
        <v/>
      </c>
    </row>
    <row r="546" customHeight="1" spans="1:34">
      <c r="A546" s="15" t="s">
        <v>386</v>
      </c>
      <c r="C546" s="2">
        <v>1</v>
      </c>
      <c r="D546" s="2" t="s">
        <v>247</v>
      </c>
      <c r="E546" s="2" t="s">
        <v>222</v>
      </c>
      <c r="L546" s="2">
        <f>IFERROR(VLOOKUP($D546&amp;$C546,生产方式定位!$A$2:$E$39,2,FALSE)+VLOOKUP($E546&amp;$C546,生产方式定位!$F$3:$J$39,2,FALSE),0)</f>
        <v>20000</v>
      </c>
      <c r="Q546" s="2">
        <f>IFERROR(VLOOKUP($D546&amp;$C546,生产方式定位!$A$2:$E$39,3,FALSE)+VLOOKUP($E546&amp;$C546,生产方式定位!$F$3:$J$39,3,FALSE),0)</f>
        <v>10000</v>
      </c>
      <c r="V546" s="2">
        <f>IFERROR(VLOOKUP($D546&amp;$C546,生产方式定位!$A$2:$E$39,5,FALSE)+VLOOKUP($E546&amp;$C546,生产方式定位!$F$3:$J$39,5,FALSE),"错误")</f>
        <v>15000</v>
      </c>
      <c r="W546" s="3" t="str">
        <f t="shared" si="40"/>
        <v/>
      </c>
      <c r="X546" s="4" t="str">
        <f t="shared" si="41"/>
        <v/>
      </c>
      <c r="Y546" s="4" t="str">
        <f t="shared" si="42"/>
        <v/>
      </c>
      <c r="Z546" s="5">
        <f t="shared" si="43"/>
        <v>1.33</v>
      </c>
      <c r="AA546" s="6">
        <f t="shared" si="44"/>
        <v>1</v>
      </c>
      <c r="AB546" t="str">
        <f>IFERROR(F546&amp;"*"&amp;ROUND(L546*(G546/(G546+I546+K546))/VLOOKUP(F546,商品!$A$4:$D$67,4,FALSE),0),"")</f>
        <v/>
      </c>
      <c r="AC546" t="str">
        <f>IFERROR(H546&amp;"*"&amp;ROUND(L546*(I546/(G546+I546+K546))/VLOOKUP(H546,商品!$A$4:$D$67,4,FALSE),0),"")</f>
        <v/>
      </c>
      <c r="AD546" t="str">
        <f>IFERROR(J546&amp;"*"&amp;ROUND(L546*(K546/(G546+I546+K546))/VLOOKUP(J546,商品!$A$4:$D$67,4,FALSE),0),"")</f>
        <v/>
      </c>
      <c r="AE546" t="str">
        <f>IFERROR(M546&amp;"*"&amp;ROUND(Q546*(N546/(N546+P546))/VLOOKUP(M546,职业!$A$3:$E$16,4,FALSE),0),"")</f>
        <v/>
      </c>
      <c r="AF546" t="str">
        <f>IFERROR(O546&amp;"*"&amp;ROUND(Q546*(P546/(N546+P546))/VLOOKUP(O546,职业!$A$3:$E$16,4,FALSE),0),"")</f>
        <v/>
      </c>
      <c r="AG546" t="str">
        <f>IFERROR(R546&amp;"*"&amp;ROUND(V546*(S546/(S546+U546))/VLOOKUP(R546,商品!$A$4:$D$67,4,FALSE),0),"")</f>
        <v/>
      </c>
      <c r="AH546" t="str">
        <f>IFERROR(T546&amp;"*"&amp;ROUND(V546*(U546/(S546+U546))/VLOOKUP(T546,商品!$A$4:$D$67,4,FALSE),0),"")</f>
        <v/>
      </c>
    </row>
    <row r="547" customHeight="1" spans="1:34">
      <c r="A547" s="15" t="s">
        <v>386</v>
      </c>
      <c r="C547" s="2">
        <v>2</v>
      </c>
      <c r="D547" s="2" t="s">
        <v>247</v>
      </c>
      <c r="E547" s="2" t="s">
        <v>222</v>
      </c>
      <c r="L547" s="2">
        <f>IFERROR(VLOOKUP($D547&amp;$C547,生产方式定位!$A$2:$E$39,2,FALSE)+VLOOKUP($E547&amp;$C547,生产方式定位!$F$3:$J$39,2,FALSE),0)</f>
        <v>18500</v>
      </c>
      <c r="Q547" s="2">
        <f>IFERROR(VLOOKUP($D547&amp;$C547,生产方式定位!$A$2:$E$39,3,FALSE)+VLOOKUP($E547&amp;$C547,生产方式定位!$F$3:$J$39,3,FALSE),0)</f>
        <v>9200</v>
      </c>
      <c r="V547" s="2">
        <f>IFERROR(VLOOKUP($D547&amp;$C547,生产方式定位!$A$2:$E$39,5,FALSE)+VLOOKUP($E547&amp;$C547,生产方式定位!$F$3:$J$39,5,FALSE),"错误")</f>
        <v>13922</v>
      </c>
      <c r="W547" s="3" t="str">
        <f t="shared" si="40"/>
        <v/>
      </c>
      <c r="X547" s="4" t="str">
        <f t="shared" si="41"/>
        <v/>
      </c>
      <c r="Y547" s="4" t="str">
        <f t="shared" si="42"/>
        <v/>
      </c>
      <c r="Z547" s="5">
        <f t="shared" si="43"/>
        <v>1.33</v>
      </c>
      <c r="AA547" s="6">
        <f t="shared" si="44"/>
        <v>2</v>
      </c>
      <c r="AB547" t="str">
        <f>IFERROR(F547&amp;"*"&amp;ROUND(L547*(G547/(G547+I547+K547))/VLOOKUP(F547,商品!$A$4:$D$67,4,FALSE),0),"")</f>
        <v/>
      </c>
      <c r="AC547" t="str">
        <f>IFERROR(H547&amp;"*"&amp;ROUND(L547*(I547/(G547+I547+K547))/VLOOKUP(H547,商品!$A$4:$D$67,4,FALSE),0),"")</f>
        <v/>
      </c>
      <c r="AD547" t="str">
        <f>IFERROR(J547&amp;"*"&amp;ROUND(L547*(K547/(G547+I547+K547))/VLOOKUP(J547,商品!$A$4:$D$67,4,FALSE),0),"")</f>
        <v/>
      </c>
      <c r="AE547" t="str">
        <f>IFERROR(M547&amp;"*"&amp;ROUND(Q547*(N547/(N547+P547))/VLOOKUP(M547,职业!$A$3:$E$16,4,FALSE),0),"")</f>
        <v/>
      </c>
      <c r="AF547" t="str">
        <f>IFERROR(O547&amp;"*"&amp;ROUND(Q547*(P547/(N547+P547))/VLOOKUP(O547,职业!$A$3:$E$16,4,FALSE),0),"")</f>
        <v/>
      </c>
      <c r="AG547" t="str">
        <f>IFERROR(R547&amp;"*"&amp;ROUND(V547*(S547/(S547+U547))/VLOOKUP(R547,商品!$A$4:$D$67,4,FALSE),0),"")</f>
        <v/>
      </c>
      <c r="AH547" t="str">
        <f>IFERROR(T547&amp;"*"&amp;ROUND(V547*(U547/(S547+U547))/VLOOKUP(T547,商品!$A$4:$D$67,4,FALSE),0),"")</f>
        <v/>
      </c>
    </row>
    <row r="548" customHeight="1" spans="1:34">
      <c r="A548" s="14" t="s">
        <v>386</v>
      </c>
      <c r="C548" s="2">
        <v>3</v>
      </c>
      <c r="D548" s="2" t="s">
        <v>247</v>
      </c>
      <c r="E548" s="2" t="s">
        <v>222</v>
      </c>
      <c r="L548" s="2">
        <f>IFERROR(VLOOKUP($D548&amp;$C548,生产方式定位!$A$2:$E$39,2,FALSE)+VLOOKUP($E548&amp;$C548,生产方式定位!$F$3:$J$39,2,FALSE),0)</f>
        <v>17000</v>
      </c>
      <c r="Q548" s="2">
        <f>IFERROR(VLOOKUP($D548&amp;$C548,生产方式定位!$A$2:$E$39,3,FALSE)+VLOOKUP($E548&amp;$C548,生产方式定位!$F$3:$J$39,3,FALSE),0)</f>
        <v>8400</v>
      </c>
      <c r="V548" s="2">
        <f>IFERROR(VLOOKUP($D548&amp;$C548,生产方式定位!$A$2:$E$39,5,FALSE)+VLOOKUP($E548&amp;$C548,生产方式定位!$F$3:$J$39,5,FALSE),"错误")</f>
        <v>12988</v>
      </c>
      <c r="W548" s="3" t="str">
        <f t="shared" si="40"/>
        <v/>
      </c>
      <c r="X548" s="4" t="str">
        <f t="shared" si="41"/>
        <v/>
      </c>
      <c r="Y548" s="4" t="str">
        <f t="shared" si="42"/>
        <v/>
      </c>
      <c r="Z548" s="5">
        <f t="shared" si="43"/>
        <v>1.31</v>
      </c>
      <c r="AA548" s="6">
        <f t="shared" si="44"/>
        <v>3</v>
      </c>
      <c r="AB548" t="str">
        <f>IFERROR(F548&amp;"*"&amp;ROUND(L548*(G548/(G548+I548+K548))/VLOOKUP(F548,商品!$A$4:$D$67,4,FALSE),0),"")</f>
        <v/>
      </c>
      <c r="AC548" t="str">
        <f>IFERROR(H548&amp;"*"&amp;ROUND(L548*(I548/(G548+I548+K548))/VLOOKUP(H548,商品!$A$4:$D$67,4,FALSE),0),"")</f>
        <v/>
      </c>
      <c r="AD548" t="str">
        <f>IFERROR(J548&amp;"*"&amp;ROUND(L548*(K548/(G548+I548+K548))/VLOOKUP(J548,商品!$A$4:$D$67,4,FALSE),0),"")</f>
        <v/>
      </c>
      <c r="AE548" t="str">
        <f>IFERROR(M548&amp;"*"&amp;ROUND(Q548*(N548/(N548+P548))/VLOOKUP(M548,职业!$A$3:$E$16,4,FALSE),0),"")</f>
        <v/>
      </c>
      <c r="AF548" t="str">
        <f>IFERROR(O548&amp;"*"&amp;ROUND(Q548*(P548/(N548+P548))/VLOOKUP(O548,职业!$A$3:$E$16,4,FALSE),0),"")</f>
        <v/>
      </c>
      <c r="AG548" t="str">
        <f>IFERROR(R548&amp;"*"&amp;ROUND(V548*(S548/(S548+U548))/VLOOKUP(R548,商品!$A$4:$D$67,4,FALSE),0),"")</f>
        <v/>
      </c>
      <c r="AH548" t="str">
        <f>IFERROR(T548&amp;"*"&amp;ROUND(V548*(U548/(S548+U548))/VLOOKUP(T548,商品!$A$4:$D$67,4,FALSE),0),"")</f>
        <v/>
      </c>
    </row>
    <row r="549" customHeight="1" spans="1:34">
      <c r="A549" s="14" t="s">
        <v>386</v>
      </c>
      <c r="C549" s="2">
        <v>4</v>
      </c>
      <c r="D549" s="2" t="s">
        <v>247</v>
      </c>
      <c r="E549" s="2" t="s">
        <v>222</v>
      </c>
      <c r="L549" s="2">
        <f>IFERROR(VLOOKUP($D549&amp;$C549,生产方式定位!$A$2:$E$39,2,FALSE)+VLOOKUP($E549&amp;$C549,生产方式定位!$F$3:$J$39,2,FALSE),0)</f>
        <v>15500</v>
      </c>
      <c r="Q549" s="2">
        <f>IFERROR(VLOOKUP($D549&amp;$C549,生产方式定位!$A$2:$E$39,3,FALSE)+VLOOKUP($E549&amp;$C549,生产方式定位!$F$3:$J$39,3,FALSE),0)</f>
        <v>7600</v>
      </c>
      <c r="V549" s="2">
        <f>IFERROR(VLOOKUP($D549&amp;$C549,生产方式定位!$A$2:$E$39,5,FALSE)+VLOOKUP($E549&amp;$C549,生产方式定位!$F$3:$J$39,5,FALSE),"错误")</f>
        <v>12198</v>
      </c>
      <c r="W549" s="3" t="str">
        <f t="shared" si="40"/>
        <v/>
      </c>
      <c r="X549" s="4" t="str">
        <f t="shared" si="41"/>
        <v/>
      </c>
      <c r="Y549" s="4" t="str">
        <f t="shared" si="42"/>
        <v/>
      </c>
      <c r="Z549" s="5">
        <f t="shared" si="43"/>
        <v>1.27</v>
      </c>
      <c r="AA549" s="6">
        <f t="shared" si="44"/>
        <v>4</v>
      </c>
      <c r="AB549" t="str">
        <f>IFERROR(F549&amp;"*"&amp;ROUND(L549*(G549/(G549+I549+K549))/VLOOKUP(F549,商品!$A$4:$D$67,4,FALSE),0),"")</f>
        <v/>
      </c>
      <c r="AC549" t="str">
        <f>IFERROR(H549&amp;"*"&amp;ROUND(L549*(I549/(G549+I549+K549))/VLOOKUP(H549,商品!$A$4:$D$67,4,FALSE),0),"")</f>
        <v/>
      </c>
      <c r="AD549" t="str">
        <f>IFERROR(J549&amp;"*"&amp;ROUND(L549*(K549/(G549+I549+K549))/VLOOKUP(J549,商品!$A$4:$D$67,4,FALSE),0),"")</f>
        <v/>
      </c>
      <c r="AE549" t="str">
        <f>IFERROR(M549&amp;"*"&amp;ROUND(Q549*(N549/(N549+P549))/VLOOKUP(M549,职业!$A$3:$E$16,4,FALSE),0),"")</f>
        <v/>
      </c>
      <c r="AF549" t="str">
        <f>IFERROR(O549&amp;"*"&amp;ROUND(Q549*(P549/(N549+P549))/VLOOKUP(O549,职业!$A$3:$E$16,4,FALSE),0),"")</f>
        <v/>
      </c>
      <c r="AG549" t="str">
        <f>IFERROR(R549&amp;"*"&amp;ROUND(V549*(S549/(S549+U549))/VLOOKUP(R549,商品!$A$4:$D$67,4,FALSE),0),"")</f>
        <v/>
      </c>
      <c r="AH549" t="str">
        <f>IFERROR(T549&amp;"*"&amp;ROUND(V549*(U549/(S549+U549))/VLOOKUP(T549,商品!$A$4:$D$67,4,FALSE),0),"")</f>
        <v/>
      </c>
    </row>
    <row r="550" customHeight="1" spans="1:34">
      <c r="A550" s="14" t="s">
        <v>386</v>
      </c>
      <c r="C550" s="2">
        <v>5</v>
      </c>
      <c r="D550" s="2" t="s">
        <v>247</v>
      </c>
      <c r="E550" s="2" t="s">
        <v>222</v>
      </c>
      <c r="L550" s="2">
        <f>IFERROR(VLOOKUP($D550&amp;$C550,生产方式定位!$A$2:$E$39,2,FALSE)+VLOOKUP($E550&amp;$C550,生产方式定位!$F$3:$J$39,2,FALSE),0)</f>
        <v>14000</v>
      </c>
      <c r="Q550" s="2">
        <f>IFERROR(VLOOKUP($D550&amp;$C550,生产方式定位!$A$2:$E$39,3,FALSE)+VLOOKUP($E550&amp;$C550,生产方式定位!$F$3:$J$39,3,FALSE),0)</f>
        <v>6800</v>
      </c>
      <c r="V550" s="2">
        <f>IFERROR(VLOOKUP($D550&amp;$C550,生产方式定位!$A$2:$E$39,5,FALSE)+VLOOKUP($E550&amp;$C550,生产方式定位!$F$3:$J$39,5,FALSE),"错误")</f>
        <v>11600</v>
      </c>
      <c r="W550" s="3" t="str">
        <f t="shared" si="40"/>
        <v/>
      </c>
      <c r="X550" s="4" t="str">
        <f t="shared" si="41"/>
        <v/>
      </c>
      <c r="Y550" s="4" t="str">
        <f t="shared" si="42"/>
        <v/>
      </c>
      <c r="Z550" s="5">
        <f t="shared" si="43"/>
        <v>1.21</v>
      </c>
      <c r="AA550" s="6">
        <f t="shared" si="44"/>
        <v>5</v>
      </c>
      <c r="AB550" t="str">
        <f>IFERROR(F550&amp;"*"&amp;ROUND(L550*(G550/(G550+I550+K550))/VLOOKUP(F550,商品!$A$4:$D$67,4,FALSE),0),"")</f>
        <v/>
      </c>
      <c r="AC550" t="str">
        <f>IFERROR(H550&amp;"*"&amp;ROUND(L550*(I550/(G550+I550+K550))/VLOOKUP(H550,商品!$A$4:$D$67,4,FALSE),0),"")</f>
        <v/>
      </c>
      <c r="AD550" t="str">
        <f>IFERROR(J550&amp;"*"&amp;ROUND(L550*(K550/(G550+I550+K550))/VLOOKUP(J550,商品!$A$4:$D$67,4,FALSE),0),"")</f>
        <v/>
      </c>
      <c r="AE550" t="str">
        <f>IFERROR(M550&amp;"*"&amp;ROUND(Q550*(N550/(N550+P550))/VLOOKUP(M550,职业!$A$3:$E$16,4,FALSE),0),"")</f>
        <v/>
      </c>
      <c r="AF550" t="str">
        <f>IFERROR(O550&amp;"*"&amp;ROUND(Q550*(P550/(N550+P550))/VLOOKUP(O550,职业!$A$3:$E$16,4,FALSE),0),"")</f>
        <v/>
      </c>
      <c r="AG550" t="str">
        <f>IFERROR(R550&amp;"*"&amp;ROUND(V550*(S550/(S550+U550))/VLOOKUP(R550,商品!$A$4:$D$67,4,FALSE),0),"")</f>
        <v/>
      </c>
      <c r="AH550" t="str">
        <f>IFERROR(T550&amp;"*"&amp;ROUND(V550*(U550/(S550+U550))/VLOOKUP(T550,商品!$A$4:$D$67,4,FALSE),0),"")</f>
        <v/>
      </c>
    </row>
    <row r="551" customHeight="1" spans="1:34">
      <c r="A551" s="14" t="s">
        <v>386</v>
      </c>
      <c r="C551" s="2">
        <v>1</v>
      </c>
      <c r="D551" s="2" t="s">
        <v>247</v>
      </c>
      <c r="E551" s="2" t="s">
        <v>222</v>
      </c>
      <c r="L551" s="2">
        <f>IFERROR(VLOOKUP($D551&amp;$C551,生产方式定位!$A$2:$E$39,2,FALSE)+VLOOKUP($E551&amp;$C551,生产方式定位!$F$3:$J$39,2,FALSE),0)</f>
        <v>20000</v>
      </c>
      <c r="Q551" s="2">
        <f>IFERROR(VLOOKUP($D551&amp;$C551,生产方式定位!$A$2:$E$39,3,FALSE)+VLOOKUP($E551&amp;$C551,生产方式定位!$F$3:$J$39,3,FALSE),0)</f>
        <v>10000</v>
      </c>
      <c r="V551" s="2">
        <f>IFERROR(VLOOKUP($D551&amp;$C551,生产方式定位!$A$2:$E$39,5,FALSE)+VLOOKUP($E551&amp;$C551,生产方式定位!$F$3:$J$39,5,FALSE),"错误")</f>
        <v>15000</v>
      </c>
      <c r="W551" s="3" t="str">
        <f t="shared" si="40"/>
        <v/>
      </c>
      <c r="X551" s="4" t="str">
        <f t="shared" si="41"/>
        <v/>
      </c>
      <c r="Y551" s="4" t="str">
        <f t="shared" si="42"/>
        <v/>
      </c>
      <c r="Z551" s="5">
        <f t="shared" si="43"/>
        <v>1.33</v>
      </c>
      <c r="AA551" s="6">
        <f t="shared" si="44"/>
        <v>1</v>
      </c>
      <c r="AB551" t="str">
        <f>IFERROR(F551&amp;"*"&amp;ROUND(L551*(G551/(G551+I551+K551))/VLOOKUP(F551,商品!$A$4:$D$67,4,FALSE),0),"")</f>
        <v/>
      </c>
      <c r="AC551" t="str">
        <f>IFERROR(H551&amp;"*"&amp;ROUND(L551*(I551/(G551+I551+K551))/VLOOKUP(H551,商品!$A$4:$D$67,4,FALSE),0),"")</f>
        <v/>
      </c>
      <c r="AD551" t="str">
        <f>IFERROR(J551&amp;"*"&amp;ROUND(L551*(K551/(G551+I551+K551))/VLOOKUP(J551,商品!$A$4:$D$67,4,FALSE),0),"")</f>
        <v/>
      </c>
      <c r="AE551" t="str">
        <f>IFERROR(M551&amp;"*"&amp;ROUND(Q551*(N551/(N551+P551))/VLOOKUP(M551,职业!$A$3:$E$16,4,FALSE),0),"")</f>
        <v/>
      </c>
      <c r="AF551" t="str">
        <f>IFERROR(O551&amp;"*"&amp;ROUND(Q551*(P551/(N551+P551))/VLOOKUP(O551,职业!$A$3:$E$16,4,FALSE),0),"")</f>
        <v/>
      </c>
      <c r="AG551" t="str">
        <f>IFERROR(R551&amp;"*"&amp;ROUND(V551*(S551/(S551+U551))/VLOOKUP(R551,商品!$A$4:$D$67,4,FALSE),0),"")</f>
        <v/>
      </c>
      <c r="AH551" t="str">
        <f>IFERROR(T551&amp;"*"&amp;ROUND(V551*(U551/(S551+U551))/VLOOKUP(T551,商品!$A$4:$D$67,4,FALSE),0),"")</f>
        <v/>
      </c>
    </row>
    <row r="552" customHeight="1" spans="1:34">
      <c r="A552" s="14" t="s">
        <v>386</v>
      </c>
      <c r="C552" s="2">
        <v>2</v>
      </c>
      <c r="D552" s="2" t="s">
        <v>247</v>
      </c>
      <c r="E552" s="2" t="s">
        <v>222</v>
      </c>
      <c r="L552" s="2">
        <f>IFERROR(VLOOKUP($D552&amp;$C552,生产方式定位!$A$2:$E$39,2,FALSE)+VLOOKUP($E552&amp;$C552,生产方式定位!$F$3:$J$39,2,FALSE),0)</f>
        <v>18500</v>
      </c>
      <c r="Q552" s="2">
        <f>IFERROR(VLOOKUP($D552&amp;$C552,生产方式定位!$A$2:$E$39,3,FALSE)+VLOOKUP($E552&amp;$C552,生产方式定位!$F$3:$J$39,3,FALSE),0)</f>
        <v>9200</v>
      </c>
      <c r="V552" s="2">
        <f>IFERROR(VLOOKUP($D552&amp;$C552,生产方式定位!$A$2:$E$39,5,FALSE)+VLOOKUP($E552&amp;$C552,生产方式定位!$F$3:$J$39,5,FALSE),"错误")</f>
        <v>13922</v>
      </c>
      <c r="W552" s="3" t="str">
        <f t="shared" si="40"/>
        <v/>
      </c>
      <c r="X552" s="4" t="str">
        <f t="shared" si="41"/>
        <v/>
      </c>
      <c r="Y552" s="4" t="str">
        <f t="shared" si="42"/>
        <v/>
      </c>
      <c r="Z552" s="5">
        <f t="shared" si="43"/>
        <v>1.33</v>
      </c>
      <c r="AA552" s="6">
        <f t="shared" si="44"/>
        <v>2</v>
      </c>
      <c r="AB552" t="str">
        <f>IFERROR(F552&amp;"*"&amp;ROUND(L552*(G552/(G552+I552+K552))/VLOOKUP(F552,商品!$A$4:$D$67,4,FALSE),0),"")</f>
        <v/>
      </c>
      <c r="AC552" t="str">
        <f>IFERROR(H552&amp;"*"&amp;ROUND(L552*(I552/(G552+I552+K552))/VLOOKUP(H552,商品!$A$4:$D$67,4,FALSE),0),"")</f>
        <v/>
      </c>
      <c r="AD552" t="str">
        <f>IFERROR(J552&amp;"*"&amp;ROUND(L552*(K552/(G552+I552+K552))/VLOOKUP(J552,商品!$A$4:$D$67,4,FALSE),0),"")</f>
        <v/>
      </c>
      <c r="AE552" t="str">
        <f>IFERROR(M552&amp;"*"&amp;ROUND(Q552*(N552/(N552+P552))/VLOOKUP(M552,职业!$A$3:$E$16,4,FALSE),0),"")</f>
        <v/>
      </c>
      <c r="AF552" t="str">
        <f>IFERROR(O552&amp;"*"&amp;ROUND(Q552*(P552/(N552+P552))/VLOOKUP(O552,职业!$A$3:$E$16,4,FALSE),0),"")</f>
        <v/>
      </c>
      <c r="AG552" t="str">
        <f>IFERROR(R552&amp;"*"&amp;ROUND(V552*(S552/(S552+U552))/VLOOKUP(R552,商品!$A$4:$D$67,4,FALSE),0),"")</f>
        <v/>
      </c>
      <c r="AH552" t="str">
        <f>IFERROR(T552&amp;"*"&amp;ROUND(V552*(U552/(S552+U552))/VLOOKUP(T552,商品!$A$4:$D$67,4,FALSE),0),"")</f>
        <v/>
      </c>
    </row>
    <row r="553" customHeight="1" spans="1:34">
      <c r="A553" s="15" t="s">
        <v>387</v>
      </c>
      <c r="C553" s="2">
        <v>3</v>
      </c>
      <c r="D553" s="2" t="s">
        <v>247</v>
      </c>
      <c r="E553" s="2" t="s">
        <v>255</v>
      </c>
      <c r="L553" s="2">
        <f>IFERROR(VLOOKUP($D553&amp;$C553,生产方式定位!$A$2:$E$39,2,FALSE)+VLOOKUP($E553&amp;$C553,生产方式定位!$F$3:$J$39,2,FALSE),0)</f>
        <v>15000</v>
      </c>
      <c r="Q553" s="2">
        <f>IFERROR(VLOOKUP($D553&amp;$C553,生产方式定位!$A$2:$E$39,3,FALSE)+VLOOKUP($E553&amp;$C553,生产方式定位!$F$3:$J$39,3,FALSE),0)</f>
        <v>8000</v>
      </c>
      <c r="V553" s="2">
        <f>IFERROR(VLOOKUP($D553&amp;$C553,生产方式定位!$A$2:$E$39,5,FALSE)+VLOOKUP($E553&amp;$C553,生产方式定位!$F$3:$J$39,5,FALSE),"错误")</f>
        <v>11500</v>
      </c>
      <c r="W553" s="3" t="str">
        <f t="shared" si="40"/>
        <v/>
      </c>
      <c r="X553" s="4" t="str">
        <f t="shared" si="41"/>
        <v/>
      </c>
      <c r="Y553" s="4" t="str">
        <f t="shared" si="42"/>
        <v/>
      </c>
      <c r="Z553" s="5">
        <f t="shared" si="43"/>
        <v>1.3</v>
      </c>
      <c r="AA553" s="6">
        <f t="shared" si="44"/>
        <v>3</v>
      </c>
      <c r="AB553" t="str">
        <f>IFERROR(F553&amp;"*"&amp;ROUND(L553*(G553/(G553+I553+K553))/VLOOKUP(F553,商品!$A$4:$D$67,4,FALSE),0),"")</f>
        <v/>
      </c>
      <c r="AC553" t="str">
        <f>IFERROR(H553&amp;"*"&amp;ROUND(L553*(I553/(G553+I553+K553))/VLOOKUP(H553,商品!$A$4:$D$67,4,FALSE),0),"")</f>
        <v/>
      </c>
      <c r="AD553" t="str">
        <f>IFERROR(J553&amp;"*"&amp;ROUND(L553*(K553/(G553+I553+K553))/VLOOKUP(J553,商品!$A$4:$D$67,4,FALSE),0),"")</f>
        <v/>
      </c>
      <c r="AE553" t="str">
        <f>IFERROR(M553&amp;"*"&amp;ROUND(Q553*(N553/(N553+P553))/VLOOKUP(M553,职业!$A$3:$E$16,4,FALSE),0),"")</f>
        <v/>
      </c>
      <c r="AF553" t="str">
        <f>IFERROR(O553&amp;"*"&amp;ROUND(Q553*(P553/(N553+P553))/VLOOKUP(O553,职业!$A$3:$E$16,4,FALSE),0),"")</f>
        <v/>
      </c>
      <c r="AG553" t="str">
        <f>IFERROR(R553&amp;"*"&amp;ROUND(V553*(S553/(S553+U553))/VLOOKUP(R553,商品!$A$4:$D$67,4,FALSE),0),"")</f>
        <v/>
      </c>
      <c r="AH553" t="str">
        <f>IFERROR(T553&amp;"*"&amp;ROUND(V553*(U553/(S553+U553))/VLOOKUP(T553,商品!$A$4:$D$67,4,FALSE),0),"")</f>
        <v/>
      </c>
    </row>
    <row r="554" customHeight="1" spans="1:34">
      <c r="A554" s="15" t="s">
        <v>387</v>
      </c>
      <c r="C554" s="2">
        <v>4</v>
      </c>
      <c r="D554" s="2" t="s">
        <v>247</v>
      </c>
      <c r="E554" s="2" t="s">
        <v>255</v>
      </c>
      <c r="L554" s="2">
        <f>IFERROR(VLOOKUP($D554&amp;$C554,生产方式定位!$A$2:$E$39,2,FALSE)+VLOOKUP($E554&amp;$C554,生产方式定位!$F$3:$J$39,2,FALSE),0)</f>
        <v>12500</v>
      </c>
      <c r="Q554" s="2">
        <f>IFERROR(VLOOKUP($D554&amp;$C554,生产方式定位!$A$2:$E$39,3,FALSE)+VLOOKUP($E554&amp;$C554,生产方式定位!$F$3:$J$39,3,FALSE),0)</f>
        <v>7000</v>
      </c>
      <c r="V554" s="2">
        <f>IFERROR(VLOOKUP($D554&amp;$C554,生产方式定位!$A$2:$E$39,5,FALSE)+VLOOKUP($E554&amp;$C554,生产方式定位!$F$3:$J$39,5,FALSE),"错误")</f>
        <v>9750</v>
      </c>
      <c r="W554" s="3" t="str">
        <f t="shared" si="40"/>
        <v/>
      </c>
      <c r="X554" s="4" t="str">
        <f t="shared" si="41"/>
        <v/>
      </c>
      <c r="Y554" s="4" t="str">
        <f t="shared" si="42"/>
        <v/>
      </c>
      <c r="Z554" s="5">
        <f t="shared" si="43"/>
        <v>1.28</v>
      </c>
      <c r="AA554" s="6">
        <f t="shared" si="44"/>
        <v>4</v>
      </c>
      <c r="AB554" t="str">
        <f>IFERROR(F554&amp;"*"&amp;ROUND(L554*(G554/(G554+I554+K554))/VLOOKUP(F554,商品!$A$4:$D$67,4,FALSE),0),"")</f>
        <v/>
      </c>
      <c r="AC554" t="str">
        <f>IFERROR(H554&amp;"*"&amp;ROUND(L554*(I554/(G554+I554+K554))/VLOOKUP(H554,商品!$A$4:$D$67,4,FALSE),0),"")</f>
        <v/>
      </c>
      <c r="AD554" t="str">
        <f>IFERROR(J554&amp;"*"&amp;ROUND(L554*(K554/(G554+I554+K554))/VLOOKUP(J554,商品!$A$4:$D$67,4,FALSE),0),"")</f>
        <v/>
      </c>
      <c r="AE554" t="str">
        <f>IFERROR(M554&amp;"*"&amp;ROUND(Q554*(N554/(N554+P554))/VLOOKUP(M554,职业!$A$3:$E$16,4,FALSE),0),"")</f>
        <v/>
      </c>
      <c r="AF554" t="str">
        <f>IFERROR(O554&amp;"*"&amp;ROUND(Q554*(P554/(N554+P554))/VLOOKUP(O554,职业!$A$3:$E$16,4,FALSE),0),"")</f>
        <v/>
      </c>
      <c r="AG554" t="str">
        <f>IFERROR(R554&amp;"*"&amp;ROUND(V554*(S554/(S554+U554))/VLOOKUP(R554,商品!$A$4:$D$67,4,FALSE),0),"")</f>
        <v/>
      </c>
      <c r="AH554" t="str">
        <f>IFERROR(T554&amp;"*"&amp;ROUND(V554*(U554/(S554+U554))/VLOOKUP(T554,商品!$A$4:$D$67,4,FALSE),0),"")</f>
        <v/>
      </c>
    </row>
    <row r="555" customHeight="1" spans="1:34">
      <c r="A555" s="15" t="s">
        <v>387</v>
      </c>
      <c r="C555" s="2">
        <v>5</v>
      </c>
      <c r="D555" s="2" t="s">
        <v>247</v>
      </c>
      <c r="E555" s="2" t="s">
        <v>255</v>
      </c>
      <c r="L555" s="2">
        <f>IFERROR(VLOOKUP($D555&amp;$C555,生产方式定位!$A$2:$E$39,2,FALSE)+VLOOKUP($E555&amp;$C555,生产方式定位!$F$3:$J$39,2,FALSE),0)</f>
        <v>0</v>
      </c>
      <c r="Q555" s="2">
        <f>IFERROR(VLOOKUP($D555&amp;$C555,生产方式定位!$A$2:$E$39,3,FALSE)+VLOOKUP($E555&amp;$C555,生产方式定位!$F$3:$J$39,3,FALSE),0)</f>
        <v>0</v>
      </c>
      <c r="V555" s="2" t="str">
        <f>IFERROR(VLOOKUP($D555&amp;$C555,生产方式定位!$A$2:$E$39,5,FALSE)+VLOOKUP($E555&amp;$C555,生产方式定位!$F$3:$J$39,5,FALSE),"错误")</f>
        <v>错误</v>
      </c>
      <c r="W555" s="3" t="str">
        <f t="shared" si="40"/>
        <v/>
      </c>
      <c r="X555" s="4" t="str">
        <f t="shared" si="41"/>
        <v/>
      </c>
      <c r="Y555" s="4" t="str">
        <f t="shared" si="42"/>
        <v/>
      </c>
      <c r="Z555" s="5" t="str">
        <f t="shared" si="43"/>
        <v/>
      </c>
      <c r="AA555" s="6">
        <f t="shared" si="44"/>
        <v>5</v>
      </c>
      <c r="AB555" t="str">
        <f>IFERROR(F555&amp;"*"&amp;ROUND(L555*(G555/(G555+I555+K555))/VLOOKUP(F555,商品!$A$4:$D$67,4,FALSE),0),"")</f>
        <v/>
      </c>
      <c r="AC555" t="str">
        <f>IFERROR(H555&amp;"*"&amp;ROUND(L555*(I555/(G555+I555+K555))/VLOOKUP(H555,商品!$A$4:$D$67,4,FALSE),0),"")</f>
        <v/>
      </c>
      <c r="AD555" t="str">
        <f>IFERROR(J555&amp;"*"&amp;ROUND(L555*(K555/(G555+I555+K555))/VLOOKUP(J555,商品!$A$4:$D$67,4,FALSE),0),"")</f>
        <v/>
      </c>
      <c r="AE555" t="str">
        <f>IFERROR(M555&amp;"*"&amp;ROUND(Q555*(N555/(N555+P555))/VLOOKUP(M555,职业!$A$3:$E$16,4,FALSE),0),"")</f>
        <v/>
      </c>
      <c r="AF555" t="str">
        <f>IFERROR(O555&amp;"*"&amp;ROUND(Q555*(P555/(N555+P555))/VLOOKUP(O555,职业!$A$3:$E$16,4,FALSE),0),"")</f>
        <v/>
      </c>
      <c r="AG555" t="str">
        <f>IFERROR(R555&amp;"*"&amp;ROUND(V555*(S555/(S555+U555))/VLOOKUP(R555,商品!$A$4:$D$67,4,FALSE),0),"")</f>
        <v/>
      </c>
      <c r="AH555" t="str">
        <f>IFERROR(T555&amp;"*"&amp;ROUND(V555*(U555/(S555+U555))/VLOOKUP(T555,商品!$A$4:$D$67,4,FALSE),0),"")</f>
        <v/>
      </c>
    </row>
    <row r="556" customHeight="1" spans="1:34">
      <c r="A556" s="15" t="s">
        <v>387</v>
      </c>
      <c r="C556" s="2">
        <v>1</v>
      </c>
      <c r="D556" s="2" t="s">
        <v>247</v>
      </c>
      <c r="E556" s="2" t="s">
        <v>255</v>
      </c>
      <c r="L556" s="2">
        <f>IFERROR(VLOOKUP($D556&amp;$C556,生产方式定位!$A$2:$E$39,2,FALSE)+VLOOKUP($E556&amp;$C556,生产方式定位!$F$3:$J$39,2,FALSE),0)</f>
        <v>20000</v>
      </c>
      <c r="Q556" s="2">
        <f>IFERROR(VLOOKUP($D556&amp;$C556,生产方式定位!$A$2:$E$39,3,FALSE)+VLOOKUP($E556&amp;$C556,生产方式定位!$F$3:$J$39,3,FALSE),0)</f>
        <v>10000</v>
      </c>
      <c r="V556" s="2">
        <f>IFERROR(VLOOKUP($D556&amp;$C556,生产方式定位!$A$2:$E$39,5,FALSE)+VLOOKUP($E556&amp;$C556,生产方式定位!$F$3:$J$39,5,FALSE),"错误")</f>
        <v>15000</v>
      </c>
      <c r="W556" s="3" t="str">
        <f t="shared" si="40"/>
        <v/>
      </c>
      <c r="X556" s="4" t="str">
        <f t="shared" si="41"/>
        <v/>
      </c>
      <c r="Y556" s="4" t="str">
        <f t="shared" si="42"/>
        <v/>
      </c>
      <c r="Z556" s="5">
        <f t="shared" si="43"/>
        <v>1.33</v>
      </c>
      <c r="AA556" s="6">
        <f t="shared" si="44"/>
        <v>1</v>
      </c>
      <c r="AB556" t="str">
        <f>IFERROR(F556&amp;"*"&amp;ROUND(L556*(G556/(G556+I556+K556))/VLOOKUP(F556,商品!$A$4:$D$67,4,FALSE),0),"")</f>
        <v/>
      </c>
      <c r="AC556" t="str">
        <f>IFERROR(H556&amp;"*"&amp;ROUND(L556*(I556/(G556+I556+K556))/VLOOKUP(H556,商品!$A$4:$D$67,4,FALSE),0),"")</f>
        <v/>
      </c>
      <c r="AD556" t="str">
        <f>IFERROR(J556&amp;"*"&amp;ROUND(L556*(K556/(G556+I556+K556))/VLOOKUP(J556,商品!$A$4:$D$67,4,FALSE),0),"")</f>
        <v/>
      </c>
      <c r="AE556" t="str">
        <f>IFERROR(M556&amp;"*"&amp;ROUND(Q556*(N556/(N556+P556))/VLOOKUP(M556,职业!$A$3:$E$16,4,FALSE),0),"")</f>
        <v/>
      </c>
      <c r="AF556" t="str">
        <f>IFERROR(O556&amp;"*"&amp;ROUND(Q556*(P556/(N556+P556))/VLOOKUP(O556,职业!$A$3:$E$16,4,FALSE),0),"")</f>
        <v/>
      </c>
      <c r="AG556" t="str">
        <f>IFERROR(R556&amp;"*"&amp;ROUND(V556*(S556/(S556+U556))/VLOOKUP(R556,商品!$A$4:$D$67,4,FALSE),0),"")</f>
        <v/>
      </c>
      <c r="AH556" t="str">
        <f>IFERROR(T556&amp;"*"&amp;ROUND(V556*(U556/(S556+U556))/VLOOKUP(T556,商品!$A$4:$D$67,4,FALSE),0),"")</f>
        <v/>
      </c>
    </row>
    <row r="557" customHeight="1" spans="1:34">
      <c r="A557" s="15" t="s">
        <v>387</v>
      </c>
      <c r="C557" s="2">
        <v>2</v>
      </c>
      <c r="D557" s="2" t="s">
        <v>247</v>
      </c>
      <c r="E557" s="2" t="s">
        <v>255</v>
      </c>
      <c r="L557" s="2">
        <f>IFERROR(VLOOKUP($D557&amp;$C557,生产方式定位!$A$2:$E$39,2,FALSE)+VLOOKUP($E557&amp;$C557,生产方式定位!$F$3:$J$39,2,FALSE),0)</f>
        <v>17500</v>
      </c>
      <c r="Q557" s="2">
        <f>IFERROR(VLOOKUP($D557&amp;$C557,生产方式定位!$A$2:$E$39,3,FALSE)+VLOOKUP($E557&amp;$C557,生产方式定位!$F$3:$J$39,3,FALSE),0)</f>
        <v>9000</v>
      </c>
      <c r="V557" s="2">
        <f>IFERROR(VLOOKUP($D557&amp;$C557,生产方式定位!$A$2:$E$39,5,FALSE)+VLOOKUP($E557&amp;$C557,生产方式定位!$F$3:$J$39,5,FALSE),"错误")</f>
        <v>13250</v>
      </c>
      <c r="W557" s="3" t="str">
        <f t="shared" si="40"/>
        <v/>
      </c>
      <c r="X557" s="4" t="str">
        <f t="shared" si="41"/>
        <v/>
      </c>
      <c r="Y557" s="4" t="str">
        <f t="shared" si="42"/>
        <v/>
      </c>
      <c r="Z557" s="5">
        <f t="shared" si="43"/>
        <v>1.32</v>
      </c>
      <c r="AA557" s="6">
        <f t="shared" si="44"/>
        <v>2</v>
      </c>
      <c r="AB557" t="str">
        <f>IFERROR(F557&amp;"*"&amp;ROUND(L557*(G557/(G557+I557+K557))/VLOOKUP(F557,商品!$A$4:$D$67,4,FALSE),0),"")</f>
        <v/>
      </c>
      <c r="AC557" t="str">
        <f>IFERROR(H557&amp;"*"&amp;ROUND(L557*(I557/(G557+I557+K557))/VLOOKUP(H557,商品!$A$4:$D$67,4,FALSE),0),"")</f>
        <v/>
      </c>
      <c r="AD557" t="str">
        <f>IFERROR(J557&amp;"*"&amp;ROUND(L557*(K557/(G557+I557+K557))/VLOOKUP(J557,商品!$A$4:$D$67,4,FALSE),0),"")</f>
        <v/>
      </c>
      <c r="AE557" t="str">
        <f>IFERROR(M557&amp;"*"&amp;ROUND(Q557*(N557/(N557+P557))/VLOOKUP(M557,职业!$A$3:$E$16,4,FALSE),0),"")</f>
        <v/>
      </c>
      <c r="AF557" t="str">
        <f>IFERROR(O557&amp;"*"&amp;ROUND(Q557*(P557/(N557+P557))/VLOOKUP(O557,职业!$A$3:$E$16,4,FALSE),0),"")</f>
        <v/>
      </c>
      <c r="AG557" t="str">
        <f>IFERROR(R557&amp;"*"&amp;ROUND(V557*(S557/(S557+U557))/VLOOKUP(R557,商品!$A$4:$D$67,4,FALSE),0),"")</f>
        <v/>
      </c>
      <c r="AH557" t="str">
        <f>IFERROR(T557&amp;"*"&amp;ROUND(V557*(U557/(S557+U557))/VLOOKUP(T557,商品!$A$4:$D$67,4,FALSE),0),"")</f>
        <v/>
      </c>
    </row>
    <row r="558" customHeight="1" spans="1:34">
      <c r="A558" s="14" t="s">
        <v>388</v>
      </c>
      <c r="C558" s="2">
        <v>3</v>
      </c>
      <c r="D558" s="2" t="s">
        <v>247</v>
      </c>
      <c r="E558" s="2" t="s">
        <v>225</v>
      </c>
      <c r="L558" s="2">
        <f>IFERROR(VLOOKUP($D558&amp;$C558,生产方式定位!$A$2:$E$39,2,FALSE)+VLOOKUP($E558&amp;$C558,生产方式定位!$F$3:$J$39,2,FALSE),0)</f>
        <v>15000</v>
      </c>
      <c r="Q558" s="2">
        <f>IFERROR(VLOOKUP($D558&amp;$C558,生产方式定位!$A$2:$E$39,3,FALSE)+VLOOKUP($E558&amp;$C558,生产方式定位!$F$3:$J$39,3,FALSE),0)</f>
        <v>8000</v>
      </c>
      <c r="V558" s="2">
        <f>IFERROR(VLOOKUP($D558&amp;$C558,生产方式定位!$A$2:$E$39,5,FALSE)+VLOOKUP($E558&amp;$C558,生产方式定位!$F$3:$J$39,5,FALSE),"错误")</f>
        <v>11500</v>
      </c>
      <c r="W558" s="3" t="str">
        <f t="shared" si="40"/>
        <v/>
      </c>
      <c r="X558" s="4" t="str">
        <f t="shared" si="41"/>
        <v/>
      </c>
      <c r="Y558" s="4" t="str">
        <f t="shared" si="42"/>
        <v/>
      </c>
      <c r="Z558" s="5">
        <f t="shared" si="43"/>
        <v>1.3</v>
      </c>
      <c r="AA558" s="6">
        <f t="shared" si="44"/>
        <v>3</v>
      </c>
      <c r="AB558" t="str">
        <f>IFERROR(F558&amp;"*"&amp;ROUND(L558*(G558/(G558+I558+K558))/VLOOKUP(F558,商品!$A$4:$D$67,4,FALSE),0),"")</f>
        <v/>
      </c>
      <c r="AC558" t="str">
        <f>IFERROR(H558&amp;"*"&amp;ROUND(L558*(I558/(G558+I558+K558))/VLOOKUP(H558,商品!$A$4:$D$67,4,FALSE),0),"")</f>
        <v/>
      </c>
      <c r="AD558" t="str">
        <f>IFERROR(J558&amp;"*"&amp;ROUND(L558*(K558/(G558+I558+K558))/VLOOKUP(J558,商品!$A$4:$D$67,4,FALSE),0),"")</f>
        <v/>
      </c>
      <c r="AE558" t="str">
        <f>IFERROR(M558&amp;"*"&amp;ROUND(Q558*(N558/(N558+P558))/VLOOKUP(M558,职业!$A$3:$E$16,4,FALSE),0),"")</f>
        <v/>
      </c>
      <c r="AF558" t="str">
        <f>IFERROR(O558&amp;"*"&amp;ROUND(Q558*(P558/(N558+P558))/VLOOKUP(O558,职业!$A$3:$E$16,4,FALSE),0),"")</f>
        <v/>
      </c>
      <c r="AG558" t="str">
        <f>IFERROR(R558&amp;"*"&amp;ROUND(V558*(S558/(S558+U558))/VLOOKUP(R558,商品!$A$4:$D$67,4,FALSE),0),"")</f>
        <v/>
      </c>
      <c r="AH558" t="str">
        <f>IFERROR(T558&amp;"*"&amp;ROUND(V558*(U558/(S558+U558))/VLOOKUP(T558,商品!$A$4:$D$67,4,FALSE),0),"")</f>
        <v/>
      </c>
    </row>
    <row r="559" customHeight="1" spans="1:34">
      <c r="A559" s="14" t="s">
        <v>388</v>
      </c>
      <c r="C559" s="2">
        <v>4</v>
      </c>
      <c r="D559" s="2" t="s">
        <v>247</v>
      </c>
      <c r="E559" s="2" t="s">
        <v>225</v>
      </c>
      <c r="L559" s="2">
        <f>IFERROR(VLOOKUP($D559&amp;$C559,生产方式定位!$A$2:$E$39,2,FALSE)+VLOOKUP($E559&amp;$C559,生产方式定位!$F$3:$J$39,2,FALSE),0)</f>
        <v>12500</v>
      </c>
      <c r="Q559" s="2">
        <f>IFERROR(VLOOKUP($D559&amp;$C559,生产方式定位!$A$2:$E$39,3,FALSE)+VLOOKUP($E559&amp;$C559,生产方式定位!$F$3:$J$39,3,FALSE),0)</f>
        <v>7000</v>
      </c>
      <c r="V559" s="2">
        <f>IFERROR(VLOOKUP($D559&amp;$C559,生产方式定位!$A$2:$E$39,5,FALSE)+VLOOKUP($E559&amp;$C559,生产方式定位!$F$3:$J$39,5,FALSE),"错误")</f>
        <v>9750</v>
      </c>
      <c r="W559" s="3" t="str">
        <f t="shared" si="40"/>
        <v/>
      </c>
      <c r="X559" s="4" t="str">
        <f t="shared" si="41"/>
        <v/>
      </c>
      <c r="Y559" s="4" t="str">
        <f t="shared" si="42"/>
        <v/>
      </c>
      <c r="Z559" s="5">
        <f t="shared" si="43"/>
        <v>1.28</v>
      </c>
      <c r="AA559" s="6">
        <f t="shared" si="44"/>
        <v>4</v>
      </c>
      <c r="AB559" t="str">
        <f>IFERROR(F559&amp;"*"&amp;ROUND(L559*(G559/(G559+I559+K559))/VLOOKUP(F559,商品!$A$4:$D$67,4,FALSE),0),"")</f>
        <v/>
      </c>
      <c r="AC559" t="str">
        <f>IFERROR(H559&amp;"*"&amp;ROUND(L559*(I559/(G559+I559+K559))/VLOOKUP(H559,商品!$A$4:$D$67,4,FALSE),0),"")</f>
        <v/>
      </c>
      <c r="AD559" t="str">
        <f>IFERROR(J559&amp;"*"&amp;ROUND(L559*(K559/(G559+I559+K559))/VLOOKUP(J559,商品!$A$4:$D$67,4,FALSE),0),"")</f>
        <v/>
      </c>
      <c r="AE559" t="str">
        <f>IFERROR(M559&amp;"*"&amp;ROUND(Q559*(N559/(N559+P559))/VLOOKUP(M559,职业!$A$3:$E$16,4,FALSE),0),"")</f>
        <v/>
      </c>
      <c r="AF559" t="str">
        <f>IFERROR(O559&amp;"*"&amp;ROUND(Q559*(P559/(N559+P559))/VLOOKUP(O559,职业!$A$3:$E$16,4,FALSE),0),"")</f>
        <v/>
      </c>
      <c r="AG559" t="str">
        <f>IFERROR(R559&amp;"*"&amp;ROUND(V559*(S559/(S559+U559))/VLOOKUP(R559,商品!$A$4:$D$67,4,FALSE),0),"")</f>
        <v/>
      </c>
      <c r="AH559" t="str">
        <f>IFERROR(T559&amp;"*"&amp;ROUND(V559*(U559/(S559+U559))/VLOOKUP(T559,商品!$A$4:$D$67,4,FALSE),0),"")</f>
        <v/>
      </c>
    </row>
    <row r="560" customHeight="1" spans="1:34">
      <c r="A560" s="14" t="s">
        <v>388</v>
      </c>
      <c r="C560" s="2">
        <v>5</v>
      </c>
      <c r="D560" s="2" t="s">
        <v>247</v>
      </c>
      <c r="E560" s="2" t="s">
        <v>225</v>
      </c>
      <c r="L560" s="2">
        <f>IFERROR(VLOOKUP($D560&amp;$C560,生产方式定位!$A$2:$E$39,2,FALSE)+VLOOKUP($E560&amp;$C560,生产方式定位!$F$3:$J$39,2,FALSE),0)</f>
        <v>10000</v>
      </c>
      <c r="Q560" s="2">
        <f>IFERROR(VLOOKUP($D560&amp;$C560,生产方式定位!$A$2:$E$39,3,FALSE)+VLOOKUP($E560&amp;$C560,生产方式定位!$F$3:$J$39,3,FALSE),0)</f>
        <v>6000</v>
      </c>
      <c r="V560" s="2">
        <f>IFERROR(VLOOKUP($D560&amp;$C560,生产方式定位!$A$2:$E$39,5,FALSE)+VLOOKUP($E560&amp;$C560,生产方式定位!$F$3:$J$39,5,FALSE),"错误")</f>
        <v>8000</v>
      </c>
      <c r="W560" s="3" t="str">
        <f t="shared" si="40"/>
        <v/>
      </c>
      <c r="X560" s="4" t="str">
        <f t="shared" si="41"/>
        <v/>
      </c>
      <c r="Y560" s="4" t="str">
        <f t="shared" si="42"/>
        <v/>
      </c>
      <c r="Z560" s="5">
        <f t="shared" si="43"/>
        <v>1.25</v>
      </c>
      <c r="AA560" s="6">
        <f t="shared" si="44"/>
        <v>5</v>
      </c>
      <c r="AB560" t="str">
        <f>IFERROR(F560&amp;"*"&amp;ROUND(L560*(G560/(G560+I560+K560))/VLOOKUP(F560,商品!$A$4:$D$67,4,FALSE),0),"")</f>
        <v/>
      </c>
      <c r="AC560" t="str">
        <f>IFERROR(H560&amp;"*"&amp;ROUND(L560*(I560/(G560+I560+K560))/VLOOKUP(H560,商品!$A$4:$D$67,4,FALSE),0),"")</f>
        <v/>
      </c>
      <c r="AD560" t="str">
        <f>IFERROR(J560&amp;"*"&amp;ROUND(L560*(K560/(G560+I560+K560))/VLOOKUP(J560,商品!$A$4:$D$67,4,FALSE),0),"")</f>
        <v/>
      </c>
      <c r="AE560" t="str">
        <f>IFERROR(M560&amp;"*"&amp;ROUND(Q560*(N560/(N560+P560))/VLOOKUP(M560,职业!$A$3:$E$16,4,FALSE),0),"")</f>
        <v/>
      </c>
      <c r="AF560" t="str">
        <f>IFERROR(O560&amp;"*"&amp;ROUND(Q560*(P560/(N560+P560))/VLOOKUP(O560,职业!$A$3:$E$16,4,FALSE),0),"")</f>
        <v/>
      </c>
      <c r="AG560" t="str">
        <f>IFERROR(R560&amp;"*"&amp;ROUND(V560*(S560/(S560+U560))/VLOOKUP(R560,商品!$A$4:$D$67,4,FALSE),0),"")</f>
        <v/>
      </c>
      <c r="AH560" t="str">
        <f>IFERROR(T560&amp;"*"&amp;ROUND(V560*(U560/(S560+U560))/VLOOKUP(T560,商品!$A$4:$D$67,4,FALSE),0),"")</f>
        <v/>
      </c>
    </row>
    <row r="561" customHeight="1" spans="1:34">
      <c r="A561" s="14" t="s">
        <v>388</v>
      </c>
      <c r="C561" s="2">
        <v>1</v>
      </c>
      <c r="D561" s="2" t="s">
        <v>247</v>
      </c>
      <c r="E561" s="2" t="s">
        <v>225</v>
      </c>
      <c r="L561" s="2">
        <f>IFERROR(VLOOKUP($D561&amp;$C561,生产方式定位!$A$2:$E$39,2,FALSE)+VLOOKUP($E561&amp;$C561,生产方式定位!$F$3:$J$39,2,FALSE),0)</f>
        <v>20000</v>
      </c>
      <c r="Q561" s="2">
        <f>IFERROR(VLOOKUP($D561&amp;$C561,生产方式定位!$A$2:$E$39,3,FALSE)+VLOOKUP($E561&amp;$C561,生产方式定位!$F$3:$J$39,3,FALSE),0)</f>
        <v>10000</v>
      </c>
      <c r="V561" s="2">
        <f>IFERROR(VLOOKUP($D561&amp;$C561,生产方式定位!$A$2:$E$39,5,FALSE)+VLOOKUP($E561&amp;$C561,生产方式定位!$F$3:$J$39,5,FALSE),"错误")</f>
        <v>15000</v>
      </c>
      <c r="W561" s="3" t="str">
        <f t="shared" si="40"/>
        <v/>
      </c>
      <c r="X561" s="4" t="str">
        <f t="shared" si="41"/>
        <v/>
      </c>
      <c r="Y561" s="4" t="str">
        <f t="shared" si="42"/>
        <v/>
      </c>
      <c r="Z561" s="5">
        <f t="shared" si="43"/>
        <v>1.33</v>
      </c>
      <c r="AA561" s="6">
        <f t="shared" si="44"/>
        <v>1</v>
      </c>
      <c r="AB561" t="str">
        <f>IFERROR(F561&amp;"*"&amp;ROUND(L561*(G561/(G561+I561+K561))/VLOOKUP(F561,商品!$A$4:$D$67,4,FALSE),0),"")</f>
        <v/>
      </c>
      <c r="AC561" t="str">
        <f>IFERROR(H561&amp;"*"&amp;ROUND(L561*(I561/(G561+I561+K561))/VLOOKUP(H561,商品!$A$4:$D$67,4,FALSE),0),"")</f>
        <v/>
      </c>
      <c r="AD561" t="str">
        <f>IFERROR(J561&amp;"*"&amp;ROUND(L561*(K561/(G561+I561+K561))/VLOOKUP(J561,商品!$A$4:$D$67,4,FALSE),0),"")</f>
        <v/>
      </c>
      <c r="AE561" t="str">
        <f>IFERROR(M561&amp;"*"&amp;ROUND(Q561*(N561/(N561+P561))/VLOOKUP(M561,职业!$A$3:$E$16,4,FALSE),0),"")</f>
        <v/>
      </c>
      <c r="AF561" t="str">
        <f>IFERROR(O561&amp;"*"&amp;ROUND(Q561*(P561/(N561+P561))/VLOOKUP(O561,职业!$A$3:$E$16,4,FALSE),0),"")</f>
        <v/>
      </c>
      <c r="AG561" t="str">
        <f>IFERROR(R561&amp;"*"&amp;ROUND(V561*(S561/(S561+U561))/VLOOKUP(R561,商品!$A$4:$D$67,4,FALSE),0),"")</f>
        <v/>
      </c>
      <c r="AH561" t="str">
        <f>IFERROR(T561&amp;"*"&amp;ROUND(V561*(U561/(S561+U561))/VLOOKUP(T561,商品!$A$4:$D$67,4,FALSE),0),"")</f>
        <v/>
      </c>
    </row>
    <row r="562" customHeight="1" spans="1:34">
      <c r="A562" s="14" t="s">
        <v>388</v>
      </c>
      <c r="C562" s="2">
        <v>2</v>
      </c>
      <c r="D562" s="2" t="s">
        <v>247</v>
      </c>
      <c r="E562" s="2" t="s">
        <v>225</v>
      </c>
      <c r="L562" s="2">
        <f>IFERROR(VLOOKUP($D562&amp;$C562,生产方式定位!$A$2:$E$39,2,FALSE)+VLOOKUP($E562&amp;$C562,生产方式定位!$F$3:$J$39,2,FALSE),0)</f>
        <v>17500</v>
      </c>
      <c r="Q562" s="2">
        <f>IFERROR(VLOOKUP($D562&amp;$C562,生产方式定位!$A$2:$E$39,3,FALSE)+VLOOKUP($E562&amp;$C562,生产方式定位!$F$3:$J$39,3,FALSE),0)</f>
        <v>9000</v>
      </c>
      <c r="V562" s="2">
        <f>IFERROR(VLOOKUP($D562&amp;$C562,生产方式定位!$A$2:$E$39,5,FALSE)+VLOOKUP($E562&amp;$C562,生产方式定位!$F$3:$J$39,5,FALSE),"错误")</f>
        <v>13250</v>
      </c>
      <c r="W562" s="3" t="str">
        <f t="shared" si="40"/>
        <v/>
      </c>
      <c r="X562" s="4" t="str">
        <f t="shared" si="41"/>
        <v/>
      </c>
      <c r="Y562" s="4" t="str">
        <f t="shared" si="42"/>
        <v/>
      </c>
      <c r="Z562" s="5">
        <f t="shared" si="43"/>
        <v>1.32</v>
      </c>
      <c r="AA562" s="6">
        <f t="shared" si="44"/>
        <v>2</v>
      </c>
      <c r="AB562" t="str">
        <f>IFERROR(F562&amp;"*"&amp;ROUND(L562*(G562/(G562+I562+K562))/VLOOKUP(F562,商品!$A$4:$D$67,4,FALSE),0),"")</f>
        <v/>
      </c>
      <c r="AC562" t="str">
        <f>IFERROR(H562&amp;"*"&amp;ROUND(L562*(I562/(G562+I562+K562))/VLOOKUP(H562,商品!$A$4:$D$67,4,FALSE),0),"")</f>
        <v/>
      </c>
      <c r="AD562" t="str">
        <f>IFERROR(J562&amp;"*"&amp;ROUND(L562*(K562/(G562+I562+K562))/VLOOKUP(J562,商品!$A$4:$D$67,4,FALSE),0),"")</f>
        <v/>
      </c>
      <c r="AE562" t="str">
        <f>IFERROR(M562&amp;"*"&amp;ROUND(Q562*(N562/(N562+P562))/VLOOKUP(M562,职业!$A$3:$E$16,4,FALSE),0),"")</f>
        <v/>
      </c>
      <c r="AF562" t="str">
        <f>IFERROR(O562&amp;"*"&amp;ROUND(Q562*(P562/(N562+P562))/VLOOKUP(O562,职业!$A$3:$E$16,4,FALSE),0),"")</f>
        <v/>
      </c>
      <c r="AG562" t="str">
        <f>IFERROR(R562&amp;"*"&amp;ROUND(V562*(S562/(S562+U562))/VLOOKUP(R562,商品!$A$4:$D$67,4,FALSE),0),"")</f>
        <v/>
      </c>
      <c r="AH562" t="str">
        <f>IFERROR(T562&amp;"*"&amp;ROUND(V562*(U562/(S562+U562))/VLOOKUP(T562,商品!$A$4:$D$67,4,FALSE),0),"")</f>
        <v/>
      </c>
    </row>
    <row r="563" customHeight="1" spans="1:34">
      <c r="A563" s="14" t="s">
        <v>388</v>
      </c>
      <c r="C563" s="2">
        <v>3</v>
      </c>
      <c r="D563" s="2" t="s">
        <v>247</v>
      </c>
      <c r="E563" s="2" t="s">
        <v>225</v>
      </c>
      <c r="L563" s="2">
        <f>IFERROR(VLOOKUP($D563&amp;$C563,生产方式定位!$A$2:$E$39,2,FALSE)+VLOOKUP($E563&amp;$C563,生产方式定位!$F$3:$J$39,2,FALSE),0)</f>
        <v>15000</v>
      </c>
      <c r="Q563" s="2">
        <f>IFERROR(VLOOKUP($D563&amp;$C563,生产方式定位!$A$2:$E$39,3,FALSE)+VLOOKUP($E563&amp;$C563,生产方式定位!$F$3:$J$39,3,FALSE),0)</f>
        <v>8000</v>
      </c>
      <c r="V563" s="2">
        <f>IFERROR(VLOOKUP($D563&amp;$C563,生产方式定位!$A$2:$E$39,5,FALSE)+VLOOKUP($E563&amp;$C563,生产方式定位!$F$3:$J$39,5,FALSE),"错误")</f>
        <v>11500</v>
      </c>
      <c r="W563" s="3" t="str">
        <f t="shared" si="40"/>
        <v/>
      </c>
      <c r="X563" s="4" t="str">
        <f t="shared" si="41"/>
        <v/>
      </c>
      <c r="Y563" s="4" t="str">
        <f t="shared" si="42"/>
        <v/>
      </c>
      <c r="Z563" s="5">
        <f t="shared" si="43"/>
        <v>1.3</v>
      </c>
      <c r="AA563" s="6">
        <f t="shared" si="44"/>
        <v>3</v>
      </c>
      <c r="AB563" t="str">
        <f>IFERROR(F563&amp;"*"&amp;ROUND(L563*(G563/(G563+I563+K563))/VLOOKUP(F563,商品!$A$4:$D$67,4,FALSE),0),"")</f>
        <v/>
      </c>
      <c r="AC563" t="str">
        <f>IFERROR(H563&amp;"*"&amp;ROUND(L563*(I563/(G563+I563+K563))/VLOOKUP(H563,商品!$A$4:$D$67,4,FALSE),0),"")</f>
        <v/>
      </c>
      <c r="AD563" t="str">
        <f>IFERROR(J563&amp;"*"&amp;ROUND(L563*(K563/(G563+I563+K563))/VLOOKUP(J563,商品!$A$4:$D$67,4,FALSE),0),"")</f>
        <v/>
      </c>
      <c r="AE563" t="str">
        <f>IFERROR(M563&amp;"*"&amp;ROUND(Q563*(N563/(N563+P563))/VLOOKUP(M563,职业!$A$3:$E$16,4,FALSE),0),"")</f>
        <v/>
      </c>
      <c r="AF563" t="str">
        <f>IFERROR(O563&amp;"*"&amp;ROUND(Q563*(P563/(N563+P563))/VLOOKUP(O563,职业!$A$3:$E$16,4,FALSE),0),"")</f>
        <v/>
      </c>
      <c r="AG563" t="str">
        <f>IFERROR(R563&amp;"*"&amp;ROUND(V563*(S563/(S563+U563))/VLOOKUP(R563,商品!$A$4:$D$67,4,FALSE),0),"")</f>
        <v/>
      </c>
      <c r="AH563" t="str">
        <f>IFERROR(T563&amp;"*"&amp;ROUND(V563*(U563/(S563+U563))/VLOOKUP(T563,商品!$A$4:$D$67,4,FALSE),0),"")</f>
        <v/>
      </c>
    </row>
    <row r="564" customHeight="1" spans="1:34">
      <c r="A564" s="14" t="s">
        <v>388</v>
      </c>
      <c r="C564" s="2">
        <v>4</v>
      </c>
      <c r="D564" s="2" t="s">
        <v>247</v>
      </c>
      <c r="E564" s="2" t="s">
        <v>225</v>
      </c>
      <c r="L564" s="2">
        <f>IFERROR(VLOOKUP($D564&amp;$C564,生产方式定位!$A$2:$E$39,2,FALSE)+VLOOKUP($E564&amp;$C564,生产方式定位!$F$3:$J$39,2,FALSE),0)</f>
        <v>12500</v>
      </c>
      <c r="Q564" s="2">
        <f>IFERROR(VLOOKUP($D564&amp;$C564,生产方式定位!$A$2:$E$39,3,FALSE)+VLOOKUP($E564&amp;$C564,生产方式定位!$F$3:$J$39,3,FALSE),0)</f>
        <v>7000</v>
      </c>
      <c r="V564" s="2">
        <f>IFERROR(VLOOKUP($D564&amp;$C564,生产方式定位!$A$2:$E$39,5,FALSE)+VLOOKUP($E564&amp;$C564,生产方式定位!$F$3:$J$39,5,FALSE),"错误")</f>
        <v>9750</v>
      </c>
      <c r="W564" s="3" t="str">
        <f t="shared" si="40"/>
        <v/>
      </c>
      <c r="X564" s="4" t="str">
        <f t="shared" si="41"/>
        <v/>
      </c>
      <c r="Y564" s="4" t="str">
        <f t="shared" si="42"/>
        <v/>
      </c>
      <c r="Z564" s="5">
        <f t="shared" si="43"/>
        <v>1.28</v>
      </c>
      <c r="AA564" s="6">
        <f t="shared" si="44"/>
        <v>4</v>
      </c>
      <c r="AB564" t="str">
        <f>IFERROR(F564&amp;"*"&amp;ROUND(L564*(G564/(G564+I564+K564))/VLOOKUP(F564,商品!$A$4:$D$67,4,FALSE),0),"")</f>
        <v/>
      </c>
      <c r="AC564" t="str">
        <f>IFERROR(H564&amp;"*"&amp;ROUND(L564*(I564/(G564+I564+K564))/VLOOKUP(H564,商品!$A$4:$D$67,4,FALSE),0),"")</f>
        <v/>
      </c>
      <c r="AD564" t="str">
        <f>IFERROR(J564&amp;"*"&amp;ROUND(L564*(K564/(G564+I564+K564))/VLOOKUP(J564,商品!$A$4:$D$67,4,FALSE),0),"")</f>
        <v/>
      </c>
      <c r="AE564" t="str">
        <f>IFERROR(M564&amp;"*"&amp;ROUND(Q564*(N564/(N564+P564))/VLOOKUP(M564,职业!$A$3:$E$16,4,FALSE),0),"")</f>
        <v/>
      </c>
      <c r="AF564" t="str">
        <f>IFERROR(O564&amp;"*"&amp;ROUND(Q564*(P564/(N564+P564))/VLOOKUP(O564,职业!$A$3:$E$16,4,FALSE),0),"")</f>
        <v/>
      </c>
      <c r="AG564" t="str">
        <f>IFERROR(R564&amp;"*"&amp;ROUND(V564*(S564/(S564+U564))/VLOOKUP(R564,商品!$A$4:$D$67,4,FALSE),0),"")</f>
        <v/>
      </c>
      <c r="AH564" t="str">
        <f>IFERROR(T564&amp;"*"&amp;ROUND(V564*(U564/(S564+U564))/VLOOKUP(T564,商品!$A$4:$D$67,4,FALSE),0),"")</f>
        <v/>
      </c>
    </row>
    <row r="565" customHeight="1" spans="1:34">
      <c r="A565" s="14" t="s">
        <v>388</v>
      </c>
      <c r="C565" s="2">
        <v>5</v>
      </c>
      <c r="D565" s="2" t="s">
        <v>247</v>
      </c>
      <c r="E565" s="2" t="s">
        <v>225</v>
      </c>
      <c r="L565" s="2">
        <f>IFERROR(VLOOKUP($D565&amp;$C565,生产方式定位!$A$2:$E$39,2,FALSE)+VLOOKUP($E565&amp;$C565,生产方式定位!$F$3:$J$39,2,FALSE),0)</f>
        <v>10000</v>
      </c>
      <c r="Q565" s="2">
        <f>IFERROR(VLOOKUP($D565&amp;$C565,生产方式定位!$A$2:$E$39,3,FALSE)+VLOOKUP($E565&amp;$C565,生产方式定位!$F$3:$J$39,3,FALSE),0)</f>
        <v>6000</v>
      </c>
      <c r="V565" s="2">
        <f>IFERROR(VLOOKUP($D565&amp;$C565,生产方式定位!$A$2:$E$39,5,FALSE)+VLOOKUP($E565&amp;$C565,生产方式定位!$F$3:$J$39,5,FALSE),"错误")</f>
        <v>8000</v>
      </c>
      <c r="W565" s="3" t="str">
        <f t="shared" si="40"/>
        <v/>
      </c>
      <c r="X565" s="4" t="str">
        <f t="shared" si="41"/>
        <v/>
      </c>
      <c r="Y565" s="4" t="str">
        <f t="shared" si="42"/>
        <v/>
      </c>
      <c r="Z565" s="5">
        <f t="shared" si="43"/>
        <v>1.25</v>
      </c>
      <c r="AA565" s="6">
        <f t="shared" si="44"/>
        <v>5</v>
      </c>
      <c r="AB565" t="str">
        <f>IFERROR(F565&amp;"*"&amp;ROUND(L565*(G565/(G565+I565+K565))/VLOOKUP(F565,商品!$A$4:$D$67,4,FALSE),0),"")</f>
        <v/>
      </c>
      <c r="AC565" t="str">
        <f>IFERROR(H565&amp;"*"&amp;ROUND(L565*(I565/(G565+I565+K565))/VLOOKUP(H565,商品!$A$4:$D$67,4,FALSE),0),"")</f>
        <v/>
      </c>
      <c r="AD565" t="str">
        <f>IFERROR(J565&amp;"*"&amp;ROUND(L565*(K565/(G565+I565+K565))/VLOOKUP(J565,商品!$A$4:$D$67,4,FALSE),0),"")</f>
        <v/>
      </c>
      <c r="AE565" t="str">
        <f>IFERROR(M565&amp;"*"&amp;ROUND(Q565*(N565/(N565+P565))/VLOOKUP(M565,职业!$A$3:$E$16,4,FALSE),0),"")</f>
        <v/>
      </c>
      <c r="AF565" t="str">
        <f>IFERROR(O565&amp;"*"&amp;ROUND(Q565*(P565/(N565+P565))/VLOOKUP(O565,职业!$A$3:$E$16,4,FALSE),0),"")</f>
        <v/>
      </c>
      <c r="AG565" t="str">
        <f>IFERROR(R565&amp;"*"&amp;ROUND(V565*(S565/(S565+U565))/VLOOKUP(R565,商品!$A$4:$D$67,4,FALSE),0),"")</f>
        <v/>
      </c>
      <c r="AH565" t="str">
        <f>IFERROR(T565&amp;"*"&amp;ROUND(V565*(U565/(S565+U565))/VLOOKUP(T565,商品!$A$4:$D$67,4,FALSE),0),"")</f>
        <v/>
      </c>
    </row>
    <row r="566" customHeight="1" spans="1:34">
      <c r="A566" s="15" t="s">
        <v>390</v>
      </c>
      <c r="C566" s="2">
        <v>1</v>
      </c>
      <c r="D566" s="2" t="s">
        <v>247</v>
      </c>
      <c r="E566" s="2" t="s">
        <v>222</v>
      </c>
      <c r="L566" s="2">
        <f>IFERROR(VLOOKUP($D566&amp;$C566,生产方式定位!$A$2:$E$39,2,FALSE)+VLOOKUP($E566&amp;$C566,生产方式定位!$F$3:$J$39,2,FALSE),0)</f>
        <v>20000</v>
      </c>
      <c r="Q566" s="2">
        <f>IFERROR(VLOOKUP($D566&amp;$C566,生产方式定位!$A$2:$E$39,3,FALSE)+VLOOKUP($E566&amp;$C566,生产方式定位!$F$3:$J$39,3,FALSE),0)</f>
        <v>10000</v>
      </c>
      <c r="V566" s="2">
        <f>IFERROR(VLOOKUP($D566&amp;$C566,生产方式定位!$A$2:$E$39,5,FALSE)+VLOOKUP($E566&amp;$C566,生产方式定位!$F$3:$J$39,5,FALSE),"错误")</f>
        <v>15000</v>
      </c>
      <c r="W566" s="3" t="str">
        <f t="shared" si="40"/>
        <v/>
      </c>
      <c r="X566" s="4" t="str">
        <f t="shared" si="41"/>
        <v/>
      </c>
      <c r="Y566" s="4" t="str">
        <f t="shared" si="42"/>
        <v/>
      </c>
      <c r="Z566" s="5">
        <f t="shared" si="43"/>
        <v>1.33</v>
      </c>
      <c r="AA566" s="6">
        <f t="shared" si="44"/>
        <v>1</v>
      </c>
      <c r="AB566" t="str">
        <f>IFERROR(F566&amp;"*"&amp;ROUND(L566*(G566/(G566+I566+K566))/VLOOKUP(F566,商品!$A$4:$D$67,4,FALSE),0),"")</f>
        <v/>
      </c>
      <c r="AC566" t="str">
        <f>IFERROR(H566&amp;"*"&amp;ROUND(L566*(I566/(G566+I566+K566))/VLOOKUP(H566,商品!$A$4:$D$67,4,FALSE),0),"")</f>
        <v/>
      </c>
      <c r="AD566" t="str">
        <f>IFERROR(J566&amp;"*"&amp;ROUND(L566*(K566/(G566+I566+K566))/VLOOKUP(J566,商品!$A$4:$D$67,4,FALSE),0),"")</f>
        <v/>
      </c>
      <c r="AE566" t="str">
        <f>IFERROR(M566&amp;"*"&amp;ROUND(Q566*(N566/(N566+P566))/VLOOKUP(M566,职业!$A$3:$E$16,4,FALSE),0),"")</f>
        <v/>
      </c>
      <c r="AF566" t="str">
        <f>IFERROR(O566&amp;"*"&amp;ROUND(Q566*(P566/(N566+P566))/VLOOKUP(O566,职业!$A$3:$E$16,4,FALSE),0),"")</f>
        <v/>
      </c>
      <c r="AG566" t="str">
        <f>IFERROR(R566&amp;"*"&amp;ROUND(V566*(S566/(S566+U566))/VLOOKUP(R566,商品!$A$4:$D$67,4,FALSE),0),"")</f>
        <v/>
      </c>
      <c r="AH566" t="str">
        <f>IFERROR(T566&amp;"*"&amp;ROUND(V566*(U566/(S566+U566))/VLOOKUP(T566,商品!$A$4:$D$67,4,FALSE),0),"")</f>
        <v/>
      </c>
    </row>
    <row r="567" customHeight="1" spans="1:34">
      <c r="A567" s="15" t="s">
        <v>390</v>
      </c>
      <c r="C567" s="2">
        <v>2</v>
      </c>
      <c r="D567" s="2" t="s">
        <v>247</v>
      </c>
      <c r="E567" s="2" t="s">
        <v>222</v>
      </c>
      <c r="L567" s="2">
        <f>IFERROR(VLOOKUP($D567&amp;$C567,生产方式定位!$A$2:$E$39,2,FALSE)+VLOOKUP($E567&amp;$C567,生产方式定位!$F$3:$J$39,2,FALSE),0)</f>
        <v>18500</v>
      </c>
      <c r="Q567" s="2">
        <f>IFERROR(VLOOKUP($D567&amp;$C567,生产方式定位!$A$2:$E$39,3,FALSE)+VLOOKUP($E567&amp;$C567,生产方式定位!$F$3:$J$39,3,FALSE),0)</f>
        <v>9200</v>
      </c>
      <c r="V567" s="2">
        <f>IFERROR(VLOOKUP($D567&amp;$C567,生产方式定位!$A$2:$E$39,5,FALSE)+VLOOKUP($E567&amp;$C567,生产方式定位!$F$3:$J$39,5,FALSE),"错误")</f>
        <v>13922</v>
      </c>
      <c r="W567" s="3" t="str">
        <f t="shared" si="40"/>
        <v/>
      </c>
      <c r="X567" s="4" t="str">
        <f t="shared" si="41"/>
        <v/>
      </c>
      <c r="Y567" s="4" t="str">
        <f t="shared" si="42"/>
        <v/>
      </c>
      <c r="Z567" s="5">
        <f t="shared" si="43"/>
        <v>1.33</v>
      </c>
      <c r="AA567" s="6">
        <f t="shared" si="44"/>
        <v>2</v>
      </c>
      <c r="AB567" t="str">
        <f>IFERROR(F567&amp;"*"&amp;ROUND(L567*(G567/(G567+I567+K567))/VLOOKUP(F567,商品!$A$4:$D$67,4,FALSE),0),"")</f>
        <v/>
      </c>
      <c r="AC567" t="str">
        <f>IFERROR(H567&amp;"*"&amp;ROUND(L567*(I567/(G567+I567+K567))/VLOOKUP(H567,商品!$A$4:$D$67,4,FALSE),0),"")</f>
        <v/>
      </c>
      <c r="AD567" t="str">
        <f>IFERROR(J567&amp;"*"&amp;ROUND(L567*(K567/(G567+I567+K567))/VLOOKUP(J567,商品!$A$4:$D$67,4,FALSE),0),"")</f>
        <v/>
      </c>
      <c r="AE567" t="str">
        <f>IFERROR(M567&amp;"*"&amp;ROUND(Q567*(N567/(N567+P567))/VLOOKUP(M567,职业!$A$3:$E$16,4,FALSE),0),"")</f>
        <v/>
      </c>
      <c r="AF567" t="str">
        <f>IFERROR(O567&amp;"*"&amp;ROUND(Q567*(P567/(N567+P567))/VLOOKUP(O567,职业!$A$3:$E$16,4,FALSE),0),"")</f>
        <v/>
      </c>
      <c r="AG567" t="str">
        <f>IFERROR(R567&amp;"*"&amp;ROUND(V567*(S567/(S567+U567))/VLOOKUP(R567,商品!$A$4:$D$67,4,FALSE),0),"")</f>
        <v/>
      </c>
      <c r="AH567" t="str">
        <f>IFERROR(T567&amp;"*"&amp;ROUND(V567*(U567/(S567+U567))/VLOOKUP(T567,商品!$A$4:$D$67,4,FALSE),0),"")</f>
        <v/>
      </c>
    </row>
    <row r="568" customHeight="1" spans="1:34">
      <c r="A568" s="15" t="s">
        <v>390</v>
      </c>
      <c r="C568" s="2">
        <v>3</v>
      </c>
      <c r="D568" s="2" t="s">
        <v>247</v>
      </c>
      <c r="E568" s="2" t="s">
        <v>222</v>
      </c>
      <c r="L568" s="2">
        <f>IFERROR(VLOOKUP($D568&amp;$C568,生产方式定位!$A$2:$E$39,2,FALSE)+VLOOKUP($E568&amp;$C568,生产方式定位!$F$3:$J$39,2,FALSE),0)</f>
        <v>17000</v>
      </c>
      <c r="Q568" s="2">
        <f>IFERROR(VLOOKUP($D568&amp;$C568,生产方式定位!$A$2:$E$39,3,FALSE)+VLOOKUP($E568&amp;$C568,生产方式定位!$F$3:$J$39,3,FALSE),0)</f>
        <v>8400</v>
      </c>
      <c r="V568" s="2">
        <f>IFERROR(VLOOKUP($D568&amp;$C568,生产方式定位!$A$2:$E$39,5,FALSE)+VLOOKUP($E568&amp;$C568,生产方式定位!$F$3:$J$39,5,FALSE),"错误")</f>
        <v>12988</v>
      </c>
      <c r="W568" s="3" t="str">
        <f t="shared" si="40"/>
        <v/>
      </c>
      <c r="X568" s="4" t="str">
        <f t="shared" si="41"/>
        <v/>
      </c>
      <c r="Y568" s="4" t="str">
        <f t="shared" si="42"/>
        <v/>
      </c>
      <c r="Z568" s="5">
        <f t="shared" si="43"/>
        <v>1.31</v>
      </c>
      <c r="AA568" s="6">
        <f t="shared" si="44"/>
        <v>3</v>
      </c>
      <c r="AB568" t="str">
        <f>IFERROR(F568&amp;"*"&amp;ROUND(L568*(G568/(G568+I568+K568))/VLOOKUP(F568,商品!$A$4:$D$67,4,FALSE),0),"")</f>
        <v/>
      </c>
      <c r="AC568" t="str">
        <f>IFERROR(H568&amp;"*"&amp;ROUND(L568*(I568/(G568+I568+K568))/VLOOKUP(H568,商品!$A$4:$D$67,4,FALSE),0),"")</f>
        <v/>
      </c>
      <c r="AD568" t="str">
        <f>IFERROR(J568&amp;"*"&amp;ROUND(L568*(K568/(G568+I568+K568))/VLOOKUP(J568,商品!$A$4:$D$67,4,FALSE),0),"")</f>
        <v/>
      </c>
      <c r="AE568" t="str">
        <f>IFERROR(M568&amp;"*"&amp;ROUND(Q568*(N568/(N568+P568))/VLOOKUP(M568,职业!$A$3:$E$16,4,FALSE),0),"")</f>
        <v/>
      </c>
      <c r="AF568" t="str">
        <f>IFERROR(O568&amp;"*"&amp;ROUND(Q568*(P568/(N568+P568))/VLOOKUP(O568,职业!$A$3:$E$16,4,FALSE),0),"")</f>
        <v/>
      </c>
      <c r="AG568" t="str">
        <f>IFERROR(R568&amp;"*"&amp;ROUND(V568*(S568/(S568+U568))/VLOOKUP(R568,商品!$A$4:$D$67,4,FALSE),0),"")</f>
        <v/>
      </c>
      <c r="AH568" t="str">
        <f>IFERROR(T568&amp;"*"&amp;ROUND(V568*(U568/(S568+U568))/VLOOKUP(T568,商品!$A$4:$D$67,4,FALSE),0),"")</f>
        <v/>
      </c>
    </row>
    <row r="569" customHeight="1" spans="1:34">
      <c r="A569" s="15" t="s">
        <v>390</v>
      </c>
      <c r="C569" s="2">
        <v>4</v>
      </c>
      <c r="D569" s="2" t="s">
        <v>247</v>
      </c>
      <c r="E569" s="2" t="s">
        <v>222</v>
      </c>
      <c r="L569" s="2">
        <f>IFERROR(VLOOKUP($D569&amp;$C569,生产方式定位!$A$2:$E$39,2,FALSE)+VLOOKUP($E569&amp;$C569,生产方式定位!$F$3:$J$39,2,FALSE),0)</f>
        <v>15500</v>
      </c>
      <c r="Q569" s="2">
        <f>IFERROR(VLOOKUP($D569&amp;$C569,生产方式定位!$A$2:$E$39,3,FALSE)+VLOOKUP($E569&amp;$C569,生产方式定位!$F$3:$J$39,3,FALSE),0)</f>
        <v>7600</v>
      </c>
      <c r="V569" s="2">
        <f>IFERROR(VLOOKUP($D569&amp;$C569,生产方式定位!$A$2:$E$39,5,FALSE)+VLOOKUP($E569&amp;$C569,生产方式定位!$F$3:$J$39,5,FALSE),"错误")</f>
        <v>12198</v>
      </c>
      <c r="W569" s="3" t="str">
        <f t="shared" si="40"/>
        <v/>
      </c>
      <c r="X569" s="4" t="str">
        <f t="shared" si="41"/>
        <v/>
      </c>
      <c r="Y569" s="4" t="str">
        <f t="shared" si="42"/>
        <v/>
      </c>
      <c r="Z569" s="5">
        <f t="shared" si="43"/>
        <v>1.27</v>
      </c>
      <c r="AA569" s="6">
        <f t="shared" si="44"/>
        <v>4</v>
      </c>
      <c r="AB569" t="str">
        <f>IFERROR(F569&amp;"*"&amp;ROUND(L569*(G569/(G569+I569+K569))/VLOOKUP(F569,商品!$A$4:$D$67,4,FALSE),0),"")</f>
        <v/>
      </c>
      <c r="AC569" t="str">
        <f>IFERROR(H569&amp;"*"&amp;ROUND(L569*(I569/(G569+I569+K569))/VLOOKUP(H569,商品!$A$4:$D$67,4,FALSE),0),"")</f>
        <v/>
      </c>
      <c r="AD569" t="str">
        <f>IFERROR(J569&amp;"*"&amp;ROUND(L569*(K569/(G569+I569+K569))/VLOOKUP(J569,商品!$A$4:$D$67,4,FALSE),0),"")</f>
        <v/>
      </c>
      <c r="AE569" t="str">
        <f>IFERROR(M569&amp;"*"&amp;ROUND(Q569*(N569/(N569+P569))/VLOOKUP(M569,职业!$A$3:$E$16,4,FALSE),0),"")</f>
        <v/>
      </c>
      <c r="AF569" t="str">
        <f>IFERROR(O569&amp;"*"&amp;ROUND(Q569*(P569/(N569+P569))/VLOOKUP(O569,职业!$A$3:$E$16,4,FALSE),0),"")</f>
        <v/>
      </c>
      <c r="AG569" t="str">
        <f>IFERROR(R569&amp;"*"&amp;ROUND(V569*(S569/(S569+U569))/VLOOKUP(R569,商品!$A$4:$D$67,4,FALSE),0),"")</f>
        <v/>
      </c>
      <c r="AH569" t="str">
        <f>IFERROR(T569&amp;"*"&amp;ROUND(V569*(U569/(S569+U569))/VLOOKUP(T569,商品!$A$4:$D$67,4,FALSE),0),"")</f>
        <v/>
      </c>
    </row>
    <row r="570" customHeight="1" spans="1:34">
      <c r="A570" s="15" t="s">
        <v>390</v>
      </c>
      <c r="C570" s="2">
        <v>5</v>
      </c>
      <c r="D570" s="2" t="s">
        <v>247</v>
      </c>
      <c r="E570" s="2" t="s">
        <v>222</v>
      </c>
      <c r="L570" s="2">
        <f>IFERROR(VLOOKUP($D570&amp;$C570,生产方式定位!$A$2:$E$39,2,FALSE)+VLOOKUP($E570&amp;$C570,生产方式定位!$F$3:$J$39,2,FALSE),0)</f>
        <v>14000</v>
      </c>
      <c r="Q570" s="2">
        <f>IFERROR(VLOOKUP($D570&amp;$C570,生产方式定位!$A$2:$E$39,3,FALSE)+VLOOKUP($E570&amp;$C570,生产方式定位!$F$3:$J$39,3,FALSE),0)</f>
        <v>6800</v>
      </c>
      <c r="V570" s="2">
        <f>IFERROR(VLOOKUP($D570&amp;$C570,生产方式定位!$A$2:$E$39,5,FALSE)+VLOOKUP($E570&amp;$C570,生产方式定位!$F$3:$J$39,5,FALSE),"错误")</f>
        <v>11600</v>
      </c>
      <c r="W570" s="3" t="str">
        <f t="shared" si="40"/>
        <v/>
      </c>
      <c r="X570" s="4" t="str">
        <f t="shared" si="41"/>
        <v/>
      </c>
      <c r="Y570" s="4" t="str">
        <f t="shared" si="42"/>
        <v/>
      </c>
      <c r="Z570" s="5">
        <f t="shared" si="43"/>
        <v>1.21</v>
      </c>
      <c r="AA570" s="6">
        <f t="shared" si="44"/>
        <v>5</v>
      </c>
      <c r="AB570" t="str">
        <f>IFERROR(F570&amp;"*"&amp;ROUND(L570*(G570/(G570+I570+K570))/VLOOKUP(F570,商品!$A$4:$D$67,4,FALSE),0),"")</f>
        <v/>
      </c>
      <c r="AC570" t="str">
        <f>IFERROR(H570&amp;"*"&amp;ROUND(L570*(I570/(G570+I570+K570))/VLOOKUP(H570,商品!$A$4:$D$67,4,FALSE),0),"")</f>
        <v/>
      </c>
      <c r="AD570" t="str">
        <f>IFERROR(J570&amp;"*"&amp;ROUND(L570*(K570/(G570+I570+K570))/VLOOKUP(J570,商品!$A$4:$D$67,4,FALSE),0),"")</f>
        <v/>
      </c>
      <c r="AE570" t="str">
        <f>IFERROR(M570&amp;"*"&amp;ROUND(Q570*(N570/(N570+P570))/VLOOKUP(M570,职业!$A$3:$E$16,4,FALSE),0),"")</f>
        <v/>
      </c>
      <c r="AF570" t="str">
        <f>IFERROR(O570&amp;"*"&amp;ROUND(Q570*(P570/(N570+P570))/VLOOKUP(O570,职业!$A$3:$E$16,4,FALSE),0),"")</f>
        <v/>
      </c>
      <c r="AG570" t="str">
        <f>IFERROR(R570&amp;"*"&amp;ROUND(V570*(S570/(S570+U570))/VLOOKUP(R570,商品!$A$4:$D$67,4,FALSE),0),"")</f>
        <v/>
      </c>
      <c r="AH570" t="str">
        <f>IFERROR(T570&amp;"*"&amp;ROUND(V570*(U570/(S570+U570))/VLOOKUP(T570,商品!$A$4:$D$67,4,FALSE),0),"")</f>
        <v/>
      </c>
    </row>
    <row r="571" customHeight="1" spans="1:34">
      <c r="A571" s="14" t="s">
        <v>392</v>
      </c>
      <c r="C571" s="2">
        <v>1</v>
      </c>
      <c r="D571" s="2" t="s">
        <v>238</v>
      </c>
      <c r="E571" s="2" t="s">
        <v>222</v>
      </c>
      <c r="L571" s="2">
        <f>IFERROR(VLOOKUP($D571&amp;$C571,生产方式定位!$A$2:$E$39,2,FALSE)+VLOOKUP($E571&amp;$C571,生产方式定位!$F$3:$J$39,2,FALSE),0)</f>
        <v>11000</v>
      </c>
      <c r="Q571" s="2">
        <f>IFERROR(VLOOKUP($D571&amp;$C571,生产方式定位!$A$2:$E$39,3,FALSE)+VLOOKUP($E571&amp;$C571,生产方式定位!$F$3:$J$39,3,FALSE),0)</f>
        <v>8000</v>
      </c>
      <c r="V571" s="2">
        <f>IFERROR(VLOOKUP($D571&amp;$C571,生产方式定位!$A$2:$E$39,5,FALSE)+VLOOKUP($E571&amp;$C571,生产方式定位!$F$3:$J$39,5,FALSE),"错误")</f>
        <v>9500</v>
      </c>
      <c r="W571" s="3" t="str">
        <f t="shared" si="40"/>
        <v/>
      </c>
      <c r="X571" s="4" t="str">
        <f t="shared" si="41"/>
        <v/>
      </c>
      <c r="Y571" s="4" t="str">
        <f t="shared" si="42"/>
        <v/>
      </c>
      <c r="Z571" s="5">
        <f t="shared" si="43"/>
        <v>1.16</v>
      </c>
      <c r="AA571" s="6">
        <f t="shared" si="44"/>
        <v>1</v>
      </c>
      <c r="AB571" t="str">
        <f>IFERROR(F571&amp;"*"&amp;ROUND(L571*(G571/(G571+I571+K571))/VLOOKUP(F571,商品!$A$4:$D$67,4,FALSE),0),"")</f>
        <v/>
      </c>
      <c r="AC571" t="str">
        <f>IFERROR(H571&amp;"*"&amp;ROUND(L571*(I571/(G571+I571+K571))/VLOOKUP(H571,商品!$A$4:$D$67,4,FALSE),0),"")</f>
        <v/>
      </c>
      <c r="AD571" t="str">
        <f>IFERROR(J571&amp;"*"&amp;ROUND(L571*(K571/(G571+I571+K571))/VLOOKUP(J571,商品!$A$4:$D$67,4,FALSE),0),"")</f>
        <v/>
      </c>
      <c r="AE571" t="str">
        <f>IFERROR(M571&amp;"*"&amp;ROUND(Q571*(N571/(N571+P571))/VLOOKUP(M571,职业!$A$3:$E$16,4,FALSE),0),"")</f>
        <v/>
      </c>
      <c r="AF571" t="str">
        <f>IFERROR(O571&amp;"*"&amp;ROUND(Q571*(P571/(N571+P571))/VLOOKUP(O571,职业!$A$3:$E$16,4,FALSE),0),"")</f>
        <v/>
      </c>
      <c r="AG571" t="str">
        <f>IFERROR(R571&amp;"*"&amp;ROUND(V571*(S571/(S571+U571))/VLOOKUP(R571,商品!$A$4:$D$67,4,FALSE),0),"")</f>
        <v/>
      </c>
      <c r="AH571" t="str">
        <f>IFERROR(T571&amp;"*"&amp;ROUND(V571*(U571/(S571+U571))/VLOOKUP(T571,商品!$A$4:$D$67,4,FALSE),0),"")</f>
        <v/>
      </c>
    </row>
    <row r="572" customHeight="1" spans="1:34">
      <c r="A572" s="14" t="s">
        <v>392</v>
      </c>
      <c r="C572" s="2">
        <v>2</v>
      </c>
      <c r="D572" s="2" t="s">
        <v>238</v>
      </c>
      <c r="E572" s="2" t="s">
        <v>222</v>
      </c>
      <c r="L572" s="2">
        <f>IFERROR(VLOOKUP($D572&amp;$C572,生产方式定位!$A$2:$E$39,2,FALSE)+VLOOKUP($E572&amp;$C572,生产方式定位!$F$3:$J$39,2,FALSE),0)</f>
        <v>11000</v>
      </c>
      <c r="Q572" s="2">
        <f>IFERROR(VLOOKUP($D572&amp;$C572,生产方式定位!$A$2:$E$39,3,FALSE)+VLOOKUP($E572&amp;$C572,生产方式定位!$F$3:$J$39,3,FALSE),0)</f>
        <v>8700</v>
      </c>
      <c r="V572" s="2">
        <f>IFERROR(VLOOKUP($D572&amp;$C572,生产方式定位!$A$2:$E$39,5,FALSE)+VLOOKUP($E572&amp;$C572,生产方式定位!$F$3:$J$39,5,FALSE),"错误")</f>
        <v>9922</v>
      </c>
      <c r="W572" s="3" t="str">
        <f t="shared" si="40"/>
        <v/>
      </c>
      <c r="X572" s="4" t="str">
        <f t="shared" si="41"/>
        <v/>
      </c>
      <c r="Y572" s="4" t="str">
        <f t="shared" si="42"/>
        <v/>
      </c>
      <c r="Z572" s="5">
        <f t="shared" si="43"/>
        <v>1.11</v>
      </c>
      <c r="AA572" s="6">
        <f t="shared" si="44"/>
        <v>2</v>
      </c>
      <c r="AB572" t="str">
        <f>IFERROR(F572&amp;"*"&amp;ROUND(L572*(G572/(G572+I572+K572))/VLOOKUP(F572,商品!$A$4:$D$67,4,FALSE),0),"")</f>
        <v/>
      </c>
      <c r="AC572" t="str">
        <f>IFERROR(H572&amp;"*"&amp;ROUND(L572*(I572/(G572+I572+K572))/VLOOKUP(H572,商品!$A$4:$D$67,4,FALSE),0),"")</f>
        <v/>
      </c>
      <c r="AD572" t="str">
        <f>IFERROR(J572&amp;"*"&amp;ROUND(L572*(K572/(G572+I572+K572))/VLOOKUP(J572,商品!$A$4:$D$67,4,FALSE),0),"")</f>
        <v/>
      </c>
      <c r="AE572" t="str">
        <f>IFERROR(M572&amp;"*"&amp;ROUND(Q572*(N572/(N572+P572))/VLOOKUP(M572,职业!$A$3:$E$16,4,FALSE),0),"")</f>
        <v/>
      </c>
      <c r="AF572" t="str">
        <f>IFERROR(O572&amp;"*"&amp;ROUND(Q572*(P572/(N572+P572))/VLOOKUP(O572,职业!$A$3:$E$16,4,FALSE),0),"")</f>
        <v/>
      </c>
      <c r="AG572" t="str">
        <f>IFERROR(R572&amp;"*"&amp;ROUND(V572*(S572/(S572+U572))/VLOOKUP(R572,商品!$A$4:$D$67,4,FALSE),0),"")</f>
        <v/>
      </c>
      <c r="AH572" t="str">
        <f>IFERROR(T572&amp;"*"&amp;ROUND(V572*(U572/(S572+U572))/VLOOKUP(T572,商品!$A$4:$D$67,4,FALSE),0),"")</f>
        <v/>
      </c>
    </row>
    <row r="573" customHeight="1" spans="1:34">
      <c r="A573" s="14" t="s">
        <v>392</v>
      </c>
      <c r="C573" s="2">
        <v>3</v>
      </c>
      <c r="D573" s="2" t="s">
        <v>238</v>
      </c>
      <c r="E573" s="2" t="s">
        <v>222</v>
      </c>
      <c r="L573" s="2">
        <f>IFERROR(VLOOKUP($D573&amp;$C573,生产方式定位!$A$2:$E$39,2,FALSE)+VLOOKUP($E573&amp;$C573,生产方式定位!$F$3:$J$39,2,FALSE),0)</f>
        <v>11000</v>
      </c>
      <c r="Q573" s="2">
        <f>IFERROR(VLOOKUP($D573&amp;$C573,生产方式定位!$A$2:$E$39,3,FALSE)+VLOOKUP($E573&amp;$C573,生产方式定位!$F$3:$J$39,3,FALSE),0)</f>
        <v>9400</v>
      </c>
      <c r="V573" s="2">
        <f>IFERROR(VLOOKUP($D573&amp;$C573,生产方式定位!$A$2:$E$39,5,FALSE)+VLOOKUP($E573&amp;$C573,生产方式定位!$F$3:$J$39,5,FALSE),"错误")</f>
        <v>10488</v>
      </c>
      <c r="W573" s="3" t="str">
        <f t="shared" si="40"/>
        <v/>
      </c>
      <c r="X573" s="4" t="str">
        <f t="shared" si="41"/>
        <v/>
      </c>
      <c r="Y573" s="4" t="str">
        <f t="shared" si="42"/>
        <v/>
      </c>
      <c r="Z573" s="5">
        <f t="shared" si="43"/>
        <v>1.05</v>
      </c>
      <c r="AA573" s="6">
        <f t="shared" si="44"/>
        <v>3</v>
      </c>
      <c r="AB573" t="str">
        <f>IFERROR(F573&amp;"*"&amp;ROUND(L573*(G573/(G573+I573+K573))/VLOOKUP(F573,商品!$A$4:$D$67,4,FALSE),0),"")</f>
        <v/>
      </c>
      <c r="AC573" t="str">
        <f>IFERROR(H573&amp;"*"&amp;ROUND(L573*(I573/(G573+I573+K573))/VLOOKUP(H573,商品!$A$4:$D$67,4,FALSE),0),"")</f>
        <v/>
      </c>
      <c r="AD573" t="str">
        <f>IFERROR(J573&amp;"*"&amp;ROUND(L573*(K573/(G573+I573+K573))/VLOOKUP(J573,商品!$A$4:$D$67,4,FALSE),0),"")</f>
        <v/>
      </c>
      <c r="AE573" t="str">
        <f>IFERROR(M573&amp;"*"&amp;ROUND(Q573*(N573/(N573+P573))/VLOOKUP(M573,职业!$A$3:$E$16,4,FALSE),0),"")</f>
        <v/>
      </c>
      <c r="AF573" t="str">
        <f>IFERROR(O573&amp;"*"&amp;ROUND(Q573*(P573/(N573+P573))/VLOOKUP(O573,职业!$A$3:$E$16,4,FALSE),0),"")</f>
        <v/>
      </c>
      <c r="AG573" t="str">
        <f>IFERROR(R573&amp;"*"&amp;ROUND(V573*(S573/(S573+U573))/VLOOKUP(R573,商品!$A$4:$D$67,4,FALSE),0),"")</f>
        <v/>
      </c>
      <c r="AH573" t="str">
        <f>IFERROR(T573&amp;"*"&amp;ROUND(V573*(U573/(S573+U573))/VLOOKUP(T573,商品!$A$4:$D$67,4,FALSE),0),"")</f>
        <v/>
      </c>
    </row>
    <row r="574" customHeight="1" spans="1:34">
      <c r="A574" s="14" t="s">
        <v>392</v>
      </c>
      <c r="C574" s="2">
        <v>4</v>
      </c>
      <c r="D574" s="2" t="s">
        <v>238</v>
      </c>
      <c r="E574" s="2" t="s">
        <v>222</v>
      </c>
      <c r="L574" s="2">
        <f>IFERROR(VLOOKUP($D574&amp;$C574,生产方式定位!$A$2:$E$39,2,FALSE)+VLOOKUP($E574&amp;$C574,生产方式定位!$F$3:$J$39,2,FALSE),0)</f>
        <v>11000</v>
      </c>
      <c r="Q574" s="2">
        <f>IFERROR(VLOOKUP($D574&amp;$C574,生产方式定位!$A$2:$E$39,3,FALSE)+VLOOKUP($E574&amp;$C574,生产方式定位!$F$3:$J$39,3,FALSE),0)</f>
        <v>10100</v>
      </c>
      <c r="V574" s="2">
        <f>IFERROR(VLOOKUP($D574&amp;$C574,生产方式定位!$A$2:$E$39,5,FALSE)+VLOOKUP($E574&amp;$C574,生产方式定位!$F$3:$J$39,5,FALSE),"错误")</f>
        <v>11198</v>
      </c>
      <c r="W574" s="3" t="str">
        <f t="shared" si="40"/>
        <v/>
      </c>
      <c r="X574" s="4" t="str">
        <f t="shared" si="41"/>
        <v/>
      </c>
      <c r="Y574" s="4" t="str">
        <f t="shared" si="42"/>
        <v/>
      </c>
      <c r="Z574" s="5">
        <f t="shared" si="43"/>
        <v>0.98</v>
      </c>
      <c r="AA574" s="6">
        <f t="shared" si="44"/>
        <v>4</v>
      </c>
      <c r="AB574" t="str">
        <f>IFERROR(F574&amp;"*"&amp;ROUND(L574*(G574/(G574+I574+K574))/VLOOKUP(F574,商品!$A$4:$D$67,4,FALSE),0),"")</f>
        <v/>
      </c>
      <c r="AC574" t="str">
        <f>IFERROR(H574&amp;"*"&amp;ROUND(L574*(I574/(G574+I574+K574))/VLOOKUP(H574,商品!$A$4:$D$67,4,FALSE),0),"")</f>
        <v/>
      </c>
      <c r="AD574" t="str">
        <f>IFERROR(J574&amp;"*"&amp;ROUND(L574*(K574/(G574+I574+K574))/VLOOKUP(J574,商品!$A$4:$D$67,4,FALSE),0),"")</f>
        <v/>
      </c>
      <c r="AE574" t="str">
        <f>IFERROR(M574&amp;"*"&amp;ROUND(Q574*(N574/(N574+P574))/VLOOKUP(M574,职业!$A$3:$E$16,4,FALSE),0),"")</f>
        <v/>
      </c>
      <c r="AF574" t="str">
        <f>IFERROR(O574&amp;"*"&amp;ROUND(Q574*(P574/(N574+P574))/VLOOKUP(O574,职业!$A$3:$E$16,4,FALSE),0),"")</f>
        <v/>
      </c>
      <c r="AG574" t="str">
        <f>IFERROR(R574&amp;"*"&amp;ROUND(V574*(S574/(S574+U574))/VLOOKUP(R574,商品!$A$4:$D$67,4,FALSE),0),"")</f>
        <v/>
      </c>
      <c r="AH574" t="str">
        <f>IFERROR(T574&amp;"*"&amp;ROUND(V574*(U574/(S574+U574))/VLOOKUP(T574,商品!$A$4:$D$67,4,FALSE),0),"")</f>
        <v/>
      </c>
    </row>
    <row r="575" customHeight="1" spans="1:34">
      <c r="A575" s="14" t="s">
        <v>392</v>
      </c>
      <c r="C575" s="2">
        <v>5</v>
      </c>
      <c r="D575" s="2" t="s">
        <v>238</v>
      </c>
      <c r="E575" s="2" t="s">
        <v>222</v>
      </c>
      <c r="L575" s="2">
        <f>IFERROR(VLOOKUP($D575&amp;$C575,生产方式定位!$A$2:$E$39,2,FALSE)+VLOOKUP($E575&amp;$C575,生产方式定位!$F$3:$J$39,2,FALSE),0)</f>
        <v>11000</v>
      </c>
      <c r="Q575" s="2">
        <f>IFERROR(VLOOKUP($D575&amp;$C575,生产方式定位!$A$2:$E$39,3,FALSE)+VLOOKUP($E575&amp;$C575,生产方式定位!$F$3:$J$39,3,FALSE),0)</f>
        <v>10800</v>
      </c>
      <c r="V575" s="2">
        <f>IFERROR(VLOOKUP($D575&amp;$C575,生产方式定位!$A$2:$E$39,5,FALSE)+VLOOKUP($E575&amp;$C575,生产方式定位!$F$3:$J$39,5,FALSE),"错误")</f>
        <v>12100</v>
      </c>
      <c r="W575" s="3" t="str">
        <f t="shared" si="40"/>
        <v/>
      </c>
      <c r="X575" s="4" t="str">
        <f t="shared" si="41"/>
        <v/>
      </c>
      <c r="Y575" s="4" t="str">
        <f t="shared" si="42"/>
        <v/>
      </c>
      <c r="Z575" s="5">
        <f t="shared" si="43"/>
        <v>0.91</v>
      </c>
      <c r="AA575" s="6">
        <f t="shared" si="44"/>
        <v>5</v>
      </c>
      <c r="AB575" t="str">
        <f>IFERROR(F575&amp;"*"&amp;ROUND(L575*(G575/(G575+I575+K575))/VLOOKUP(F575,商品!$A$4:$D$67,4,FALSE),0),"")</f>
        <v/>
      </c>
      <c r="AC575" t="str">
        <f>IFERROR(H575&amp;"*"&amp;ROUND(L575*(I575/(G575+I575+K575))/VLOOKUP(H575,商品!$A$4:$D$67,4,FALSE),0),"")</f>
        <v/>
      </c>
      <c r="AD575" t="str">
        <f>IFERROR(J575&amp;"*"&amp;ROUND(L575*(K575/(G575+I575+K575))/VLOOKUP(J575,商品!$A$4:$D$67,4,FALSE),0),"")</f>
        <v/>
      </c>
      <c r="AE575" t="str">
        <f>IFERROR(M575&amp;"*"&amp;ROUND(Q575*(N575/(N575+P575))/VLOOKUP(M575,职业!$A$3:$E$16,4,FALSE),0),"")</f>
        <v/>
      </c>
      <c r="AF575" t="str">
        <f>IFERROR(O575&amp;"*"&amp;ROUND(Q575*(P575/(N575+P575))/VLOOKUP(O575,职业!$A$3:$E$16,4,FALSE),0),"")</f>
        <v/>
      </c>
      <c r="AG575" t="str">
        <f>IFERROR(R575&amp;"*"&amp;ROUND(V575*(S575/(S575+U575))/VLOOKUP(R575,商品!$A$4:$D$67,4,FALSE),0),"")</f>
        <v/>
      </c>
      <c r="AH575" t="str">
        <f>IFERROR(T575&amp;"*"&amp;ROUND(V575*(U575/(S575+U575))/VLOOKUP(T575,商品!$A$4:$D$67,4,FALSE),0),"")</f>
        <v/>
      </c>
    </row>
    <row r="576" customHeight="1" spans="1:34">
      <c r="A576" s="15" t="s">
        <v>393</v>
      </c>
      <c r="C576" s="2">
        <v>1</v>
      </c>
      <c r="D576" s="2" t="s">
        <v>238</v>
      </c>
      <c r="E576" s="2" t="s">
        <v>225</v>
      </c>
      <c r="L576" s="2">
        <f>IFERROR(VLOOKUP($D576&amp;$C576,生产方式定位!$A$2:$E$39,2,FALSE)+VLOOKUP($E576&amp;$C576,生产方式定位!$F$3:$J$39,2,FALSE),0)</f>
        <v>11000</v>
      </c>
      <c r="Q576" s="2">
        <f>IFERROR(VLOOKUP($D576&amp;$C576,生产方式定位!$A$2:$E$39,3,FALSE)+VLOOKUP($E576&amp;$C576,生产方式定位!$F$3:$J$39,3,FALSE),0)</f>
        <v>8000</v>
      </c>
      <c r="V576" s="2">
        <f>IFERROR(VLOOKUP($D576&amp;$C576,生产方式定位!$A$2:$E$39,5,FALSE)+VLOOKUP($E576&amp;$C576,生产方式定位!$F$3:$J$39,5,FALSE),"错误")</f>
        <v>9500</v>
      </c>
      <c r="W576" s="3" t="str">
        <f t="shared" si="40"/>
        <v/>
      </c>
      <c r="X576" s="4" t="str">
        <f t="shared" si="41"/>
        <v/>
      </c>
      <c r="Y576" s="4" t="str">
        <f t="shared" si="42"/>
        <v/>
      </c>
      <c r="Z576" s="5">
        <f t="shared" si="43"/>
        <v>1.16</v>
      </c>
      <c r="AA576" s="6">
        <f t="shared" si="44"/>
        <v>1</v>
      </c>
      <c r="AB576" t="str">
        <f>IFERROR(F576&amp;"*"&amp;ROUND(L576*(G576/(G576+I576+K576))/VLOOKUP(F576,商品!$A$4:$D$67,4,FALSE),0),"")</f>
        <v/>
      </c>
      <c r="AC576" t="str">
        <f>IFERROR(H576&amp;"*"&amp;ROUND(L576*(I576/(G576+I576+K576))/VLOOKUP(H576,商品!$A$4:$D$67,4,FALSE),0),"")</f>
        <v/>
      </c>
      <c r="AD576" t="str">
        <f>IFERROR(J576&amp;"*"&amp;ROUND(L576*(K576/(G576+I576+K576))/VLOOKUP(J576,商品!$A$4:$D$67,4,FALSE),0),"")</f>
        <v/>
      </c>
      <c r="AE576" t="str">
        <f>IFERROR(M576&amp;"*"&amp;ROUND(Q576*(N576/(N576+P576))/VLOOKUP(M576,职业!$A$3:$E$16,4,FALSE),0),"")</f>
        <v/>
      </c>
      <c r="AF576" t="str">
        <f>IFERROR(O576&amp;"*"&amp;ROUND(Q576*(P576/(N576+P576))/VLOOKUP(O576,职业!$A$3:$E$16,4,FALSE),0),"")</f>
        <v/>
      </c>
      <c r="AG576" t="str">
        <f>IFERROR(R576&amp;"*"&amp;ROUND(V576*(S576/(S576+U576))/VLOOKUP(R576,商品!$A$4:$D$67,4,FALSE),0),"")</f>
        <v/>
      </c>
      <c r="AH576" t="str">
        <f>IFERROR(T576&amp;"*"&amp;ROUND(V576*(U576/(S576+U576))/VLOOKUP(T576,商品!$A$4:$D$67,4,FALSE),0),"")</f>
        <v/>
      </c>
    </row>
    <row r="577" customHeight="1" spans="1:34">
      <c r="A577" s="15" t="s">
        <v>393</v>
      </c>
      <c r="C577" s="2">
        <v>2</v>
      </c>
      <c r="D577" s="2" t="s">
        <v>238</v>
      </c>
      <c r="E577" s="2" t="s">
        <v>225</v>
      </c>
      <c r="L577" s="2">
        <f>IFERROR(VLOOKUP($D577&amp;$C577,生产方式定位!$A$2:$E$39,2,FALSE)+VLOOKUP($E577&amp;$C577,生产方式定位!$F$3:$J$39,2,FALSE),0)</f>
        <v>10000</v>
      </c>
      <c r="Q577" s="2">
        <f>IFERROR(VLOOKUP($D577&amp;$C577,生产方式定位!$A$2:$E$39,3,FALSE)+VLOOKUP($E577&amp;$C577,生产方式定位!$F$3:$J$39,3,FALSE),0)</f>
        <v>8500</v>
      </c>
      <c r="V577" s="2">
        <f>IFERROR(VLOOKUP($D577&amp;$C577,生产方式定位!$A$2:$E$39,5,FALSE)+VLOOKUP($E577&amp;$C577,生产方式定位!$F$3:$J$39,5,FALSE),"错误")</f>
        <v>9250</v>
      </c>
      <c r="W577" s="3" t="str">
        <f t="shared" si="40"/>
        <v/>
      </c>
      <c r="X577" s="4" t="str">
        <f t="shared" si="41"/>
        <v/>
      </c>
      <c r="Y577" s="4" t="str">
        <f t="shared" si="42"/>
        <v/>
      </c>
      <c r="Z577" s="5">
        <f t="shared" si="43"/>
        <v>1.08</v>
      </c>
      <c r="AA577" s="6">
        <f t="shared" si="44"/>
        <v>2</v>
      </c>
      <c r="AB577" t="str">
        <f>IFERROR(F577&amp;"*"&amp;ROUND(L577*(G577/(G577+I577+K577))/VLOOKUP(F577,商品!$A$4:$D$67,4,FALSE),0),"")</f>
        <v/>
      </c>
      <c r="AC577" t="str">
        <f>IFERROR(H577&amp;"*"&amp;ROUND(L577*(I577/(G577+I577+K577))/VLOOKUP(H577,商品!$A$4:$D$67,4,FALSE),0),"")</f>
        <v/>
      </c>
      <c r="AD577" t="str">
        <f>IFERROR(J577&amp;"*"&amp;ROUND(L577*(K577/(G577+I577+K577))/VLOOKUP(J577,商品!$A$4:$D$67,4,FALSE),0),"")</f>
        <v/>
      </c>
      <c r="AE577" t="str">
        <f>IFERROR(M577&amp;"*"&amp;ROUND(Q577*(N577/(N577+P577))/VLOOKUP(M577,职业!$A$3:$E$16,4,FALSE),0),"")</f>
        <v/>
      </c>
      <c r="AF577" t="str">
        <f>IFERROR(O577&amp;"*"&amp;ROUND(Q577*(P577/(N577+P577))/VLOOKUP(O577,职业!$A$3:$E$16,4,FALSE),0),"")</f>
        <v/>
      </c>
      <c r="AG577" t="str">
        <f>IFERROR(R577&amp;"*"&amp;ROUND(V577*(S577/(S577+U577))/VLOOKUP(R577,商品!$A$4:$D$67,4,FALSE),0),"")</f>
        <v/>
      </c>
      <c r="AH577" t="str">
        <f>IFERROR(T577&amp;"*"&amp;ROUND(V577*(U577/(S577+U577))/VLOOKUP(T577,商品!$A$4:$D$67,4,FALSE),0),"")</f>
        <v/>
      </c>
    </row>
    <row r="578" customHeight="1" spans="1:34">
      <c r="A578" s="15" t="s">
        <v>393</v>
      </c>
      <c r="C578" s="2">
        <v>3</v>
      </c>
      <c r="D578" s="2" t="s">
        <v>238</v>
      </c>
      <c r="E578" s="2" t="s">
        <v>225</v>
      </c>
      <c r="L578" s="2">
        <f>IFERROR(VLOOKUP($D578&amp;$C578,生产方式定位!$A$2:$E$39,2,FALSE)+VLOOKUP($E578&amp;$C578,生产方式定位!$F$3:$J$39,2,FALSE),0)</f>
        <v>9000</v>
      </c>
      <c r="Q578" s="2">
        <f>IFERROR(VLOOKUP($D578&amp;$C578,生产方式定位!$A$2:$E$39,3,FALSE)+VLOOKUP($E578&amp;$C578,生产方式定位!$F$3:$J$39,3,FALSE),0)</f>
        <v>9000</v>
      </c>
      <c r="V578" s="2">
        <f>IFERROR(VLOOKUP($D578&amp;$C578,生产方式定位!$A$2:$E$39,5,FALSE)+VLOOKUP($E578&amp;$C578,生产方式定位!$F$3:$J$39,5,FALSE),"错误")</f>
        <v>9000</v>
      </c>
      <c r="W578" s="3" t="str">
        <f t="shared" si="40"/>
        <v/>
      </c>
      <c r="X578" s="4" t="str">
        <f t="shared" si="41"/>
        <v/>
      </c>
      <c r="Y578" s="4" t="str">
        <f t="shared" si="42"/>
        <v/>
      </c>
      <c r="Z578" s="5">
        <f t="shared" si="43"/>
        <v>1</v>
      </c>
      <c r="AA578" s="6">
        <f t="shared" si="44"/>
        <v>3</v>
      </c>
      <c r="AB578" t="str">
        <f>IFERROR(F578&amp;"*"&amp;ROUND(L578*(G578/(G578+I578+K578))/VLOOKUP(F578,商品!$A$4:$D$67,4,FALSE),0),"")</f>
        <v/>
      </c>
      <c r="AC578" t="str">
        <f>IFERROR(H578&amp;"*"&amp;ROUND(L578*(I578/(G578+I578+K578))/VLOOKUP(H578,商品!$A$4:$D$67,4,FALSE),0),"")</f>
        <v/>
      </c>
      <c r="AD578" t="str">
        <f>IFERROR(J578&amp;"*"&amp;ROUND(L578*(K578/(G578+I578+K578))/VLOOKUP(J578,商品!$A$4:$D$67,4,FALSE),0),"")</f>
        <v/>
      </c>
      <c r="AE578" t="str">
        <f>IFERROR(M578&amp;"*"&amp;ROUND(Q578*(N578/(N578+P578))/VLOOKUP(M578,职业!$A$3:$E$16,4,FALSE),0),"")</f>
        <v/>
      </c>
      <c r="AF578" t="str">
        <f>IFERROR(O578&amp;"*"&amp;ROUND(Q578*(P578/(N578+P578))/VLOOKUP(O578,职业!$A$3:$E$16,4,FALSE),0),"")</f>
        <v/>
      </c>
      <c r="AG578" t="str">
        <f>IFERROR(R578&amp;"*"&amp;ROUND(V578*(S578/(S578+U578))/VLOOKUP(R578,商品!$A$4:$D$67,4,FALSE),0),"")</f>
        <v/>
      </c>
      <c r="AH578" t="str">
        <f>IFERROR(T578&amp;"*"&amp;ROUND(V578*(U578/(S578+U578))/VLOOKUP(T578,商品!$A$4:$D$67,4,FALSE),0),"")</f>
        <v/>
      </c>
    </row>
    <row r="579" customHeight="1" spans="1:34">
      <c r="A579" s="15" t="s">
        <v>393</v>
      </c>
      <c r="C579" s="2">
        <v>4</v>
      </c>
      <c r="D579" s="2" t="s">
        <v>238</v>
      </c>
      <c r="E579" s="2" t="s">
        <v>225</v>
      </c>
      <c r="L579" s="2">
        <f>IFERROR(VLOOKUP($D579&amp;$C579,生产方式定位!$A$2:$E$39,2,FALSE)+VLOOKUP($E579&amp;$C579,生产方式定位!$F$3:$J$39,2,FALSE),0)</f>
        <v>8000</v>
      </c>
      <c r="Q579" s="2">
        <f>IFERROR(VLOOKUP($D579&amp;$C579,生产方式定位!$A$2:$E$39,3,FALSE)+VLOOKUP($E579&amp;$C579,生产方式定位!$F$3:$J$39,3,FALSE),0)</f>
        <v>9500</v>
      </c>
      <c r="V579" s="2">
        <f>IFERROR(VLOOKUP($D579&amp;$C579,生产方式定位!$A$2:$E$39,5,FALSE)+VLOOKUP($E579&amp;$C579,生产方式定位!$F$3:$J$39,5,FALSE),"错误")</f>
        <v>8750</v>
      </c>
      <c r="W579" s="3" t="str">
        <f t="shared" si="40"/>
        <v/>
      </c>
      <c r="X579" s="4" t="str">
        <f t="shared" si="41"/>
        <v/>
      </c>
      <c r="Y579" s="4" t="str">
        <f t="shared" si="42"/>
        <v/>
      </c>
      <c r="Z579" s="5">
        <f t="shared" si="43"/>
        <v>0.91</v>
      </c>
      <c r="AA579" s="6">
        <f t="shared" si="44"/>
        <v>4</v>
      </c>
      <c r="AB579" t="str">
        <f>IFERROR(F579&amp;"*"&amp;ROUND(L579*(G579/(G579+I579+K579))/VLOOKUP(F579,商品!$A$4:$D$67,4,FALSE),0),"")</f>
        <v/>
      </c>
      <c r="AC579" t="str">
        <f>IFERROR(H579&amp;"*"&amp;ROUND(L579*(I579/(G579+I579+K579))/VLOOKUP(H579,商品!$A$4:$D$67,4,FALSE),0),"")</f>
        <v/>
      </c>
      <c r="AD579" t="str">
        <f>IFERROR(J579&amp;"*"&amp;ROUND(L579*(K579/(G579+I579+K579))/VLOOKUP(J579,商品!$A$4:$D$67,4,FALSE),0),"")</f>
        <v/>
      </c>
      <c r="AE579" t="str">
        <f>IFERROR(M579&amp;"*"&amp;ROUND(Q579*(N579/(N579+P579))/VLOOKUP(M579,职业!$A$3:$E$16,4,FALSE),0),"")</f>
        <v/>
      </c>
      <c r="AF579" t="str">
        <f>IFERROR(O579&amp;"*"&amp;ROUND(Q579*(P579/(N579+P579))/VLOOKUP(O579,职业!$A$3:$E$16,4,FALSE),0),"")</f>
        <v/>
      </c>
      <c r="AG579" t="str">
        <f>IFERROR(R579&amp;"*"&amp;ROUND(V579*(S579/(S579+U579))/VLOOKUP(R579,商品!$A$4:$D$67,4,FALSE),0),"")</f>
        <v/>
      </c>
      <c r="AH579" t="str">
        <f>IFERROR(T579&amp;"*"&amp;ROUND(V579*(U579/(S579+U579))/VLOOKUP(T579,商品!$A$4:$D$67,4,FALSE),0),"")</f>
        <v/>
      </c>
    </row>
    <row r="580" customHeight="1" spans="1:34">
      <c r="A580" s="15" t="s">
        <v>393</v>
      </c>
      <c r="C580" s="2">
        <v>5</v>
      </c>
      <c r="D580" s="2" t="s">
        <v>238</v>
      </c>
      <c r="E580" s="2" t="s">
        <v>225</v>
      </c>
      <c r="L580" s="2">
        <f>IFERROR(VLOOKUP($D580&amp;$C580,生产方式定位!$A$2:$E$39,2,FALSE)+VLOOKUP($E580&amp;$C580,生产方式定位!$F$3:$J$39,2,FALSE),0)</f>
        <v>7000</v>
      </c>
      <c r="Q580" s="2">
        <f>IFERROR(VLOOKUP($D580&amp;$C580,生产方式定位!$A$2:$E$39,3,FALSE)+VLOOKUP($E580&amp;$C580,生产方式定位!$F$3:$J$39,3,FALSE),0)</f>
        <v>10000</v>
      </c>
      <c r="V580" s="2">
        <f>IFERROR(VLOOKUP($D580&amp;$C580,生产方式定位!$A$2:$E$39,5,FALSE)+VLOOKUP($E580&amp;$C580,生产方式定位!$F$3:$J$39,5,FALSE),"错误")</f>
        <v>8500</v>
      </c>
      <c r="W580" s="3" t="str">
        <f t="shared" si="40"/>
        <v/>
      </c>
      <c r="X580" s="4" t="str">
        <f t="shared" si="41"/>
        <v/>
      </c>
      <c r="Y580" s="4" t="str">
        <f t="shared" si="42"/>
        <v/>
      </c>
      <c r="Z580" s="5">
        <f t="shared" si="43"/>
        <v>0.82</v>
      </c>
      <c r="AA580" s="6">
        <f t="shared" si="44"/>
        <v>5</v>
      </c>
      <c r="AB580" t="str">
        <f>IFERROR(F580&amp;"*"&amp;ROUND(L580*(G580/(G580+I580+K580))/VLOOKUP(F580,商品!$A$4:$D$67,4,FALSE),0),"")</f>
        <v/>
      </c>
      <c r="AC580" t="str">
        <f>IFERROR(H580&amp;"*"&amp;ROUND(L580*(I580/(G580+I580+K580))/VLOOKUP(H580,商品!$A$4:$D$67,4,FALSE),0),"")</f>
        <v/>
      </c>
      <c r="AD580" t="str">
        <f>IFERROR(J580&amp;"*"&amp;ROUND(L580*(K580/(G580+I580+K580))/VLOOKUP(J580,商品!$A$4:$D$67,4,FALSE),0),"")</f>
        <v/>
      </c>
      <c r="AE580" t="str">
        <f>IFERROR(M580&amp;"*"&amp;ROUND(Q580*(N580/(N580+P580))/VLOOKUP(M580,职业!$A$3:$E$16,4,FALSE),0),"")</f>
        <v/>
      </c>
      <c r="AF580" t="str">
        <f>IFERROR(O580&amp;"*"&amp;ROUND(Q580*(P580/(N580+P580))/VLOOKUP(O580,职业!$A$3:$E$16,4,FALSE),0),"")</f>
        <v/>
      </c>
      <c r="AG580" t="str">
        <f>IFERROR(R580&amp;"*"&amp;ROUND(V580*(S580/(S580+U580))/VLOOKUP(R580,商品!$A$4:$D$67,4,FALSE),0),"")</f>
        <v/>
      </c>
      <c r="AH580" t="str">
        <f>IFERROR(T580&amp;"*"&amp;ROUND(V580*(U580/(S580+U580))/VLOOKUP(T580,商品!$A$4:$D$67,4,FALSE),0),"")</f>
        <v/>
      </c>
    </row>
    <row r="581" customHeight="1" spans="1:34">
      <c r="A581" s="15" t="s">
        <v>393</v>
      </c>
      <c r="C581" s="2">
        <v>1</v>
      </c>
      <c r="D581" s="2" t="s">
        <v>238</v>
      </c>
      <c r="E581" s="2" t="s">
        <v>225</v>
      </c>
      <c r="L581" s="2">
        <f>IFERROR(VLOOKUP($D581&amp;$C581,生产方式定位!$A$2:$E$39,2,FALSE)+VLOOKUP($E581&amp;$C581,生产方式定位!$F$3:$J$39,2,FALSE),0)</f>
        <v>11000</v>
      </c>
      <c r="Q581" s="2">
        <f>IFERROR(VLOOKUP($D581&amp;$C581,生产方式定位!$A$2:$E$39,3,FALSE)+VLOOKUP($E581&amp;$C581,生产方式定位!$F$3:$J$39,3,FALSE),0)</f>
        <v>8000</v>
      </c>
      <c r="V581" s="2">
        <f>IFERROR(VLOOKUP($D581&amp;$C581,生产方式定位!$A$2:$E$39,5,FALSE)+VLOOKUP($E581&amp;$C581,生产方式定位!$F$3:$J$39,5,FALSE),"错误")</f>
        <v>9500</v>
      </c>
      <c r="W581" s="3" t="str">
        <f t="shared" ref="W581:W644" si="45">IF(AB581="","",AB581)&amp;IF(AC581="","",","&amp;AC581)&amp;IF(AD581="","",","&amp;AD581)</f>
        <v/>
      </c>
      <c r="X581" s="4" t="str">
        <f t="shared" ref="X581:X644" si="46">IF(AE581="","",AE581)&amp;IF(AF581="","",","&amp;AF581)</f>
        <v/>
      </c>
      <c r="Y581" s="4" t="str">
        <f t="shared" ref="Y581:Y644" si="47">IF(AG581="","",AG581)&amp;IF(AH581="","",","&amp;AH581)</f>
        <v/>
      </c>
      <c r="Z581" s="5">
        <f t="shared" ref="Z581:Z644" si="48">IFERROR(ROUND(L581/V581,2),"")</f>
        <v>1.16</v>
      </c>
      <c r="AA581" s="6">
        <f t="shared" ref="AA581:AA644" si="49">C581</f>
        <v>1</v>
      </c>
      <c r="AB581" t="str">
        <f>IFERROR(F581&amp;"*"&amp;ROUND(L581*(G581/(G581+I581+K581))/VLOOKUP(F581,商品!$A$4:$D$67,4,FALSE),0),"")</f>
        <v/>
      </c>
      <c r="AC581" t="str">
        <f>IFERROR(H581&amp;"*"&amp;ROUND(L581*(I581/(G581+I581+K581))/VLOOKUP(H581,商品!$A$4:$D$67,4,FALSE),0),"")</f>
        <v/>
      </c>
      <c r="AD581" t="str">
        <f>IFERROR(J581&amp;"*"&amp;ROUND(L581*(K581/(G581+I581+K581))/VLOOKUP(J581,商品!$A$4:$D$67,4,FALSE),0),"")</f>
        <v/>
      </c>
      <c r="AE581" t="str">
        <f>IFERROR(M581&amp;"*"&amp;ROUND(Q581*(N581/(N581+P581))/VLOOKUP(M581,职业!$A$3:$E$16,4,FALSE),0),"")</f>
        <v/>
      </c>
      <c r="AF581" t="str">
        <f>IFERROR(O581&amp;"*"&amp;ROUND(Q581*(P581/(N581+P581))/VLOOKUP(O581,职业!$A$3:$E$16,4,FALSE),0),"")</f>
        <v/>
      </c>
      <c r="AG581" t="str">
        <f>IFERROR(R581&amp;"*"&amp;ROUND(V581*(S581/(S581+U581))/VLOOKUP(R581,商品!$A$4:$D$67,4,FALSE),0),"")</f>
        <v/>
      </c>
      <c r="AH581" t="str">
        <f>IFERROR(T581&amp;"*"&amp;ROUND(V581*(U581/(S581+U581))/VLOOKUP(T581,商品!$A$4:$D$67,4,FALSE),0),"")</f>
        <v/>
      </c>
    </row>
    <row r="582" customHeight="1" spans="1:34">
      <c r="A582" s="15" t="s">
        <v>393</v>
      </c>
      <c r="C582" s="2">
        <v>2</v>
      </c>
      <c r="D582" s="2" t="s">
        <v>238</v>
      </c>
      <c r="E582" s="2" t="s">
        <v>225</v>
      </c>
      <c r="L582" s="2">
        <f>IFERROR(VLOOKUP($D582&amp;$C582,生产方式定位!$A$2:$E$39,2,FALSE)+VLOOKUP($E582&amp;$C582,生产方式定位!$F$3:$J$39,2,FALSE),0)</f>
        <v>10000</v>
      </c>
      <c r="Q582" s="2">
        <f>IFERROR(VLOOKUP($D582&amp;$C582,生产方式定位!$A$2:$E$39,3,FALSE)+VLOOKUP($E582&amp;$C582,生产方式定位!$F$3:$J$39,3,FALSE),0)</f>
        <v>8500</v>
      </c>
      <c r="V582" s="2">
        <f>IFERROR(VLOOKUP($D582&amp;$C582,生产方式定位!$A$2:$E$39,5,FALSE)+VLOOKUP($E582&amp;$C582,生产方式定位!$F$3:$J$39,5,FALSE),"错误")</f>
        <v>9250</v>
      </c>
      <c r="W582" s="3" t="str">
        <f t="shared" si="45"/>
        <v/>
      </c>
      <c r="X582" s="4" t="str">
        <f t="shared" si="46"/>
        <v/>
      </c>
      <c r="Y582" s="4" t="str">
        <f t="shared" si="47"/>
        <v/>
      </c>
      <c r="Z582" s="5">
        <f t="shared" si="48"/>
        <v>1.08</v>
      </c>
      <c r="AA582" s="6">
        <f t="shared" si="49"/>
        <v>2</v>
      </c>
      <c r="AB582" t="str">
        <f>IFERROR(F582&amp;"*"&amp;ROUND(L582*(G582/(G582+I582+K582))/VLOOKUP(F582,商品!$A$4:$D$67,4,FALSE),0),"")</f>
        <v/>
      </c>
      <c r="AC582" t="str">
        <f>IFERROR(H582&amp;"*"&amp;ROUND(L582*(I582/(G582+I582+K582))/VLOOKUP(H582,商品!$A$4:$D$67,4,FALSE),0),"")</f>
        <v/>
      </c>
      <c r="AD582" t="str">
        <f>IFERROR(J582&amp;"*"&amp;ROUND(L582*(K582/(G582+I582+K582))/VLOOKUP(J582,商品!$A$4:$D$67,4,FALSE),0),"")</f>
        <v/>
      </c>
      <c r="AE582" t="str">
        <f>IFERROR(M582&amp;"*"&amp;ROUND(Q582*(N582/(N582+P582))/VLOOKUP(M582,职业!$A$3:$E$16,4,FALSE),0),"")</f>
        <v/>
      </c>
      <c r="AF582" t="str">
        <f>IFERROR(O582&amp;"*"&amp;ROUND(Q582*(P582/(N582+P582))/VLOOKUP(O582,职业!$A$3:$E$16,4,FALSE),0),"")</f>
        <v/>
      </c>
      <c r="AG582" t="str">
        <f>IFERROR(R582&amp;"*"&amp;ROUND(V582*(S582/(S582+U582))/VLOOKUP(R582,商品!$A$4:$D$67,4,FALSE),0),"")</f>
        <v/>
      </c>
      <c r="AH582" t="str">
        <f>IFERROR(T582&amp;"*"&amp;ROUND(V582*(U582/(S582+U582))/VLOOKUP(T582,商品!$A$4:$D$67,4,FALSE),0),"")</f>
        <v/>
      </c>
    </row>
    <row r="583" customHeight="1" spans="1:34">
      <c r="A583" s="15" t="s">
        <v>393</v>
      </c>
      <c r="C583" s="2">
        <v>3</v>
      </c>
      <c r="D583" s="2" t="s">
        <v>238</v>
      </c>
      <c r="E583" s="2" t="s">
        <v>225</v>
      </c>
      <c r="L583" s="2">
        <f>IFERROR(VLOOKUP($D583&amp;$C583,生产方式定位!$A$2:$E$39,2,FALSE)+VLOOKUP($E583&amp;$C583,生产方式定位!$F$3:$J$39,2,FALSE),0)</f>
        <v>9000</v>
      </c>
      <c r="Q583" s="2">
        <f>IFERROR(VLOOKUP($D583&amp;$C583,生产方式定位!$A$2:$E$39,3,FALSE)+VLOOKUP($E583&amp;$C583,生产方式定位!$F$3:$J$39,3,FALSE),0)</f>
        <v>9000</v>
      </c>
      <c r="V583" s="2">
        <f>IFERROR(VLOOKUP($D583&amp;$C583,生产方式定位!$A$2:$E$39,5,FALSE)+VLOOKUP($E583&amp;$C583,生产方式定位!$F$3:$J$39,5,FALSE),"错误")</f>
        <v>9000</v>
      </c>
      <c r="W583" s="3" t="str">
        <f t="shared" si="45"/>
        <v/>
      </c>
      <c r="X583" s="4" t="str">
        <f t="shared" si="46"/>
        <v/>
      </c>
      <c r="Y583" s="4" t="str">
        <f t="shared" si="47"/>
        <v/>
      </c>
      <c r="Z583" s="5">
        <f t="shared" si="48"/>
        <v>1</v>
      </c>
      <c r="AA583" s="6">
        <f t="shared" si="49"/>
        <v>3</v>
      </c>
      <c r="AB583" t="str">
        <f>IFERROR(F583&amp;"*"&amp;ROUND(L583*(G583/(G583+I583+K583))/VLOOKUP(F583,商品!$A$4:$D$67,4,FALSE),0),"")</f>
        <v/>
      </c>
      <c r="AC583" t="str">
        <f>IFERROR(H583&amp;"*"&amp;ROUND(L583*(I583/(G583+I583+K583))/VLOOKUP(H583,商品!$A$4:$D$67,4,FALSE),0),"")</f>
        <v/>
      </c>
      <c r="AD583" t="str">
        <f>IFERROR(J583&amp;"*"&amp;ROUND(L583*(K583/(G583+I583+K583))/VLOOKUP(J583,商品!$A$4:$D$67,4,FALSE),0),"")</f>
        <v/>
      </c>
      <c r="AE583" t="str">
        <f>IFERROR(M583&amp;"*"&amp;ROUND(Q583*(N583/(N583+P583))/VLOOKUP(M583,职业!$A$3:$E$16,4,FALSE),0),"")</f>
        <v/>
      </c>
      <c r="AF583" t="str">
        <f>IFERROR(O583&amp;"*"&amp;ROUND(Q583*(P583/(N583+P583))/VLOOKUP(O583,职业!$A$3:$E$16,4,FALSE),0),"")</f>
        <v/>
      </c>
      <c r="AG583" t="str">
        <f>IFERROR(R583&amp;"*"&amp;ROUND(V583*(S583/(S583+U583))/VLOOKUP(R583,商品!$A$4:$D$67,4,FALSE),0),"")</f>
        <v/>
      </c>
      <c r="AH583" t="str">
        <f>IFERROR(T583&amp;"*"&amp;ROUND(V583*(U583/(S583+U583))/VLOOKUP(T583,商品!$A$4:$D$67,4,FALSE),0),"")</f>
        <v/>
      </c>
    </row>
    <row r="584" customHeight="1" spans="1:34">
      <c r="A584" s="14" t="s">
        <v>395</v>
      </c>
      <c r="C584" s="2">
        <v>4</v>
      </c>
      <c r="D584" s="2" t="s">
        <v>238</v>
      </c>
      <c r="E584" s="2" t="s">
        <v>222</v>
      </c>
      <c r="L584" s="2">
        <f>IFERROR(VLOOKUP($D584&amp;$C584,生产方式定位!$A$2:$E$39,2,FALSE)+VLOOKUP($E584&amp;$C584,生产方式定位!$F$3:$J$39,2,FALSE),0)</f>
        <v>11000</v>
      </c>
      <c r="Q584" s="2">
        <f>IFERROR(VLOOKUP($D584&amp;$C584,生产方式定位!$A$2:$E$39,3,FALSE)+VLOOKUP($E584&amp;$C584,生产方式定位!$F$3:$J$39,3,FALSE),0)</f>
        <v>10100</v>
      </c>
      <c r="V584" s="2">
        <f>IFERROR(VLOOKUP($D584&amp;$C584,生产方式定位!$A$2:$E$39,5,FALSE)+VLOOKUP($E584&amp;$C584,生产方式定位!$F$3:$J$39,5,FALSE),"错误")</f>
        <v>11198</v>
      </c>
      <c r="W584" s="3" t="str">
        <f t="shared" si="45"/>
        <v/>
      </c>
      <c r="X584" s="4" t="str">
        <f t="shared" si="46"/>
        <v/>
      </c>
      <c r="Y584" s="4" t="str">
        <f t="shared" si="47"/>
        <v/>
      </c>
      <c r="Z584" s="5">
        <f t="shared" si="48"/>
        <v>0.98</v>
      </c>
      <c r="AA584" s="6">
        <f t="shared" si="49"/>
        <v>4</v>
      </c>
      <c r="AB584" t="str">
        <f>IFERROR(F584&amp;"*"&amp;ROUND(L584*(G584/(G584+I584+K584))/VLOOKUP(F584,商品!$A$4:$D$67,4,FALSE),0),"")</f>
        <v/>
      </c>
      <c r="AC584" t="str">
        <f>IFERROR(H584&amp;"*"&amp;ROUND(L584*(I584/(G584+I584+K584))/VLOOKUP(H584,商品!$A$4:$D$67,4,FALSE),0),"")</f>
        <v/>
      </c>
      <c r="AD584" t="str">
        <f>IFERROR(J584&amp;"*"&amp;ROUND(L584*(K584/(G584+I584+K584))/VLOOKUP(J584,商品!$A$4:$D$67,4,FALSE),0),"")</f>
        <v/>
      </c>
      <c r="AE584" t="str">
        <f>IFERROR(M584&amp;"*"&amp;ROUND(Q584*(N584/(N584+P584))/VLOOKUP(M584,职业!$A$3:$E$16,4,FALSE),0),"")</f>
        <v/>
      </c>
      <c r="AF584" t="str">
        <f>IFERROR(O584&amp;"*"&amp;ROUND(Q584*(P584/(N584+P584))/VLOOKUP(O584,职业!$A$3:$E$16,4,FALSE),0),"")</f>
        <v/>
      </c>
      <c r="AG584" t="str">
        <f>IFERROR(R584&amp;"*"&amp;ROUND(V584*(S584/(S584+U584))/VLOOKUP(R584,商品!$A$4:$D$67,4,FALSE),0),"")</f>
        <v/>
      </c>
      <c r="AH584" t="str">
        <f>IFERROR(T584&amp;"*"&amp;ROUND(V584*(U584/(S584+U584))/VLOOKUP(T584,商品!$A$4:$D$67,4,FALSE),0),"")</f>
        <v/>
      </c>
    </row>
    <row r="585" customHeight="1" spans="1:34">
      <c r="A585" s="14" t="s">
        <v>395</v>
      </c>
      <c r="C585" s="2">
        <v>5</v>
      </c>
      <c r="D585" s="2" t="s">
        <v>238</v>
      </c>
      <c r="E585" s="2" t="s">
        <v>222</v>
      </c>
      <c r="L585" s="2">
        <f>IFERROR(VLOOKUP($D585&amp;$C585,生产方式定位!$A$2:$E$39,2,FALSE)+VLOOKUP($E585&amp;$C585,生产方式定位!$F$3:$J$39,2,FALSE),0)</f>
        <v>11000</v>
      </c>
      <c r="Q585" s="2">
        <f>IFERROR(VLOOKUP($D585&amp;$C585,生产方式定位!$A$2:$E$39,3,FALSE)+VLOOKUP($E585&amp;$C585,生产方式定位!$F$3:$J$39,3,FALSE),0)</f>
        <v>10800</v>
      </c>
      <c r="V585" s="2">
        <f>IFERROR(VLOOKUP($D585&amp;$C585,生产方式定位!$A$2:$E$39,5,FALSE)+VLOOKUP($E585&amp;$C585,生产方式定位!$F$3:$J$39,5,FALSE),"错误")</f>
        <v>12100</v>
      </c>
      <c r="W585" s="3" t="str">
        <f t="shared" si="45"/>
        <v/>
      </c>
      <c r="X585" s="4" t="str">
        <f t="shared" si="46"/>
        <v/>
      </c>
      <c r="Y585" s="4" t="str">
        <f t="shared" si="47"/>
        <v/>
      </c>
      <c r="Z585" s="5">
        <f t="shared" si="48"/>
        <v>0.91</v>
      </c>
      <c r="AA585" s="6">
        <f t="shared" si="49"/>
        <v>5</v>
      </c>
      <c r="AB585" t="str">
        <f>IFERROR(F585&amp;"*"&amp;ROUND(L585*(G585/(G585+I585+K585))/VLOOKUP(F585,商品!$A$4:$D$67,4,FALSE),0),"")</f>
        <v/>
      </c>
      <c r="AC585" t="str">
        <f>IFERROR(H585&amp;"*"&amp;ROUND(L585*(I585/(G585+I585+K585))/VLOOKUP(H585,商品!$A$4:$D$67,4,FALSE),0),"")</f>
        <v/>
      </c>
      <c r="AD585" t="str">
        <f>IFERROR(J585&amp;"*"&amp;ROUND(L585*(K585/(G585+I585+K585))/VLOOKUP(J585,商品!$A$4:$D$67,4,FALSE),0),"")</f>
        <v/>
      </c>
      <c r="AE585" t="str">
        <f>IFERROR(M585&amp;"*"&amp;ROUND(Q585*(N585/(N585+P585))/VLOOKUP(M585,职业!$A$3:$E$16,4,FALSE),0),"")</f>
        <v/>
      </c>
      <c r="AF585" t="str">
        <f>IFERROR(O585&amp;"*"&amp;ROUND(Q585*(P585/(N585+P585))/VLOOKUP(O585,职业!$A$3:$E$16,4,FALSE),0),"")</f>
        <v/>
      </c>
      <c r="AG585" t="str">
        <f>IFERROR(R585&amp;"*"&amp;ROUND(V585*(S585/(S585+U585))/VLOOKUP(R585,商品!$A$4:$D$67,4,FALSE),0),"")</f>
        <v/>
      </c>
      <c r="AH585" t="str">
        <f>IFERROR(T585&amp;"*"&amp;ROUND(V585*(U585/(S585+U585))/VLOOKUP(T585,商品!$A$4:$D$67,4,FALSE),0),"")</f>
        <v/>
      </c>
    </row>
    <row r="586" customHeight="1" spans="1:34">
      <c r="A586" s="14" t="s">
        <v>395</v>
      </c>
      <c r="C586" s="2">
        <v>1</v>
      </c>
      <c r="D586" s="2" t="s">
        <v>238</v>
      </c>
      <c r="E586" s="2" t="s">
        <v>222</v>
      </c>
      <c r="L586" s="2">
        <f>IFERROR(VLOOKUP($D586&amp;$C586,生产方式定位!$A$2:$E$39,2,FALSE)+VLOOKUP($E586&amp;$C586,生产方式定位!$F$3:$J$39,2,FALSE),0)</f>
        <v>11000</v>
      </c>
      <c r="Q586" s="2">
        <f>IFERROR(VLOOKUP($D586&amp;$C586,生产方式定位!$A$2:$E$39,3,FALSE)+VLOOKUP($E586&amp;$C586,生产方式定位!$F$3:$J$39,3,FALSE),0)</f>
        <v>8000</v>
      </c>
      <c r="V586" s="2">
        <f>IFERROR(VLOOKUP($D586&amp;$C586,生产方式定位!$A$2:$E$39,5,FALSE)+VLOOKUP($E586&amp;$C586,生产方式定位!$F$3:$J$39,5,FALSE),"错误")</f>
        <v>9500</v>
      </c>
      <c r="W586" s="3" t="str">
        <f t="shared" si="45"/>
        <v/>
      </c>
      <c r="X586" s="4" t="str">
        <f t="shared" si="46"/>
        <v/>
      </c>
      <c r="Y586" s="4" t="str">
        <f t="shared" si="47"/>
        <v/>
      </c>
      <c r="Z586" s="5">
        <f t="shared" si="48"/>
        <v>1.16</v>
      </c>
      <c r="AA586" s="6">
        <f t="shared" si="49"/>
        <v>1</v>
      </c>
      <c r="AB586" t="str">
        <f>IFERROR(F586&amp;"*"&amp;ROUND(L586*(G586/(G586+I586+K586))/VLOOKUP(F586,商品!$A$4:$D$67,4,FALSE),0),"")</f>
        <v/>
      </c>
      <c r="AC586" t="str">
        <f>IFERROR(H586&amp;"*"&amp;ROUND(L586*(I586/(G586+I586+K586))/VLOOKUP(H586,商品!$A$4:$D$67,4,FALSE),0),"")</f>
        <v/>
      </c>
      <c r="AD586" t="str">
        <f>IFERROR(J586&amp;"*"&amp;ROUND(L586*(K586/(G586+I586+K586))/VLOOKUP(J586,商品!$A$4:$D$67,4,FALSE),0),"")</f>
        <v/>
      </c>
      <c r="AE586" t="str">
        <f>IFERROR(M586&amp;"*"&amp;ROUND(Q586*(N586/(N586+P586))/VLOOKUP(M586,职业!$A$3:$E$16,4,FALSE),0),"")</f>
        <v/>
      </c>
      <c r="AF586" t="str">
        <f>IFERROR(O586&amp;"*"&amp;ROUND(Q586*(P586/(N586+P586))/VLOOKUP(O586,职业!$A$3:$E$16,4,FALSE),0),"")</f>
        <v/>
      </c>
      <c r="AG586" t="str">
        <f>IFERROR(R586&amp;"*"&amp;ROUND(V586*(S586/(S586+U586))/VLOOKUP(R586,商品!$A$4:$D$67,4,FALSE),0),"")</f>
        <v/>
      </c>
      <c r="AH586" t="str">
        <f>IFERROR(T586&amp;"*"&amp;ROUND(V586*(U586/(S586+U586))/VLOOKUP(T586,商品!$A$4:$D$67,4,FALSE),0),"")</f>
        <v/>
      </c>
    </row>
    <row r="587" customHeight="1" spans="1:34">
      <c r="A587" s="14" t="s">
        <v>395</v>
      </c>
      <c r="C587" s="2">
        <v>2</v>
      </c>
      <c r="D587" s="2" t="s">
        <v>238</v>
      </c>
      <c r="E587" s="2" t="s">
        <v>222</v>
      </c>
      <c r="L587" s="2">
        <f>IFERROR(VLOOKUP($D587&amp;$C587,生产方式定位!$A$2:$E$39,2,FALSE)+VLOOKUP($E587&amp;$C587,生产方式定位!$F$3:$J$39,2,FALSE),0)</f>
        <v>11000</v>
      </c>
      <c r="Q587" s="2">
        <f>IFERROR(VLOOKUP($D587&amp;$C587,生产方式定位!$A$2:$E$39,3,FALSE)+VLOOKUP($E587&amp;$C587,生产方式定位!$F$3:$J$39,3,FALSE),0)</f>
        <v>8700</v>
      </c>
      <c r="V587" s="2">
        <f>IFERROR(VLOOKUP($D587&amp;$C587,生产方式定位!$A$2:$E$39,5,FALSE)+VLOOKUP($E587&amp;$C587,生产方式定位!$F$3:$J$39,5,FALSE),"错误")</f>
        <v>9922</v>
      </c>
      <c r="W587" s="3" t="str">
        <f t="shared" si="45"/>
        <v/>
      </c>
      <c r="X587" s="4" t="str">
        <f t="shared" si="46"/>
        <v/>
      </c>
      <c r="Y587" s="4" t="str">
        <f t="shared" si="47"/>
        <v/>
      </c>
      <c r="Z587" s="5">
        <f t="shared" si="48"/>
        <v>1.11</v>
      </c>
      <c r="AA587" s="6">
        <f t="shared" si="49"/>
        <v>2</v>
      </c>
      <c r="AB587" t="str">
        <f>IFERROR(F587&amp;"*"&amp;ROUND(L587*(G587/(G587+I587+K587))/VLOOKUP(F587,商品!$A$4:$D$67,4,FALSE),0),"")</f>
        <v/>
      </c>
      <c r="AC587" t="str">
        <f>IFERROR(H587&amp;"*"&amp;ROUND(L587*(I587/(G587+I587+K587))/VLOOKUP(H587,商品!$A$4:$D$67,4,FALSE),0),"")</f>
        <v/>
      </c>
      <c r="AD587" t="str">
        <f>IFERROR(J587&amp;"*"&amp;ROUND(L587*(K587/(G587+I587+K587))/VLOOKUP(J587,商品!$A$4:$D$67,4,FALSE),0),"")</f>
        <v/>
      </c>
      <c r="AE587" t="str">
        <f>IFERROR(M587&amp;"*"&amp;ROUND(Q587*(N587/(N587+P587))/VLOOKUP(M587,职业!$A$3:$E$16,4,FALSE),0),"")</f>
        <v/>
      </c>
      <c r="AF587" t="str">
        <f>IFERROR(O587&amp;"*"&amp;ROUND(Q587*(P587/(N587+P587))/VLOOKUP(O587,职业!$A$3:$E$16,4,FALSE),0),"")</f>
        <v/>
      </c>
      <c r="AG587" t="str">
        <f>IFERROR(R587&amp;"*"&amp;ROUND(V587*(S587/(S587+U587))/VLOOKUP(R587,商品!$A$4:$D$67,4,FALSE),0),"")</f>
        <v/>
      </c>
      <c r="AH587" t="str">
        <f>IFERROR(T587&amp;"*"&amp;ROUND(V587*(U587/(S587+U587))/VLOOKUP(T587,商品!$A$4:$D$67,4,FALSE),0),"")</f>
        <v/>
      </c>
    </row>
    <row r="588" customHeight="1" spans="1:34">
      <c r="A588" s="14" t="s">
        <v>395</v>
      </c>
      <c r="C588" s="2">
        <v>3</v>
      </c>
      <c r="D588" s="2" t="s">
        <v>238</v>
      </c>
      <c r="E588" s="2" t="s">
        <v>222</v>
      </c>
      <c r="L588" s="2">
        <f>IFERROR(VLOOKUP($D588&amp;$C588,生产方式定位!$A$2:$E$39,2,FALSE)+VLOOKUP($E588&amp;$C588,生产方式定位!$F$3:$J$39,2,FALSE),0)</f>
        <v>11000</v>
      </c>
      <c r="Q588" s="2">
        <f>IFERROR(VLOOKUP($D588&amp;$C588,生产方式定位!$A$2:$E$39,3,FALSE)+VLOOKUP($E588&amp;$C588,生产方式定位!$F$3:$J$39,3,FALSE),0)</f>
        <v>9400</v>
      </c>
      <c r="V588" s="2">
        <f>IFERROR(VLOOKUP($D588&amp;$C588,生产方式定位!$A$2:$E$39,5,FALSE)+VLOOKUP($E588&amp;$C588,生产方式定位!$F$3:$J$39,5,FALSE),"错误")</f>
        <v>10488</v>
      </c>
      <c r="W588" s="3" t="str">
        <f t="shared" si="45"/>
        <v/>
      </c>
      <c r="X588" s="4" t="str">
        <f t="shared" si="46"/>
        <v/>
      </c>
      <c r="Y588" s="4" t="str">
        <f t="shared" si="47"/>
        <v/>
      </c>
      <c r="Z588" s="5">
        <f t="shared" si="48"/>
        <v>1.05</v>
      </c>
      <c r="AA588" s="6">
        <f t="shared" si="49"/>
        <v>3</v>
      </c>
      <c r="AB588" t="str">
        <f>IFERROR(F588&amp;"*"&amp;ROUND(L588*(G588/(G588+I588+K588))/VLOOKUP(F588,商品!$A$4:$D$67,4,FALSE),0),"")</f>
        <v/>
      </c>
      <c r="AC588" t="str">
        <f>IFERROR(H588&amp;"*"&amp;ROUND(L588*(I588/(G588+I588+K588))/VLOOKUP(H588,商品!$A$4:$D$67,4,FALSE),0),"")</f>
        <v/>
      </c>
      <c r="AD588" t="str">
        <f>IFERROR(J588&amp;"*"&amp;ROUND(L588*(K588/(G588+I588+K588))/VLOOKUP(J588,商品!$A$4:$D$67,4,FALSE),0),"")</f>
        <v/>
      </c>
      <c r="AE588" t="str">
        <f>IFERROR(M588&amp;"*"&amp;ROUND(Q588*(N588/(N588+P588))/VLOOKUP(M588,职业!$A$3:$E$16,4,FALSE),0),"")</f>
        <v/>
      </c>
      <c r="AF588" t="str">
        <f>IFERROR(O588&amp;"*"&amp;ROUND(Q588*(P588/(N588+P588))/VLOOKUP(O588,职业!$A$3:$E$16,4,FALSE),0),"")</f>
        <v/>
      </c>
      <c r="AG588" t="str">
        <f>IFERROR(R588&amp;"*"&amp;ROUND(V588*(S588/(S588+U588))/VLOOKUP(R588,商品!$A$4:$D$67,4,FALSE),0),"")</f>
        <v/>
      </c>
      <c r="AH588" t="str">
        <f>IFERROR(T588&amp;"*"&amp;ROUND(V588*(U588/(S588+U588))/VLOOKUP(T588,商品!$A$4:$D$67,4,FALSE),0),"")</f>
        <v/>
      </c>
    </row>
    <row r="589" customHeight="1" spans="1:34">
      <c r="A589" s="15" t="s">
        <v>396</v>
      </c>
      <c r="C589" s="2">
        <v>4</v>
      </c>
      <c r="D589" s="2" t="s">
        <v>238</v>
      </c>
      <c r="E589" s="2" t="s">
        <v>225</v>
      </c>
      <c r="L589" s="2">
        <f>IFERROR(VLOOKUP($D589&amp;$C589,生产方式定位!$A$2:$E$39,2,FALSE)+VLOOKUP($E589&amp;$C589,生产方式定位!$F$3:$J$39,2,FALSE),0)</f>
        <v>8000</v>
      </c>
      <c r="Q589" s="2">
        <f>IFERROR(VLOOKUP($D589&amp;$C589,生产方式定位!$A$2:$E$39,3,FALSE)+VLOOKUP($E589&amp;$C589,生产方式定位!$F$3:$J$39,3,FALSE),0)</f>
        <v>9500</v>
      </c>
      <c r="V589" s="2">
        <f>IFERROR(VLOOKUP($D589&amp;$C589,生产方式定位!$A$2:$E$39,5,FALSE)+VLOOKUP($E589&amp;$C589,生产方式定位!$F$3:$J$39,5,FALSE),"错误")</f>
        <v>8750</v>
      </c>
      <c r="W589" s="3" t="str">
        <f t="shared" si="45"/>
        <v/>
      </c>
      <c r="X589" s="4" t="str">
        <f t="shared" si="46"/>
        <v/>
      </c>
      <c r="Y589" s="4" t="str">
        <f t="shared" si="47"/>
        <v/>
      </c>
      <c r="Z589" s="5">
        <f t="shared" si="48"/>
        <v>0.91</v>
      </c>
      <c r="AA589" s="6">
        <f t="shared" si="49"/>
        <v>4</v>
      </c>
      <c r="AB589" t="str">
        <f>IFERROR(F589&amp;"*"&amp;ROUND(L589*(G589/(G589+I589+K589))/VLOOKUP(F589,商品!$A$4:$D$67,4,FALSE),0),"")</f>
        <v/>
      </c>
      <c r="AC589" t="str">
        <f>IFERROR(H589&amp;"*"&amp;ROUND(L589*(I589/(G589+I589+K589))/VLOOKUP(H589,商品!$A$4:$D$67,4,FALSE),0),"")</f>
        <v/>
      </c>
      <c r="AD589" t="str">
        <f>IFERROR(J589&amp;"*"&amp;ROUND(L589*(K589/(G589+I589+K589))/VLOOKUP(J589,商品!$A$4:$D$67,4,FALSE),0),"")</f>
        <v/>
      </c>
      <c r="AE589" t="str">
        <f>IFERROR(M589&amp;"*"&amp;ROUND(Q589*(N589/(N589+P589))/VLOOKUP(M589,职业!$A$3:$E$16,4,FALSE),0),"")</f>
        <v/>
      </c>
      <c r="AF589" t="str">
        <f>IFERROR(O589&amp;"*"&amp;ROUND(Q589*(P589/(N589+P589))/VLOOKUP(O589,职业!$A$3:$E$16,4,FALSE),0),"")</f>
        <v/>
      </c>
      <c r="AG589" t="str">
        <f>IFERROR(R589&amp;"*"&amp;ROUND(V589*(S589/(S589+U589))/VLOOKUP(R589,商品!$A$4:$D$67,4,FALSE),0),"")</f>
        <v/>
      </c>
      <c r="AH589" t="str">
        <f>IFERROR(T589&amp;"*"&amp;ROUND(V589*(U589/(S589+U589))/VLOOKUP(T589,商品!$A$4:$D$67,4,FALSE),0),"")</f>
        <v/>
      </c>
    </row>
    <row r="590" customHeight="1" spans="1:34">
      <c r="A590" s="15" t="s">
        <v>396</v>
      </c>
      <c r="C590" s="2">
        <v>5</v>
      </c>
      <c r="D590" s="2" t="s">
        <v>238</v>
      </c>
      <c r="E590" s="2" t="s">
        <v>225</v>
      </c>
      <c r="L590" s="2">
        <f>IFERROR(VLOOKUP($D590&amp;$C590,生产方式定位!$A$2:$E$39,2,FALSE)+VLOOKUP($E590&amp;$C590,生产方式定位!$F$3:$J$39,2,FALSE),0)</f>
        <v>7000</v>
      </c>
      <c r="Q590" s="2">
        <f>IFERROR(VLOOKUP($D590&amp;$C590,生产方式定位!$A$2:$E$39,3,FALSE)+VLOOKUP($E590&amp;$C590,生产方式定位!$F$3:$J$39,3,FALSE),0)</f>
        <v>10000</v>
      </c>
      <c r="V590" s="2">
        <f>IFERROR(VLOOKUP($D590&amp;$C590,生产方式定位!$A$2:$E$39,5,FALSE)+VLOOKUP($E590&amp;$C590,生产方式定位!$F$3:$J$39,5,FALSE),"错误")</f>
        <v>8500</v>
      </c>
      <c r="W590" s="3" t="str">
        <f t="shared" si="45"/>
        <v/>
      </c>
      <c r="X590" s="4" t="str">
        <f t="shared" si="46"/>
        <v/>
      </c>
      <c r="Y590" s="4" t="str">
        <f t="shared" si="47"/>
        <v/>
      </c>
      <c r="Z590" s="5">
        <f t="shared" si="48"/>
        <v>0.82</v>
      </c>
      <c r="AA590" s="6">
        <f t="shared" si="49"/>
        <v>5</v>
      </c>
      <c r="AB590" t="str">
        <f>IFERROR(F590&amp;"*"&amp;ROUND(L590*(G590/(G590+I590+K590))/VLOOKUP(F590,商品!$A$4:$D$67,4,FALSE),0),"")</f>
        <v/>
      </c>
      <c r="AC590" t="str">
        <f>IFERROR(H590&amp;"*"&amp;ROUND(L590*(I590/(G590+I590+K590))/VLOOKUP(H590,商品!$A$4:$D$67,4,FALSE),0),"")</f>
        <v/>
      </c>
      <c r="AD590" t="str">
        <f>IFERROR(J590&amp;"*"&amp;ROUND(L590*(K590/(G590+I590+K590))/VLOOKUP(J590,商品!$A$4:$D$67,4,FALSE),0),"")</f>
        <v/>
      </c>
      <c r="AE590" t="str">
        <f>IFERROR(M590&amp;"*"&amp;ROUND(Q590*(N590/(N590+P590))/VLOOKUP(M590,职业!$A$3:$E$16,4,FALSE),0),"")</f>
        <v/>
      </c>
      <c r="AF590" t="str">
        <f>IFERROR(O590&amp;"*"&amp;ROUND(Q590*(P590/(N590+P590))/VLOOKUP(O590,职业!$A$3:$E$16,4,FALSE),0),"")</f>
        <v/>
      </c>
      <c r="AG590" t="str">
        <f>IFERROR(R590&amp;"*"&amp;ROUND(V590*(S590/(S590+U590))/VLOOKUP(R590,商品!$A$4:$D$67,4,FALSE),0),"")</f>
        <v/>
      </c>
      <c r="AH590" t="str">
        <f>IFERROR(T590&amp;"*"&amp;ROUND(V590*(U590/(S590+U590))/VLOOKUP(T590,商品!$A$4:$D$67,4,FALSE),0),"")</f>
        <v/>
      </c>
    </row>
    <row r="591" customHeight="1" spans="1:34">
      <c r="A591" s="15" t="s">
        <v>396</v>
      </c>
      <c r="C591" s="2">
        <v>1</v>
      </c>
      <c r="D591" s="2" t="s">
        <v>238</v>
      </c>
      <c r="E591" s="2" t="s">
        <v>225</v>
      </c>
      <c r="L591" s="2">
        <f>IFERROR(VLOOKUP($D591&amp;$C591,生产方式定位!$A$2:$E$39,2,FALSE)+VLOOKUP($E591&amp;$C591,生产方式定位!$F$3:$J$39,2,FALSE),0)</f>
        <v>11000</v>
      </c>
      <c r="Q591" s="2">
        <f>IFERROR(VLOOKUP($D591&amp;$C591,生产方式定位!$A$2:$E$39,3,FALSE)+VLOOKUP($E591&amp;$C591,生产方式定位!$F$3:$J$39,3,FALSE),0)</f>
        <v>8000</v>
      </c>
      <c r="V591" s="2">
        <f>IFERROR(VLOOKUP($D591&amp;$C591,生产方式定位!$A$2:$E$39,5,FALSE)+VLOOKUP($E591&amp;$C591,生产方式定位!$F$3:$J$39,5,FALSE),"错误")</f>
        <v>9500</v>
      </c>
      <c r="W591" s="3" t="str">
        <f t="shared" si="45"/>
        <v/>
      </c>
      <c r="X591" s="4" t="str">
        <f t="shared" si="46"/>
        <v/>
      </c>
      <c r="Y591" s="4" t="str">
        <f t="shared" si="47"/>
        <v/>
      </c>
      <c r="Z591" s="5">
        <f t="shared" si="48"/>
        <v>1.16</v>
      </c>
      <c r="AA591" s="6">
        <f t="shared" si="49"/>
        <v>1</v>
      </c>
      <c r="AB591" t="str">
        <f>IFERROR(F591&amp;"*"&amp;ROUND(L591*(G591/(G591+I591+K591))/VLOOKUP(F591,商品!$A$4:$D$67,4,FALSE),0),"")</f>
        <v/>
      </c>
      <c r="AC591" t="str">
        <f>IFERROR(H591&amp;"*"&amp;ROUND(L591*(I591/(G591+I591+K591))/VLOOKUP(H591,商品!$A$4:$D$67,4,FALSE),0),"")</f>
        <v/>
      </c>
      <c r="AD591" t="str">
        <f>IFERROR(J591&amp;"*"&amp;ROUND(L591*(K591/(G591+I591+K591))/VLOOKUP(J591,商品!$A$4:$D$67,4,FALSE),0),"")</f>
        <v/>
      </c>
      <c r="AE591" t="str">
        <f>IFERROR(M591&amp;"*"&amp;ROUND(Q591*(N591/(N591+P591))/VLOOKUP(M591,职业!$A$3:$E$16,4,FALSE),0),"")</f>
        <v/>
      </c>
      <c r="AF591" t="str">
        <f>IFERROR(O591&amp;"*"&amp;ROUND(Q591*(P591/(N591+P591))/VLOOKUP(O591,职业!$A$3:$E$16,4,FALSE),0),"")</f>
        <v/>
      </c>
      <c r="AG591" t="str">
        <f>IFERROR(R591&amp;"*"&amp;ROUND(V591*(S591/(S591+U591))/VLOOKUP(R591,商品!$A$4:$D$67,4,FALSE),0),"")</f>
        <v/>
      </c>
      <c r="AH591" t="str">
        <f>IFERROR(T591&amp;"*"&amp;ROUND(V591*(U591/(S591+U591))/VLOOKUP(T591,商品!$A$4:$D$67,4,FALSE),0),"")</f>
        <v/>
      </c>
    </row>
    <row r="592" customHeight="1" spans="1:34">
      <c r="A592" s="15" t="s">
        <v>396</v>
      </c>
      <c r="C592" s="2">
        <v>2</v>
      </c>
      <c r="D592" s="2" t="s">
        <v>238</v>
      </c>
      <c r="E592" s="2" t="s">
        <v>225</v>
      </c>
      <c r="L592" s="2">
        <f>IFERROR(VLOOKUP($D592&amp;$C592,生产方式定位!$A$2:$E$39,2,FALSE)+VLOOKUP($E592&amp;$C592,生产方式定位!$F$3:$J$39,2,FALSE),0)</f>
        <v>10000</v>
      </c>
      <c r="Q592" s="2">
        <f>IFERROR(VLOOKUP($D592&amp;$C592,生产方式定位!$A$2:$E$39,3,FALSE)+VLOOKUP($E592&amp;$C592,生产方式定位!$F$3:$J$39,3,FALSE),0)</f>
        <v>8500</v>
      </c>
      <c r="V592" s="2">
        <f>IFERROR(VLOOKUP($D592&amp;$C592,生产方式定位!$A$2:$E$39,5,FALSE)+VLOOKUP($E592&amp;$C592,生产方式定位!$F$3:$J$39,5,FALSE),"错误")</f>
        <v>9250</v>
      </c>
      <c r="W592" s="3" t="str">
        <f t="shared" si="45"/>
        <v/>
      </c>
      <c r="X592" s="4" t="str">
        <f t="shared" si="46"/>
        <v/>
      </c>
      <c r="Y592" s="4" t="str">
        <f t="shared" si="47"/>
        <v/>
      </c>
      <c r="Z592" s="5">
        <f t="shared" si="48"/>
        <v>1.08</v>
      </c>
      <c r="AA592" s="6">
        <f t="shared" si="49"/>
        <v>2</v>
      </c>
      <c r="AB592" t="str">
        <f>IFERROR(F592&amp;"*"&amp;ROUND(L592*(G592/(G592+I592+K592))/VLOOKUP(F592,商品!$A$4:$D$67,4,FALSE),0),"")</f>
        <v/>
      </c>
      <c r="AC592" t="str">
        <f>IFERROR(H592&amp;"*"&amp;ROUND(L592*(I592/(G592+I592+K592))/VLOOKUP(H592,商品!$A$4:$D$67,4,FALSE),0),"")</f>
        <v/>
      </c>
      <c r="AD592" t="str">
        <f>IFERROR(J592&amp;"*"&amp;ROUND(L592*(K592/(G592+I592+K592))/VLOOKUP(J592,商品!$A$4:$D$67,4,FALSE),0),"")</f>
        <v/>
      </c>
      <c r="AE592" t="str">
        <f>IFERROR(M592&amp;"*"&amp;ROUND(Q592*(N592/(N592+P592))/VLOOKUP(M592,职业!$A$3:$E$16,4,FALSE),0),"")</f>
        <v/>
      </c>
      <c r="AF592" t="str">
        <f>IFERROR(O592&amp;"*"&amp;ROUND(Q592*(P592/(N592+P592))/VLOOKUP(O592,职业!$A$3:$E$16,4,FALSE),0),"")</f>
        <v/>
      </c>
      <c r="AG592" t="str">
        <f>IFERROR(R592&amp;"*"&amp;ROUND(V592*(S592/(S592+U592))/VLOOKUP(R592,商品!$A$4:$D$67,4,FALSE),0),"")</f>
        <v/>
      </c>
      <c r="AH592" t="str">
        <f>IFERROR(T592&amp;"*"&amp;ROUND(V592*(U592/(S592+U592))/VLOOKUP(T592,商品!$A$4:$D$67,4,FALSE),0),"")</f>
        <v/>
      </c>
    </row>
    <row r="593" customHeight="1" spans="1:34">
      <c r="A593" s="15" t="s">
        <v>396</v>
      </c>
      <c r="C593" s="2">
        <v>3</v>
      </c>
      <c r="D593" s="2" t="s">
        <v>238</v>
      </c>
      <c r="E593" s="2" t="s">
        <v>225</v>
      </c>
      <c r="L593" s="2">
        <f>IFERROR(VLOOKUP($D593&amp;$C593,生产方式定位!$A$2:$E$39,2,FALSE)+VLOOKUP($E593&amp;$C593,生产方式定位!$F$3:$J$39,2,FALSE),0)</f>
        <v>9000</v>
      </c>
      <c r="Q593" s="2">
        <f>IFERROR(VLOOKUP($D593&amp;$C593,生产方式定位!$A$2:$E$39,3,FALSE)+VLOOKUP($E593&amp;$C593,生产方式定位!$F$3:$J$39,3,FALSE),0)</f>
        <v>9000</v>
      </c>
      <c r="V593" s="2">
        <f>IFERROR(VLOOKUP($D593&amp;$C593,生产方式定位!$A$2:$E$39,5,FALSE)+VLOOKUP($E593&amp;$C593,生产方式定位!$F$3:$J$39,5,FALSE),"错误")</f>
        <v>9000</v>
      </c>
      <c r="W593" s="3" t="str">
        <f t="shared" si="45"/>
        <v/>
      </c>
      <c r="X593" s="4" t="str">
        <f t="shared" si="46"/>
        <v/>
      </c>
      <c r="Y593" s="4" t="str">
        <f t="shared" si="47"/>
        <v/>
      </c>
      <c r="Z593" s="5">
        <f t="shared" si="48"/>
        <v>1</v>
      </c>
      <c r="AA593" s="6">
        <f t="shared" si="49"/>
        <v>3</v>
      </c>
      <c r="AB593" t="str">
        <f>IFERROR(F593&amp;"*"&amp;ROUND(L593*(G593/(G593+I593+K593))/VLOOKUP(F593,商品!$A$4:$D$67,4,FALSE),0),"")</f>
        <v/>
      </c>
      <c r="AC593" t="str">
        <f>IFERROR(H593&amp;"*"&amp;ROUND(L593*(I593/(G593+I593+K593))/VLOOKUP(H593,商品!$A$4:$D$67,4,FALSE),0),"")</f>
        <v/>
      </c>
      <c r="AD593" t="str">
        <f>IFERROR(J593&amp;"*"&amp;ROUND(L593*(K593/(G593+I593+K593))/VLOOKUP(J593,商品!$A$4:$D$67,4,FALSE),0),"")</f>
        <v/>
      </c>
      <c r="AE593" t="str">
        <f>IFERROR(M593&amp;"*"&amp;ROUND(Q593*(N593/(N593+P593))/VLOOKUP(M593,职业!$A$3:$E$16,4,FALSE),0),"")</f>
        <v/>
      </c>
      <c r="AF593" t="str">
        <f>IFERROR(O593&amp;"*"&amp;ROUND(Q593*(P593/(N593+P593))/VLOOKUP(O593,职业!$A$3:$E$16,4,FALSE),0),"")</f>
        <v/>
      </c>
      <c r="AG593" t="str">
        <f>IFERROR(R593&amp;"*"&amp;ROUND(V593*(S593/(S593+U593))/VLOOKUP(R593,商品!$A$4:$D$67,4,FALSE),0),"")</f>
        <v/>
      </c>
      <c r="AH593" t="str">
        <f>IFERROR(T593&amp;"*"&amp;ROUND(V593*(U593/(S593+U593))/VLOOKUP(T593,商品!$A$4:$D$67,4,FALSE),0),"")</f>
        <v/>
      </c>
    </row>
    <row r="594" customHeight="1" spans="1:34">
      <c r="A594" s="15" t="s">
        <v>396</v>
      </c>
      <c r="C594" s="2">
        <v>4</v>
      </c>
      <c r="D594" s="2" t="s">
        <v>238</v>
      </c>
      <c r="E594" s="2" t="s">
        <v>225</v>
      </c>
      <c r="L594" s="2">
        <f>IFERROR(VLOOKUP($D594&amp;$C594,生产方式定位!$A$2:$E$39,2,FALSE)+VLOOKUP($E594&amp;$C594,生产方式定位!$F$3:$J$39,2,FALSE),0)</f>
        <v>8000</v>
      </c>
      <c r="Q594" s="2">
        <f>IFERROR(VLOOKUP($D594&amp;$C594,生产方式定位!$A$2:$E$39,3,FALSE)+VLOOKUP($E594&amp;$C594,生产方式定位!$F$3:$J$39,3,FALSE),0)</f>
        <v>9500</v>
      </c>
      <c r="V594" s="2">
        <f>IFERROR(VLOOKUP($D594&amp;$C594,生产方式定位!$A$2:$E$39,5,FALSE)+VLOOKUP($E594&amp;$C594,生产方式定位!$F$3:$J$39,5,FALSE),"错误")</f>
        <v>8750</v>
      </c>
      <c r="W594" s="3" t="str">
        <f t="shared" si="45"/>
        <v/>
      </c>
      <c r="X594" s="4" t="str">
        <f t="shared" si="46"/>
        <v/>
      </c>
      <c r="Y594" s="4" t="str">
        <f t="shared" si="47"/>
        <v/>
      </c>
      <c r="Z594" s="5">
        <f t="shared" si="48"/>
        <v>0.91</v>
      </c>
      <c r="AA594" s="6">
        <f t="shared" si="49"/>
        <v>4</v>
      </c>
      <c r="AB594" t="str">
        <f>IFERROR(F594&amp;"*"&amp;ROUND(L594*(G594/(G594+I594+K594))/VLOOKUP(F594,商品!$A$4:$D$67,4,FALSE),0),"")</f>
        <v/>
      </c>
      <c r="AC594" t="str">
        <f>IFERROR(H594&amp;"*"&amp;ROUND(L594*(I594/(G594+I594+K594))/VLOOKUP(H594,商品!$A$4:$D$67,4,FALSE),0),"")</f>
        <v/>
      </c>
      <c r="AD594" t="str">
        <f>IFERROR(J594&amp;"*"&amp;ROUND(L594*(K594/(G594+I594+K594))/VLOOKUP(J594,商品!$A$4:$D$67,4,FALSE),0),"")</f>
        <v/>
      </c>
      <c r="AE594" t="str">
        <f>IFERROR(M594&amp;"*"&amp;ROUND(Q594*(N594/(N594+P594))/VLOOKUP(M594,职业!$A$3:$E$16,4,FALSE),0),"")</f>
        <v/>
      </c>
      <c r="AF594" t="str">
        <f>IFERROR(O594&amp;"*"&amp;ROUND(Q594*(P594/(N594+P594))/VLOOKUP(O594,职业!$A$3:$E$16,4,FALSE),0),"")</f>
        <v/>
      </c>
      <c r="AG594" t="str">
        <f>IFERROR(R594&amp;"*"&amp;ROUND(V594*(S594/(S594+U594))/VLOOKUP(R594,商品!$A$4:$D$67,4,FALSE),0),"")</f>
        <v/>
      </c>
      <c r="AH594" t="str">
        <f>IFERROR(T594&amp;"*"&amp;ROUND(V594*(U594/(S594+U594))/VLOOKUP(T594,商品!$A$4:$D$67,4,FALSE),0),"")</f>
        <v/>
      </c>
    </row>
    <row r="595" customHeight="1" spans="1:34">
      <c r="A595" s="15" t="s">
        <v>396</v>
      </c>
      <c r="C595" s="2">
        <v>5</v>
      </c>
      <c r="D595" s="2" t="s">
        <v>238</v>
      </c>
      <c r="E595" s="2" t="s">
        <v>225</v>
      </c>
      <c r="L595" s="2">
        <f>IFERROR(VLOOKUP($D595&amp;$C595,生产方式定位!$A$2:$E$39,2,FALSE)+VLOOKUP($E595&amp;$C595,生产方式定位!$F$3:$J$39,2,FALSE),0)</f>
        <v>7000</v>
      </c>
      <c r="Q595" s="2">
        <f>IFERROR(VLOOKUP($D595&amp;$C595,生产方式定位!$A$2:$E$39,3,FALSE)+VLOOKUP($E595&amp;$C595,生产方式定位!$F$3:$J$39,3,FALSE),0)</f>
        <v>10000</v>
      </c>
      <c r="V595" s="2">
        <f>IFERROR(VLOOKUP($D595&amp;$C595,生产方式定位!$A$2:$E$39,5,FALSE)+VLOOKUP($E595&amp;$C595,生产方式定位!$F$3:$J$39,5,FALSE),"错误")</f>
        <v>8500</v>
      </c>
      <c r="W595" s="3" t="str">
        <f t="shared" si="45"/>
        <v/>
      </c>
      <c r="X595" s="4" t="str">
        <f t="shared" si="46"/>
        <v/>
      </c>
      <c r="Y595" s="4" t="str">
        <f t="shared" si="47"/>
        <v/>
      </c>
      <c r="Z595" s="5">
        <f t="shared" si="48"/>
        <v>0.82</v>
      </c>
      <c r="AA595" s="6">
        <f t="shared" si="49"/>
        <v>5</v>
      </c>
      <c r="AB595" t="str">
        <f>IFERROR(F595&amp;"*"&amp;ROUND(L595*(G595/(G595+I595+K595))/VLOOKUP(F595,商品!$A$4:$D$67,4,FALSE),0),"")</f>
        <v/>
      </c>
      <c r="AC595" t="str">
        <f>IFERROR(H595&amp;"*"&amp;ROUND(L595*(I595/(G595+I595+K595))/VLOOKUP(H595,商品!$A$4:$D$67,4,FALSE),0),"")</f>
        <v/>
      </c>
      <c r="AD595" t="str">
        <f>IFERROR(J595&amp;"*"&amp;ROUND(L595*(K595/(G595+I595+K595))/VLOOKUP(J595,商品!$A$4:$D$67,4,FALSE),0),"")</f>
        <v/>
      </c>
      <c r="AE595" t="str">
        <f>IFERROR(M595&amp;"*"&amp;ROUND(Q595*(N595/(N595+P595))/VLOOKUP(M595,职业!$A$3:$E$16,4,FALSE),0),"")</f>
        <v/>
      </c>
      <c r="AF595" t="str">
        <f>IFERROR(O595&amp;"*"&amp;ROUND(Q595*(P595/(N595+P595))/VLOOKUP(O595,职业!$A$3:$E$16,4,FALSE),0),"")</f>
        <v/>
      </c>
      <c r="AG595" t="str">
        <f>IFERROR(R595&amp;"*"&amp;ROUND(V595*(S595/(S595+U595))/VLOOKUP(R595,商品!$A$4:$D$67,4,FALSE),0),"")</f>
        <v/>
      </c>
      <c r="AH595" t="str">
        <f>IFERROR(T595&amp;"*"&amp;ROUND(V595*(U595/(S595+U595))/VLOOKUP(T595,商品!$A$4:$D$67,4,FALSE),0),"")</f>
        <v/>
      </c>
    </row>
    <row r="596" customHeight="1" spans="1:34">
      <c r="A596" s="15" t="s">
        <v>396</v>
      </c>
      <c r="C596" s="2">
        <v>1</v>
      </c>
      <c r="D596" s="2" t="s">
        <v>238</v>
      </c>
      <c r="E596" s="2" t="s">
        <v>225</v>
      </c>
      <c r="L596" s="2">
        <f>IFERROR(VLOOKUP($D596&amp;$C596,生产方式定位!$A$2:$E$39,2,FALSE)+VLOOKUP($E596&amp;$C596,生产方式定位!$F$3:$J$39,2,FALSE),0)</f>
        <v>11000</v>
      </c>
      <c r="Q596" s="2">
        <f>IFERROR(VLOOKUP($D596&amp;$C596,生产方式定位!$A$2:$E$39,3,FALSE)+VLOOKUP($E596&amp;$C596,生产方式定位!$F$3:$J$39,3,FALSE),0)</f>
        <v>8000</v>
      </c>
      <c r="V596" s="2">
        <f>IFERROR(VLOOKUP($D596&amp;$C596,生产方式定位!$A$2:$E$39,5,FALSE)+VLOOKUP($E596&amp;$C596,生产方式定位!$F$3:$J$39,5,FALSE),"错误")</f>
        <v>9500</v>
      </c>
      <c r="W596" s="3" t="str">
        <f t="shared" si="45"/>
        <v/>
      </c>
      <c r="X596" s="4" t="str">
        <f t="shared" si="46"/>
        <v/>
      </c>
      <c r="Y596" s="4" t="str">
        <f t="shared" si="47"/>
        <v/>
      </c>
      <c r="Z596" s="5">
        <f t="shared" si="48"/>
        <v>1.16</v>
      </c>
      <c r="AA596" s="6">
        <f t="shared" si="49"/>
        <v>1</v>
      </c>
      <c r="AB596" t="str">
        <f>IFERROR(F596&amp;"*"&amp;ROUND(L596*(G596/(G596+I596+K596))/VLOOKUP(F596,商品!$A$4:$D$67,4,FALSE),0),"")</f>
        <v/>
      </c>
      <c r="AC596" t="str">
        <f>IFERROR(H596&amp;"*"&amp;ROUND(L596*(I596/(G596+I596+K596))/VLOOKUP(H596,商品!$A$4:$D$67,4,FALSE),0),"")</f>
        <v/>
      </c>
      <c r="AD596" t="str">
        <f>IFERROR(J596&amp;"*"&amp;ROUND(L596*(K596/(G596+I596+K596))/VLOOKUP(J596,商品!$A$4:$D$67,4,FALSE),0),"")</f>
        <v/>
      </c>
      <c r="AE596" t="str">
        <f>IFERROR(M596&amp;"*"&amp;ROUND(Q596*(N596/(N596+P596))/VLOOKUP(M596,职业!$A$3:$E$16,4,FALSE),0),"")</f>
        <v/>
      </c>
      <c r="AF596" t="str">
        <f>IFERROR(O596&amp;"*"&amp;ROUND(Q596*(P596/(N596+P596))/VLOOKUP(O596,职业!$A$3:$E$16,4,FALSE),0),"")</f>
        <v/>
      </c>
      <c r="AG596" t="str">
        <f>IFERROR(R596&amp;"*"&amp;ROUND(V596*(S596/(S596+U596))/VLOOKUP(R596,商品!$A$4:$D$67,4,FALSE),0),"")</f>
        <v/>
      </c>
      <c r="AH596" t="str">
        <f>IFERROR(T596&amp;"*"&amp;ROUND(V596*(U596/(S596+U596))/VLOOKUP(T596,商品!$A$4:$D$67,4,FALSE),0),"")</f>
        <v/>
      </c>
    </row>
    <row r="597" customHeight="1" spans="1:34">
      <c r="A597" s="14" t="s">
        <v>396</v>
      </c>
      <c r="C597" s="2">
        <v>2</v>
      </c>
      <c r="D597" s="2" t="s">
        <v>238</v>
      </c>
      <c r="E597" s="2" t="s">
        <v>225</v>
      </c>
      <c r="L597" s="2">
        <f>IFERROR(VLOOKUP($D597&amp;$C597,生产方式定位!$A$2:$E$39,2,FALSE)+VLOOKUP($E597&amp;$C597,生产方式定位!$F$3:$J$39,2,FALSE),0)</f>
        <v>10000</v>
      </c>
      <c r="Q597" s="2">
        <f>IFERROR(VLOOKUP($D597&amp;$C597,生产方式定位!$A$2:$E$39,3,FALSE)+VLOOKUP($E597&amp;$C597,生产方式定位!$F$3:$J$39,3,FALSE),0)</f>
        <v>8500</v>
      </c>
      <c r="V597" s="2">
        <f>IFERROR(VLOOKUP($D597&amp;$C597,生产方式定位!$A$2:$E$39,5,FALSE)+VLOOKUP($E597&amp;$C597,生产方式定位!$F$3:$J$39,5,FALSE),"错误")</f>
        <v>9250</v>
      </c>
      <c r="W597" s="3" t="str">
        <f t="shared" si="45"/>
        <v/>
      </c>
      <c r="X597" s="4" t="str">
        <f t="shared" si="46"/>
        <v/>
      </c>
      <c r="Y597" s="4" t="str">
        <f t="shared" si="47"/>
        <v/>
      </c>
      <c r="Z597" s="5">
        <f t="shared" si="48"/>
        <v>1.08</v>
      </c>
      <c r="AA597" s="6">
        <f t="shared" si="49"/>
        <v>2</v>
      </c>
      <c r="AB597" t="str">
        <f>IFERROR(F597&amp;"*"&amp;ROUND(L597*(G597/(G597+I597+K597))/VLOOKUP(F597,商品!$A$4:$D$67,4,FALSE),0),"")</f>
        <v/>
      </c>
      <c r="AC597" t="str">
        <f>IFERROR(H597&amp;"*"&amp;ROUND(L597*(I597/(G597+I597+K597))/VLOOKUP(H597,商品!$A$4:$D$67,4,FALSE),0),"")</f>
        <v/>
      </c>
      <c r="AD597" t="str">
        <f>IFERROR(J597&amp;"*"&amp;ROUND(L597*(K597/(G597+I597+K597))/VLOOKUP(J597,商品!$A$4:$D$67,4,FALSE),0),"")</f>
        <v/>
      </c>
      <c r="AE597" t="str">
        <f>IFERROR(M597&amp;"*"&amp;ROUND(Q597*(N597/(N597+P597))/VLOOKUP(M597,职业!$A$3:$E$16,4,FALSE),0),"")</f>
        <v/>
      </c>
      <c r="AF597" t="str">
        <f>IFERROR(O597&amp;"*"&amp;ROUND(Q597*(P597/(N597+P597))/VLOOKUP(O597,职业!$A$3:$E$16,4,FALSE),0),"")</f>
        <v/>
      </c>
      <c r="AG597" t="str">
        <f>IFERROR(R597&amp;"*"&amp;ROUND(V597*(S597/(S597+U597))/VLOOKUP(R597,商品!$A$4:$D$67,4,FALSE),0),"")</f>
        <v/>
      </c>
      <c r="AH597" t="str">
        <f>IFERROR(T597&amp;"*"&amp;ROUND(V597*(U597/(S597+U597))/VLOOKUP(T597,商品!$A$4:$D$67,4,FALSE),0),"")</f>
        <v/>
      </c>
    </row>
    <row r="598" customHeight="1" spans="1:34">
      <c r="A598" s="14" t="s">
        <v>396</v>
      </c>
      <c r="C598" s="2">
        <v>3</v>
      </c>
      <c r="D598" s="2" t="s">
        <v>238</v>
      </c>
      <c r="E598" s="2" t="s">
        <v>225</v>
      </c>
      <c r="L598" s="2">
        <f>IFERROR(VLOOKUP($D598&amp;$C598,生产方式定位!$A$2:$E$39,2,FALSE)+VLOOKUP($E598&amp;$C598,生产方式定位!$F$3:$J$39,2,FALSE),0)</f>
        <v>9000</v>
      </c>
      <c r="Q598" s="2">
        <f>IFERROR(VLOOKUP($D598&amp;$C598,生产方式定位!$A$2:$E$39,3,FALSE)+VLOOKUP($E598&amp;$C598,生产方式定位!$F$3:$J$39,3,FALSE),0)</f>
        <v>9000</v>
      </c>
      <c r="V598" s="2">
        <f>IFERROR(VLOOKUP($D598&amp;$C598,生产方式定位!$A$2:$E$39,5,FALSE)+VLOOKUP($E598&amp;$C598,生产方式定位!$F$3:$J$39,5,FALSE),"错误")</f>
        <v>9000</v>
      </c>
      <c r="W598" s="3" t="str">
        <f t="shared" si="45"/>
        <v/>
      </c>
      <c r="X598" s="4" t="str">
        <f t="shared" si="46"/>
        <v/>
      </c>
      <c r="Y598" s="4" t="str">
        <f t="shared" si="47"/>
        <v/>
      </c>
      <c r="Z598" s="5">
        <f t="shared" si="48"/>
        <v>1</v>
      </c>
      <c r="AA598" s="6">
        <f t="shared" si="49"/>
        <v>3</v>
      </c>
      <c r="AB598" t="str">
        <f>IFERROR(F598&amp;"*"&amp;ROUND(L598*(G598/(G598+I598+K598))/VLOOKUP(F598,商品!$A$4:$D$67,4,FALSE),0),"")</f>
        <v/>
      </c>
      <c r="AC598" t="str">
        <f>IFERROR(H598&amp;"*"&amp;ROUND(L598*(I598/(G598+I598+K598))/VLOOKUP(H598,商品!$A$4:$D$67,4,FALSE),0),"")</f>
        <v/>
      </c>
      <c r="AD598" t="str">
        <f>IFERROR(J598&amp;"*"&amp;ROUND(L598*(K598/(G598+I598+K598))/VLOOKUP(J598,商品!$A$4:$D$67,4,FALSE),0),"")</f>
        <v/>
      </c>
      <c r="AE598" t="str">
        <f>IFERROR(M598&amp;"*"&amp;ROUND(Q598*(N598/(N598+P598))/VLOOKUP(M598,职业!$A$3:$E$16,4,FALSE),0),"")</f>
        <v/>
      </c>
      <c r="AF598" t="str">
        <f>IFERROR(O598&amp;"*"&amp;ROUND(Q598*(P598/(N598+P598))/VLOOKUP(O598,职业!$A$3:$E$16,4,FALSE),0),"")</f>
        <v/>
      </c>
      <c r="AG598" t="str">
        <f>IFERROR(R598&amp;"*"&amp;ROUND(V598*(S598/(S598+U598))/VLOOKUP(R598,商品!$A$4:$D$67,4,FALSE),0),"")</f>
        <v/>
      </c>
      <c r="AH598" t="str">
        <f>IFERROR(T598&amp;"*"&amp;ROUND(V598*(U598/(S598+U598))/VLOOKUP(T598,商品!$A$4:$D$67,4,FALSE),0),"")</f>
        <v/>
      </c>
    </row>
    <row r="599" customHeight="1" spans="1:34">
      <c r="A599" s="14" t="s">
        <v>396</v>
      </c>
      <c r="C599" s="2">
        <v>4</v>
      </c>
      <c r="D599" s="2" t="s">
        <v>238</v>
      </c>
      <c r="E599" s="2" t="s">
        <v>225</v>
      </c>
      <c r="L599" s="2">
        <f>IFERROR(VLOOKUP($D599&amp;$C599,生产方式定位!$A$2:$E$39,2,FALSE)+VLOOKUP($E599&amp;$C599,生产方式定位!$F$3:$J$39,2,FALSE),0)</f>
        <v>8000</v>
      </c>
      <c r="Q599" s="2">
        <f>IFERROR(VLOOKUP($D599&amp;$C599,生产方式定位!$A$2:$E$39,3,FALSE)+VLOOKUP($E599&amp;$C599,生产方式定位!$F$3:$J$39,3,FALSE),0)</f>
        <v>9500</v>
      </c>
      <c r="V599" s="2">
        <f>IFERROR(VLOOKUP($D599&amp;$C599,生产方式定位!$A$2:$E$39,5,FALSE)+VLOOKUP($E599&amp;$C599,生产方式定位!$F$3:$J$39,5,FALSE),"错误")</f>
        <v>8750</v>
      </c>
      <c r="W599" s="3" t="str">
        <f t="shared" si="45"/>
        <v/>
      </c>
      <c r="X599" s="4" t="str">
        <f t="shared" si="46"/>
        <v/>
      </c>
      <c r="Y599" s="4" t="str">
        <f t="shared" si="47"/>
        <v/>
      </c>
      <c r="Z599" s="5">
        <f t="shared" si="48"/>
        <v>0.91</v>
      </c>
      <c r="AA599" s="6">
        <f t="shared" si="49"/>
        <v>4</v>
      </c>
      <c r="AB599" t="str">
        <f>IFERROR(F599&amp;"*"&amp;ROUND(L599*(G599/(G599+I599+K599))/VLOOKUP(F599,商品!$A$4:$D$67,4,FALSE),0),"")</f>
        <v/>
      </c>
      <c r="AC599" t="str">
        <f>IFERROR(H599&amp;"*"&amp;ROUND(L599*(I599/(G599+I599+K599))/VLOOKUP(H599,商品!$A$4:$D$67,4,FALSE),0),"")</f>
        <v/>
      </c>
      <c r="AD599" t="str">
        <f>IFERROR(J599&amp;"*"&amp;ROUND(L599*(K599/(G599+I599+K599))/VLOOKUP(J599,商品!$A$4:$D$67,4,FALSE),0),"")</f>
        <v/>
      </c>
      <c r="AE599" t="str">
        <f>IFERROR(M599&amp;"*"&amp;ROUND(Q599*(N599/(N599+P599))/VLOOKUP(M599,职业!$A$3:$E$16,4,FALSE),0),"")</f>
        <v/>
      </c>
      <c r="AF599" t="str">
        <f>IFERROR(O599&amp;"*"&amp;ROUND(Q599*(P599/(N599+P599))/VLOOKUP(O599,职业!$A$3:$E$16,4,FALSE),0),"")</f>
        <v/>
      </c>
      <c r="AG599" t="str">
        <f>IFERROR(R599&amp;"*"&amp;ROUND(V599*(S599/(S599+U599))/VLOOKUP(R599,商品!$A$4:$D$67,4,FALSE),0),"")</f>
        <v/>
      </c>
      <c r="AH599" t="str">
        <f>IFERROR(T599&amp;"*"&amp;ROUND(V599*(U599/(S599+U599))/VLOOKUP(T599,商品!$A$4:$D$67,4,FALSE),0),"")</f>
        <v/>
      </c>
    </row>
    <row r="600" customHeight="1" spans="1:34">
      <c r="A600" s="14" t="s">
        <v>396</v>
      </c>
      <c r="C600" s="2">
        <v>5</v>
      </c>
      <c r="D600" s="2" t="s">
        <v>238</v>
      </c>
      <c r="E600" s="2" t="s">
        <v>225</v>
      </c>
      <c r="L600" s="2">
        <f>IFERROR(VLOOKUP($D600&amp;$C600,生产方式定位!$A$2:$E$39,2,FALSE)+VLOOKUP($E600&amp;$C600,生产方式定位!$F$3:$J$39,2,FALSE),0)</f>
        <v>7000</v>
      </c>
      <c r="Q600" s="2">
        <f>IFERROR(VLOOKUP($D600&amp;$C600,生产方式定位!$A$2:$E$39,3,FALSE)+VLOOKUP($E600&amp;$C600,生产方式定位!$F$3:$J$39,3,FALSE),0)</f>
        <v>10000</v>
      </c>
      <c r="V600" s="2">
        <f>IFERROR(VLOOKUP($D600&amp;$C600,生产方式定位!$A$2:$E$39,5,FALSE)+VLOOKUP($E600&amp;$C600,生产方式定位!$F$3:$J$39,5,FALSE),"错误")</f>
        <v>8500</v>
      </c>
      <c r="W600" s="3" t="str">
        <f t="shared" si="45"/>
        <v/>
      </c>
      <c r="X600" s="4" t="str">
        <f t="shared" si="46"/>
        <v/>
      </c>
      <c r="Y600" s="4" t="str">
        <f t="shared" si="47"/>
        <v/>
      </c>
      <c r="Z600" s="5">
        <f t="shared" si="48"/>
        <v>0.82</v>
      </c>
      <c r="AA600" s="6">
        <f t="shared" si="49"/>
        <v>5</v>
      </c>
      <c r="AB600" t="str">
        <f>IFERROR(F600&amp;"*"&amp;ROUND(L600*(G600/(G600+I600+K600))/VLOOKUP(F600,商品!$A$4:$D$67,4,FALSE),0),"")</f>
        <v/>
      </c>
      <c r="AC600" t="str">
        <f>IFERROR(H600&amp;"*"&amp;ROUND(L600*(I600/(G600+I600+K600))/VLOOKUP(H600,商品!$A$4:$D$67,4,FALSE),0),"")</f>
        <v/>
      </c>
      <c r="AD600" t="str">
        <f>IFERROR(J600&amp;"*"&amp;ROUND(L600*(K600/(G600+I600+K600))/VLOOKUP(J600,商品!$A$4:$D$67,4,FALSE),0),"")</f>
        <v/>
      </c>
      <c r="AE600" t="str">
        <f>IFERROR(M600&amp;"*"&amp;ROUND(Q600*(N600/(N600+P600))/VLOOKUP(M600,职业!$A$3:$E$16,4,FALSE),0),"")</f>
        <v/>
      </c>
      <c r="AF600" t="str">
        <f>IFERROR(O600&amp;"*"&amp;ROUND(Q600*(P600/(N600+P600))/VLOOKUP(O600,职业!$A$3:$E$16,4,FALSE),0),"")</f>
        <v/>
      </c>
      <c r="AG600" t="str">
        <f>IFERROR(R600&amp;"*"&amp;ROUND(V600*(S600/(S600+U600))/VLOOKUP(R600,商品!$A$4:$D$67,4,FALSE),0),"")</f>
        <v/>
      </c>
      <c r="AH600" t="str">
        <f>IFERROR(T600&amp;"*"&amp;ROUND(V600*(U600/(S600+U600))/VLOOKUP(T600,商品!$A$4:$D$67,4,FALSE),0),"")</f>
        <v/>
      </c>
    </row>
    <row r="601" customHeight="1" spans="1:34">
      <c r="A601" s="14" t="s">
        <v>396</v>
      </c>
      <c r="C601" s="2">
        <v>1</v>
      </c>
      <c r="D601" s="2" t="s">
        <v>238</v>
      </c>
      <c r="E601" s="2" t="s">
        <v>225</v>
      </c>
      <c r="L601" s="2">
        <f>IFERROR(VLOOKUP($D601&amp;$C601,生产方式定位!$A$2:$E$39,2,FALSE)+VLOOKUP($E601&amp;$C601,生产方式定位!$F$3:$J$39,2,FALSE),0)</f>
        <v>11000</v>
      </c>
      <c r="Q601" s="2">
        <f>IFERROR(VLOOKUP($D601&amp;$C601,生产方式定位!$A$2:$E$39,3,FALSE)+VLOOKUP($E601&amp;$C601,生产方式定位!$F$3:$J$39,3,FALSE),0)</f>
        <v>8000</v>
      </c>
      <c r="V601" s="2">
        <f>IFERROR(VLOOKUP($D601&amp;$C601,生产方式定位!$A$2:$E$39,5,FALSE)+VLOOKUP($E601&amp;$C601,生产方式定位!$F$3:$J$39,5,FALSE),"错误")</f>
        <v>9500</v>
      </c>
      <c r="W601" s="3" t="str">
        <f t="shared" si="45"/>
        <v/>
      </c>
      <c r="X601" s="4" t="str">
        <f t="shared" si="46"/>
        <v/>
      </c>
      <c r="Y601" s="4" t="str">
        <f t="shared" si="47"/>
        <v/>
      </c>
      <c r="Z601" s="5">
        <f t="shared" si="48"/>
        <v>1.16</v>
      </c>
      <c r="AA601" s="6">
        <f t="shared" si="49"/>
        <v>1</v>
      </c>
      <c r="AB601" t="str">
        <f>IFERROR(F601&amp;"*"&amp;ROUND(L601*(G601/(G601+I601+K601))/VLOOKUP(F601,商品!$A$4:$D$67,4,FALSE),0),"")</f>
        <v/>
      </c>
      <c r="AC601" t="str">
        <f>IFERROR(H601&amp;"*"&amp;ROUND(L601*(I601/(G601+I601+K601))/VLOOKUP(H601,商品!$A$4:$D$67,4,FALSE),0),"")</f>
        <v/>
      </c>
      <c r="AD601" t="str">
        <f>IFERROR(J601&amp;"*"&amp;ROUND(L601*(K601/(G601+I601+K601))/VLOOKUP(J601,商品!$A$4:$D$67,4,FALSE),0),"")</f>
        <v/>
      </c>
      <c r="AE601" t="str">
        <f>IFERROR(M601&amp;"*"&amp;ROUND(Q601*(N601/(N601+P601))/VLOOKUP(M601,职业!$A$3:$E$16,4,FALSE),0),"")</f>
        <v/>
      </c>
      <c r="AF601" t="str">
        <f>IFERROR(O601&amp;"*"&amp;ROUND(Q601*(P601/(N601+P601))/VLOOKUP(O601,职业!$A$3:$E$16,4,FALSE),0),"")</f>
        <v/>
      </c>
      <c r="AG601" t="str">
        <f>IFERROR(R601&amp;"*"&amp;ROUND(V601*(S601/(S601+U601))/VLOOKUP(R601,商品!$A$4:$D$67,4,FALSE),0),"")</f>
        <v/>
      </c>
      <c r="AH601" t="str">
        <f>IFERROR(T601&amp;"*"&amp;ROUND(V601*(U601/(S601+U601))/VLOOKUP(T601,商品!$A$4:$D$67,4,FALSE),0),"")</f>
        <v/>
      </c>
    </row>
    <row r="602" customHeight="1" spans="1:34">
      <c r="A602" s="14" t="s">
        <v>396</v>
      </c>
      <c r="C602" s="2">
        <v>2</v>
      </c>
      <c r="D602" s="2" t="s">
        <v>238</v>
      </c>
      <c r="E602" s="2" t="s">
        <v>225</v>
      </c>
      <c r="L602" s="2">
        <f>IFERROR(VLOOKUP($D602&amp;$C602,生产方式定位!$A$2:$E$39,2,FALSE)+VLOOKUP($E602&amp;$C602,生产方式定位!$F$3:$J$39,2,FALSE),0)</f>
        <v>10000</v>
      </c>
      <c r="Q602" s="2">
        <f>IFERROR(VLOOKUP($D602&amp;$C602,生产方式定位!$A$2:$E$39,3,FALSE)+VLOOKUP($E602&amp;$C602,生产方式定位!$F$3:$J$39,3,FALSE),0)</f>
        <v>8500</v>
      </c>
      <c r="V602" s="2">
        <f>IFERROR(VLOOKUP($D602&amp;$C602,生产方式定位!$A$2:$E$39,5,FALSE)+VLOOKUP($E602&amp;$C602,生产方式定位!$F$3:$J$39,5,FALSE),"错误")</f>
        <v>9250</v>
      </c>
      <c r="W602" s="3" t="str">
        <f t="shared" si="45"/>
        <v/>
      </c>
      <c r="X602" s="4" t="str">
        <f t="shared" si="46"/>
        <v/>
      </c>
      <c r="Y602" s="4" t="str">
        <f t="shared" si="47"/>
        <v/>
      </c>
      <c r="Z602" s="5">
        <f t="shared" si="48"/>
        <v>1.08</v>
      </c>
      <c r="AA602" s="6">
        <f t="shared" si="49"/>
        <v>2</v>
      </c>
      <c r="AB602" t="str">
        <f>IFERROR(F602&amp;"*"&amp;ROUND(L602*(G602/(G602+I602+K602))/VLOOKUP(F602,商品!$A$4:$D$67,4,FALSE),0),"")</f>
        <v/>
      </c>
      <c r="AC602" t="str">
        <f>IFERROR(H602&amp;"*"&amp;ROUND(L602*(I602/(G602+I602+K602))/VLOOKUP(H602,商品!$A$4:$D$67,4,FALSE),0),"")</f>
        <v/>
      </c>
      <c r="AD602" t="str">
        <f>IFERROR(J602&amp;"*"&amp;ROUND(L602*(K602/(G602+I602+K602))/VLOOKUP(J602,商品!$A$4:$D$67,4,FALSE),0),"")</f>
        <v/>
      </c>
      <c r="AE602" t="str">
        <f>IFERROR(M602&amp;"*"&amp;ROUND(Q602*(N602/(N602+P602))/VLOOKUP(M602,职业!$A$3:$E$16,4,FALSE),0),"")</f>
        <v/>
      </c>
      <c r="AF602" t="str">
        <f>IFERROR(O602&amp;"*"&amp;ROUND(Q602*(P602/(N602+P602))/VLOOKUP(O602,职业!$A$3:$E$16,4,FALSE),0),"")</f>
        <v/>
      </c>
      <c r="AG602" t="str">
        <f>IFERROR(R602&amp;"*"&amp;ROUND(V602*(S602/(S602+U602))/VLOOKUP(R602,商品!$A$4:$D$67,4,FALSE),0),"")</f>
        <v/>
      </c>
      <c r="AH602" t="str">
        <f>IFERROR(T602&amp;"*"&amp;ROUND(V602*(U602/(S602+U602))/VLOOKUP(T602,商品!$A$4:$D$67,4,FALSE),0),"")</f>
        <v/>
      </c>
    </row>
    <row r="603" customHeight="1" spans="1:34">
      <c r="A603" s="14" t="s">
        <v>396</v>
      </c>
      <c r="C603" s="2">
        <v>3</v>
      </c>
      <c r="D603" s="2" t="s">
        <v>238</v>
      </c>
      <c r="E603" s="2" t="s">
        <v>225</v>
      </c>
      <c r="L603" s="2">
        <f>IFERROR(VLOOKUP($D603&amp;$C603,生产方式定位!$A$2:$E$39,2,FALSE)+VLOOKUP($E603&amp;$C603,生产方式定位!$F$3:$J$39,2,FALSE),0)</f>
        <v>9000</v>
      </c>
      <c r="Q603" s="2">
        <f>IFERROR(VLOOKUP($D603&amp;$C603,生产方式定位!$A$2:$E$39,3,FALSE)+VLOOKUP($E603&amp;$C603,生产方式定位!$F$3:$J$39,3,FALSE),0)</f>
        <v>9000</v>
      </c>
      <c r="V603" s="2">
        <f>IFERROR(VLOOKUP($D603&amp;$C603,生产方式定位!$A$2:$E$39,5,FALSE)+VLOOKUP($E603&amp;$C603,生产方式定位!$F$3:$J$39,5,FALSE),"错误")</f>
        <v>9000</v>
      </c>
      <c r="W603" s="3" t="str">
        <f t="shared" si="45"/>
        <v/>
      </c>
      <c r="X603" s="4" t="str">
        <f t="shared" si="46"/>
        <v/>
      </c>
      <c r="Y603" s="4" t="str">
        <f t="shared" si="47"/>
        <v/>
      </c>
      <c r="Z603" s="5">
        <f t="shared" si="48"/>
        <v>1</v>
      </c>
      <c r="AA603" s="6">
        <f t="shared" si="49"/>
        <v>3</v>
      </c>
      <c r="AB603" t="str">
        <f>IFERROR(F603&amp;"*"&amp;ROUND(L603*(G603/(G603+I603+K603))/VLOOKUP(F603,商品!$A$4:$D$67,4,FALSE),0),"")</f>
        <v/>
      </c>
      <c r="AC603" t="str">
        <f>IFERROR(H603&amp;"*"&amp;ROUND(L603*(I603/(G603+I603+K603))/VLOOKUP(H603,商品!$A$4:$D$67,4,FALSE),0),"")</f>
        <v/>
      </c>
      <c r="AD603" t="str">
        <f>IFERROR(J603&amp;"*"&amp;ROUND(L603*(K603/(G603+I603+K603))/VLOOKUP(J603,商品!$A$4:$D$67,4,FALSE),0),"")</f>
        <v/>
      </c>
      <c r="AE603" t="str">
        <f>IFERROR(M603&amp;"*"&amp;ROUND(Q603*(N603/(N603+P603))/VLOOKUP(M603,职业!$A$3:$E$16,4,FALSE),0),"")</f>
        <v/>
      </c>
      <c r="AF603" t="str">
        <f>IFERROR(O603&amp;"*"&amp;ROUND(Q603*(P603/(N603+P603))/VLOOKUP(O603,职业!$A$3:$E$16,4,FALSE),0),"")</f>
        <v/>
      </c>
      <c r="AG603" t="str">
        <f>IFERROR(R603&amp;"*"&amp;ROUND(V603*(S603/(S603+U603))/VLOOKUP(R603,商品!$A$4:$D$67,4,FALSE),0),"")</f>
        <v/>
      </c>
      <c r="AH603" t="str">
        <f>IFERROR(T603&amp;"*"&amp;ROUND(V603*(U603/(S603+U603))/VLOOKUP(T603,商品!$A$4:$D$67,4,FALSE),0),"")</f>
        <v/>
      </c>
    </row>
    <row r="604" customHeight="1" spans="1:34">
      <c r="A604" s="14" t="s">
        <v>396</v>
      </c>
      <c r="C604" s="2">
        <v>4</v>
      </c>
      <c r="D604" s="2" t="s">
        <v>238</v>
      </c>
      <c r="E604" s="2" t="s">
        <v>225</v>
      </c>
      <c r="L604" s="2">
        <f>IFERROR(VLOOKUP($D604&amp;$C604,生产方式定位!$A$2:$E$39,2,FALSE)+VLOOKUP($E604&amp;$C604,生产方式定位!$F$3:$J$39,2,FALSE),0)</f>
        <v>8000</v>
      </c>
      <c r="Q604" s="2">
        <f>IFERROR(VLOOKUP($D604&amp;$C604,生产方式定位!$A$2:$E$39,3,FALSE)+VLOOKUP($E604&amp;$C604,生产方式定位!$F$3:$J$39,3,FALSE),0)</f>
        <v>9500</v>
      </c>
      <c r="V604" s="2">
        <f>IFERROR(VLOOKUP($D604&amp;$C604,生产方式定位!$A$2:$E$39,5,FALSE)+VLOOKUP($E604&amp;$C604,生产方式定位!$F$3:$J$39,5,FALSE),"错误")</f>
        <v>8750</v>
      </c>
      <c r="W604" s="3" t="str">
        <f t="shared" si="45"/>
        <v/>
      </c>
      <c r="X604" s="4" t="str">
        <f t="shared" si="46"/>
        <v/>
      </c>
      <c r="Y604" s="4" t="str">
        <f t="shared" si="47"/>
        <v/>
      </c>
      <c r="Z604" s="5">
        <f t="shared" si="48"/>
        <v>0.91</v>
      </c>
      <c r="AA604" s="6">
        <f t="shared" si="49"/>
        <v>4</v>
      </c>
      <c r="AB604" t="str">
        <f>IFERROR(F604&amp;"*"&amp;ROUND(L604*(G604/(G604+I604+K604))/VLOOKUP(F604,商品!$A$4:$D$67,4,FALSE),0),"")</f>
        <v/>
      </c>
      <c r="AC604" t="str">
        <f>IFERROR(H604&amp;"*"&amp;ROUND(L604*(I604/(G604+I604+K604))/VLOOKUP(H604,商品!$A$4:$D$67,4,FALSE),0),"")</f>
        <v/>
      </c>
      <c r="AD604" t="str">
        <f>IFERROR(J604&amp;"*"&amp;ROUND(L604*(K604/(G604+I604+K604))/VLOOKUP(J604,商品!$A$4:$D$67,4,FALSE),0),"")</f>
        <v/>
      </c>
      <c r="AE604" t="str">
        <f>IFERROR(M604&amp;"*"&amp;ROUND(Q604*(N604/(N604+P604))/VLOOKUP(M604,职业!$A$3:$E$16,4,FALSE),0),"")</f>
        <v/>
      </c>
      <c r="AF604" t="str">
        <f>IFERROR(O604&amp;"*"&amp;ROUND(Q604*(P604/(N604+P604))/VLOOKUP(O604,职业!$A$3:$E$16,4,FALSE),0),"")</f>
        <v/>
      </c>
      <c r="AG604" t="str">
        <f>IFERROR(R604&amp;"*"&amp;ROUND(V604*(S604/(S604+U604))/VLOOKUP(R604,商品!$A$4:$D$67,4,FALSE),0),"")</f>
        <v/>
      </c>
      <c r="AH604" t="str">
        <f>IFERROR(T604&amp;"*"&amp;ROUND(V604*(U604/(S604+U604))/VLOOKUP(T604,商品!$A$4:$D$67,4,FALSE),0),"")</f>
        <v/>
      </c>
    </row>
    <row r="605" customHeight="1" spans="1:34">
      <c r="A605" s="15" t="s">
        <v>398</v>
      </c>
      <c r="C605" s="2">
        <v>5</v>
      </c>
      <c r="D605" s="2" t="s">
        <v>238</v>
      </c>
      <c r="E605" s="2" t="s">
        <v>222</v>
      </c>
      <c r="L605" s="2">
        <f>IFERROR(VLOOKUP($D605&amp;$C605,生产方式定位!$A$2:$E$39,2,FALSE)+VLOOKUP($E605&amp;$C605,生产方式定位!$F$3:$J$39,2,FALSE),0)</f>
        <v>11000</v>
      </c>
      <c r="Q605" s="2">
        <f>IFERROR(VLOOKUP($D605&amp;$C605,生产方式定位!$A$2:$E$39,3,FALSE)+VLOOKUP($E605&amp;$C605,生产方式定位!$F$3:$J$39,3,FALSE),0)</f>
        <v>10800</v>
      </c>
      <c r="V605" s="2">
        <f>IFERROR(VLOOKUP($D605&amp;$C605,生产方式定位!$A$2:$E$39,5,FALSE)+VLOOKUP($E605&amp;$C605,生产方式定位!$F$3:$J$39,5,FALSE),"错误")</f>
        <v>12100</v>
      </c>
      <c r="W605" s="3" t="str">
        <f t="shared" si="45"/>
        <v/>
      </c>
      <c r="X605" s="4" t="str">
        <f t="shared" si="46"/>
        <v/>
      </c>
      <c r="Y605" s="4" t="str">
        <f t="shared" si="47"/>
        <v/>
      </c>
      <c r="Z605" s="5">
        <f t="shared" si="48"/>
        <v>0.91</v>
      </c>
      <c r="AA605" s="6">
        <f t="shared" si="49"/>
        <v>5</v>
      </c>
      <c r="AB605" t="str">
        <f>IFERROR(F605&amp;"*"&amp;ROUND(L605*(G605/(G605+I605+K605))/VLOOKUP(F605,商品!$A$4:$D$67,4,FALSE),0),"")</f>
        <v/>
      </c>
      <c r="AC605" t="str">
        <f>IFERROR(H605&amp;"*"&amp;ROUND(L605*(I605/(G605+I605+K605))/VLOOKUP(H605,商品!$A$4:$D$67,4,FALSE),0),"")</f>
        <v/>
      </c>
      <c r="AD605" t="str">
        <f>IFERROR(J605&amp;"*"&amp;ROUND(L605*(K605/(G605+I605+K605))/VLOOKUP(J605,商品!$A$4:$D$67,4,FALSE),0),"")</f>
        <v/>
      </c>
      <c r="AE605" t="str">
        <f>IFERROR(M605&amp;"*"&amp;ROUND(Q605*(N605/(N605+P605))/VLOOKUP(M605,职业!$A$3:$E$16,4,FALSE),0),"")</f>
        <v/>
      </c>
      <c r="AF605" t="str">
        <f>IFERROR(O605&amp;"*"&amp;ROUND(Q605*(P605/(N605+P605))/VLOOKUP(O605,职业!$A$3:$E$16,4,FALSE),0),"")</f>
        <v/>
      </c>
      <c r="AG605" t="str">
        <f>IFERROR(R605&amp;"*"&amp;ROUND(V605*(S605/(S605+U605))/VLOOKUP(R605,商品!$A$4:$D$67,4,FALSE),0),"")</f>
        <v/>
      </c>
      <c r="AH605" t="str">
        <f>IFERROR(T605&amp;"*"&amp;ROUND(V605*(U605/(S605+U605))/VLOOKUP(T605,商品!$A$4:$D$67,4,FALSE),0),"")</f>
        <v/>
      </c>
    </row>
    <row r="606" customHeight="1" spans="1:34">
      <c r="A606" s="15" t="s">
        <v>398</v>
      </c>
      <c r="C606" s="2">
        <v>1</v>
      </c>
      <c r="D606" s="2" t="s">
        <v>238</v>
      </c>
      <c r="E606" s="2" t="s">
        <v>222</v>
      </c>
      <c r="L606" s="2">
        <f>IFERROR(VLOOKUP($D606&amp;$C606,生产方式定位!$A$2:$E$39,2,FALSE)+VLOOKUP($E606&amp;$C606,生产方式定位!$F$3:$J$39,2,FALSE),0)</f>
        <v>11000</v>
      </c>
      <c r="Q606" s="2">
        <f>IFERROR(VLOOKUP($D606&amp;$C606,生产方式定位!$A$2:$E$39,3,FALSE)+VLOOKUP($E606&amp;$C606,生产方式定位!$F$3:$J$39,3,FALSE),0)</f>
        <v>8000</v>
      </c>
      <c r="V606" s="2">
        <f>IFERROR(VLOOKUP($D606&amp;$C606,生产方式定位!$A$2:$E$39,5,FALSE)+VLOOKUP($E606&amp;$C606,生产方式定位!$F$3:$J$39,5,FALSE),"错误")</f>
        <v>9500</v>
      </c>
      <c r="W606" s="3" t="str">
        <f t="shared" si="45"/>
        <v/>
      </c>
      <c r="X606" s="4" t="str">
        <f t="shared" si="46"/>
        <v/>
      </c>
      <c r="Y606" s="4" t="str">
        <f t="shared" si="47"/>
        <v/>
      </c>
      <c r="Z606" s="5">
        <f t="shared" si="48"/>
        <v>1.16</v>
      </c>
      <c r="AA606" s="6">
        <f t="shared" si="49"/>
        <v>1</v>
      </c>
      <c r="AB606" t="str">
        <f>IFERROR(F606&amp;"*"&amp;ROUND(L606*(G606/(G606+I606+K606))/VLOOKUP(F606,商品!$A$4:$D$67,4,FALSE),0),"")</f>
        <v/>
      </c>
      <c r="AC606" t="str">
        <f>IFERROR(H606&amp;"*"&amp;ROUND(L606*(I606/(G606+I606+K606))/VLOOKUP(H606,商品!$A$4:$D$67,4,FALSE),0),"")</f>
        <v/>
      </c>
      <c r="AD606" t="str">
        <f>IFERROR(J606&amp;"*"&amp;ROUND(L606*(K606/(G606+I606+K606))/VLOOKUP(J606,商品!$A$4:$D$67,4,FALSE),0),"")</f>
        <v/>
      </c>
      <c r="AE606" t="str">
        <f>IFERROR(M606&amp;"*"&amp;ROUND(Q606*(N606/(N606+P606))/VLOOKUP(M606,职业!$A$3:$E$16,4,FALSE),0),"")</f>
        <v/>
      </c>
      <c r="AF606" t="str">
        <f>IFERROR(O606&amp;"*"&amp;ROUND(Q606*(P606/(N606+P606))/VLOOKUP(O606,职业!$A$3:$E$16,4,FALSE),0),"")</f>
        <v/>
      </c>
      <c r="AG606" t="str">
        <f>IFERROR(R606&amp;"*"&amp;ROUND(V606*(S606/(S606+U606))/VLOOKUP(R606,商品!$A$4:$D$67,4,FALSE),0),"")</f>
        <v/>
      </c>
      <c r="AH606" t="str">
        <f>IFERROR(T606&amp;"*"&amp;ROUND(V606*(U606/(S606+U606))/VLOOKUP(T606,商品!$A$4:$D$67,4,FALSE),0),"")</f>
        <v/>
      </c>
    </row>
    <row r="607" customHeight="1" spans="1:34">
      <c r="A607" s="15" t="s">
        <v>398</v>
      </c>
      <c r="C607" s="2">
        <v>2</v>
      </c>
      <c r="D607" s="2" t="s">
        <v>238</v>
      </c>
      <c r="E607" s="2" t="s">
        <v>222</v>
      </c>
      <c r="L607" s="2">
        <f>IFERROR(VLOOKUP($D607&amp;$C607,生产方式定位!$A$2:$E$39,2,FALSE)+VLOOKUP($E607&amp;$C607,生产方式定位!$F$3:$J$39,2,FALSE),0)</f>
        <v>11000</v>
      </c>
      <c r="Q607" s="2">
        <f>IFERROR(VLOOKUP($D607&amp;$C607,生产方式定位!$A$2:$E$39,3,FALSE)+VLOOKUP($E607&amp;$C607,生产方式定位!$F$3:$J$39,3,FALSE),0)</f>
        <v>8700</v>
      </c>
      <c r="V607" s="2">
        <f>IFERROR(VLOOKUP($D607&amp;$C607,生产方式定位!$A$2:$E$39,5,FALSE)+VLOOKUP($E607&amp;$C607,生产方式定位!$F$3:$J$39,5,FALSE),"错误")</f>
        <v>9922</v>
      </c>
      <c r="W607" s="3" t="str">
        <f t="shared" si="45"/>
        <v/>
      </c>
      <c r="X607" s="4" t="str">
        <f t="shared" si="46"/>
        <v/>
      </c>
      <c r="Y607" s="4" t="str">
        <f t="shared" si="47"/>
        <v/>
      </c>
      <c r="Z607" s="5">
        <f t="shared" si="48"/>
        <v>1.11</v>
      </c>
      <c r="AA607" s="6">
        <f t="shared" si="49"/>
        <v>2</v>
      </c>
      <c r="AB607" t="str">
        <f>IFERROR(F607&amp;"*"&amp;ROUND(L607*(G607/(G607+I607+K607))/VLOOKUP(F607,商品!$A$4:$D$67,4,FALSE),0),"")</f>
        <v/>
      </c>
      <c r="AC607" t="str">
        <f>IFERROR(H607&amp;"*"&amp;ROUND(L607*(I607/(G607+I607+K607))/VLOOKUP(H607,商品!$A$4:$D$67,4,FALSE),0),"")</f>
        <v/>
      </c>
      <c r="AD607" t="str">
        <f>IFERROR(J607&amp;"*"&amp;ROUND(L607*(K607/(G607+I607+K607))/VLOOKUP(J607,商品!$A$4:$D$67,4,FALSE),0),"")</f>
        <v/>
      </c>
      <c r="AE607" t="str">
        <f>IFERROR(M607&amp;"*"&amp;ROUND(Q607*(N607/(N607+P607))/VLOOKUP(M607,职业!$A$3:$E$16,4,FALSE),0),"")</f>
        <v/>
      </c>
      <c r="AF607" t="str">
        <f>IFERROR(O607&amp;"*"&amp;ROUND(Q607*(P607/(N607+P607))/VLOOKUP(O607,职业!$A$3:$E$16,4,FALSE),0),"")</f>
        <v/>
      </c>
      <c r="AG607" t="str">
        <f>IFERROR(R607&amp;"*"&amp;ROUND(V607*(S607/(S607+U607))/VLOOKUP(R607,商品!$A$4:$D$67,4,FALSE),0),"")</f>
        <v/>
      </c>
      <c r="AH607" t="str">
        <f>IFERROR(T607&amp;"*"&amp;ROUND(V607*(U607/(S607+U607))/VLOOKUP(T607,商品!$A$4:$D$67,4,FALSE),0),"")</f>
        <v/>
      </c>
    </row>
    <row r="608" customHeight="1" spans="1:34">
      <c r="A608" s="15" t="s">
        <v>398</v>
      </c>
      <c r="C608" s="2">
        <v>3</v>
      </c>
      <c r="D608" s="2" t="s">
        <v>238</v>
      </c>
      <c r="E608" s="2" t="s">
        <v>222</v>
      </c>
      <c r="L608" s="2">
        <f>IFERROR(VLOOKUP($D608&amp;$C608,生产方式定位!$A$2:$E$39,2,FALSE)+VLOOKUP($E608&amp;$C608,生产方式定位!$F$3:$J$39,2,FALSE),0)</f>
        <v>11000</v>
      </c>
      <c r="Q608" s="2">
        <f>IFERROR(VLOOKUP($D608&amp;$C608,生产方式定位!$A$2:$E$39,3,FALSE)+VLOOKUP($E608&amp;$C608,生产方式定位!$F$3:$J$39,3,FALSE),0)</f>
        <v>9400</v>
      </c>
      <c r="V608" s="2">
        <f>IFERROR(VLOOKUP($D608&amp;$C608,生产方式定位!$A$2:$E$39,5,FALSE)+VLOOKUP($E608&amp;$C608,生产方式定位!$F$3:$J$39,5,FALSE),"错误")</f>
        <v>10488</v>
      </c>
      <c r="W608" s="3" t="str">
        <f t="shared" si="45"/>
        <v/>
      </c>
      <c r="X608" s="4" t="str">
        <f t="shared" si="46"/>
        <v/>
      </c>
      <c r="Y608" s="4" t="str">
        <f t="shared" si="47"/>
        <v/>
      </c>
      <c r="Z608" s="5">
        <f t="shared" si="48"/>
        <v>1.05</v>
      </c>
      <c r="AA608" s="6">
        <f t="shared" si="49"/>
        <v>3</v>
      </c>
      <c r="AB608" t="str">
        <f>IFERROR(F608&amp;"*"&amp;ROUND(L608*(G608/(G608+I608+K608))/VLOOKUP(F608,商品!$A$4:$D$67,4,FALSE),0),"")</f>
        <v/>
      </c>
      <c r="AC608" t="str">
        <f>IFERROR(H608&amp;"*"&amp;ROUND(L608*(I608/(G608+I608+K608))/VLOOKUP(H608,商品!$A$4:$D$67,4,FALSE),0),"")</f>
        <v/>
      </c>
      <c r="AD608" t="str">
        <f>IFERROR(J608&amp;"*"&amp;ROUND(L608*(K608/(G608+I608+K608))/VLOOKUP(J608,商品!$A$4:$D$67,4,FALSE),0),"")</f>
        <v/>
      </c>
      <c r="AE608" t="str">
        <f>IFERROR(M608&amp;"*"&amp;ROUND(Q608*(N608/(N608+P608))/VLOOKUP(M608,职业!$A$3:$E$16,4,FALSE),0),"")</f>
        <v/>
      </c>
      <c r="AF608" t="str">
        <f>IFERROR(O608&amp;"*"&amp;ROUND(Q608*(P608/(N608+P608))/VLOOKUP(O608,职业!$A$3:$E$16,4,FALSE),0),"")</f>
        <v/>
      </c>
      <c r="AG608" t="str">
        <f>IFERROR(R608&amp;"*"&amp;ROUND(V608*(S608/(S608+U608))/VLOOKUP(R608,商品!$A$4:$D$67,4,FALSE),0),"")</f>
        <v/>
      </c>
      <c r="AH608" t="str">
        <f>IFERROR(T608&amp;"*"&amp;ROUND(V608*(U608/(S608+U608))/VLOOKUP(T608,商品!$A$4:$D$67,4,FALSE),0),"")</f>
        <v/>
      </c>
    </row>
    <row r="609" customHeight="1" spans="1:34">
      <c r="A609" s="15" t="s">
        <v>398</v>
      </c>
      <c r="C609" s="2">
        <v>4</v>
      </c>
      <c r="D609" s="2" t="s">
        <v>238</v>
      </c>
      <c r="E609" s="2" t="s">
        <v>222</v>
      </c>
      <c r="L609" s="2">
        <f>IFERROR(VLOOKUP($D609&amp;$C609,生产方式定位!$A$2:$E$39,2,FALSE)+VLOOKUP($E609&amp;$C609,生产方式定位!$F$3:$J$39,2,FALSE),0)</f>
        <v>11000</v>
      </c>
      <c r="Q609" s="2">
        <f>IFERROR(VLOOKUP($D609&amp;$C609,生产方式定位!$A$2:$E$39,3,FALSE)+VLOOKUP($E609&amp;$C609,生产方式定位!$F$3:$J$39,3,FALSE),0)</f>
        <v>10100</v>
      </c>
      <c r="V609" s="2">
        <f>IFERROR(VLOOKUP($D609&amp;$C609,生产方式定位!$A$2:$E$39,5,FALSE)+VLOOKUP($E609&amp;$C609,生产方式定位!$F$3:$J$39,5,FALSE),"错误")</f>
        <v>11198</v>
      </c>
      <c r="W609" s="3" t="str">
        <f t="shared" si="45"/>
        <v/>
      </c>
      <c r="X609" s="4" t="str">
        <f t="shared" si="46"/>
        <v/>
      </c>
      <c r="Y609" s="4" t="str">
        <f t="shared" si="47"/>
        <v/>
      </c>
      <c r="Z609" s="5">
        <f t="shared" si="48"/>
        <v>0.98</v>
      </c>
      <c r="AA609" s="6">
        <f t="shared" si="49"/>
        <v>4</v>
      </c>
      <c r="AB609" t="str">
        <f>IFERROR(F609&amp;"*"&amp;ROUND(L609*(G609/(G609+I609+K609))/VLOOKUP(F609,商品!$A$4:$D$67,4,FALSE),0),"")</f>
        <v/>
      </c>
      <c r="AC609" t="str">
        <f>IFERROR(H609&amp;"*"&amp;ROUND(L609*(I609/(G609+I609+K609))/VLOOKUP(H609,商品!$A$4:$D$67,4,FALSE),0),"")</f>
        <v/>
      </c>
      <c r="AD609" t="str">
        <f>IFERROR(J609&amp;"*"&amp;ROUND(L609*(K609/(G609+I609+K609))/VLOOKUP(J609,商品!$A$4:$D$67,4,FALSE),0),"")</f>
        <v/>
      </c>
      <c r="AE609" t="str">
        <f>IFERROR(M609&amp;"*"&amp;ROUND(Q609*(N609/(N609+P609))/VLOOKUP(M609,职业!$A$3:$E$16,4,FALSE),0),"")</f>
        <v/>
      </c>
      <c r="AF609" t="str">
        <f>IFERROR(O609&amp;"*"&amp;ROUND(Q609*(P609/(N609+P609))/VLOOKUP(O609,职业!$A$3:$E$16,4,FALSE),0),"")</f>
        <v/>
      </c>
      <c r="AG609" t="str">
        <f>IFERROR(R609&amp;"*"&amp;ROUND(V609*(S609/(S609+U609))/VLOOKUP(R609,商品!$A$4:$D$67,4,FALSE),0),"")</f>
        <v/>
      </c>
      <c r="AH609" t="str">
        <f>IFERROR(T609&amp;"*"&amp;ROUND(V609*(U609/(S609+U609))/VLOOKUP(T609,商品!$A$4:$D$67,4,FALSE),0),"")</f>
        <v/>
      </c>
    </row>
    <row r="610" customHeight="1" spans="1:34">
      <c r="A610" s="14" t="s">
        <v>399</v>
      </c>
      <c r="C610" s="2">
        <v>5</v>
      </c>
      <c r="D610" s="2" t="s">
        <v>238</v>
      </c>
      <c r="E610" s="2" t="s">
        <v>225</v>
      </c>
      <c r="L610" s="2">
        <f>IFERROR(VLOOKUP($D610&amp;$C610,生产方式定位!$A$2:$E$39,2,FALSE)+VLOOKUP($E610&amp;$C610,生产方式定位!$F$3:$J$39,2,FALSE),0)</f>
        <v>7000</v>
      </c>
      <c r="Q610" s="2">
        <f>IFERROR(VLOOKUP($D610&amp;$C610,生产方式定位!$A$2:$E$39,3,FALSE)+VLOOKUP($E610&amp;$C610,生产方式定位!$F$3:$J$39,3,FALSE),0)</f>
        <v>10000</v>
      </c>
      <c r="V610" s="2">
        <f>IFERROR(VLOOKUP($D610&amp;$C610,生产方式定位!$A$2:$E$39,5,FALSE)+VLOOKUP($E610&amp;$C610,生产方式定位!$F$3:$J$39,5,FALSE),"错误")</f>
        <v>8500</v>
      </c>
      <c r="W610" s="3" t="str">
        <f t="shared" si="45"/>
        <v/>
      </c>
      <c r="X610" s="4" t="str">
        <f t="shared" si="46"/>
        <v/>
      </c>
      <c r="Y610" s="4" t="str">
        <f t="shared" si="47"/>
        <v/>
      </c>
      <c r="Z610" s="5">
        <f t="shared" si="48"/>
        <v>0.82</v>
      </c>
      <c r="AA610" s="6">
        <f t="shared" si="49"/>
        <v>5</v>
      </c>
      <c r="AB610" t="str">
        <f>IFERROR(F610&amp;"*"&amp;ROUND(L610*(G610/(G610+I610+K610))/VLOOKUP(F610,商品!$A$4:$D$67,4,FALSE),0),"")</f>
        <v/>
      </c>
      <c r="AC610" t="str">
        <f>IFERROR(H610&amp;"*"&amp;ROUND(L610*(I610/(G610+I610+K610))/VLOOKUP(H610,商品!$A$4:$D$67,4,FALSE),0),"")</f>
        <v/>
      </c>
      <c r="AD610" t="str">
        <f>IFERROR(J610&amp;"*"&amp;ROUND(L610*(K610/(G610+I610+K610))/VLOOKUP(J610,商品!$A$4:$D$67,4,FALSE),0),"")</f>
        <v/>
      </c>
      <c r="AE610" t="str">
        <f>IFERROR(M610&amp;"*"&amp;ROUND(Q610*(N610/(N610+P610))/VLOOKUP(M610,职业!$A$3:$E$16,4,FALSE),0),"")</f>
        <v/>
      </c>
      <c r="AF610" t="str">
        <f>IFERROR(O610&amp;"*"&amp;ROUND(Q610*(P610/(N610+P610))/VLOOKUP(O610,职业!$A$3:$E$16,4,FALSE),0),"")</f>
        <v/>
      </c>
      <c r="AG610" t="str">
        <f>IFERROR(R610&amp;"*"&amp;ROUND(V610*(S610/(S610+U610))/VLOOKUP(R610,商品!$A$4:$D$67,4,FALSE),0),"")</f>
        <v/>
      </c>
      <c r="AH610" t="str">
        <f>IFERROR(T610&amp;"*"&amp;ROUND(V610*(U610/(S610+U610))/VLOOKUP(T610,商品!$A$4:$D$67,4,FALSE),0),"")</f>
        <v/>
      </c>
    </row>
    <row r="611" customHeight="1" spans="1:34">
      <c r="A611" s="14" t="s">
        <v>399</v>
      </c>
      <c r="C611" s="2">
        <v>1</v>
      </c>
      <c r="D611" s="2" t="s">
        <v>238</v>
      </c>
      <c r="E611" s="2" t="s">
        <v>225</v>
      </c>
      <c r="L611" s="2">
        <f>IFERROR(VLOOKUP($D611&amp;$C611,生产方式定位!$A$2:$E$39,2,FALSE)+VLOOKUP($E611&amp;$C611,生产方式定位!$F$3:$J$39,2,FALSE),0)</f>
        <v>11000</v>
      </c>
      <c r="Q611" s="2">
        <f>IFERROR(VLOOKUP($D611&amp;$C611,生产方式定位!$A$2:$E$39,3,FALSE)+VLOOKUP($E611&amp;$C611,生产方式定位!$F$3:$J$39,3,FALSE),0)</f>
        <v>8000</v>
      </c>
      <c r="V611" s="2">
        <f>IFERROR(VLOOKUP($D611&amp;$C611,生产方式定位!$A$2:$E$39,5,FALSE)+VLOOKUP($E611&amp;$C611,生产方式定位!$F$3:$J$39,5,FALSE),"错误")</f>
        <v>9500</v>
      </c>
      <c r="W611" s="3" t="str">
        <f t="shared" si="45"/>
        <v/>
      </c>
      <c r="X611" s="4" t="str">
        <f t="shared" si="46"/>
        <v/>
      </c>
      <c r="Y611" s="4" t="str">
        <f t="shared" si="47"/>
        <v/>
      </c>
      <c r="Z611" s="5">
        <f t="shared" si="48"/>
        <v>1.16</v>
      </c>
      <c r="AA611" s="6">
        <f t="shared" si="49"/>
        <v>1</v>
      </c>
      <c r="AB611" t="str">
        <f>IFERROR(F611&amp;"*"&amp;ROUND(L611*(G611/(G611+I611+K611))/VLOOKUP(F611,商品!$A$4:$D$67,4,FALSE),0),"")</f>
        <v/>
      </c>
      <c r="AC611" t="str">
        <f>IFERROR(H611&amp;"*"&amp;ROUND(L611*(I611/(G611+I611+K611))/VLOOKUP(H611,商品!$A$4:$D$67,4,FALSE),0),"")</f>
        <v/>
      </c>
      <c r="AD611" t="str">
        <f>IFERROR(J611&amp;"*"&amp;ROUND(L611*(K611/(G611+I611+K611))/VLOOKUP(J611,商品!$A$4:$D$67,4,FALSE),0),"")</f>
        <v/>
      </c>
      <c r="AE611" t="str">
        <f>IFERROR(M611&amp;"*"&amp;ROUND(Q611*(N611/(N611+P611))/VLOOKUP(M611,职业!$A$3:$E$16,4,FALSE),0),"")</f>
        <v/>
      </c>
      <c r="AF611" t="str">
        <f>IFERROR(O611&amp;"*"&amp;ROUND(Q611*(P611/(N611+P611))/VLOOKUP(O611,职业!$A$3:$E$16,4,FALSE),0),"")</f>
        <v/>
      </c>
      <c r="AG611" t="str">
        <f>IFERROR(R611&amp;"*"&amp;ROUND(V611*(S611/(S611+U611))/VLOOKUP(R611,商品!$A$4:$D$67,4,FALSE),0),"")</f>
        <v/>
      </c>
      <c r="AH611" t="str">
        <f>IFERROR(T611&amp;"*"&amp;ROUND(V611*(U611/(S611+U611))/VLOOKUP(T611,商品!$A$4:$D$67,4,FALSE),0),"")</f>
        <v/>
      </c>
    </row>
    <row r="612" customHeight="1" spans="1:34">
      <c r="A612" s="14" t="s">
        <v>399</v>
      </c>
      <c r="C612" s="2">
        <v>2</v>
      </c>
      <c r="D612" s="2" t="s">
        <v>238</v>
      </c>
      <c r="E612" s="2" t="s">
        <v>225</v>
      </c>
      <c r="L612" s="2">
        <f>IFERROR(VLOOKUP($D612&amp;$C612,生产方式定位!$A$2:$E$39,2,FALSE)+VLOOKUP($E612&amp;$C612,生产方式定位!$F$3:$J$39,2,FALSE),0)</f>
        <v>10000</v>
      </c>
      <c r="Q612" s="2">
        <f>IFERROR(VLOOKUP($D612&amp;$C612,生产方式定位!$A$2:$E$39,3,FALSE)+VLOOKUP($E612&amp;$C612,生产方式定位!$F$3:$J$39,3,FALSE),0)</f>
        <v>8500</v>
      </c>
      <c r="V612" s="2">
        <f>IFERROR(VLOOKUP($D612&amp;$C612,生产方式定位!$A$2:$E$39,5,FALSE)+VLOOKUP($E612&amp;$C612,生产方式定位!$F$3:$J$39,5,FALSE),"错误")</f>
        <v>9250</v>
      </c>
      <c r="W612" s="3" t="str">
        <f t="shared" si="45"/>
        <v/>
      </c>
      <c r="X612" s="4" t="str">
        <f t="shared" si="46"/>
        <v/>
      </c>
      <c r="Y612" s="4" t="str">
        <f t="shared" si="47"/>
        <v/>
      </c>
      <c r="Z612" s="5">
        <f t="shared" si="48"/>
        <v>1.08</v>
      </c>
      <c r="AA612" s="6">
        <f t="shared" si="49"/>
        <v>2</v>
      </c>
      <c r="AB612" t="str">
        <f>IFERROR(F612&amp;"*"&amp;ROUND(L612*(G612/(G612+I612+K612))/VLOOKUP(F612,商品!$A$4:$D$67,4,FALSE),0),"")</f>
        <v/>
      </c>
      <c r="AC612" t="str">
        <f>IFERROR(H612&amp;"*"&amp;ROUND(L612*(I612/(G612+I612+K612))/VLOOKUP(H612,商品!$A$4:$D$67,4,FALSE),0),"")</f>
        <v/>
      </c>
      <c r="AD612" t="str">
        <f>IFERROR(J612&amp;"*"&amp;ROUND(L612*(K612/(G612+I612+K612))/VLOOKUP(J612,商品!$A$4:$D$67,4,FALSE),0),"")</f>
        <v/>
      </c>
      <c r="AE612" t="str">
        <f>IFERROR(M612&amp;"*"&amp;ROUND(Q612*(N612/(N612+P612))/VLOOKUP(M612,职业!$A$3:$E$16,4,FALSE),0),"")</f>
        <v/>
      </c>
      <c r="AF612" t="str">
        <f>IFERROR(O612&amp;"*"&amp;ROUND(Q612*(P612/(N612+P612))/VLOOKUP(O612,职业!$A$3:$E$16,4,FALSE),0),"")</f>
        <v/>
      </c>
      <c r="AG612" t="str">
        <f>IFERROR(R612&amp;"*"&amp;ROUND(V612*(S612/(S612+U612))/VLOOKUP(R612,商品!$A$4:$D$67,4,FALSE),0),"")</f>
        <v/>
      </c>
      <c r="AH612" t="str">
        <f>IFERROR(T612&amp;"*"&amp;ROUND(V612*(U612/(S612+U612))/VLOOKUP(T612,商品!$A$4:$D$67,4,FALSE),0),"")</f>
        <v/>
      </c>
    </row>
    <row r="613" customHeight="1" spans="1:34">
      <c r="A613" s="14" t="s">
        <v>399</v>
      </c>
      <c r="C613" s="2">
        <v>3</v>
      </c>
      <c r="D613" s="2" t="s">
        <v>238</v>
      </c>
      <c r="E613" s="2" t="s">
        <v>225</v>
      </c>
      <c r="L613" s="2">
        <f>IFERROR(VLOOKUP($D613&amp;$C613,生产方式定位!$A$2:$E$39,2,FALSE)+VLOOKUP($E613&amp;$C613,生产方式定位!$F$3:$J$39,2,FALSE),0)</f>
        <v>9000</v>
      </c>
      <c r="Q613" s="2">
        <f>IFERROR(VLOOKUP($D613&amp;$C613,生产方式定位!$A$2:$E$39,3,FALSE)+VLOOKUP($E613&amp;$C613,生产方式定位!$F$3:$J$39,3,FALSE),0)</f>
        <v>9000</v>
      </c>
      <c r="V613" s="2">
        <f>IFERROR(VLOOKUP($D613&amp;$C613,生产方式定位!$A$2:$E$39,5,FALSE)+VLOOKUP($E613&amp;$C613,生产方式定位!$F$3:$J$39,5,FALSE),"错误")</f>
        <v>9000</v>
      </c>
      <c r="W613" s="3" t="str">
        <f t="shared" si="45"/>
        <v/>
      </c>
      <c r="X613" s="4" t="str">
        <f t="shared" si="46"/>
        <v/>
      </c>
      <c r="Y613" s="4" t="str">
        <f t="shared" si="47"/>
        <v/>
      </c>
      <c r="Z613" s="5">
        <f t="shared" si="48"/>
        <v>1</v>
      </c>
      <c r="AA613" s="6">
        <f t="shared" si="49"/>
        <v>3</v>
      </c>
      <c r="AB613" t="str">
        <f>IFERROR(F613&amp;"*"&amp;ROUND(L613*(G613/(G613+I613+K613))/VLOOKUP(F613,商品!$A$4:$D$67,4,FALSE),0),"")</f>
        <v/>
      </c>
      <c r="AC613" t="str">
        <f>IFERROR(H613&amp;"*"&amp;ROUND(L613*(I613/(G613+I613+K613))/VLOOKUP(H613,商品!$A$4:$D$67,4,FALSE),0),"")</f>
        <v/>
      </c>
      <c r="AD613" t="str">
        <f>IFERROR(J613&amp;"*"&amp;ROUND(L613*(K613/(G613+I613+K613))/VLOOKUP(J613,商品!$A$4:$D$67,4,FALSE),0),"")</f>
        <v/>
      </c>
      <c r="AE613" t="str">
        <f>IFERROR(M613&amp;"*"&amp;ROUND(Q613*(N613/(N613+P613))/VLOOKUP(M613,职业!$A$3:$E$16,4,FALSE),0),"")</f>
        <v/>
      </c>
      <c r="AF613" t="str">
        <f>IFERROR(O613&amp;"*"&amp;ROUND(Q613*(P613/(N613+P613))/VLOOKUP(O613,职业!$A$3:$E$16,4,FALSE),0),"")</f>
        <v/>
      </c>
      <c r="AG613" t="str">
        <f>IFERROR(R613&amp;"*"&amp;ROUND(V613*(S613/(S613+U613))/VLOOKUP(R613,商品!$A$4:$D$67,4,FALSE),0),"")</f>
        <v/>
      </c>
      <c r="AH613" t="str">
        <f>IFERROR(T613&amp;"*"&amp;ROUND(V613*(U613/(S613+U613))/VLOOKUP(T613,商品!$A$4:$D$67,4,FALSE),0),"")</f>
        <v/>
      </c>
    </row>
    <row r="614" customHeight="1" spans="1:34">
      <c r="A614" s="14" t="s">
        <v>399</v>
      </c>
      <c r="C614" s="2">
        <v>4</v>
      </c>
      <c r="D614" s="2" t="s">
        <v>238</v>
      </c>
      <c r="E614" s="2" t="s">
        <v>225</v>
      </c>
      <c r="L614" s="2">
        <f>IFERROR(VLOOKUP($D614&amp;$C614,生产方式定位!$A$2:$E$39,2,FALSE)+VLOOKUP($E614&amp;$C614,生产方式定位!$F$3:$J$39,2,FALSE),0)</f>
        <v>8000</v>
      </c>
      <c r="Q614" s="2">
        <f>IFERROR(VLOOKUP($D614&amp;$C614,生产方式定位!$A$2:$E$39,3,FALSE)+VLOOKUP($E614&amp;$C614,生产方式定位!$F$3:$J$39,3,FALSE),0)</f>
        <v>9500</v>
      </c>
      <c r="V614" s="2">
        <f>IFERROR(VLOOKUP($D614&amp;$C614,生产方式定位!$A$2:$E$39,5,FALSE)+VLOOKUP($E614&amp;$C614,生产方式定位!$F$3:$J$39,5,FALSE),"错误")</f>
        <v>8750</v>
      </c>
      <c r="W614" s="3" t="str">
        <f t="shared" si="45"/>
        <v/>
      </c>
      <c r="X614" s="4" t="str">
        <f t="shared" si="46"/>
        <v/>
      </c>
      <c r="Y614" s="4" t="str">
        <f t="shared" si="47"/>
        <v/>
      </c>
      <c r="Z614" s="5">
        <f t="shared" si="48"/>
        <v>0.91</v>
      </c>
      <c r="AA614" s="6">
        <f t="shared" si="49"/>
        <v>4</v>
      </c>
      <c r="AB614" t="str">
        <f>IFERROR(F614&amp;"*"&amp;ROUND(L614*(G614/(G614+I614+K614))/VLOOKUP(F614,商品!$A$4:$D$67,4,FALSE),0),"")</f>
        <v/>
      </c>
      <c r="AC614" t="str">
        <f>IFERROR(H614&amp;"*"&amp;ROUND(L614*(I614/(G614+I614+K614))/VLOOKUP(H614,商品!$A$4:$D$67,4,FALSE),0),"")</f>
        <v/>
      </c>
      <c r="AD614" t="str">
        <f>IFERROR(J614&amp;"*"&amp;ROUND(L614*(K614/(G614+I614+K614))/VLOOKUP(J614,商品!$A$4:$D$67,4,FALSE),0),"")</f>
        <v/>
      </c>
      <c r="AE614" t="str">
        <f>IFERROR(M614&amp;"*"&amp;ROUND(Q614*(N614/(N614+P614))/VLOOKUP(M614,职业!$A$3:$E$16,4,FALSE),0),"")</f>
        <v/>
      </c>
      <c r="AF614" t="str">
        <f>IFERROR(O614&amp;"*"&amp;ROUND(Q614*(P614/(N614+P614))/VLOOKUP(O614,职业!$A$3:$E$16,4,FALSE),0),"")</f>
        <v/>
      </c>
      <c r="AG614" t="str">
        <f>IFERROR(R614&amp;"*"&amp;ROUND(V614*(S614/(S614+U614))/VLOOKUP(R614,商品!$A$4:$D$67,4,FALSE),0),"")</f>
        <v/>
      </c>
      <c r="AH614" t="str">
        <f>IFERROR(T614&amp;"*"&amp;ROUND(V614*(U614/(S614+U614))/VLOOKUP(T614,商品!$A$4:$D$67,4,FALSE),0),"")</f>
        <v/>
      </c>
    </row>
    <row r="615" customHeight="1" spans="1:34">
      <c r="A615" s="14" t="s">
        <v>399</v>
      </c>
      <c r="C615" s="2">
        <v>5</v>
      </c>
      <c r="D615" s="2" t="s">
        <v>238</v>
      </c>
      <c r="E615" s="2" t="s">
        <v>225</v>
      </c>
      <c r="L615" s="2">
        <f>IFERROR(VLOOKUP($D615&amp;$C615,生产方式定位!$A$2:$E$39,2,FALSE)+VLOOKUP($E615&amp;$C615,生产方式定位!$F$3:$J$39,2,FALSE),0)</f>
        <v>7000</v>
      </c>
      <c r="Q615" s="2">
        <f>IFERROR(VLOOKUP($D615&amp;$C615,生产方式定位!$A$2:$E$39,3,FALSE)+VLOOKUP($E615&amp;$C615,生产方式定位!$F$3:$J$39,3,FALSE),0)</f>
        <v>10000</v>
      </c>
      <c r="V615" s="2">
        <f>IFERROR(VLOOKUP($D615&amp;$C615,生产方式定位!$A$2:$E$39,5,FALSE)+VLOOKUP($E615&amp;$C615,生产方式定位!$F$3:$J$39,5,FALSE),"错误")</f>
        <v>8500</v>
      </c>
      <c r="W615" s="3" t="str">
        <f t="shared" si="45"/>
        <v/>
      </c>
      <c r="X615" s="4" t="str">
        <f t="shared" si="46"/>
        <v/>
      </c>
      <c r="Y615" s="4" t="str">
        <f t="shared" si="47"/>
        <v/>
      </c>
      <c r="Z615" s="5">
        <f t="shared" si="48"/>
        <v>0.82</v>
      </c>
      <c r="AA615" s="6">
        <f t="shared" si="49"/>
        <v>5</v>
      </c>
      <c r="AB615" t="str">
        <f>IFERROR(F615&amp;"*"&amp;ROUND(L615*(G615/(G615+I615+K615))/VLOOKUP(F615,商品!$A$4:$D$67,4,FALSE),0),"")</f>
        <v/>
      </c>
      <c r="AC615" t="str">
        <f>IFERROR(H615&amp;"*"&amp;ROUND(L615*(I615/(G615+I615+K615))/VLOOKUP(H615,商品!$A$4:$D$67,4,FALSE),0),"")</f>
        <v/>
      </c>
      <c r="AD615" t="str">
        <f>IFERROR(J615&amp;"*"&amp;ROUND(L615*(K615/(G615+I615+K615))/VLOOKUP(J615,商品!$A$4:$D$67,4,FALSE),0),"")</f>
        <v/>
      </c>
      <c r="AE615" t="str">
        <f>IFERROR(M615&amp;"*"&amp;ROUND(Q615*(N615/(N615+P615))/VLOOKUP(M615,职业!$A$3:$E$16,4,FALSE),0),"")</f>
        <v/>
      </c>
      <c r="AF615" t="str">
        <f>IFERROR(O615&amp;"*"&amp;ROUND(Q615*(P615/(N615+P615))/VLOOKUP(O615,职业!$A$3:$E$16,4,FALSE),0),"")</f>
        <v/>
      </c>
      <c r="AG615" t="str">
        <f>IFERROR(R615&amp;"*"&amp;ROUND(V615*(S615/(S615+U615))/VLOOKUP(R615,商品!$A$4:$D$67,4,FALSE),0),"")</f>
        <v/>
      </c>
      <c r="AH615" t="str">
        <f>IFERROR(T615&amp;"*"&amp;ROUND(V615*(U615/(S615+U615))/VLOOKUP(T615,商品!$A$4:$D$67,4,FALSE),0),"")</f>
        <v/>
      </c>
    </row>
    <row r="616" customHeight="1" spans="1:34">
      <c r="A616" s="14" t="s">
        <v>399</v>
      </c>
      <c r="C616" s="2">
        <v>1</v>
      </c>
      <c r="D616" s="2" t="s">
        <v>238</v>
      </c>
      <c r="E616" s="2" t="s">
        <v>225</v>
      </c>
      <c r="L616" s="2">
        <f>IFERROR(VLOOKUP($D616&amp;$C616,生产方式定位!$A$2:$E$39,2,FALSE)+VLOOKUP($E616&amp;$C616,生产方式定位!$F$3:$J$39,2,FALSE),0)</f>
        <v>11000</v>
      </c>
      <c r="Q616" s="2">
        <f>IFERROR(VLOOKUP($D616&amp;$C616,生产方式定位!$A$2:$E$39,3,FALSE)+VLOOKUP($E616&amp;$C616,生产方式定位!$F$3:$J$39,3,FALSE),0)</f>
        <v>8000</v>
      </c>
      <c r="V616" s="2">
        <f>IFERROR(VLOOKUP($D616&amp;$C616,生产方式定位!$A$2:$E$39,5,FALSE)+VLOOKUP($E616&amp;$C616,生产方式定位!$F$3:$J$39,5,FALSE),"错误")</f>
        <v>9500</v>
      </c>
      <c r="W616" s="3" t="str">
        <f t="shared" si="45"/>
        <v/>
      </c>
      <c r="X616" s="4" t="str">
        <f t="shared" si="46"/>
        <v/>
      </c>
      <c r="Y616" s="4" t="str">
        <f t="shared" si="47"/>
        <v/>
      </c>
      <c r="Z616" s="5">
        <f t="shared" si="48"/>
        <v>1.16</v>
      </c>
      <c r="AA616" s="6">
        <f t="shared" si="49"/>
        <v>1</v>
      </c>
      <c r="AB616" t="str">
        <f>IFERROR(F616&amp;"*"&amp;ROUND(L616*(G616/(G616+I616+K616))/VLOOKUP(F616,商品!$A$4:$D$67,4,FALSE),0),"")</f>
        <v/>
      </c>
      <c r="AC616" t="str">
        <f>IFERROR(H616&amp;"*"&amp;ROUND(L616*(I616/(G616+I616+K616))/VLOOKUP(H616,商品!$A$4:$D$67,4,FALSE),0),"")</f>
        <v/>
      </c>
      <c r="AD616" t="str">
        <f>IFERROR(J616&amp;"*"&amp;ROUND(L616*(K616/(G616+I616+K616))/VLOOKUP(J616,商品!$A$4:$D$67,4,FALSE),0),"")</f>
        <v/>
      </c>
      <c r="AE616" t="str">
        <f>IFERROR(M616&amp;"*"&amp;ROUND(Q616*(N616/(N616+P616))/VLOOKUP(M616,职业!$A$3:$E$16,4,FALSE),0),"")</f>
        <v/>
      </c>
      <c r="AF616" t="str">
        <f>IFERROR(O616&amp;"*"&amp;ROUND(Q616*(P616/(N616+P616))/VLOOKUP(O616,职业!$A$3:$E$16,4,FALSE),0),"")</f>
        <v/>
      </c>
      <c r="AG616" t="str">
        <f>IFERROR(R616&amp;"*"&amp;ROUND(V616*(S616/(S616+U616))/VLOOKUP(R616,商品!$A$4:$D$67,4,FALSE),0),"")</f>
        <v/>
      </c>
      <c r="AH616" t="str">
        <f>IFERROR(T616&amp;"*"&amp;ROUND(V616*(U616/(S616+U616))/VLOOKUP(T616,商品!$A$4:$D$67,4,FALSE),0),"")</f>
        <v/>
      </c>
    </row>
    <row r="617" customHeight="1" spans="1:34">
      <c r="A617" s="14" t="s">
        <v>399</v>
      </c>
      <c r="C617" s="2">
        <v>2</v>
      </c>
      <c r="D617" s="2" t="s">
        <v>238</v>
      </c>
      <c r="E617" s="2" t="s">
        <v>225</v>
      </c>
      <c r="L617" s="2">
        <f>IFERROR(VLOOKUP($D617&amp;$C617,生产方式定位!$A$2:$E$39,2,FALSE)+VLOOKUP($E617&amp;$C617,生产方式定位!$F$3:$J$39,2,FALSE),0)</f>
        <v>10000</v>
      </c>
      <c r="Q617" s="2">
        <f>IFERROR(VLOOKUP($D617&amp;$C617,生产方式定位!$A$2:$E$39,3,FALSE)+VLOOKUP($E617&amp;$C617,生产方式定位!$F$3:$J$39,3,FALSE),0)</f>
        <v>8500</v>
      </c>
      <c r="V617" s="2">
        <f>IFERROR(VLOOKUP($D617&amp;$C617,生产方式定位!$A$2:$E$39,5,FALSE)+VLOOKUP($E617&amp;$C617,生产方式定位!$F$3:$J$39,5,FALSE),"错误")</f>
        <v>9250</v>
      </c>
      <c r="W617" s="3" t="str">
        <f t="shared" si="45"/>
        <v/>
      </c>
      <c r="X617" s="4" t="str">
        <f t="shared" si="46"/>
        <v/>
      </c>
      <c r="Y617" s="4" t="str">
        <f t="shared" si="47"/>
        <v/>
      </c>
      <c r="Z617" s="5">
        <f t="shared" si="48"/>
        <v>1.08</v>
      </c>
      <c r="AA617" s="6">
        <f t="shared" si="49"/>
        <v>2</v>
      </c>
      <c r="AB617" t="str">
        <f>IFERROR(F617&amp;"*"&amp;ROUND(L617*(G617/(G617+I617+K617))/VLOOKUP(F617,商品!$A$4:$D$67,4,FALSE),0),"")</f>
        <v/>
      </c>
      <c r="AC617" t="str">
        <f>IFERROR(H617&amp;"*"&amp;ROUND(L617*(I617/(G617+I617+K617))/VLOOKUP(H617,商品!$A$4:$D$67,4,FALSE),0),"")</f>
        <v/>
      </c>
      <c r="AD617" t="str">
        <f>IFERROR(J617&amp;"*"&amp;ROUND(L617*(K617/(G617+I617+K617))/VLOOKUP(J617,商品!$A$4:$D$67,4,FALSE),0),"")</f>
        <v/>
      </c>
      <c r="AE617" t="str">
        <f>IFERROR(M617&amp;"*"&amp;ROUND(Q617*(N617/(N617+P617))/VLOOKUP(M617,职业!$A$3:$E$16,4,FALSE),0),"")</f>
        <v/>
      </c>
      <c r="AF617" t="str">
        <f>IFERROR(O617&amp;"*"&amp;ROUND(Q617*(P617/(N617+P617))/VLOOKUP(O617,职业!$A$3:$E$16,4,FALSE),0),"")</f>
        <v/>
      </c>
      <c r="AG617" t="str">
        <f>IFERROR(R617&amp;"*"&amp;ROUND(V617*(S617/(S617+U617))/VLOOKUP(R617,商品!$A$4:$D$67,4,FALSE),0),"")</f>
        <v/>
      </c>
      <c r="AH617" t="str">
        <f>IFERROR(T617&amp;"*"&amp;ROUND(V617*(U617/(S617+U617))/VLOOKUP(T617,商品!$A$4:$D$67,4,FALSE),0),"")</f>
        <v/>
      </c>
    </row>
    <row r="618" customHeight="1" spans="1:34">
      <c r="A618" s="15" t="s">
        <v>399</v>
      </c>
      <c r="C618" s="2">
        <v>3</v>
      </c>
      <c r="D618" s="2" t="s">
        <v>238</v>
      </c>
      <c r="E618" s="2" t="s">
        <v>225</v>
      </c>
      <c r="L618" s="2">
        <f>IFERROR(VLOOKUP($D618&amp;$C618,生产方式定位!$A$2:$E$39,2,FALSE)+VLOOKUP($E618&amp;$C618,生产方式定位!$F$3:$J$39,2,FALSE),0)</f>
        <v>9000</v>
      </c>
      <c r="Q618" s="2">
        <f>IFERROR(VLOOKUP($D618&amp;$C618,生产方式定位!$A$2:$E$39,3,FALSE)+VLOOKUP($E618&amp;$C618,生产方式定位!$F$3:$J$39,3,FALSE),0)</f>
        <v>9000</v>
      </c>
      <c r="V618" s="2">
        <f>IFERROR(VLOOKUP($D618&amp;$C618,生产方式定位!$A$2:$E$39,5,FALSE)+VLOOKUP($E618&amp;$C618,生产方式定位!$F$3:$J$39,5,FALSE),"错误")</f>
        <v>9000</v>
      </c>
      <c r="W618" s="3" t="str">
        <f t="shared" si="45"/>
        <v/>
      </c>
      <c r="X618" s="4" t="str">
        <f t="shared" si="46"/>
        <v/>
      </c>
      <c r="Y618" s="4" t="str">
        <f t="shared" si="47"/>
        <v/>
      </c>
      <c r="Z618" s="5">
        <f t="shared" si="48"/>
        <v>1</v>
      </c>
      <c r="AA618" s="6">
        <f t="shared" si="49"/>
        <v>3</v>
      </c>
      <c r="AB618" t="str">
        <f>IFERROR(F618&amp;"*"&amp;ROUND(L618*(G618/(G618+I618+K618))/VLOOKUP(F618,商品!$A$4:$D$67,4,FALSE),0),"")</f>
        <v/>
      </c>
      <c r="AC618" t="str">
        <f>IFERROR(H618&amp;"*"&amp;ROUND(L618*(I618/(G618+I618+K618))/VLOOKUP(H618,商品!$A$4:$D$67,4,FALSE),0),"")</f>
        <v/>
      </c>
      <c r="AD618" t="str">
        <f>IFERROR(J618&amp;"*"&amp;ROUND(L618*(K618/(G618+I618+K618))/VLOOKUP(J618,商品!$A$4:$D$67,4,FALSE),0),"")</f>
        <v/>
      </c>
      <c r="AE618" t="str">
        <f>IFERROR(M618&amp;"*"&amp;ROUND(Q618*(N618/(N618+P618))/VLOOKUP(M618,职业!$A$3:$E$16,4,FALSE),0),"")</f>
        <v/>
      </c>
      <c r="AF618" t="str">
        <f>IFERROR(O618&amp;"*"&amp;ROUND(Q618*(P618/(N618+P618))/VLOOKUP(O618,职业!$A$3:$E$16,4,FALSE),0),"")</f>
        <v/>
      </c>
      <c r="AG618" t="str">
        <f>IFERROR(R618&amp;"*"&amp;ROUND(V618*(S618/(S618+U618))/VLOOKUP(R618,商品!$A$4:$D$67,4,FALSE),0),"")</f>
        <v/>
      </c>
      <c r="AH618" t="str">
        <f>IFERROR(T618&amp;"*"&amp;ROUND(V618*(U618/(S618+U618))/VLOOKUP(T618,商品!$A$4:$D$67,4,FALSE),0),"")</f>
        <v/>
      </c>
    </row>
    <row r="619" customHeight="1" spans="1:34">
      <c r="A619" s="15" t="s">
        <v>399</v>
      </c>
      <c r="C619" s="2">
        <v>4</v>
      </c>
      <c r="D619" s="2" t="s">
        <v>238</v>
      </c>
      <c r="E619" s="2" t="s">
        <v>225</v>
      </c>
      <c r="L619" s="2">
        <f>IFERROR(VLOOKUP($D619&amp;$C619,生产方式定位!$A$2:$E$39,2,FALSE)+VLOOKUP($E619&amp;$C619,生产方式定位!$F$3:$J$39,2,FALSE),0)</f>
        <v>8000</v>
      </c>
      <c r="Q619" s="2">
        <f>IFERROR(VLOOKUP($D619&amp;$C619,生产方式定位!$A$2:$E$39,3,FALSE)+VLOOKUP($E619&amp;$C619,生产方式定位!$F$3:$J$39,3,FALSE),0)</f>
        <v>9500</v>
      </c>
      <c r="V619" s="2">
        <f>IFERROR(VLOOKUP($D619&amp;$C619,生产方式定位!$A$2:$E$39,5,FALSE)+VLOOKUP($E619&amp;$C619,生产方式定位!$F$3:$J$39,5,FALSE),"错误")</f>
        <v>8750</v>
      </c>
      <c r="W619" s="3" t="str">
        <f t="shared" si="45"/>
        <v/>
      </c>
      <c r="X619" s="4" t="str">
        <f t="shared" si="46"/>
        <v/>
      </c>
      <c r="Y619" s="4" t="str">
        <f t="shared" si="47"/>
        <v/>
      </c>
      <c r="Z619" s="5">
        <f t="shared" si="48"/>
        <v>0.91</v>
      </c>
      <c r="AA619" s="6">
        <f t="shared" si="49"/>
        <v>4</v>
      </c>
      <c r="AB619" t="str">
        <f>IFERROR(F619&amp;"*"&amp;ROUND(L619*(G619/(G619+I619+K619))/VLOOKUP(F619,商品!$A$4:$D$67,4,FALSE),0),"")</f>
        <v/>
      </c>
      <c r="AC619" t="str">
        <f>IFERROR(H619&amp;"*"&amp;ROUND(L619*(I619/(G619+I619+K619))/VLOOKUP(H619,商品!$A$4:$D$67,4,FALSE),0),"")</f>
        <v/>
      </c>
      <c r="AD619" t="str">
        <f>IFERROR(J619&amp;"*"&amp;ROUND(L619*(K619/(G619+I619+K619))/VLOOKUP(J619,商品!$A$4:$D$67,4,FALSE),0),"")</f>
        <v/>
      </c>
      <c r="AE619" t="str">
        <f>IFERROR(M619&amp;"*"&amp;ROUND(Q619*(N619/(N619+P619))/VLOOKUP(M619,职业!$A$3:$E$16,4,FALSE),0),"")</f>
        <v/>
      </c>
      <c r="AF619" t="str">
        <f>IFERROR(O619&amp;"*"&amp;ROUND(Q619*(P619/(N619+P619))/VLOOKUP(O619,职业!$A$3:$E$16,4,FALSE),0),"")</f>
        <v/>
      </c>
      <c r="AG619" t="str">
        <f>IFERROR(R619&amp;"*"&amp;ROUND(V619*(S619/(S619+U619))/VLOOKUP(R619,商品!$A$4:$D$67,4,FALSE),0),"")</f>
        <v/>
      </c>
      <c r="AH619" t="str">
        <f>IFERROR(T619&amp;"*"&amp;ROUND(V619*(U619/(S619+U619))/VLOOKUP(T619,商品!$A$4:$D$67,4,FALSE),0),"")</f>
        <v/>
      </c>
    </row>
    <row r="620" customHeight="1" spans="1:34">
      <c r="A620" s="15" t="s">
        <v>399</v>
      </c>
      <c r="C620" s="2">
        <v>5</v>
      </c>
      <c r="D620" s="2" t="s">
        <v>238</v>
      </c>
      <c r="E620" s="2" t="s">
        <v>225</v>
      </c>
      <c r="L620" s="2">
        <f>IFERROR(VLOOKUP($D620&amp;$C620,生产方式定位!$A$2:$E$39,2,FALSE)+VLOOKUP($E620&amp;$C620,生产方式定位!$F$3:$J$39,2,FALSE),0)</f>
        <v>7000</v>
      </c>
      <c r="Q620" s="2">
        <f>IFERROR(VLOOKUP($D620&amp;$C620,生产方式定位!$A$2:$E$39,3,FALSE)+VLOOKUP($E620&amp;$C620,生产方式定位!$F$3:$J$39,3,FALSE),0)</f>
        <v>10000</v>
      </c>
      <c r="V620" s="2">
        <f>IFERROR(VLOOKUP($D620&amp;$C620,生产方式定位!$A$2:$E$39,5,FALSE)+VLOOKUP($E620&amp;$C620,生产方式定位!$F$3:$J$39,5,FALSE),"错误")</f>
        <v>8500</v>
      </c>
      <c r="W620" s="3" t="str">
        <f t="shared" si="45"/>
        <v/>
      </c>
      <c r="X620" s="4" t="str">
        <f t="shared" si="46"/>
        <v/>
      </c>
      <c r="Y620" s="4" t="str">
        <f t="shared" si="47"/>
        <v/>
      </c>
      <c r="Z620" s="5">
        <f t="shared" si="48"/>
        <v>0.82</v>
      </c>
      <c r="AA620" s="6">
        <f t="shared" si="49"/>
        <v>5</v>
      </c>
      <c r="AB620" t="str">
        <f>IFERROR(F620&amp;"*"&amp;ROUND(L620*(G620/(G620+I620+K620))/VLOOKUP(F620,商品!$A$4:$D$67,4,FALSE),0),"")</f>
        <v/>
      </c>
      <c r="AC620" t="str">
        <f>IFERROR(H620&amp;"*"&amp;ROUND(L620*(I620/(G620+I620+K620))/VLOOKUP(H620,商品!$A$4:$D$67,4,FALSE),0),"")</f>
        <v/>
      </c>
      <c r="AD620" t="str">
        <f>IFERROR(J620&amp;"*"&amp;ROUND(L620*(K620/(G620+I620+K620))/VLOOKUP(J620,商品!$A$4:$D$67,4,FALSE),0),"")</f>
        <v/>
      </c>
      <c r="AE620" t="str">
        <f>IFERROR(M620&amp;"*"&amp;ROUND(Q620*(N620/(N620+P620))/VLOOKUP(M620,职业!$A$3:$E$16,4,FALSE),0),"")</f>
        <v/>
      </c>
      <c r="AF620" t="str">
        <f>IFERROR(O620&amp;"*"&amp;ROUND(Q620*(P620/(N620+P620))/VLOOKUP(O620,职业!$A$3:$E$16,4,FALSE),0),"")</f>
        <v/>
      </c>
      <c r="AG620" t="str">
        <f>IFERROR(R620&amp;"*"&amp;ROUND(V620*(S620/(S620+U620))/VLOOKUP(R620,商品!$A$4:$D$67,4,FALSE),0),"")</f>
        <v/>
      </c>
      <c r="AH620" t="str">
        <f>IFERROR(T620&amp;"*"&amp;ROUND(V620*(U620/(S620+U620))/VLOOKUP(T620,商品!$A$4:$D$67,4,FALSE),0),"")</f>
        <v/>
      </c>
    </row>
    <row r="621" customHeight="1" spans="1:34">
      <c r="A621" s="15" t="s">
        <v>399</v>
      </c>
      <c r="C621" s="2">
        <v>1</v>
      </c>
      <c r="D621" s="2" t="s">
        <v>238</v>
      </c>
      <c r="E621" s="2" t="s">
        <v>225</v>
      </c>
      <c r="L621" s="2">
        <f>IFERROR(VLOOKUP($D621&amp;$C621,生产方式定位!$A$2:$E$39,2,FALSE)+VLOOKUP($E621&amp;$C621,生产方式定位!$F$3:$J$39,2,FALSE),0)</f>
        <v>11000</v>
      </c>
      <c r="Q621" s="2">
        <f>IFERROR(VLOOKUP($D621&amp;$C621,生产方式定位!$A$2:$E$39,3,FALSE)+VLOOKUP($E621&amp;$C621,生产方式定位!$F$3:$J$39,3,FALSE),0)</f>
        <v>8000</v>
      </c>
      <c r="V621" s="2">
        <f>IFERROR(VLOOKUP($D621&amp;$C621,生产方式定位!$A$2:$E$39,5,FALSE)+VLOOKUP($E621&amp;$C621,生产方式定位!$F$3:$J$39,5,FALSE),"错误")</f>
        <v>9500</v>
      </c>
      <c r="W621" s="3" t="str">
        <f t="shared" si="45"/>
        <v/>
      </c>
      <c r="X621" s="4" t="str">
        <f t="shared" si="46"/>
        <v/>
      </c>
      <c r="Y621" s="4" t="str">
        <f t="shared" si="47"/>
        <v/>
      </c>
      <c r="Z621" s="5">
        <f t="shared" si="48"/>
        <v>1.16</v>
      </c>
      <c r="AA621" s="6">
        <f t="shared" si="49"/>
        <v>1</v>
      </c>
      <c r="AB621" t="str">
        <f>IFERROR(F621&amp;"*"&amp;ROUND(L621*(G621/(G621+I621+K621))/VLOOKUP(F621,商品!$A$4:$D$67,4,FALSE),0),"")</f>
        <v/>
      </c>
      <c r="AC621" t="str">
        <f>IFERROR(H621&amp;"*"&amp;ROUND(L621*(I621/(G621+I621+K621))/VLOOKUP(H621,商品!$A$4:$D$67,4,FALSE),0),"")</f>
        <v/>
      </c>
      <c r="AD621" t="str">
        <f>IFERROR(J621&amp;"*"&amp;ROUND(L621*(K621/(G621+I621+K621))/VLOOKUP(J621,商品!$A$4:$D$67,4,FALSE),0),"")</f>
        <v/>
      </c>
      <c r="AE621" t="str">
        <f>IFERROR(M621&amp;"*"&amp;ROUND(Q621*(N621/(N621+P621))/VLOOKUP(M621,职业!$A$3:$E$16,4,FALSE),0),"")</f>
        <v/>
      </c>
      <c r="AF621" t="str">
        <f>IFERROR(O621&amp;"*"&amp;ROUND(Q621*(P621/(N621+P621))/VLOOKUP(O621,职业!$A$3:$E$16,4,FALSE),0),"")</f>
        <v/>
      </c>
      <c r="AG621" t="str">
        <f>IFERROR(R621&amp;"*"&amp;ROUND(V621*(S621/(S621+U621))/VLOOKUP(R621,商品!$A$4:$D$67,4,FALSE),0),"")</f>
        <v/>
      </c>
      <c r="AH621" t="str">
        <f>IFERROR(T621&amp;"*"&amp;ROUND(V621*(U621/(S621+U621))/VLOOKUP(T621,商品!$A$4:$D$67,4,FALSE),0),"")</f>
        <v/>
      </c>
    </row>
    <row r="622" customHeight="1" spans="1:34">
      <c r="A622" s="15" t="s">
        <v>399</v>
      </c>
      <c r="C622" s="2">
        <v>2</v>
      </c>
      <c r="D622" s="2" t="s">
        <v>238</v>
      </c>
      <c r="E622" s="2" t="s">
        <v>225</v>
      </c>
      <c r="L622" s="2">
        <f>IFERROR(VLOOKUP($D622&amp;$C622,生产方式定位!$A$2:$E$39,2,FALSE)+VLOOKUP($E622&amp;$C622,生产方式定位!$F$3:$J$39,2,FALSE),0)</f>
        <v>10000</v>
      </c>
      <c r="Q622" s="2">
        <f>IFERROR(VLOOKUP($D622&amp;$C622,生产方式定位!$A$2:$E$39,3,FALSE)+VLOOKUP($E622&amp;$C622,生产方式定位!$F$3:$J$39,3,FALSE),0)</f>
        <v>8500</v>
      </c>
      <c r="V622" s="2">
        <f>IFERROR(VLOOKUP($D622&amp;$C622,生产方式定位!$A$2:$E$39,5,FALSE)+VLOOKUP($E622&amp;$C622,生产方式定位!$F$3:$J$39,5,FALSE),"错误")</f>
        <v>9250</v>
      </c>
      <c r="W622" s="3" t="str">
        <f t="shared" si="45"/>
        <v/>
      </c>
      <c r="X622" s="4" t="str">
        <f t="shared" si="46"/>
        <v/>
      </c>
      <c r="Y622" s="4" t="str">
        <f t="shared" si="47"/>
        <v/>
      </c>
      <c r="Z622" s="5">
        <f t="shared" si="48"/>
        <v>1.08</v>
      </c>
      <c r="AA622" s="6">
        <f t="shared" si="49"/>
        <v>2</v>
      </c>
      <c r="AB622" t="str">
        <f>IFERROR(F622&amp;"*"&amp;ROUND(L622*(G622/(G622+I622+K622))/VLOOKUP(F622,商品!$A$4:$D$67,4,FALSE),0),"")</f>
        <v/>
      </c>
      <c r="AC622" t="str">
        <f>IFERROR(H622&amp;"*"&amp;ROUND(L622*(I622/(G622+I622+K622))/VLOOKUP(H622,商品!$A$4:$D$67,4,FALSE),0),"")</f>
        <v/>
      </c>
      <c r="AD622" t="str">
        <f>IFERROR(J622&amp;"*"&amp;ROUND(L622*(K622/(G622+I622+K622))/VLOOKUP(J622,商品!$A$4:$D$67,4,FALSE),0),"")</f>
        <v/>
      </c>
      <c r="AE622" t="str">
        <f>IFERROR(M622&amp;"*"&amp;ROUND(Q622*(N622/(N622+P622))/VLOOKUP(M622,职业!$A$3:$E$16,4,FALSE),0),"")</f>
        <v/>
      </c>
      <c r="AF622" t="str">
        <f>IFERROR(O622&amp;"*"&amp;ROUND(Q622*(P622/(N622+P622))/VLOOKUP(O622,职业!$A$3:$E$16,4,FALSE),0),"")</f>
        <v/>
      </c>
      <c r="AG622" t="str">
        <f>IFERROR(R622&amp;"*"&amp;ROUND(V622*(S622/(S622+U622))/VLOOKUP(R622,商品!$A$4:$D$67,4,FALSE),0),"")</f>
        <v/>
      </c>
      <c r="AH622" t="str">
        <f>IFERROR(T622&amp;"*"&amp;ROUND(V622*(U622/(S622+U622))/VLOOKUP(T622,商品!$A$4:$D$67,4,FALSE),0),"")</f>
        <v/>
      </c>
    </row>
    <row r="623" customHeight="1" spans="1:34">
      <c r="A623" s="15" t="s">
        <v>399</v>
      </c>
      <c r="C623" s="2">
        <v>3</v>
      </c>
      <c r="D623" s="2" t="s">
        <v>238</v>
      </c>
      <c r="E623" s="2" t="s">
        <v>225</v>
      </c>
      <c r="L623" s="2">
        <f>IFERROR(VLOOKUP($D623&amp;$C623,生产方式定位!$A$2:$E$39,2,FALSE)+VLOOKUP($E623&amp;$C623,生产方式定位!$F$3:$J$39,2,FALSE),0)</f>
        <v>9000</v>
      </c>
      <c r="Q623" s="2">
        <f>IFERROR(VLOOKUP($D623&amp;$C623,生产方式定位!$A$2:$E$39,3,FALSE)+VLOOKUP($E623&amp;$C623,生产方式定位!$F$3:$J$39,3,FALSE),0)</f>
        <v>9000</v>
      </c>
      <c r="V623" s="2">
        <f>IFERROR(VLOOKUP($D623&amp;$C623,生产方式定位!$A$2:$E$39,5,FALSE)+VLOOKUP($E623&amp;$C623,生产方式定位!$F$3:$J$39,5,FALSE),"错误")</f>
        <v>9000</v>
      </c>
      <c r="W623" s="3" t="str">
        <f t="shared" si="45"/>
        <v/>
      </c>
      <c r="X623" s="4" t="str">
        <f t="shared" si="46"/>
        <v/>
      </c>
      <c r="Y623" s="4" t="str">
        <f t="shared" si="47"/>
        <v/>
      </c>
      <c r="Z623" s="5">
        <f t="shared" si="48"/>
        <v>1</v>
      </c>
      <c r="AA623" s="6">
        <f t="shared" si="49"/>
        <v>3</v>
      </c>
      <c r="AB623" t="str">
        <f>IFERROR(F623&amp;"*"&amp;ROUND(L623*(G623/(G623+I623+K623))/VLOOKUP(F623,商品!$A$4:$D$67,4,FALSE),0),"")</f>
        <v/>
      </c>
      <c r="AC623" t="str">
        <f>IFERROR(H623&amp;"*"&amp;ROUND(L623*(I623/(G623+I623+K623))/VLOOKUP(H623,商品!$A$4:$D$67,4,FALSE),0),"")</f>
        <v/>
      </c>
      <c r="AD623" t="str">
        <f>IFERROR(J623&amp;"*"&amp;ROUND(L623*(K623/(G623+I623+K623))/VLOOKUP(J623,商品!$A$4:$D$67,4,FALSE),0),"")</f>
        <v/>
      </c>
      <c r="AE623" t="str">
        <f>IFERROR(M623&amp;"*"&amp;ROUND(Q623*(N623/(N623+P623))/VLOOKUP(M623,职业!$A$3:$E$16,4,FALSE),0),"")</f>
        <v/>
      </c>
      <c r="AF623" t="str">
        <f>IFERROR(O623&amp;"*"&amp;ROUND(Q623*(P623/(N623+P623))/VLOOKUP(O623,职业!$A$3:$E$16,4,FALSE),0),"")</f>
        <v/>
      </c>
      <c r="AG623" t="str">
        <f>IFERROR(R623&amp;"*"&amp;ROUND(V623*(S623/(S623+U623))/VLOOKUP(R623,商品!$A$4:$D$67,4,FALSE),0),"")</f>
        <v/>
      </c>
      <c r="AH623" t="str">
        <f>IFERROR(T623&amp;"*"&amp;ROUND(V623*(U623/(S623+U623))/VLOOKUP(T623,商品!$A$4:$D$67,4,FALSE),0),"")</f>
        <v/>
      </c>
    </row>
    <row r="624" customHeight="1" spans="1:34">
      <c r="A624" s="15" t="s">
        <v>399</v>
      </c>
      <c r="C624" s="2">
        <v>4</v>
      </c>
      <c r="D624" s="2" t="s">
        <v>238</v>
      </c>
      <c r="E624" s="2" t="s">
        <v>225</v>
      </c>
      <c r="L624" s="2">
        <f>IFERROR(VLOOKUP($D624&amp;$C624,生产方式定位!$A$2:$E$39,2,FALSE)+VLOOKUP($E624&amp;$C624,生产方式定位!$F$3:$J$39,2,FALSE),0)</f>
        <v>8000</v>
      </c>
      <c r="Q624" s="2">
        <f>IFERROR(VLOOKUP($D624&amp;$C624,生产方式定位!$A$2:$E$39,3,FALSE)+VLOOKUP($E624&amp;$C624,生产方式定位!$F$3:$J$39,3,FALSE),0)</f>
        <v>9500</v>
      </c>
      <c r="V624" s="2">
        <f>IFERROR(VLOOKUP($D624&amp;$C624,生产方式定位!$A$2:$E$39,5,FALSE)+VLOOKUP($E624&amp;$C624,生产方式定位!$F$3:$J$39,5,FALSE),"错误")</f>
        <v>8750</v>
      </c>
      <c r="W624" s="3" t="str">
        <f t="shared" si="45"/>
        <v/>
      </c>
      <c r="X624" s="4" t="str">
        <f t="shared" si="46"/>
        <v/>
      </c>
      <c r="Y624" s="4" t="str">
        <f t="shared" si="47"/>
        <v/>
      </c>
      <c r="Z624" s="5">
        <f t="shared" si="48"/>
        <v>0.91</v>
      </c>
      <c r="AA624" s="6">
        <f t="shared" si="49"/>
        <v>4</v>
      </c>
      <c r="AB624" t="str">
        <f>IFERROR(F624&amp;"*"&amp;ROUND(L624*(G624/(G624+I624+K624))/VLOOKUP(F624,商品!$A$4:$D$67,4,FALSE),0),"")</f>
        <v/>
      </c>
      <c r="AC624" t="str">
        <f>IFERROR(H624&amp;"*"&amp;ROUND(L624*(I624/(G624+I624+K624))/VLOOKUP(H624,商品!$A$4:$D$67,4,FALSE),0),"")</f>
        <v/>
      </c>
      <c r="AD624" t="str">
        <f>IFERROR(J624&amp;"*"&amp;ROUND(L624*(K624/(G624+I624+K624))/VLOOKUP(J624,商品!$A$4:$D$67,4,FALSE),0),"")</f>
        <v/>
      </c>
      <c r="AE624" t="str">
        <f>IFERROR(M624&amp;"*"&amp;ROUND(Q624*(N624/(N624+P624))/VLOOKUP(M624,职业!$A$3:$E$16,4,FALSE),0),"")</f>
        <v/>
      </c>
      <c r="AF624" t="str">
        <f>IFERROR(O624&amp;"*"&amp;ROUND(Q624*(P624/(N624+P624))/VLOOKUP(O624,职业!$A$3:$E$16,4,FALSE),0),"")</f>
        <v/>
      </c>
      <c r="AG624" t="str">
        <f>IFERROR(R624&amp;"*"&amp;ROUND(V624*(S624/(S624+U624))/VLOOKUP(R624,商品!$A$4:$D$67,4,FALSE),0),"")</f>
        <v/>
      </c>
      <c r="AH624" t="str">
        <f>IFERROR(T624&amp;"*"&amp;ROUND(V624*(U624/(S624+U624))/VLOOKUP(T624,商品!$A$4:$D$67,4,FALSE),0),"")</f>
        <v/>
      </c>
    </row>
    <row r="625" customHeight="1" spans="1:34">
      <c r="A625" s="15" t="s">
        <v>399</v>
      </c>
      <c r="C625" s="2">
        <v>5</v>
      </c>
      <c r="D625" s="2" t="s">
        <v>238</v>
      </c>
      <c r="E625" s="2" t="s">
        <v>225</v>
      </c>
      <c r="L625" s="2">
        <f>IFERROR(VLOOKUP($D625&amp;$C625,生产方式定位!$A$2:$E$39,2,FALSE)+VLOOKUP($E625&amp;$C625,生产方式定位!$F$3:$J$39,2,FALSE),0)</f>
        <v>7000</v>
      </c>
      <c r="Q625" s="2">
        <f>IFERROR(VLOOKUP($D625&amp;$C625,生产方式定位!$A$2:$E$39,3,FALSE)+VLOOKUP($E625&amp;$C625,生产方式定位!$F$3:$J$39,3,FALSE),0)</f>
        <v>10000</v>
      </c>
      <c r="V625" s="2">
        <f>IFERROR(VLOOKUP($D625&amp;$C625,生产方式定位!$A$2:$E$39,5,FALSE)+VLOOKUP($E625&amp;$C625,生产方式定位!$F$3:$J$39,5,FALSE),"错误")</f>
        <v>8500</v>
      </c>
      <c r="W625" s="3" t="str">
        <f t="shared" si="45"/>
        <v/>
      </c>
      <c r="X625" s="4" t="str">
        <f t="shared" si="46"/>
        <v/>
      </c>
      <c r="Y625" s="4" t="str">
        <f t="shared" si="47"/>
        <v/>
      </c>
      <c r="Z625" s="5">
        <f t="shared" si="48"/>
        <v>0.82</v>
      </c>
      <c r="AA625" s="6">
        <f t="shared" si="49"/>
        <v>5</v>
      </c>
      <c r="AB625" t="str">
        <f>IFERROR(F625&amp;"*"&amp;ROUND(L625*(G625/(G625+I625+K625))/VLOOKUP(F625,商品!$A$4:$D$67,4,FALSE),0),"")</f>
        <v/>
      </c>
      <c r="AC625" t="str">
        <f>IFERROR(H625&amp;"*"&amp;ROUND(L625*(I625/(G625+I625+K625))/VLOOKUP(H625,商品!$A$4:$D$67,4,FALSE),0),"")</f>
        <v/>
      </c>
      <c r="AD625" t="str">
        <f>IFERROR(J625&amp;"*"&amp;ROUND(L625*(K625/(G625+I625+K625))/VLOOKUP(J625,商品!$A$4:$D$67,4,FALSE),0),"")</f>
        <v/>
      </c>
      <c r="AE625" t="str">
        <f>IFERROR(M625&amp;"*"&amp;ROUND(Q625*(N625/(N625+P625))/VLOOKUP(M625,职业!$A$3:$E$16,4,FALSE),0),"")</f>
        <v/>
      </c>
      <c r="AF625" t="str">
        <f>IFERROR(O625&amp;"*"&amp;ROUND(Q625*(P625/(N625+P625))/VLOOKUP(O625,职业!$A$3:$E$16,4,FALSE),0),"")</f>
        <v/>
      </c>
      <c r="AG625" t="str">
        <f>IFERROR(R625&amp;"*"&amp;ROUND(V625*(S625/(S625+U625))/VLOOKUP(R625,商品!$A$4:$D$67,4,FALSE),0),"")</f>
        <v/>
      </c>
      <c r="AH625" t="str">
        <f>IFERROR(T625&amp;"*"&amp;ROUND(V625*(U625/(S625+U625))/VLOOKUP(T625,商品!$A$4:$D$67,4,FALSE),0),"")</f>
        <v/>
      </c>
    </row>
    <row r="626" customHeight="1" spans="1:34">
      <c r="A626" s="14" t="s">
        <v>401</v>
      </c>
      <c r="C626" s="2">
        <v>1</v>
      </c>
      <c r="D626" s="2" t="s">
        <v>260</v>
      </c>
      <c r="E626" s="2" t="s">
        <v>222</v>
      </c>
      <c r="L626" s="2">
        <f>IFERROR(VLOOKUP($D626&amp;$C626,生产方式定位!$A$2:$E$39,2,FALSE)+VLOOKUP($E626&amp;$C626,生产方式定位!$F$3:$J$39,2,FALSE),0)</f>
        <v>0</v>
      </c>
      <c r="Q626" s="2">
        <f>IFERROR(VLOOKUP($D626&amp;$C626,生产方式定位!$A$2:$E$39,3,FALSE)+VLOOKUP($E626&amp;$C626,生产方式定位!$F$3:$J$39,3,FALSE),0)</f>
        <v>3000</v>
      </c>
      <c r="V626" s="2">
        <f>IFERROR(VLOOKUP($D626&amp;$C626,生产方式定位!$A$2:$E$39,5,FALSE)+VLOOKUP($E626&amp;$C626,生产方式定位!$F$3:$J$39,5,FALSE),"错误")</f>
        <v>1500</v>
      </c>
      <c r="W626" s="3" t="str">
        <f t="shared" si="45"/>
        <v/>
      </c>
      <c r="X626" s="4" t="str">
        <f t="shared" si="46"/>
        <v/>
      </c>
      <c r="Y626" s="4" t="str">
        <f t="shared" si="47"/>
        <v/>
      </c>
      <c r="Z626" s="5">
        <f t="shared" si="48"/>
        <v>0</v>
      </c>
      <c r="AA626" s="6">
        <f t="shared" si="49"/>
        <v>1</v>
      </c>
      <c r="AB626" t="str">
        <f>IFERROR(F626&amp;"*"&amp;ROUND(L626*(G626/(G626+I626+K626))/VLOOKUP(F626,商品!$A$4:$D$67,4,FALSE),0),"")</f>
        <v/>
      </c>
      <c r="AC626" t="str">
        <f>IFERROR(H626&amp;"*"&amp;ROUND(L626*(I626/(G626+I626+K626))/VLOOKUP(H626,商品!$A$4:$D$67,4,FALSE),0),"")</f>
        <v/>
      </c>
      <c r="AD626" t="str">
        <f>IFERROR(J626&amp;"*"&amp;ROUND(L626*(K626/(G626+I626+K626))/VLOOKUP(J626,商品!$A$4:$D$67,4,FALSE),0),"")</f>
        <v/>
      </c>
      <c r="AE626" t="str">
        <f>IFERROR(M626&amp;"*"&amp;ROUND(Q626*(N626/(N626+P626))/VLOOKUP(M626,职业!$A$3:$E$16,4,FALSE),0),"")</f>
        <v/>
      </c>
      <c r="AF626" t="str">
        <f>IFERROR(O626&amp;"*"&amp;ROUND(Q626*(P626/(N626+P626))/VLOOKUP(O626,职业!$A$3:$E$16,4,FALSE),0),"")</f>
        <v/>
      </c>
      <c r="AG626" t="str">
        <f>IFERROR(R626&amp;"*"&amp;ROUND(V626*(S626/(S626+U626))/VLOOKUP(R626,商品!$A$4:$D$67,4,FALSE),0),"")</f>
        <v/>
      </c>
      <c r="AH626" t="str">
        <f>IFERROR(T626&amp;"*"&amp;ROUND(V626*(U626/(S626+U626))/VLOOKUP(T626,商品!$A$4:$D$67,4,FALSE),0),"")</f>
        <v/>
      </c>
    </row>
    <row r="627" customHeight="1" spans="1:34">
      <c r="A627" s="14" t="s">
        <v>401</v>
      </c>
      <c r="C627" s="2">
        <v>2</v>
      </c>
      <c r="D627" s="2" t="s">
        <v>260</v>
      </c>
      <c r="E627" s="2" t="s">
        <v>222</v>
      </c>
      <c r="L627" s="2">
        <f>IFERROR(VLOOKUP($D627&amp;$C627,生产方式定位!$A$2:$E$39,2,FALSE)+VLOOKUP($E627&amp;$C627,生产方式定位!$F$3:$J$39,2,FALSE),0)</f>
        <v>1500</v>
      </c>
      <c r="Q627" s="2">
        <f>IFERROR(VLOOKUP($D627&amp;$C627,生产方式定位!$A$2:$E$39,3,FALSE)+VLOOKUP($E627&amp;$C627,生产方式定位!$F$3:$J$39,3,FALSE),0)</f>
        <v>3000</v>
      </c>
      <c r="V627" s="2">
        <f>IFERROR(VLOOKUP($D627&amp;$C627,生产方式定位!$A$2:$E$39,5,FALSE)+VLOOKUP($E627&amp;$C627,生产方式定位!$F$3:$J$39,5,FALSE),"错误")</f>
        <v>2322</v>
      </c>
      <c r="W627" s="3" t="str">
        <f t="shared" si="45"/>
        <v/>
      </c>
      <c r="X627" s="4" t="str">
        <f t="shared" si="46"/>
        <v/>
      </c>
      <c r="Y627" s="4" t="str">
        <f t="shared" si="47"/>
        <v/>
      </c>
      <c r="Z627" s="5">
        <f t="shared" si="48"/>
        <v>0.65</v>
      </c>
      <c r="AA627" s="6">
        <f t="shared" si="49"/>
        <v>2</v>
      </c>
      <c r="AB627" t="str">
        <f>IFERROR(F627&amp;"*"&amp;ROUND(L627*(G627/(G627+I627+K627))/VLOOKUP(F627,商品!$A$4:$D$67,4,FALSE),0),"")</f>
        <v/>
      </c>
      <c r="AC627" t="str">
        <f>IFERROR(H627&amp;"*"&amp;ROUND(L627*(I627/(G627+I627+K627))/VLOOKUP(H627,商品!$A$4:$D$67,4,FALSE),0),"")</f>
        <v/>
      </c>
      <c r="AD627" t="str">
        <f>IFERROR(J627&amp;"*"&amp;ROUND(L627*(K627/(G627+I627+K627))/VLOOKUP(J627,商品!$A$4:$D$67,4,FALSE),0),"")</f>
        <v/>
      </c>
      <c r="AE627" t="str">
        <f>IFERROR(M627&amp;"*"&amp;ROUND(Q627*(N627/(N627+P627))/VLOOKUP(M627,职业!$A$3:$E$16,4,FALSE),0),"")</f>
        <v/>
      </c>
      <c r="AF627" t="str">
        <f>IFERROR(O627&amp;"*"&amp;ROUND(Q627*(P627/(N627+P627))/VLOOKUP(O627,职业!$A$3:$E$16,4,FALSE),0),"")</f>
        <v/>
      </c>
      <c r="AG627" t="str">
        <f>IFERROR(R627&amp;"*"&amp;ROUND(V627*(S627/(S627+U627))/VLOOKUP(R627,商品!$A$4:$D$67,4,FALSE),0),"")</f>
        <v/>
      </c>
      <c r="AH627" t="str">
        <f>IFERROR(T627&amp;"*"&amp;ROUND(V627*(U627/(S627+U627))/VLOOKUP(T627,商品!$A$4:$D$67,4,FALSE),0),"")</f>
        <v/>
      </c>
    </row>
    <row r="628" customHeight="1" spans="1:34">
      <c r="A628" s="14" t="s">
        <v>401</v>
      </c>
      <c r="C628" s="2">
        <v>3</v>
      </c>
      <c r="D628" s="2" t="s">
        <v>260</v>
      </c>
      <c r="E628" s="2" t="s">
        <v>222</v>
      </c>
      <c r="L628" s="2">
        <f>IFERROR(VLOOKUP($D628&amp;$C628,生产方式定位!$A$2:$E$39,2,FALSE)+VLOOKUP($E628&amp;$C628,生产方式定位!$F$3:$J$39,2,FALSE),0)</f>
        <v>3000</v>
      </c>
      <c r="Q628" s="2">
        <f>IFERROR(VLOOKUP($D628&amp;$C628,生产方式定位!$A$2:$E$39,3,FALSE)+VLOOKUP($E628&amp;$C628,生产方式定位!$F$3:$J$39,3,FALSE),0)</f>
        <v>3000</v>
      </c>
      <c r="V628" s="2">
        <f>IFERROR(VLOOKUP($D628&amp;$C628,生产方式定位!$A$2:$E$39,5,FALSE)+VLOOKUP($E628&amp;$C628,生产方式定位!$F$3:$J$39,5,FALSE),"错误")</f>
        <v>3288</v>
      </c>
      <c r="W628" s="3" t="str">
        <f t="shared" si="45"/>
        <v/>
      </c>
      <c r="X628" s="4" t="str">
        <f t="shared" si="46"/>
        <v/>
      </c>
      <c r="Y628" s="4" t="str">
        <f t="shared" si="47"/>
        <v/>
      </c>
      <c r="Z628" s="5">
        <f t="shared" si="48"/>
        <v>0.91</v>
      </c>
      <c r="AA628" s="6">
        <f t="shared" si="49"/>
        <v>3</v>
      </c>
      <c r="AB628" t="str">
        <f>IFERROR(F628&amp;"*"&amp;ROUND(L628*(G628/(G628+I628+K628))/VLOOKUP(F628,商品!$A$4:$D$67,4,FALSE),0),"")</f>
        <v/>
      </c>
      <c r="AC628" t="str">
        <f>IFERROR(H628&amp;"*"&amp;ROUND(L628*(I628/(G628+I628+K628))/VLOOKUP(H628,商品!$A$4:$D$67,4,FALSE),0),"")</f>
        <v/>
      </c>
      <c r="AD628" t="str">
        <f>IFERROR(J628&amp;"*"&amp;ROUND(L628*(K628/(G628+I628+K628))/VLOOKUP(J628,商品!$A$4:$D$67,4,FALSE),0),"")</f>
        <v/>
      </c>
      <c r="AE628" t="str">
        <f>IFERROR(M628&amp;"*"&amp;ROUND(Q628*(N628/(N628+P628))/VLOOKUP(M628,职业!$A$3:$E$16,4,FALSE),0),"")</f>
        <v/>
      </c>
      <c r="AF628" t="str">
        <f>IFERROR(O628&amp;"*"&amp;ROUND(Q628*(P628/(N628+P628))/VLOOKUP(O628,职业!$A$3:$E$16,4,FALSE),0),"")</f>
        <v/>
      </c>
      <c r="AG628" t="str">
        <f>IFERROR(R628&amp;"*"&amp;ROUND(V628*(S628/(S628+U628))/VLOOKUP(R628,商品!$A$4:$D$67,4,FALSE),0),"")</f>
        <v/>
      </c>
      <c r="AH628" t="str">
        <f>IFERROR(T628&amp;"*"&amp;ROUND(V628*(U628/(S628+U628))/VLOOKUP(T628,商品!$A$4:$D$67,4,FALSE),0),"")</f>
        <v/>
      </c>
    </row>
    <row r="629" customHeight="1" spans="1:34">
      <c r="A629" s="14" t="s">
        <v>401</v>
      </c>
      <c r="C629" s="2">
        <v>4</v>
      </c>
      <c r="D629" s="2" t="s">
        <v>260</v>
      </c>
      <c r="E629" s="2" t="s">
        <v>222</v>
      </c>
      <c r="L629" s="2">
        <f>IFERROR(VLOOKUP($D629&amp;$C629,生产方式定位!$A$2:$E$39,2,FALSE)+VLOOKUP($E629&amp;$C629,生产方式定位!$F$3:$J$39,2,FALSE),0)</f>
        <v>4500</v>
      </c>
      <c r="Q629" s="2">
        <f>IFERROR(VLOOKUP($D629&amp;$C629,生产方式定位!$A$2:$E$39,3,FALSE)+VLOOKUP($E629&amp;$C629,生产方式定位!$F$3:$J$39,3,FALSE),0)</f>
        <v>3000</v>
      </c>
      <c r="V629" s="2">
        <f>IFERROR(VLOOKUP($D629&amp;$C629,生产方式定位!$A$2:$E$39,5,FALSE)+VLOOKUP($E629&amp;$C629,生产方式定位!$F$3:$J$39,5,FALSE),"错误")</f>
        <v>4398</v>
      </c>
      <c r="W629" s="3" t="str">
        <f t="shared" si="45"/>
        <v/>
      </c>
      <c r="X629" s="4" t="str">
        <f t="shared" si="46"/>
        <v/>
      </c>
      <c r="Y629" s="4" t="str">
        <f t="shared" si="47"/>
        <v/>
      </c>
      <c r="Z629" s="5">
        <f t="shared" si="48"/>
        <v>1.02</v>
      </c>
      <c r="AA629" s="6">
        <f t="shared" si="49"/>
        <v>4</v>
      </c>
      <c r="AB629" t="str">
        <f>IFERROR(F629&amp;"*"&amp;ROUND(L629*(G629/(G629+I629+K629))/VLOOKUP(F629,商品!$A$4:$D$67,4,FALSE),0),"")</f>
        <v/>
      </c>
      <c r="AC629" t="str">
        <f>IFERROR(H629&amp;"*"&amp;ROUND(L629*(I629/(G629+I629+K629))/VLOOKUP(H629,商品!$A$4:$D$67,4,FALSE),0),"")</f>
        <v/>
      </c>
      <c r="AD629" t="str">
        <f>IFERROR(J629&amp;"*"&amp;ROUND(L629*(K629/(G629+I629+K629))/VLOOKUP(J629,商品!$A$4:$D$67,4,FALSE),0),"")</f>
        <v/>
      </c>
      <c r="AE629" t="str">
        <f>IFERROR(M629&amp;"*"&amp;ROUND(Q629*(N629/(N629+P629))/VLOOKUP(M629,职业!$A$3:$E$16,4,FALSE),0),"")</f>
        <v/>
      </c>
      <c r="AF629" t="str">
        <f>IFERROR(O629&amp;"*"&amp;ROUND(Q629*(P629/(N629+P629))/VLOOKUP(O629,职业!$A$3:$E$16,4,FALSE),0),"")</f>
        <v/>
      </c>
      <c r="AG629" t="str">
        <f>IFERROR(R629&amp;"*"&amp;ROUND(V629*(S629/(S629+U629))/VLOOKUP(R629,商品!$A$4:$D$67,4,FALSE),0),"")</f>
        <v/>
      </c>
      <c r="AH629" t="str">
        <f>IFERROR(T629&amp;"*"&amp;ROUND(V629*(U629/(S629+U629))/VLOOKUP(T629,商品!$A$4:$D$67,4,FALSE),0),"")</f>
        <v/>
      </c>
    </row>
    <row r="630" customHeight="1" spans="1:34">
      <c r="A630" s="14" t="s">
        <v>401</v>
      </c>
      <c r="C630" s="2">
        <v>5</v>
      </c>
      <c r="D630" s="2" t="s">
        <v>260</v>
      </c>
      <c r="E630" s="2" t="s">
        <v>222</v>
      </c>
      <c r="L630" s="2">
        <f>IFERROR(VLOOKUP($D630&amp;$C630,生产方式定位!$A$2:$E$39,2,FALSE)+VLOOKUP($E630&amp;$C630,生产方式定位!$F$3:$J$39,2,FALSE),0)</f>
        <v>6000</v>
      </c>
      <c r="Q630" s="2">
        <f>IFERROR(VLOOKUP($D630&amp;$C630,生产方式定位!$A$2:$E$39,3,FALSE)+VLOOKUP($E630&amp;$C630,生产方式定位!$F$3:$J$39,3,FALSE),0)</f>
        <v>3000</v>
      </c>
      <c r="V630" s="2">
        <f>IFERROR(VLOOKUP($D630&amp;$C630,生产方式定位!$A$2:$E$39,5,FALSE)+VLOOKUP($E630&amp;$C630,生产方式定位!$F$3:$J$39,5,FALSE),"错误")</f>
        <v>5700</v>
      </c>
      <c r="W630" s="3" t="str">
        <f t="shared" si="45"/>
        <v/>
      </c>
      <c r="X630" s="4" t="str">
        <f t="shared" si="46"/>
        <v/>
      </c>
      <c r="Y630" s="4" t="str">
        <f t="shared" si="47"/>
        <v/>
      </c>
      <c r="Z630" s="5">
        <f t="shared" si="48"/>
        <v>1.05</v>
      </c>
      <c r="AA630" s="6">
        <f t="shared" si="49"/>
        <v>5</v>
      </c>
      <c r="AB630" t="str">
        <f>IFERROR(F630&amp;"*"&amp;ROUND(L630*(G630/(G630+I630+K630))/VLOOKUP(F630,商品!$A$4:$D$67,4,FALSE),0),"")</f>
        <v/>
      </c>
      <c r="AC630" t="str">
        <f>IFERROR(H630&amp;"*"&amp;ROUND(L630*(I630/(G630+I630+K630))/VLOOKUP(H630,商品!$A$4:$D$67,4,FALSE),0),"")</f>
        <v/>
      </c>
      <c r="AD630" t="str">
        <f>IFERROR(J630&amp;"*"&amp;ROUND(L630*(K630/(G630+I630+K630))/VLOOKUP(J630,商品!$A$4:$D$67,4,FALSE),0),"")</f>
        <v/>
      </c>
      <c r="AE630" t="str">
        <f>IFERROR(M630&amp;"*"&amp;ROUND(Q630*(N630/(N630+P630))/VLOOKUP(M630,职业!$A$3:$E$16,4,FALSE),0),"")</f>
        <v/>
      </c>
      <c r="AF630" t="str">
        <f>IFERROR(O630&amp;"*"&amp;ROUND(Q630*(P630/(N630+P630))/VLOOKUP(O630,职业!$A$3:$E$16,4,FALSE),0),"")</f>
        <v/>
      </c>
      <c r="AG630" t="str">
        <f>IFERROR(R630&amp;"*"&amp;ROUND(V630*(S630/(S630+U630))/VLOOKUP(R630,商品!$A$4:$D$67,4,FALSE),0),"")</f>
        <v/>
      </c>
      <c r="AH630" t="str">
        <f>IFERROR(T630&amp;"*"&amp;ROUND(V630*(U630/(S630+U630))/VLOOKUP(T630,商品!$A$4:$D$67,4,FALSE),0),"")</f>
        <v/>
      </c>
    </row>
    <row r="631" customHeight="1" spans="1:34">
      <c r="A631" s="15" t="s">
        <v>402</v>
      </c>
      <c r="C631" s="2">
        <v>1</v>
      </c>
      <c r="D631" s="2" t="s">
        <v>260</v>
      </c>
      <c r="E631" s="2" t="s">
        <v>223</v>
      </c>
      <c r="L631" s="2">
        <f>IFERROR(VLOOKUP($D631&amp;$C631,生产方式定位!$A$2:$E$39,2,FALSE)+VLOOKUP($E631&amp;$C631,生产方式定位!$F$3:$J$39,2,FALSE),0)</f>
        <v>0</v>
      </c>
      <c r="Q631" s="2">
        <f>IFERROR(VLOOKUP($D631&amp;$C631,生产方式定位!$A$2:$E$39,3,FALSE)+VLOOKUP($E631&amp;$C631,生产方式定位!$F$3:$J$39,3,FALSE),0)</f>
        <v>3000</v>
      </c>
      <c r="V631" s="2">
        <f>IFERROR(VLOOKUP($D631&amp;$C631,生产方式定位!$A$2:$E$39,5,FALSE)+VLOOKUP($E631&amp;$C631,生产方式定位!$F$3:$J$39,5,FALSE),"错误")</f>
        <v>1500</v>
      </c>
      <c r="W631" s="3" t="str">
        <f t="shared" si="45"/>
        <v/>
      </c>
      <c r="X631" s="4" t="str">
        <f t="shared" si="46"/>
        <v/>
      </c>
      <c r="Y631" s="4" t="str">
        <f t="shared" si="47"/>
        <v/>
      </c>
      <c r="Z631" s="5">
        <f t="shared" si="48"/>
        <v>0</v>
      </c>
      <c r="AA631" s="6">
        <f t="shared" si="49"/>
        <v>1</v>
      </c>
      <c r="AB631" t="str">
        <f>IFERROR(F631&amp;"*"&amp;ROUND(L631*(G631/(G631+I631+K631))/VLOOKUP(F631,商品!$A$4:$D$67,4,FALSE),0),"")</f>
        <v/>
      </c>
      <c r="AC631" t="str">
        <f>IFERROR(H631&amp;"*"&amp;ROUND(L631*(I631/(G631+I631+K631))/VLOOKUP(H631,商品!$A$4:$D$67,4,FALSE),0),"")</f>
        <v/>
      </c>
      <c r="AD631" t="str">
        <f>IFERROR(J631&amp;"*"&amp;ROUND(L631*(K631/(G631+I631+K631))/VLOOKUP(J631,商品!$A$4:$D$67,4,FALSE),0),"")</f>
        <v/>
      </c>
      <c r="AE631" t="str">
        <f>IFERROR(M631&amp;"*"&amp;ROUND(Q631*(N631/(N631+P631))/VLOOKUP(M631,职业!$A$3:$E$16,4,FALSE),0),"")</f>
        <v/>
      </c>
      <c r="AF631" t="str">
        <f>IFERROR(O631&amp;"*"&amp;ROUND(Q631*(P631/(N631+P631))/VLOOKUP(O631,职业!$A$3:$E$16,4,FALSE),0),"")</f>
        <v/>
      </c>
      <c r="AG631" t="str">
        <f>IFERROR(R631&amp;"*"&amp;ROUND(V631*(S631/(S631+U631))/VLOOKUP(R631,商品!$A$4:$D$67,4,FALSE),0),"")</f>
        <v/>
      </c>
      <c r="AH631" t="str">
        <f>IFERROR(T631&amp;"*"&amp;ROUND(V631*(U631/(S631+U631))/VLOOKUP(T631,商品!$A$4:$D$67,4,FALSE),0),"")</f>
        <v/>
      </c>
    </row>
    <row r="632" customHeight="1" spans="1:34">
      <c r="A632" s="15" t="s">
        <v>402</v>
      </c>
      <c r="C632" s="2">
        <v>2</v>
      </c>
      <c r="D632" s="2" t="s">
        <v>260</v>
      </c>
      <c r="E632" s="2" t="s">
        <v>223</v>
      </c>
      <c r="L632" s="2">
        <f>IFERROR(VLOOKUP($D632&amp;$C632,生产方式定位!$A$2:$E$39,2,FALSE)+VLOOKUP($E632&amp;$C632,生产方式定位!$F$3:$J$39,2,FALSE),0)</f>
        <v>1500</v>
      </c>
      <c r="Q632" s="2">
        <f>IFERROR(VLOOKUP($D632&amp;$C632,生产方式定位!$A$2:$E$39,3,FALSE)+VLOOKUP($E632&amp;$C632,生产方式定位!$F$3:$J$39,3,FALSE),0)</f>
        <v>4800</v>
      </c>
      <c r="V632" s="2">
        <f>IFERROR(VLOOKUP($D632&amp;$C632,生产方式定位!$A$2:$E$39,5,FALSE)+VLOOKUP($E632&amp;$C632,生产方式定位!$F$3:$J$39,5,FALSE),"错误")</f>
        <v>3195</v>
      </c>
      <c r="W632" s="3" t="str">
        <f t="shared" si="45"/>
        <v/>
      </c>
      <c r="X632" s="4" t="str">
        <f t="shared" si="46"/>
        <v/>
      </c>
      <c r="Y632" s="4" t="str">
        <f t="shared" si="47"/>
        <v/>
      </c>
      <c r="Z632" s="5">
        <f t="shared" si="48"/>
        <v>0.47</v>
      </c>
      <c r="AA632" s="6">
        <f t="shared" si="49"/>
        <v>2</v>
      </c>
      <c r="AB632" t="str">
        <f>IFERROR(F632&amp;"*"&amp;ROUND(L632*(G632/(G632+I632+K632))/VLOOKUP(F632,商品!$A$4:$D$67,4,FALSE),0),"")</f>
        <v/>
      </c>
      <c r="AC632" t="str">
        <f>IFERROR(H632&amp;"*"&amp;ROUND(L632*(I632/(G632+I632+K632))/VLOOKUP(H632,商品!$A$4:$D$67,4,FALSE),0),"")</f>
        <v/>
      </c>
      <c r="AD632" t="str">
        <f>IFERROR(J632&amp;"*"&amp;ROUND(L632*(K632/(G632+I632+K632))/VLOOKUP(J632,商品!$A$4:$D$67,4,FALSE),0),"")</f>
        <v/>
      </c>
      <c r="AE632" t="str">
        <f>IFERROR(M632&amp;"*"&amp;ROUND(Q632*(N632/(N632+P632))/VLOOKUP(M632,职业!$A$3:$E$16,4,FALSE),0),"")</f>
        <v/>
      </c>
      <c r="AF632" t="str">
        <f>IFERROR(O632&amp;"*"&amp;ROUND(Q632*(P632/(N632+P632))/VLOOKUP(O632,职业!$A$3:$E$16,4,FALSE),0),"")</f>
        <v/>
      </c>
      <c r="AG632" t="str">
        <f>IFERROR(R632&amp;"*"&amp;ROUND(V632*(S632/(S632+U632))/VLOOKUP(R632,商品!$A$4:$D$67,4,FALSE),0),"")</f>
        <v/>
      </c>
      <c r="AH632" t="str">
        <f>IFERROR(T632&amp;"*"&amp;ROUND(V632*(U632/(S632+U632))/VLOOKUP(T632,商品!$A$4:$D$67,4,FALSE),0),"")</f>
        <v/>
      </c>
    </row>
    <row r="633" customHeight="1" spans="1:34">
      <c r="A633" s="15" t="s">
        <v>402</v>
      </c>
      <c r="C633" s="2">
        <v>3</v>
      </c>
      <c r="D633" s="2" t="s">
        <v>260</v>
      </c>
      <c r="E633" s="2" t="s">
        <v>223</v>
      </c>
      <c r="L633" s="2">
        <f>IFERROR(VLOOKUP($D633&amp;$C633,生产方式定位!$A$2:$E$39,2,FALSE)+VLOOKUP($E633&amp;$C633,生产方式定位!$F$3:$J$39,2,FALSE),0)</f>
        <v>3000</v>
      </c>
      <c r="Q633" s="2">
        <f>IFERROR(VLOOKUP($D633&amp;$C633,生产方式定位!$A$2:$E$39,3,FALSE)+VLOOKUP($E633&amp;$C633,生产方式定位!$F$3:$J$39,3,FALSE),0)</f>
        <v>5600</v>
      </c>
      <c r="V633" s="2">
        <f>IFERROR(VLOOKUP($D633&amp;$C633,生产方式定位!$A$2:$E$39,5,FALSE)+VLOOKUP($E633&amp;$C633,生产方式定位!$F$3:$J$39,5,FALSE),"错误")</f>
        <v>4450</v>
      </c>
      <c r="W633" s="3" t="str">
        <f t="shared" si="45"/>
        <v/>
      </c>
      <c r="X633" s="4" t="str">
        <f t="shared" si="46"/>
        <v/>
      </c>
      <c r="Y633" s="4" t="str">
        <f t="shared" si="47"/>
        <v/>
      </c>
      <c r="Z633" s="5">
        <f t="shared" si="48"/>
        <v>0.67</v>
      </c>
      <c r="AA633" s="6">
        <f t="shared" si="49"/>
        <v>3</v>
      </c>
      <c r="AB633" t="str">
        <f>IFERROR(F633&amp;"*"&amp;ROUND(L633*(G633/(G633+I633+K633))/VLOOKUP(F633,商品!$A$4:$D$67,4,FALSE),0),"")</f>
        <v/>
      </c>
      <c r="AC633" t="str">
        <f>IFERROR(H633&amp;"*"&amp;ROUND(L633*(I633/(G633+I633+K633))/VLOOKUP(H633,商品!$A$4:$D$67,4,FALSE),0),"")</f>
        <v/>
      </c>
      <c r="AD633" t="str">
        <f>IFERROR(J633&amp;"*"&amp;ROUND(L633*(K633/(G633+I633+K633))/VLOOKUP(J633,商品!$A$4:$D$67,4,FALSE),0),"")</f>
        <v/>
      </c>
      <c r="AE633" t="str">
        <f>IFERROR(M633&amp;"*"&amp;ROUND(Q633*(N633/(N633+P633))/VLOOKUP(M633,职业!$A$3:$E$16,4,FALSE),0),"")</f>
        <v/>
      </c>
      <c r="AF633" t="str">
        <f>IFERROR(O633&amp;"*"&amp;ROUND(Q633*(P633/(N633+P633))/VLOOKUP(O633,职业!$A$3:$E$16,4,FALSE),0),"")</f>
        <v/>
      </c>
      <c r="AG633" t="str">
        <f>IFERROR(R633&amp;"*"&amp;ROUND(V633*(S633/(S633+U633))/VLOOKUP(R633,商品!$A$4:$D$67,4,FALSE),0),"")</f>
        <v/>
      </c>
      <c r="AH633" t="str">
        <f>IFERROR(T633&amp;"*"&amp;ROUND(V633*(U633/(S633+U633))/VLOOKUP(T633,商品!$A$4:$D$67,4,FALSE),0),"")</f>
        <v/>
      </c>
    </row>
    <row r="634" customHeight="1" spans="1:34">
      <c r="A634" s="15" t="s">
        <v>402</v>
      </c>
      <c r="C634" s="2">
        <v>4</v>
      </c>
      <c r="D634" s="2" t="s">
        <v>260</v>
      </c>
      <c r="E634" s="2" t="s">
        <v>223</v>
      </c>
      <c r="L634" s="2">
        <f>IFERROR(VLOOKUP($D634&amp;$C634,生产方式定位!$A$2:$E$39,2,FALSE)+VLOOKUP($E634&amp;$C634,生产方式定位!$F$3:$J$39,2,FALSE),0)</f>
        <v>4500</v>
      </c>
      <c r="Q634" s="2">
        <f>IFERROR(VLOOKUP($D634&amp;$C634,生产方式定位!$A$2:$E$39,3,FALSE)+VLOOKUP($E634&amp;$C634,生产方式定位!$F$3:$J$39,3,FALSE),0)</f>
        <v>6400</v>
      </c>
      <c r="V634" s="2">
        <f>IFERROR(VLOOKUP($D634&amp;$C634,生产方式定位!$A$2:$E$39,5,FALSE)+VLOOKUP($E634&amp;$C634,生产方式定位!$F$3:$J$39,5,FALSE),"错误")</f>
        <v>5765</v>
      </c>
      <c r="W634" s="3" t="str">
        <f t="shared" si="45"/>
        <v/>
      </c>
      <c r="X634" s="4" t="str">
        <f t="shared" si="46"/>
        <v/>
      </c>
      <c r="Y634" s="4" t="str">
        <f t="shared" si="47"/>
        <v/>
      </c>
      <c r="Z634" s="5">
        <f t="shared" si="48"/>
        <v>0.78</v>
      </c>
      <c r="AA634" s="6">
        <f t="shared" si="49"/>
        <v>4</v>
      </c>
      <c r="AB634" t="str">
        <f>IFERROR(F634&amp;"*"&amp;ROUND(L634*(G634/(G634+I634+K634))/VLOOKUP(F634,商品!$A$4:$D$67,4,FALSE),0),"")</f>
        <v/>
      </c>
      <c r="AC634" t="str">
        <f>IFERROR(H634&amp;"*"&amp;ROUND(L634*(I634/(G634+I634+K634))/VLOOKUP(H634,商品!$A$4:$D$67,4,FALSE),0),"")</f>
        <v/>
      </c>
      <c r="AD634" t="str">
        <f>IFERROR(J634&amp;"*"&amp;ROUND(L634*(K634/(G634+I634+K634))/VLOOKUP(J634,商品!$A$4:$D$67,4,FALSE),0),"")</f>
        <v/>
      </c>
      <c r="AE634" t="str">
        <f>IFERROR(M634&amp;"*"&amp;ROUND(Q634*(N634/(N634+P634))/VLOOKUP(M634,职业!$A$3:$E$16,4,FALSE),0),"")</f>
        <v/>
      </c>
      <c r="AF634" t="str">
        <f>IFERROR(O634&amp;"*"&amp;ROUND(Q634*(P634/(N634+P634))/VLOOKUP(O634,职业!$A$3:$E$16,4,FALSE),0),"")</f>
        <v/>
      </c>
      <c r="AG634" t="str">
        <f>IFERROR(R634&amp;"*"&amp;ROUND(V634*(S634/(S634+U634))/VLOOKUP(R634,商品!$A$4:$D$67,4,FALSE),0),"")</f>
        <v/>
      </c>
      <c r="AH634" t="str">
        <f>IFERROR(T634&amp;"*"&amp;ROUND(V634*(U634/(S634+U634))/VLOOKUP(T634,商品!$A$4:$D$67,4,FALSE),0),"")</f>
        <v/>
      </c>
    </row>
    <row r="635" customHeight="1" spans="1:34">
      <c r="A635" s="15" t="s">
        <v>402</v>
      </c>
      <c r="C635" s="2">
        <v>5</v>
      </c>
      <c r="D635" s="2" t="s">
        <v>260</v>
      </c>
      <c r="E635" s="2" t="s">
        <v>223</v>
      </c>
      <c r="L635" s="2">
        <f>IFERROR(VLOOKUP($D635&amp;$C635,生产方式定位!$A$2:$E$39,2,FALSE)+VLOOKUP($E635&amp;$C635,生产方式定位!$F$3:$J$39,2,FALSE),0)</f>
        <v>6000</v>
      </c>
      <c r="Q635" s="2">
        <f>IFERROR(VLOOKUP($D635&amp;$C635,生产方式定位!$A$2:$E$39,3,FALSE)+VLOOKUP($E635&amp;$C635,生产方式定位!$F$3:$J$39,3,FALSE),0)</f>
        <v>7200</v>
      </c>
      <c r="V635" s="2">
        <f>IFERROR(VLOOKUP($D635&amp;$C635,生产方式定位!$A$2:$E$39,5,FALSE)+VLOOKUP($E635&amp;$C635,生产方式定位!$F$3:$J$39,5,FALSE),"错误")</f>
        <v>7163</v>
      </c>
      <c r="W635" s="3" t="str">
        <f t="shared" si="45"/>
        <v/>
      </c>
      <c r="X635" s="4" t="str">
        <f t="shared" si="46"/>
        <v/>
      </c>
      <c r="Y635" s="4" t="str">
        <f t="shared" si="47"/>
        <v/>
      </c>
      <c r="Z635" s="5">
        <f t="shared" si="48"/>
        <v>0.84</v>
      </c>
      <c r="AA635" s="6">
        <f t="shared" si="49"/>
        <v>5</v>
      </c>
      <c r="AB635" t="str">
        <f>IFERROR(F635&amp;"*"&amp;ROUND(L635*(G635/(G635+I635+K635))/VLOOKUP(F635,商品!$A$4:$D$67,4,FALSE),0),"")</f>
        <v/>
      </c>
      <c r="AC635" t="str">
        <f>IFERROR(H635&amp;"*"&amp;ROUND(L635*(I635/(G635+I635+K635))/VLOOKUP(H635,商品!$A$4:$D$67,4,FALSE),0),"")</f>
        <v/>
      </c>
      <c r="AD635" t="str">
        <f>IFERROR(J635&amp;"*"&amp;ROUND(L635*(K635/(G635+I635+K635))/VLOOKUP(J635,商品!$A$4:$D$67,4,FALSE),0),"")</f>
        <v/>
      </c>
      <c r="AE635" t="str">
        <f>IFERROR(M635&amp;"*"&amp;ROUND(Q635*(N635/(N635+P635))/VLOOKUP(M635,职业!$A$3:$E$16,4,FALSE),0),"")</f>
        <v/>
      </c>
      <c r="AF635" t="str">
        <f>IFERROR(O635&amp;"*"&amp;ROUND(Q635*(P635/(N635+P635))/VLOOKUP(O635,职业!$A$3:$E$16,4,FALSE),0),"")</f>
        <v/>
      </c>
      <c r="AG635" t="str">
        <f>IFERROR(R635&amp;"*"&amp;ROUND(V635*(S635/(S635+U635))/VLOOKUP(R635,商品!$A$4:$D$67,4,FALSE),0),"")</f>
        <v/>
      </c>
      <c r="AH635" t="str">
        <f>IFERROR(T635&amp;"*"&amp;ROUND(V635*(U635/(S635+U635))/VLOOKUP(T635,商品!$A$4:$D$67,4,FALSE),0),"")</f>
        <v/>
      </c>
    </row>
    <row r="636" customHeight="1" spans="1:34">
      <c r="A636" s="14" t="s">
        <v>403</v>
      </c>
      <c r="C636" s="2">
        <v>1</v>
      </c>
      <c r="D636" s="2" t="s">
        <v>260</v>
      </c>
      <c r="E636" s="2" t="s">
        <v>224</v>
      </c>
      <c r="L636" s="2">
        <f>IFERROR(VLOOKUP($D636&amp;$C636,生产方式定位!$A$2:$E$39,2,FALSE)+VLOOKUP($E636&amp;$C636,生产方式定位!$F$3:$J$39,2,FALSE),0)</f>
        <v>0</v>
      </c>
      <c r="Q636" s="2">
        <f>IFERROR(VLOOKUP($D636&amp;$C636,生产方式定位!$A$2:$E$39,3,FALSE)+VLOOKUP($E636&amp;$C636,生产方式定位!$F$3:$J$39,3,FALSE),0)</f>
        <v>3000</v>
      </c>
      <c r="V636" s="2">
        <f>IFERROR(VLOOKUP($D636&amp;$C636,生产方式定位!$A$2:$E$39,5,FALSE)+VLOOKUP($E636&amp;$C636,生产方式定位!$F$3:$J$39,5,FALSE),"错误")</f>
        <v>1500</v>
      </c>
      <c r="W636" s="3" t="str">
        <f t="shared" si="45"/>
        <v/>
      </c>
      <c r="X636" s="4" t="str">
        <f t="shared" si="46"/>
        <v/>
      </c>
      <c r="Y636" s="4" t="str">
        <f t="shared" si="47"/>
        <v/>
      </c>
      <c r="Z636" s="5">
        <f t="shared" si="48"/>
        <v>0</v>
      </c>
      <c r="AA636" s="6">
        <f t="shared" si="49"/>
        <v>1</v>
      </c>
      <c r="AB636" t="str">
        <f>IFERROR(F636&amp;"*"&amp;ROUND(L636*(G636/(G636+I636+K636))/VLOOKUP(F636,商品!$A$4:$D$67,4,FALSE),0),"")</f>
        <v/>
      </c>
      <c r="AC636" t="str">
        <f>IFERROR(H636&amp;"*"&amp;ROUND(L636*(I636/(G636+I636+K636))/VLOOKUP(H636,商品!$A$4:$D$67,4,FALSE),0),"")</f>
        <v/>
      </c>
      <c r="AD636" t="str">
        <f>IFERROR(J636&amp;"*"&amp;ROUND(L636*(K636/(G636+I636+K636))/VLOOKUP(J636,商品!$A$4:$D$67,4,FALSE),0),"")</f>
        <v/>
      </c>
      <c r="AE636" t="str">
        <f>IFERROR(M636&amp;"*"&amp;ROUND(Q636*(N636/(N636+P636))/VLOOKUP(M636,职业!$A$3:$E$16,4,FALSE),0),"")</f>
        <v/>
      </c>
      <c r="AF636" t="str">
        <f>IFERROR(O636&amp;"*"&amp;ROUND(Q636*(P636/(N636+P636))/VLOOKUP(O636,职业!$A$3:$E$16,4,FALSE),0),"")</f>
        <v/>
      </c>
      <c r="AG636" t="str">
        <f>IFERROR(R636&amp;"*"&amp;ROUND(V636*(S636/(S636+U636))/VLOOKUP(R636,商品!$A$4:$D$67,4,FALSE),0),"")</f>
        <v/>
      </c>
      <c r="AH636" t="str">
        <f>IFERROR(T636&amp;"*"&amp;ROUND(V636*(U636/(S636+U636))/VLOOKUP(T636,商品!$A$4:$D$67,4,FALSE),0),"")</f>
        <v/>
      </c>
    </row>
    <row r="637" customHeight="1" spans="1:34">
      <c r="A637" s="14" t="s">
        <v>403</v>
      </c>
      <c r="C637" s="2">
        <v>2</v>
      </c>
      <c r="D637" s="2" t="s">
        <v>260</v>
      </c>
      <c r="E637" s="2" t="s">
        <v>224</v>
      </c>
      <c r="L637" s="2">
        <f>IFERROR(VLOOKUP($D637&amp;$C637,生产方式定位!$A$2:$E$39,2,FALSE)+VLOOKUP($E637&amp;$C637,生产方式定位!$F$3:$J$39,2,FALSE),0)</f>
        <v>2500</v>
      </c>
      <c r="Q637" s="2">
        <f>IFERROR(VLOOKUP($D637&amp;$C637,生产方式定位!$A$2:$E$39,3,FALSE)+VLOOKUP($E637&amp;$C637,生产方式定位!$F$3:$J$39,3,FALSE),0)</f>
        <v>2600</v>
      </c>
      <c r="V637" s="2">
        <f>IFERROR(VLOOKUP($D637&amp;$C637,生产方式定位!$A$2:$E$39,5,FALSE)+VLOOKUP($E637&amp;$C637,生产方式定位!$F$3:$J$39,5,FALSE),"错误")</f>
        <v>2640</v>
      </c>
      <c r="W637" s="3" t="str">
        <f t="shared" si="45"/>
        <v/>
      </c>
      <c r="X637" s="4" t="str">
        <f t="shared" si="46"/>
        <v/>
      </c>
      <c r="Y637" s="4" t="str">
        <f t="shared" si="47"/>
        <v/>
      </c>
      <c r="Z637" s="5">
        <f t="shared" si="48"/>
        <v>0.95</v>
      </c>
      <c r="AA637" s="6">
        <f t="shared" si="49"/>
        <v>2</v>
      </c>
      <c r="AB637" t="str">
        <f>IFERROR(F637&amp;"*"&amp;ROUND(L637*(G637/(G637+I637+K637))/VLOOKUP(F637,商品!$A$4:$D$67,4,FALSE),0),"")</f>
        <v/>
      </c>
      <c r="AC637" t="str">
        <f>IFERROR(H637&amp;"*"&amp;ROUND(L637*(I637/(G637+I637+K637))/VLOOKUP(H637,商品!$A$4:$D$67,4,FALSE),0),"")</f>
        <v/>
      </c>
      <c r="AD637" t="str">
        <f>IFERROR(J637&amp;"*"&amp;ROUND(L637*(K637/(G637+I637+K637))/VLOOKUP(J637,商品!$A$4:$D$67,4,FALSE),0),"")</f>
        <v/>
      </c>
      <c r="AE637" t="str">
        <f>IFERROR(M637&amp;"*"&amp;ROUND(Q637*(N637/(N637+P637))/VLOOKUP(M637,职业!$A$3:$E$16,4,FALSE),0),"")</f>
        <v/>
      </c>
      <c r="AF637" t="str">
        <f>IFERROR(O637&amp;"*"&amp;ROUND(Q637*(P637/(N637+P637))/VLOOKUP(O637,职业!$A$3:$E$16,4,FALSE),0),"")</f>
        <v/>
      </c>
      <c r="AG637" t="str">
        <f>IFERROR(R637&amp;"*"&amp;ROUND(V637*(S637/(S637+U637))/VLOOKUP(R637,商品!$A$4:$D$67,4,FALSE),0),"")</f>
        <v/>
      </c>
      <c r="AH637" t="str">
        <f>IFERROR(T637&amp;"*"&amp;ROUND(V637*(U637/(S637+U637))/VLOOKUP(T637,商品!$A$4:$D$67,4,FALSE),0),"")</f>
        <v/>
      </c>
    </row>
    <row r="638" customHeight="1" spans="1:34">
      <c r="A638" s="14" t="s">
        <v>403</v>
      </c>
      <c r="C638" s="2">
        <v>3</v>
      </c>
      <c r="D638" s="2" t="s">
        <v>260</v>
      </c>
      <c r="E638" s="2" t="s">
        <v>224</v>
      </c>
      <c r="L638" s="2">
        <f>IFERROR(VLOOKUP($D638&amp;$C638,生产方式定位!$A$2:$E$39,2,FALSE)+VLOOKUP($E638&amp;$C638,生产方式定位!$F$3:$J$39,2,FALSE),0)</f>
        <v>4000</v>
      </c>
      <c r="Q638" s="2">
        <f>IFERROR(VLOOKUP($D638&amp;$C638,生产方式定位!$A$2:$E$39,3,FALSE)+VLOOKUP($E638&amp;$C638,生产方式定位!$F$3:$J$39,3,FALSE),0)</f>
        <v>2200</v>
      </c>
      <c r="V638" s="2">
        <f>IFERROR(VLOOKUP($D638&amp;$C638,生产方式定位!$A$2:$E$39,5,FALSE)+VLOOKUP($E638&amp;$C638,生产方式定位!$F$3:$J$39,5,FALSE),"错误")</f>
        <v>3360</v>
      </c>
      <c r="W638" s="3" t="str">
        <f t="shared" si="45"/>
        <v/>
      </c>
      <c r="X638" s="4" t="str">
        <f t="shared" si="46"/>
        <v/>
      </c>
      <c r="Y638" s="4" t="str">
        <f t="shared" si="47"/>
        <v/>
      </c>
      <c r="Z638" s="5">
        <f t="shared" si="48"/>
        <v>1.19</v>
      </c>
      <c r="AA638" s="6">
        <f t="shared" si="49"/>
        <v>3</v>
      </c>
      <c r="AB638" t="str">
        <f>IFERROR(F638&amp;"*"&amp;ROUND(L638*(G638/(G638+I638+K638))/VLOOKUP(F638,商品!$A$4:$D$67,4,FALSE),0),"")</f>
        <v/>
      </c>
      <c r="AC638" t="str">
        <f>IFERROR(H638&amp;"*"&amp;ROUND(L638*(I638/(G638+I638+K638))/VLOOKUP(H638,商品!$A$4:$D$67,4,FALSE),0),"")</f>
        <v/>
      </c>
      <c r="AD638" t="str">
        <f>IFERROR(J638&amp;"*"&amp;ROUND(L638*(K638/(G638+I638+K638))/VLOOKUP(J638,商品!$A$4:$D$67,4,FALSE),0),"")</f>
        <v/>
      </c>
      <c r="AE638" t="str">
        <f>IFERROR(M638&amp;"*"&amp;ROUND(Q638*(N638/(N638+P638))/VLOOKUP(M638,职业!$A$3:$E$16,4,FALSE),0),"")</f>
        <v/>
      </c>
      <c r="AF638" t="str">
        <f>IFERROR(O638&amp;"*"&amp;ROUND(Q638*(P638/(N638+P638))/VLOOKUP(O638,职业!$A$3:$E$16,4,FALSE),0),"")</f>
        <v/>
      </c>
      <c r="AG638" t="str">
        <f>IFERROR(R638&amp;"*"&amp;ROUND(V638*(S638/(S638+U638))/VLOOKUP(R638,商品!$A$4:$D$67,4,FALSE),0),"")</f>
        <v/>
      </c>
      <c r="AH638" t="str">
        <f>IFERROR(T638&amp;"*"&amp;ROUND(V638*(U638/(S638+U638))/VLOOKUP(T638,商品!$A$4:$D$67,4,FALSE),0),"")</f>
        <v/>
      </c>
    </row>
    <row r="639" customHeight="1" spans="1:34">
      <c r="A639" s="14" t="s">
        <v>403</v>
      </c>
      <c r="C639" s="2">
        <v>4</v>
      </c>
      <c r="D639" s="2" t="s">
        <v>260</v>
      </c>
      <c r="E639" s="2" t="s">
        <v>224</v>
      </c>
      <c r="L639" s="2">
        <f>IFERROR(VLOOKUP($D639&amp;$C639,生产方式定位!$A$2:$E$39,2,FALSE)+VLOOKUP($E639&amp;$C639,生产方式定位!$F$3:$J$39,2,FALSE),0)</f>
        <v>5500</v>
      </c>
      <c r="Q639" s="2">
        <f>IFERROR(VLOOKUP($D639&amp;$C639,生产方式定位!$A$2:$E$39,3,FALSE)+VLOOKUP($E639&amp;$C639,生产方式定位!$F$3:$J$39,3,FALSE),0)</f>
        <v>1800</v>
      </c>
      <c r="V639" s="2">
        <f>IFERROR(VLOOKUP($D639&amp;$C639,生产方式定位!$A$2:$E$39,5,FALSE)+VLOOKUP($E639&amp;$C639,生产方式定位!$F$3:$J$39,5,FALSE),"错误")</f>
        <v>4160</v>
      </c>
      <c r="W639" s="3" t="str">
        <f t="shared" si="45"/>
        <v/>
      </c>
      <c r="X639" s="4" t="str">
        <f t="shared" si="46"/>
        <v/>
      </c>
      <c r="Y639" s="4" t="str">
        <f t="shared" si="47"/>
        <v/>
      </c>
      <c r="Z639" s="5">
        <f t="shared" si="48"/>
        <v>1.32</v>
      </c>
      <c r="AA639" s="6">
        <f t="shared" si="49"/>
        <v>4</v>
      </c>
      <c r="AB639" t="str">
        <f>IFERROR(F639&amp;"*"&amp;ROUND(L639*(G639/(G639+I639+K639))/VLOOKUP(F639,商品!$A$4:$D$67,4,FALSE),0),"")</f>
        <v/>
      </c>
      <c r="AC639" t="str">
        <f>IFERROR(H639&amp;"*"&amp;ROUND(L639*(I639/(G639+I639+K639))/VLOOKUP(H639,商品!$A$4:$D$67,4,FALSE),0),"")</f>
        <v/>
      </c>
      <c r="AD639" t="str">
        <f>IFERROR(J639&amp;"*"&amp;ROUND(L639*(K639/(G639+I639+K639))/VLOOKUP(J639,商品!$A$4:$D$67,4,FALSE),0),"")</f>
        <v/>
      </c>
      <c r="AE639" t="str">
        <f>IFERROR(M639&amp;"*"&amp;ROUND(Q639*(N639/(N639+P639))/VLOOKUP(M639,职业!$A$3:$E$16,4,FALSE),0),"")</f>
        <v/>
      </c>
      <c r="AF639" t="str">
        <f>IFERROR(O639&amp;"*"&amp;ROUND(Q639*(P639/(N639+P639))/VLOOKUP(O639,职业!$A$3:$E$16,4,FALSE),0),"")</f>
        <v/>
      </c>
      <c r="AG639" t="str">
        <f>IFERROR(R639&amp;"*"&amp;ROUND(V639*(S639/(S639+U639))/VLOOKUP(R639,商品!$A$4:$D$67,4,FALSE),0),"")</f>
        <v/>
      </c>
      <c r="AH639" t="str">
        <f>IFERROR(T639&amp;"*"&amp;ROUND(V639*(U639/(S639+U639))/VLOOKUP(T639,商品!$A$4:$D$67,4,FALSE),0),"")</f>
        <v/>
      </c>
    </row>
    <row r="640" customHeight="1" spans="1:34">
      <c r="A640" s="14" t="s">
        <v>403</v>
      </c>
      <c r="C640" s="2">
        <v>5</v>
      </c>
      <c r="D640" s="2" t="s">
        <v>260</v>
      </c>
      <c r="E640" s="2" t="s">
        <v>224</v>
      </c>
      <c r="L640" s="2">
        <f>IFERROR(VLOOKUP($D640&amp;$C640,生产方式定位!$A$2:$E$39,2,FALSE)+VLOOKUP($E640&amp;$C640,生产方式定位!$F$3:$J$39,2,FALSE),0)</f>
        <v>7000</v>
      </c>
      <c r="Q640" s="2">
        <f>IFERROR(VLOOKUP($D640&amp;$C640,生产方式定位!$A$2:$E$39,3,FALSE)+VLOOKUP($E640&amp;$C640,生产方式定位!$F$3:$J$39,3,FALSE),0)</f>
        <v>1400</v>
      </c>
      <c r="V640" s="2">
        <f>IFERROR(VLOOKUP($D640&amp;$C640,生产方式定位!$A$2:$E$39,5,FALSE)+VLOOKUP($E640&amp;$C640,生产方式定位!$F$3:$J$39,5,FALSE),"错误")</f>
        <v>5040</v>
      </c>
      <c r="W640" s="3" t="str">
        <f t="shared" si="45"/>
        <v/>
      </c>
      <c r="X640" s="4" t="str">
        <f t="shared" si="46"/>
        <v/>
      </c>
      <c r="Y640" s="4" t="str">
        <f t="shared" si="47"/>
        <v/>
      </c>
      <c r="Z640" s="5">
        <f t="shared" si="48"/>
        <v>1.39</v>
      </c>
      <c r="AA640" s="6">
        <f t="shared" si="49"/>
        <v>5</v>
      </c>
      <c r="AB640" t="str">
        <f>IFERROR(F640&amp;"*"&amp;ROUND(L640*(G640/(G640+I640+K640))/VLOOKUP(F640,商品!$A$4:$D$67,4,FALSE),0),"")</f>
        <v/>
      </c>
      <c r="AC640" t="str">
        <f>IFERROR(H640&amp;"*"&amp;ROUND(L640*(I640/(G640+I640+K640))/VLOOKUP(H640,商品!$A$4:$D$67,4,FALSE),0),"")</f>
        <v/>
      </c>
      <c r="AD640" t="str">
        <f>IFERROR(J640&amp;"*"&amp;ROUND(L640*(K640/(G640+I640+K640))/VLOOKUP(J640,商品!$A$4:$D$67,4,FALSE),0),"")</f>
        <v/>
      </c>
      <c r="AE640" t="str">
        <f>IFERROR(M640&amp;"*"&amp;ROUND(Q640*(N640/(N640+P640))/VLOOKUP(M640,职业!$A$3:$E$16,4,FALSE),0),"")</f>
        <v/>
      </c>
      <c r="AF640" t="str">
        <f>IFERROR(O640&amp;"*"&amp;ROUND(Q640*(P640/(N640+P640))/VLOOKUP(O640,职业!$A$3:$E$16,4,FALSE),0),"")</f>
        <v/>
      </c>
      <c r="AG640" t="str">
        <f>IFERROR(R640&amp;"*"&amp;ROUND(V640*(S640/(S640+U640))/VLOOKUP(R640,商品!$A$4:$D$67,4,FALSE),0),"")</f>
        <v/>
      </c>
      <c r="AH640" t="str">
        <f>IFERROR(T640&amp;"*"&amp;ROUND(V640*(U640/(S640+U640))/VLOOKUP(T640,商品!$A$4:$D$67,4,FALSE),0),"")</f>
        <v/>
      </c>
    </row>
    <row r="641" customHeight="1" spans="1:34">
      <c r="A641" s="15" t="s">
        <v>403</v>
      </c>
      <c r="C641" s="2">
        <v>1</v>
      </c>
      <c r="D641" s="2" t="s">
        <v>260</v>
      </c>
      <c r="E641" s="2" t="s">
        <v>224</v>
      </c>
      <c r="L641" s="2">
        <f>IFERROR(VLOOKUP($D641&amp;$C641,生产方式定位!$A$2:$E$39,2,FALSE)+VLOOKUP($E641&amp;$C641,生产方式定位!$F$3:$J$39,2,FALSE),0)</f>
        <v>0</v>
      </c>
      <c r="Q641" s="2">
        <f>IFERROR(VLOOKUP($D641&amp;$C641,生产方式定位!$A$2:$E$39,3,FALSE)+VLOOKUP($E641&amp;$C641,生产方式定位!$F$3:$J$39,3,FALSE),0)</f>
        <v>3000</v>
      </c>
      <c r="V641" s="2">
        <f>IFERROR(VLOOKUP($D641&amp;$C641,生产方式定位!$A$2:$E$39,5,FALSE)+VLOOKUP($E641&amp;$C641,生产方式定位!$F$3:$J$39,5,FALSE),"错误")</f>
        <v>1500</v>
      </c>
      <c r="W641" s="3" t="str">
        <f t="shared" si="45"/>
        <v/>
      </c>
      <c r="X641" s="4" t="str">
        <f t="shared" si="46"/>
        <v/>
      </c>
      <c r="Y641" s="4" t="str">
        <f t="shared" si="47"/>
        <v/>
      </c>
      <c r="Z641" s="5">
        <f t="shared" si="48"/>
        <v>0</v>
      </c>
      <c r="AA641" s="6">
        <f t="shared" si="49"/>
        <v>1</v>
      </c>
      <c r="AB641" t="str">
        <f>IFERROR(F641&amp;"*"&amp;ROUND(L641*(G641/(G641+I641+K641))/VLOOKUP(F641,商品!$A$4:$D$67,4,FALSE),0),"")</f>
        <v/>
      </c>
      <c r="AC641" t="str">
        <f>IFERROR(H641&amp;"*"&amp;ROUND(L641*(I641/(G641+I641+K641))/VLOOKUP(H641,商品!$A$4:$D$67,4,FALSE),0),"")</f>
        <v/>
      </c>
      <c r="AD641" t="str">
        <f>IFERROR(J641&amp;"*"&amp;ROUND(L641*(K641/(G641+I641+K641))/VLOOKUP(J641,商品!$A$4:$D$67,4,FALSE),0),"")</f>
        <v/>
      </c>
      <c r="AE641" t="str">
        <f>IFERROR(M641&amp;"*"&amp;ROUND(Q641*(N641/(N641+P641))/VLOOKUP(M641,职业!$A$3:$E$16,4,FALSE),0),"")</f>
        <v/>
      </c>
      <c r="AF641" t="str">
        <f>IFERROR(O641&amp;"*"&amp;ROUND(Q641*(P641/(N641+P641))/VLOOKUP(O641,职业!$A$3:$E$16,4,FALSE),0),"")</f>
        <v/>
      </c>
      <c r="AG641" t="str">
        <f>IFERROR(R641&amp;"*"&amp;ROUND(V641*(S641/(S641+U641))/VLOOKUP(R641,商品!$A$4:$D$67,4,FALSE),0),"")</f>
        <v/>
      </c>
      <c r="AH641" t="str">
        <f>IFERROR(T641&amp;"*"&amp;ROUND(V641*(U641/(S641+U641))/VLOOKUP(T641,商品!$A$4:$D$67,4,FALSE),0),"")</f>
        <v/>
      </c>
    </row>
    <row r="642" customHeight="1" spans="1:34">
      <c r="A642" s="15" t="s">
        <v>403</v>
      </c>
      <c r="C642" s="2">
        <v>2</v>
      </c>
      <c r="D642" s="2" t="s">
        <v>260</v>
      </c>
      <c r="E642" s="2" t="s">
        <v>224</v>
      </c>
      <c r="L642" s="2">
        <f>IFERROR(VLOOKUP($D642&amp;$C642,生产方式定位!$A$2:$E$39,2,FALSE)+VLOOKUP($E642&amp;$C642,生产方式定位!$F$3:$J$39,2,FALSE),0)</f>
        <v>2500</v>
      </c>
      <c r="Q642" s="2">
        <f>IFERROR(VLOOKUP($D642&amp;$C642,生产方式定位!$A$2:$E$39,3,FALSE)+VLOOKUP($E642&amp;$C642,生产方式定位!$F$3:$J$39,3,FALSE),0)</f>
        <v>2600</v>
      </c>
      <c r="V642" s="2">
        <f>IFERROR(VLOOKUP($D642&amp;$C642,生产方式定位!$A$2:$E$39,5,FALSE)+VLOOKUP($E642&amp;$C642,生产方式定位!$F$3:$J$39,5,FALSE),"错误")</f>
        <v>2640</v>
      </c>
      <c r="W642" s="3" t="str">
        <f t="shared" si="45"/>
        <v/>
      </c>
      <c r="X642" s="4" t="str">
        <f t="shared" si="46"/>
        <v/>
      </c>
      <c r="Y642" s="4" t="str">
        <f t="shared" si="47"/>
        <v/>
      </c>
      <c r="Z642" s="5">
        <f t="shared" si="48"/>
        <v>0.95</v>
      </c>
      <c r="AA642" s="6">
        <f t="shared" si="49"/>
        <v>2</v>
      </c>
      <c r="AB642" t="str">
        <f>IFERROR(F642&amp;"*"&amp;ROUND(L642*(G642/(G642+I642+K642))/VLOOKUP(F642,商品!$A$4:$D$67,4,FALSE),0),"")</f>
        <v/>
      </c>
      <c r="AC642" t="str">
        <f>IFERROR(H642&amp;"*"&amp;ROUND(L642*(I642/(G642+I642+K642))/VLOOKUP(H642,商品!$A$4:$D$67,4,FALSE),0),"")</f>
        <v/>
      </c>
      <c r="AD642" t="str">
        <f>IFERROR(J642&amp;"*"&amp;ROUND(L642*(K642/(G642+I642+K642))/VLOOKUP(J642,商品!$A$4:$D$67,4,FALSE),0),"")</f>
        <v/>
      </c>
      <c r="AE642" t="str">
        <f>IFERROR(M642&amp;"*"&amp;ROUND(Q642*(N642/(N642+P642))/VLOOKUP(M642,职业!$A$3:$E$16,4,FALSE),0),"")</f>
        <v/>
      </c>
      <c r="AF642" t="str">
        <f>IFERROR(O642&amp;"*"&amp;ROUND(Q642*(P642/(N642+P642))/VLOOKUP(O642,职业!$A$3:$E$16,4,FALSE),0),"")</f>
        <v/>
      </c>
      <c r="AG642" t="str">
        <f>IFERROR(R642&amp;"*"&amp;ROUND(V642*(S642/(S642+U642))/VLOOKUP(R642,商品!$A$4:$D$67,4,FALSE),0),"")</f>
        <v/>
      </c>
      <c r="AH642" t="str">
        <f>IFERROR(T642&amp;"*"&amp;ROUND(V642*(U642/(S642+U642))/VLOOKUP(T642,商品!$A$4:$D$67,4,FALSE),0),"")</f>
        <v/>
      </c>
    </row>
    <row r="643" customHeight="1" spans="1:34">
      <c r="A643" s="15" t="s">
        <v>403</v>
      </c>
      <c r="C643" s="2">
        <v>3</v>
      </c>
      <c r="D643" s="2" t="s">
        <v>260</v>
      </c>
      <c r="E643" s="2" t="s">
        <v>224</v>
      </c>
      <c r="L643" s="2">
        <f>IFERROR(VLOOKUP($D643&amp;$C643,生产方式定位!$A$2:$E$39,2,FALSE)+VLOOKUP($E643&amp;$C643,生产方式定位!$F$3:$J$39,2,FALSE),0)</f>
        <v>4000</v>
      </c>
      <c r="Q643" s="2">
        <f>IFERROR(VLOOKUP($D643&amp;$C643,生产方式定位!$A$2:$E$39,3,FALSE)+VLOOKUP($E643&amp;$C643,生产方式定位!$F$3:$J$39,3,FALSE),0)</f>
        <v>2200</v>
      </c>
      <c r="V643" s="2">
        <f>IFERROR(VLOOKUP($D643&amp;$C643,生产方式定位!$A$2:$E$39,5,FALSE)+VLOOKUP($E643&amp;$C643,生产方式定位!$F$3:$J$39,5,FALSE),"错误")</f>
        <v>3360</v>
      </c>
      <c r="W643" s="3" t="str">
        <f t="shared" si="45"/>
        <v/>
      </c>
      <c r="X643" s="4" t="str">
        <f t="shared" si="46"/>
        <v/>
      </c>
      <c r="Y643" s="4" t="str">
        <f t="shared" si="47"/>
        <v/>
      </c>
      <c r="Z643" s="5">
        <f t="shared" si="48"/>
        <v>1.19</v>
      </c>
      <c r="AA643" s="6">
        <f t="shared" si="49"/>
        <v>3</v>
      </c>
      <c r="AB643" t="str">
        <f>IFERROR(F643&amp;"*"&amp;ROUND(L643*(G643/(G643+I643+K643))/VLOOKUP(F643,商品!$A$4:$D$67,4,FALSE),0),"")</f>
        <v/>
      </c>
      <c r="AC643" t="str">
        <f>IFERROR(H643&amp;"*"&amp;ROUND(L643*(I643/(G643+I643+K643))/VLOOKUP(H643,商品!$A$4:$D$67,4,FALSE),0),"")</f>
        <v/>
      </c>
      <c r="AD643" t="str">
        <f>IFERROR(J643&amp;"*"&amp;ROUND(L643*(K643/(G643+I643+K643))/VLOOKUP(J643,商品!$A$4:$D$67,4,FALSE),0),"")</f>
        <v/>
      </c>
      <c r="AE643" t="str">
        <f>IFERROR(M643&amp;"*"&amp;ROUND(Q643*(N643/(N643+P643))/VLOOKUP(M643,职业!$A$3:$E$16,4,FALSE),0),"")</f>
        <v/>
      </c>
      <c r="AF643" t="str">
        <f>IFERROR(O643&amp;"*"&amp;ROUND(Q643*(P643/(N643+P643))/VLOOKUP(O643,职业!$A$3:$E$16,4,FALSE),0),"")</f>
        <v/>
      </c>
      <c r="AG643" t="str">
        <f>IFERROR(R643&amp;"*"&amp;ROUND(V643*(S643/(S643+U643))/VLOOKUP(R643,商品!$A$4:$D$67,4,FALSE),0),"")</f>
        <v/>
      </c>
      <c r="AH643" t="str">
        <f>IFERROR(T643&amp;"*"&amp;ROUND(V643*(U643/(S643+U643))/VLOOKUP(T643,商品!$A$4:$D$67,4,FALSE),0),"")</f>
        <v/>
      </c>
    </row>
    <row r="644" customHeight="1" spans="1:34">
      <c r="A644" s="15" t="s">
        <v>403</v>
      </c>
      <c r="C644" s="2">
        <v>4</v>
      </c>
      <c r="D644" s="2" t="s">
        <v>260</v>
      </c>
      <c r="E644" s="2" t="s">
        <v>224</v>
      </c>
      <c r="L644" s="2">
        <f>IFERROR(VLOOKUP($D644&amp;$C644,生产方式定位!$A$2:$E$39,2,FALSE)+VLOOKUP($E644&amp;$C644,生产方式定位!$F$3:$J$39,2,FALSE),0)</f>
        <v>5500</v>
      </c>
      <c r="Q644" s="2">
        <f>IFERROR(VLOOKUP($D644&amp;$C644,生产方式定位!$A$2:$E$39,3,FALSE)+VLOOKUP($E644&amp;$C644,生产方式定位!$F$3:$J$39,3,FALSE),0)</f>
        <v>1800</v>
      </c>
      <c r="V644" s="2">
        <f>IFERROR(VLOOKUP($D644&amp;$C644,生产方式定位!$A$2:$E$39,5,FALSE)+VLOOKUP($E644&amp;$C644,生产方式定位!$F$3:$J$39,5,FALSE),"错误")</f>
        <v>4160</v>
      </c>
      <c r="W644" s="3" t="str">
        <f t="shared" si="45"/>
        <v/>
      </c>
      <c r="X644" s="4" t="str">
        <f t="shared" si="46"/>
        <v/>
      </c>
      <c r="Y644" s="4" t="str">
        <f t="shared" si="47"/>
        <v/>
      </c>
      <c r="Z644" s="5">
        <f t="shared" si="48"/>
        <v>1.32</v>
      </c>
      <c r="AA644" s="6">
        <f t="shared" si="49"/>
        <v>4</v>
      </c>
      <c r="AB644" t="str">
        <f>IFERROR(F644&amp;"*"&amp;ROUND(L644*(G644/(G644+I644+K644))/VLOOKUP(F644,商品!$A$4:$D$67,4,FALSE),0),"")</f>
        <v/>
      </c>
      <c r="AC644" t="str">
        <f>IFERROR(H644&amp;"*"&amp;ROUND(L644*(I644/(G644+I644+K644))/VLOOKUP(H644,商品!$A$4:$D$67,4,FALSE),0),"")</f>
        <v/>
      </c>
      <c r="AD644" t="str">
        <f>IFERROR(J644&amp;"*"&amp;ROUND(L644*(K644/(G644+I644+K644))/VLOOKUP(J644,商品!$A$4:$D$67,4,FALSE),0),"")</f>
        <v/>
      </c>
      <c r="AE644" t="str">
        <f>IFERROR(M644&amp;"*"&amp;ROUND(Q644*(N644/(N644+P644))/VLOOKUP(M644,职业!$A$3:$E$16,4,FALSE),0),"")</f>
        <v/>
      </c>
      <c r="AF644" t="str">
        <f>IFERROR(O644&amp;"*"&amp;ROUND(Q644*(P644/(N644+P644))/VLOOKUP(O644,职业!$A$3:$E$16,4,FALSE),0),"")</f>
        <v/>
      </c>
      <c r="AG644" t="str">
        <f>IFERROR(R644&amp;"*"&amp;ROUND(V644*(S644/(S644+U644))/VLOOKUP(R644,商品!$A$4:$D$67,4,FALSE),0),"")</f>
        <v/>
      </c>
      <c r="AH644" t="str">
        <f>IFERROR(T644&amp;"*"&amp;ROUND(V644*(U644/(S644+U644))/VLOOKUP(T644,商品!$A$4:$D$67,4,FALSE),0),"")</f>
        <v/>
      </c>
    </row>
    <row r="645" customHeight="1" spans="1:34">
      <c r="A645" s="15" t="s">
        <v>403</v>
      </c>
      <c r="C645" s="2">
        <v>5</v>
      </c>
      <c r="D645" s="2" t="s">
        <v>260</v>
      </c>
      <c r="E645" s="2" t="s">
        <v>224</v>
      </c>
      <c r="L645" s="2">
        <f>IFERROR(VLOOKUP($D645&amp;$C645,生产方式定位!$A$2:$E$39,2,FALSE)+VLOOKUP($E645&amp;$C645,生产方式定位!$F$3:$J$39,2,FALSE),0)</f>
        <v>7000</v>
      </c>
      <c r="Q645" s="2">
        <f>IFERROR(VLOOKUP($D645&amp;$C645,生产方式定位!$A$2:$E$39,3,FALSE)+VLOOKUP($E645&amp;$C645,生产方式定位!$F$3:$J$39,3,FALSE),0)</f>
        <v>1400</v>
      </c>
      <c r="V645" s="2">
        <f>IFERROR(VLOOKUP($D645&amp;$C645,生产方式定位!$A$2:$E$39,5,FALSE)+VLOOKUP($E645&amp;$C645,生产方式定位!$F$3:$J$39,5,FALSE),"错误")</f>
        <v>5040</v>
      </c>
      <c r="W645" s="3" t="str">
        <f t="shared" ref="W645:W708" si="50">IF(AB645="","",AB645)&amp;IF(AC645="","",","&amp;AC645)&amp;IF(AD645="","",","&amp;AD645)</f>
        <v/>
      </c>
      <c r="X645" s="4" t="str">
        <f t="shared" ref="X645:X708" si="51">IF(AE645="","",AE645)&amp;IF(AF645="","",","&amp;AF645)</f>
        <v/>
      </c>
      <c r="Y645" s="4" t="str">
        <f t="shared" ref="Y645:Y708" si="52">IF(AG645="","",AG645)&amp;IF(AH645="","",","&amp;AH645)</f>
        <v/>
      </c>
      <c r="Z645" s="5">
        <f t="shared" ref="Z645:Z708" si="53">IFERROR(ROUND(L645/V645,2),"")</f>
        <v>1.39</v>
      </c>
      <c r="AA645" s="6">
        <f t="shared" ref="AA645:AA708" si="54">C645</f>
        <v>5</v>
      </c>
      <c r="AB645" t="str">
        <f>IFERROR(F645&amp;"*"&amp;ROUND(L645*(G645/(G645+I645+K645))/VLOOKUP(F645,商品!$A$4:$D$67,4,FALSE),0),"")</f>
        <v/>
      </c>
      <c r="AC645" t="str">
        <f>IFERROR(H645&amp;"*"&amp;ROUND(L645*(I645/(G645+I645+K645))/VLOOKUP(H645,商品!$A$4:$D$67,4,FALSE),0),"")</f>
        <v/>
      </c>
      <c r="AD645" t="str">
        <f>IFERROR(J645&amp;"*"&amp;ROUND(L645*(K645/(G645+I645+K645))/VLOOKUP(J645,商品!$A$4:$D$67,4,FALSE),0),"")</f>
        <v/>
      </c>
      <c r="AE645" t="str">
        <f>IFERROR(M645&amp;"*"&amp;ROUND(Q645*(N645/(N645+P645))/VLOOKUP(M645,职业!$A$3:$E$16,4,FALSE),0),"")</f>
        <v/>
      </c>
      <c r="AF645" t="str">
        <f>IFERROR(O645&amp;"*"&amp;ROUND(Q645*(P645/(N645+P645))/VLOOKUP(O645,职业!$A$3:$E$16,4,FALSE),0),"")</f>
        <v/>
      </c>
      <c r="AG645" t="str">
        <f>IFERROR(R645&amp;"*"&amp;ROUND(V645*(S645/(S645+U645))/VLOOKUP(R645,商品!$A$4:$D$67,4,FALSE),0),"")</f>
        <v/>
      </c>
      <c r="AH645" t="str">
        <f>IFERROR(T645&amp;"*"&amp;ROUND(V645*(U645/(S645+U645))/VLOOKUP(T645,商品!$A$4:$D$67,4,FALSE),0),"")</f>
        <v/>
      </c>
    </row>
    <row r="646" customHeight="1" spans="1:34">
      <c r="A646" s="14" t="s">
        <v>404</v>
      </c>
      <c r="C646" s="2">
        <v>1</v>
      </c>
      <c r="D646" s="2" t="s">
        <v>260</v>
      </c>
      <c r="E646" s="2" t="s">
        <v>225</v>
      </c>
      <c r="L646" s="2">
        <f>IFERROR(VLOOKUP($D646&amp;$C646,生产方式定位!$A$2:$E$39,2,FALSE)+VLOOKUP($E646&amp;$C646,生产方式定位!$F$3:$J$39,2,FALSE),0)</f>
        <v>0</v>
      </c>
      <c r="Q646" s="2">
        <f>IFERROR(VLOOKUP($D646&amp;$C646,生产方式定位!$A$2:$E$39,3,FALSE)+VLOOKUP($E646&amp;$C646,生产方式定位!$F$3:$J$39,3,FALSE),0)</f>
        <v>3000</v>
      </c>
      <c r="V646" s="2">
        <f>IFERROR(VLOOKUP($D646&amp;$C646,生产方式定位!$A$2:$E$39,5,FALSE)+VLOOKUP($E646&amp;$C646,生产方式定位!$F$3:$J$39,5,FALSE),"错误")</f>
        <v>1500</v>
      </c>
      <c r="W646" s="3" t="str">
        <f t="shared" si="50"/>
        <v/>
      </c>
      <c r="X646" s="4" t="str">
        <f t="shared" si="51"/>
        <v/>
      </c>
      <c r="Y646" s="4" t="str">
        <f t="shared" si="52"/>
        <v/>
      </c>
      <c r="Z646" s="5">
        <f t="shared" si="53"/>
        <v>0</v>
      </c>
      <c r="AA646" s="6">
        <f t="shared" si="54"/>
        <v>1</v>
      </c>
      <c r="AB646" t="str">
        <f>IFERROR(F646&amp;"*"&amp;ROUND(L646*(G646/(G646+I646+K646))/VLOOKUP(F646,商品!$A$4:$D$67,4,FALSE),0),"")</f>
        <v/>
      </c>
      <c r="AC646" t="str">
        <f>IFERROR(H646&amp;"*"&amp;ROUND(L646*(I646/(G646+I646+K646))/VLOOKUP(H646,商品!$A$4:$D$67,4,FALSE),0),"")</f>
        <v/>
      </c>
      <c r="AD646" t="str">
        <f>IFERROR(J646&amp;"*"&amp;ROUND(L646*(K646/(G646+I646+K646))/VLOOKUP(J646,商品!$A$4:$D$67,4,FALSE),0),"")</f>
        <v/>
      </c>
      <c r="AE646" t="str">
        <f>IFERROR(M646&amp;"*"&amp;ROUND(Q646*(N646/(N646+P646))/VLOOKUP(M646,职业!$A$3:$E$16,4,FALSE),0),"")</f>
        <v/>
      </c>
      <c r="AF646" t="str">
        <f>IFERROR(O646&amp;"*"&amp;ROUND(Q646*(P646/(N646+P646))/VLOOKUP(O646,职业!$A$3:$E$16,4,FALSE),0),"")</f>
        <v/>
      </c>
      <c r="AG646" t="str">
        <f>IFERROR(R646&amp;"*"&amp;ROUND(V646*(S646/(S646+U646))/VLOOKUP(R646,商品!$A$4:$D$67,4,FALSE),0),"")</f>
        <v/>
      </c>
      <c r="AH646" t="str">
        <f>IFERROR(T646&amp;"*"&amp;ROUND(V646*(U646/(S646+U646))/VLOOKUP(T646,商品!$A$4:$D$67,4,FALSE),0),"")</f>
        <v/>
      </c>
    </row>
    <row r="647" customHeight="1" spans="1:34">
      <c r="A647" s="14" t="s">
        <v>404</v>
      </c>
      <c r="C647" s="2">
        <v>2</v>
      </c>
      <c r="D647" s="2" t="s">
        <v>260</v>
      </c>
      <c r="E647" s="2" t="s">
        <v>225</v>
      </c>
      <c r="L647" s="2">
        <f>IFERROR(VLOOKUP($D647&amp;$C647,生产方式定位!$A$2:$E$39,2,FALSE)+VLOOKUP($E647&amp;$C647,生产方式定位!$F$3:$J$39,2,FALSE),0)</f>
        <v>500</v>
      </c>
      <c r="Q647" s="2">
        <f>IFERROR(VLOOKUP($D647&amp;$C647,生产方式定位!$A$2:$E$39,3,FALSE)+VLOOKUP($E647&amp;$C647,生产方式定位!$F$3:$J$39,3,FALSE),0)</f>
        <v>2800</v>
      </c>
      <c r="V647" s="2">
        <f>IFERROR(VLOOKUP($D647&amp;$C647,生产方式定位!$A$2:$E$39,5,FALSE)+VLOOKUP($E647&amp;$C647,生产方式定位!$F$3:$J$39,5,FALSE),"错误")</f>
        <v>1650</v>
      </c>
      <c r="W647" s="3" t="str">
        <f t="shared" si="50"/>
        <v/>
      </c>
      <c r="X647" s="4" t="str">
        <f t="shared" si="51"/>
        <v/>
      </c>
      <c r="Y647" s="4" t="str">
        <f t="shared" si="52"/>
        <v/>
      </c>
      <c r="Z647" s="5">
        <f t="shared" si="53"/>
        <v>0.3</v>
      </c>
      <c r="AA647" s="6">
        <f t="shared" si="54"/>
        <v>2</v>
      </c>
      <c r="AB647" t="str">
        <f>IFERROR(F647&amp;"*"&amp;ROUND(L647*(G647/(G647+I647+K647))/VLOOKUP(F647,商品!$A$4:$D$67,4,FALSE),0),"")</f>
        <v/>
      </c>
      <c r="AC647" t="str">
        <f>IFERROR(H647&amp;"*"&amp;ROUND(L647*(I647/(G647+I647+K647))/VLOOKUP(H647,商品!$A$4:$D$67,4,FALSE),0),"")</f>
        <v/>
      </c>
      <c r="AD647" t="str">
        <f>IFERROR(J647&amp;"*"&amp;ROUND(L647*(K647/(G647+I647+K647))/VLOOKUP(J647,商品!$A$4:$D$67,4,FALSE),0),"")</f>
        <v/>
      </c>
      <c r="AE647" t="str">
        <f>IFERROR(M647&amp;"*"&amp;ROUND(Q647*(N647/(N647+P647))/VLOOKUP(M647,职业!$A$3:$E$16,4,FALSE),0),"")</f>
        <v/>
      </c>
      <c r="AF647" t="str">
        <f>IFERROR(O647&amp;"*"&amp;ROUND(Q647*(P647/(N647+P647))/VLOOKUP(O647,职业!$A$3:$E$16,4,FALSE),0),"")</f>
        <v/>
      </c>
      <c r="AG647" t="str">
        <f>IFERROR(R647&amp;"*"&amp;ROUND(V647*(S647/(S647+U647))/VLOOKUP(R647,商品!$A$4:$D$67,4,FALSE),0),"")</f>
        <v/>
      </c>
      <c r="AH647" t="str">
        <f>IFERROR(T647&amp;"*"&amp;ROUND(V647*(U647/(S647+U647))/VLOOKUP(T647,商品!$A$4:$D$67,4,FALSE),0),"")</f>
        <v/>
      </c>
    </row>
    <row r="648" customHeight="1" spans="1:34">
      <c r="A648" s="14" t="s">
        <v>404</v>
      </c>
      <c r="C648" s="2">
        <v>3</v>
      </c>
      <c r="D648" s="2" t="s">
        <v>260</v>
      </c>
      <c r="E648" s="2" t="s">
        <v>225</v>
      </c>
      <c r="L648" s="2">
        <f>IFERROR(VLOOKUP($D648&amp;$C648,生产方式定位!$A$2:$E$39,2,FALSE)+VLOOKUP($E648&amp;$C648,生产方式定位!$F$3:$J$39,2,FALSE),0)</f>
        <v>1000</v>
      </c>
      <c r="Q648" s="2">
        <f>IFERROR(VLOOKUP($D648&amp;$C648,生产方式定位!$A$2:$E$39,3,FALSE)+VLOOKUP($E648&amp;$C648,生产方式定位!$F$3:$J$39,3,FALSE),0)</f>
        <v>2600</v>
      </c>
      <c r="V648" s="2">
        <f>IFERROR(VLOOKUP($D648&amp;$C648,生产方式定位!$A$2:$E$39,5,FALSE)+VLOOKUP($E648&amp;$C648,生产方式定位!$F$3:$J$39,5,FALSE),"错误")</f>
        <v>1800</v>
      </c>
      <c r="W648" s="3" t="str">
        <f t="shared" si="50"/>
        <v/>
      </c>
      <c r="X648" s="4" t="str">
        <f t="shared" si="51"/>
        <v/>
      </c>
      <c r="Y648" s="4" t="str">
        <f t="shared" si="52"/>
        <v/>
      </c>
      <c r="Z648" s="5">
        <f t="shared" si="53"/>
        <v>0.56</v>
      </c>
      <c r="AA648" s="6">
        <f t="shared" si="54"/>
        <v>3</v>
      </c>
      <c r="AB648" t="str">
        <f>IFERROR(F648&amp;"*"&amp;ROUND(L648*(G648/(G648+I648+K648))/VLOOKUP(F648,商品!$A$4:$D$67,4,FALSE),0),"")</f>
        <v/>
      </c>
      <c r="AC648" t="str">
        <f>IFERROR(H648&amp;"*"&amp;ROUND(L648*(I648/(G648+I648+K648))/VLOOKUP(H648,商品!$A$4:$D$67,4,FALSE),0),"")</f>
        <v/>
      </c>
      <c r="AD648" t="str">
        <f>IFERROR(J648&amp;"*"&amp;ROUND(L648*(K648/(G648+I648+K648))/VLOOKUP(J648,商品!$A$4:$D$67,4,FALSE),0),"")</f>
        <v/>
      </c>
      <c r="AE648" t="str">
        <f>IFERROR(M648&amp;"*"&amp;ROUND(Q648*(N648/(N648+P648))/VLOOKUP(M648,职业!$A$3:$E$16,4,FALSE),0),"")</f>
        <v/>
      </c>
      <c r="AF648" t="str">
        <f>IFERROR(O648&amp;"*"&amp;ROUND(Q648*(P648/(N648+P648))/VLOOKUP(O648,职业!$A$3:$E$16,4,FALSE),0),"")</f>
        <v/>
      </c>
      <c r="AG648" t="str">
        <f>IFERROR(R648&amp;"*"&amp;ROUND(V648*(S648/(S648+U648))/VLOOKUP(R648,商品!$A$4:$D$67,4,FALSE),0),"")</f>
        <v/>
      </c>
      <c r="AH648" t="str">
        <f>IFERROR(T648&amp;"*"&amp;ROUND(V648*(U648/(S648+U648))/VLOOKUP(T648,商品!$A$4:$D$67,4,FALSE),0),"")</f>
        <v/>
      </c>
    </row>
    <row r="649" customHeight="1" spans="1:34">
      <c r="A649" s="14" t="s">
        <v>404</v>
      </c>
      <c r="C649" s="2">
        <v>4</v>
      </c>
      <c r="D649" s="2" t="s">
        <v>260</v>
      </c>
      <c r="E649" s="2" t="s">
        <v>225</v>
      </c>
      <c r="L649" s="2">
        <f>IFERROR(VLOOKUP($D649&amp;$C649,生产方式定位!$A$2:$E$39,2,FALSE)+VLOOKUP($E649&amp;$C649,生产方式定位!$F$3:$J$39,2,FALSE),0)</f>
        <v>1500</v>
      </c>
      <c r="Q649" s="2">
        <f>IFERROR(VLOOKUP($D649&amp;$C649,生产方式定位!$A$2:$E$39,3,FALSE)+VLOOKUP($E649&amp;$C649,生产方式定位!$F$3:$J$39,3,FALSE),0)</f>
        <v>2400</v>
      </c>
      <c r="V649" s="2">
        <f>IFERROR(VLOOKUP($D649&amp;$C649,生产方式定位!$A$2:$E$39,5,FALSE)+VLOOKUP($E649&amp;$C649,生产方式定位!$F$3:$J$39,5,FALSE),"错误")</f>
        <v>1950</v>
      </c>
      <c r="W649" s="3" t="str">
        <f t="shared" si="50"/>
        <v/>
      </c>
      <c r="X649" s="4" t="str">
        <f t="shared" si="51"/>
        <v/>
      </c>
      <c r="Y649" s="4" t="str">
        <f t="shared" si="52"/>
        <v/>
      </c>
      <c r="Z649" s="5">
        <f t="shared" si="53"/>
        <v>0.77</v>
      </c>
      <c r="AA649" s="6">
        <f t="shared" si="54"/>
        <v>4</v>
      </c>
      <c r="AB649" t="str">
        <f>IFERROR(F649&amp;"*"&amp;ROUND(L649*(G649/(G649+I649+K649))/VLOOKUP(F649,商品!$A$4:$D$67,4,FALSE),0),"")</f>
        <v/>
      </c>
      <c r="AC649" t="str">
        <f>IFERROR(H649&amp;"*"&amp;ROUND(L649*(I649/(G649+I649+K649))/VLOOKUP(H649,商品!$A$4:$D$67,4,FALSE),0),"")</f>
        <v/>
      </c>
      <c r="AD649" t="str">
        <f>IFERROR(J649&amp;"*"&amp;ROUND(L649*(K649/(G649+I649+K649))/VLOOKUP(J649,商品!$A$4:$D$67,4,FALSE),0),"")</f>
        <v/>
      </c>
      <c r="AE649" t="str">
        <f>IFERROR(M649&amp;"*"&amp;ROUND(Q649*(N649/(N649+P649))/VLOOKUP(M649,职业!$A$3:$E$16,4,FALSE),0),"")</f>
        <v/>
      </c>
      <c r="AF649" t="str">
        <f>IFERROR(O649&amp;"*"&amp;ROUND(Q649*(P649/(N649+P649))/VLOOKUP(O649,职业!$A$3:$E$16,4,FALSE),0),"")</f>
        <v/>
      </c>
      <c r="AG649" t="str">
        <f>IFERROR(R649&amp;"*"&amp;ROUND(V649*(S649/(S649+U649))/VLOOKUP(R649,商品!$A$4:$D$67,4,FALSE),0),"")</f>
        <v/>
      </c>
      <c r="AH649" t="str">
        <f>IFERROR(T649&amp;"*"&amp;ROUND(V649*(U649/(S649+U649))/VLOOKUP(T649,商品!$A$4:$D$67,4,FALSE),0),"")</f>
        <v/>
      </c>
    </row>
    <row r="650" customHeight="1" spans="1:34">
      <c r="A650" s="14" t="s">
        <v>404</v>
      </c>
      <c r="C650" s="2">
        <v>5</v>
      </c>
      <c r="D650" s="2" t="s">
        <v>260</v>
      </c>
      <c r="E650" s="2" t="s">
        <v>225</v>
      </c>
      <c r="L650" s="2">
        <f>IFERROR(VLOOKUP($D650&amp;$C650,生产方式定位!$A$2:$E$39,2,FALSE)+VLOOKUP($E650&amp;$C650,生产方式定位!$F$3:$J$39,2,FALSE),0)</f>
        <v>2000</v>
      </c>
      <c r="Q650" s="2">
        <f>IFERROR(VLOOKUP($D650&amp;$C650,生产方式定位!$A$2:$E$39,3,FALSE)+VLOOKUP($E650&amp;$C650,生产方式定位!$F$3:$J$39,3,FALSE),0)</f>
        <v>2200</v>
      </c>
      <c r="V650" s="2">
        <f>IFERROR(VLOOKUP($D650&amp;$C650,生产方式定位!$A$2:$E$39,5,FALSE)+VLOOKUP($E650&amp;$C650,生产方式定位!$F$3:$J$39,5,FALSE),"错误")</f>
        <v>2100</v>
      </c>
      <c r="W650" s="3" t="str">
        <f t="shared" si="50"/>
        <v/>
      </c>
      <c r="X650" s="4" t="str">
        <f t="shared" si="51"/>
        <v/>
      </c>
      <c r="Y650" s="4" t="str">
        <f t="shared" si="52"/>
        <v/>
      </c>
      <c r="Z650" s="5">
        <f t="shared" si="53"/>
        <v>0.95</v>
      </c>
      <c r="AA650" s="6">
        <f t="shared" si="54"/>
        <v>5</v>
      </c>
      <c r="AB650" t="str">
        <f>IFERROR(F650&amp;"*"&amp;ROUND(L650*(G650/(G650+I650+K650))/VLOOKUP(F650,商品!$A$4:$D$67,4,FALSE),0),"")</f>
        <v/>
      </c>
      <c r="AC650" t="str">
        <f>IFERROR(H650&amp;"*"&amp;ROUND(L650*(I650/(G650+I650+K650))/VLOOKUP(H650,商品!$A$4:$D$67,4,FALSE),0),"")</f>
        <v/>
      </c>
      <c r="AD650" t="str">
        <f>IFERROR(J650&amp;"*"&amp;ROUND(L650*(K650/(G650+I650+K650))/VLOOKUP(J650,商品!$A$4:$D$67,4,FALSE),0),"")</f>
        <v/>
      </c>
      <c r="AE650" t="str">
        <f>IFERROR(M650&amp;"*"&amp;ROUND(Q650*(N650/(N650+P650))/VLOOKUP(M650,职业!$A$3:$E$16,4,FALSE),0),"")</f>
        <v/>
      </c>
      <c r="AF650" t="str">
        <f>IFERROR(O650&amp;"*"&amp;ROUND(Q650*(P650/(N650+P650))/VLOOKUP(O650,职业!$A$3:$E$16,4,FALSE),0),"")</f>
        <v/>
      </c>
      <c r="AG650" t="str">
        <f>IFERROR(R650&amp;"*"&amp;ROUND(V650*(S650/(S650+U650))/VLOOKUP(R650,商品!$A$4:$D$67,4,FALSE),0),"")</f>
        <v/>
      </c>
      <c r="AH650" t="str">
        <f>IFERROR(T650&amp;"*"&amp;ROUND(V650*(U650/(S650+U650))/VLOOKUP(T650,商品!$A$4:$D$67,4,FALSE),0),"")</f>
        <v/>
      </c>
    </row>
    <row r="651" customHeight="1" spans="1:34">
      <c r="A651" s="14" t="s">
        <v>404</v>
      </c>
      <c r="C651" s="2">
        <v>1</v>
      </c>
      <c r="D651" s="2" t="s">
        <v>260</v>
      </c>
      <c r="E651" s="2" t="s">
        <v>225</v>
      </c>
      <c r="L651" s="2">
        <f>IFERROR(VLOOKUP($D651&amp;$C651,生产方式定位!$A$2:$E$39,2,FALSE)+VLOOKUP($E651&amp;$C651,生产方式定位!$F$3:$J$39,2,FALSE),0)</f>
        <v>0</v>
      </c>
      <c r="Q651" s="2">
        <f>IFERROR(VLOOKUP($D651&amp;$C651,生产方式定位!$A$2:$E$39,3,FALSE)+VLOOKUP($E651&amp;$C651,生产方式定位!$F$3:$J$39,3,FALSE),0)</f>
        <v>3000</v>
      </c>
      <c r="V651" s="2">
        <f>IFERROR(VLOOKUP($D651&amp;$C651,生产方式定位!$A$2:$E$39,5,FALSE)+VLOOKUP($E651&amp;$C651,生产方式定位!$F$3:$J$39,5,FALSE),"错误")</f>
        <v>1500</v>
      </c>
      <c r="W651" s="3" t="str">
        <f t="shared" si="50"/>
        <v/>
      </c>
      <c r="X651" s="4" t="str">
        <f t="shared" si="51"/>
        <v/>
      </c>
      <c r="Y651" s="4" t="str">
        <f t="shared" si="52"/>
        <v/>
      </c>
      <c r="Z651" s="5">
        <f t="shared" si="53"/>
        <v>0</v>
      </c>
      <c r="AA651" s="6">
        <f t="shared" si="54"/>
        <v>1</v>
      </c>
      <c r="AB651" t="str">
        <f>IFERROR(F651&amp;"*"&amp;ROUND(L651*(G651/(G651+I651+K651))/VLOOKUP(F651,商品!$A$4:$D$67,4,FALSE),0),"")</f>
        <v/>
      </c>
      <c r="AC651" t="str">
        <f>IFERROR(H651&amp;"*"&amp;ROUND(L651*(I651/(G651+I651+K651))/VLOOKUP(H651,商品!$A$4:$D$67,4,FALSE),0),"")</f>
        <v/>
      </c>
      <c r="AD651" t="str">
        <f>IFERROR(J651&amp;"*"&amp;ROUND(L651*(K651/(G651+I651+K651))/VLOOKUP(J651,商品!$A$4:$D$67,4,FALSE),0),"")</f>
        <v/>
      </c>
      <c r="AE651" t="str">
        <f>IFERROR(M651&amp;"*"&amp;ROUND(Q651*(N651/(N651+P651))/VLOOKUP(M651,职业!$A$3:$E$16,4,FALSE),0),"")</f>
        <v/>
      </c>
      <c r="AF651" t="str">
        <f>IFERROR(O651&amp;"*"&amp;ROUND(Q651*(P651/(N651+P651))/VLOOKUP(O651,职业!$A$3:$E$16,4,FALSE),0),"")</f>
        <v/>
      </c>
      <c r="AG651" t="str">
        <f>IFERROR(R651&amp;"*"&amp;ROUND(V651*(S651/(S651+U651))/VLOOKUP(R651,商品!$A$4:$D$67,4,FALSE),0),"")</f>
        <v/>
      </c>
      <c r="AH651" t="str">
        <f>IFERROR(T651&amp;"*"&amp;ROUND(V651*(U651/(S651+U651))/VLOOKUP(T651,商品!$A$4:$D$67,4,FALSE),0),"")</f>
        <v/>
      </c>
    </row>
    <row r="652" customHeight="1" spans="1:34">
      <c r="A652" s="14" t="s">
        <v>404</v>
      </c>
      <c r="C652" s="2">
        <v>2</v>
      </c>
      <c r="D652" s="2" t="s">
        <v>260</v>
      </c>
      <c r="E652" s="2" t="s">
        <v>225</v>
      </c>
      <c r="L652" s="2">
        <f>IFERROR(VLOOKUP($D652&amp;$C652,生产方式定位!$A$2:$E$39,2,FALSE)+VLOOKUP($E652&amp;$C652,生产方式定位!$F$3:$J$39,2,FALSE),0)</f>
        <v>500</v>
      </c>
      <c r="Q652" s="2">
        <f>IFERROR(VLOOKUP($D652&amp;$C652,生产方式定位!$A$2:$E$39,3,FALSE)+VLOOKUP($E652&amp;$C652,生产方式定位!$F$3:$J$39,3,FALSE),0)</f>
        <v>2800</v>
      </c>
      <c r="V652" s="2">
        <f>IFERROR(VLOOKUP($D652&amp;$C652,生产方式定位!$A$2:$E$39,5,FALSE)+VLOOKUP($E652&amp;$C652,生产方式定位!$F$3:$J$39,5,FALSE),"错误")</f>
        <v>1650</v>
      </c>
      <c r="W652" s="3" t="str">
        <f t="shared" si="50"/>
        <v/>
      </c>
      <c r="X652" s="4" t="str">
        <f t="shared" si="51"/>
        <v/>
      </c>
      <c r="Y652" s="4" t="str">
        <f t="shared" si="52"/>
        <v/>
      </c>
      <c r="Z652" s="5">
        <f t="shared" si="53"/>
        <v>0.3</v>
      </c>
      <c r="AA652" s="6">
        <f t="shared" si="54"/>
        <v>2</v>
      </c>
      <c r="AB652" t="str">
        <f>IFERROR(F652&amp;"*"&amp;ROUND(L652*(G652/(G652+I652+K652))/VLOOKUP(F652,商品!$A$4:$D$67,4,FALSE),0),"")</f>
        <v/>
      </c>
      <c r="AC652" t="str">
        <f>IFERROR(H652&amp;"*"&amp;ROUND(L652*(I652/(G652+I652+K652))/VLOOKUP(H652,商品!$A$4:$D$67,4,FALSE),0),"")</f>
        <v/>
      </c>
      <c r="AD652" t="str">
        <f>IFERROR(J652&amp;"*"&amp;ROUND(L652*(K652/(G652+I652+K652))/VLOOKUP(J652,商品!$A$4:$D$67,4,FALSE),0),"")</f>
        <v/>
      </c>
      <c r="AE652" t="str">
        <f>IFERROR(M652&amp;"*"&amp;ROUND(Q652*(N652/(N652+P652))/VLOOKUP(M652,职业!$A$3:$E$16,4,FALSE),0),"")</f>
        <v/>
      </c>
      <c r="AF652" t="str">
        <f>IFERROR(O652&amp;"*"&amp;ROUND(Q652*(P652/(N652+P652))/VLOOKUP(O652,职业!$A$3:$E$16,4,FALSE),0),"")</f>
        <v/>
      </c>
      <c r="AG652" t="str">
        <f>IFERROR(R652&amp;"*"&amp;ROUND(V652*(S652/(S652+U652))/VLOOKUP(R652,商品!$A$4:$D$67,4,FALSE),0),"")</f>
        <v/>
      </c>
      <c r="AH652" t="str">
        <f>IFERROR(T652&amp;"*"&amp;ROUND(V652*(U652/(S652+U652))/VLOOKUP(T652,商品!$A$4:$D$67,4,FALSE),0),"")</f>
        <v/>
      </c>
    </row>
    <row r="653" customHeight="1" spans="1:34">
      <c r="A653" s="14" t="s">
        <v>404</v>
      </c>
      <c r="C653" s="2">
        <v>3</v>
      </c>
      <c r="D653" s="2" t="s">
        <v>260</v>
      </c>
      <c r="E653" s="2" t="s">
        <v>225</v>
      </c>
      <c r="L653" s="2">
        <f>IFERROR(VLOOKUP($D653&amp;$C653,生产方式定位!$A$2:$E$39,2,FALSE)+VLOOKUP($E653&amp;$C653,生产方式定位!$F$3:$J$39,2,FALSE),0)</f>
        <v>1000</v>
      </c>
      <c r="Q653" s="2">
        <f>IFERROR(VLOOKUP($D653&amp;$C653,生产方式定位!$A$2:$E$39,3,FALSE)+VLOOKUP($E653&amp;$C653,生产方式定位!$F$3:$J$39,3,FALSE),0)</f>
        <v>2600</v>
      </c>
      <c r="V653" s="2">
        <f>IFERROR(VLOOKUP($D653&amp;$C653,生产方式定位!$A$2:$E$39,5,FALSE)+VLOOKUP($E653&amp;$C653,生产方式定位!$F$3:$J$39,5,FALSE),"错误")</f>
        <v>1800</v>
      </c>
      <c r="W653" s="3" t="str">
        <f t="shared" si="50"/>
        <v/>
      </c>
      <c r="X653" s="4" t="str">
        <f t="shared" si="51"/>
        <v/>
      </c>
      <c r="Y653" s="4" t="str">
        <f t="shared" si="52"/>
        <v/>
      </c>
      <c r="Z653" s="5">
        <f t="shared" si="53"/>
        <v>0.56</v>
      </c>
      <c r="AA653" s="6">
        <f t="shared" si="54"/>
        <v>3</v>
      </c>
      <c r="AB653" t="str">
        <f>IFERROR(F653&amp;"*"&amp;ROUND(L653*(G653/(G653+I653+K653))/VLOOKUP(F653,商品!$A$4:$D$67,4,FALSE),0),"")</f>
        <v/>
      </c>
      <c r="AC653" t="str">
        <f>IFERROR(H653&amp;"*"&amp;ROUND(L653*(I653/(G653+I653+K653))/VLOOKUP(H653,商品!$A$4:$D$67,4,FALSE),0),"")</f>
        <v/>
      </c>
      <c r="AD653" t="str">
        <f>IFERROR(J653&amp;"*"&amp;ROUND(L653*(K653/(G653+I653+K653))/VLOOKUP(J653,商品!$A$4:$D$67,4,FALSE),0),"")</f>
        <v/>
      </c>
      <c r="AE653" t="str">
        <f>IFERROR(M653&amp;"*"&amp;ROUND(Q653*(N653/(N653+P653))/VLOOKUP(M653,职业!$A$3:$E$16,4,FALSE),0),"")</f>
        <v/>
      </c>
      <c r="AF653" t="str">
        <f>IFERROR(O653&amp;"*"&amp;ROUND(Q653*(P653/(N653+P653))/VLOOKUP(O653,职业!$A$3:$E$16,4,FALSE),0),"")</f>
        <v/>
      </c>
      <c r="AG653" t="str">
        <f>IFERROR(R653&amp;"*"&amp;ROUND(V653*(S653/(S653+U653))/VLOOKUP(R653,商品!$A$4:$D$67,4,FALSE),0),"")</f>
        <v/>
      </c>
      <c r="AH653" t="str">
        <f>IFERROR(T653&amp;"*"&amp;ROUND(V653*(U653/(S653+U653))/VLOOKUP(T653,商品!$A$4:$D$67,4,FALSE),0),"")</f>
        <v/>
      </c>
    </row>
    <row r="654" customHeight="1" spans="1:34">
      <c r="A654" s="15" t="s">
        <v>406</v>
      </c>
      <c r="C654" s="2">
        <v>4</v>
      </c>
      <c r="D654" s="2" t="s">
        <v>260</v>
      </c>
      <c r="E654" s="2" t="s">
        <v>222</v>
      </c>
      <c r="L654" s="2">
        <f>IFERROR(VLOOKUP($D654&amp;$C654,生产方式定位!$A$2:$E$39,2,FALSE)+VLOOKUP($E654&amp;$C654,生产方式定位!$F$3:$J$39,2,FALSE),0)</f>
        <v>4500</v>
      </c>
      <c r="Q654" s="2">
        <f>IFERROR(VLOOKUP($D654&amp;$C654,生产方式定位!$A$2:$E$39,3,FALSE)+VLOOKUP($E654&amp;$C654,生产方式定位!$F$3:$J$39,3,FALSE),0)</f>
        <v>3000</v>
      </c>
      <c r="V654" s="2">
        <f>IFERROR(VLOOKUP($D654&amp;$C654,生产方式定位!$A$2:$E$39,5,FALSE)+VLOOKUP($E654&amp;$C654,生产方式定位!$F$3:$J$39,5,FALSE),"错误")</f>
        <v>4398</v>
      </c>
      <c r="W654" s="3" t="str">
        <f t="shared" si="50"/>
        <v/>
      </c>
      <c r="X654" s="4" t="str">
        <f t="shared" si="51"/>
        <v/>
      </c>
      <c r="Y654" s="4" t="str">
        <f t="shared" si="52"/>
        <v/>
      </c>
      <c r="Z654" s="5">
        <f t="shared" si="53"/>
        <v>1.02</v>
      </c>
      <c r="AA654" s="6">
        <f t="shared" si="54"/>
        <v>4</v>
      </c>
      <c r="AB654" t="str">
        <f>IFERROR(F654&amp;"*"&amp;ROUND(L654*(G654/(G654+I654+K654))/VLOOKUP(F654,商品!$A$4:$D$67,4,FALSE),0),"")</f>
        <v/>
      </c>
      <c r="AC654" t="str">
        <f>IFERROR(H654&amp;"*"&amp;ROUND(L654*(I654/(G654+I654+K654))/VLOOKUP(H654,商品!$A$4:$D$67,4,FALSE),0),"")</f>
        <v/>
      </c>
      <c r="AD654" t="str">
        <f>IFERROR(J654&amp;"*"&amp;ROUND(L654*(K654/(G654+I654+K654))/VLOOKUP(J654,商品!$A$4:$D$67,4,FALSE),0),"")</f>
        <v/>
      </c>
      <c r="AE654" t="str">
        <f>IFERROR(M654&amp;"*"&amp;ROUND(Q654*(N654/(N654+P654))/VLOOKUP(M654,职业!$A$3:$E$16,4,FALSE),0),"")</f>
        <v/>
      </c>
      <c r="AF654" t="str">
        <f>IFERROR(O654&amp;"*"&amp;ROUND(Q654*(P654/(N654+P654))/VLOOKUP(O654,职业!$A$3:$E$16,4,FALSE),0),"")</f>
        <v/>
      </c>
      <c r="AG654" t="str">
        <f>IFERROR(R654&amp;"*"&amp;ROUND(V654*(S654/(S654+U654))/VLOOKUP(R654,商品!$A$4:$D$67,4,FALSE),0),"")</f>
        <v/>
      </c>
      <c r="AH654" t="str">
        <f>IFERROR(T654&amp;"*"&amp;ROUND(V654*(U654/(S654+U654))/VLOOKUP(T654,商品!$A$4:$D$67,4,FALSE),0),"")</f>
        <v/>
      </c>
    </row>
    <row r="655" customHeight="1" spans="1:34">
      <c r="A655" s="15" t="s">
        <v>406</v>
      </c>
      <c r="C655" s="2">
        <v>5</v>
      </c>
      <c r="D655" s="2" t="s">
        <v>260</v>
      </c>
      <c r="E655" s="2" t="s">
        <v>222</v>
      </c>
      <c r="L655" s="2">
        <f>IFERROR(VLOOKUP($D655&amp;$C655,生产方式定位!$A$2:$E$39,2,FALSE)+VLOOKUP($E655&amp;$C655,生产方式定位!$F$3:$J$39,2,FALSE),0)</f>
        <v>6000</v>
      </c>
      <c r="Q655" s="2">
        <f>IFERROR(VLOOKUP($D655&amp;$C655,生产方式定位!$A$2:$E$39,3,FALSE)+VLOOKUP($E655&amp;$C655,生产方式定位!$F$3:$J$39,3,FALSE),0)</f>
        <v>3000</v>
      </c>
      <c r="V655" s="2">
        <f>IFERROR(VLOOKUP($D655&amp;$C655,生产方式定位!$A$2:$E$39,5,FALSE)+VLOOKUP($E655&amp;$C655,生产方式定位!$F$3:$J$39,5,FALSE),"错误")</f>
        <v>5700</v>
      </c>
      <c r="W655" s="3" t="str">
        <f t="shared" si="50"/>
        <v/>
      </c>
      <c r="X655" s="4" t="str">
        <f t="shared" si="51"/>
        <v/>
      </c>
      <c r="Y655" s="4" t="str">
        <f t="shared" si="52"/>
        <v/>
      </c>
      <c r="Z655" s="5">
        <f t="shared" si="53"/>
        <v>1.05</v>
      </c>
      <c r="AA655" s="6">
        <f t="shared" si="54"/>
        <v>5</v>
      </c>
      <c r="AB655" t="str">
        <f>IFERROR(F655&amp;"*"&amp;ROUND(L655*(G655/(G655+I655+K655))/VLOOKUP(F655,商品!$A$4:$D$67,4,FALSE),0),"")</f>
        <v/>
      </c>
      <c r="AC655" t="str">
        <f>IFERROR(H655&amp;"*"&amp;ROUND(L655*(I655/(G655+I655+K655))/VLOOKUP(H655,商品!$A$4:$D$67,4,FALSE),0),"")</f>
        <v/>
      </c>
      <c r="AD655" t="str">
        <f>IFERROR(J655&amp;"*"&amp;ROUND(L655*(K655/(G655+I655+K655))/VLOOKUP(J655,商品!$A$4:$D$67,4,FALSE),0),"")</f>
        <v/>
      </c>
      <c r="AE655" t="str">
        <f>IFERROR(M655&amp;"*"&amp;ROUND(Q655*(N655/(N655+P655))/VLOOKUP(M655,职业!$A$3:$E$16,4,FALSE),0),"")</f>
        <v/>
      </c>
      <c r="AF655" t="str">
        <f>IFERROR(O655&amp;"*"&amp;ROUND(Q655*(P655/(N655+P655))/VLOOKUP(O655,职业!$A$3:$E$16,4,FALSE),0),"")</f>
        <v/>
      </c>
      <c r="AG655" t="str">
        <f>IFERROR(R655&amp;"*"&amp;ROUND(V655*(S655/(S655+U655))/VLOOKUP(R655,商品!$A$4:$D$67,4,FALSE),0),"")</f>
        <v/>
      </c>
      <c r="AH655" t="str">
        <f>IFERROR(T655&amp;"*"&amp;ROUND(V655*(U655/(S655+U655))/VLOOKUP(T655,商品!$A$4:$D$67,4,FALSE),0),"")</f>
        <v/>
      </c>
    </row>
    <row r="656" customHeight="1" spans="1:34">
      <c r="A656" s="15" t="s">
        <v>406</v>
      </c>
      <c r="C656" s="2">
        <v>1</v>
      </c>
      <c r="D656" s="2" t="s">
        <v>260</v>
      </c>
      <c r="E656" s="2" t="s">
        <v>222</v>
      </c>
      <c r="L656" s="2">
        <f>IFERROR(VLOOKUP($D656&amp;$C656,生产方式定位!$A$2:$E$39,2,FALSE)+VLOOKUP($E656&amp;$C656,生产方式定位!$F$3:$J$39,2,FALSE),0)</f>
        <v>0</v>
      </c>
      <c r="Q656" s="2">
        <f>IFERROR(VLOOKUP($D656&amp;$C656,生产方式定位!$A$2:$E$39,3,FALSE)+VLOOKUP($E656&amp;$C656,生产方式定位!$F$3:$J$39,3,FALSE),0)</f>
        <v>3000</v>
      </c>
      <c r="V656" s="2">
        <f>IFERROR(VLOOKUP($D656&amp;$C656,生产方式定位!$A$2:$E$39,5,FALSE)+VLOOKUP($E656&amp;$C656,生产方式定位!$F$3:$J$39,5,FALSE),"错误")</f>
        <v>1500</v>
      </c>
      <c r="W656" s="3" t="str">
        <f t="shared" si="50"/>
        <v/>
      </c>
      <c r="X656" s="4" t="str">
        <f t="shared" si="51"/>
        <v/>
      </c>
      <c r="Y656" s="4" t="str">
        <f t="shared" si="52"/>
        <v/>
      </c>
      <c r="Z656" s="5">
        <f t="shared" si="53"/>
        <v>0</v>
      </c>
      <c r="AA656" s="6">
        <f t="shared" si="54"/>
        <v>1</v>
      </c>
      <c r="AB656" t="str">
        <f>IFERROR(F656&amp;"*"&amp;ROUND(L656*(G656/(G656+I656+K656))/VLOOKUP(F656,商品!$A$4:$D$67,4,FALSE),0),"")</f>
        <v/>
      </c>
      <c r="AC656" t="str">
        <f>IFERROR(H656&amp;"*"&amp;ROUND(L656*(I656/(G656+I656+K656))/VLOOKUP(H656,商品!$A$4:$D$67,4,FALSE),0),"")</f>
        <v/>
      </c>
      <c r="AD656" t="str">
        <f>IFERROR(J656&amp;"*"&amp;ROUND(L656*(K656/(G656+I656+K656))/VLOOKUP(J656,商品!$A$4:$D$67,4,FALSE),0),"")</f>
        <v/>
      </c>
      <c r="AE656" t="str">
        <f>IFERROR(M656&amp;"*"&amp;ROUND(Q656*(N656/(N656+P656))/VLOOKUP(M656,职业!$A$3:$E$16,4,FALSE),0),"")</f>
        <v/>
      </c>
      <c r="AF656" t="str">
        <f>IFERROR(O656&amp;"*"&amp;ROUND(Q656*(P656/(N656+P656))/VLOOKUP(O656,职业!$A$3:$E$16,4,FALSE),0),"")</f>
        <v/>
      </c>
      <c r="AG656" t="str">
        <f>IFERROR(R656&amp;"*"&amp;ROUND(V656*(S656/(S656+U656))/VLOOKUP(R656,商品!$A$4:$D$67,4,FALSE),0),"")</f>
        <v/>
      </c>
      <c r="AH656" t="str">
        <f>IFERROR(T656&amp;"*"&amp;ROUND(V656*(U656/(S656+U656))/VLOOKUP(T656,商品!$A$4:$D$67,4,FALSE),0),"")</f>
        <v/>
      </c>
    </row>
    <row r="657" customHeight="1" spans="1:34">
      <c r="A657" s="15" t="s">
        <v>406</v>
      </c>
      <c r="C657" s="2">
        <v>2</v>
      </c>
      <c r="D657" s="2" t="s">
        <v>260</v>
      </c>
      <c r="E657" s="2" t="s">
        <v>222</v>
      </c>
      <c r="L657" s="2">
        <f>IFERROR(VLOOKUP($D657&amp;$C657,生产方式定位!$A$2:$E$39,2,FALSE)+VLOOKUP($E657&amp;$C657,生产方式定位!$F$3:$J$39,2,FALSE),0)</f>
        <v>1500</v>
      </c>
      <c r="Q657" s="2">
        <f>IFERROR(VLOOKUP($D657&amp;$C657,生产方式定位!$A$2:$E$39,3,FALSE)+VLOOKUP($E657&amp;$C657,生产方式定位!$F$3:$J$39,3,FALSE),0)</f>
        <v>3000</v>
      </c>
      <c r="V657" s="2">
        <f>IFERROR(VLOOKUP($D657&amp;$C657,生产方式定位!$A$2:$E$39,5,FALSE)+VLOOKUP($E657&amp;$C657,生产方式定位!$F$3:$J$39,5,FALSE),"错误")</f>
        <v>2322</v>
      </c>
      <c r="W657" s="3" t="str">
        <f t="shared" si="50"/>
        <v/>
      </c>
      <c r="X657" s="4" t="str">
        <f t="shared" si="51"/>
        <v/>
      </c>
      <c r="Y657" s="4" t="str">
        <f t="shared" si="52"/>
        <v/>
      </c>
      <c r="Z657" s="5">
        <f t="shared" si="53"/>
        <v>0.65</v>
      </c>
      <c r="AA657" s="6">
        <f t="shared" si="54"/>
        <v>2</v>
      </c>
      <c r="AB657" t="str">
        <f>IFERROR(F657&amp;"*"&amp;ROUND(L657*(G657/(G657+I657+K657))/VLOOKUP(F657,商品!$A$4:$D$67,4,FALSE),0),"")</f>
        <v/>
      </c>
      <c r="AC657" t="str">
        <f>IFERROR(H657&amp;"*"&amp;ROUND(L657*(I657/(G657+I657+K657))/VLOOKUP(H657,商品!$A$4:$D$67,4,FALSE),0),"")</f>
        <v/>
      </c>
      <c r="AD657" t="str">
        <f>IFERROR(J657&amp;"*"&amp;ROUND(L657*(K657/(G657+I657+K657))/VLOOKUP(J657,商品!$A$4:$D$67,4,FALSE),0),"")</f>
        <v/>
      </c>
      <c r="AE657" t="str">
        <f>IFERROR(M657&amp;"*"&amp;ROUND(Q657*(N657/(N657+P657))/VLOOKUP(M657,职业!$A$3:$E$16,4,FALSE),0),"")</f>
        <v/>
      </c>
      <c r="AF657" t="str">
        <f>IFERROR(O657&amp;"*"&amp;ROUND(Q657*(P657/(N657+P657))/VLOOKUP(O657,职业!$A$3:$E$16,4,FALSE),0),"")</f>
        <v/>
      </c>
      <c r="AG657" t="str">
        <f>IFERROR(R657&amp;"*"&amp;ROUND(V657*(S657/(S657+U657))/VLOOKUP(R657,商品!$A$4:$D$67,4,FALSE),0),"")</f>
        <v/>
      </c>
      <c r="AH657" t="str">
        <f>IFERROR(T657&amp;"*"&amp;ROUND(V657*(U657/(S657+U657))/VLOOKUP(T657,商品!$A$4:$D$67,4,FALSE),0),"")</f>
        <v/>
      </c>
    </row>
    <row r="658" customHeight="1" spans="1:34">
      <c r="A658" s="15" t="s">
        <v>406</v>
      </c>
      <c r="C658" s="2">
        <v>3</v>
      </c>
      <c r="D658" s="2" t="s">
        <v>260</v>
      </c>
      <c r="E658" s="2" t="s">
        <v>222</v>
      </c>
      <c r="L658" s="2">
        <f>IFERROR(VLOOKUP($D658&amp;$C658,生产方式定位!$A$2:$E$39,2,FALSE)+VLOOKUP($E658&amp;$C658,生产方式定位!$F$3:$J$39,2,FALSE),0)</f>
        <v>3000</v>
      </c>
      <c r="Q658" s="2">
        <f>IFERROR(VLOOKUP($D658&amp;$C658,生产方式定位!$A$2:$E$39,3,FALSE)+VLOOKUP($E658&amp;$C658,生产方式定位!$F$3:$J$39,3,FALSE),0)</f>
        <v>3000</v>
      </c>
      <c r="V658" s="2">
        <f>IFERROR(VLOOKUP($D658&amp;$C658,生产方式定位!$A$2:$E$39,5,FALSE)+VLOOKUP($E658&amp;$C658,生产方式定位!$F$3:$J$39,5,FALSE),"错误")</f>
        <v>3288</v>
      </c>
      <c r="W658" s="3" t="str">
        <f t="shared" si="50"/>
        <v/>
      </c>
      <c r="X658" s="4" t="str">
        <f t="shared" si="51"/>
        <v/>
      </c>
      <c r="Y658" s="4" t="str">
        <f t="shared" si="52"/>
        <v/>
      </c>
      <c r="Z658" s="5">
        <f t="shared" si="53"/>
        <v>0.91</v>
      </c>
      <c r="AA658" s="6">
        <f t="shared" si="54"/>
        <v>3</v>
      </c>
      <c r="AB658" t="str">
        <f>IFERROR(F658&amp;"*"&amp;ROUND(L658*(G658/(G658+I658+K658))/VLOOKUP(F658,商品!$A$4:$D$67,4,FALSE),0),"")</f>
        <v/>
      </c>
      <c r="AC658" t="str">
        <f>IFERROR(H658&amp;"*"&amp;ROUND(L658*(I658/(G658+I658+K658))/VLOOKUP(H658,商品!$A$4:$D$67,4,FALSE),0),"")</f>
        <v/>
      </c>
      <c r="AD658" t="str">
        <f>IFERROR(J658&amp;"*"&amp;ROUND(L658*(K658/(G658+I658+K658))/VLOOKUP(J658,商品!$A$4:$D$67,4,FALSE),0),"")</f>
        <v/>
      </c>
      <c r="AE658" t="str">
        <f>IFERROR(M658&amp;"*"&amp;ROUND(Q658*(N658/(N658+P658))/VLOOKUP(M658,职业!$A$3:$E$16,4,FALSE),0),"")</f>
        <v/>
      </c>
      <c r="AF658" t="str">
        <f>IFERROR(O658&amp;"*"&amp;ROUND(Q658*(P658/(N658+P658))/VLOOKUP(O658,职业!$A$3:$E$16,4,FALSE),0),"")</f>
        <v/>
      </c>
      <c r="AG658" t="str">
        <f>IFERROR(R658&amp;"*"&amp;ROUND(V658*(S658/(S658+U658))/VLOOKUP(R658,商品!$A$4:$D$67,4,FALSE),0),"")</f>
        <v/>
      </c>
      <c r="AH658" t="str">
        <f>IFERROR(T658&amp;"*"&amp;ROUND(V658*(U658/(S658+U658))/VLOOKUP(T658,商品!$A$4:$D$67,4,FALSE),0),"")</f>
        <v/>
      </c>
    </row>
    <row r="659" customHeight="1" spans="1:34">
      <c r="A659" s="14" t="s">
        <v>407</v>
      </c>
      <c r="C659" s="2">
        <v>4</v>
      </c>
      <c r="D659" s="2" t="s">
        <v>260</v>
      </c>
      <c r="E659" s="2" t="s">
        <v>223</v>
      </c>
      <c r="L659" s="2">
        <f>IFERROR(VLOOKUP($D659&amp;$C659,生产方式定位!$A$2:$E$39,2,FALSE)+VLOOKUP($E659&amp;$C659,生产方式定位!$F$3:$J$39,2,FALSE),0)</f>
        <v>4500</v>
      </c>
      <c r="Q659" s="2">
        <f>IFERROR(VLOOKUP($D659&amp;$C659,生产方式定位!$A$2:$E$39,3,FALSE)+VLOOKUP($E659&amp;$C659,生产方式定位!$F$3:$J$39,3,FALSE),0)</f>
        <v>6400</v>
      </c>
      <c r="V659" s="2">
        <f>IFERROR(VLOOKUP($D659&amp;$C659,生产方式定位!$A$2:$E$39,5,FALSE)+VLOOKUP($E659&amp;$C659,生产方式定位!$F$3:$J$39,5,FALSE),"错误")</f>
        <v>5765</v>
      </c>
      <c r="W659" s="3" t="str">
        <f t="shared" si="50"/>
        <v/>
      </c>
      <c r="X659" s="4" t="str">
        <f t="shared" si="51"/>
        <v/>
      </c>
      <c r="Y659" s="4" t="str">
        <f t="shared" si="52"/>
        <v/>
      </c>
      <c r="Z659" s="5">
        <f t="shared" si="53"/>
        <v>0.78</v>
      </c>
      <c r="AA659" s="6">
        <f t="shared" si="54"/>
        <v>4</v>
      </c>
      <c r="AB659" t="str">
        <f>IFERROR(F659&amp;"*"&amp;ROUND(L659*(G659/(G659+I659+K659))/VLOOKUP(F659,商品!$A$4:$D$67,4,FALSE),0),"")</f>
        <v/>
      </c>
      <c r="AC659" t="str">
        <f>IFERROR(H659&amp;"*"&amp;ROUND(L659*(I659/(G659+I659+K659))/VLOOKUP(H659,商品!$A$4:$D$67,4,FALSE),0),"")</f>
        <v/>
      </c>
      <c r="AD659" t="str">
        <f>IFERROR(J659&amp;"*"&amp;ROUND(L659*(K659/(G659+I659+K659))/VLOOKUP(J659,商品!$A$4:$D$67,4,FALSE),0),"")</f>
        <v/>
      </c>
      <c r="AE659" t="str">
        <f>IFERROR(M659&amp;"*"&amp;ROUND(Q659*(N659/(N659+P659))/VLOOKUP(M659,职业!$A$3:$E$16,4,FALSE),0),"")</f>
        <v/>
      </c>
      <c r="AF659" t="str">
        <f>IFERROR(O659&amp;"*"&amp;ROUND(Q659*(P659/(N659+P659))/VLOOKUP(O659,职业!$A$3:$E$16,4,FALSE),0),"")</f>
        <v/>
      </c>
      <c r="AG659" t="str">
        <f>IFERROR(R659&amp;"*"&amp;ROUND(V659*(S659/(S659+U659))/VLOOKUP(R659,商品!$A$4:$D$67,4,FALSE),0),"")</f>
        <v/>
      </c>
      <c r="AH659" t="str">
        <f>IFERROR(T659&amp;"*"&amp;ROUND(V659*(U659/(S659+U659))/VLOOKUP(T659,商品!$A$4:$D$67,4,FALSE),0),"")</f>
        <v/>
      </c>
    </row>
    <row r="660" customHeight="1" spans="1:34">
      <c r="A660" s="14" t="s">
        <v>407</v>
      </c>
      <c r="C660" s="2">
        <v>5</v>
      </c>
      <c r="D660" s="2" t="s">
        <v>260</v>
      </c>
      <c r="E660" s="2" t="s">
        <v>223</v>
      </c>
      <c r="L660" s="2">
        <f>IFERROR(VLOOKUP($D660&amp;$C660,生产方式定位!$A$2:$E$39,2,FALSE)+VLOOKUP($E660&amp;$C660,生产方式定位!$F$3:$J$39,2,FALSE),0)</f>
        <v>6000</v>
      </c>
      <c r="Q660" s="2">
        <f>IFERROR(VLOOKUP($D660&amp;$C660,生产方式定位!$A$2:$E$39,3,FALSE)+VLOOKUP($E660&amp;$C660,生产方式定位!$F$3:$J$39,3,FALSE),0)</f>
        <v>7200</v>
      </c>
      <c r="V660" s="2">
        <f>IFERROR(VLOOKUP($D660&amp;$C660,生产方式定位!$A$2:$E$39,5,FALSE)+VLOOKUP($E660&amp;$C660,生产方式定位!$F$3:$J$39,5,FALSE),"错误")</f>
        <v>7163</v>
      </c>
      <c r="W660" s="3" t="str">
        <f t="shared" si="50"/>
        <v/>
      </c>
      <c r="X660" s="4" t="str">
        <f t="shared" si="51"/>
        <v/>
      </c>
      <c r="Y660" s="4" t="str">
        <f t="shared" si="52"/>
        <v/>
      </c>
      <c r="Z660" s="5">
        <f t="shared" si="53"/>
        <v>0.84</v>
      </c>
      <c r="AA660" s="6">
        <f t="shared" si="54"/>
        <v>5</v>
      </c>
      <c r="AB660" t="str">
        <f>IFERROR(F660&amp;"*"&amp;ROUND(L660*(G660/(G660+I660+K660))/VLOOKUP(F660,商品!$A$4:$D$67,4,FALSE),0),"")</f>
        <v/>
      </c>
      <c r="AC660" t="str">
        <f>IFERROR(H660&amp;"*"&amp;ROUND(L660*(I660/(G660+I660+K660))/VLOOKUP(H660,商品!$A$4:$D$67,4,FALSE),0),"")</f>
        <v/>
      </c>
      <c r="AD660" t="str">
        <f>IFERROR(J660&amp;"*"&amp;ROUND(L660*(K660/(G660+I660+K660))/VLOOKUP(J660,商品!$A$4:$D$67,4,FALSE),0),"")</f>
        <v/>
      </c>
      <c r="AE660" t="str">
        <f>IFERROR(M660&amp;"*"&amp;ROUND(Q660*(N660/(N660+P660))/VLOOKUP(M660,职业!$A$3:$E$16,4,FALSE),0),"")</f>
        <v/>
      </c>
      <c r="AF660" t="str">
        <f>IFERROR(O660&amp;"*"&amp;ROUND(Q660*(P660/(N660+P660))/VLOOKUP(O660,职业!$A$3:$E$16,4,FALSE),0),"")</f>
        <v/>
      </c>
      <c r="AG660" t="str">
        <f>IFERROR(R660&amp;"*"&amp;ROUND(V660*(S660/(S660+U660))/VLOOKUP(R660,商品!$A$4:$D$67,4,FALSE),0),"")</f>
        <v/>
      </c>
      <c r="AH660" t="str">
        <f>IFERROR(T660&amp;"*"&amp;ROUND(V660*(U660/(S660+U660))/VLOOKUP(T660,商品!$A$4:$D$67,4,FALSE),0),"")</f>
        <v/>
      </c>
    </row>
    <row r="661" customHeight="1" spans="1:34">
      <c r="A661" s="14" t="s">
        <v>407</v>
      </c>
      <c r="C661" s="2">
        <v>1</v>
      </c>
      <c r="D661" s="2" t="s">
        <v>260</v>
      </c>
      <c r="E661" s="2" t="s">
        <v>223</v>
      </c>
      <c r="L661" s="2">
        <f>IFERROR(VLOOKUP($D661&amp;$C661,生产方式定位!$A$2:$E$39,2,FALSE)+VLOOKUP($E661&amp;$C661,生产方式定位!$F$3:$J$39,2,FALSE),0)</f>
        <v>0</v>
      </c>
      <c r="Q661" s="2">
        <f>IFERROR(VLOOKUP($D661&amp;$C661,生产方式定位!$A$2:$E$39,3,FALSE)+VLOOKUP($E661&amp;$C661,生产方式定位!$F$3:$J$39,3,FALSE),0)</f>
        <v>3000</v>
      </c>
      <c r="V661" s="2">
        <f>IFERROR(VLOOKUP($D661&amp;$C661,生产方式定位!$A$2:$E$39,5,FALSE)+VLOOKUP($E661&amp;$C661,生产方式定位!$F$3:$J$39,5,FALSE),"错误")</f>
        <v>1500</v>
      </c>
      <c r="W661" s="3" t="str">
        <f t="shared" si="50"/>
        <v/>
      </c>
      <c r="X661" s="4" t="str">
        <f t="shared" si="51"/>
        <v/>
      </c>
      <c r="Y661" s="4" t="str">
        <f t="shared" si="52"/>
        <v/>
      </c>
      <c r="Z661" s="5">
        <f t="shared" si="53"/>
        <v>0</v>
      </c>
      <c r="AA661" s="6">
        <f t="shared" si="54"/>
        <v>1</v>
      </c>
      <c r="AB661" t="str">
        <f>IFERROR(F661&amp;"*"&amp;ROUND(L661*(G661/(G661+I661+K661))/VLOOKUP(F661,商品!$A$4:$D$67,4,FALSE),0),"")</f>
        <v/>
      </c>
      <c r="AC661" t="str">
        <f>IFERROR(H661&amp;"*"&amp;ROUND(L661*(I661/(G661+I661+K661))/VLOOKUP(H661,商品!$A$4:$D$67,4,FALSE),0),"")</f>
        <v/>
      </c>
      <c r="AD661" t="str">
        <f>IFERROR(J661&amp;"*"&amp;ROUND(L661*(K661/(G661+I661+K661))/VLOOKUP(J661,商品!$A$4:$D$67,4,FALSE),0),"")</f>
        <v/>
      </c>
      <c r="AE661" t="str">
        <f>IFERROR(M661&amp;"*"&amp;ROUND(Q661*(N661/(N661+P661))/VLOOKUP(M661,职业!$A$3:$E$16,4,FALSE),0),"")</f>
        <v/>
      </c>
      <c r="AF661" t="str">
        <f>IFERROR(O661&amp;"*"&amp;ROUND(Q661*(P661/(N661+P661))/VLOOKUP(O661,职业!$A$3:$E$16,4,FALSE),0),"")</f>
        <v/>
      </c>
      <c r="AG661" t="str">
        <f>IFERROR(R661&amp;"*"&amp;ROUND(V661*(S661/(S661+U661))/VLOOKUP(R661,商品!$A$4:$D$67,4,FALSE),0),"")</f>
        <v/>
      </c>
      <c r="AH661" t="str">
        <f>IFERROR(T661&amp;"*"&amp;ROUND(V661*(U661/(S661+U661))/VLOOKUP(T661,商品!$A$4:$D$67,4,FALSE),0),"")</f>
        <v/>
      </c>
    </row>
    <row r="662" customHeight="1" spans="1:34">
      <c r="A662" s="14" t="s">
        <v>407</v>
      </c>
      <c r="C662" s="2">
        <v>2</v>
      </c>
      <c r="D662" s="2" t="s">
        <v>260</v>
      </c>
      <c r="E662" s="2" t="s">
        <v>223</v>
      </c>
      <c r="L662" s="2">
        <f>IFERROR(VLOOKUP($D662&amp;$C662,生产方式定位!$A$2:$E$39,2,FALSE)+VLOOKUP($E662&amp;$C662,生产方式定位!$F$3:$J$39,2,FALSE),0)</f>
        <v>1500</v>
      </c>
      <c r="Q662" s="2">
        <f>IFERROR(VLOOKUP($D662&amp;$C662,生产方式定位!$A$2:$E$39,3,FALSE)+VLOOKUP($E662&amp;$C662,生产方式定位!$F$3:$J$39,3,FALSE),0)</f>
        <v>4800</v>
      </c>
      <c r="V662" s="2">
        <f>IFERROR(VLOOKUP($D662&amp;$C662,生产方式定位!$A$2:$E$39,5,FALSE)+VLOOKUP($E662&amp;$C662,生产方式定位!$F$3:$J$39,5,FALSE),"错误")</f>
        <v>3195</v>
      </c>
      <c r="W662" s="3" t="str">
        <f t="shared" si="50"/>
        <v/>
      </c>
      <c r="X662" s="4" t="str">
        <f t="shared" si="51"/>
        <v/>
      </c>
      <c r="Y662" s="4" t="str">
        <f t="shared" si="52"/>
        <v/>
      </c>
      <c r="Z662" s="5">
        <f t="shared" si="53"/>
        <v>0.47</v>
      </c>
      <c r="AA662" s="6">
        <f t="shared" si="54"/>
        <v>2</v>
      </c>
      <c r="AB662" t="str">
        <f>IFERROR(F662&amp;"*"&amp;ROUND(L662*(G662/(G662+I662+K662))/VLOOKUP(F662,商品!$A$4:$D$67,4,FALSE),0),"")</f>
        <v/>
      </c>
      <c r="AC662" t="str">
        <f>IFERROR(H662&amp;"*"&amp;ROUND(L662*(I662/(G662+I662+K662))/VLOOKUP(H662,商品!$A$4:$D$67,4,FALSE),0),"")</f>
        <v/>
      </c>
      <c r="AD662" t="str">
        <f>IFERROR(J662&amp;"*"&amp;ROUND(L662*(K662/(G662+I662+K662))/VLOOKUP(J662,商品!$A$4:$D$67,4,FALSE),0),"")</f>
        <v/>
      </c>
      <c r="AE662" t="str">
        <f>IFERROR(M662&amp;"*"&amp;ROUND(Q662*(N662/(N662+P662))/VLOOKUP(M662,职业!$A$3:$E$16,4,FALSE),0),"")</f>
        <v/>
      </c>
      <c r="AF662" t="str">
        <f>IFERROR(O662&amp;"*"&amp;ROUND(Q662*(P662/(N662+P662))/VLOOKUP(O662,职业!$A$3:$E$16,4,FALSE),0),"")</f>
        <v/>
      </c>
      <c r="AG662" t="str">
        <f>IFERROR(R662&amp;"*"&amp;ROUND(V662*(S662/(S662+U662))/VLOOKUP(R662,商品!$A$4:$D$67,4,FALSE),0),"")</f>
        <v/>
      </c>
      <c r="AH662" t="str">
        <f>IFERROR(T662&amp;"*"&amp;ROUND(V662*(U662/(S662+U662))/VLOOKUP(T662,商品!$A$4:$D$67,4,FALSE),0),"")</f>
        <v/>
      </c>
    </row>
    <row r="663" customHeight="1" spans="1:34">
      <c r="A663" s="14" t="s">
        <v>407</v>
      </c>
      <c r="C663" s="2">
        <v>3</v>
      </c>
      <c r="D663" s="2" t="s">
        <v>260</v>
      </c>
      <c r="E663" s="2" t="s">
        <v>223</v>
      </c>
      <c r="L663" s="2">
        <f>IFERROR(VLOOKUP($D663&amp;$C663,生产方式定位!$A$2:$E$39,2,FALSE)+VLOOKUP($E663&amp;$C663,生产方式定位!$F$3:$J$39,2,FALSE),0)</f>
        <v>3000</v>
      </c>
      <c r="Q663" s="2">
        <f>IFERROR(VLOOKUP($D663&amp;$C663,生产方式定位!$A$2:$E$39,3,FALSE)+VLOOKUP($E663&amp;$C663,生产方式定位!$F$3:$J$39,3,FALSE),0)</f>
        <v>5600</v>
      </c>
      <c r="V663" s="2">
        <f>IFERROR(VLOOKUP($D663&amp;$C663,生产方式定位!$A$2:$E$39,5,FALSE)+VLOOKUP($E663&amp;$C663,生产方式定位!$F$3:$J$39,5,FALSE),"错误")</f>
        <v>4450</v>
      </c>
      <c r="W663" s="3" t="str">
        <f t="shared" si="50"/>
        <v/>
      </c>
      <c r="X663" s="4" t="str">
        <f t="shared" si="51"/>
        <v/>
      </c>
      <c r="Y663" s="4" t="str">
        <f t="shared" si="52"/>
        <v/>
      </c>
      <c r="Z663" s="5">
        <f t="shared" si="53"/>
        <v>0.67</v>
      </c>
      <c r="AA663" s="6">
        <f t="shared" si="54"/>
        <v>3</v>
      </c>
      <c r="AB663" t="str">
        <f>IFERROR(F663&amp;"*"&amp;ROUND(L663*(G663/(G663+I663+K663))/VLOOKUP(F663,商品!$A$4:$D$67,4,FALSE),0),"")</f>
        <v/>
      </c>
      <c r="AC663" t="str">
        <f>IFERROR(H663&amp;"*"&amp;ROUND(L663*(I663/(G663+I663+K663))/VLOOKUP(H663,商品!$A$4:$D$67,4,FALSE),0),"")</f>
        <v/>
      </c>
      <c r="AD663" t="str">
        <f>IFERROR(J663&amp;"*"&amp;ROUND(L663*(K663/(G663+I663+K663))/VLOOKUP(J663,商品!$A$4:$D$67,4,FALSE),0),"")</f>
        <v/>
      </c>
      <c r="AE663" t="str">
        <f>IFERROR(M663&amp;"*"&amp;ROUND(Q663*(N663/(N663+P663))/VLOOKUP(M663,职业!$A$3:$E$16,4,FALSE),0),"")</f>
        <v/>
      </c>
      <c r="AF663" t="str">
        <f>IFERROR(O663&amp;"*"&amp;ROUND(Q663*(P663/(N663+P663))/VLOOKUP(O663,职业!$A$3:$E$16,4,FALSE),0),"")</f>
        <v/>
      </c>
      <c r="AG663" t="str">
        <f>IFERROR(R663&amp;"*"&amp;ROUND(V663*(S663/(S663+U663))/VLOOKUP(R663,商品!$A$4:$D$67,4,FALSE),0),"")</f>
        <v/>
      </c>
      <c r="AH663" t="str">
        <f>IFERROR(T663&amp;"*"&amp;ROUND(V663*(U663/(S663+U663))/VLOOKUP(T663,商品!$A$4:$D$67,4,FALSE),0),"")</f>
        <v/>
      </c>
    </row>
    <row r="664" customHeight="1" spans="1:34">
      <c r="A664" s="15" t="s">
        <v>408</v>
      </c>
      <c r="C664" s="2">
        <v>4</v>
      </c>
      <c r="D664" s="2" t="s">
        <v>260</v>
      </c>
      <c r="E664" s="2" t="s">
        <v>224</v>
      </c>
      <c r="L664" s="2">
        <f>IFERROR(VLOOKUP($D664&amp;$C664,生产方式定位!$A$2:$E$39,2,FALSE)+VLOOKUP($E664&amp;$C664,生产方式定位!$F$3:$J$39,2,FALSE),0)</f>
        <v>5500</v>
      </c>
      <c r="Q664" s="2">
        <f>IFERROR(VLOOKUP($D664&amp;$C664,生产方式定位!$A$2:$E$39,3,FALSE)+VLOOKUP($E664&amp;$C664,生产方式定位!$F$3:$J$39,3,FALSE),0)</f>
        <v>1800</v>
      </c>
      <c r="V664" s="2">
        <f>IFERROR(VLOOKUP($D664&amp;$C664,生产方式定位!$A$2:$E$39,5,FALSE)+VLOOKUP($E664&amp;$C664,生产方式定位!$F$3:$J$39,5,FALSE),"错误")</f>
        <v>4160</v>
      </c>
      <c r="W664" s="3" t="str">
        <f t="shared" si="50"/>
        <v/>
      </c>
      <c r="X664" s="4" t="str">
        <f t="shared" si="51"/>
        <v/>
      </c>
      <c r="Y664" s="4" t="str">
        <f t="shared" si="52"/>
        <v/>
      </c>
      <c r="Z664" s="5">
        <f t="shared" si="53"/>
        <v>1.32</v>
      </c>
      <c r="AA664" s="6">
        <f t="shared" si="54"/>
        <v>4</v>
      </c>
      <c r="AB664" t="str">
        <f>IFERROR(F664&amp;"*"&amp;ROUND(L664*(G664/(G664+I664+K664))/VLOOKUP(F664,商品!$A$4:$D$67,4,FALSE),0),"")</f>
        <v/>
      </c>
      <c r="AC664" t="str">
        <f>IFERROR(H664&amp;"*"&amp;ROUND(L664*(I664/(G664+I664+K664))/VLOOKUP(H664,商品!$A$4:$D$67,4,FALSE),0),"")</f>
        <v/>
      </c>
      <c r="AD664" t="str">
        <f>IFERROR(J664&amp;"*"&amp;ROUND(L664*(K664/(G664+I664+K664))/VLOOKUP(J664,商品!$A$4:$D$67,4,FALSE),0),"")</f>
        <v/>
      </c>
      <c r="AE664" t="str">
        <f>IFERROR(M664&amp;"*"&amp;ROUND(Q664*(N664/(N664+P664))/VLOOKUP(M664,职业!$A$3:$E$16,4,FALSE),0),"")</f>
        <v/>
      </c>
      <c r="AF664" t="str">
        <f>IFERROR(O664&amp;"*"&amp;ROUND(Q664*(P664/(N664+P664))/VLOOKUP(O664,职业!$A$3:$E$16,4,FALSE),0),"")</f>
        <v/>
      </c>
      <c r="AG664" t="str">
        <f>IFERROR(R664&amp;"*"&amp;ROUND(V664*(S664/(S664+U664))/VLOOKUP(R664,商品!$A$4:$D$67,4,FALSE),0),"")</f>
        <v/>
      </c>
      <c r="AH664" t="str">
        <f>IFERROR(T664&amp;"*"&amp;ROUND(V664*(U664/(S664+U664))/VLOOKUP(T664,商品!$A$4:$D$67,4,FALSE),0),"")</f>
        <v/>
      </c>
    </row>
    <row r="665" customHeight="1" spans="1:34">
      <c r="A665" s="15" t="s">
        <v>408</v>
      </c>
      <c r="C665" s="2">
        <v>5</v>
      </c>
      <c r="D665" s="2" t="s">
        <v>260</v>
      </c>
      <c r="E665" s="2" t="s">
        <v>224</v>
      </c>
      <c r="L665" s="2">
        <f>IFERROR(VLOOKUP($D665&amp;$C665,生产方式定位!$A$2:$E$39,2,FALSE)+VLOOKUP($E665&amp;$C665,生产方式定位!$F$3:$J$39,2,FALSE),0)</f>
        <v>7000</v>
      </c>
      <c r="Q665" s="2">
        <f>IFERROR(VLOOKUP($D665&amp;$C665,生产方式定位!$A$2:$E$39,3,FALSE)+VLOOKUP($E665&amp;$C665,生产方式定位!$F$3:$J$39,3,FALSE),0)</f>
        <v>1400</v>
      </c>
      <c r="V665" s="2">
        <f>IFERROR(VLOOKUP($D665&amp;$C665,生产方式定位!$A$2:$E$39,5,FALSE)+VLOOKUP($E665&amp;$C665,生产方式定位!$F$3:$J$39,5,FALSE),"错误")</f>
        <v>5040</v>
      </c>
      <c r="W665" s="3" t="str">
        <f t="shared" si="50"/>
        <v/>
      </c>
      <c r="X665" s="4" t="str">
        <f t="shared" si="51"/>
        <v/>
      </c>
      <c r="Y665" s="4" t="str">
        <f t="shared" si="52"/>
        <v/>
      </c>
      <c r="Z665" s="5">
        <f t="shared" si="53"/>
        <v>1.39</v>
      </c>
      <c r="AA665" s="6">
        <f t="shared" si="54"/>
        <v>5</v>
      </c>
      <c r="AB665" t="str">
        <f>IFERROR(F665&amp;"*"&amp;ROUND(L665*(G665/(G665+I665+K665))/VLOOKUP(F665,商品!$A$4:$D$67,4,FALSE),0),"")</f>
        <v/>
      </c>
      <c r="AC665" t="str">
        <f>IFERROR(H665&amp;"*"&amp;ROUND(L665*(I665/(G665+I665+K665))/VLOOKUP(H665,商品!$A$4:$D$67,4,FALSE),0),"")</f>
        <v/>
      </c>
      <c r="AD665" t="str">
        <f>IFERROR(J665&amp;"*"&amp;ROUND(L665*(K665/(G665+I665+K665))/VLOOKUP(J665,商品!$A$4:$D$67,4,FALSE),0),"")</f>
        <v/>
      </c>
      <c r="AE665" t="str">
        <f>IFERROR(M665&amp;"*"&amp;ROUND(Q665*(N665/(N665+P665))/VLOOKUP(M665,职业!$A$3:$E$16,4,FALSE),0),"")</f>
        <v/>
      </c>
      <c r="AF665" t="str">
        <f>IFERROR(O665&amp;"*"&amp;ROUND(Q665*(P665/(N665+P665))/VLOOKUP(O665,职业!$A$3:$E$16,4,FALSE),0),"")</f>
        <v/>
      </c>
      <c r="AG665" t="str">
        <f>IFERROR(R665&amp;"*"&amp;ROUND(V665*(S665/(S665+U665))/VLOOKUP(R665,商品!$A$4:$D$67,4,FALSE),0),"")</f>
        <v/>
      </c>
      <c r="AH665" t="str">
        <f>IFERROR(T665&amp;"*"&amp;ROUND(V665*(U665/(S665+U665))/VLOOKUP(T665,商品!$A$4:$D$67,4,FALSE),0),"")</f>
        <v/>
      </c>
    </row>
    <row r="666" customHeight="1" spans="1:34">
      <c r="A666" s="15" t="s">
        <v>408</v>
      </c>
      <c r="C666" s="2">
        <v>1</v>
      </c>
      <c r="D666" s="2" t="s">
        <v>260</v>
      </c>
      <c r="E666" s="2" t="s">
        <v>224</v>
      </c>
      <c r="L666" s="2">
        <f>IFERROR(VLOOKUP($D666&amp;$C666,生产方式定位!$A$2:$E$39,2,FALSE)+VLOOKUP($E666&amp;$C666,生产方式定位!$F$3:$J$39,2,FALSE),0)</f>
        <v>0</v>
      </c>
      <c r="Q666" s="2">
        <f>IFERROR(VLOOKUP($D666&amp;$C666,生产方式定位!$A$2:$E$39,3,FALSE)+VLOOKUP($E666&amp;$C666,生产方式定位!$F$3:$J$39,3,FALSE),0)</f>
        <v>3000</v>
      </c>
      <c r="V666" s="2">
        <f>IFERROR(VLOOKUP($D666&amp;$C666,生产方式定位!$A$2:$E$39,5,FALSE)+VLOOKUP($E666&amp;$C666,生产方式定位!$F$3:$J$39,5,FALSE),"错误")</f>
        <v>1500</v>
      </c>
      <c r="W666" s="3" t="str">
        <f t="shared" si="50"/>
        <v/>
      </c>
      <c r="X666" s="4" t="str">
        <f t="shared" si="51"/>
        <v/>
      </c>
      <c r="Y666" s="4" t="str">
        <f t="shared" si="52"/>
        <v/>
      </c>
      <c r="Z666" s="5">
        <f t="shared" si="53"/>
        <v>0</v>
      </c>
      <c r="AA666" s="6">
        <f t="shared" si="54"/>
        <v>1</v>
      </c>
      <c r="AB666" t="str">
        <f>IFERROR(F666&amp;"*"&amp;ROUND(L666*(G666/(G666+I666+K666))/VLOOKUP(F666,商品!$A$4:$D$67,4,FALSE),0),"")</f>
        <v/>
      </c>
      <c r="AC666" t="str">
        <f>IFERROR(H666&amp;"*"&amp;ROUND(L666*(I666/(G666+I666+K666))/VLOOKUP(H666,商品!$A$4:$D$67,4,FALSE),0),"")</f>
        <v/>
      </c>
      <c r="AD666" t="str">
        <f>IFERROR(J666&amp;"*"&amp;ROUND(L666*(K666/(G666+I666+K666))/VLOOKUP(J666,商品!$A$4:$D$67,4,FALSE),0),"")</f>
        <v/>
      </c>
      <c r="AE666" t="str">
        <f>IFERROR(M666&amp;"*"&amp;ROUND(Q666*(N666/(N666+P666))/VLOOKUP(M666,职业!$A$3:$E$16,4,FALSE),0),"")</f>
        <v/>
      </c>
      <c r="AF666" t="str">
        <f>IFERROR(O666&amp;"*"&amp;ROUND(Q666*(P666/(N666+P666))/VLOOKUP(O666,职业!$A$3:$E$16,4,FALSE),0),"")</f>
        <v/>
      </c>
      <c r="AG666" t="str">
        <f>IFERROR(R666&amp;"*"&amp;ROUND(V666*(S666/(S666+U666))/VLOOKUP(R666,商品!$A$4:$D$67,4,FALSE),0),"")</f>
        <v/>
      </c>
      <c r="AH666" t="str">
        <f>IFERROR(T666&amp;"*"&amp;ROUND(V666*(U666/(S666+U666))/VLOOKUP(T666,商品!$A$4:$D$67,4,FALSE),0),"")</f>
        <v/>
      </c>
    </row>
    <row r="667" customHeight="1" spans="1:34">
      <c r="A667" s="15" t="s">
        <v>408</v>
      </c>
      <c r="C667" s="2">
        <v>2</v>
      </c>
      <c r="D667" s="2" t="s">
        <v>260</v>
      </c>
      <c r="E667" s="2" t="s">
        <v>224</v>
      </c>
      <c r="L667" s="2">
        <f>IFERROR(VLOOKUP($D667&amp;$C667,生产方式定位!$A$2:$E$39,2,FALSE)+VLOOKUP($E667&amp;$C667,生产方式定位!$F$3:$J$39,2,FALSE),0)</f>
        <v>2500</v>
      </c>
      <c r="Q667" s="2">
        <f>IFERROR(VLOOKUP($D667&amp;$C667,生产方式定位!$A$2:$E$39,3,FALSE)+VLOOKUP($E667&amp;$C667,生产方式定位!$F$3:$J$39,3,FALSE),0)</f>
        <v>2600</v>
      </c>
      <c r="V667" s="2">
        <f>IFERROR(VLOOKUP($D667&amp;$C667,生产方式定位!$A$2:$E$39,5,FALSE)+VLOOKUP($E667&amp;$C667,生产方式定位!$F$3:$J$39,5,FALSE),"错误")</f>
        <v>2640</v>
      </c>
      <c r="W667" s="3" t="str">
        <f t="shared" si="50"/>
        <v/>
      </c>
      <c r="X667" s="4" t="str">
        <f t="shared" si="51"/>
        <v/>
      </c>
      <c r="Y667" s="4" t="str">
        <f t="shared" si="52"/>
        <v/>
      </c>
      <c r="Z667" s="5">
        <f t="shared" si="53"/>
        <v>0.95</v>
      </c>
      <c r="AA667" s="6">
        <f t="shared" si="54"/>
        <v>2</v>
      </c>
      <c r="AB667" t="str">
        <f>IFERROR(F667&amp;"*"&amp;ROUND(L667*(G667/(G667+I667+K667))/VLOOKUP(F667,商品!$A$4:$D$67,4,FALSE),0),"")</f>
        <v/>
      </c>
      <c r="AC667" t="str">
        <f>IFERROR(H667&amp;"*"&amp;ROUND(L667*(I667/(G667+I667+K667))/VLOOKUP(H667,商品!$A$4:$D$67,4,FALSE),0),"")</f>
        <v/>
      </c>
      <c r="AD667" t="str">
        <f>IFERROR(J667&amp;"*"&amp;ROUND(L667*(K667/(G667+I667+K667))/VLOOKUP(J667,商品!$A$4:$D$67,4,FALSE),0),"")</f>
        <v/>
      </c>
      <c r="AE667" t="str">
        <f>IFERROR(M667&amp;"*"&amp;ROUND(Q667*(N667/(N667+P667))/VLOOKUP(M667,职业!$A$3:$E$16,4,FALSE),0),"")</f>
        <v/>
      </c>
      <c r="AF667" t="str">
        <f>IFERROR(O667&amp;"*"&amp;ROUND(Q667*(P667/(N667+P667))/VLOOKUP(O667,职业!$A$3:$E$16,4,FALSE),0),"")</f>
        <v/>
      </c>
      <c r="AG667" t="str">
        <f>IFERROR(R667&amp;"*"&amp;ROUND(V667*(S667/(S667+U667))/VLOOKUP(R667,商品!$A$4:$D$67,4,FALSE),0),"")</f>
        <v/>
      </c>
      <c r="AH667" t="str">
        <f>IFERROR(T667&amp;"*"&amp;ROUND(V667*(U667/(S667+U667))/VLOOKUP(T667,商品!$A$4:$D$67,4,FALSE),0),"")</f>
        <v/>
      </c>
    </row>
    <row r="668" customHeight="1" spans="1:34">
      <c r="A668" s="15" t="s">
        <v>408</v>
      </c>
      <c r="C668" s="2">
        <v>3</v>
      </c>
      <c r="D668" s="2" t="s">
        <v>260</v>
      </c>
      <c r="E668" s="2" t="s">
        <v>224</v>
      </c>
      <c r="L668" s="2">
        <f>IFERROR(VLOOKUP($D668&amp;$C668,生产方式定位!$A$2:$E$39,2,FALSE)+VLOOKUP($E668&amp;$C668,生产方式定位!$F$3:$J$39,2,FALSE),0)</f>
        <v>4000</v>
      </c>
      <c r="Q668" s="2">
        <f>IFERROR(VLOOKUP($D668&amp;$C668,生产方式定位!$A$2:$E$39,3,FALSE)+VLOOKUP($E668&amp;$C668,生产方式定位!$F$3:$J$39,3,FALSE),0)</f>
        <v>2200</v>
      </c>
      <c r="V668" s="2">
        <f>IFERROR(VLOOKUP($D668&amp;$C668,生产方式定位!$A$2:$E$39,5,FALSE)+VLOOKUP($E668&amp;$C668,生产方式定位!$F$3:$J$39,5,FALSE),"错误")</f>
        <v>3360</v>
      </c>
      <c r="W668" s="3" t="str">
        <f t="shared" si="50"/>
        <v/>
      </c>
      <c r="X668" s="4" t="str">
        <f t="shared" si="51"/>
        <v/>
      </c>
      <c r="Y668" s="4" t="str">
        <f t="shared" si="52"/>
        <v/>
      </c>
      <c r="Z668" s="5">
        <f t="shared" si="53"/>
        <v>1.19</v>
      </c>
      <c r="AA668" s="6">
        <f t="shared" si="54"/>
        <v>3</v>
      </c>
      <c r="AB668" t="str">
        <f>IFERROR(F668&amp;"*"&amp;ROUND(L668*(G668/(G668+I668+K668))/VLOOKUP(F668,商品!$A$4:$D$67,4,FALSE),0),"")</f>
        <v/>
      </c>
      <c r="AC668" t="str">
        <f>IFERROR(H668&amp;"*"&amp;ROUND(L668*(I668/(G668+I668+K668))/VLOOKUP(H668,商品!$A$4:$D$67,4,FALSE),0),"")</f>
        <v/>
      </c>
      <c r="AD668" t="str">
        <f>IFERROR(J668&amp;"*"&amp;ROUND(L668*(K668/(G668+I668+K668))/VLOOKUP(J668,商品!$A$4:$D$67,4,FALSE),0),"")</f>
        <v/>
      </c>
      <c r="AE668" t="str">
        <f>IFERROR(M668&amp;"*"&amp;ROUND(Q668*(N668/(N668+P668))/VLOOKUP(M668,职业!$A$3:$E$16,4,FALSE),0),"")</f>
        <v/>
      </c>
      <c r="AF668" t="str">
        <f>IFERROR(O668&amp;"*"&amp;ROUND(Q668*(P668/(N668+P668))/VLOOKUP(O668,职业!$A$3:$E$16,4,FALSE),0),"")</f>
        <v/>
      </c>
      <c r="AG668" t="str">
        <f>IFERROR(R668&amp;"*"&amp;ROUND(V668*(S668/(S668+U668))/VLOOKUP(R668,商品!$A$4:$D$67,4,FALSE),0),"")</f>
        <v/>
      </c>
      <c r="AH668" t="str">
        <f>IFERROR(T668&amp;"*"&amp;ROUND(V668*(U668/(S668+U668))/VLOOKUP(T668,商品!$A$4:$D$67,4,FALSE),0),"")</f>
        <v/>
      </c>
    </row>
    <row r="669" customHeight="1" spans="1:34">
      <c r="A669" s="14" t="s">
        <v>408</v>
      </c>
      <c r="C669" s="2">
        <v>4</v>
      </c>
      <c r="D669" s="2" t="s">
        <v>260</v>
      </c>
      <c r="E669" s="2" t="s">
        <v>224</v>
      </c>
      <c r="L669" s="2">
        <f>IFERROR(VLOOKUP($D669&amp;$C669,生产方式定位!$A$2:$E$39,2,FALSE)+VLOOKUP($E669&amp;$C669,生产方式定位!$F$3:$J$39,2,FALSE),0)</f>
        <v>5500</v>
      </c>
      <c r="Q669" s="2">
        <f>IFERROR(VLOOKUP($D669&amp;$C669,生产方式定位!$A$2:$E$39,3,FALSE)+VLOOKUP($E669&amp;$C669,生产方式定位!$F$3:$J$39,3,FALSE),0)</f>
        <v>1800</v>
      </c>
      <c r="V669" s="2">
        <f>IFERROR(VLOOKUP($D669&amp;$C669,生产方式定位!$A$2:$E$39,5,FALSE)+VLOOKUP($E669&amp;$C669,生产方式定位!$F$3:$J$39,5,FALSE),"错误")</f>
        <v>4160</v>
      </c>
      <c r="W669" s="3" t="str">
        <f t="shared" si="50"/>
        <v/>
      </c>
      <c r="X669" s="4" t="str">
        <f t="shared" si="51"/>
        <v/>
      </c>
      <c r="Y669" s="4" t="str">
        <f t="shared" si="52"/>
        <v/>
      </c>
      <c r="Z669" s="5">
        <f t="shared" si="53"/>
        <v>1.32</v>
      </c>
      <c r="AA669" s="6">
        <f t="shared" si="54"/>
        <v>4</v>
      </c>
      <c r="AB669" t="str">
        <f>IFERROR(F669&amp;"*"&amp;ROUND(L669*(G669/(G669+I669+K669))/VLOOKUP(F669,商品!$A$4:$D$67,4,FALSE),0),"")</f>
        <v/>
      </c>
      <c r="AC669" t="str">
        <f>IFERROR(H669&amp;"*"&amp;ROUND(L669*(I669/(G669+I669+K669))/VLOOKUP(H669,商品!$A$4:$D$67,4,FALSE),0),"")</f>
        <v/>
      </c>
      <c r="AD669" t="str">
        <f>IFERROR(J669&amp;"*"&amp;ROUND(L669*(K669/(G669+I669+K669))/VLOOKUP(J669,商品!$A$4:$D$67,4,FALSE),0),"")</f>
        <v/>
      </c>
      <c r="AE669" t="str">
        <f>IFERROR(M669&amp;"*"&amp;ROUND(Q669*(N669/(N669+P669))/VLOOKUP(M669,职业!$A$3:$E$16,4,FALSE),0),"")</f>
        <v/>
      </c>
      <c r="AF669" t="str">
        <f>IFERROR(O669&amp;"*"&amp;ROUND(Q669*(P669/(N669+P669))/VLOOKUP(O669,职业!$A$3:$E$16,4,FALSE),0),"")</f>
        <v/>
      </c>
      <c r="AG669" t="str">
        <f>IFERROR(R669&amp;"*"&amp;ROUND(V669*(S669/(S669+U669))/VLOOKUP(R669,商品!$A$4:$D$67,4,FALSE),0),"")</f>
        <v/>
      </c>
      <c r="AH669" t="str">
        <f>IFERROR(T669&amp;"*"&amp;ROUND(V669*(U669/(S669+U669))/VLOOKUP(T669,商品!$A$4:$D$67,4,FALSE),0),"")</f>
        <v/>
      </c>
    </row>
    <row r="670" customHeight="1" spans="1:34">
      <c r="A670" s="14" t="s">
        <v>408</v>
      </c>
      <c r="C670" s="2">
        <v>5</v>
      </c>
      <c r="D670" s="2" t="s">
        <v>260</v>
      </c>
      <c r="E670" s="2" t="s">
        <v>224</v>
      </c>
      <c r="L670" s="2">
        <f>IFERROR(VLOOKUP($D670&amp;$C670,生产方式定位!$A$2:$E$39,2,FALSE)+VLOOKUP($E670&amp;$C670,生产方式定位!$F$3:$J$39,2,FALSE),0)</f>
        <v>7000</v>
      </c>
      <c r="Q670" s="2">
        <f>IFERROR(VLOOKUP($D670&amp;$C670,生产方式定位!$A$2:$E$39,3,FALSE)+VLOOKUP($E670&amp;$C670,生产方式定位!$F$3:$J$39,3,FALSE),0)</f>
        <v>1400</v>
      </c>
      <c r="V670" s="2">
        <f>IFERROR(VLOOKUP($D670&amp;$C670,生产方式定位!$A$2:$E$39,5,FALSE)+VLOOKUP($E670&amp;$C670,生产方式定位!$F$3:$J$39,5,FALSE),"错误")</f>
        <v>5040</v>
      </c>
      <c r="W670" s="3" t="str">
        <f t="shared" si="50"/>
        <v/>
      </c>
      <c r="X670" s="4" t="str">
        <f t="shared" si="51"/>
        <v/>
      </c>
      <c r="Y670" s="4" t="str">
        <f t="shared" si="52"/>
        <v/>
      </c>
      <c r="Z670" s="5">
        <f t="shared" si="53"/>
        <v>1.39</v>
      </c>
      <c r="AA670" s="6">
        <f t="shared" si="54"/>
        <v>5</v>
      </c>
      <c r="AB670" t="str">
        <f>IFERROR(F670&amp;"*"&amp;ROUND(L670*(G670/(G670+I670+K670))/VLOOKUP(F670,商品!$A$4:$D$67,4,FALSE),0),"")</f>
        <v/>
      </c>
      <c r="AC670" t="str">
        <f>IFERROR(H670&amp;"*"&amp;ROUND(L670*(I670/(G670+I670+K670))/VLOOKUP(H670,商品!$A$4:$D$67,4,FALSE),0),"")</f>
        <v/>
      </c>
      <c r="AD670" t="str">
        <f>IFERROR(J670&amp;"*"&amp;ROUND(L670*(K670/(G670+I670+K670))/VLOOKUP(J670,商品!$A$4:$D$67,4,FALSE),0),"")</f>
        <v/>
      </c>
      <c r="AE670" t="str">
        <f>IFERROR(M670&amp;"*"&amp;ROUND(Q670*(N670/(N670+P670))/VLOOKUP(M670,职业!$A$3:$E$16,4,FALSE),0),"")</f>
        <v/>
      </c>
      <c r="AF670" t="str">
        <f>IFERROR(O670&amp;"*"&amp;ROUND(Q670*(P670/(N670+P670))/VLOOKUP(O670,职业!$A$3:$E$16,4,FALSE),0),"")</f>
        <v/>
      </c>
      <c r="AG670" t="str">
        <f>IFERROR(R670&amp;"*"&amp;ROUND(V670*(S670/(S670+U670))/VLOOKUP(R670,商品!$A$4:$D$67,4,FALSE),0),"")</f>
        <v/>
      </c>
      <c r="AH670" t="str">
        <f>IFERROR(T670&amp;"*"&amp;ROUND(V670*(U670/(S670+U670))/VLOOKUP(T670,商品!$A$4:$D$67,4,FALSE),0),"")</f>
        <v/>
      </c>
    </row>
    <row r="671" customHeight="1" spans="1:34">
      <c r="A671" s="14" t="s">
        <v>408</v>
      </c>
      <c r="C671" s="2">
        <v>1</v>
      </c>
      <c r="D671" s="2" t="s">
        <v>260</v>
      </c>
      <c r="E671" s="2" t="s">
        <v>224</v>
      </c>
      <c r="L671" s="2">
        <f>IFERROR(VLOOKUP($D671&amp;$C671,生产方式定位!$A$2:$E$39,2,FALSE)+VLOOKUP($E671&amp;$C671,生产方式定位!$F$3:$J$39,2,FALSE),0)</f>
        <v>0</v>
      </c>
      <c r="Q671" s="2">
        <f>IFERROR(VLOOKUP($D671&amp;$C671,生产方式定位!$A$2:$E$39,3,FALSE)+VLOOKUP($E671&amp;$C671,生产方式定位!$F$3:$J$39,3,FALSE),0)</f>
        <v>3000</v>
      </c>
      <c r="V671" s="2">
        <f>IFERROR(VLOOKUP($D671&amp;$C671,生产方式定位!$A$2:$E$39,5,FALSE)+VLOOKUP($E671&amp;$C671,生产方式定位!$F$3:$J$39,5,FALSE),"错误")</f>
        <v>1500</v>
      </c>
      <c r="W671" s="3" t="str">
        <f t="shared" si="50"/>
        <v/>
      </c>
      <c r="X671" s="4" t="str">
        <f t="shared" si="51"/>
        <v/>
      </c>
      <c r="Y671" s="4" t="str">
        <f t="shared" si="52"/>
        <v/>
      </c>
      <c r="Z671" s="5">
        <f t="shared" si="53"/>
        <v>0</v>
      </c>
      <c r="AA671" s="6">
        <f t="shared" si="54"/>
        <v>1</v>
      </c>
      <c r="AB671" t="str">
        <f>IFERROR(F671&amp;"*"&amp;ROUND(L671*(G671/(G671+I671+K671))/VLOOKUP(F671,商品!$A$4:$D$67,4,FALSE),0),"")</f>
        <v/>
      </c>
      <c r="AC671" t="str">
        <f>IFERROR(H671&amp;"*"&amp;ROUND(L671*(I671/(G671+I671+K671))/VLOOKUP(H671,商品!$A$4:$D$67,4,FALSE),0),"")</f>
        <v/>
      </c>
      <c r="AD671" t="str">
        <f>IFERROR(J671&amp;"*"&amp;ROUND(L671*(K671/(G671+I671+K671))/VLOOKUP(J671,商品!$A$4:$D$67,4,FALSE),0),"")</f>
        <v/>
      </c>
      <c r="AE671" t="str">
        <f>IFERROR(M671&amp;"*"&amp;ROUND(Q671*(N671/(N671+P671))/VLOOKUP(M671,职业!$A$3:$E$16,4,FALSE),0),"")</f>
        <v/>
      </c>
      <c r="AF671" t="str">
        <f>IFERROR(O671&amp;"*"&amp;ROUND(Q671*(P671/(N671+P671))/VLOOKUP(O671,职业!$A$3:$E$16,4,FALSE),0),"")</f>
        <v/>
      </c>
      <c r="AG671" t="str">
        <f>IFERROR(R671&amp;"*"&amp;ROUND(V671*(S671/(S671+U671))/VLOOKUP(R671,商品!$A$4:$D$67,4,FALSE),0),"")</f>
        <v/>
      </c>
      <c r="AH671" t="str">
        <f>IFERROR(T671&amp;"*"&amp;ROUND(V671*(U671/(S671+U671))/VLOOKUP(T671,商品!$A$4:$D$67,4,FALSE),0),"")</f>
        <v/>
      </c>
    </row>
    <row r="672" customHeight="1" spans="1:34">
      <c r="A672" s="14" t="s">
        <v>408</v>
      </c>
      <c r="C672" s="2">
        <v>2</v>
      </c>
      <c r="D672" s="2" t="s">
        <v>260</v>
      </c>
      <c r="E672" s="2" t="s">
        <v>224</v>
      </c>
      <c r="L672" s="2">
        <f>IFERROR(VLOOKUP($D672&amp;$C672,生产方式定位!$A$2:$E$39,2,FALSE)+VLOOKUP($E672&amp;$C672,生产方式定位!$F$3:$J$39,2,FALSE),0)</f>
        <v>2500</v>
      </c>
      <c r="Q672" s="2">
        <f>IFERROR(VLOOKUP($D672&amp;$C672,生产方式定位!$A$2:$E$39,3,FALSE)+VLOOKUP($E672&amp;$C672,生产方式定位!$F$3:$J$39,3,FALSE),0)</f>
        <v>2600</v>
      </c>
      <c r="V672" s="2">
        <f>IFERROR(VLOOKUP($D672&amp;$C672,生产方式定位!$A$2:$E$39,5,FALSE)+VLOOKUP($E672&amp;$C672,生产方式定位!$F$3:$J$39,5,FALSE),"错误")</f>
        <v>2640</v>
      </c>
      <c r="W672" s="3" t="str">
        <f t="shared" si="50"/>
        <v/>
      </c>
      <c r="X672" s="4" t="str">
        <f t="shared" si="51"/>
        <v/>
      </c>
      <c r="Y672" s="4" t="str">
        <f t="shared" si="52"/>
        <v/>
      </c>
      <c r="Z672" s="5">
        <f t="shared" si="53"/>
        <v>0.95</v>
      </c>
      <c r="AA672" s="6">
        <f t="shared" si="54"/>
        <v>2</v>
      </c>
      <c r="AB672" t="str">
        <f>IFERROR(F672&amp;"*"&amp;ROUND(L672*(G672/(G672+I672+K672))/VLOOKUP(F672,商品!$A$4:$D$67,4,FALSE),0),"")</f>
        <v/>
      </c>
      <c r="AC672" t="str">
        <f>IFERROR(H672&amp;"*"&amp;ROUND(L672*(I672/(G672+I672+K672))/VLOOKUP(H672,商品!$A$4:$D$67,4,FALSE),0),"")</f>
        <v/>
      </c>
      <c r="AD672" t="str">
        <f>IFERROR(J672&amp;"*"&amp;ROUND(L672*(K672/(G672+I672+K672))/VLOOKUP(J672,商品!$A$4:$D$67,4,FALSE),0),"")</f>
        <v/>
      </c>
      <c r="AE672" t="str">
        <f>IFERROR(M672&amp;"*"&amp;ROUND(Q672*(N672/(N672+P672))/VLOOKUP(M672,职业!$A$3:$E$16,4,FALSE),0),"")</f>
        <v/>
      </c>
      <c r="AF672" t="str">
        <f>IFERROR(O672&amp;"*"&amp;ROUND(Q672*(P672/(N672+P672))/VLOOKUP(O672,职业!$A$3:$E$16,4,FALSE),0),"")</f>
        <v/>
      </c>
      <c r="AG672" t="str">
        <f>IFERROR(R672&amp;"*"&amp;ROUND(V672*(S672/(S672+U672))/VLOOKUP(R672,商品!$A$4:$D$67,4,FALSE),0),"")</f>
        <v/>
      </c>
      <c r="AH672" t="str">
        <f>IFERROR(T672&amp;"*"&amp;ROUND(V672*(U672/(S672+U672))/VLOOKUP(T672,商品!$A$4:$D$67,4,FALSE),0),"")</f>
        <v/>
      </c>
    </row>
    <row r="673" customHeight="1" spans="1:34">
      <c r="A673" s="14" t="s">
        <v>408</v>
      </c>
      <c r="C673" s="2">
        <v>3</v>
      </c>
      <c r="D673" s="2" t="s">
        <v>260</v>
      </c>
      <c r="E673" s="2" t="s">
        <v>224</v>
      </c>
      <c r="L673" s="2">
        <f>IFERROR(VLOOKUP($D673&amp;$C673,生产方式定位!$A$2:$E$39,2,FALSE)+VLOOKUP($E673&amp;$C673,生产方式定位!$F$3:$J$39,2,FALSE),0)</f>
        <v>4000</v>
      </c>
      <c r="Q673" s="2">
        <f>IFERROR(VLOOKUP($D673&amp;$C673,生产方式定位!$A$2:$E$39,3,FALSE)+VLOOKUP($E673&amp;$C673,生产方式定位!$F$3:$J$39,3,FALSE),0)</f>
        <v>2200</v>
      </c>
      <c r="V673" s="2">
        <f>IFERROR(VLOOKUP($D673&amp;$C673,生产方式定位!$A$2:$E$39,5,FALSE)+VLOOKUP($E673&amp;$C673,生产方式定位!$F$3:$J$39,5,FALSE),"错误")</f>
        <v>3360</v>
      </c>
      <c r="W673" s="3" t="str">
        <f t="shared" si="50"/>
        <v/>
      </c>
      <c r="X673" s="4" t="str">
        <f t="shared" si="51"/>
        <v/>
      </c>
      <c r="Y673" s="4" t="str">
        <f t="shared" si="52"/>
        <v/>
      </c>
      <c r="Z673" s="5">
        <f t="shared" si="53"/>
        <v>1.19</v>
      </c>
      <c r="AA673" s="6">
        <f t="shared" si="54"/>
        <v>3</v>
      </c>
      <c r="AB673" t="str">
        <f>IFERROR(F673&amp;"*"&amp;ROUND(L673*(G673/(G673+I673+K673))/VLOOKUP(F673,商品!$A$4:$D$67,4,FALSE),0),"")</f>
        <v/>
      </c>
      <c r="AC673" t="str">
        <f>IFERROR(H673&amp;"*"&amp;ROUND(L673*(I673/(G673+I673+K673))/VLOOKUP(H673,商品!$A$4:$D$67,4,FALSE),0),"")</f>
        <v/>
      </c>
      <c r="AD673" t="str">
        <f>IFERROR(J673&amp;"*"&amp;ROUND(L673*(K673/(G673+I673+K673))/VLOOKUP(J673,商品!$A$4:$D$67,4,FALSE),0),"")</f>
        <v/>
      </c>
      <c r="AE673" t="str">
        <f>IFERROR(M673&amp;"*"&amp;ROUND(Q673*(N673/(N673+P673))/VLOOKUP(M673,职业!$A$3:$E$16,4,FALSE),0),"")</f>
        <v/>
      </c>
      <c r="AF673" t="str">
        <f>IFERROR(O673&amp;"*"&amp;ROUND(Q673*(P673/(N673+P673))/VLOOKUP(O673,职业!$A$3:$E$16,4,FALSE),0),"")</f>
        <v/>
      </c>
      <c r="AG673" t="str">
        <f>IFERROR(R673&amp;"*"&amp;ROUND(V673*(S673/(S673+U673))/VLOOKUP(R673,商品!$A$4:$D$67,4,FALSE),0),"")</f>
        <v/>
      </c>
      <c r="AH673" t="str">
        <f>IFERROR(T673&amp;"*"&amp;ROUND(V673*(U673/(S673+U673))/VLOOKUP(T673,商品!$A$4:$D$67,4,FALSE),0),"")</f>
        <v/>
      </c>
    </row>
    <row r="674" customHeight="1" spans="1:34">
      <c r="A674" s="15" t="s">
        <v>409</v>
      </c>
      <c r="C674" s="2">
        <v>4</v>
      </c>
      <c r="D674" s="2" t="s">
        <v>260</v>
      </c>
      <c r="E674" s="2" t="s">
        <v>225</v>
      </c>
      <c r="L674" s="2">
        <f>IFERROR(VLOOKUP($D674&amp;$C674,生产方式定位!$A$2:$E$39,2,FALSE)+VLOOKUP($E674&amp;$C674,生产方式定位!$F$3:$J$39,2,FALSE),0)</f>
        <v>1500</v>
      </c>
      <c r="Q674" s="2">
        <f>IFERROR(VLOOKUP($D674&amp;$C674,生产方式定位!$A$2:$E$39,3,FALSE)+VLOOKUP($E674&amp;$C674,生产方式定位!$F$3:$J$39,3,FALSE),0)</f>
        <v>2400</v>
      </c>
      <c r="V674" s="2">
        <f>IFERROR(VLOOKUP($D674&amp;$C674,生产方式定位!$A$2:$E$39,5,FALSE)+VLOOKUP($E674&amp;$C674,生产方式定位!$F$3:$J$39,5,FALSE),"错误")</f>
        <v>1950</v>
      </c>
      <c r="W674" s="3" t="str">
        <f t="shared" si="50"/>
        <v/>
      </c>
      <c r="X674" s="4" t="str">
        <f t="shared" si="51"/>
        <v/>
      </c>
      <c r="Y674" s="4" t="str">
        <f t="shared" si="52"/>
        <v/>
      </c>
      <c r="Z674" s="5">
        <f t="shared" si="53"/>
        <v>0.77</v>
      </c>
      <c r="AA674" s="6">
        <f t="shared" si="54"/>
        <v>4</v>
      </c>
      <c r="AB674" t="str">
        <f>IFERROR(F674&amp;"*"&amp;ROUND(L674*(G674/(G674+I674+K674))/VLOOKUP(F674,商品!$A$4:$D$67,4,FALSE),0),"")</f>
        <v/>
      </c>
      <c r="AC674" t="str">
        <f>IFERROR(H674&amp;"*"&amp;ROUND(L674*(I674/(G674+I674+K674))/VLOOKUP(H674,商品!$A$4:$D$67,4,FALSE),0),"")</f>
        <v/>
      </c>
      <c r="AD674" t="str">
        <f>IFERROR(J674&amp;"*"&amp;ROUND(L674*(K674/(G674+I674+K674))/VLOOKUP(J674,商品!$A$4:$D$67,4,FALSE),0),"")</f>
        <v/>
      </c>
      <c r="AE674" t="str">
        <f>IFERROR(M674&amp;"*"&amp;ROUND(Q674*(N674/(N674+P674))/VLOOKUP(M674,职业!$A$3:$E$16,4,FALSE),0),"")</f>
        <v/>
      </c>
      <c r="AF674" t="str">
        <f>IFERROR(O674&amp;"*"&amp;ROUND(Q674*(P674/(N674+P674))/VLOOKUP(O674,职业!$A$3:$E$16,4,FALSE),0),"")</f>
        <v/>
      </c>
      <c r="AG674" t="str">
        <f>IFERROR(R674&amp;"*"&amp;ROUND(V674*(S674/(S674+U674))/VLOOKUP(R674,商品!$A$4:$D$67,4,FALSE),0),"")</f>
        <v/>
      </c>
      <c r="AH674" t="str">
        <f>IFERROR(T674&amp;"*"&amp;ROUND(V674*(U674/(S674+U674))/VLOOKUP(T674,商品!$A$4:$D$67,4,FALSE),0),"")</f>
        <v/>
      </c>
    </row>
    <row r="675" customHeight="1" spans="1:34">
      <c r="A675" s="15" t="s">
        <v>409</v>
      </c>
      <c r="C675" s="2">
        <v>5</v>
      </c>
      <c r="D675" s="2" t="s">
        <v>260</v>
      </c>
      <c r="E675" s="2" t="s">
        <v>225</v>
      </c>
      <c r="L675" s="2">
        <f>IFERROR(VLOOKUP($D675&amp;$C675,生产方式定位!$A$2:$E$39,2,FALSE)+VLOOKUP($E675&amp;$C675,生产方式定位!$F$3:$J$39,2,FALSE),0)</f>
        <v>2000</v>
      </c>
      <c r="Q675" s="2">
        <f>IFERROR(VLOOKUP($D675&amp;$C675,生产方式定位!$A$2:$E$39,3,FALSE)+VLOOKUP($E675&amp;$C675,生产方式定位!$F$3:$J$39,3,FALSE),0)</f>
        <v>2200</v>
      </c>
      <c r="V675" s="2">
        <f>IFERROR(VLOOKUP($D675&amp;$C675,生产方式定位!$A$2:$E$39,5,FALSE)+VLOOKUP($E675&amp;$C675,生产方式定位!$F$3:$J$39,5,FALSE),"错误")</f>
        <v>2100</v>
      </c>
      <c r="W675" s="3" t="str">
        <f t="shared" si="50"/>
        <v/>
      </c>
      <c r="X675" s="4" t="str">
        <f t="shared" si="51"/>
        <v/>
      </c>
      <c r="Y675" s="4" t="str">
        <f t="shared" si="52"/>
        <v/>
      </c>
      <c r="Z675" s="5">
        <f t="shared" si="53"/>
        <v>0.95</v>
      </c>
      <c r="AA675" s="6">
        <f t="shared" si="54"/>
        <v>5</v>
      </c>
      <c r="AB675" t="str">
        <f>IFERROR(F675&amp;"*"&amp;ROUND(L675*(G675/(G675+I675+K675))/VLOOKUP(F675,商品!$A$4:$D$67,4,FALSE),0),"")</f>
        <v/>
      </c>
      <c r="AC675" t="str">
        <f>IFERROR(H675&amp;"*"&amp;ROUND(L675*(I675/(G675+I675+K675))/VLOOKUP(H675,商品!$A$4:$D$67,4,FALSE),0),"")</f>
        <v/>
      </c>
      <c r="AD675" t="str">
        <f>IFERROR(J675&amp;"*"&amp;ROUND(L675*(K675/(G675+I675+K675))/VLOOKUP(J675,商品!$A$4:$D$67,4,FALSE),0),"")</f>
        <v/>
      </c>
      <c r="AE675" t="str">
        <f>IFERROR(M675&amp;"*"&amp;ROUND(Q675*(N675/(N675+P675))/VLOOKUP(M675,职业!$A$3:$E$16,4,FALSE),0),"")</f>
        <v/>
      </c>
      <c r="AF675" t="str">
        <f>IFERROR(O675&amp;"*"&amp;ROUND(Q675*(P675/(N675+P675))/VLOOKUP(O675,职业!$A$3:$E$16,4,FALSE),0),"")</f>
        <v/>
      </c>
      <c r="AG675" t="str">
        <f>IFERROR(R675&amp;"*"&amp;ROUND(V675*(S675/(S675+U675))/VLOOKUP(R675,商品!$A$4:$D$67,4,FALSE),0),"")</f>
        <v/>
      </c>
      <c r="AH675" t="str">
        <f>IFERROR(T675&amp;"*"&amp;ROUND(V675*(U675/(S675+U675))/VLOOKUP(T675,商品!$A$4:$D$67,4,FALSE),0),"")</f>
        <v/>
      </c>
    </row>
    <row r="676" customHeight="1" spans="1:34">
      <c r="A676" s="15" t="s">
        <v>409</v>
      </c>
      <c r="C676" s="2">
        <v>1</v>
      </c>
      <c r="D676" s="2" t="s">
        <v>260</v>
      </c>
      <c r="E676" s="2" t="s">
        <v>225</v>
      </c>
      <c r="L676" s="2">
        <f>IFERROR(VLOOKUP($D676&amp;$C676,生产方式定位!$A$2:$E$39,2,FALSE)+VLOOKUP($E676&amp;$C676,生产方式定位!$F$3:$J$39,2,FALSE),0)</f>
        <v>0</v>
      </c>
      <c r="Q676" s="2">
        <f>IFERROR(VLOOKUP($D676&amp;$C676,生产方式定位!$A$2:$E$39,3,FALSE)+VLOOKUP($E676&amp;$C676,生产方式定位!$F$3:$J$39,3,FALSE),0)</f>
        <v>3000</v>
      </c>
      <c r="V676" s="2">
        <f>IFERROR(VLOOKUP($D676&amp;$C676,生产方式定位!$A$2:$E$39,5,FALSE)+VLOOKUP($E676&amp;$C676,生产方式定位!$F$3:$J$39,5,FALSE),"错误")</f>
        <v>1500</v>
      </c>
      <c r="W676" s="3" t="str">
        <f t="shared" si="50"/>
        <v/>
      </c>
      <c r="X676" s="4" t="str">
        <f t="shared" si="51"/>
        <v/>
      </c>
      <c r="Y676" s="4" t="str">
        <f t="shared" si="52"/>
        <v/>
      </c>
      <c r="Z676" s="5">
        <f t="shared" si="53"/>
        <v>0</v>
      </c>
      <c r="AA676" s="6">
        <f t="shared" si="54"/>
        <v>1</v>
      </c>
      <c r="AB676" t="str">
        <f>IFERROR(F676&amp;"*"&amp;ROUND(L676*(G676/(G676+I676+K676))/VLOOKUP(F676,商品!$A$4:$D$67,4,FALSE),0),"")</f>
        <v/>
      </c>
      <c r="AC676" t="str">
        <f>IFERROR(H676&amp;"*"&amp;ROUND(L676*(I676/(G676+I676+K676))/VLOOKUP(H676,商品!$A$4:$D$67,4,FALSE),0),"")</f>
        <v/>
      </c>
      <c r="AD676" t="str">
        <f>IFERROR(J676&amp;"*"&amp;ROUND(L676*(K676/(G676+I676+K676))/VLOOKUP(J676,商品!$A$4:$D$67,4,FALSE),0),"")</f>
        <v/>
      </c>
      <c r="AE676" t="str">
        <f>IFERROR(M676&amp;"*"&amp;ROUND(Q676*(N676/(N676+P676))/VLOOKUP(M676,职业!$A$3:$E$16,4,FALSE),0),"")</f>
        <v/>
      </c>
      <c r="AF676" t="str">
        <f>IFERROR(O676&amp;"*"&amp;ROUND(Q676*(P676/(N676+P676))/VLOOKUP(O676,职业!$A$3:$E$16,4,FALSE),0),"")</f>
        <v/>
      </c>
      <c r="AG676" t="str">
        <f>IFERROR(R676&amp;"*"&amp;ROUND(V676*(S676/(S676+U676))/VLOOKUP(R676,商品!$A$4:$D$67,4,FALSE),0),"")</f>
        <v/>
      </c>
      <c r="AH676" t="str">
        <f>IFERROR(T676&amp;"*"&amp;ROUND(V676*(U676/(S676+U676))/VLOOKUP(T676,商品!$A$4:$D$67,4,FALSE),0),"")</f>
        <v/>
      </c>
    </row>
    <row r="677" customHeight="1" spans="1:34">
      <c r="A677" s="15" t="s">
        <v>409</v>
      </c>
      <c r="C677" s="2">
        <v>2</v>
      </c>
      <c r="D677" s="2" t="s">
        <v>260</v>
      </c>
      <c r="E677" s="2" t="s">
        <v>225</v>
      </c>
      <c r="L677" s="2">
        <f>IFERROR(VLOOKUP($D677&amp;$C677,生产方式定位!$A$2:$E$39,2,FALSE)+VLOOKUP($E677&amp;$C677,生产方式定位!$F$3:$J$39,2,FALSE),0)</f>
        <v>500</v>
      </c>
      <c r="Q677" s="2">
        <f>IFERROR(VLOOKUP($D677&amp;$C677,生产方式定位!$A$2:$E$39,3,FALSE)+VLOOKUP($E677&amp;$C677,生产方式定位!$F$3:$J$39,3,FALSE),0)</f>
        <v>2800</v>
      </c>
      <c r="V677" s="2">
        <f>IFERROR(VLOOKUP($D677&amp;$C677,生产方式定位!$A$2:$E$39,5,FALSE)+VLOOKUP($E677&amp;$C677,生产方式定位!$F$3:$J$39,5,FALSE),"错误")</f>
        <v>1650</v>
      </c>
      <c r="W677" s="3" t="str">
        <f t="shared" si="50"/>
        <v/>
      </c>
      <c r="X677" s="4" t="str">
        <f t="shared" si="51"/>
        <v/>
      </c>
      <c r="Y677" s="4" t="str">
        <f t="shared" si="52"/>
        <v/>
      </c>
      <c r="Z677" s="5">
        <f t="shared" si="53"/>
        <v>0.3</v>
      </c>
      <c r="AA677" s="6">
        <f t="shared" si="54"/>
        <v>2</v>
      </c>
      <c r="AB677" t="str">
        <f>IFERROR(F677&amp;"*"&amp;ROUND(L677*(G677/(G677+I677+K677))/VLOOKUP(F677,商品!$A$4:$D$67,4,FALSE),0),"")</f>
        <v/>
      </c>
      <c r="AC677" t="str">
        <f>IFERROR(H677&amp;"*"&amp;ROUND(L677*(I677/(G677+I677+K677))/VLOOKUP(H677,商品!$A$4:$D$67,4,FALSE),0),"")</f>
        <v/>
      </c>
      <c r="AD677" t="str">
        <f>IFERROR(J677&amp;"*"&amp;ROUND(L677*(K677/(G677+I677+K677))/VLOOKUP(J677,商品!$A$4:$D$67,4,FALSE),0),"")</f>
        <v/>
      </c>
      <c r="AE677" t="str">
        <f>IFERROR(M677&amp;"*"&amp;ROUND(Q677*(N677/(N677+P677))/VLOOKUP(M677,职业!$A$3:$E$16,4,FALSE),0),"")</f>
        <v/>
      </c>
      <c r="AF677" t="str">
        <f>IFERROR(O677&amp;"*"&amp;ROUND(Q677*(P677/(N677+P677))/VLOOKUP(O677,职业!$A$3:$E$16,4,FALSE),0),"")</f>
        <v/>
      </c>
      <c r="AG677" t="str">
        <f>IFERROR(R677&amp;"*"&amp;ROUND(V677*(S677/(S677+U677))/VLOOKUP(R677,商品!$A$4:$D$67,4,FALSE),0),"")</f>
        <v/>
      </c>
      <c r="AH677" t="str">
        <f>IFERROR(T677&amp;"*"&amp;ROUND(V677*(U677/(S677+U677))/VLOOKUP(T677,商品!$A$4:$D$67,4,FALSE),0),"")</f>
        <v/>
      </c>
    </row>
    <row r="678" customHeight="1" spans="1:34">
      <c r="A678" s="15" t="s">
        <v>409</v>
      </c>
      <c r="C678" s="2">
        <v>3</v>
      </c>
      <c r="D678" s="2" t="s">
        <v>260</v>
      </c>
      <c r="E678" s="2" t="s">
        <v>225</v>
      </c>
      <c r="L678" s="2">
        <f>IFERROR(VLOOKUP($D678&amp;$C678,生产方式定位!$A$2:$E$39,2,FALSE)+VLOOKUP($E678&amp;$C678,生产方式定位!$F$3:$J$39,2,FALSE),0)</f>
        <v>1000</v>
      </c>
      <c r="Q678" s="2">
        <f>IFERROR(VLOOKUP($D678&amp;$C678,生产方式定位!$A$2:$E$39,3,FALSE)+VLOOKUP($E678&amp;$C678,生产方式定位!$F$3:$J$39,3,FALSE),0)</f>
        <v>2600</v>
      </c>
      <c r="V678" s="2">
        <f>IFERROR(VLOOKUP($D678&amp;$C678,生产方式定位!$A$2:$E$39,5,FALSE)+VLOOKUP($E678&amp;$C678,生产方式定位!$F$3:$J$39,5,FALSE),"错误")</f>
        <v>1800</v>
      </c>
      <c r="W678" s="3" t="str">
        <f t="shared" si="50"/>
        <v/>
      </c>
      <c r="X678" s="4" t="str">
        <f t="shared" si="51"/>
        <v/>
      </c>
      <c r="Y678" s="4" t="str">
        <f t="shared" si="52"/>
        <v/>
      </c>
      <c r="Z678" s="5">
        <f t="shared" si="53"/>
        <v>0.56</v>
      </c>
      <c r="AA678" s="6">
        <f t="shared" si="54"/>
        <v>3</v>
      </c>
      <c r="AB678" t="str">
        <f>IFERROR(F678&amp;"*"&amp;ROUND(L678*(G678/(G678+I678+K678))/VLOOKUP(F678,商品!$A$4:$D$67,4,FALSE),0),"")</f>
        <v/>
      </c>
      <c r="AC678" t="str">
        <f>IFERROR(H678&amp;"*"&amp;ROUND(L678*(I678/(G678+I678+K678))/VLOOKUP(H678,商品!$A$4:$D$67,4,FALSE),0),"")</f>
        <v/>
      </c>
      <c r="AD678" t="str">
        <f>IFERROR(J678&amp;"*"&amp;ROUND(L678*(K678/(G678+I678+K678))/VLOOKUP(J678,商品!$A$4:$D$67,4,FALSE),0),"")</f>
        <v/>
      </c>
      <c r="AE678" t="str">
        <f>IFERROR(M678&amp;"*"&amp;ROUND(Q678*(N678/(N678+P678))/VLOOKUP(M678,职业!$A$3:$E$16,4,FALSE),0),"")</f>
        <v/>
      </c>
      <c r="AF678" t="str">
        <f>IFERROR(O678&amp;"*"&amp;ROUND(Q678*(P678/(N678+P678))/VLOOKUP(O678,职业!$A$3:$E$16,4,FALSE),0),"")</f>
        <v/>
      </c>
      <c r="AG678" t="str">
        <f>IFERROR(R678&amp;"*"&amp;ROUND(V678*(S678/(S678+U678))/VLOOKUP(R678,商品!$A$4:$D$67,4,FALSE),0),"")</f>
        <v/>
      </c>
      <c r="AH678" t="str">
        <f>IFERROR(T678&amp;"*"&amp;ROUND(V678*(U678/(S678+U678))/VLOOKUP(T678,商品!$A$4:$D$67,4,FALSE),0),"")</f>
        <v/>
      </c>
    </row>
    <row r="679" customHeight="1" spans="1:34">
      <c r="A679" s="15" t="s">
        <v>409</v>
      </c>
      <c r="C679" s="2">
        <v>4</v>
      </c>
      <c r="D679" s="2" t="s">
        <v>260</v>
      </c>
      <c r="E679" s="2" t="s">
        <v>225</v>
      </c>
      <c r="L679" s="2">
        <f>IFERROR(VLOOKUP($D679&amp;$C679,生产方式定位!$A$2:$E$39,2,FALSE)+VLOOKUP($E679&amp;$C679,生产方式定位!$F$3:$J$39,2,FALSE),0)</f>
        <v>1500</v>
      </c>
      <c r="Q679" s="2">
        <f>IFERROR(VLOOKUP($D679&amp;$C679,生产方式定位!$A$2:$E$39,3,FALSE)+VLOOKUP($E679&amp;$C679,生产方式定位!$F$3:$J$39,3,FALSE),0)</f>
        <v>2400</v>
      </c>
      <c r="V679" s="2">
        <f>IFERROR(VLOOKUP($D679&amp;$C679,生产方式定位!$A$2:$E$39,5,FALSE)+VLOOKUP($E679&amp;$C679,生产方式定位!$F$3:$J$39,5,FALSE),"错误")</f>
        <v>1950</v>
      </c>
      <c r="W679" s="3" t="str">
        <f t="shared" si="50"/>
        <v/>
      </c>
      <c r="X679" s="4" t="str">
        <f t="shared" si="51"/>
        <v/>
      </c>
      <c r="Y679" s="4" t="str">
        <f t="shared" si="52"/>
        <v/>
      </c>
      <c r="Z679" s="5">
        <f t="shared" si="53"/>
        <v>0.77</v>
      </c>
      <c r="AA679" s="6">
        <f t="shared" si="54"/>
        <v>4</v>
      </c>
      <c r="AB679" t="str">
        <f>IFERROR(F679&amp;"*"&amp;ROUND(L679*(G679/(G679+I679+K679))/VLOOKUP(F679,商品!$A$4:$D$67,4,FALSE),0),"")</f>
        <v/>
      </c>
      <c r="AC679" t="str">
        <f>IFERROR(H679&amp;"*"&amp;ROUND(L679*(I679/(G679+I679+K679))/VLOOKUP(H679,商品!$A$4:$D$67,4,FALSE),0),"")</f>
        <v/>
      </c>
      <c r="AD679" t="str">
        <f>IFERROR(J679&amp;"*"&amp;ROUND(L679*(K679/(G679+I679+K679))/VLOOKUP(J679,商品!$A$4:$D$67,4,FALSE),0),"")</f>
        <v/>
      </c>
      <c r="AE679" t="str">
        <f>IFERROR(M679&amp;"*"&amp;ROUND(Q679*(N679/(N679+P679))/VLOOKUP(M679,职业!$A$3:$E$16,4,FALSE),0),"")</f>
        <v/>
      </c>
      <c r="AF679" t="str">
        <f>IFERROR(O679&amp;"*"&amp;ROUND(Q679*(P679/(N679+P679))/VLOOKUP(O679,职业!$A$3:$E$16,4,FALSE),0),"")</f>
        <v/>
      </c>
      <c r="AG679" t="str">
        <f>IFERROR(R679&amp;"*"&amp;ROUND(V679*(S679/(S679+U679))/VLOOKUP(R679,商品!$A$4:$D$67,4,FALSE),0),"")</f>
        <v/>
      </c>
      <c r="AH679" t="str">
        <f>IFERROR(T679&amp;"*"&amp;ROUND(V679*(U679/(S679+U679))/VLOOKUP(T679,商品!$A$4:$D$67,4,FALSE),0),"")</f>
        <v/>
      </c>
    </row>
    <row r="680" customHeight="1" spans="1:34">
      <c r="A680" s="15" t="s">
        <v>409</v>
      </c>
      <c r="C680" s="2">
        <v>5</v>
      </c>
      <c r="D680" s="2" t="s">
        <v>260</v>
      </c>
      <c r="E680" s="2" t="s">
        <v>225</v>
      </c>
      <c r="L680" s="2">
        <f>IFERROR(VLOOKUP($D680&amp;$C680,生产方式定位!$A$2:$E$39,2,FALSE)+VLOOKUP($E680&amp;$C680,生产方式定位!$F$3:$J$39,2,FALSE),0)</f>
        <v>2000</v>
      </c>
      <c r="Q680" s="2">
        <f>IFERROR(VLOOKUP($D680&amp;$C680,生产方式定位!$A$2:$E$39,3,FALSE)+VLOOKUP($E680&amp;$C680,生产方式定位!$F$3:$J$39,3,FALSE),0)</f>
        <v>2200</v>
      </c>
      <c r="V680" s="2">
        <f>IFERROR(VLOOKUP($D680&amp;$C680,生产方式定位!$A$2:$E$39,5,FALSE)+VLOOKUP($E680&amp;$C680,生产方式定位!$F$3:$J$39,5,FALSE),"错误")</f>
        <v>2100</v>
      </c>
      <c r="W680" s="3" t="str">
        <f t="shared" si="50"/>
        <v/>
      </c>
      <c r="X680" s="4" t="str">
        <f t="shared" si="51"/>
        <v/>
      </c>
      <c r="Y680" s="4" t="str">
        <f t="shared" si="52"/>
        <v/>
      </c>
      <c r="Z680" s="5">
        <f t="shared" si="53"/>
        <v>0.95</v>
      </c>
      <c r="AA680" s="6">
        <f t="shared" si="54"/>
        <v>5</v>
      </c>
      <c r="AB680" t="str">
        <f>IFERROR(F680&amp;"*"&amp;ROUND(L680*(G680/(G680+I680+K680))/VLOOKUP(F680,商品!$A$4:$D$67,4,FALSE),0),"")</f>
        <v/>
      </c>
      <c r="AC680" t="str">
        <f>IFERROR(H680&amp;"*"&amp;ROUND(L680*(I680/(G680+I680+K680))/VLOOKUP(H680,商品!$A$4:$D$67,4,FALSE),0),"")</f>
        <v/>
      </c>
      <c r="AD680" t="str">
        <f>IFERROR(J680&amp;"*"&amp;ROUND(L680*(K680/(G680+I680+K680))/VLOOKUP(J680,商品!$A$4:$D$67,4,FALSE),0),"")</f>
        <v/>
      </c>
      <c r="AE680" t="str">
        <f>IFERROR(M680&amp;"*"&amp;ROUND(Q680*(N680/(N680+P680))/VLOOKUP(M680,职业!$A$3:$E$16,4,FALSE),0),"")</f>
        <v/>
      </c>
      <c r="AF680" t="str">
        <f>IFERROR(O680&amp;"*"&amp;ROUND(Q680*(P680/(N680+P680))/VLOOKUP(O680,职业!$A$3:$E$16,4,FALSE),0),"")</f>
        <v/>
      </c>
      <c r="AG680" t="str">
        <f>IFERROR(R680&amp;"*"&amp;ROUND(V680*(S680/(S680+U680))/VLOOKUP(R680,商品!$A$4:$D$67,4,FALSE),0),"")</f>
        <v/>
      </c>
      <c r="AH680" t="str">
        <f>IFERROR(T680&amp;"*"&amp;ROUND(V680*(U680/(S680+U680))/VLOOKUP(T680,商品!$A$4:$D$67,4,FALSE),0),"")</f>
        <v/>
      </c>
    </row>
    <row r="681" customHeight="1" spans="1:34">
      <c r="A681" s="15" t="s">
        <v>409</v>
      </c>
      <c r="C681" s="2">
        <v>1</v>
      </c>
      <c r="D681" s="2" t="s">
        <v>260</v>
      </c>
      <c r="E681" s="2" t="s">
        <v>225</v>
      </c>
      <c r="L681" s="2">
        <f>IFERROR(VLOOKUP($D681&amp;$C681,生产方式定位!$A$2:$E$39,2,FALSE)+VLOOKUP($E681&amp;$C681,生产方式定位!$F$3:$J$39,2,FALSE),0)</f>
        <v>0</v>
      </c>
      <c r="Q681" s="2">
        <f>IFERROR(VLOOKUP($D681&amp;$C681,生产方式定位!$A$2:$E$39,3,FALSE)+VLOOKUP($E681&amp;$C681,生产方式定位!$F$3:$J$39,3,FALSE),0)</f>
        <v>3000</v>
      </c>
      <c r="V681" s="2">
        <f>IFERROR(VLOOKUP($D681&amp;$C681,生产方式定位!$A$2:$E$39,5,FALSE)+VLOOKUP($E681&amp;$C681,生产方式定位!$F$3:$J$39,5,FALSE),"错误")</f>
        <v>1500</v>
      </c>
      <c r="W681" s="3" t="str">
        <f t="shared" si="50"/>
        <v/>
      </c>
      <c r="X681" s="4" t="str">
        <f t="shared" si="51"/>
        <v/>
      </c>
      <c r="Y681" s="4" t="str">
        <f t="shared" si="52"/>
        <v/>
      </c>
      <c r="Z681" s="5">
        <f t="shared" si="53"/>
        <v>0</v>
      </c>
      <c r="AA681" s="6">
        <f t="shared" si="54"/>
        <v>1</v>
      </c>
      <c r="AB681" t="str">
        <f>IFERROR(F681&amp;"*"&amp;ROUND(L681*(G681/(G681+I681+K681))/VLOOKUP(F681,商品!$A$4:$D$67,4,FALSE),0),"")</f>
        <v/>
      </c>
      <c r="AC681" t="str">
        <f>IFERROR(H681&amp;"*"&amp;ROUND(L681*(I681/(G681+I681+K681))/VLOOKUP(H681,商品!$A$4:$D$67,4,FALSE),0),"")</f>
        <v/>
      </c>
      <c r="AD681" t="str">
        <f>IFERROR(J681&amp;"*"&amp;ROUND(L681*(K681/(G681+I681+K681))/VLOOKUP(J681,商品!$A$4:$D$67,4,FALSE),0),"")</f>
        <v/>
      </c>
      <c r="AE681" t="str">
        <f>IFERROR(M681&amp;"*"&amp;ROUND(Q681*(N681/(N681+P681))/VLOOKUP(M681,职业!$A$3:$E$16,4,FALSE),0),"")</f>
        <v/>
      </c>
      <c r="AF681" t="str">
        <f>IFERROR(O681&amp;"*"&amp;ROUND(Q681*(P681/(N681+P681))/VLOOKUP(O681,职业!$A$3:$E$16,4,FALSE),0),"")</f>
        <v/>
      </c>
      <c r="AG681" t="str">
        <f>IFERROR(R681&amp;"*"&amp;ROUND(V681*(S681/(S681+U681))/VLOOKUP(R681,商品!$A$4:$D$67,4,FALSE),0),"")</f>
        <v/>
      </c>
      <c r="AH681" t="str">
        <f>IFERROR(T681&amp;"*"&amp;ROUND(V681*(U681/(S681+U681))/VLOOKUP(T681,商品!$A$4:$D$67,4,FALSE),0),"")</f>
        <v/>
      </c>
    </row>
    <row r="682" customHeight="1" spans="1:34">
      <c r="A682" s="14" t="s">
        <v>411</v>
      </c>
      <c r="C682" s="2">
        <v>2</v>
      </c>
      <c r="D682" s="2" t="s">
        <v>260</v>
      </c>
      <c r="E682" s="2" t="s">
        <v>222</v>
      </c>
      <c r="L682" s="2">
        <f>IFERROR(VLOOKUP($D682&amp;$C682,生产方式定位!$A$2:$E$39,2,FALSE)+VLOOKUP($E682&amp;$C682,生产方式定位!$F$3:$J$39,2,FALSE),0)</f>
        <v>1500</v>
      </c>
      <c r="Q682" s="2">
        <f>IFERROR(VLOOKUP($D682&amp;$C682,生产方式定位!$A$2:$E$39,3,FALSE)+VLOOKUP($E682&amp;$C682,生产方式定位!$F$3:$J$39,3,FALSE),0)</f>
        <v>3000</v>
      </c>
      <c r="V682" s="2">
        <f>IFERROR(VLOOKUP($D682&amp;$C682,生产方式定位!$A$2:$E$39,5,FALSE)+VLOOKUP($E682&amp;$C682,生产方式定位!$F$3:$J$39,5,FALSE),"错误")</f>
        <v>2322</v>
      </c>
      <c r="W682" s="3" t="str">
        <f t="shared" si="50"/>
        <v/>
      </c>
      <c r="X682" s="4" t="str">
        <f t="shared" si="51"/>
        <v/>
      </c>
      <c r="Y682" s="4" t="str">
        <f t="shared" si="52"/>
        <v/>
      </c>
      <c r="Z682" s="5">
        <f t="shared" si="53"/>
        <v>0.65</v>
      </c>
      <c r="AA682" s="6">
        <f t="shared" si="54"/>
        <v>2</v>
      </c>
      <c r="AB682" t="str">
        <f>IFERROR(F682&amp;"*"&amp;ROUND(L682*(G682/(G682+I682+K682))/VLOOKUP(F682,商品!$A$4:$D$67,4,FALSE),0),"")</f>
        <v/>
      </c>
      <c r="AC682" t="str">
        <f>IFERROR(H682&amp;"*"&amp;ROUND(L682*(I682/(G682+I682+K682))/VLOOKUP(H682,商品!$A$4:$D$67,4,FALSE),0),"")</f>
        <v/>
      </c>
      <c r="AD682" t="str">
        <f>IFERROR(J682&amp;"*"&amp;ROUND(L682*(K682/(G682+I682+K682))/VLOOKUP(J682,商品!$A$4:$D$67,4,FALSE),0),"")</f>
        <v/>
      </c>
      <c r="AE682" t="str">
        <f>IFERROR(M682&amp;"*"&amp;ROUND(Q682*(N682/(N682+P682))/VLOOKUP(M682,职业!$A$3:$E$16,4,FALSE),0),"")</f>
        <v/>
      </c>
      <c r="AF682" t="str">
        <f>IFERROR(O682&amp;"*"&amp;ROUND(Q682*(P682/(N682+P682))/VLOOKUP(O682,职业!$A$3:$E$16,4,FALSE),0),"")</f>
        <v/>
      </c>
      <c r="AG682" t="str">
        <f>IFERROR(R682&amp;"*"&amp;ROUND(V682*(S682/(S682+U682))/VLOOKUP(R682,商品!$A$4:$D$67,4,FALSE),0),"")</f>
        <v/>
      </c>
      <c r="AH682" t="str">
        <f>IFERROR(T682&amp;"*"&amp;ROUND(V682*(U682/(S682+U682))/VLOOKUP(T682,商品!$A$4:$D$67,4,FALSE),0),"")</f>
        <v/>
      </c>
    </row>
    <row r="683" customHeight="1" spans="1:34">
      <c r="A683" s="14" t="s">
        <v>411</v>
      </c>
      <c r="C683" s="2">
        <v>3</v>
      </c>
      <c r="D683" s="2" t="s">
        <v>260</v>
      </c>
      <c r="E683" s="2" t="s">
        <v>222</v>
      </c>
      <c r="L683" s="2">
        <f>IFERROR(VLOOKUP($D683&amp;$C683,生产方式定位!$A$2:$E$39,2,FALSE)+VLOOKUP($E683&amp;$C683,生产方式定位!$F$3:$J$39,2,FALSE),0)</f>
        <v>3000</v>
      </c>
      <c r="Q683" s="2">
        <f>IFERROR(VLOOKUP($D683&amp;$C683,生产方式定位!$A$2:$E$39,3,FALSE)+VLOOKUP($E683&amp;$C683,生产方式定位!$F$3:$J$39,3,FALSE),0)</f>
        <v>3000</v>
      </c>
      <c r="V683" s="2">
        <f>IFERROR(VLOOKUP($D683&amp;$C683,生产方式定位!$A$2:$E$39,5,FALSE)+VLOOKUP($E683&amp;$C683,生产方式定位!$F$3:$J$39,5,FALSE),"错误")</f>
        <v>3288</v>
      </c>
      <c r="W683" s="3" t="str">
        <f t="shared" si="50"/>
        <v/>
      </c>
      <c r="X683" s="4" t="str">
        <f t="shared" si="51"/>
        <v/>
      </c>
      <c r="Y683" s="4" t="str">
        <f t="shared" si="52"/>
        <v/>
      </c>
      <c r="Z683" s="5">
        <f t="shared" si="53"/>
        <v>0.91</v>
      </c>
      <c r="AA683" s="6">
        <f t="shared" si="54"/>
        <v>3</v>
      </c>
      <c r="AB683" t="str">
        <f>IFERROR(F683&amp;"*"&amp;ROUND(L683*(G683/(G683+I683+K683))/VLOOKUP(F683,商品!$A$4:$D$67,4,FALSE),0),"")</f>
        <v/>
      </c>
      <c r="AC683" t="str">
        <f>IFERROR(H683&amp;"*"&amp;ROUND(L683*(I683/(G683+I683+K683))/VLOOKUP(H683,商品!$A$4:$D$67,4,FALSE),0),"")</f>
        <v/>
      </c>
      <c r="AD683" t="str">
        <f>IFERROR(J683&amp;"*"&amp;ROUND(L683*(K683/(G683+I683+K683))/VLOOKUP(J683,商品!$A$4:$D$67,4,FALSE),0),"")</f>
        <v/>
      </c>
      <c r="AE683" t="str">
        <f>IFERROR(M683&amp;"*"&amp;ROUND(Q683*(N683/(N683+P683))/VLOOKUP(M683,职业!$A$3:$E$16,4,FALSE),0),"")</f>
        <v/>
      </c>
      <c r="AF683" t="str">
        <f>IFERROR(O683&amp;"*"&amp;ROUND(Q683*(P683/(N683+P683))/VLOOKUP(O683,职业!$A$3:$E$16,4,FALSE),0),"")</f>
        <v/>
      </c>
      <c r="AG683" t="str">
        <f>IFERROR(R683&amp;"*"&amp;ROUND(V683*(S683/(S683+U683))/VLOOKUP(R683,商品!$A$4:$D$67,4,FALSE),0),"")</f>
        <v/>
      </c>
      <c r="AH683" t="str">
        <f>IFERROR(T683&amp;"*"&amp;ROUND(V683*(U683/(S683+U683))/VLOOKUP(T683,商品!$A$4:$D$67,4,FALSE),0),"")</f>
        <v/>
      </c>
    </row>
    <row r="684" customHeight="1" spans="1:34">
      <c r="A684" s="14" t="s">
        <v>411</v>
      </c>
      <c r="C684" s="2">
        <v>4</v>
      </c>
      <c r="D684" s="2" t="s">
        <v>260</v>
      </c>
      <c r="E684" s="2" t="s">
        <v>222</v>
      </c>
      <c r="L684" s="2">
        <f>IFERROR(VLOOKUP($D684&amp;$C684,生产方式定位!$A$2:$E$39,2,FALSE)+VLOOKUP($E684&amp;$C684,生产方式定位!$F$3:$J$39,2,FALSE),0)</f>
        <v>4500</v>
      </c>
      <c r="Q684" s="2">
        <f>IFERROR(VLOOKUP($D684&amp;$C684,生产方式定位!$A$2:$E$39,3,FALSE)+VLOOKUP($E684&amp;$C684,生产方式定位!$F$3:$J$39,3,FALSE),0)</f>
        <v>3000</v>
      </c>
      <c r="V684" s="2">
        <f>IFERROR(VLOOKUP($D684&amp;$C684,生产方式定位!$A$2:$E$39,5,FALSE)+VLOOKUP($E684&amp;$C684,生产方式定位!$F$3:$J$39,5,FALSE),"错误")</f>
        <v>4398</v>
      </c>
      <c r="W684" s="3" t="str">
        <f t="shared" si="50"/>
        <v/>
      </c>
      <c r="X684" s="4" t="str">
        <f t="shared" si="51"/>
        <v/>
      </c>
      <c r="Y684" s="4" t="str">
        <f t="shared" si="52"/>
        <v/>
      </c>
      <c r="Z684" s="5">
        <f t="shared" si="53"/>
        <v>1.02</v>
      </c>
      <c r="AA684" s="6">
        <f t="shared" si="54"/>
        <v>4</v>
      </c>
      <c r="AB684" t="str">
        <f>IFERROR(F684&amp;"*"&amp;ROUND(L684*(G684/(G684+I684+K684))/VLOOKUP(F684,商品!$A$4:$D$67,4,FALSE),0),"")</f>
        <v/>
      </c>
      <c r="AC684" t="str">
        <f>IFERROR(H684&amp;"*"&amp;ROUND(L684*(I684/(G684+I684+K684))/VLOOKUP(H684,商品!$A$4:$D$67,4,FALSE),0),"")</f>
        <v/>
      </c>
      <c r="AD684" t="str">
        <f>IFERROR(J684&amp;"*"&amp;ROUND(L684*(K684/(G684+I684+K684))/VLOOKUP(J684,商品!$A$4:$D$67,4,FALSE),0),"")</f>
        <v/>
      </c>
      <c r="AE684" t="str">
        <f>IFERROR(M684&amp;"*"&amp;ROUND(Q684*(N684/(N684+P684))/VLOOKUP(M684,职业!$A$3:$E$16,4,FALSE),0),"")</f>
        <v/>
      </c>
      <c r="AF684" t="str">
        <f>IFERROR(O684&amp;"*"&amp;ROUND(Q684*(P684/(N684+P684))/VLOOKUP(O684,职业!$A$3:$E$16,4,FALSE),0),"")</f>
        <v/>
      </c>
      <c r="AG684" t="str">
        <f>IFERROR(R684&amp;"*"&amp;ROUND(V684*(S684/(S684+U684))/VLOOKUP(R684,商品!$A$4:$D$67,4,FALSE),0),"")</f>
        <v/>
      </c>
      <c r="AH684" t="str">
        <f>IFERROR(T684&amp;"*"&amp;ROUND(V684*(U684/(S684+U684))/VLOOKUP(T684,商品!$A$4:$D$67,4,FALSE),0),"")</f>
        <v/>
      </c>
    </row>
    <row r="685" customHeight="1" spans="1:34">
      <c r="A685" s="14" t="s">
        <v>411</v>
      </c>
      <c r="C685" s="2">
        <v>5</v>
      </c>
      <c r="D685" s="2" t="s">
        <v>260</v>
      </c>
      <c r="E685" s="2" t="s">
        <v>222</v>
      </c>
      <c r="L685" s="2">
        <f>IFERROR(VLOOKUP($D685&amp;$C685,生产方式定位!$A$2:$E$39,2,FALSE)+VLOOKUP($E685&amp;$C685,生产方式定位!$F$3:$J$39,2,FALSE),0)</f>
        <v>6000</v>
      </c>
      <c r="Q685" s="2">
        <f>IFERROR(VLOOKUP($D685&amp;$C685,生产方式定位!$A$2:$E$39,3,FALSE)+VLOOKUP($E685&amp;$C685,生产方式定位!$F$3:$J$39,3,FALSE),0)</f>
        <v>3000</v>
      </c>
      <c r="V685" s="2">
        <f>IFERROR(VLOOKUP($D685&amp;$C685,生产方式定位!$A$2:$E$39,5,FALSE)+VLOOKUP($E685&amp;$C685,生产方式定位!$F$3:$J$39,5,FALSE),"错误")</f>
        <v>5700</v>
      </c>
      <c r="W685" s="3" t="str">
        <f t="shared" si="50"/>
        <v/>
      </c>
      <c r="X685" s="4" t="str">
        <f t="shared" si="51"/>
        <v/>
      </c>
      <c r="Y685" s="4" t="str">
        <f t="shared" si="52"/>
        <v/>
      </c>
      <c r="Z685" s="5">
        <f t="shared" si="53"/>
        <v>1.05</v>
      </c>
      <c r="AA685" s="6">
        <f t="shared" si="54"/>
        <v>5</v>
      </c>
      <c r="AB685" t="str">
        <f>IFERROR(F685&amp;"*"&amp;ROUND(L685*(G685/(G685+I685+K685))/VLOOKUP(F685,商品!$A$4:$D$67,4,FALSE),0),"")</f>
        <v/>
      </c>
      <c r="AC685" t="str">
        <f>IFERROR(H685&amp;"*"&amp;ROUND(L685*(I685/(G685+I685+K685))/VLOOKUP(H685,商品!$A$4:$D$67,4,FALSE),0),"")</f>
        <v/>
      </c>
      <c r="AD685" t="str">
        <f>IFERROR(J685&amp;"*"&amp;ROUND(L685*(K685/(G685+I685+K685))/VLOOKUP(J685,商品!$A$4:$D$67,4,FALSE),0),"")</f>
        <v/>
      </c>
      <c r="AE685" t="str">
        <f>IFERROR(M685&amp;"*"&amp;ROUND(Q685*(N685/(N685+P685))/VLOOKUP(M685,职业!$A$3:$E$16,4,FALSE),0),"")</f>
        <v/>
      </c>
      <c r="AF685" t="str">
        <f>IFERROR(O685&amp;"*"&amp;ROUND(Q685*(P685/(N685+P685))/VLOOKUP(O685,职业!$A$3:$E$16,4,FALSE),0),"")</f>
        <v/>
      </c>
      <c r="AG685" t="str">
        <f>IFERROR(R685&amp;"*"&amp;ROUND(V685*(S685/(S685+U685))/VLOOKUP(R685,商品!$A$4:$D$67,4,FALSE),0),"")</f>
        <v/>
      </c>
      <c r="AH685" t="str">
        <f>IFERROR(T685&amp;"*"&amp;ROUND(V685*(U685/(S685+U685))/VLOOKUP(T685,商品!$A$4:$D$67,4,FALSE),0),"")</f>
        <v/>
      </c>
    </row>
    <row r="686" customHeight="1" spans="1:34">
      <c r="A686" s="14" t="s">
        <v>411</v>
      </c>
      <c r="C686" s="2">
        <v>1</v>
      </c>
      <c r="D686" s="2" t="s">
        <v>260</v>
      </c>
      <c r="E686" s="2" t="s">
        <v>222</v>
      </c>
      <c r="L686" s="2">
        <f>IFERROR(VLOOKUP($D686&amp;$C686,生产方式定位!$A$2:$E$39,2,FALSE)+VLOOKUP($E686&amp;$C686,生产方式定位!$F$3:$J$39,2,FALSE),0)</f>
        <v>0</v>
      </c>
      <c r="Q686" s="2">
        <f>IFERROR(VLOOKUP($D686&amp;$C686,生产方式定位!$A$2:$E$39,3,FALSE)+VLOOKUP($E686&amp;$C686,生产方式定位!$F$3:$J$39,3,FALSE),0)</f>
        <v>3000</v>
      </c>
      <c r="V686" s="2">
        <f>IFERROR(VLOOKUP($D686&amp;$C686,生产方式定位!$A$2:$E$39,5,FALSE)+VLOOKUP($E686&amp;$C686,生产方式定位!$F$3:$J$39,5,FALSE),"错误")</f>
        <v>1500</v>
      </c>
      <c r="W686" s="3" t="str">
        <f t="shared" si="50"/>
        <v/>
      </c>
      <c r="X686" s="4" t="str">
        <f t="shared" si="51"/>
        <v/>
      </c>
      <c r="Y686" s="4" t="str">
        <f t="shared" si="52"/>
        <v/>
      </c>
      <c r="Z686" s="5">
        <f t="shared" si="53"/>
        <v>0</v>
      </c>
      <c r="AA686" s="6">
        <f t="shared" si="54"/>
        <v>1</v>
      </c>
      <c r="AB686" t="str">
        <f>IFERROR(F686&amp;"*"&amp;ROUND(L686*(G686/(G686+I686+K686))/VLOOKUP(F686,商品!$A$4:$D$67,4,FALSE),0),"")</f>
        <v/>
      </c>
      <c r="AC686" t="str">
        <f>IFERROR(H686&amp;"*"&amp;ROUND(L686*(I686/(G686+I686+K686))/VLOOKUP(H686,商品!$A$4:$D$67,4,FALSE),0),"")</f>
        <v/>
      </c>
      <c r="AD686" t="str">
        <f>IFERROR(J686&amp;"*"&amp;ROUND(L686*(K686/(G686+I686+K686))/VLOOKUP(J686,商品!$A$4:$D$67,4,FALSE),0),"")</f>
        <v/>
      </c>
      <c r="AE686" t="str">
        <f>IFERROR(M686&amp;"*"&amp;ROUND(Q686*(N686/(N686+P686))/VLOOKUP(M686,职业!$A$3:$E$16,4,FALSE),0),"")</f>
        <v/>
      </c>
      <c r="AF686" t="str">
        <f>IFERROR(O686&amp;"*"&amp;ROUND(Q686*(P686/(N686+P686))/VLOOKUP(O686,职业!$A$3:$E$16,4,FALSE),0),"")</f>
        <v/>
      </c>
      <c r="AG686" t="str">
        <f>IFERROR(R686&amp;"*"&amp;ROUND(V686*(S686/(S686+U686))/VLOOKUP(R686,商品!$A$4:$D$67,4,FALSE),0),"")</f>
        <v/>
      </c>
      <c r="AH686" t="str">
        <f>IFERROR(T686&amp;"*"&amp;ROUND(V686*(U686/(S686+U686))/VLOOKUP(T686,商品!$A$4:$D$67,4,FALSE),0),"")</f>
        <v/>
      </c>
    </row>
    <row r="687" customHeight="1" spans="1:34">
      <c r="A687" s="15" t="s">
        <v>412</v>
      </c>
      <c r="C687" s="2">
        <v>2</v>
      </c>
      <c r="D687" s="2" t="s">
        <v>260</v>
      </c>
      <c r="E687" s="2" t="s">
        <v>223</v>
      </c>
      <c r="L687" s="2">
        <f>IFERROR(VLOOKUP($D687&amp;$C687,生产方式定位!$A$2:$E$39,2,FALSE)+VLOOKUP($E687&amp;$C687,生产方式定位!$F$3:$J$39,2,FALSE),0)</f>
        <v>1500</v>
      </c>
      <c r="Q687" s="2">
        <f>IFERROR(VLOOKUP($D687&amp;$C687,生产方式定位!$A$2:$E$39,3,FALSE)+VLOOKUP($E687&amp;$C687,生产方式定位!$F$3:$J$39,3,FALSE),0)</f>
        <v>4800</v>
      </c>
      <c r="V687" s="2">
        <f>IFERROR(VLOOKUP($D687&amp;$C687,生产方式定位!$A$2:$E$39,5,FALSE)+VLOOKUP($E687&amp;$C687,生产方式定位!$F$3:$J$39,5,FALSE),"错误")</f>
        <v>3195</v>
      </c>
      <c r="W687" s="3" t="str">
        <f t="shared" si="50"/>
        <v/>
      </c>
      <c r="X687" s="4" t="str">
        <f t="shared" si="51"/>
        <v/>
      </c>
      <c r="Y687" s="4" t="str">
        <f t="shared" si="52"/>
        <v/>
      </c>
      <c r="Z687" s="5">
        <f t="shared" si="53"/>
        <v>0.47</v>
      </c>
      <c r="AA687" s="6">
        <f t="shared" si="54"/>
        <v>2</v>
      </c>
      <c r="AB687" t="str">
        <f>IFERROR(F687&amp;"*"&amp;ROUND(L687*(G687/(G687+I687+K687))/VLOOKUP(F687,商品!$A$4:$D$67,4,FALSE),0),"")</f>
        <v/>
      </c>
      <c r="AC687" t="str">
        <f>IFERROR(H687&amp;"*"&amp;ROUND(L687*(I687/(G687+I687+K687))/VLOOKUP(H687,商品!$A$4:$D$67,4,FALSE),0),"")</f>
        <v/>
      </c>
      <c r="AD687" t="str">
        <f>IFERROR(J687&amp;"*"&amp;ROUND(L687*(K687/(G687+I687+K687))/VLOOKUP(J687,商品!$A$4:$D$67,4,FALSE),0),"")</f>
        <v/>
      </c>
      <c r="AE687" t="str">
        <f>IFERROR(M687&amp;"*"&amp;ROUND(Q687*(N687/(N687+P687))/VLOOKUP(M687,职业!$A$3:$E$16,4,FALSE),0),"")</f>
        <v/>
      </c>
      <c r="AF687" t="str">
        <f>IFERROR(O687&amp;"*"&amp;ROUND(Q687*(P687/(N687+P687))/VLOOKUP(O687,职业!$A$3:$E$16,4,FALSE),0),"")</f>
        <v/>
      </c>
      <c r="AG687" t="str">
        <f>IFERROR(R687&amp;"*"&amp;ROUND(V687*(S687/(S687+U687))/VLOOKUP(R687,商品!$A$4:$D$67,4,FALSE),0),"")</f>
        <v/>
      </c>
      <c r="AH687" t="str">
        <f>IFERROR(T687&amp;"*"&amp;ROUND(V687*(U687/(S687+U687))/VLOOKUP(T687,商品!$A$4:$D$67,4,FALSE),0),"")</f>
        <v/>
      </c>
    </row>
    <row r="688" customHeight="1" spans="1:34">
      <c r="A688" s="15" t="s">
        <v>412</v>
      </c>
      <c r="C688" s="2">
        <v>3</v>
      </c>
      <c r="D688" s="2" t="s">
        <v>260</v>
      </c>
      <c r="E688" s="2" t="s">
        <v>223</v>
      </c>
      <c r="L688" s="2">
        <f>IFERROR(VLOOKUP($D688&amp;$C688,生产方式定位!$A$2:$E$39,2,FALSE)+VLOOKUP($E688&amp;$C688,生产方式定位!$F$3:$J$39,2,FALSE),0)</f>
        <v>3000</v>
      </c>
      <c r="Q688" s="2">
        <f>IFERROR(VLOOKUP($D688&amp;$C688,生产方式定位!$A$2:$E$39,3,FALSE)+VLOOKUP($E688&amp;$C688,生产方式定位!$F$3:$J$39,3,FALSE),0)</f>
        <v>5600</v>
      </c>
      <c r="V688" s="2">
        <f>IFERROR(VLOOKUP($D688&amp;$C688,生产方式定位!$A$2:$E$39,5,FALSE)+VLOOKUP($E688&amp;$C688,生产方式定位!$F$3:$J$39,5,FALSE),"错误")</f>
        <v>4450</v>
      </c>
      <c r="W688" s="3" t="str">
        <f t="shared" si="50"/>
        <v/>
      </c>
      <c r="X688" s="4" t="str">
        <f t="shared" si="51"/>
        <v/>
      </c>
      <c r="Y688" s="4" t="str">
        <f t="shared" si="52"/>
        <v/>
      </c>
      <c r="Z688" s="5">
        <f t="shared" si="53"/>
        <v>0.67</v>
      </c>
      <c r="AA688" s="6">
        <f t="shared" si="54"/>
        <v>3</v>
      </c>
      <c r="AB688" t="str">
        <f>IFERROR(F688&amp;"*"&amp;ROUND(L688*(G688/(G688+I688+K688))/VLOOKUP(F688,商品!$A$4:$D$67,4,FALSE),0),"")</f>
        <v/>
      </c>
      <c r="AC688" t="str">
        <f>IFERROR(H688&amp;"*"&amp;ROUND(L688*(I688/(G688+I688+K688))/VLOOKUP(H688,商品!$A$4:$D$67,4,FALSE),0),"")</f>
        <v/>
      </c>
      <c r="AD688" t="str">
        <f>IFERROR(J688&amp;"*"&amp;ROUND(L688*(K688/(G688+I688+K688))/VLOOKUP(J688,商品!$A$4:$D$67,4,FALSE),0),"")</f>
        <v/>
      </c>
      <c r="AE688" t="str">
        <f>IFERROR(M688&amp;"*"&amp;ROUND(Q688*(N688/(N688+P688))/VLOOKUP(M688,职业!$A$3:$E$16,4,FALSE),0),"")</f>
        <v/>
      </c>
      <c r="AF688" t="str">
        <f>IFERROR(O688&amp;"*"&amp;ROUND(Q688*(P688/(N688+P688))/VLOOKUP(O688,职业!$A$3:$E$16,4,FALSE),0),"")</f>
        <v/>
      </c>
      <c r="AG688" t="str">
        <f>IFERROR(R688&amp;"*"&amp;ROUND(V688*(S688/(S688+U688))/VLOOKUP(R688,商品!$A$4:$D$67,4,FALSE),0),"")</f>
        <v/>
      </c>
      <c r="AH688" t="str">
        <f>IFERROR(T688&amp;"*"&amp;ROUND(V688*(U688/(S688+U688))/VLOOKUP(T688,商品!$A$4:$D$67,4,FALSE),0),"")</f>
        <v/>
      </c>
    </row>
    <row r="689" customHeight="1" spans="1:34">
      <c r="A689" s="15" t="s">
        <v>412</v>
      </c>
      <c r="C689" s="2">
        <v>4</v>
      </c>
      <c r="D689" s="2" t="s">
        <v>260</v>
      </c>
      <c r="E689" s="2" t="s">
        <v>223</v>
      </c>
      <c r="L689" s="2">
        <f>IFERROR(VLOOKUP($D689&amp;$C689,生产方式定位!$A$2:$E$39,2,FALSE)+VLOOKUP($E689&amp;$C689,生产方式定位!$F$3:$J$39,2,FALSE),0)</f>
        <v>4500</v>
      </c>
      <c r="Q689" s="2">
        <f>IFERROR(VLOOKUP($D689&amp;$C689,生产方式定位!$A$2:$E$39,3,FALSE)+VLOOKUP($E689&amp;$C689,生产方式定位!$F$3:$J$39,3,FALSE),0)</f>
        <v>6400</v>
      </c>
      <c r="V689" s="2">
        <f>IFERROR(VLOOKUP($D689&amp;$C689,生产方式定位!$A$2:$E$39,5,FALSE)+VLOOKUP($E689&amp;$C689,生产方式定位!$F$3:$J$39,5,FALSE),"错误")</f>
        <v>5765</v>
      </c>
      <c r="W689" s="3" t="str">
        <f t="shared" si="50"/>
        <v/>
      </c>
      <c r="X689" s="4" t="str">
        <f t="shared" si="51"/>
        <v/>
      </c>
      <c r="Y689" s="4" t="str">
        <f t="shared" si="52"/>
        <v/>
      </c>
      <c r="Z689" s="5">
        <f t="shared" si="53"/>
        <v>0.78</v>
      </c>
      <c r="AA689" s="6">
        <f t="shared" si="54"/>
        <v>4</v>
      </c>
      <c r="AB689" t="str">
        <f>IFERROR(F689&amp;"*"&amp;ROUND(L689*(G689/(G689+I689+K689))/VLOOKUP(F689,商品!$A$4:$D$67,4,FALSE),0),"")</f>
        <v/>
      </c>
      <c r="AC689" t="str">
        <f>IFERROR(H689&amp;"*"&amp;ROUND(L689*(I689/(G689+I689+K689))/VLOOKUP(H689,商品!$A$4:$D$67,4,FALSE),0),"")</f>
        <v/>
      </c>
      <c r="AD689" t="str">
        <f>IFERROR(J689&amp;"*"&amp;ROUND(L689*(K689/(G689+I689+K689))/VLOOKUP(J689,商品!$A$4:$D$67,4,FALSE),0),"")</f>
        <v/>
      </c>
      <c r="AE689" t="str">
        <f>IFERROR(M689&amp;"*"&amp;ROUND(Q689*(N689/(N689+P689))/VLOOKUP(M689,职业!$A$3:$E$16,4,FALSE),0),"")</f>
        <v/>
      </c>
      <c r="AF689" t="str">
        <f>IFERROR(O689&amp;"*"&amp;ROUND(Q689*(P689/(N689+P689))/VLOOKUP(O689,职业!$A$3:$E$16,4,FALSE),0),"")</f>
        <v/>
      </c>
      <c r="AG689" t="str">
        <f>IFERROR(R689&amp;"*"&amp;ROUND(V689*(S689/(S689+U689))/VLOOKUP(R689,商品!$A$4:$D$67,4,FALSE),0),"")</f>
        <v/>
      </c>
      <c r="AH689" t="str">
        <f>IFERROR(T689&amp;"*"&amp;ROUND(V689*(U689/(S689+U689))/VLOOKUP(T689,商品!$A$4:$D$67,4,FALSE),0),"")</f>
        <v/>
      </c>
    </row>
    <row r="690" customHeight="1" spans="1:34">
      <c r="A690" s="15" t="s">
        <v>412</v>
      </c>
      <c r="C690" s="2">
        <v>5</v>
      </c>
      <c r="D690" s="2" t="s">
        <v>260</v>
      </c>
      <c r="E690" s="2" t="s">
        <v>223</v>
      </c>
      <c r="L690" s="2">
        <f>IFERROR(VLOOKUP($D690&amp;$C690,生产方式定位!$A$2:$E$39,2,FALSE)+VLOOKUP($E690&amp;$C690,生产方式定位!$F$3:$J$39,2,FALSE),0)</f>
        <v>6000</v>
      </c>
      <c r="Q690" s="2">
        <f>IFERROR(VLOOKUP($D690&amp;$C690,生产方式定位!$A$2:$E$39,3,FALSE)+VLOOKUP($E690&amp;$C690,生产方式定位!$F$3:$J$39,3,FALSE),0)</f>
        <v>7200</v>
      </c>
      <c r="V690" s="2">
        <f>IFERROR(VLOOKUP($D690&amp;$C690,生产方式定位!$A$2:$E$39,5,FALSE)+VLOOKUP($E690&amp;$C690,生产方式定位!$F$3:$J$39,5,FALSE),"错误")</f>
        <v>7163</v>
      </c>
      <c r="W690" s="3" t="str">
        <f t="shared" si="50"/>
        <v/>
      </c>
      <c r="X690" s="4" t="str">
        <f t="shared" si="51"/>
        <v/>
      </c>
      <c r="Y690" s="4" t="str">
        <f t="shared" si="52"/>
        <v/>
      </c>
      <c r="Z690" s="5">
        <f t="shared" si="53"/>
        <v>0.84</v>
      </c>
      <c r="AA690" s="6">
        <f t="shared" si="54"/>
        <v>5</v>
      </c>
      <c r="AB690" t="str">
        <f>IFERROR(F690&amp;"*"&amp;ROUND(L690*(G690/(G690+I690+K690))/VLOOKUP(F690,商品!$A$4:$D$67,4,FALSE),0),"")</f>
        <v/>
      </c>
      <c r="AC690" t="str">
        <f>IFERROR(H690&amp;"*"&amp;ROUND(L690*(I690/(G690+I690+K690))/VLOOKUP(H690,商品!$A$4:$D$67,4,FALSE),0),"")</f>
        <v/>
      </c>
      <c r="AD690" t="str">
        <f>IFERROR(J690&amp;"*"&amp;ROUND(L690*(K690/(G690+I690+K690))/VLOOKUP(J690,商品!$A$4:$D$67,4,FALSE),0),"")</f>
        <v/>
      </c>
      <c r="AE690" t="str">
        <f>IFERROR(M690&amp;"*"&amp;ROUND(Q690*(N690/(N690+P690))/VLOOKUP(M690,职业!$A$3:$E$16,4,FALSE),0),"")</f>
        <v/>
      </c>
      <c r="AF690" t="str">
        <f>IFERROR(O690&amp;"*"&amp;ROUND(Q690*(P690/(N690+P690))/VLOOKUP(O690,职业!$A$3:$E$16,4,FALSE),0),"")</f>
        <v/>
      </c>
      <c r="AG690" t="str">
        <f>IFERROR(R690&amp;"*"&amp;ROUND(V690*(S690/(S690+U690))/VLOOKUP(R690,商品!$A$4:$D$67,4,FALSE),0),"")</f>
        <v/>
      </c>
      <c r="AH690" t="str">
        <f>IFERROR(T690&amp;"*"&amp;ROUND(V690*(U690/(S690+U690))/VLOOKUP(T690,商品!$A$4:$D$67,4,FALSE),0),"")</f>
        <v/>
      </c>
    </row>
    <row r="691" customHeight="1" spans="1:34">
      <c r="A691" s="15" t="s">
        <v>412</v>
      </c>
      <c r="C691" s="2">
        <v>1</v>
      </c>
      <c r="D691" s="2" t="s">
        <v>260</v>
      </c>
      <c r="E691" s="2" t="s">
        <v>223</v>
      </c>
      <c r="L691" s="2">
        <f>IFERROR(VLOOKUP($D691&amp;$C691,生产方式定位!$A$2:$E$39,2,FALSE)+VLOOKUP($E691&amp;$C691,生产方式定位!$F$3:$J$39,2,FALSE),0)</f>
        <v>0</v>
      </c>
      <c r="Q691" s="2">
        <f>IFERROR(VLOOKUP($D691&amp;$C691,生产方式定位!$A$2:$E$39,3,FALSE)+VLOOKUP($E691&amp;$C691,生产方式定位!$F$3:$J$39,3,FALSE),0)</f>
        <v>3000</v>
      </c>
      <c r="V691" s="2">
        <f>IFERROR(VLOOKUP($D691&amp;$C691,生产方式定位!$A$2:$E$39,5,FALSE)+VLOOKUP($E691&amp;$C691,生产方式定位!$F$3:$J$39,5,FALSE),"错误")</f>
        <v>1500</v>
      </c>
      <c r="W691" s="3" t="str">
        <f t="shared" si="50"/>
        <v/>
      </c>
      <c r="X691" s="4" t="str">
        <f t="shared" si="51"/>
        <v/>
      </c>
      <c r="Y691" s="4" t="str">
        <f t="shared" si="52"/>
        <v/>
      </c>
      <c r="Z691" s="5">
        <f t="shared" si="53"/>
        <v>0</v>
      </c>
      <c r="AA691" s="6">
        <f t="shared" si="54"/>
        <v>1</v>
      </c>
      <c r="AB691" t="str">
        <f>IFERROR(F691&amp;"*"&amp;ROUND(L691*(G691/(G691+I691+K691))/VLOOKUP(F691,商品!$A$4:$D$67,4,FALSE),0),"")</f>
        <v/>
      </c>
      <c r="AC691" t="str">
        <f>IFERROR(H691&amp;"*"&amp;ROUND(L691*(I691/(G691+I691+K691))/VLOOKUP(H691,商品!$A$4:$D$67,4,FALSE),0),"")</f>
        <v/>
      </c>
      <c r="AD691" t="str">
        <f>IFERROR(J691&amp;"*"&amp;ROUND(L691*(K691/(G691+I691+K691))/VLOOKUP(J691,商品!$A$4:$D$67,4,FALSE),0),"")</f>
        <v/>
      </c>
      <c r="AE691" t="str">
        <f>IFERROR(M691&amp;"*"&amp;ROUND(Q691*(N691/(N691+P691))/VLOOKUP(M691,职业!$A$3:$E$16,4,FALSE),0),"")</f>
        <v/>
      </c>
      <c r="AF691" t="str">
        <f>IFERROR(O691&amp;"*"&amp;ROUND(Q691*(P691/(N691+P691))/VLOOKUP(O691,职业!$A$3:$E$16,4,FALSE),0),"")</f>
        <v/>
      </c>
      <c r="AG691" t="str">
        <f>IFERROR(R691&amp;"*"&amp;ROUND(V691*(S691/(S691+U691))/VLOOKUP(R691,商品!$A$4:$D$67,4,FALSE),0),"")</f>
        <v/>
      </c>
      <c r="AH691" t="str">
        <f>IFERROR(T691&amp;"*"&amp;ROUND(V691*(U691/(S691+U691))/VLOOKUP(T691,商品!$A$4:$D$67,4,FALSE),0),"")</f>
        <v/>
      </c>
    </row>
    <row r="692" customHeight="1" spans="1:34">
      <c r="A692" s="14" t="s">
        <v>413</v>
      </c>
      <c r="C692" s="2">
        <v>2</v>
      </c>
      <c r="D692" s="2" t="s">
        <v>260</v>
      </c>
      <c r="E692" s="2" t="s">
        <v>224</v>
      </c>
      <c r="L692" s="2">
        <f>IFERROR(VLOOKUP($D692&amp;$C692,生产方式定位!$A$2:$E$39,2,FALSE)+VLOOKUP($E692&amp;$C692,生产方式定位!$F$3:$J$39,2,FALSE),0)</f>
        <v>2500</v>
      </c>
      <c r="Q692" s="2">
        <f>IFERROR(VLOOKUP($D692&amp;$C692,生产方式定位!$A$2:$E$39,3,FALSE)+VLOOKUP($E692&amp;$C692,生产方式定位!$F$3:$J$39,3,FALSE),0)</f>
        <v>2600</v>
      </c>
      <c r="V692" s="2">
        <f>IFERROR(VLOOKUP($D692&amp;$C692,生产方式定位!$A$2:$E$39,5,FALSE)+VLOOKUP($E692&amp;$C692,生产方式定位!$F$3:$J$39,5,FALSE),"错误")</f>
        <v>2640</v>
      </c>
      <c r="W692" s="3" t="str">
        <f t="shared" si="50"/>
        <v/>
      </c>
      <c r="X692" s="4" t="str">
        <f t="shared" si="51"/>
        <v/>
      </c>
      <c r="Y692" s="4" t="str">
        <f t="shared" si="52"/>
        <v/>
      </c>
      <c r="Z692" s="5">
        <f t="shared" si="53"/>
        <v>0.95</v>
      </c>
      <c r="AA692" s="6">
        <f t="shared" si="54"/>
        <v>2</v>
      </c>
      <c r="AB692" t="str">
        <f>IFERROR(F692&amp;"*"&amp;ROUND(L692*(G692/(G692+I692+K692))/VLOOKUP(F692,商品!$A$4:$D$67,4,FALSE),0),"")</f>
        <v/>
      </c>
      <c r="AC692" t="str">
        <f>IFERROR(H692&amp;"*"&amp;ROUND(L692*(I692/(G692+I692+K692))/VLOOKUP(H692,商品!$A$4:$D$67,4,FALSE),0),"")</f>
        <v/>
      </c>
      <c r="AD692" t="str">
        <f>IFERROR(J692&amp;"*"&amp;ROUND(L692*(K692/(G692+I692+K692))/VLOOKUP(J692,商品!$A$4:$D$67,4,FALSE),0),"")</f>
        <v/>
      </c>
      <c r="AE692" t="str">
        <f>IFERROR(M692&amp;"*"&amp;ROUND(Q692*(N692/(N692+P692))/VLOOKUP(M692,职业!$A$3:$E$16,4,FALSE),0),"")</f>
        <v/>
      </c>
      <c r="AF692" t="str">
        <f>IFERROR(O692&amp;"*"&amp;ROUND(Q692*(P692/(N692+P692))/VLOOKUP(O692,职业!$A$3:$E$16,4,FALSE),0),"")</f>
        <v/>
      </c>
      <c r="AG692" t="str">
        <f>IFERROR(R692&amp;"*"&amp;ROUND(V692*(S692/(S692+U692))/VLOOKUP(R692,商品!$A$4:$D$67,4,FALSE),0),"")</f>
        <v/>
      </c>
      <c r="AH692" t="str">
        <f>IFERROR(T692&amp;"*"&amp;ROUND(V692*(U692/(S692+U692))/VLOOKUP(T692,商品!$A$4:$D$67,4,FALSE),0),"")</f>
        <v/>
      </c>
    </row>
    <row r="693" customHeight="1" spans="1:34">
      <c r="A693" s="14" t="s">
        <v>413</v>
      </c>
      <c r="C693" s="2">
        <v>3</v>
      </c>
      <c r="D693" s="2" t="s">
        <v>260</v>
      </c>
      <c r="E693" s="2" t="s">
        <v>224</v>
      </c>
      <c r="L693" s="2">
        <f>IFERROR(VLOOKUP($D693&amp;$C693,生产方式定位!$A$2:$E$39,2,FALSE)+VLOOKUP($E693&amp;$C693,生产方式定位!$F$3:$J$39,2,FALSE),0)</f>
        <v>4000</v>
      </c>
      <c r="Q693" s="2">
        <f>IFERROR(VLOOKUP($D693&amp;$C693,生产方式定位!$A$2:$E$39,3,FALSE)+VLOOKUP($E693&amp;$C693,生产方式定位!$F$3:$J$39,3,FALSE),0)</f>
        <v>2200</v>
      </c>
      <c r="V693" s="2">
        <f>IFERROR(VLOOKUP($D693&amp;$C693,生产方式定位!$A$2:$E$39,5,FALSE)+VLOOKUP($E693&amp;$C693,生产方式定位!$F$3:$J$39,5,FALSE),"错误")</f>
        <v>3360</v>
      </c>
      <c r="W693" s="3" t="str">
        <f t="shared" si="50"/>
        <v/>
      </c>
      <c r="X693" s="4" t="str">
        <f t="shared" si="51"/>
        <v/>
      </c>
      <c r="Y693" s="4" t="str">
        <f t="shared" si="52"/>
        <v/>
      </c>
      <c r="Z693" s="5">
        <f t="shared" si="53"/>
        <v>1.19</v>
      </c>
      <c r="AA693" s="6">
        <f t="shared" si="54"/>
        <v>3</v>
      </c>
      <c r="AB693" t="str">
        <f>IFERROR(F693&amp;"*"&amp;ROUND(L693*(G693/(G693+I693+K693))/VLOOKUP(F693,商品!$A$4:$D$67,4,FALSE),0),"")</f>
        <v/>
      </c>
      <c r="AC693" t="str">
        <f>IFERROR(H693&amp;"*"&amp;ROUND(L693*(I693/(G693+I693+K693))/VLOOKUP(H693,商品!$A$4:$D$67,4,FALSE),0),"")</f>
        <v/>
      </c>
      <c r="AD693" t="str">
        <f>IFERROR(J693&amp;"*"&amp;ROUND(L693*(K693/(G693+I693+K693))/VLOOKUP(J693,商品!$A$4:$D$67,4,FALSE),0),"")</f>
        <v/>
      </c>
      <c r="AE693" t="str">
        <f>IFERROR(M693&amp;"*"&amp;ROUND(Q693*(N693/(N693+P693))/VLOOKUP(M693,职业!$A$3:$E$16,4,FALSE),0),"")</f>
        <v/>
      </c>
      <c r="AF693" t="str">
        <f>IFERROR(O693&amp;"*"&amp;ROUND(Q693*(P693/(N693+P693))/VLOOKUP(O693,职业!$A$3:$E$16,4,FALSE),0),"")</f>
        <v/>
      </c>
      <c r="AG693" t="str">
        <f>IFERROR(R693&amp;"*"&amp;ROUND(V693*(S693/(S693+U693))/VLOOKUP(R693,商品!$A$4:$D$67,4,FALSE),0),"")</f>
        <v/>
      </c>
      <c r="AH693" t="str">
        <f>IFERROR(T693&amp;"*"&amp;ROUND(V693*(U693/(S693+U693))/VLOOKUP(T693,商品!$A$4:$D$67,4,FALSE),0),"")</f>
        <v/>
      </c>
    </row>
    <row r="694" customHeight="1" spans="1:34">
      <c r="A694" s="14" t="s">
        <v>413</v>
      </c>
      <c r="C694" s="2">
        <v>4</v>
      </c>
      <c r="D694" s="2" t="s">
        <v>260</v>
      </c>
      <c r="E694" s="2" t="s">
        <v>224</v>
      </c>
      <c r="L694" s="2">
        <f>IFERROR(VLOOKUP($D694&amp;$C694,生产方式定位!$A$2:$E$39,2,FALSE)+VLOOKUP($E694&amp;$C694,生产方式定位!$F$3:$J$39,2,FALSE),0)</f>
        <v>5500</v>
      </c>
      <c r="Q694" s="2">
        <f>IFERROR(VLOOKUP($D694&amp;$C694,生产方式定位!$A$2:$E$39,3,FALSE)+VLOOKUP($E694&amp;$C694,生产方式定位!$F$3:$J$39,3,FALSE),0)</f>
        <v>1800</v>
      </c>
      <c r="V694" s="2">
        <f>IFERROR(VLOOKUP($D694&amp;$C694,生产方式定位!$A$2:$E$39,5,FALSE)+VLOOKUP($E694&amp;$C694,生产方式定位!$F$3:$J$39,5,FALSE),"错误")</f>
        <v>4160</v>
      </c>
      <c r="W694" s="3" t="str">
        <f t="shared" si="50"/>
        <v/>
      </c>
      <c r="X694" s="4" t="str">
        <f t="shared" si="51"/>
        <v/>
      </c>
      <c r="Y694" s="4" t="str">
        <f t="shared" si="52"/>
        <v/>
      </c>
      <c r="Z694" s="5">
        <f t="shared" si="53"/>
        <v>1.32</v>
      </c>
      <c r="AA694" s="6">
        <f t="shared" si="54"/>
        <v>4</v>
      </c>
      <c r="AB694" t="str">
        <f>IFERROR(F694&amp;"*"&amp;ROUND(L694*(G694/(G694+I694+K694))/VLOOKUP(F694,商品!$A$4:$D$67,4,FALSE),0),"")</f>
        <v/>
      </c>
      <c r="AC694" t="str">
        <f>IFERROR(H694&amp;"*"&amp;ROUND(L694*(I694/(G694+I694+K694))/VLOOKUP(H694,商品!$A$4:$D$67,4,FALSE),0),"")</f>
        <v/>
      </c>
      <c r="AD694" t="str">
        <f>IFERROR(J694&amp;"*"&amp;ROUND(L694*(K694/(G694+I694+K694))/VLOOKUP(J694,商品!$A$4:$D$67,4,FALSE),0),"")</f>
        <v/>
      </c>
      <c r="AE694" t="str">
        <f>IFERROR(M694&amp;"*"&amp;ROUND(Q694*(N694/(N694+P694))/VLOOKUP(M694,职业!$A$3:$E$16,4,FALSE),0),"")</f>
        <v/>
      </c>
      <c r="AF694" t="str">
        <f>IFERROR(O694&amp;"*"&amp;ROUND(Q694*(P694/(N694+P694))/VLOOKUP(O694,职业!$A$3:$E$16,4,FALSE),0),"")</f>
        <v/>
      </c>
      <c r="AG694" t="str">
        <f>IFERROR(R694&amp;"*"&amp;ROUND(V694*(S694/(S694+U694))/VLOOKUP(R694,商品!$A$4:$D$67,4,FALSE),0),"")</f>
        <v/>
      </c>
      <c r="AH694" t="str">
        <f>IFERROR(T694&amp;"*"&amp;ROUND(V694*(U694/(S694+U694))/VLOOKUP(T694,商品!$A$4:$D$67,4,FALSE),0),"")</f>
        <v/>
      </c>
    </row>
    <row r="695" customHeight="1" spans="1:34">
      <c r="A695" s="14" t="s">
        <v>413</v>
      </c>
      <c r="C695" s="2">
        <v>5</v>
      </c>
      <c r="D695" s="2" t="s">
        <v>260</v>
      </c>
      <c r="E695" s="2" t="s">
        <v>224</v>
      </c>
      <c r="L695" s="2">
        <f>IFERROR(VLOOKUP($D695&amp;$C695,生产方式定位!$A$2:$E$39,2,FALSE)+VLOOKUP($E695&amp;$C695,生产方式定位!$F$3:$J$39,2,FALSE),0)</f>
        <v>7000</v>
      </c>
      <c r="Q695" s="2">
        <f>IFERROR(VLOOKUP($D695&amp;$C695,生产方式定位!$A$2:$E$39,3,FALSE)+VLOOKUP($E695&amp;$C695,生产方式定位!$F$3:$J$39,3,FALSE),0)</f>
        <v>1400</v>
      </c>
      <c r="V695" s="2">
        <f>IFERROR(VLOOKUP($D695&amp;$C695,生产方式定位!$A$2:$E$39,5,FALSE)+VLOOKUP($E695&amp;$C695,生产方式定位!$F$3:$J$39,5,FALSE),"错误")</f>
        <v>5040</v>
      </c>
      <c r="W695" s="3" t="str">
        <f t="shared" si="50"/>
        <v/>
      </c>
      <c r="X695" s="4" t="str">
        <f t="shared" si="51"/>
        <v/>
      </c>
      <c r="Y695" s="4" t="str">
        <f t="shared" si="52"/>
        <v/>
      </c>
      <c r="Z695" s="5">
        <f t="shared" si="53"/>
        <v>1.39</v>
      </c>
      <c r="AA695" s="6">
        <f t="shared" si="54"/>
        <v>5</v>
      </c>
      <c r="AB695" t="str">
        <f>IFERROR(F695&amp;"*"&amp;ROUND(L695*(G695/(G695+I695+K695))/VLOOKUP(F695,商品!$A$4:$D$67,4,FALSE),0),"")</f>
        <v/>
      </c>
      <c r="AC695" t="str">
        <f>IFERROR(H695&amp;"*"&amp;ROUND(L695*(I695/(G695+I695+K695))/VLOOKUP(H695,商品!$A$4:$D$67,4,FALSE),0),"")</f>
        <v/>
      </c>
      <c r="AD695" t="str">
        <f>IFERROR(J695&amp;"*"&amp;ROUND(L695*(K695/(G695+I695+K695))/VLOOKUP(J695,商品!$A$4:$D$67,4,FALSE),0),"")</f>
        <v/>
      </c>
      <c r="AE695" t="str">
        <f>IFERROR(M695&amp;"*"&amp;ROUND(Q695*(N695/(N695+P695))/VLOOKUP(M695,职业!$A$3:$E$16,4,FALSE),0),"")</f>
        <v/>
      </c>
      <c r="AF695" t="str">
        <f>IFERROR(O695&amp;"*"&amp;ROUND(Q695*(P695/(N695+P695))/VLOOKUP(O695,职业!$A$3:$E$16,4,FALSE),0),"")</f>
        <v/>
      </c>
      <c r="AG695" t="str">
        <f>IFERROR(R695&amp;"*"&amp;ROUND(V695*(S695/(S695+U695))/VLOOKUP(R695,商品!$A$4:$D$67,4,FALSE),0),"")</f>
        <v/>
      </c>
      <c r="AH695" t="str">
        <f>IFERROR(T695&amp;"*"&amp;ROUND(V695*(U695/(S695+U695))/VLOOKUP(T695,商品!$A$4:$D$67,4,FALSE),0),"")</f>
        <v/>
      </c>
    </row>
    <row r="696" customHeight="1" spans="1:34">
      <c r="A696" s="14" t="s">
        <v>413</v>
      </c>
      <c r="C696" s="2">
        <v>1</v>
      </c>
      <c r="D696" s="2" t="s">
        <v>260</v>
      </c>
      <c r="E696" s="2" t="s">
        <v>224</v>
      </c>
      <c r="L696" s="2">
        <f>IFERROR(VLOOKUP($D696&amp;$C696,生产方式定位!$A$2:$E$39,2,FALSE)+VLOOKUP($E696&amp;$C696,生产方式定位!$F$3:$J$39,2,FALSE),0)</f>
        <v>0</v>
      </c>
      <c r="Q696" s="2">
        <f>IFERROR(VLOOKUP($D696&amp;$C696,生产方式定位!$A$2:$E$39,3,FALSE)+VLOOKUP($E696&amp;$C696,生产方式定位!$F$3:$J$39,3,FALSE),0)</f>
        <v>3000</v>
      </c>
      <c r="V696" s="2">
        <f>IFERROR(VLOOKUP($D696&amp;$C696,生产方式定位!$A$2:$E$39,5,FALSE)+VLOOKUP($E696&amp;$C696,生产方式定位!$F$3:$J$39,5,FALSE),"错误")</f>
        <v>1500</v>
      </c>
      <c r="W696" s="3" t="str">
        <f t="shared" si="50"/>
        <v/>
      </c>
      <c r="X696" s="4" t="str">
        <f t="shared" si="51"/>
        <v/>
      </c>
      <c r="Y696" s="4" t="str">
        <f t="shared" si="52"/>
        <v/>
      </c>
      <c r="Z696" s="5">
        <f t="shared" si="53"/>
        <v>0</v>
      </c>
      <c r="AA696" s="6">
        <f t="shared" si="54"/>
        <v>1</v>
      </c>
      <c r="AB696" t="str">
        <f>IFERROR(F696&amp;"*"&amp;ROUND(L696*(G696/(G696+I696+K696))/VLOOKUP(F696,商品!$A$4:$D$67,4,FALSE),0),"")</f>
        <v/>
      </c>
      <c r="AC696" t="str">
        <f>IFERROR(H696&amp;"*"&amp;ROUND(L696*(I696/(G696+I696+K696))/VLOOKUP(H696,商品!$A$4:$D$67,4,FALSE),0),"")</f>
        <v/>
      </c>
      <c r="AD696" t="str">
        <f>IFERROR(J696&amp;"*"&amp;ROUND(L696*(K696/(G696+I696+K696))/VLOOKUP(J696,商品!$A$4:$D$67,4,FALSE),0),"")</f>
        <v/>
      </c>
      <c r="AE696" t="str">
        <f>IFERROR(M696&amp;"*"&amp;ROUND(Q696*(N696/(N696+P696))/VLOOKUP(M696,职业!$A$3:$E$16,4,FALSE),0),"")</f>
        <v/>
      </c>
      <c r="AF696" t="str">
        <f>IFERROR(O696&amp;"*"&amp;ROUND(Q696*(P696/(N696+P696))/VLOOKUP(O696,职业!$A$3:$E$16,4,FALSE),0),"")</f>
        <v/>
      </c>
      <c r="AG696" t="str">
        <f>IFERROR(R696&amp;"*"&amp;ROUND(V696*(S696/(S696+U696))/VLOOKUP(R696,商品!$A$4:$D$67,4,FALSE),0),"")</f>
        <v/>
      </c>
      <c r="AH696" t="str">
        <f>IFERROR(T696&amp;"*"&amp;ROUND(V696*(U696/(S696+U696))/VLOOKUP(T696,商品!$A$4:$D$67,4,FALSE),0),"")</f>
        <v/>
      </c>
    </row>
    <row r="697" customHeight="1" spans="1:34">
      <c r="A697" s="15" t="s">
        <v>413</v>
      </c>
      <c r="C697" s="2">
        <v>2</v>
      </c>
      <c r="D697" s="2" t="s">
        <v>260</v>
      </c>
      <c r="E697" s="2" t="s">
        <v>224</v>
      </c>
      <c r="L697" s="2">
        <f>IFERROR(VLOOKUP($D697&amp;$C697,生产方式定位!$A$2:$E$39,2,FALSE)+VLOOKUP($E697&amp;$C697,生产方式定位!$F$3:$J$39,2,FALSE),0)</f>
        <v>2500</v>
      </c>
      <c r="Q697" s="2">
        <f>IFERROR(VLOOKUP($D697&amp;$C697,生产方式定位!$A$2:$E$39,3,FALSE)+VLOOKUP($E697&amp;$C697,生产方式定位!$F$3:$J$39,3,FALSE),0)</f>
        <v>2600</v>
      </c>
      <c r="V697" s="2">
        <f>IFERROR(VLOOKUP($D697&amp;$C697,生产方式定位!$A$2:$E$39,5,FALSE)+VLOOKUP($E697&amp;$C697,生产方式定位!$F$3:$J$39,5,FALSE),"错误")</f>
        <v>2640</v>
      </c>
      <c r="W697" s="3" t="str">
        <f t="shared" si="50"/>
        <v/>
      </c>
      <c r="X697" s="4" t="str">
        <f t="shared" si="51"/>
        <v/>
      </c>
      <c r="Y697" s="4" t="str">
        <f t="shared" si="52"/>
        <v/>
      </c>
      <c r="Z697" s="5">
        <f t="shared" si="53"/>
        <v>0.95</v>
      </c>
      <c r="AA697" s="6">
        <f t="shared" si="54"/>
        <v>2</v>
      </c>
      <c r="AB697" t="str">
        <f>IFERROR(F697&amp;"*"&amp;ROUND(L697*(G697/(G697+I697+K697))/VLOOKUP(F697,商品!$A$4:$D$67,4,FALSE),0),"")</f>
        <v/>
      </c>
      <c r="AC697" t="str">
        <f>IFERROR(H697&amp;"*"&amp;ROUND(L697*(I697/(G697+I697+K697))/VLOOKUP(H697,商品!$A$4:$D$67,4,FALSE),0),"")</f>
        <v/>
      </c>
      <c r="AD697" t="str">
        <f>IFERROR(J697&amp;"*"&amp;ROUND(L697*(K697/(G697+I697+K697))/VLOOKUP(J697,商品!$A$4:$D$67,4,FALSE),0),"")</f>
        <v/>
      </c>
      <c r="AE697" t="str">
        <f>IFERROR(M697&amp;"*"&amp;ROUND(Q697*(N697/(N697+P697))/VLOOKUP(M697,职业!$A$3:$E$16,4,FALSE),0),"")</f>
        <v/>
      </c>
      <c r="AF697" t="str">
        <f>IFERROR(O697&amp;"*"&amp;ROUND(Q697*(P697/(N697+P697))/VLOOKUP(O697,职业!$A$3:$E$16,4,FALSE),0),"")</f>
        <v/>
      </c>
      <c r="AG697" t="str">
        <f>IFERROR(R697&amp;"*"&amp;ROUND(V697*(S697/(S697+U697))/VLOOKUP(R697,商品!$A$4:$D$67,4,FALSE),0),"")</f>
        <v/>
      </c>
      <c r="AH697" t="str">
        <f>IFERROR(T697&amp;"*"&amp;ROUND(V697*(U697/(S697+U697))/VLOOKUP(T697,商品!$A$4:$D$67,4,FALSE),0),"")</f>
        <v/>
      </c>
    </row>
    <row r="698" customHeight="1" spans="1:34">
      <c r="A698" s="15" t="s">
        <v>413</v>
      </c>
      <c r="C698" s="2">
        <v>3</v>
      </c>
      <c r="D698" s="2" t="s">
        <v>260</v>
      </c>
      <c r="E698" s="2" t="s">
        <v>224</v>
      </c>
      <c r="L698" s="2">
        <f>IFERROR(VLOOKUP($D698&amp;$C698,生产方式定位!$A$2:$E$39,2,FALSE)+VLOOKUP($E698&amp;$C698,生产方式定位!$F$3:$J$39,2,FALSE),0)</f>
        <v>4000</v>
      </c>
      <c r="Q698" s="2">
        <f>IFERROR(VLOOKUP($D698&amp;$C698,生产方式定位!$A$2:$E$39,3,FALSE)+VLOOKUP($E698&amp;$C698,生产方式定位!$F$3:$J$39,3,FALSE),0)</f>
        <v>2200</v>
      </c>
      <c r="V698" s="2">
        <f>IFERROR(VLOOKUP($D698&amp;$C698,生产方式定位!$A$2:$E$39,5,FALSE)+VLOOKUP($E698&amp;$C698,生产方式定位!$F$3:$J$39,5,FALSE),"错误")</f>
        <v>3360</v>
      </c>
      <c r="W698" s="3" t="str">
        <f t="shared" si="50"/>
        <v/>
      </c>
      <c r="X698" s="4" t="str">
        <f t="shared" si="51"/>
        <v/>
      </c>
      <c r="Y698" s="4" t="str">
        <f t="shared" si="52"/>
        <v/>
      </c>
      <c r="Z698" s="5">
        <f t="shared" si="53"/>
        <v>1.19</v>
      </c>
      <c r="AA698" s="6">
        <f t="shared" si="54"/>
        <v>3</v>
      </c>
      <c r="AB698" t="str">
        <f>IFERROR(F698&amp;"*"&amp;ROUND(L698*(G698/(G698+I698+K698))/VLOOKUP(F698,商品!$A$4:$D$67,4,FALSE),0),"")</f>
        <v/>
      </c>
      <c r="AC698" t="str">
        <f>IFERROR(H698&amp;"*"&amp;ROUND(L698*(I698/(G698+I698+K698))/VLOOKUP(H698,商品!$A$4:$D$67,4,FALSE),0),"")</f>
        <v/>
      </c>
      <c r="AD698" t="str">
        <f>IFERROR(J698&amp;"*"&amp;ROUND(L698*(K698/(G698+I698+K698))/VLOOKUP(J698,商品!$A$4:$D$67,4,FALSE),0),"")</f>
        <v/>
      </c>
      <c r="AE698" t="str">
        <f>IFERROR(M698&amp;"*"&amp;ROUND(Q698*(N698/(N698+P698))/VLOOKUP(M698,职业!$A$3:$E$16,4,FALSE),0),"")</f>
        <v/>
      </c>
      <c r="AF698" t="str">
        <f>IFERROR(O698&amp;"*"&amp;ROUND(Q698*(P698/(N698+P698))/VLOOKUP(O698,职业!$A$3:$E$16,4,FALSE),0),"")</f>
        <v/>
      </c>
      <c r="AG698" t="str">
        <f>IFERROR(R698&amp;"*"&amp;ROUND(V698*(S698/(S698+U698))/VLOOKUP(R698,商品!$A$4:$D$67,4,FALSE),0),"")</f>
        <v/>
      </c>
      <c r="AH698" t="str">
        <f>IFERROR(T698&amp;"*"&amp;ROUND(V698*(U698/(S698+U698))/VLOOKUP(T698,商品!$A$4:$D$67,4,FALSE),0),"")</f>
        <v/>
      </c>
    </row>
    <row r="699" customHeight="1" spans="1:34">
      <c r="A699" s="15" t="s">
        <v>413</v>
      </c>
      <c r="C699" s="2">
        <v>4</v>
      </c>
      <c r="D699" s="2" t="s">
        <v>260</v>
      </c>
      <c r="E699" s="2" t="s">
        <v>224</v>
      </c>
      <c r="L699" s="2">
        <f>IFERROR(VLOOKUP($D699&amp;$C699,生产方式定位!$A$2:$E$39,2,FALSE)+VLOOKUP($E699&amp;$C699,生产方式定位!$F$3:$J$39,2,FALSE),0)</f>
        <v>5500</v>
      </c>
      <c r="Q699" s="2">
        <f>IFERROR(VLOOKUP($D699&amp;$C699,生产方式定位!$A$2:$E$39,3,FALSE)+VLOOKUP($E699&amp;$C699,生产方式定位!$F$3:$J$39,3,FALSE),0)</f>
        <v>1800</v>
      </c>
      <c r="V699" s="2">
        <f>IFERROR(VLOOKUP($D699&amp;$C699,生产方式定位!$A$2:$E$39,5,FALSE)+VLOOKUP($E699&amp;$C699,生产方式定位!$F$3:$J$39,5,FALSE),"错误")</f>
        <v>4160</v>
      </c>
      <c r="W699" s="3" t="str">
        <f t="shared" si="50"/>
        <v/>
      </c>
      <c r="X699" s="4" t="str">
        <f t="shared" si="51"/>
        <v/>
      </c>
      <c r="Y699" s="4" t="str">
        <f t="shared" si="52"/>
        <v/>
      </c>
      <c r="Z699" s="5">
        <f t="shared" si="53"/>
        <v>1.32</v>
      </c>
      <c r="AA699" s="6">
        <f t="shared" si="54"/>
        <v>4</v>
      </c>
      <c r="AB699" t="str">
        <f>IFERROR(F699&amp;"*"&amp;ROUND(L699*(G699/(G699+I699+K699))/VLOOKUP(F699,商品!$A$4:$D$67,4,FALSE),0),"")</f>
        <v/>
      </c>
      <c r="AC699" t="str">
        <f>IFERROR(H699&amp;"*"&amp;ROUND(L699*(I699/(G699+I699+K699))/VLOOKUP(H699,商品!$A$4:$D$67,4,FALSE),0),"")</f>
        <v/>
      </c>
      <c r="AD699" t="str">
        <f>IFERROR(J699&amp;"*"&amp;ROUND(L699*(K699/(G699+I699+K699))/VLOOKUP(J699,商品!$A$4:$D$67,4,FALSE),0),"")</f>
        <v/>
      </c>
      <c r="AE699" t="str">
        <f>IFERROR(M699&amp;"*"&amp;ROUND(Q699*(N699/(N699+P699))/VLOOKUP(M699,职业!$A$3:$E$16,4,FALSE),0),"")</f>
        <v/>
      </c>
      <c r="AF699" t="str">
        <f>IFERROR(O699&amp;"*"&amp;ROUND(Q699*(P699/(N699+P699))/VLOOKUP(O699,职业!$A$3:$E$16,4,FALSE),0),"")</f>
        <v/>
      </c>
      <c r="AG699" t="str">
        <f>IFERROR(R699&amp;"*"&amp;ROUND(V699*(S699/(S699+U699))/VLOOKUP(R699,商品!$A$4:$D$67,4,FALSE),0),"")</f>
        <v/>
      </c>
      <c r="AH699" t="str">
        <f>IFERROR(T699&amp;"*"&amp;ROUND(V699*(U699/(S699+U699))/VLOOKUP(T699,商品!$A$4:$D$67,4,FALSE),0),"")</f>
        <v/>
      </c>
    </row>
    <row r="700" customHeight="1" spans="1:34">
      <c r="A700" s="15" t="s">
        <v>413</v>
      </c>
      <c r="C700" s="2">
        <v>5</v>
      </c>
      <c r="D700" s="2" t="s">
        <v>260</v>
      </c>
      <c r="E700" s="2" t="s">
        <v>224</v>
      </c>
      <c r="L700" s="2">
        <f>IFERROR(VLOOKUP($D700&amp;$C700,生产方式定位!$A$2:$E$39,2,FALSE)+VLOOKUP($E700&amp;$C700,生产方式定位!$F$3:$J$39,2,FALSE),0)</f>
        <v>7000</v>
      </c>
      <c r="Q700" s="2">
        <f>IFERROR(VLOOKUP($D700&amp;$C700,生产方式定位!$A$2:$E$39,3,FALSE)+VLOOKUP($E700&amp;$C700,生产方式定位!$F$3:$J$39,3,FALSE),0)</f>
        <v>1400</v>
      </c>
      <c r="V700" s="2">
        <f>IFERROR(VLOOKUP($D700&amp;$C700,生产方式定位!$A$2:$E$39,5,FALSE)+VLOOKUP($E700&amp;$C700,生产方式定位!$F$3:$J$39,5,FALSE),"错误")</f>
        <v>5040</v>
      </c>
      <c r="W700" s="3" t="str">
        <f t="shared" si="50"/>
        <v/>
      </c>
      <c r="X700" s="4" t="str">
        <f t="shared" si="51"/>
        <v/>
      </c>
      <c r="Y700" s="4" t="str">
        <f t="shared" si="52"/>
        <v/>
      </c>
      <c r="Z700" s="5">
        <f t="shared" si="53"/>
        <v>1.39</v>
      </c>
      <c r="AA700" s="6">
        <f t="shared" si="54"/>
        <v>5</v>
      </c>
      <c r="AB700" t="str">
        <f>IFERROR(F700&amp;"*"&amp;ROUND(L700*(G700/(G700+I700+K700))/VLOOKUP(F700,商品!$A$4:$D$67,4,FALSE),0),"")</f>
        <v/>
      </c>
      <c r="AC700" t="str">
        <f>IFERROR(H700&amp;"*"&amp;ROUND(L700*(I700/(G700+I700+K700))/VLOOKUP(H700,商品!$A$4:$D$67,4,FALSE),0),"")</f>
        <v/>
      </c>
      <c r="AD700" t="str">
        <f>IFERROR(J700&amp;"*"&amp;ROUND(L700*(K700/(G700+I700+K700))/VLOOKUP(J700,商品!$A$4:$D$67,4,FALSE),0),"")</f>
        <v/>
      </c>
      <c r="AE700" t="str">
        <f>IFERROR(M700&amp;"*"&amp;ROUND(Q700*(N700/(N700+P700))/VLOOKUP(M700,职业!$A$3:$E$16,4,FALSE),0),"")</f>
        <v/>
      </c>
      <c r="AF700" t="str">
        <f>IFERROR(O700&amp;"*"&amp;ROUND(Q700*(P700/(N700+P700))/VLOOKUP(O700,职业!$A$3:$E$16,4,FALSE),0),"")</f>
        <v/>
      </c>
      <c r="AG700" t="str">
        <f>IFERROR(R700&amp;"*"&amp;ROUND(V700*(S700/(S700+U700))/VLOOKUP(R700,商品!$A$4:$D$67,4,FALSE),0),"")</f>
        <v/>
      </c>
      <c r="AH700" t="str">
        <f>IFERROR(T700&amp;"*"&amp;ROUND(V700*(U700/(S700+U700))/VLOOKUP(T700,商品!$A$4:$D$67,4,FALSE),0),"")</f>
        <v/>
      </c>
    </row>
    <row r="701" customHeight="1" spans="1:34">
      <c r="A701" s="15" t="s">
        <v>413</v>
      </c>
      <c r="C701" s="2">
        <v>1</v>
      </c>
      <c r="D701" s="2" t="s">
        <v>260</v>
      </c>
      <c r="E701" s="2" t="s">
        <v>224</v>
      </c>
      <c r="L701" s="2">
        <f>IFERROR(VLOOKUP($D701&amp;$C701,生产方式定位!$A$2:$E$39,2,FALSE)+VLOOKUP($E701&amp;$C701,生产方式定位!$F$3:$J$39,2,FALSE),0)</f>
        <v>0</v>
      </c>
      <c r="Q701" s="2">
        <f>IFERROR(VLOOKUP($D701&amp;$C701,生产方式定位!$A$2:$E$39,3,FALSE)+VLOOKUP($E701&amp;$C701,生产方式定位!$F$3:$J$39,3,FALSE),0)</f>
        <v>3000</v>
      </c>
      <c r="V701" s="2">
        <f>IFERROR(VLOOKUP($D701&amp;$C701,生产方式定位!$A$2:$E$39,5,FALSE)+VLOOKUP($E701&amp;$C701,生产方式定位!$F$3:$J$39,5,FALSE),"错误")</f>
        <v>1500</v>
      </c>
      <c r="W701" s="3" t="str">
        <f t="shared" si="50"/>
        <v/>
      </c>
      <c r="X701" s="4" t="str">
        <f t="shared" si="51"/>
        <v/>
      </c>
      <c r="Y701" s="4" t="str">
        <f t="shared" si="52"/>
        <v/>
      </c>
      <c r="Z701" s="5">
        <f t="shared" si="53"/>
        <v>0</v>
      </c>
      <c r="AA701" s="6">
        <f t="shared" si="54"/>
        <v>1</v>
      </c>
      <c r="AB701" t="str">
        <f>IFERROR(F701&amp;"*"&amp;ROUND(L701*(G701/(G701+I701+K701))/VLOOKUP(F701,商品!$A$4:$D$67,4,FALSE),0),"")</f>
        <v/>
      </c>
      <c r="AC701" t="str">
        <f>IFERROR(H701&amp;"*"&amp;ROUND(L701*(I701/(G701+I701+K701))/VLOOKUP(H701,商品!$A$4:$D$67,4,FALSE),0),"")</f>
        <v/>
      </c>
      <c r="AD701" t="str">
        <f>IFERROR(J701&amp;"*"&amp;ROUND(L701*(K701/(G701+I701+K701))/VLOOKUP(J701,商品!$A$4:$D$67,4,FALSE),0),"")</f>
        <v/>
      </c>
      <c r="AE701" t="str">
        <f>IFERROR(M701&amp;"*"&amp;ROUND(Q701*(N701/(N701+P701))/VLOOKUP(M701,职业!$A$3:$E$16,4,FALSE),0),"")</f>
        <v/>
      </c>
      <c r="AF701" t="str">
        <f>IFERROR(O701&amp;"*"&amp;ROUND(Q701*(P701/(N701+P701))/VLOOKUP(O701,职业!$A$3:$E$16,4,FALSE),0),"")</f>
        <v/>
      </c>
      <c r="AG701" t="str">
        <f>IFERROR(R701&amp;"*"&amp;ROUND(V701*(S701/(S701+U701))/VLOOKUP(R701,商品!$A$4:$D$67,4,FALSE),0),"")</f>
        <v/>
      </c>
      <c r="AH701" t="str">
        <f>IFERROR(T701&amp;"*"&amp;ROUND(V701*(U701/(S701+U701))/VLOOKUP(T701,商品!$A$4:$D$67,4,FALSE),0),"")</f>
        <v/>
      </c>
    </row>
    <row r="702" customHeight="1" spans="1:34">
      <c r="A702" s="14" t="s">
        <v>414</v>
      </c>
      <c r="C702" s="2">
        <v>2</v>
      </c>
      <c r="D702" s="2" t="s">
        <v>260</v>
      </c>
      <c r="E702" s="2" t="s">
        <v>225</v>
      </c>
      <c r="L702" s="2">
        <f>IFERROR(VLOOKUP($D702&amp;$C702,生产方式定位!$A$2:$E$39,2,FALSE)+VLOOKUP($E702&amp;$C702,生产方式定位!$F$3:$J$39,2,FALSE),0)</f>
        <v>500</v>
      </c>
      <c r="Q702" s="2">
        <f>IFERROR(VLOOKUP($D702&amp;$C702,生产方式定位!$A$2:$E$39,3,FALSE)+VLOOKUP($E702&amp;$C702,生产方式定位!$F$3:$J$39,3,FALSE),0)</f>
        <v>2800</v>
      </c>
      <c r="V702" s="2">
        <f>IFERROR(VLOOKUP($D702&amp;$C702,生产方式定位!$A$2:$E$39,5,FALSE)+VLOOKUP($E702&amp;$C702,生产方式定位!$F$3:$J$39,5,FALSE),"错误")</f>
        <v>1650</v>
      </c>
      <c r="W702" s="3" t="str">
        <f t="shared" si="50"/>
        <v/>
      </c>
      <c r="X702" s="4" t="str">
        <f t="shared" si="51"/>
        <v/>
      </c>
      <c r="Y702" s="4" t="str">
        <f t="shared" si="52"/>
        <v/>
      </c>
      <c r="Z702" s="5">
        <f t="shared" si="53"/>
        <v>0.3</v>
      </c>
      <c r="AA702" s="6">
        <f t="shared" si="54"/>
        <v>2</v>
      </c>
      <c r="AB702" t="str">
        <f>IFERROR(F702&amp;"*"&amp;ROUND(L702*(G702/(G702+I702+K702))/VLOOKUP(F702,商品!$A$4:$D$67,4,FALSE),0),"")</f>
        <v/>
      </c>
      <c r="AC702" t="str">
        <f>IFERROR(H702&amp;"*"&amp;ROUND(L702*(I702/(G702+I702+K702))/VLOOKUP(H702,商品!$A$4:$D$67,4,FALSE),0),"")</f>
        <v/>
      </c>
      <c r="AD702" t="str">
        <f>IFERROR(J702&amp;"*"&amp;ROUND(L702*(K702/(G702+I702+K702))/VLOOKUP(J702,商品!$A$4:$D$67,4,FALSE),0),"")</f>
        <v/>
      </c>
      <c r="AE702" t="str">
        <f>IFERROR(M702&amp;"*"&amp;ROUND(Q702*(N702/(N702+P702))/VLOOKUP(M702,职业!$A$3:$E$16,4,FALSE),0),"")</f>
        <v/>
      </c>
      <c r="AF702" t="str">
        <f>IFERROR(O702&amp;"*"&amp;ROUND(Q702*(P702/(N702+P702))/VLOOKUP(O702,职业!$A$3:$E$16,4,FALSE),0),"")</f>
        <v/>
      </c>
      <c r="AG702" t="str">
        <f>IFERROR(R702&amp;"*"&amp;ROUND(V702*(S702/(S702+U702))/VLOOKUP(R702,商品!$A$4:$D$67,4,FALSE),0),"")</f>
        <v/>
      </c>
      <c r="AH702" t="str">
        <f>IFERROR(T702&amp;"*"&amp;ROUND(V702*(U702/(S702+U702))/VLOOKUP(T702,商品!$A$4:$D$67,4,FALSE),0),"")</f>
        <v/>
      </c>
    </row>
    <row r="703" customHeight="1" spans="1:34">
      <c r="A703" s="14" t="s">
        <v>414</v>
      </c>
      <c r="C703" s="2">
        <v>3</v>
      </c>
      <c r="D703" s="2" t="s">
        <v>260</v>
      </c>
      <c r="E703" s="2" t="s">
        <v>225</v>
      </c>
      <c r="L703" s="2">
        <f>IFERROR(VLOOKUP($D703&amp;$C703,生产方式定位!$A$2:$E$39,2,FALSE)+VLOOKUP($E703&amp;$C703,生产方式定位!$F$3:$J$39,2,FALSE),0)</f>
        <v>1000</v>
      </c>
      <c r="Q703" s="2">
        <f>IFERROR(VLOOKUP($D703&amp;$C703,生产方式定位!$A$2:$E$39,3,FALSE)+VLOOKUP($E703&amp;$C703,生产方式定位!$F$3:$J$39,3,FALSE),0)</f>
        <v>2600</v>
      </c>
      <c r="V703" s="2">
        <f>IFERROR(VLOOKUP($D703&amp;$C703,生产方式定位!$A$2:$E$39,5,FALSE)+VLOOKUP($E703&amp;$C703,生产方式定位!$F$3:$J$39,5,FALSE),"错误")</f>
        <v>1800</v>
      </c>
      <c r="W703" s="3" t="str">
        <f t="shared" si="50"/>
        <v/>
      </c>
      <c r="X703" s="4" t="str">
        <f t="shared" si="51"/>
        <v/>
      </c>
      <c r="Y703" s="4" t="str">
        <f t="shared" si="52"/>
        <v/>
      </c>
      <c r="Z703" s="5">
        <f t="shared" si="53"/>
        <v>0.56</v>
      </c>
      <c r="AA703" s="6">
        <f t="shared" si="54"/>
        <v>3</v>
      </c>
      <c r="AB703" t="str">
        <f>IFERROR(F703&amp;"*"&amp;ROUND(L703*(G703/(G703+I703+K703))/VLOOKUP(F703,商品!$A$4:$D$67,4,FALSE),0),"")</f>
        <v/>
      </c>
      <c r="AC703" t="str">
        <f>IFERROR(H703&amp;"*"&amp;ROUND(L703*(I703/(G703+I703+K703))/VLOOKUP(H703,商品!$A$4:$D$67,4,FALSE),0),"")</f>
        <v/>
      </c>
      <c r="AD703" t="str">
        <f>IFERROR(J703&amp;"*"&amp;ROUND(L703*(K703/(G703+I703+K703))/VLOOKUP(J703,商品!$A$4:$D$67,4,FALSE),0),"")</f>
        <v/>
      </c>
      <c r="AE703" t="str">
        <f>IFERROR(M703&amp;"*"&amp;ROUND(Q703*(N703/(N703+P703))/VLOOKUP(M703,职业!$A$3:$E$16,4,FALSE),0),"")</f>
        <v/>
      </c>
      <c r="AF703" t="str">
        <f>IFERROR(O703&amp;"*"&amp;ROUND(Q703*(P703/(N703+P703))/VLOOKUP(O703,职业!$A$3:$E$16,4,FALSE),0),"")</f>
        <v/>
      </c>
      <c r="AG703" t="str">
        <f>IFERROR(R703&amp;"*"&amp;ROUND(V703*(S703/(S703+U703))/VLOOKUP(R703,商品!$A$4:$D$67,4,FALSE),0),"")</f>
        <v/>
      </c>
      <c r="AH703" t="str">
        <f>IFERROR(T703&amp;"*"&amp;ROUND(V703*(U703/(S703+U703))/VLOOKUP(T703,商品!$A$4:$D$67,4,FALSE),0),"")</f>
        <v/>
      </c>
    </row>
    <row r="704" customHeight="1" spans="1:34">
      <c r="A704" s="14" t="s">
        <v>414</v>
      </c>
      <c r="C704" s="2">
        <v>4</v>
      </c>
      <c r="D704" s="2" t="s">
        <v>260</v>
      </c>
      <c r="E704" s="2" t="s">
        <v>225</v>
      </c>
      <c r="L704" s="2">
        <f>IFERROR(VLOOKUP($D704&amp;$C704,生产方式定位!$A$2:$E$39,2,FALSE)+VLOOKUP($E704&amp;$C704,生产方式定位!$F$3:$J$39,2,FALSE),0)</f>
        <v>1500</v>
      </c>
      <c r="Q704" s="2">
        <f>IFERROR(VLOOKUP($D704&amp;$C704,生产方式定位!$A$2:$E$39,3,FALSE)+VLOOKUP($E704&amp;$C704,生产方式定位!$F$3:$J$39,3,FALSE),0)</f>
        <v>2400</v>
      </c>
      <c r="V704" s="2">
        <f>IFERROR(VLOOKUP($D704&amp;$C704,生产方式定位!$A$2:$E$39,5,FALSE)+VLOOKUP($E704&amp;$C704,生产方式定位!$F$3:$J$39,5,FALSE),"错误")</f>
        <v>1950</v>
      </c>
      <c r="W704" s="3" t="str">
        <f t="shared" si="50"/>
        <v/>
      </c>
      <c r="X704" s="4" t="str">
        <f t="shared" si="51"/>
        <v/>
      </c>
      <c r="Y704" s="4" t="str">
        <f t="shared" si="52"/>
        <v/>
      </c>
      <c r="Z704" s="5">
        <f t="shared" si="53"/>
        <v>0.77</v>
      </c>
      <c r="AA704" s="6">
        <f t="shared" si="54"/>
        <v>4</v>
      </c>
      <c r="AB704" t="str">
        <f>IFERROR(F704&amp;"*"&amp;ROUND(L704*(G704/(G704+I704+K704))/VLOOKUP(F704,商品!$A$4:$D$67,4,FALSE),0),"")</f>
        <v/>
      </c>
      <c r="AC704" t="str">
        <f>IFERROR(H704&amp;"*"&amp;ROUND(L704*(I704/(G704+I704+K704))/VLOOKUP(H704,商品!$A$4:$D$67,4,FALSE),0),"")</f>
        <v/>
      </c>
      <c r="AD704" t="str">
        <f>IFERROR(J704&amp;"*"&amp;ROUND(L704*(K704/(G704+I704+K704))/VLOOKUP(J704,商品!$A$4:$D$67,4,FALSE),0),"")</f>
        <v/>
      </c>
      <c r="AE704" t="str">
        <f>IFERROR(M704&amp;"*"&amp;ROUND(Q704*(N704/(N704+P704))/VLOOKUP(M704,职业!$A$3:$E$16,4,FALSE),0),"")</f>
        <v/>
      </c>
      <c r="AF704" t="str">
        <f>IFERROR(O704&amp;"*"&amp;ROUND(Q704*(P704/(N704+P704))/VLOOKUP(O704,职业!$A$3:$E$16,4,FALSE),0),"")</f>
        <v/>
      </c>
      <c r="AG704" t="str">
        <f>IFERROR(R704&amp;"*"&amp;ROUND(V704*(S704/(S704+U704))/VLOOKUP(R704,商品!$A$4:$D$67,4,FALSE),0),"")</f>
        <v/>
      </c>
      <c r="AH704" t="str">
        <f>IFERROR(T704&amp;"*"&amp;ROUND(V704*(U704/(S704+U704))/VLOOKUP(T704,商品!$A$4:$D$67,4,FALSE),0),"")</f>
        <v/>
      </c>
    </row>
    <row r="705" customHeight="1" spans="1:34">
      <c r="A705" s="14" t="s">
        <v>414</v>
      </c>
      <c r="C705" s="2">
        <v>5</v>
      </c>
      <c r="D705" s="2" t="s">
        <v>260</v>
      </c>
      <c r="E705" s="2" t="s">
        <v>225</v>
      </c>
      <c r="L705" s="2">
        <f>IFERROR(VLOOKUP($D705&amp;$C705,生产方式定位!$A$2:$E$39,2,FALSE)+VLOOKUP($E705&amp;$C705,生产方式定位!$F$3:$J$39,2,FALSE),0)</f>
        <v>2000</v>
      </c>
      <c r="Q705" s="2">
        <f>IFERROR(VLOOKUP($D705&amp;$C705,生产方式定位!$A$2:$E$39,3,FALSE)+VLOOKUP($E705&amp;$C705,生产方式定位!$F$3:$J$39,3,FALSE),0)</f>
        <v>2200</v>
      </c>
      <c r="V705" s="2">
        <f>IFERROR(VLOOKUP($D705&amp;$C705,生产方式定位!$A$2:$E$39,5,FALSE)+VLOOKUP($E705&amp;$C705,生产方式定位!$F$3:$J$39,5,FALSE),"错误")</f>
        <v>2100</v>
      </c>
      <c r="W705" s="3" t="str">
        <f t="shared" si="50"/>
        <v/>
      </c>
      <c r="X705" s="4" t="str">
        <f t="shared" si="51"/>
        <v/>
      </c>
      <c r="Y705" s="4" t="str">
        <f t="shared" si="52"/>
        <v/>
      </c>
      <c r="Z705" s="5">
        <f t="shared" si="53"/>
        <v>0.95</v>
      </c>
      <c r="AA705" s="6">
        <f t="shared" si="54"/>
        <v>5</v>
      </c>
      <c r="AB705" t="str">
        <f>IFERROR(F705&amp;"*"&amp;ROUND(L705*(G705/(G705+I705+K705))/VLOOKUP(F705,商品!$A$4:$D$67,4,FALSE),0),"")</f>
        <v/>
      </c>
      <c r="AC705" t="str">
        <f>IFERROR(H705&amp;"*"&amp;ROUND(L705*(I705/(G705+I705+K705))/VLOOKUP(H705,商品!$A$4:$D$67,4,FALSE),0),"")</f>
        <v/>
      </c>
      <c r="AD705" t="str">
        <f>IFERROR(J705&amp;"*"&amp;ROUND(L705*(K705/(G705+I705+K705))/VLOOKUP(J705,商品!$A$4:$D$67,4,FALSE),0),"")</f>
        <v/>
      </c>
      <c r="AE705" t="str">
        <f>IFERROR(M705&amp;"*"&amp;ROUND(Q705*(N705/(N705+P705))/VLOOKUP(M705,职业!$A$3:$E$16,4,FALSE),0),"")</f>
        <v/>
      </c>
      <c r="AF705" t="str">
        <f>IFERROR(O705&amp;"*"&amp;ROUND(Q705*(P705/(N705+P705))/VLOOKUP(O705,职业!$A$3:$E$16,4,FALSE),0),"")</f>
        <v/>
      </c>
      <c r="AG705" t="str">
        <f>IFERROR(R705&amp;"*"&amp;ROUND(V705*(S705/(S705+U705))/VLOOKUP(R705,商品!$A$4:$D$67,4,FALSE),0),"")</f>
        <v/>
      </c>
      <c r="AH705" t="str">
        <f>IFERROR(T705&amp;"*"&amp;ROUND(V705*(U705/(S705+U705))/VLOOKUP(T705,商品!$A$4:$D$67,4,FALSE),0),"")</f>
        <v/>
      </c>
    </row>
    <row r="706" customHeight="1" spans="1:34">
      <c r="A706" s="14" t="s">
        <v>414</v>
      </c>
      <c r="C706" s="2">
        <v>1</v>
      </c>
      <c r="D706" s="2" t="s">
        <v>260</v>
      </c>
      <c r="E706" s="2" t="s">
        <v>225</v>
      </c>
      <c r="L706" s="2">
        <f>IFERROR(VLOOKUP($D706&amp;$C706,生产方式定位!$A$2:$E$39,2,FALSE)+VLOOKUP($E706&amp;$C706,生产方式定位!$F$3:$J$39,2,FALSE),0)</f>
        <v>0</v>
      </c>
      <c r="Q706" s="2">
        <f>IFERROR(VLOOKUP($D706&amp;$C706,生产方式定位!$A$2:$E$39,3,FALSE)+VLOOKUP($E706&amp;$C706,生产方式定位!$F$3:$J$39,3,FALSE),0)</f>
        <v>3000</v>
      </c>
      <c r="V706" s="2">
        <f>IFERROR(VLOOKUP($D706&amp;$C706,生产方式定位!$A$2:$E$39,5,FALSE)+VLOOKUP($E706&amp;$C706,生产方式定位!$F$3:$J$39,5,FALSE),"错误")</f>
        <v>1500</v>
      </c>
      <c r="W706" s="3" t="str">
        <f t="shared" si="50"/>
        <v/>
      </c>
      <c r="X706" s="4" t="str">
        <f t="shared" si="51"/>
        <v/>
      </c>
      <c r="Y706" s="4" t="str">
        <f t="shared" si="52"/>
        <v/>
      </c>
      <c r="Z706" s="5">
        <f t="shared" si="53"/>
        <v>0</v>
      </c>
      <c r="AA706" s="6">
        <f t="shared" si="54"/>
        <v>1</v>
      </c>
      <c r="AB706" t="str">
        <f>IFERROR(F706&amp;"*"&amp;ROUND(L706*(G706/(G706+I706+K706))/VLOOKUP(F706,商品!$A$4:$D$67,4,FALSE),0),"")</f>
        <v/>
      </c>
      <c r="AC706" t="str">
        <f>IFERROR(H706&amp;"*"&amp;ROUND(L706*(I706/(G706+I706+K706))/VLOOKUP(H706,商品!$A$4:$D$67,4,FALSE),0),"")</f>
        <v/>
      </c>
      <c r="AD706" t="str">
        <f>IFERROR(J706&amp;"*"&amp;ROUND(L706*(K706/(G706+I706+K706))/VLOOKUP(J706,商品!$A$4:$D$67,4,FALSE),0),"")</f>
        <v/>
      </c>
      <c r="AE706" t="str">
        <f>IFERROR(M706&amp;"*"&amp;ROUND(Q706*(N706/(N706+P706))/VLOOKUP(M706,职业!$A$3:$E$16,4,FALSE),0),"")</f>
        <v/>
      </c>
      <c r="AF706" t="str">
        <f>IFERROR(O706&amp;"*"&amp;ROUND(Q706*(P706/(N706+P706))/VLOOKUP(O706,职业!$A$3:$E$16,4,FALSE),0),"")</f>
        <v/>
      </c>
      <c r="AG706" t="str">
        <f>IFERROR(R706&amp;"*"&amp;ROUND(V706*(S706/(S706+U706))/VLOOKUP(R706,商品!$A$4:$D$67,4,FALSE),0),"")</f>
        <v/>
      </c>
      <c r="AH706" t="str">
        <f>IFERROR(T706&amp;"*"&amp;ROUND(V706*(U706/(S706+U706))/VLOOKUP(T706,商品!$A$4:$D$67,4,FALSE),0),"")</f>
        <v/>
      </c>
    </row>
    <row r="707" customHeight="1" spans="1:34">
      <c r="A707" s="14" t="s">
        <v>414</v>
      </c>
      <c r="C707" s="2">
        <v>2</v>
      </c>
      <c r="D707" s="2" t="s">
        <v>260</v>
      </c>
      <c r="E707" s="2" t="s">
        <v>225</v>
      </c>
      <c r="L707" s="2">
        <f>IFERROR(VLOOKUP($D707&amp;$C707,生产方式定位!$A$2:$E$39,2,FALSE)+VLOOKUP($E707&amp;$C707,生产方式定位!$F$3:$J$39,2,FALSE),0)</f>
        <v>500</v>
      </c>
      <c r="Q707" s="2">
        <f>IFERROR(VLOOKUP($D707&amp;$C707,生产方式定位!$A$2:$E$39,3,FALSE)+VLOOKUP($E707&amp;$C707,生产方式定位!$F$3:$J$39,3,FALSE),0)</f>
        <v>2800</v>
      </c>
      <c r="V707" s="2">
        <f>IFERROR(VLOOKUP($D707&amp;$C707,生产方式定位!$A$2:$E$39,5,FALSE)+VLOOKUP($E707&amp;$C707,生产方式定位!$F$3:$J$39,5,FALSE),"错误")</f>
        <v>1650</v>
      </c>
      <c r="W707" s="3" t="str">
        <f t="shared" si="50"/>
        <v/>
      </c>
      <c r="X707" s="4" t="str">
        <f t="shared" si="51"/>
        <v/>
      </c>
      <c r="Y707" s="4" t="str">
        <f t="shared" si="52"/>
        <v/>
      </c>
      <c r="Z707" s="5">
        <f t="shared" si="53"/>
        <v>0.3</v>
      </c>
      <c r="AA707" s="6">
        <f t="shared" si="54"/>
        <v>2</v>
      </c>
      <c r="AB707" t="str">
        <f>IFERROR(F707&amp;"*"&amp;ROUND(L707*(G707/(G707+I707+K707))/VLOOKUP(F707,商品!$A$4:$D$67,4,FALSE),0),"")</f>
        <v/>
      </c>
      <c r="AC707" t="str">
        <f>IFERROR(H707&amp;"*"&amp;ROUND(L707*(I707/(G707+I707+K707))/VLOOKUP(H707,商品!$A$4:$D$67,4,FALSE),0),"")</f>
        <v/>
      </c>
      <c r="AD707" t="str">
        <f>IFERROR(J707&amp;"*"&amp;ROUND(L707*(K707/(G707+I707+K707))/VLOOKUP(J707,商品!$A$4:$D$67,4,FALSE),0),"")</f>
        <v/>
      </c>
      <c r="AE707" t="str">
        <f>IFERROR(M707&amp;"*"&amp;ROUND(Q707*(N707/(N707+P707))/VLOOKUP(M707,职业!$A$3:$E$16,4,FALSE),0),"")</f>
        <v/>
      </c>
      <c r="AF707" t="str">
        <f>IFERROR(O707&amp;"*"&amp;ROUND(Q707*(P707/(N707+P707))/VLOOKUP(O707,职业!$A$3:$E$16,4,FALSE),0),"")</f>
        <v/>
      </c>
      <c r="AG707" t="str">
        <f>IFERROR(R707&amp;"*"&amp;ROUND(V707*(S707/(S707+U707))/VLOOKUP(R707,商品!$A$4:$D$67,4,FALSE),0),"")</f>
        <v/>
      </c>
      <c r="AH707" t="str">
        <f>IFERROR(T707&amp;"*"&amp;ROUND(V707*(U707/(S707+U707))/VLOOKUP(T707,商品!$A$4:$D$67,4,FALSE),0),"")</f>
        <v/>
      </c>
    </row>
    <row r="708" customHeight="1" spans="1:34">
      <c r="A708" s="14" t="s">
        <v>414</v>
      </c>
      <c r="C708" s="2">
        <v>3</v>
      </c>
      <c r="D708" s="2" t="s">
        <v>260</v>
      </c>
      <c r="E708" s="2" t="s">
        <v>225</v>
      </c>
      <c r="L708" s="2">
        <f>IFERROR(VLOOKUP($D708&amp;$C708,生产方式定位!$A$2:$E$39,2,FALSE)+VLOOKUP($E708&amp;$C708,生产方式定位!$F$3:$J$39,2,FALSE),0)</f>
        <v>1000</v>
      </c>
      <c r="Q708" s="2">
        <f>IFERROR(VLOOKUP($D708&amp;$C708,生产方式定位!$A$2:$E$39,3,FALSE)+VLOOKUP($E708&amp;$C708,生产方式定位!$F$3:$J$39,3,FALSE),0)</f>
        <v>2600</v>
      </c>
      <c r="V708" s="2">
        <f>IFERROR(VLOOKUP($D708&amp;$C708,生产方式定位!$A$2:$E$39,5,FALSE)+VLOOKUP($E708&amp;$C708,生产方式定位!$F$3:$J$39,5,FALSE),"错误")</f>
        <v>1800</v>
      </c>
      <c r="W708" s="3" t="str">
        <f t="shared" si="50"/>
        <v/>
      </c>
      <c r="X708" s="4" t="str">
        <f t="shared" si="51"/>
        <v/>
      </c>
      <c r="Y708" s="4" t="str">
        <f t="shared" si="52"/>
        <v/>
      </c>
      <c r="Z708" s="5">
        <f t="shared" si="53"/>
        <v>0.56</v>
      </c>
      <c r="AA708" s="6">
        <f t="shared" si="54"/>
        <v>3</v>
      </c>
      <c r="AB708" t="str">
        <f>IFERROR(F708&amp;"*"&amp;ROUND(L708*(G708/(G708+I708+K708))/VLOOKUP(F708,商品!$A$4:$D$67,4,FALSE),0),"")</f>
        <v/>
      </c>
      <c r="AC708" t="str">
        <f>IFERROR(H708&amp;"*"&amp;ROUND(L708*(I708/(G708+I708+K708))/VLOOKUP(H708,商品!$A$4:$D$67,4,FALSE),0),"")</f>
        <v/>
      </c>
      <c r="AD708" t="str">
        <f>IFERROR(J708&amp;"*"&amp;ROUND(L708*(K708/(G708+I708+K708))/VLOOKUP(J708,商品!$A$4:$D$67,4,FALSE),0),"")</f>
        <v/>
      </c>
      <c r="AE708" t="str">
        <f>IFERROR(M708&amp;"*"&amp;ROUND(Q708*(N708/(N708+P708))/VLOOKUP(M708,职业!$A$3:$E$16,4,FALSE),0),"")</f>
        <v/>
      </c>
      <c r="AF708" t="str">
        <f>IFERROR(O708&amp;"*"&amp;ROUND(Q708*(P708/(N708+P708))/VLOOKUP(O708,职业!$A$3:$E$16,4,FALSE),0),"")</f>
        <v/>
      </c>
      <c r="AG708" t="str">
        <f>IFERROR(R708&amp;"*"&amp;ROUND(V708*(S708/(S708+U708))/VLOOKUP(R708,商品!$A$4:$D$67,4,FALSE),0),"")</f>
        <v/>
      </c>
      <c r="AH708" t="str">
        <f>IFERROR(T708&amp;"*"&amp;ROUND(V708*(U708/(S708+U708))/VLOOKUP(T708,商品!$A$4:$D$67,4,FALSE),0),"")</f>
        <v/>
      </c>
    </row>
    <row r="709" customHeight="1" spans="1:34">
      <c r="A709" s="14" t="s">
        <v>414</v>
      </c>
      <c r="C709" s="2">
        <v>4</v>
      </c>
      <c r="D709" s="2" t="s">
        <v>260</v>
      </c>
      <c r="E709" s="2" t="s">
        <v>225</v>
      </c>
      <c r="L709" s="2">
        <f>IFERROR(VLOOKUP($D709&amp;$C709,生产方式定位!$A$2:$E$39,2,FALSE)+VLOOKUP($E709&amp;$C709,生产方式定位!$F$3:$J$39,2,FALSE),0)</f>
        <v>1500</v>
      </c>
      <c r="Q709" s="2">
        <f>IFERROR(VLOOKUP($D709&amp;$C709,生产方式定位!$A$2:$E$39,3,FALSE)+VLOOKUP($E709&amp;$C709,生产方式定位!$F$3:$J$39,3,FALSE),0)</f>
        <v>2400</v>
      </c>
      <c r="V709" s="2">
        <f>IFERROR(VLOOKUP($D709&amp;$C709,生产方式定位!$A$2:$E$39,5,FALSE)+VLOOKUP($E709&amp;$C709,生产方式定位!$F$3:$J$39,5,FALSE),"错误")</f>
        <v>1950</v>
      </c>
      <c r="W709" s="3" t="str">
        <f t="shared" ref="W709:W772" si="55">IF(AB709="","",AB709)&amp;IF(AC709="","",","&amp;AC709)&amp;IF(AD709="","",","&amp;AD709)</f>
        <v/>
      </c>
      <c r="X709" s="4" t="str">
        <f t="shared" ref="X709:X772" si="56">IF(AE709="","",AE709)&amp;IF(AF709="","",","&amp;AF709)</f>
        <v/>
      </c>
      <c r="Y709" s="4" t="str">
        <f t="shared" ref="Y709:Y772" si="57">IF(AG709="","",AG709)&amp;IF(AH709="","",","&amp;AH709)</f>
        <v/>
      </c>
      <c r="Z709" s="5">
        <f t="shared" ref="Z709:Z772" si="58">IFERROR(ROUND(L709/V709,2),"")</f>
        <v>0.77</v>
      </c>
      <c r="AA709" s="6">
        <f t="shared" ref="AA709:AA772" si="59">C709</f>
        <v>4</v>
      </c>
      <c r="AB709" t="str">
        <f>IFERROR(F709&amp;"*"&amp;ROUND(L709*(G709/(G709+I709+K709))/VLOOKUP(F709,商品!$A$4:$D$67,4,FALSE),0),"")</f>
        <v/>
      </c>
      <c r="AC709" t="str">
        <f>IFERROR(H709&amp;"*"&amp;ROUND(L709*(I709/(G709+I709+K709))/VLOOKUP(H709,商品!$A$4:$D$67,4,FALSE),0),"")</f>
        <v/>
      </c>
      <c r="AD709" t="str">
        <f>IFERROR(J709&amp;"*"&amp;ROUND(L709*(K709/(G709+I709+K709))/VLOOKUP(J709,商品!$A$4:$D$67,4,FALSE),0),"")</f>
        <v/>
      </c>
      <c r="AE709" t="str">
        <f>IFERROR(M709&amp;"*"&amp;ROUND(Q709*(N709/(N709+P709))/VLOOKUP(M709,职业!$A$3:$E$16,4,FALSE),0),"")</f>
        <v/>
      </c>
      <c r="AF709" t="str">
        <f>IFERROR(O709&amp;"*"&amp;ROUND(Q709*(P709/(N709+P709))/VLOOKUP(O709,职业!$A$3:$E$16,4,FALSE),0),"")</f>
        <v/>
      </c>
      <c r="AG709" t="str">
        <f>IFERROR(R709&amp;"*"&amp;ROUND(V709*(S709/(S709+U709))/VLOOKUP(R709,商品!$A$4:$D$67,4,FALSE),0),"")</f>
        <v/>
      </c>
      <c r="AH709" t="str">
        <f>IFERROR(T709&amp;"*"&amp;ROUND(V709*(U709/(S709+U709))/VLOOKUP(T709,商品!$A$4:$D$67,4,FALSE),0),"")</f>
        <v/>
      </c>
    </row>
    <row r="710" customHeight="1" spans="1:34">
      <c r="A710" s="15" t="s">
        <v>416</v>
      </c>
      <c r="C710" s="2">
        <v>5</v>
      </c>
      <c r="D710" s="2" t="s">
        <v>260</v>
      </c>
      <c r="E710" s="2" t="s">
        <v>222</v>
      </c>
      <c r="L710" s="2">
        <f>IFERROR(VLOOKUP($D710&amp;$C710,生产方式定位!$A$2:$E$39,2,FALSE)+VLOOKUP($E710&amp;$C710,生产方式定位!$F$3:$J$39,2,FALSE),0)</f>
        <v>6000</v>
      </c>
      <c r="Q710" s="2">
        <f>IFERROR(VLOOKUP($D710&amp;$C710,生产方式定位!$A$2:$E$39,3,FALSE)+VLOOKUP($E710&amp;$C710,生产方式定位!$F$3:$J$39,3,FALSE),0)</f>
        <v>3000</v>
      </c>
      <c r="V710" s="2">
        <f>IFERROR(VLOOKUP($D710&amp;$C710,生产方式定位!$A$2:$E$39,5,FALSE)+VLOOKUP($E710&amp;$C710,生产方式定位!$F$3:$J$39,5,FALSE),"错误")</f>
        <v>5700</v>
      </c>
      <c r="W710" s="3" t="str">
        <f t="shared" si="55"/>
        <v/>
      </c>
      <c r="X710" s="4" t="str">
        <f t="shared" si="56"/>
        <v/>
      </c>
      <c r="Y710" s="4" t="str">
        <f t="shared" si="57"/>
        <v/>
      </c>
      <c r="Z710" s="5">
        <f t="shared" si="58"/>
        <v>1.05</v>
      </c>
      <c r="AA710" s="6">
        <f t="shared" si="59"/>
        <v>5</v>
      </c>
      <c r="AB710" t="str">
        <f>IFERROR(F710&amp;"*"&amp;ROUND(L710*(G710/(G710+I710+K710))/VLOOKUP(F710,商品!$A$4:$D$67,4,FALSE),0),"")</f>
        <v/>
      </c>
      <c r="AC710" t="str">
        <f>IFERROR(H710&amp;"*"&amp;ROUND(L710*(I710/(G710+I710+K710))/VLOOKUP(H710,商品!$A$4:$D$67,4,FALSE),0),"")</f>
        <v/>
      </c>
      <c r="AD710" t="str">
        <f>IFERROR(J710&amp;"*"&amp;ROUND(L710*(K710/(G710+I710+K710))/VLOOKUP(J710,商品!$A$4:$D$67,4,FALSE),0),"")</f>
        <v/>
      </c>
      <c r="AE710" t="str">
        <f>IFERROR(M710&amp;"*"&amp;ROUND(Q710*(N710/(N710+P710))/VLOOKUP(M710,职业!$A$3:$E$16,4,FALSE),0),"")</f>
        <v/>
      </c>
      <c r="AF710" t="str">
        <f>IFERROR(O710&amp;"*"&amp;ROUND(Q710*(P710/(N710+P710))/VLOOKUP(O710,职业!$A$3:$E$16,4,FALSE),0),"")</f>
        <v/>
      </c>
      <c r="AG710" t="str">
        <f>IFERROR(R710&amp;"*"&amp;ROUND(V710*(S710/(S710+U710))/VLOOKUP(R710,商品!$A$4:$D$67,4,FALSE),0),"")</f>
        <v/>
      </c>
      <c r="AH710" t="str">
        <f>IFERROR(T710&amp;"*"&amp;ROUND(V710*(U710/(S710+U710))/VLOOKUP(T710,商品!$A$4:$D$67,4,FALSE),0),"")</f>
        <v/>
      </c>
    </row>
    <row r="711" customHeight="1" spans="1:34">
      <c r="A711" s="15" t="s">
        <v>416</v>
      </c>
      <c r="C711" s="2">
        <v>1</v>
      </c>
      <c r="D711" s="2" t="s">
        <v>260</v>
      </c>
      <c r="E711" s="2" t="s">
        <v>222</v>
      </c>
      <c r="L711" s="2">
        <f>IFERROR(VLOOKUP($D711&amp;$C711,生产方式定位!$A$2:$E$39,2,FALSE)+VLOOKUP($E711&amp;$C711,生产方式定位!$F$3:$J$39,2,FALSE),0)</f>
        <v>0</v>
      </c>
      <c r="Q711" s="2">
        <f>IFERROR(VLOOKUP($D711&amp;$C711,生产方式定位!$A$2:$E$39,3,FALSE)+VLOOKUP($E711&amp;$C711,生产方式定位!$F$3:$J$39,3,FALSE),0)</f>
        <v>3000</v>
      </c>
      <c r="V711" s="2">
        <f>IFERROR(VLOOKUP($D711&amp;$C711,生产方式定位!$A$2:$E$39,5,FALSE)+VLOOKUP($E711&amp;$C711,生产方式定位!$F$3:$J$39,5,FALSE),"错误")</f>
        <v>1500</v>
      </c>
      <c r="W711" s="3" t="str">
        <f t="shared" si="55"/>
        <v/>
      </c>
      <c r="X711" s="4" t="str">
        <f t="shared" si="56"/>
        <v/>
      </c>
      <c r="Y711" s="4" t="str">
        <f t="shared" si="57"/>
        <v/>
      </c>
      <c r="Z711" s="5">
        <f t="shared" si="58"/>
        <v>0</v>
      </c>
      <c r="AA711" s="6">
        <f t="shared" si="59"/>
        <v>1</v>
      </c>
      <c r="AB711" t="str">
        <f>IFERROR(F711&amp;"*"&amp;ROUND(L711*(G711/(G711+I711+K711))/VLOOKUP(F711,商品!$A$4:$D$67,4,FALSE),0),"")</f>
        <v/>
      </c>
      <c r="AC711" t="str">
        <f>IFERROR(H711&amp;"*"&amp;ROUND(L711*(I711/(G711+I711+K711))/VLOOKUP(H711,商品!$A$4:$D$67,4,FALSE),0),"")</f>
        <v/>
      </c>
      <c r="AD711" t="str">
        <f>IFERROR(J711&amp;"*"&amp;ROUND(L711*(K711/(G711+I711+K711))/VLOOKUP(J711,商品!$A$4:$D$67,4,FALSE),0),"")</f>
        <v/>
      </c>
      <c r="AE711" t="str">
        <f>IFERROR(M711&amp;"*"&amp;ROUND(Q711*(N711/(N711+P711))/VLOOKUP(M711,职业!$A$3:$E$16,4,FALSE),0),"")</f>
        <v/>
      </c>
      <c r="AF711" t="str">
        <f>IFERROR(O711&amp;"*"&amp;ROUND(Q711*(P711/(N711+P711))/VLOOKUP(O711,职业!$A$3:$E$16,4,FALSE),0),"")</f>
        <v/>
      </c>
      <c r="AG711" t="str">
        <f>IFERROR(R711&amp;"*"&amp;ROUND(V711*(S711/(S711+U711))/VLOOKUP(R711,商品!$A$4:$D$67,4,FALSE),0),"")</f>
        <v/>
      </c>
      <c r="AH711" t="str">
        <f>IFERROR(T711&amp;"*"&amp;ROUND(V711*(U711/(S711+U711))/VLOOKUP(T711,商品!$A$4:$D$67,4,FALSE),0),"")</f>
        <v/>
      </c>
    </row>
    <row r="712" customHeight="1" spans="1:34">
      <c r="A712" s="15" t="s">
        <v>416</v>
      </c>
      <c r="C712" s="2">
        <v>2</v>
      </c>
      <c r="D712" s="2" t="s">
        <v>260</v>
      </c>
      <c r="E712" s="2" t="s">
        <v>222</v>
      </c>
      <c r="L712" s="2">
        <f>IFERROR(VLOOKUP($D712&amp;$C712,生产方式定位!$A$2:$E$39,2,FALSE)+VLOOKUP($E712&amp;$C712,生产方式定位!$F$3:$J$39,2,FALSE),0)</f>
        <v>1500</v>
      </c>
      <c r="Q712" s="2">
        <f>IFERROR(VLOOKUP($D712&amp;$C712,生产方式定位!$A$2:$E$39,3,FALSE)+VLOOKUP($E712&amp;$C712,生产方式定位!$F$3:$J$39,3,FALSE),0)</f>
        <v>3000</v>
      </c>
      <c r="V712" s="2">
        <f>IFERROR(VLOOKUP($D712&amp;$C712,生产方式定位!$A$2:$E$39,5,FALSE)+VLOOKUP($E712&amp;$C712,生产方式定位!$F$3:$J$39,5,FALSE),"错误")</f>
        <v>2322</v>
      </c>
      <c r="W712" s="3" t="str">
        <f t="shared" si="55"/>
        <v/>
      </c>
      <c r="X712" s="4" t="str">
        <f t="shared" si="56"/>
        <v/>
      </c>
      <c r="Y712" s="4" t="str">
        <f t="shared" si="57"/>
        <v/>
      </c>
      <c r="Z712" s="5">
        <f t="shared" si="58"/>
        <v>0.65</v>
      </c>
      <c r="AA712" s="6">
        <f t="shared" si="59"/>
        <v>2</v>
      </c>
      <c r="AB712" t="str">
        <f>IFERROR(F712&amp;"*"&amp;ROUND(L712*(G712/(G712+I712+K712))/VLOOKUP(F712,商品!$A$4:$D$67,4,FALSE),0),"")</f>
        <v/>
      </c>
      <c r="AC712" t="str">
        <f>IFERROR(H712&amp;"*"&amp;ROUND(L712*(I712/(G712+I712+K712))/VLOOKUP(H712,商品!$A$4:$D$67,4,FALSE),0),"")</f>
        <v/>
      </c>
      <c r="AD712" t="str">
        <f>IFERROR(J712&amp;"*"&amp;ROUND(L712*(K712/(G712+I712+K712))/VLOOKUP(J712,商品!$A$4:$D$67,4,FALSE),0),"")</f>
        <v/>
      </c>
      <c r="AE712" t="str">
        <f>IFERROR(M712&amp;"*"&amp;ROUND(Q712*(N712/(N712+P712))/VLOOKUP(M712,职业!$A$3:$E$16,4,FALSE),0),"")</f>
        <v/>
      </c>
      <c r="AF712" t="str">
        <f>IFERROR(O712&amp;"*"&amp;ROUND(Q712*(P712/(N712+P712))/VLOOKUP(O712,职业!$A$3:$E$16,4,FALSE),0),"")</f>
        <v/>
      </c>
      <c r="AG712" t="str">
        <f>IFERROR(R712&amp;"*"&amp;ROUND(V712*(S712/(S712+U712))/VLOOKUP(R712,商品!$A$4:$D$67,4,FALSE),0),"")</f>
        <v/>
      </c>
      <c r="AH712" t="str">
        <f>IFERROR(T712&amp;"*"&amp;ROUND(V712*(U712/(S712+U712))/VLOOKUP(T712,商品!$A$4:$D$67,4,FALSE),0),"")</f>
        <v/>
      </c>
    </row>
    <row r="713" customHeight="1" spans="1:34">
      <c r="A713" s="15" t="s">
        <v>416</v>
      </c>
      <c r="C713" s="2">
        <v>3</v>
      </c>
      <c r="D713" s="2" t="s">
        <v>260</v>
      </c>
      <c r="E713" s="2" t="s">
        <v>222</v>
      </c>
      <c r="L713" s="2">
        <f>IFERROR(VLOOKUP($D713&amp;$C713,生产方式定位!$A$2:$E$39,2,FALSE)+VLOOKUP($E713&amp;$C713,生产方式定位!$F$3:$J$39,2,FALSE),0)</f>
        <v>3000</v>
      </c>
      <c r="Q713" s="2">
        <f>IFERROR(VLOOKUP($D713&amp;$C713,生产方式定位!$A$2:$E$39,3,FALSE)+VLOOKUP($E713&amp;$C713,生产方式定位!$F$3:$J$39,3,FALSE),0)</f>
        <v>3000</v>
      </c>
      <c r="V713" s="2">
        <f>IFERROR(VLOOKUP($D713&amp;$C713,生产方式定位!$A$2:$E$39,5,FALSE)+VLOOKUP($E713&amp;$C713,生产方式定位!$F$3:$J$39,5,FALSE),"错误")</f>
        <v>3288</v>
      </c>
      <c r="W713" s="3" t="str">
        <f t="shared" si="55"/>
        <v/>
      </c>
      <c r="X713" s="4" t="str">
        <f t="shared" si="56"/>
        <v/>
      </c>
      <c r="Y713" s="4" t="str">
        <f t="shared" si="57"/>
        <v/>
      </c>
      <c r="Z713" s="5">
        <f t="shared" si="58"/>
        <v>0.91</v>
      </c>
      <c r="AA713" s="6">
        <f t="shared" si="59"/>
        <v>3</v>
      </c>
      <c r="AB713" t="str">
        <f>IFERROR(F713&amp;"*"&amp;ROUND(L713*(G713/(G713+I713+K713))/VLOOKUP(F713,商品!$A$4:$D$67,4,FALSE),0),"")</f>
        <v/>
      </c>
      <c r="AC713" t="str">
        <f>IFERROR(H713&amp;"*"&amp;ROUND(L713*(I713/(G713+I713+K713))/VLOOKUP(H713,商品!$A$4:$D$67,4,FALSE),0),"")</f>
        <v/>
      </c>
      <c r="AD713" t="str">
        <f>IFERROR(J713&amp;"*"&amp;ROUND(L713*(K713/(G713+I713+K713))/VLOOKUP(J713,商品!$A$4:$D$67,4,FALSE),0),"")</f>
        <v/>
      </c>
      <c r="AE713" t="str">
        <f>IFERROR(M713&amp;"*"&amp;ROUND(Q713*(N713/(N713+P713))/VLOOKUP(M713,职业!$A$3:$E$16,4,FALSE),0),"")</f>
        <v/>
      </c>
      <c r="AF713" t="str">
        <f>IFERROR(O713&amp;"*"&amp;ROUND(Q713*(P713/(N713+P713))/VLOOKUP(O713,职业!$A$3:$E$16,4,FALSE),0),"")</f>
        <v/>
      </c>
      <c r="AG713" t="str">
        <f>IFERROR(R713&amp;"*"&amp;ROUND(V713*(S713/(S713+U713))/VLOOKUP(R713,商品!$A$4:$D$67,4,FALSE),0),"")</f>
        <v/>
      </c>
      <c r="AH713" t="str">
        <f>IFERROR(T713&amp;"*"&amp;ROUND(V713*(U713/(S713+U713))/VLOOKUP(T713,商品!$A$4:$D$67,4,FALSE),0),"")</f>
        <v/>
      </c>
    </row>
    <row r="714" customHeight="1" spans="1:34">
      <c r="A714" s="15" t="s">
        <v>416</v>
      </c>
      <c r="C714" s="2">
        <v>4</v>
      </c>
      <c r="D714" s="2" t="s">
        <v>260</v>
      </c>
      <c r="E714" s="2" t="s">
        <v>222</v>
      </c>
      <c r="L714" s="2">
        <f>IFERROR(VLOOKUP($D714&amp;$C714,生产方式定位!$A$2:$E$39,2,FALSE)+VLOOKUP($E714&amp;$C714,生产方式定位!$F$3:$J$39,2,FALSE),0)</f>
        <v>4500</v>
      </c>
      <c r="Q714" s="2">
        <f>IFERROR(VLOOKUP($D714&amp;$C714,生产方式定位!$A$2:$E$39,3,FALSE)+VLOOKUP($E714&amp;$C714,生产方式定位!$F$3:$J$39,3,FALSE),0)</f>
        <v>3000</v>
      </c>
      <c r="V714" s="2">
        <f>IFERROR(VLOOKUP($D714&amp;$C714,生产方式定位!$A$2:$E$39,5,FALSE)+VLOOKUP($E714&amp;$C714,生产方式定位!$F$3:$J$39,5,FALSE),"错误")</f>
        <v>4398</v>
      </c>
      <c r="W714" s="3" t="str">
        <f t="shared" si="55"/>
        <v/>
      </c>
      <c r="X714" s="4" t="str">
        <f t="shared" si="56"/>
        <v/>
      </c>
      <c r="Y714" s="4" t="str">
        <f t="shared" si="57"/>
        <v/>
      </c>
      <c r="Z714" s="5">
        <f t="shared" si="58"/>
        <v>1.02</v>
      </c>
      <c r="AA714" s="6">
        <f t="shared" si="59"/>
        <v>4</v>
      </c>
      <c r="AB714" t="str">
        <f>IFERROR(F714&amp;"*"&amp;ROUND(L714*(G714/(G714+I714+K714))/VLOOKUP(F714,商品!$A$4:$D$67,4,FALSE),0),"")</f>
        <v/>
      </c>
      <c r="AC714" t="str">
        <f>IFERROR(H714&amp;"*"&amp;ROUND(L714*(I714/(G714+I714+K714))/VLOOKUP(H714,商品!$A$4:$D$67,4,FALSE),0),"")</f>
        <v/>
      </c>
      <c r="AD714" t="str">
        <f>IFERROR(J714&amp;"*"&amp;ROUND(L714*(K714/(G714+I714+K714))/VLOOKUP(J714,商品!$A$4:$D$67,4,FALSE),0),"")</f>
        <v/>
      </c>
      <c r="AE714" t="str">
        <f>IFERROR(M714&amp;"*"&amp;ROUND(Q714*(N714/(N714+P714))/VLOOKUP(M714,职业!$A$3:$E$16,4,FALSE),0),"")</f>
        <v/>
      </c>
      <c r="AF714" t="str">
        <f>IFERROR(O714&amp;"*"&amp;ROUND(Q714*(P714/(N714+P714))/VLOOKUP(O714,职业!$A$3:$E$16,4,FALSE),0),"")</f>
        <v/>
      </c>
      <c r="AG714" t="str">
        <f>IFERROR(R714&amp;"*"&amp;ROUND(V714*(S714/(S714+U714))/VLOOKUP(R714,商品!$A$4:$D$67,4,FALSE),0),"")</f>
        <v/>
      </c>
      <c r="AH714" t="str">
        <f>IFERROR(T714&amp;"*"&amp;ROUND(V714*(U714/(S714+U714))/VLOOKUP(T714,商品!$A$4:$D$67,4,FALSE),0),"")</f>
        <v/>
      </c>
    </row>
    <row r="715" customHeight="1" spans="1:34">
      <c r="A715" s="14" t="s">
        <v>417</v>
      </c>
      <c r="C715" s="2">
        <v>5</v>
      </c>
      <c r="D715" s="2" t="s">
        <v>260</v>
      </c>
      <c r="E715" s="2" t="s">
        <v>223</v>
      </c>
      <c r="L715" s="2">
        <f>IFERROR(VLOOKUP($D715&amp;$C715,生产方式定位!$A$2:$E$39,2,FALSE)+VLOOKUP($E715&amp;$C715,生产方式定位!$F$3:$J$39,2,FALSE),0)</f>
        <v>6000</v>
      </c>
      <c r="Q715" s="2">
        <f>IFERROR(VLOOKUP($D715&amp;$C715,生产方式定位!$A$2:$E$39,3,FALSE)+VLOOKUP($E715&amp;$C715,生产方式定位!$F$3:$J$39,3,FALSE),0)</f>
        <v>7200</v>
      </c>
      <c r="V715" s="2">
        <f>IFERROR(VLOOKUP($D715&amp;$C715,生产方式定位!$A$2:$E$39,5,FALSE)+VLOOKUP($E715&amp;$C715,生产方式定位!$F$3:$J$39,5,FALSE),"错误")</f>
        <v>7163</v>
      </c>
      <c r="W715" s="3" t="str">
        <f t="shared" si="55"/>
        <v/>
      </c>
      <c r="X715" s="4" t="str">
        <f t="shared" si="56"/>
        <v/>
      </c>
      <c r="Y715" s="4" t="str">
        <f t="shared" si="57"/>
        <v/>
      </c>
      <c r="Z715" s="5">
        <f t="shared" si="58"/>
        <v>0.84</v>
      </c>
      <c r="AA715" s="6">
        <f t="shared" si="59"/>
        <v>5</v>
      </c>
      <c r="AB715" t="str">
        <f>IFERROR(F715&amp;"*"&amp;ROUND(L715*(G715/(G715+I715+K715))/VLOOKUP(F715,商品!$A$4:$D$67,4,FALSE),0),"")</f>
        <v/>
      </c>
      <c r="AC715" t="str">
        <f>IFERROR(H715&amp;"*"&amp;ROUND(L715*(I715/(G715+I715+K715))/VLOOKUP(H715,商品!$A$4:$D$67,4,FALSE),0),"")</f>
        <v/>
      </c>
      <c r="AD715" t="str">
        <f>IFERROR(J715&amp;"*"&amp;ROUND(L715*(K715/(G715+I715+K715))/VLOOKUP(J715,商品!$A$4:$D$67,4,FALSE),0),"")</f>
        <v/>
      </c>
      <c r="AE715" t="str">
        <f>IFERROR(M715&amp;"*"&amp;ROUND(Q715*(N715/(N715+P715))/VLOOKUP(M715,职业!$A$3:$E$16,4,FALSE),0),"")</f>
        <v/>
      </c>
      <c r="AF715" t="str">
        <f>IFERROR(O715&amp;"*"&amp;ROUND(Q715*(P715/(N715+P715))/VLOOKUP(O715,职业!$A$3:$E$16,4,FALSE),0),"")</f>
        <v/>
      </c>
      <c r="AG715" t="str">
        <f>IFERROR(R715&amp;"*"&amp;ROUND(V715*(S715/(S715+U715))/VLOOKUP(R715,商品!$A$4:$D$67,4,FALSE),0),"")</f>
        <v/>
      </c>
      <c r="AH715" t="str">
        <f>IFERROR(T715&amp;"*"&amp;ROUND(V715*(U715/(S715+U715))/VLOOKUP(T715,商品!$A$4:$D$67,4,FALSE),0),"")</f>
        <v/>
      </c>
    </row>
    <row r="716" customHeight="1" spans="1:34">
      <c r="A716" s="14" t="s">
        <v>417</v>
      </c>
      <c r="C716" s="2">
        <v>1</v>
      </c>
      <c r="D716" s="2" t="s">
        <v>260</v>
      </c>
      <c r="E716" s="2" t="s">
        <v>223</v>
      </c>
      <c r="L716" s="2">
        <f>IFERROR(VLOOKUP($D716&amp;$C716,生产方式定位!$A$2:$E$39,2,FALSE)+VLOOKUP($E716&amp;$C716,生产方式定位!$F$3:$J$39,2,FALSE),0)</f>
        <v>0</v>
      </c>
      <c r="Q716" s="2">
        <f>IFERROR(VLOOKUP($D716&amp;$C716,生产方式定位!$A$2:$E$39,3,FALSE)+VLOOKUP($E716&amp;$C716,生产方式定位!$F$3:$J$39,3,FALSE),0)</f>
        <v>3000</v>
      </c>
      <c r="V716" s="2">
        <f>IFERROR(VLOOKUP($D716&amp;$C716,生产方式定位!$A$2:$E$39,5,FALSE)+VLOOKUP($E716&amp;$C716,生产方式定位!$F$3:$J$39,5,FALSE),"错误")</f>
        <v>1500</v>
      </c>
      <c r="W716" s="3" t="str">
        <f t="shared" si="55"/>
        <v/>
      </c>
      <c r="X716" s="4" t="str">
        <f t="shared" si="56"/>
        <v/>
      </c>
      <c r="Y716" s="4" t="str">
        <f t="shared" si="57"/>
        <v/>
      </c>
      <c r="Z716" s="5">
        <f t="shared" si="58"/>
        <v>0</v>
      </c>
      <c r="AA716" s="6">
        <f t="shared" si="59"/>
        <v>1</v>
      </c>
      <c r="AB716" t="str">
        <f>IFERROR(F716&amp;"*"&amp;ROUND(L716*(G716/(G716+I716+K716))/VLOOKUP(F716,商品!$A$4:$D$67,4,FALSE),0),"")</f>
        <v/>
      </c>
      <c r="AC716" t="str">
        <f>IFERROR(H716&amp;"*"&amp;ROUND(L716*(I716/(G716+I716+K716))/VLOOKUP(H716,商品!$A$4:$D$67,4,FALSE),0),"")</f>
        <v/>
      </c>
      <c r="AD716" t="str">
        <f>IFERROR(J716&amp;"*"&amp;ROUND(L716*(K716/(G716+I716+K716))/VLOOKUP(J716,商品!$A$4:$D$67,4,FALSE),0),"")</f>
        <v/>
      </c>
      <c r="AE716" t="str">
        <f>IFERROR(M716&amp;"*"&amp;ROUND(Q716*(N716/(N716+P716))/VLOOKUP(M716,职业!$A$3:$E$16,4,FALSE),0),"")</f>
        <v/>
      </c>
      <c r="AF716" t="str">
        <f>IFERROR(O716&amp;"*"&amp;ROUND(Q716*(P716/(N716+P716))/VLOOKUP(O716,职业!$A$3:$E$16,4,FALSE),0),"")</f>
        <v/>
      </c>
      <c r="AG716" t="str">
        <f>IFERROR(R716&amp;"*"&amp;ROUND(V716*(S716/(S716+U716))/VLOOKUP(R716,商品!$A$4:$D$67,4,FALSE),0),"")</f>
        <v/>
      </c>
      <c r="AH716" t="str">
        <f>IFERROR(T716&amp;"*"&amp;ROUND(V716*(U716/(S716+U716))/VLOOKUP(T716,商品!$A$4:$D$67,4,FALSE),0),"")</f>
        <v/>
      </c>
    </row>
    <row r="717" customHeight="1" spans="1:34">
      <c r="A717" s="14" t="s">
        <v>417</v>
      </c>
      <c r="C717" s="2">
        <v>2</v>
      </c>
      <c r="D717" s="2" t="s">
        <v>260</v>
      </c>
      <c r="E717" s="2" t="s">
        <v>223</v>
      </c>
      <c r="L717" s="2">
        <f>IFERROR(VLOOKUP($D717&amp;$C717,生产方式定位!$A$2:$E$39,2,FALSE)+VLOOKUP($E717&amp;$C717,生产方式定位!$F$3:$J$39,2,FALSE),0)</f>
        <v>1500</v>
      </c>
      <c r="Q717" s="2">
        <f>IFERROR(VLOOKUP($D717&amp;$C717,生产方式定位!$A$2:$E$39,3,FALSE)+VLOOKUP($E717&amp;$C717,生产方式定位!$F$3:$J$39,3,FALSE),0)</f>
        <v>4800</v>
      </c>
      <c r="V717" s="2">
        <f>IFERROR(VLOOKUP($D717&amp;$C717,生产方式定位!$A$2:$E$39,5,FALSE)+VLOOKUP($E717&amp;$C717,生产方式定位!$F$3:$J$39,5,FALSE),"错误")</f>
        <v>3195</v>
      </c>
      <c r="W717" s="3" t="str">
        <f t="shared" si="55"/>
        <v/>
      </c>
      <c r="X717" s="4" t="str">
        <f t="shared" si="56"/>
        <v/>
      </c>
      <c r="Y717" s="4" t="str">
        <f t="shared" si="57"/>
        <v/>
      </c>
      <c r="Z717" s="5">
        <f t="shared" si="58"/>
        <v>0.47</v>
      </c>
      <c r="AA717" s="6">
        <f t="shared" si="59"/>
        <v>2</v>
      </c>
      <c r="AB717" t="str">
        <f>IFERROR(F717&amp;"*"&amp;ROUND(L717*(G717/(G717+I717+K717))/VLOOKUP(F717,商品!$A$4:$D$67,4,FALSE),0),"")</f>
        <v/>
      </c>
      <c r="AC717" t="str">
        <f>IFERROR(H717&amp;"*"&amp;ROUND(L717*(I717/(G717+I717+K717))/VLOOKUP(H717,商品!$A$4:$D$67,4,FALSE),0),"")</f>
        <v/>
      </c>
      <c r="AD717" t="str">
        <f>IFERROR(J717&amp;"*"&amp;ROUND(L717*(K717/(G717+I717+K717))/VLOOKUP(J717,商品!$A$4:$D$67,4,FALSE),0),"")</f>
        <v/>
      </c>
      <c r="AE717" t="str">
        <f>IFERROR(M717&amp;"*"&amp;ROUND(Q717*(N717/(N717+P717))/VLOOKUP(M717,职业!$A$3:$E$16,4,FALSE),0),"")</f>
        <v/>
      </c>
      <c r="AF717" t="str">
        <f>IFERROR(O717&amp;"*"&amp;ROUND(Q717*(P717/(N717+P717))/VLOOKUP(O717,职业!$A$3:$E$16,4,FALSE),0),"")</f>
        <v/>
      </c>
      <c r="AG717" t="str">
        <f>IFERROR(R717&amp;"*"&amp;ROUND(V717*(S717/(S717+U717))/VLOOKUP(R717,商品!$A$4:$D$67,4,FALSE),0),"")</f>
        <v/>
      </c>
      <c r="AH717" t="str">
        <f>IFERROR(T717&amp;"*"&amp;ROUND(V717*(U717/(S717+U717))/VLOOKUP(T717,商品!$A$4:$D$67,4,FALSE),0),"")</f>
        <v/>
      </c>
    </row>
    <row r="718" customHeight="1" spans="1:34">
      <c r="A718" s="14" t="s">
        <v>417</v>
      </c>
      <c r="C718" s="2">
        <v>3</v>
      </c>
      <c r="D718" s="2" t="s">
        <v>260</v>
      </c>
      <c r="E718" s="2" t="s">
        <v>223</v>
      </c>
      <c r="L718" s="2">
        <f>IFERROR(VLOOKUP($D718&amp;$C718,生产方式定位!$A$2:$E$39,2,FALSE)+VLOOKUP($E718&amp;$C718,生产方式定位!$F$3:$J$39,2,FALSE),0)</f>
        <v>3000</v>
      </c>
      <c r="Q718" s="2">
        <f>IFERROR(VLOOKUP($D718&amp;$C718,生产方式定位!$A$2:$E$39,3,FALSE)+VLOOKUP($E718&amp;$C718,生产方式定位!$F$3:$J$39,3,FALSE),0)</f>
        <v>5600</v>
      </c>
      <c r="V718" s="2">
        <f>IFERROR(VLOOKUP($D718&amp;$C718,生产方式定位!$A$2:$E$39,5,FALSE)+VLOOKUP($E718&amp;$C718,生产方式定位!$F$3:$J$39,5,FALSE),"错误")</f>
        <v>4450</v>
      </c>
      <c r="W718" s="3" t="str">
        <f t="shared" si="55"/>
        <v/>
      </c>
      <c r="X718" s="4" t="str">
        <f t="shared" si="56"/>
        <v/>
      </c>
      <c r="Y718" s="4" t="str">
        <f t="shared" si="57"/>
        <v/>
      </c>
      <c r="Z718" s="5">
        <f t="shared" si="58"/>
        <v>0.67</v>
      </c>
      <c r="AA718" s="6">
        <f t="shared" si="59"/>
        <v>3</v>
      </c>
      <c r="AB718" t="str">
        <f>IFERROR(F718&amp;"*"&amp;ROUND(L718*(G718/(G718+I718+K718))/VLOOKUP(F718,商品!$A$4:$D$67,4,FALSE),0),"")</f>
        <v/>
      </c>
      <c r="AC718" t="str">
        <f>IFERROR(H718&amp;"*"&amp;ROUND(L718*(I718/(G718+I718+K718))/VLOOKUP(H718,商品!$A$4:$D$67,4,FALSE),0),"")</f>
        <v/>
      </c>
      <c r="AD718" t="str">
        <f>IFERROR(J718&amp;"*"&amp;ROUND(L718*(K718/(G718+I718+K718))/VLOOKUP(J718,商品!$A$4:$D$67,4,FALSE),0),"")</f>
        <v/>
      </c>
      <c r="AE718" t="str">
        <f>IFERROR(M718&amp;"*"&amp;ROUND(Q718*(N718/(N718+P718))/VLOOKUP(M718,职业!$A$3:$E$16,4,FALSE),0),"")</f>
        <v/>
      </c>
      <c r="AF718" t="str">
        <f>IFERROR(O718&amp;"*"&amp;ROUND(Q718*(P718/(N718+P718))/VLOOKUP(O718,职业!$A$3:$E$16,4,FALSE),0),"")</f>
        <v/>
      </c>
      <c r="AG718" t="str">
        <f>IFERROR(R718&amp;"*"&amp;ROUND(V718*(S718/(S718+U718))/VLOOKUP(R718,商品!$A$4:$D$67,4,FALSE),0),"")</f>
        <v/>
      </c>
      <c r="AH718" t="str">
        <f>IFERROR(T718&amp;"*"&amp;ROUND(V718*(U718/(S718+U718))/VLOOKUP(T718,商品!$A$4:$D$67,4,FALSE),0),"")</f>
        <v/>
      </c>
    </row>
    <row r="719" customHeight="1" spans="1:34">
      <c r="A719" s="14" t="s">
        <v>417</v>
      </c>
      <c r="C719" s="2">
        <v>4</v>
      </c>
      <c r="D719" s="2" t="s">
        <v>260</v>
      </c>
      <c r="E719" s="2" t="s">
        <v>223</v>
      </c>
      <c r="L719" s="2">
        <f>IFERROR(VLOOKUP($D719&amp;$C719,生产方式定位!$A$2:$E$39,2,FALSE)+VLOOKUP($E719&amp;$C719,生产方式定位!$F$3:$J$39,2,FALSE),0)</f>
        <v>4500</v>
      </c>
      <c r="Q719" s="2">
        <f>IFERROR(VLOOKUP($D719&amp;$C719,生产方式定位!$A$2:$E$39,3,FALSE)+VLOOKUP($E719&amp;$C719,生产方式定位!$F$3:$J$39,3,FALSE),0)</f>
        <v>6400</v>
      </c>
      <c r="V719" s="2">
        <f>IFERROR(VLOOKUP($D719&amp;$C719,生产方式定位!$A$2:$E$39,5,FALSE)+VLOOKUP($E719&amp;$C719,生产方式定位!$F$3:$J$39,5,FALSE),"错误")</f>
        <v>5765</v>
      </c>
      <c r="W719" s="3" t="str">
        <f t="shared" si="55"/>
        <v/>
      </c>
      <c r="X719" s="4" t="str">
        <f t="shared" si="56"/>
        <v/>
      </c>
      <c r="Y719" s="4" t="str">
        <f t="shared" si="57"/>
        <v/>
      </c>
      <c r="Z719" s="5">
        <f t="shared" si="58"/>
        <v>0.78</v>
      </c>
      <c r="AA719" s="6">
        <f t="shared" si="59"/>
        <v>4</v>
      </c>
      <c r="AB719" t="str">
        <f>IFERROR(F719&amp;"*"&amp;ROUND(L719*(G719/(G719+I719+K719))/VLOOKUP(F719,商品!$A$4:$D$67,4,FALSE),0),"")</f>
        <v/>
      </c>
      <c r="AC719" t="str">
        <f>IFERROR(H719&amp;"*"&amp;ROUND(L719*(I719/(G719+I719+K719))/VLOOKUP(H719,商品!$A$4:$D$67,4,FALSE),0),"")</f>
        <v/>
      </c>
      <c r="AD719" t="str">
        <f>IFERROR(J719&amp;"*"&amp;ROUND(L719*(K719/(G719+I719+K719))/VLOOKUP(J719,商品!$A$4:$D$67,4,FALSE),0),"")</f>
        <v/>
      </c>
      <c r="AE719" t="str">
        <f>IFERROR(M719&amp;"*"&amp;ROUND(Q719*(N719/(N719+P719))/VLOOKUP(M719,职业!$A$3:$E$16,4,FALSE),0),"")</f>
        <v/>
      </c>
      <c r="AF719" t="str">
        <f>IFERROR(O719&amp;"*"&amp;ROUND(Q719*(P719/(N719+P719))/VLOOKUP(O719,职业!$A$3:$E$16,4,FALSE),0),"")</f>
        <v/>
      </c>
      <c r="AG719" t="str">
        <f>IFERROR(R719&amp;"*"&amp;ROUND(V719*(S719/(S719+U719))/VLOOKUP(R719,商品!$A$4:$D$67,4,FALSE),0),"")</f>
        <v/>
      </c>
      <c r="AH719" t="str">
        <f>IFERROR(T719&amp;"*"&amp;ROUND(V719*(U719/(S719+U719))/VLOOKUP(T719,商品!$A$4:$D$67,4,FALSE),0),"")</f>
        <v/>
      </c>
    </row>
    <row r="720" customHeight="1" spans="1:34">
      <c r="A720" s="15" t="s">
        <v>418</v>
      </c>
      <c r="C720" s="2">
        <v>5</v>
      </c>
      <c r="D720" s="2" t="s">
        <v>260</v>
      </c>
      <c r="E720" s="2" t="s">
        <v>224</v>
      </c>
      <c r="L720" s="2">
        <f>IFERROR(VLOOKUP($D720&amp;$C720,生产方式定位!$A$2:$E$39,2,FALSE)+VLOOKUP($E720&amp;$C720,生产方式定位!$F$3:$J$39,2,FALSE),0)</f>
        <v>7000</v>
      </c>
      <c r="Q720" s="2">
        <f>IFERROR(VLOOKUP($D720&amp;$C720,生产方式定位!$A$2:$E$39,3,FALSE)+VLOOKUP($E720&amp;$C720,生产方式定位!$F$3:$J$39,3,FALSE),0)</f>
        <v>1400</v>
      </c>
      <c r="V720" s="2">
        <f>IFERROR(VLOOKUP($D720&amp;$C720,生产方式定位!$A$2:$E$39,5,FALSE)+VLOOKUP($E720&amp;$C720,生产方式定位!$F$3:$J$39,5,FALSE),"错误")</f>
        <v>5040</v>
      </c>
      <c r="W720" s="3" t="str">
        <f t="shared" si="55"/>
        <v/>
      </c>
      <c r="X720" s="4" t="str">
        <f t="shared" si="56"/>
        <v/>
      </c>
      <c r="Y720" s="4" t="str">
        <f t="shared" si="57"/>
        <v/>
      </c>
      <c r="Z720" s="5">
        <f t="shared" si="58"/>
        <v>1.39</v>
      </c>
      <c r="AA720" s="6">
        <f t="shared" si="59"/>
        <v>5</v>
      </c>
      <c r="AB720" t="str">
        <f>IFERROR(F720&amp;"*"&amp;ROUND(L720*(G720/(G720+I720+K720))/VLOOKUP(F720,商品!$A$4:$D$67,4,FALSE),0),"")</f>
        <v/>
      </c>
      <c r="AC720" t="str">
        <f>IFERROR(H720&amp;"*"&amp;ROUND(L720*(I720/(G720+I720+K720))/VLOOKUP(H720,商品!$A$4:$D$67,4,FALSE),0),"")</f>
        <v/>
      </c>
      <c r="AD720" t="str">
        <f>IFERROR(J720&amp;"*"&amp;ROUND(L720*(K720/(G720+I720+K720))/VLOOKUP(J720,商品!$A$4:$D$67,4,FALSE),0),"")</f>
        <v/>
      </c>
      <c r="AE720" t="str">
        <f>IFERROR(M720&amp;"*"&amp;ROUND(Q720*(N720/(N720+P720))/VLOOKUP(M720,职业!$A$3:$E$16,4,FALSE),0),"")</f>
        <v/>
      </c>
      <c r="AF720" t="str">
        <f>IFERROR(O720&amp;"*"&amp;ROUND(Q720*(P720/(N720+P720))/VLOOKUP(O720,职业!$A$3:$E$16,4,FALSE),0),"")</f>
        <v/>
      </c>
      <c r="AG720" t="str">
        <f>IFERROR(R720&amp;"*"&amp;ROUND(V720*(S720/(S720+U720))/VLOOKUP(R720,商品!$A$4:$D$67,4,FALSE),0),"")</f>
        <v/>
      </c>
      <c r="AH720" t="str">
        <f>IFERROR(T720&amp;"*"&amp;ROUND(V720*(U720/(S720+U720))/VLOOKUP(T720,商品!$A$4:$D$67,4,FALSE),0),"")</f>
        <v/>
      </c>
    </row>
    <row r="721" customHeight="1" spans="1:34">
      <c r="A721" s="15" t="s">
        <v>418</v>
      </c>
      <c r="C721" s="2">
        <v>1</v>
      </c>
      <c r="D721" s="2" t="s">
        <v>260</v>
      </c>
      <c r="E721" s="2" t="s">
        <v>224</v>
      </c>
      <c r="L721" s="2">
        <f>IFERROR(VLOOKUP($D721&amp;$C721,生产方式定位!$A$2:$E$39,2,FALSE)+VLOOKUP($E721&amp;$C721,生产方式定位!$F$3:$J$39,2,FALSE),0)</f>
        <v>0</v>
      </c>
      <c r="Q721" s="2">
        <f>IFERROR(VLOOKUP($D721&amp;$C721,生产方式定位!$A$2:$E$39,3,FALSE)+VLOOKUP($E721&amp;$C721,生产方式定位!$F$3:$J$39,3,FALSE),0)</f>
        <v>3000</v>
      </c>
      <c r="V721" s="2">
        <f>IFERROR(VLOOKUP($D721&amp;$C721,生产方式定位!$A$2:$E$39,5,FALSE)+VLOOKUP($E721&amp;$C721,生产方式定位!$F$3:$J$39,5,FALSE),"错误")</f>
        <v>1500</v>
      </c>
      <c r="W721" s="3" t="str">
        <f t="shared" si="55"/>
        <v/>
      </c>
      <c r="X721" s="4" t="str">
        <f t="shared" si="56"/>
        <v/>
      </c>
      <c r="Y721" s="4" t="str">
        <f t="shared" si="57"/>
        <v/>
      </c>
      <c r="Z721" s="5">
        <f t="shared" si="58"/>
        <v>0</v>
      </c>
      <c r="AA721" s="6">
        <f t="shared" si="59"/>
        <v>1</v>
      </c>
      <c r="AB721" t="str">
        <f>IFERROR(F721&amp;"*"&amp;ROUND(L721*(G721/(G721+I721+K721))/VLOOKUP(F721,商品!$A$4:$D$67,4,FALSE),0),"")</f>
        <v/>
      </c>
      <c r="AC721" t="str">
        <f>IFERROR(H721&amp;"*"&amp;ROUND(L721*(I721/(G721+I721+K721))/VLOOKUP(H721,商品!$A$4:$D$67,4,FALSE),0),"")</f>
        <v/>
      </c>
      <c r="AD721" t="str">
        <f>IFERROR(J721&amp;"*"&amp;ROUND(L721*(K721/(G721+I721+K721))/VLOOKUP(J721,商品!$A$4:$D$67,4,FALSE),0),"")</f>
        <v/>
      </c>
      <c r="AE721" t="str">
        <f>IFERROR(M721&amp;"*"&amp;ROUND(Q721*(N721/(N721+P721))/VLOOKUP(M721,职业!$A$3:$E$16,4,FALSE),0),"")</f>
        <v/>
      </c>
      <c r="AF721" t="str">
        <f>IFERROR(O721&amp;"*"&amp;ROUND(Q721*(P721/(N721+P721))/VLOOKUP(O721,职业!$A$3:$E$16,4,FALSE),0),"")</f>
        <v/>
      </c>
      <c r="AG721" t="str">
        <f>IFERROR(R721&amp;"*"&amp;ROUND(V721*(S721/(S721+U721))/VLOOKUP(R721,商品!$A$4:$D$67,4,FALSE),0),"")</f>
        <v/>
      </c>
      <c r="AH721" t="str">
        <f>IFERROR(T721&amp;"*"&amp;ROUND(V721*(U721/(S721+U721))/VLOOKUP(T721,商品!$A$4:$D$67,4,FALSE),0),"")</f>
        <v/>
      </c>
    </row>
    <row r="722" customHeight="1" spans="1:34">
      <c r="A722" s="15" t="s">
        <v>418</v>
      </c>
      <c r="C722" s="2">
        <v>2</v>
      </c>
      <c r="D722" s="2" t="s">
        <v>260</v>
      </c>
      <c r="E722" s="2" t="s">
        <v>224</v>
      </c>
      <c r="L722" s="2">
        <f>IFERROR(VLOOKUP($D722&amp;$C722,生产方式定位!$A$2:$E$39,2,FALSE)+VLOOKUP($E722&amp;$C722,生产方式定位!$F$3:$J$39,2,FALSE),0)</f>
        <v>2500</v>
      </c>
      <c r="Q722" s="2">
        <f>IFERROR(VLOOKUP($D722&amp;$C722,生产方式定位!$A$2:$E$39,3,FALSE)+VLOOKUP($E722&amp;$C722,生产方式定位!$F$3:$J$39,3,FALSE),0)</f>
        <v>2600</v>
      </c>
      <c r="V722" s="2">
        <f>IFERROR(VLOOKUP($D722&amp;$C722,生产方式定位!$A$2:$E$39,5,FALSE)+VLOOKUP($E722&amp;$C722,生产方式定位!$F$3:$J$39,5,FALSE),"错误")</f>
        <v>2640</v>
      </c>
      <c r="W722" s="3" t="str">
        <f t="shared" si="55"/>
        <v/>
      </c>
      <c r="X722" s="4" t="str">
        <f t="shared" si="56"/>
        <v/>
      </c>
      <c r="Y722" s="4" t="str">
        <f t="shared" si="57"/>
        <v/>
      </c>
      <c r="Z722" s="5">
        <f t="shared" si="58"/>
        <v>0.95</v>
      </c>
      <c r="AA722" s="6">
        <f t="shared" si="59"/>
        <v>2</v>
      </c>
      <c r="AB722" t="str">
        <f>IFERROR(F722&amp;"*"&amp;ROUND(L722*(G722/(G722+I722+K722))/VLOOKUP(F722,商品!$A$4:$D$67,4,FALSE),0),"")</f>
        <v/>
      </c>
      <c r="AC722" t="str">
        <f>IFERROR(H722&amp;"*"&amp;ROUND(L722*(I722/(G722+I722+K722))/VLOOKUP(H722,商品!$A$4:$D$67,4,FALSE),0),"")</f>
        <v/>
      </c>
      <c r="AD722" t="str">
        <f>IFERROR(J722&amp;"*"&amp;ROUND(L722*(K722/(G722+I722+K722))/VLOOKUP(J722,商品!$A$4:$D$67,4,FALSE),0),"")</f>
        <v/>
      </c>
      <c r="AE722" t="str">
        <f>IFERROR(M722&amp;"*"&amp;ROUND(Q722*(N722/(N722+P722))/VLOOKUP(M722,职业!$A$3:$E$16,4,FALSE),0),"")</f>
        <v/>
      </c>
      <c r="AF722" t="str">
        <f>IFERROR(O722&amp;"*"&amp;ROUND(Q722*(P722/(N722+P722))/VLOOKUP(O722,职业!$A$3:$E$16,4,FALSE),0),"")</f>
        <v/>
      </c>
      <c r="AG722" t="str">
        <f>IFERROR(R722&amp;"*"&amp;ROUND(V722*(S722/(S722+U722))/VLOOKUP(R722,商品!$A$4:$D$67,4,FALSE),0),"")</f>
        <v/>
      </c>
      <c r="AH722" t="str">
        <f>IFERROR(T722&amp;"*"&amp;ROUND(V722*(U722/(S722+U722))/VLOOKUP(T722,商品!$A$4:$D$67,4,FALSE),0),"")</f>
        <v/>
      </c>
    </row>
    <row r="723" customHeight="1" spans="1:34">
      <c r="A723" s="15" t="s">
        <v>418</v>
      </c>
      <c r="C723" s="2">
        <v>3</v>
      </c>
      <c r="D723" s="2" t="s">
        <v>260</v>
      </c>
      <c r="E723" s="2" t="s">
        <v>224</v>
      </c>
      <c r="L723" s="2">
        <f>IFERROR(VLOOKUP($D723&amp;$C723,生产方式定位!$A$2:$E$39,2,FALSE)+VLOOKUP($E723&amp;$C723,生产方式定位!$F$3:$J$39,2,FALSE),0)</f>
        <v>4000</v>
      </c>
      <c r="Q723" s="2">
        <f>IFERROR(VLOOKUP($D723&amp;$C723,生产方式定位!$A$2:$E$39,3,FALSE)+VLOOKUP($E723&amp;$C723,生产方式定位!$F$3:$J$39,3,FALSE),0)</f>
        <v>2200</v>
      </c>
      <c r="V723" s="2">
        <f>IFERROR(VLOOKUP($D723&amp;$C723,生产方式定位!$A$2:$E$39,5,FALSE)+VLOOKUP($E723&amp;$C723,生产方式定位!$F$3:$J$39,5,FALSE),"错误")</f>
        <v>3360</v>
      </c>
      <c r="W723" s="3" t="str">
        <f t="shared" si="55"/>
        <v/>
      </c>
      <c r="X723" s="4" t="str">
        <f t="shared" si="56"/>
        <v/>
      </c>
      <c r="Y723" s="4" t="str">
        <f t="shared" si="57"/>
        <v/>
      </c>
      <c r="Z723" s="5">
        <f t="shared" si="58"/>
        <v>1.19</v>
      </c>
      <c r="AA723" s="6">
        <f t="shared" si="59"/>
        <v>3</v>
      </c>
      <c r="AB723" t="str">
        <f>IFERROR(F723&amp;"*"&amp;ROUND(L723*(G723/(G723+I723+K723))/VLOOKUP(F723,商品!$A$4:$D$67,4,FALSE),0),"")</f>
        <v/>
      </c>
      <c r="AC723" t="str">
        <f>IFERROR(H723&amp;"*"&amp;ROUND(L723*(I723/(G723+I723+K723))/VLOOKUP(H723,商品!$A$4:$D$67,4,FALSE),0),"")</f>
        <v/>
      </c>
      <c r="AD723" t="str">
        <f>IFERROR(J723&amp;"*"&amp;ROUND(L723*(K723/(G723+I723+K723))/VLOOKUP(J723,商品!$A$4:$D$67,4,FALSE),0),"")</f>
        <v/>
      </c>
      <c r="AE723" t="str">
        <f>IFERROR(M723&amp;"*"&amp;ROUND(Q723*(N723/(N723+P723))/VLOOKUP(M723,职业!$A$3:$E$16,4,FALSE),0),"")</f>
        <v/>
      </c>
      <c r="AF723" t="str">
        <f>IFERROR(O723&amp;"*"&amp;ROUND(Q723*(P723/(N723+P723))/VLOOKUP(O723,职业!$A$3:$E$16,4,FALSE),0),"")</f>
        <v/>
      </c>
      <c r="AG723" t="str">
        <f>IFERROR(R723&amp;"*"&amp;ROUND(V723*(S723/(S723+U723))/VLOOKUP(R723,商品!$A$4:$D$67,4,FALSE),0),"")</f>
        <v/>
      </c>
      <c r="AH723" t="str">
        <f>IFERROR(T723&amp;"*"&amp;ROUND(V723*(U723/(S723+U723))/VLOOKUP(T723,商品!$A$4:$D$67,4,FALSE),0),"")</f>
        <v/>
      </c>
    </row>
    <row r="724" customHeight="1" spans="1:34">
      <c r="A724" s="15" t="s">
        <v>418</v>
      </c>
      <c r="C724" s="2">
        <v>4</v>
      </c>
      <c r="D724" s="2" t="s">
        <v>260</v>
      </c>
      <c r="E724" s="2" t="s">
        <v>224</v>
      </c>
      <c r="L724" s="2">
        <f>IFERROR(VLOOKUP($D724&amp;$C724,生产方式定位!$A$2:$E$39,2,FALSE)+VLOOKUP($E724&amp;$C724,生产方式定位!$F$3:$J$39,2,FALSE),0)</f>
        <v>5500</v>
      </c>
      <c r="Q724" s="2">
        <f>IFERROR(VLOOKUP($D724&amp;$C724,生产方式定位!$A$2:$E$39,3,FALSE)+VLOOKUP($E724&amp;$C724,生产方式定位!$F$3:$J$39,3,FALSE),0)</f>
        <v>1800</v>
      </c>
      <c r="V724" s="2">
        <f>IFERROR(VLOOKUP($D724&amp;$C724,生产方式定位!$A$2:$E$39,5,FALSE)+VLOOKUP($E724&amp;$C724,生产方式定位!$F$3:$J$39,5,FALSE),"错误")</f>
        <v>4160</v>
      </c>
      <c r="W724" s="3" t="str">
        <f t="shared" si="55"/>
        <v/>
      </c>
      <c r="X724" s="4" t="str">
        <f t="shared" si="56"/>
        <v/>
      </c>
      <c r="Y724" s="4" t="str">
        <f t="shared" si="57"/>
        <v/>
      </c>
      <c r="Z724" s="5">
        <f t="shared" si="58"/>
        <v>1.32</v>
      </c>
      <c r="AA724" s="6">
        <f t="shared" si="59"/>
        <v>4</v>
      </c>
      <c r="AB724" t="str">
        <f>IFERROR(F724&amp;"*"&amp;ROUND(L724*(G724/(G724+I724+K724))/VLOOKUP(F724,商品!$A$4:$D$67,4,FALSE),0),"")</f>
        <v/>
      </c>
      <c r="AC724" t="str">
        <f>IFERROR(H724&amp;"*"&amp;ROUND(L724*(I724/(G724+I724+K724))/VLOOKUP(H724,商品!$A$4:$D$67,4,FALSE),0),"")</f>
        <v/>
      </c>
      <c r="AD724" t="str">
        <f>IFERROR(J724&amp;"*"&amp;ROUND(L724*(K724/(G724+I724+K724))/VLOOKUP(J724,商品!$A$4:$D$67,4,FALSE),0),"")</f>
        <v/>
      </c>
      <c r="AE724" t="str">
        <f>IFERROR(M724&amp;"*"&amp;ROUND(Q724*(N724/(N724+P724))/VLOOKUP(M724,职业!$A$3:$E$16,4,FALSE),0),"")</f>
        <v/>
      </c>
      <c r="AF724" t="str">
        <f>IFERROR(O724&amp;"*"&amp;ROUND(Q724*(P724/(N724+P724))/VLOOKUP(O724,职业!$A$3:$E$16,4,FALSE),0),"")</f>
        <v/>
      </c>
      <c r="AG724" t="str">
        <f>IFERROR(R724&amp;"*"&amp;ROUND(V724*(S724/(S724+U724))/VLOOKUP(R724,商品!$A$4:$D$67,4,FALSE),0),"")</f>
        <v/>
      </c>
      <c r="AH724" t="str">
        <f>IFERROR(T724&amp;"*"&amp;ROUND(V724*(U724/(S724+U724))/VLOOKUP(T724,商品!$A$4:$D$67,4,FALSE),0),"")</f>
        <v/>
      </c>
    </row>
    <row r="725" customHeight="1" spans="1:34">
      <c r="A725" s="14" t="s">
        <v>418</v>
      </c>
      <c r="C725" s="2">
        <v>5</v>
      </c>
      <c r="D725" s="2" t="s">
        <v>260</v>
      </c>
      <c r="E725" s="2" t="s">
        <v>224</v>
      </c>
      <c r="L725" s="2">
        <f>IFERROR(VLOOKUP($D725&amp;$C725,生产方式定位!$A$2:$E$39,2,FALSE)+VLOOKUP($E725&amp;$C725,生产方式定位!$F$3:$J$39,2,FALSE),0)</f>
        <v>7000</v>
      </c>
      <c r="Q725" s="2">
        <f>IFERROR(VLOOKUP($D725&amp;$C725,生产方式定位!$A$2:$E$39,3,FALSE)+VLOOKUP($E725&amp;$C725,生产方式定位!$F$3:$J$39,3,FALSE),0)</f>
        <v>1400</v>
      </c>
      <c r="V725" s="2">
        <f>IFERROR(VLOOKUP($D725&amp;$C725,生产方式定位!$A$2:$E$39,5,FALSE)+VLOOKUP($E725&amp;$C725,生产方式定位!$F$3:$J$39,5,FALSE),"错误")</f>
        <v>5040</v>
      </c>
      <c r="W725" s="3" t="str">
        <f t="shared" si="55"/>
        <v/>
      </c>
      <c r="X725" s="4" t="str">
        <f t="shared" si="56"/>
        <v/>
      </c>
      <c r="Y725" s="4" t="str">
        <f t="shared" si="57"/>
        <v/>
      </c>
      <c r="Z725" s="5">
        <f t="shared" si="58"/>
        <v>1.39</v>
      </c>
      <c r="AA725" s="6">
        <f t="shared" si="59"/>
        <v>5</v>
      </c>
      <c r="AB725" t="str">
        <f>IFERROR(F725&amp;"*"&amp;ROUND(L725*(G725/(G725+I725+K725))/VLOOKUP(F725,商品!$A$4:$D$67,4,FALSE),0),"")</f>
        <v/>
      </c>
      <c r="AC725" t="str">
        <f>IFERROR(H725&amp;"*"&amp;ROUND(L725*(I725/(G725+I725+K725))/VLOOKUP(H725,商品!$A$4:$D$67,4,FALSE),0),"")</f>
        <v/>
      </c>
      <c r="AD725" t="str">
        <f>IFERROR(J725&amp;"*"&amp;ROUND(L725*(K725/(G725+I725+K725))/VLOOKUP(J725,商品!$A$4:$D$67,4,FALSE),0),"")</f>
        <v/>
      </c>
      <c r="AE725" t="str">
        <f>IFERROR(M725&amp;"*"&amp;ROUND(Q725*(N725/(N725+P725))/VLOOKUP(M725,职业!$A$3:$E$16,4,FALSE),0),"")</f>
        <v/>
      </c>
      <c r="AF725" t="str">
        <f>IFERROR(O725&amp;"*"&amp;ROUND(Q725*(P725/(N725+P725))/VLOOKUP(O725,职业!$A$3:$E$16,4,FALSE),0),"")</f>
        <v/>
      </c>
      <c r="AG725" t="str">
        <f>IFERROR(R725&amp;"*"&amp;ROUND(V725*(S725/(S725+U725))/VLOOKUP(R725,商品!$A$4:$D$67,4,FALSE),0),"")</f>
        <v/>
      </c>
      <c r="AH725" t="str">
        <f>IFERROR(T725&amp;"*"&amp;ROUND(V725*(U725/(S725+U725))/VLOOKUP(T725,商品!$A$4:$D$67,4,FALSE),0),"")</f>
        <v/>
      </c>
    </row>
    <row r="726" customHeight="1" spans="1:34">
      <c r="A726" s="14" t="s">
        <v>418</v>
      </c>
      <c r="C726" s="2">
        <v>1</v>
      </c>
      <c r="D726" s="2" t="s">
        <v>260</v>
      </c>
      <c r="E726" s="2" t="s">
        <v>224</v>
      </c>
      <c r="L726" s="2">
        <f>IFERROR(VLOOKUP($D726&amp;$C726,生产方式定位!$A$2:$E$39,2,FALSE)+VLOOKUP($E726&amp;$C726,生产方式定位!$F$3:$J$39,2,FALSE),0)</f>
        <v>0</v>
      </c>
      <c r="Q726" s="2">
        <f>IFERROR(VLOOKUP($D726&amp;$C726,生产方式定位!$A$2:$E$39,3,FALSE)+VLOOKUP($E726&amp;$C726,生产方式定位!$F$3:$J$39,3,FALSE),0)</f>
        <v>3000</v>
      </c>
      <c r="V726" s="2">
        <f>IFERROR(VLOOKUP($D726&amp;$C726,生产方式定位!$A$2:$E$39,5,FALSE)+VLOOKUP($E726&amp;$C726,生产方式定位!$F$3:$J$39,5,FALSE),"错误")</f>
        <v>1500</v>
      </c>
      <c r="W726" s="3" t="str">
        <f t="shared" si="55"/>
        <v/>
      </c>
      <c r="X726" s="4" t="str">
        <f t="shared" si="56"/>
        <v/>
      </c>
      <c r="Y726" s="4" t="str">
        <f t="shared" si="57"/>
        <v/>
      </c>
      <c r="Z726" s="5">
        <f t="shared" si="58"/>
        <v>0</v>
      </c>
      <c r="AA726" s="6">
        <f t="shared" si="59"/>
        <v>1</v>
      </c>
      <c r="AB726" t="str">
        <f>IFERROR(F726&amp;"*"&amp;ROUND(L726*(G726/(G726+I726+K726))/VLOOKUP(F726,商品!$A$4:$D$67,4,FALSE),0),"")</f>
        <v/>
      </c>
      <c r="AC726" t="str">
        <f>IFERROR(H726&amp;"*"&amp;ROUND(L726*(I726/(G726+I726+K726))/VLOOKUP(H726,商品!$A$4:$D$67,4,FALSE),0),"")</f>
        <v/>
      </c>
      <c r="AD726" t="str">
        <f>IFERROR(J726&amp;"*"&amp;ROUND(L726*(K726/(G726+I726+K726))/VLOOKUP(J726,商品!$A$4:$D$67,4,FALSE),0),"")</f>
        <v/>
      </c>
      <c r="AE726" t="str">
        <f>IFERROR(M726&amp;"*"&amp;ROUND(Q726*(N726/(N726+P726))/VLOOKUP(M726,职业!$A$3:$E$16,4,FALSE),0),"")</f>
        <v/>
      </c>
      <c r="AF726" t="str">
        <f>IFERROR(O726&amp;"*"&amp;ROUND(Q726*(P726/(N726+P726))/VLOOKUP(O726,职业!$A$3:$E$16,4,FALSE),0),"")</f>
        <v/>
      </c>
      <c r="AG726" t="str">
        <f>IFERROR(R726&amp;"*"&amp;ROUND(V726*(S726/(S726+U726))/VLOOKUP(R726,商品!$A$4:$D$67,4,FALSE),0),"")</f>
        <v/>
      </c>
      <c r="AH726" t="str">
        <f>IFERROR(T726&amp;"*"&amp;ROUND(V726*(U726/(S726+U726))/VLOOKUP(T726,商品!$A$4:$D$67,4,FALSE),0),"")</f>
        <v/>
      </c>
    </row>
    <row r="727" customHeight="1" spans="1:34">
      <c r="A727" s="14" t="s">
        <v>418</v>
      </c>
      <c r="C727" s="2">
        <v>2</v>
      </c>
      <c r="D727" s="2" t="s">
        <v>260</v>
      </c>
      <c r="E727" s="2" t="s">
        <v>224</v>
      </c>
      <c r="L727" s="2">
        <f>IFERROR(VLOOKUP($D727&amp;$C727,生产方式定位!$A$2:$E$39,2,FALSE)+VLOOKUP($E727&amp;$C727,生产方式定位!$F$3:$J$39,2,FALSE),0)</f>
        <v>2500</v>
      </c>
      <c r="Q727" s="2">
        <f>IFERROR(VLOOKUP($D727&amp;$C727,生产方式定位!$A$2:$E$39,3,FALSE)+VLOOKUP($E727&amp;$C727,生产方式定位!$F$3:$J$39,3,FALSE),0)</f>
        <v>2600</v>
      </c>
      <c r="V727" s="2">
        <f>IFERROR(VLOOKUP($D727&amp;$C727,生产方式定位!$A$2:$E$39,5,FALSE)+VLOOKUP($E727&amp;$C727,生产方式定位!$F$3:$J$39,5,FALSE),"错误")</f>
        <v>2640</v>
      </c>
      <c r="W727" s="3" t="str">
        <f t="shared" si="55"/>
        <v/>
      </c>
      <c r="X727" s="4" t="str">
        <f t="shared" si="56"/>
        <v/>
      </c>
      <c r="Y727" s="4" t="str">
        <f t="shared" si="57"/>
        <v/>
      </c>
      <c r="Z727" s="5">
        <f t="shared" si="58"/>
        <v>0.95</v>
      </c>
      <c r="AA727" s="6">
        <f t="shared" si="59"/>
        <v>2</v>
      </c>
      <c r="AB727" t="str">
        <f>IFERROR(F727&amp;"*"&amp;ROUND(L727*(G727/(G727+I727+K727))/VLOOKUP(F727,商品!$A$4:$D$67,4,FALSE),0),"")</f>
        <v/>
      </c>
      <c r="AC727" t="str">
        <f>IFERROR(H727&amp;"*"&amp;ROUND(L727*(I727/(G727+I727+K727))/VLOOKUP(H727,商品!$A$4:$D$67,4,FALSE),0),"")</f>
        <v/>
      </c>
      <c r="AD727" t="str">
        <f>IFERROR(J727&amp;"*"&amp;ROUND(L727*(K727/(G727+I727+K727))/VLOOKUP(J727,商品!$A$4:$D$67,4,FALSE),0),"")</f>
        <v/>
      </c>
      <c r="AE727" t="str">
        <f>IFERROR(M727&amp;"*"&amp;ROUND(Q727*(N727/(N727+P727))/VLOOKUP(M727,职业!$A$3:$E$16,4,FALSE),0),"")</f>
        <v/>
      </c>
      <c r="AF727" t="str">
        <f>IFERROR(O727&amp;"*"&amp;ROUND(Q727*(P727/(N727+P727))/VLOOKUP(O727,职业!$A$3:$E$16,4,FALSE),0),"")</f>
        <v/>
      </c>
      <c r="AG727" t="str">
        <f>IFERROR(R727&amp;"*"&amp;ROUND(V727*(S727/(S727+U727))/VLOOKUP(R727,商品!$A$4:$D$67,4,FALSE),0),"")</f>
        <v/>
      </c>
      <c r="AH727" t="str">
        <f>IFERROR(T727&amp;"*"&amp;ROUND(V727*(U727/(S727+U727))/VLOOKUP(T727,商品!$A$4:$D$67,4,FALSE),0),"")</f>
        <v/>
      </c>
    </row>
    <row r="728" customHeight="1" spans="1:34">
      <c r="A728" s="14" t="s">
        <v>418</v>
      </c>
      <c r="C728" s="2">
        <v>3</v>
      </c>
      <c r="D728" s="2" t="s">
        <v>260</v>
      </c>
      <c r="E728" s="2" t="s">
        <v>224</v>
      </c>
      <c r="L728" s="2">
        <f>IFERROR(VLOOKUP($D728&amp;$C728,生产方式定位!$A$2:$E$39,2,FALSE)+VLOOKUP($E728&amp;$C728,生产方式定位!$F$3:$J$39,2,FALSE),0)</f>
        <v>4000</v>
      </c>
      <c r="Q728" s="2">
        <f>IFERROR(VLOOKUP($D728&amp;$C728,生产方式定位!$A$2:$E$39,3,FALSE)+VLOOKUP($E728&amp;$C728,生产方式定位!$F$3:$J$39,3,FALSE),0)</f>
        <v>2200</v>
      </c>
      <c r="V728" s="2">
        <f>IFERROR(VLOOKUP($D728&amp;$C728,生产方式定位!$A$2:$E$39,5,FALSE)+VLOOKUP($E728&amp;$C728,生产方式定位!$F$3:$J$39,5,FALSE),"错误")</f>
        <v>3360</v>
      </c>
      <c r="W728" s="3" t="str">
        <f t="shared" si="55"/>
        <v/>
      </c>
      <c r="X728" s="4" t="str">
        <f t="shared" si="56"/>
        <v/>
      </c>
      <c r="Y728" s="4" t="str">
        <f t="shared" si="57"/>
        <v/>
      </c>
      <c r="Z728" s="5">
        <f t="shared" si="58"/>
        <v>1.19</v>
      </c>
      <c r="AA728" s="6">
        <f t="shared" si="59"/>
        <v>3</v>
      </c>
      <c r="AB728" t="str">
        <f>IFERROR(F728&amp;"*"&amp;ROUND(L728*(G728/(G728+I728+K728))/VLOOKUP(F728,商品!$A$4:$D$67,4,FALSE),0),"")</f>
        <v/>
      </c>
      <c r="AC728" t="str">
        <f>IFERROR(H728&amp;"*"&amp;ROUND(L728*(I728/(G728+I728+K728))/VLOOKUP(H728,商品!$A$4:$D$67,4,FALSE),0),"")</f>
        <v/>
      </c>
      <c r="AD728" t="str">
        <f>IFERROR(J728&amp;"*"&amp;ROUND(L728*(K728/(G728+I728+K728))/VLOOKUP(J728,商品!$A$4:$D$67,4,FALSE),0),"")</f>
        <v/>
      </c>
      <c r="AE728" t="str">
        <f>IFERROR(M728&amp;"*"&amp;ROUND(Q728*(N728/(N728+P728))/VLOOKUP(M728,职业!$A$3:$E$16,4,FALSE),0),"")</f>
        <v/>
      </c>
      <c r="AF728" t="str">
        <f>IFERROR(O728&amp;"*"&amp;ROUND(Q728*(P728/(N728+P728))/VLOOKUP(O728,职业!$A$3:$E$16,4,FALSE),0),"")</f>
        <v/>
      </c>
      <c r="AG728" t="str">
        <f>IFERROR(R728&amp;"*"&amp;ROUND(V728*(S728/(S728+U728))/VLOOKUP(R728,商品!$A$4:$D$67,4,FALSE),0),"")</f>
        <v/>
      </c>
      <c r="AH728" t="str">
        <f>IFERROR(T728&amp;"*"&amp;ROUND(V728*(U728/(S728+U728))/VLOOKUP(T728,商品!$A$4:$D$67,4,FALSE),0),"")</f>
        <v/>
      </c>
    </row>
    <row r="729" customHeight="1" spans="1:34">
      <c r="A729" s="14" t="s">
        <v>418</v>
      </c>
      <c r="C729" s="2">
        <v>4</v>
      </c>
      <c r="D729" s="2" t="s">
        <v>260</v>
      </c>
      <c r="E729" s="2" t="s">
        <v>224</v>
      </c>
      <c r="L729" s="2">
        <f>IFERROR(VLOOKUP($D729&amp;$C729,生产方式定位!$A$2:$E$39,2,FALSE)+VLOOKUP($E729&amp;$C729,生产方式定位!$F$3:$J$39,2,FALSE),0)</f>
        <v>5500</v>
      </c>
      <c r="Q729" s="2">
        <f>IFERROR(VLOOKUP($D729&amp;$C729,生产方式定位!$A$2:$E$39,3,FALSE)+VLOOKUP($E729&amp;$C729,生产方式定位!$F$3:$J$39,3,FALSE),0)</f>
        <v>1800</v>
      </c>
      <c r="V729" s="2">
        <f>IFERROR(VLOOKUP($D729&amp;$C729,生产方式定位!$A$2:$E$39,5,FALSE)+VLOOKUP($E729&amp;$C729,生产方式定位!$F$3:$J$39,5,FALSE),"错误")</f>
        <v>4160</v>
      </c>
      <c r="W729" s="3" t="str">
        <f t="shared" si="55"/>
        <v/>
      </c>
      <c r="X729" s="4" t="str">
        <f t="shared" si="56"/>
        <v/>
      </c>
      <c r="Y729" s="4" t="str">
        <f t="shared" si="57"/>
        <v/>
      </c>
      <c r="Z729" s="5">
        <f t="shared" si="58"/>
        <v>1.32</v>
      </c>
      <c r="AA729" s="6">
        <f t="shared" si="59"/>
        <v>4</v>
      </c>
      <c r="AB729" t="str">
        <f>IFERROR(F729&amp;"*"&amp;ROUND(L729*(G729/(G729+I729+K729))/VLOOKUP(F729,商品!$A$4:$D$67,4,FALSE),0),"")</f>
        <v/>
      </c>
      <c r="AC729" t="str">
        <f>IFERROR(H729&amp;"*"&amp;ROUND(L729*(I729/(G729+I729+K729))/VLOOKUP(H729,商品!$A$4:$D$67,4,FALSE),0),"")</f>
        <v/>
      </c>
      <c r="AD729" t="str">
        <f>IFERROR(J729&amp;"*"&amp;ROUND(L729*(K729/(G729+I729+K729))/VLOOKUP(J729,商品!$A$4:$D$67,4,FALSE),0),"")</f>
        <v/>
      </c>
      <c r="AE729" t="str">
        <f>IFERROR(M729&amp;"*"&amp;ROUND(Q729*(N729/(N729+P729))/VLOOKUP(M729,职业!$A$3:$E$16,4,FALSE),0),"")</f>
        <v/>
      </c>
      <c r="AF729" t="str">
        <f>IFERROR(O729&amp;"*"&amp;ROUND(Q729*(P729/(N729+P729))/VLOOKUP(O729,职业!$A$3:$E$16,4,FALSE),0),"")</f>
        <v/>
      </c>
      <c r="AG729" t="str">
        <f>IFERROR(R729&amp;"*"&amp;ROUND(V729*(S729/(S729+U729))/VLOOKUP(R729,商品!$A$4:$D$67,4,FALSE),0),"")</f>
        <v/>
      </c>
      <c r="AH729" t="str">
        <f>IFERROR(T729&amp;"*"&amp;ROUND(V729*(U729/(S729+U729))/VLOOKUP(T729,商品!$A$4:$D$67,4,FALSE),0),"")</f>
        <v/>
      </c>
    </row>
    <row r="730" customHeight="1" spans="1:34">
      <c r="A730" s="15" t="s">
        <v>419</v>
      </c>
      <c r="C730" s="2">
        <v>5</v>
      </c>
      <c r="D730" s="2" t="s">
        <v>260</v>
      </c>
      <c r="E730" s="2" t="s">
        <v>225</v>
      </c>
      <c r="L730" s="2">
        <f>IFERROR(VLOOKUP($D730&amp;$C730,生产方式定位!$A$2:$E$39,2,FALSE)+VLOOKUP($E730&amp;$C730,生产方式定位!$F$3:$J$39,2,FALSE),0)</f>
        <v>2000</v>
      </c>
      <c r="Q730" s="2">
        <f>IFERROR(VLOOKUP($D730&amp;$C730,生产方式定位!$A$2:$E$39,3,FALSE)+VLOOKUP($E730&amp;$C730,生产方式定位!$F$3:$J$39,3,FALSE),0)</f>
        <v>2200</v>
      </c>
      <c r="V730" s="2">
        <f>IFERROR(VLOOKUP($D730&amp;$C730,生产方式定位!$A$2:$E$39,5,FALSE)+VLOOKUP($E730&amp;$C730,生产方式定位!$F$3:$J$39,5,FALSE),"错误")</f>
        <v>2100</v>
      </c>
      <c r="W730" s="3" t="str">
        <f t="shared" si="55"/>
        <v/>
      </c>
      <c r="X730" s="4" t="str">
        <f t="shared" si="56"/>
        <v/>
      </c>
      <c r="Y730" s="4" t="str">
        <f t="shared" si="57"/>
        <v/>
      </c>
      <c r="Z730" s="5">
        <f t="shared" si="58"/>
        <v>0.95</v>
      </c>
      <c r="AA730" s="6">
        <f t="shared" si="59"/>
        <v>5</v>
      </c>
      <c r="AB730" t="str">
        <f>IFERROR(F730&amp;"*"&amp;ROUND(L730*(G730/(G730+I730+K730))/VLOOKUP(F730,商品!$A$4:$D$67,4,FALSE),0),"")</f>
        <v/>
      </c>
      <c r="AC730" t="str">
        <f>IFERROR(H730&amp;"*"&amp;ROUND(L730*(I730/(G730+I730+K730))/VLOOKUP(H730,商品!$A$4:$D$67,4,FALSE),0),"")</f>
        <v/>
      </c>
      <c r="AD730" t="str">
        <f>IFERROR(J730&amp;"*"&amp;ROUND(L730*(K730/(G730+I730+K730))/VLOOKUP(J730,商品!$A$4:$D$67,4,FALSE),0),"")</f>
        <v/>
      </c>
      <c r="AE730" t="str">
        <f>IFERROR(M730&amp;"*"&amp;ROUND(Q730*(N730/(N730+P730))/VLOOKUP(M730,职业!$A$3:$E$16,4,FALSE),0),"")</f>
        <v/>
      </c>
      <c r="AF730" t="str">
        <f>IFERROR(O730&amp;"*"&amp;ROUND(Q730*(P730/(N730+P730))/VLOOKUP(O730,职业!$A$3:$E$16,4,FALSE),0),"")</f>
        <v/>
      </c>
      <c r="AG730" t="str">
        <f>IFERROR(R730&amp;"*"&amp;ROUND(V730*(S730/(S730+U730))/VLOOKUP(R730,商品!$A$4:$D$67,4,FALSE),0),"")</f>
        <v/>
      </c>
      <c r="AH730" t="str">
        <f>IFERROR(T730&amp;"*"&amp;ROUND(V730*(U730/(S730+U730))/VLOOKUP(T730,商品!$A$4:$D$67,4,FALSE),0),"")</f>
        <v/>
      </c>
    </row>
    <row r="731" customHeight="1" spans="1:34">
      <c r="A731" s="15" t="s">
        <v>419</v>
      </c>
      <c r="C731" s="2">
        <v>1</v>
      </c>
      <c r="D731" s="2" t="s">
        <v>260</v>
      </c>
      <c r="E731" s="2" t="s">
        <v>225</v>
      </c>
      <c r="L731" s="2">
        <f>IFERROR(VLOOKUP($D731&amp;$C731,生产方式定位!$A$2:$E$39,2,FALSE)+VLOOKUP($E731&amp;$C731,生产方式定位!$F$3:$J$39,2,FALSE),0)</f>
        <v>0</v>
      </c>
      <c r="Q731" s="2">
        <f>IFERROR(VLOOKUP($D731&amp;$C731,生产方式定位!$A$2:$E$39,3,FALSE)+VLOOKUP($E731&amp;$C731,生产方式定位!$F$3:$J$39,3,FALSE),0)</f>
        <v>3000</v>
      </c>
      <c r="V731" s="2">
        <f>IFERROR(VLOOKUP($D731&amp;$C731,生产方式定位!$A$2:$E$39,5,FALSE)+VLOOKUP($E731&amp;$C731,生产方式定位!$F$3:$J$39,5,FALSE),"错误")</f>
        <v>1500</v>
      </c>
      <c r="W731" s="3" t="str">
        <f t="shared" si="55"/>
        <v/>
      </c>
      <c r="X731" s="4" t="str">
        <f t="shared" si="56"/>
        <v/>
      </c>
      <c r="Y731" s="4" t="str">
        <f t="shared" si="57"/>
        <v/>
      </c>
      <c r="Z731" s="5">
        <f t="shared" si="58"/>
        <v>0</v>
      </c>
      <c r="AA731" s="6">
        <f t="shared" si="59"/>
        <v>1</v>
      </c>
      <c r="AB731" t="str">
        <f>IFERROR(F731&amp;"*"&amp;ROUND(L731*(G731/(G731+I731+K731))/VLOOKUP(F731,商品!$A$4:$D$67,4,FALSE),0),"")</f>
        <v/>
      </c>
      <c r="AC731" t="str">
        <f>IFERROR(H731&amp;"*"&amp;ROUND(L731*(I731/(G731+I731+K731))/VLOOKUP(H731,商品!$A$4:$D$67,4,FALSE),0),"")</f>
        <v/>
      </c>
      <c r="AD731" t="str">
        <f>IFERROR(J731&amp;"*"&amp;ROUND(L731*(K731/(G731+I731+K731))/VLOOKUP(J731,商品!$A$4:$D$67,4,FALSE),0),"")</f>
        <v/>
      </c>
      <c r="AE731" t="str">
        <f>IFERROR(M731&amp;"*"&amp;ROUND(Q731*(N731/(N731+P731))/VLOOKUP(M731,职业!$A$3:$E$16,4,FALSE),0),"")</f>
        <v/>
      </c>
      <c r="AF731" t="str">
        <f>IFERROR(O731&amp;"*"&amp;ROUND(Q731*(P731/(N731+P731))/VLOOKUP(O731,职业!$A$3:$E$16,4,FALSE),0),"")</f>
        <v/>
      </c>
      <c r="AG731" t="str">
        <f>IFERROR(R731&amp;"*"&amp;ROUND(V731*(S731/(S731+U731))/VLOOKUP(R731,商品!$A$4:$D$67,4,FALSE),0),"")</f>
        <v/>
      </c>
      <c r="AH731" t="str">
        <f>IFERROR(T731&amp;"*"&amp;ROUND(V731*(U731/(S731+U731))/VLOOKUP(T731,商品!$A$4:$D$67,4,FALSE),0),"")</f>
        <v/>
      </c>
    </row>
    <row r="732" customHeight="1" spans="1:34">
      <c r="A732" s="15" t="s">
        <v>419</v>
      </c>
      <c r="C732" s="2">
        <v>2</v>
      </c>
      <c r="D732" s="2" t="s">
        <v>260</v>
      </c>
      <c r="E732" s="2" t="s">
        <v>225</v>
      </c>
      <c r="L732" s="2">
        <f>IFERROR(VLOOKUP($D732&amp;$C732,生产方式定位!$A$2:$E$39,2,FALSE)+VLOOKUP($E732&amp;$C732,生产方式定位!$F$3:$J$39,2,FALSE),0)</f>
        <v>500</v>
      </c>
      <c r="Q732" s="2">
        <f>IFERROR(VLOOKUP($D732&amp;$C732,生产方式定位!$A$2:$E$39,3,FALSE)+VLOOKUP($E732&amp;$C732,生产方式定位!$F$3:$J$39,3,FALSE),0)</f>
        <v>2800</v>
      </c>
      <c r="V732" s="2">
        <f>IFERROR(VLOOKUP($D732&amp;$C732,生产方式定位!$A$2:$E$39,5,FALSE)+VLOOKUP($E732&amp;$C732,生产方式定位!$F$3:$J$39,5,FALSE),"错误")</f>
        <v>1650</v>
      </c>
      <c r="W732" s="3" t="str">
        <f t="shared" si="55"/>
        <v/>
      </c>
      <c r="X732" s="4" t="str">
        <f t="shared" si="56"/>
        <v/>
      </c>
      <c r="Y732" s="4" t="str">
        <f t="shared" si="57"/>
        <v/>
      </c>
      <c r="Z732" s="5">
        <f t="shared" si="58"/>
        <v>0.3</v>
      </c>
      <c r="AA732" s="6">
        <f t="shared" si="59"/>
        <v>2</v>
      </c>
      <c r="AB732" t="str">
        <f>IFERROR(F732&amp;"*"&amp;ROUND(L732*(G732/(G732+I732+K732))/VLOOKUP(F732,商品!$A$4:$D$67,4,FALSE),0),"")</f>
        <v/>
      </c>
      <c r="AC732" t="str">
        <f>IFERROR(H732&amp;"*"&amp;ROUND(L732*(I732/(G732+I732+K732))/VLOOKUP(H732,商品!$A$4:$D$67,4,FALSE),0),"")</f>
        <v/>
      </c>
      <c r="AD732" t="str">
        <f>IFERROR(J732&amp;"*"&amp;ROUND(L732*(K732/(G732+I732+K732))/VLOOKUP(J732,商品!$A$4:$D$67,4,FALSE),0),"")</f>
        <v/>
      </c>
      <c r="AE732" t="str">
        <f>IFERROR(M732&amp;"*"&amp;ROUND(Q732*(N732/(N732+P732))/VLOOKUP(M732,职业!$A$3:$E$16,4,FALSE),0),"")</f>
        <v/>
      </c>
      <c r="AF732" t="str">
        <f>IFERROR(O732&amp;"*"&amp;ROUND(Q732*(P732/(N732+P732))/VLOOKUP(O732,职业!$A$3:$E$16,4,FALSE),0),"")</f>
        <v/>
      </c>
      <c r="AG732" t="str">
        <f>IFERROR(R732&amp;"*"&amp;ROUND(V732*(S732/(S732+U732))/VLOOKUP(R732,商品!$A$4:$D$67,4,FALSE),0),"")</f>
        <v/>
      </c>
      <c r="AH732" t="str">
        <f>IFERROR(T732&amp;"*"&amp;ROUND(V732*(U732/(S732+U732))/VLOOKUP(T732,商品!$A$4:$D$67,4,FALSE),0),"")</f>
        <v/>
      </c>
    </row>
    <row r="733" customHeight="1" spans="1:34">
      <c r="A733" s="15" t="s">
        <v>419</v>
      </c>
      <c r="C733" s="2">
        <v>3</v>
      </c>
      <c r="D733" s="2" t="s">
        <v>260</v>
      </c>
      <c r="E733" s="2" t="s">
        <v>225</v>
      </c>
      <c r="L733" s="2">
        <f>IFERROR(VLOOKUP($D733&amp;$C733,生产方式定位!$A$2:$E$39,2,FALSE)+VLOOKUP($E733&amp;$C733,生产方式定位!$F$3:$J$39,2,FALSE),0)</f>
        <v>1000</v>
      </c>
      <c r="Q733" s="2">
        <f>IFERROR(VLOOKUP($D733&amp;$C733,生产方式定位!$A$2:$E$39,3,FALSE)+VLOOKUP($E733&amp;$C733,生产方式定位!$F$3:$J$39,3,FALSE),0)</f>
        <v>2600</v>
      </c>
      <c r="V733" s="2">
        <f>IFERROR(VLOOKUP($D733&amp;$C733,生产方式定位!$A$2:$E$39,5,FALSE)+VLOOKUP($E733&amp;$C733,生产方式定位!$F$3:$J$39,5,FALSE),"错误")</f>
        <v>1800</v>
      </c>
      <c r="W733" s="3" t="str">
        <f t="shared" si="55"/>
        <v/>
      </c>
      <c r="X733" s="4" t="str">
        <f t="shared" si="56"/>
        <v/>
      </c>
      <c r="Y733" s="4" t="str">
        <f t="shared" si="57"/>
        <v/>
      </c>
      <c r="Z733" s="5">
        <f t="shared" si="58"/>
        <v>0.56</v>
      </c>
      <c r="AA733" s="6">
        <f t="shared" si="59"/>
        <v>3</v>
      </c>
      <c r="AB733" t="str">
        <f>IFERROR(F733&amp;"*"&amp;ROUND(L733*(G733/(G733+I733+K733))/VLOOKUP(F733,商品!$A$4:$D$67,4,FALSE),0),"")</f>
        <v/>
      </c>
      <c r="AC733" t="str">
        <f>IFERROR(H733&amp;"*"&amp;ROUND(L733*(I733/(G733+I733+K733))/VLOOKUP(H733,商品!$A$4:$D$67,4,FALSE),0),"")</f>
        <v/>
      </c>
      <c r="AD733" t="str">
        <f>IFERROR(J733&amp;"*"&amp;ROUND(L733*(K733/(G733+I733+K733))/VLOOKUP(J733,商品!$A$4:$D$67,4,FALSE),0),"")</f>
        <v/>
      </c>
      <c r="AE733" t="str">
        <f>IFERROR(M733&amp;"*"&amp;ROUND(Q733*(N733/(N733+P733))/VLOOKUP(M733,职业!$A$3:$E$16,4,FALSE),0),"")</f>
        <v/>
      </c>
      <c r="AF733" t="str">
        <f>IFERROR(O733&amp;"*"&amp;ROUND(Q733*(P733/(N733+P733))/VLOOKUP(O733,职业!$A$3:$E$16,4,FALSE),0),"")</f>
        <v/>
      </c>
      <c r="AG733" t="str">
        <f>IFERROR(R733&amp;"*"&amp;ROUND(V733*(S733/(S733+U733))/VLOOKUP(R733,商品!$A$4:$D$67,4,FALSE),0),"")</f>
        <v/>
      </c>
      <c r="AH733" t="str">
        <f>IFERROR(T733&amp;"*"&amp;ROUND(V733*(U733/(S733+U733))/VLOOKUP(T733,商品!$A$4:$D$67,4,FALSE),0),"")</f>
        <v/>
      </c>
    </row>
    <row r="734" customHeight="1" spans="1:34">
      <c r="A734" s="15" t="s">
        <v>419</v>
      </c>
      <c r="C734" s="2">
        <v>4</v>
      </c>
      <c r="D734" s="2" t="s">
        <v>260</v>
      </c>
      <c r="E734" s="2" t="s">
        <v>225</v>
      </c>
      <c r="L734" s="2">
        <f>IFERROR(VLOOKUP($D734&amp;$C734,生产方式定位!$A$2:$E$39,2,FALSE)+VLOOKUP($E734&amp;$C734,生产方式定位!$F$3:$J$39,2,FALSE),0)</f>
        <v>1500</v>
      </c>
      <c r="Q734" s="2">
        <f>IFERROR(VLOOKUP($D734&amp;$C734,生产方式定位!$A$2:$E$39,3,FALSE)+VLOOKUP($E734&amp;$C734,生产方式定位!$F$3:$J$39,3,FALSE),0)</f>
        <v>2400</v>
      </c>
      <c r="V734" s="2">
        <f>IFERROR(VLOOKUP($D734&amp;$C734,生产方式定位!$A$2:$E$39,5,FALSE)+VLOOKUP($E734&amp;$C734,生产方式定位!$F$3:$J$39,5,FALSE),"错误")</f>
        <v>1950</v>
      </c>
      <c r="W734" s="3" t="str">
        <f t="shared" si="55"/>
        <v/>
      </c>
      <c r="X734" s="4" t="str">
        <f t="shared" si="56"/>
        <v/>
      </c>
      <c r="Y734" s="4" t="str">
        <f t="shared" si="57"/>
        <v/>
      </c>
      <c r="Z734" s="5">
        <f t="shared" si="58"/>
        <v>0.77</v>
      </c>
      <c r="AA734" s="6">
        <f t="shared" si="59"/>
        <v>4</v>
      </c>
      <c r="AB734" t="str">
        <f>IFERROR(F734&amp;"*"&amp;ROUND(L734*(G734/(G734+I734+K734))/VLOOKUP(F734,商品!$A$4:$D$67,4,FALSE),0),"")</f>
        <v/>
      </c>
      <c r="AC734" t="str">
        <f>IFERROR(H734&amp;"*"&amp;ROUND(L734*(I734/(G734+I734+K734))/VLOOKUP(H734,商品!$A$4:$D$67,4,FALSE),0),"")</f>
        <v/>
      </c>
      <c r="AD734" t="str">
        <f>IFERROR(J734&amp;"*"&amp;ROUND(L734*(K734/(G734+I734+K734))/VLOOKUP(J734,商品!$A$4:$D$67,4,FALSE),0),"")</f>
        <v/>
      </c>
      <c r="AE734" t="str">
        <f>IFERROR(M734&amp;"*"&amp;ROUND(Q734*(N734/(N734+P734))/VLOOKUP(M734,职业!$A$3:$E$16,4,FALSE),0),"")</f>
        <v/>
      </c>
      <c r="AF734" t="str">
        <f>IFERROR(O734&amp;"*"&amp;ROUND(Q734*(P734/(N734+P734))/VLOOKUP(O734,职业!$A$3:$E$16,4,FALSE),0),"")</f>
        <v/>
      </c>
      <c r="AG734" t="str">
        <f>IFERROR(R734&amp;"*"&amp;ROUND(V734*(S734/(S734+U734))/VLOOKUP(R734,商品!$A$4:$D$67,4,FALSE),0),"")</f>
        <v/>
      </c>
      <c r="AH734" t="str">
        <f>IFERROR(T734&amp;"*"&amp;ROUND(V734*(U734/(S734+U734))/VLOOKUP(T734,商品!$A$4:$D$67,4,FALSE),0),"")</f>
        <v/>
      </c>
    </row>
    <row r="735" customHeight="1" spans="1:34">
      <c r="A735" s="15" t="s">
        <v>419</v>
      </c>
      <c r="C735" s="2">
        <v>5</v>
      </c>
      <c r="D735" s="2" t="s">
        <v>260</v>
      </c>
      <c r="E735" s="2" t="s">
        <v>225</v>
      </c>
      <c r="L735" s="2">
        <f>IFERROR(VLOOKUP($D735&amp;$C735,生产方式定位!$A$2:$E$39,2,FALSE)+VLOOKUP($E735&amp;$C735,生产方式定位!$F$3:$J$39,2,FALSE),0)</f>
        <v>2000</v>
      </c>
      <c r="Q735" s="2">
        <f>IFERROR(VLOOKUP($D735&amp;$C735,生产方式定位!$A$2:$E$39,3,FALSE)+VLOOKUP($E735&amp;$C735,生产方式定位!$F$3:$J$39,3,FALSE),0)</f>
        <v>2200</v>
      </c>
      <c r="V735" s="2">
        <f>IFERROR(VLOOKUP($D735&amp;$C735,生产方式定位!$A$2:$E$39,5,FALSE)+VLOOKUP($E735&amp;$C735,生产方式定位!$F$3:$J$39,5,FALSE),"错误")</f>
        <v>2100</v>
      </c>
      <c r="W735" s="3" t="str">
        <f t="shared" si="55"/>
        <v/>
      </c>
      <c r="X735" s="4" t="str">
        <f t="shared" si="56"/>
        <v/>
      </c>
      <c r="Y735" s="4" t="str">
        <f t="shared" si="57"/>
        <v/>
      </c>
      <c r="Z735" s="5">
        <f t="shared" si="58"/>
        <v>0.95</v>
      </c>
      <c r="AA735" s="6">
        <f t="shared" si="59"/>
        <v>5</v>
      </c>
      <c r="AB735" t="str">
        <f>IFERROR(F735&amp;"*"&amp;ROUND(L735*(G735/(G735+I735+K735))/VLOOKUP(F735,商品!$A$4:$D$67,4,FALSE),0),"")</f>
        <v/>
      </c>
      <c r="AC735" t="str">
        <f>IFERROR(H735&amp;"*"&amp;ROUND(L735*(I735/(G735+I735+K735))/VLOOKUP(H735,商品!$A$4:$D$67,4,FALSE),0),"")</f>
        <v/>
      </c>
      <c r="AD735" t="str">
        <f>IFERROR(J735&amp;"*"&amp;ROUND(L735*(K735/(G735+I735+K735))/VLOOKUP(J735,商品!$A$4:$D$67,4,FALSE),0),"")</f>
        <v/>
      </c>
      <c r="AE735" t="str">
        <f>IFERROR(M735&amp;"*"&amp;ROUND(Q735*(N735/(N735+P735))/VLOOKUP(M735,职业!$A$3:$E$16,4,FALSE),0),"")</f>
        <v/>
      </c>
      <c r="AF735" t="str">
        <f>IFERROR(O735&amp;"*"&amp;ROUND(Q735*(P735/(N735+P735))/VLOOKUP(O735,职业!$A$3:$E$16,4,FALSE),0),"")</f>
        <v/>
      </c>
      <c r="AG735" t="str">
        <f>IFERROR(R735&amp;"*"&amp;ROUND(V735*(S735/(S735+U735))/VLOOKUP(R735,商品!$A$4:$D$67,4,FALSE),0),"")</f>
        <v/>
      </c>
      <c r="AH735" t="str">
        <f>IFERROR(T735&amp;"*"&amp;ROUND(V735*(U735/(S735+U735))/VLOOKUP(T735,商品!$A$4:$D$67,4,FALSE),0),"")</f>
        <v/>
      </c>
    </row>
    <row r="736" customHeight="1" spans="1:34">
      <c r="A736" s="15" t="s">
        <v>419</v>
      </c>
      <c r="C736" s="2">
        <v>1</v>
      </c>
      <c r="D736" s="2" t="s">
        <v>260</v>
      </c>
      <c r="E736" s="2" t="s">
        <v>225</v>
      </c>
      <c r="L736" s="2">
        <f>IFERROR(VLOOKUP($D736&amp;$C736,生产方式定位!$A$2:$E$39,2,FALSE)+VLOOKUP($E736&amp;$C736,生产方式定位!$F$3:$J$39,2,FALSE),0)</f>
        <v>0</v>
      </c>
      <c r="Q736" s="2">
        <f>IFERROR(VLOOKUP($D736&amp;$C736,生产方式定位!$A$2:$E$39,3,FALSE)+VLOOKUP($E736&amp;$C736,生产方式定位!$F$3:$J$39,3,FALSE),0)</f>
        <v>3000</v>
      </c>
      <c r="V736" s="2">
        <f>IFERROR(VLOOKUP($D736&amp;$C736,生产方式定位!$A$2:$E$39,5,FALSE)+VLOOKUP($E736&amp;$C736,生产方式定位!$F$3:$J$39,5,FALSE),"错误")</f>
        <v>1500</v>
      </c>
      <c r="W736" s="3" t="str">
        <f t="shared" si="55"/>
        <v/>
      </c>
      <c r="X736" s="4" t="str">
        <f t="shared" si="56"/>
        <v/>
      </c>
      <c r="Y736" s="4" t="str">
        <f t="shared" si="57"/>
        <v/>
      </c>
      <c r="Z736" s="5">
        <f t="shared" si="58"/>
        <v>0</v>
      </c>
      <c r="AA736" s="6">
        <f t="shared" si="59"/>
        <v>1</v>
      </c>
      <c r="AB736" t="str">
        <f>IFERROR(F736&amp;"*"&amp;ROUND(L736*(G736/(G736+I736+K736))/VLOOKUP(F736,商品!$A$4:$D$67,4,FALSE),0),"")</f>
        <v/>
      </c>
      <c r="AC736" t="str">
        <f>IFERROR(H736&amp;"*"&amp;ROUND(L736*(I736/(G736+I736+K736))/VLOOKUP(H736,商品!$A$4:$D$67,4,FALSE),0),"")</f>
        <v/>
      </c>
      <c r="AD736" t="str">
        <f>IFERROR(J736&amp;"*"&amp;ROUND(L736*(K736/(G736+I736+K736))/VLOOKUP(J736,商品!$A$4:$D$67,4,FALSE),0),"")</f>
        <v/>
      </c>
      <c r="AE736" t="str">
        <f>IFERROR(M736&amp;"*"&amp;ROUND(Q736*(N736/(N736+P736))/VLOOKUP(M736,职业!$A$3:$E$16,4,FALSE),0),"")</f>
        <v/>
      </c>
      <c r="AF736" t="str">
        <f>IFERROR(O736&amp;"*"&amp;ROUND(Q736*(P736/(N736+P736))/VLOOKUP(O736,职业!$A$3:$E$16,4,FALSE),0),"")</f>
        <v/>
      </c>
      <c r="AG736" t="str">
        <f>IFERROR(R736&amp;"*"&amp;ROUND(V736*(S736/(S736+U736))/VLOOKUP(R736,商品!$A$4:$D$67,4,FALSE),0),"")</f>
        <v/>
      </c>
      <c r="AH736" t="str">
        <f>IFERROR(T736&amp;"*"&amp;ROUND(V736*(U736/(S736+U736))/VLOOKUP(T736,商品!$A$4:$D$67,4,FALSE),0),"")</f>
        <v/>
      </c>
    </row>
    <row r="737" customHeight="1" spans="1:34">
      <c r="A737" s="15" t="s">
        <v>419</v>
      </c>
      <c r="C737" s="2">
        <v>2</v>
      </c>
      <c r="D737" s="2" t="s">
        <v>260</v>
      </c>
      <c r="E737" s="2" t="s">
        <v>225</v>
      </c>
      <c r="L737" s="2">
        <f>IFERROR(VLOOKUP($D737&amp;$C737,生产方式定位!$A$2:$E$39,2,FALSE)+VLOOKUP($E737&amp;$C737,生产方式定位!$F$3:$J$39,2,FALSE),0)</f>
        <v>500</v>
      </c>
      <c r="Q737" s="2">
        <f>IFERROR(VLOOKUP($D737&amp;$C737,生产方式定位!$A$2:$E$39,3,FALSE)+VLOOKUP($E737&amp;$C737,生产方式定位!$F$3:$J$39,3,FALSE),0)</f>
        <v>2800</v>
      </c>
      <c r="V737" s="2">
        <f>IFERROR(VLOOKUP($D737&amp;$C737,生产方式定位!$A$2:$E$39,5,FALSE)+VLOOKUP($E737&amp;$C737,生产方式定位!$F$3:$J$39,5,FALSE),"错误")</f>
        <v>1650</v>
      </c>
      <c r="W737" s="3" t="str">
        <f t="shared" si="55"/>
        <v/>
      </c>
      <c r="X737" s="4" t="str">
        <f t="shared" si="56"/>
        <v/>
      </c>
      <c r="Y737" s="4" t="str">
        <f t="shared" si="57"/>
        <v/>
      </c>
      <c r="Z737" s="5">
        <f t="shared" si="58"/>
        <v>0.3</v>
      </c>
      <c r="AA737" s="6">
        <f t="shared" si="59"/>
        <v>2</v>
      </c>
      <c r="AB737" t="str">
        <f>IFERROR(F737&amp;"*"&amp;ROUND(L737*(G737/(G737+I737+K737))/VLOOKUP(F737,商品!$A$4:$D$67,4,FALSE),0),"")</f>
        <v/>
      </c>
      <c r="AC737" t="str">
        <f>IFERROR(H737&amp;"*"&amp;ROUND(L737*(I737/(G737+I737+K737))/VLOOKUP(H737,商品!$A$4:$D$67,4,FALSE),0),"")</f>
        <v/>
      </c>
      <c r="AD737" t="str">
        <f>IFERROR(J737&amp;"*"&amp;ROUND(L737*(K737/(G737+I737+K737))/VLOOKUP(J737,商品!$A$4:$D$67,4,FALSE),0),"")</f>
        <v/>
      </c>
      <c r="AE737" t="str">
        <f>IFERROR(M737&amp;"*"&amp;ROUND(Q737*(N737/(N737+P737))/VLOOKUP(M737,职业!$A$3:$E$16,4,FALSE),0),"")</f>
        <v/>
      </c>
      <c r="AF737" t="str">
        <f>IFERROR(O737&amp;"*"&amp;ROUND(Q737*(P737/(N737+P737))/VLOOKUP(O737,职业!$A$3:$E$16,4,FALSE),0),"")</f>
        <v/>
      </c>
      <c r="AG737" t="str">
        <f>IFERROR(R737&amp;"*"&amp;ROUND(V737*(S737/(S737+U737))/VLOOKUP(R737,商品!$A$4:$D$67,4,FALSE),0),"")</f>
        <v/>
      </c>
      <c r="AH737" t="str">
        <f>IFERROR(T737&amp;"*"&amp;ROUND(V737*(U737/(S737+U737))/VLOOKUP(T737,商品!$A$4:$D$67,4,FALSE),0),"")</f>
        <v/>
      </c>
    </row>
    <row r="738" customHeight="1" spans="1:34">
      <c r="A738" s="14" t="s">
        <v>421</v>
      </c>
      <c r="C738" s="2">
        <v>3</v>
      </c>
      <c r="D738" s="2" t="s">
        <v>260</v>
      </c>
      <c r="E738" s="2" t="s">
        <v>222</v>
      </c>
      <c r="L738" s="2">
        <f>IFERROR(VLOOKUP($D738&amp;$C738,生产方式定位!$A$2:$E$39,2,FALSE)+VLOOKUP($E738&amp;$C738,生产方式定位!$F$3:$J$39,2,FALSE),0)</f>
        <v>3000</v>
      </c>
      <c r="Q738" s="2">
        <f>IFERROR(VLOOKUP($D738&amp;$C738,生产方式定位!$A$2:$E$39,3,FALSE)+VLOOKUP($E738&amp;$C738,生产方式定位!$F$3:$J$39,3,FALSE),0)</f>
        <v>3000</v>
      </c>
      <c r="V738" s="2">
        <f>IFERROR(VLOOKUP($D738&amp;$C738,生产方式定位!$A$2:$E$39,5,FALSE)+VLOOKUP($E738&amp;$C738,生产方式定位!$F$3:$J$39,5,FALSE),"错误")</f>
        <v>3288</v>
      </c>
      <c r="W738" s="3" t="str">
        <f t="shared" si="55"/>
        <v/>
      </c>
      <c r="X738" s="4" t="str">
        <f t="shared" si="56"/>
        <v/>
      </c>
      <c r="Y738" s="4" t="str">
        <f t="shared" si="57"/>
        <v/>
      </c>
      <c r="Z738" s="5">
        <f t="shared" si="58"/>
        <v>0.91</v>
      </c>
      <c r="AA738" s="6">
        <f t="shared" si="59"/>
        <v>3</v>
      </c>
      <c r="AB738" t="str">
        <f>IFERROR(F738&amp;"*"&amp;ROUND(L738*(G738/(G738+I738+K738))/VLOOKUP(F738,商品!$A$4:$D$67,4,FALSE),0),"")</f>
        <v/>
      </c>
      <c r="AC738" t="str">
        <f>IFERROR(H738&amp;"*"&amp;ROUND(L738*(I738/(G738+I738+K738))/VLOOKUP(H738,商品!$A$4:$D$67,4,FALSE),0),"")</f>
        <v/>
      </c>
      <c r="AD738" t="str">
        <f>IFERROR(J738&amp;"*"&amp;ROUND(L738*(K738/(G738+I738+K738))/VLOOKUP(J738,商品!$A$4:$D$67,4,FALSE),0),"")</f>
        <v/>
      </c>
      <c r="AE738" t="str">
        <f>IFERROR(M738&amp;"*"&amp;ROUND(Q738*(N738/(N738+P738))/VLOOKUP(M738,职业!$A$3:$E$16,4,FALSE),0),"")</f>
        <v/>
      </c>
      <c r="AF738" t="str">
        <f>IFERROR(O738&amp;"*"&amp;ROUND(Q738*(P738/(N738+P738))/VLOOKUP(O738,职业!$A$3:$E$16,4,FALSE),0),"")</f>
        <v/>
      </c>
      <c r="AG738" t="str">
        <f>IFERROR(R738&amp;"*"&amp;ROUND(V738*(S738/(S738+U738))/VLOOKUP(R738,商品!$A$4:$D$67,4,FALSE),0),"")</f>
        <v/>
      </c>
      <c r="AH738" t="str">
        <f>IFERROR(T738&amp;"*"&amp;ROUND(V738*(U738/(S738+U738))/VLOOKUP(T738,商品!$A$4:$D$67,4,FALSE),0),"")</f>
        <v/>
      </c>
    </row>
    <row r="739" customHeight="1" spans="1:34">
      <c r="A739" s="14" t="s">
        <v>421</v>
      </c>
      <c r="C739" s="2">
        <v>4</v>
      </c>
      <c r="D739" s="2" t="s">
        <v>260</v>
      </c>
      <c r="E739" s="2" t="s">
        <v>222</v>
      </c>
      <c r="L739" s="2">
        <f>IFERROR(VLOOKUP($D739&amp;$C739,生产方式定位!$A$2:$E$39,2,FALSE)+VLOOKUP($E739&amp;$C739,生产方式定位!$F$3:$J$39,2,FALSE),0)</f>
        <v>4500</v>
      </c>
      <c r="Q739" s="2">
        <f>IFERROR(VLOOKUP($D739&amp;$C739,生产方式定位!$A$2:$E$39,3,FALSE)+VLOOKUP($E739&amp;$C739,生产方式定位!$F$3:$J$39,3,FALSE),0)</f>
        <v>3000</v>
      </c>
      <c r="V739" s="2">
        <f>IFERROR(VLOOKUP($D739&amp;$C739,生产方式定位!$A$2:$E$39,5,FALSE)+VLOOKUP($E739&amp;$C739,生产方式定位!$F$3:$J$39,5,FALSE),"错误")</f>
        <v>4398</v>
      </c>
      <c r="W739" s="3" t="str">
        <f t="shared" si="55"/>
        <v/>
      </c>
      <c r="X739" s="4" t="str">
        <f t="shared" si="56"/>
        <v/>
      </c>
      <c r="Y739" s="4" t="str">
        <f t="shared" si="57"/>
        <v/>
      </c>
      <c r="Z739" s="5">
        <f t="shared" si="58"/>
        <v>1.02</v>
      </c>
      <c r="AA739" s="6">
        <f t="shared" si="59"/>
        <v>4</v>
      </c>
      <c r="AB739" t="str">
        <f>IFERROR(F739&amp;"*"&amp;ROUND(L739*(G739/(G739+I739+K739))/VLOOKUP(F739,商品!$A$4:$D$67,4,FALSE),0),"")</f>
        <v/>
      </c>
      <c r="AC739" t="str">
        <f>IFERROR(H739&amp;"*"&amp;ROUND(L739*(I739/(G739+I739+K739))/VLOOKUP(H739,商品!$A$4:$D$67,4,FALSE),0),"")</f>
        <v/>
      </c>
      <c r="AD739" t="str">
        <f>IFERROR(J739&amp;"*"&amp;ROUND(L739*(K739/(G739+I739+K739))/VLOOKUP(J739,商品!$A$4:$D$67,4,FALSE),0),"")</f>
        <v/>
      </c>
      <c r="AE739" t="str">
        <f>IFERROR(M739&amp;"*"&amp;ROUND(Q739*(N739/(N739+P739))/VLOOKUP(M739,职业!$A$3:$E$16,4,FALSE),0),"")</f>
        <v/>
      </c>
      <c r="AF739" t="str">
        <f>IFERROR(O739&amp;"*"&amp;ROUND(Q739*(P739/(N739+P739))/VLOOKUP(O739,职业!$A$3:$E$16,4,FALSE),0),"")</f>
        <v/>
      </c>
      <c r="AG739" t="str">
        <f>IFERROR(R739&amp;"*"&amp;ROUND(V739*(S739/(S739+U739))/VLOOKUP(R739,商品!$A$4:$D$67,4,FALSE),0),"")</f>
        <v/>
      </c>
      <c r="AH739" t="str">
        <f>IFERROR(T739&amp;"*"&amp;ROUND(V739*(U739/(S739+U739))/VLOOKUP(T739,商品!$A$4:$D$67,4,FALSE),0),"")</f>
        <v/>
      </c>
    </row>
    <row r="740" customHeight="1" spans="1:34">
      <c r="A740" s="14" t="s">
        <v>421</v>
      </c>
      <c r="C740" s="2">
        <v>5</v>
      </c>
      <c r="D740" s="2" t="s">
        <v>260</v>
      </c>
      <c r="E740" s="2" t="s">
        <v>222</v>
      </c>
      <c r="L740" s="2">
        <f>IFERROR(VLOOKUP($D740&amp;$C740,生产方式定位!$A$2:$E$39,2,FALSE)+VLOOKUP($E740&amp;$C740,生产方式定位!$F$3:$J$39,2,FALSE),0)</f>
        <v>6000</v>
      </c>
      <c r="Q740" s="2">
        <f>IFERROR(VLOOKUP($D740&amp;$C740,生产方式定位!$A$2:$E$39,3,FALSE)+VLOOKUP($E740&amp;$C740,生产方式定位!$F$3:$J$39,3,FALSE),0)</f>
        <v>3000</v>
      </c>
      <c r="V740" s="2">
        <f>IFERROR(VLOOKUP($D740&amp;$C740,生产方式定位!$A$2:$E$39,5,FALSE)+VLOOKUP($E740&amp;$C740,生产方式定位!$F$3:$J$39,5,FALSE),"错误")</f>
        <v>5700</v>
      </c>
      <c r="W740" s="3" t="str">
        <f t="shared" si="55"/>
        <v/>
      </c>
      <c r="X740" s="4" t="str">
        <f t="shared" si="56"/>
        <v/>
      </c>
      <c r="Y740" s="4" t="str">
        <f t="shared" si="57"/>
        <v/>
      </c>
      <c r="Z740" s="5">
        <f t="shared" si="58"/>
        <v>1.05</v>
      </c>
      <c r="AA740" s="6">
        <f t="shared" si="59"/>
        <v>5</v>
      </c>
      <c r="AB740" t="str">
        <f>IFERROR(F740&amp;"*"&amp;ROUND(L740*(G740/(G740+I740+K740))/VLOOKUP(F740,商品!$A$4:$D$67,4,FALSE),0),"")</f>
        <v/>
      </c>
      <c r="AC740" t="str">
        <f>IFERROR(H740&amp;"*"&amp;ROUND(L740*(I740/(G740+I740+K740))/VLOOKUP(H740,商品!$A$4:$D$67,4,FALSE),0),"")</f>
        <v/>
      </c>
      <c r="AD740" t="str">
        <f>IFERROR(J740&amp;"*"&amp;ROUND(L740*(K740/(G740+I740+K740))/VLOOKUP(J740,商品!$A$4:$D$67,4,FALSE),0),"")</f>
        <v/>
      </c>
      <c r="AE740" t="str">
        <f>IFERROR(M740&amp;"*"&amp;ROUND(Q740*(N740/(N740+P740))/VLOOKUP(M740,职业!$A$3:$E$16,4,FALSE),0),"")</f>
        <v/>
      </c>
      <c r="AF740" t="str">
        <f>IFERROR(O740&amp;"*"&amp;ROUND(Q740*(P740/(N740+P740))/VLOOKUP(O740,职业!$A$3:$E$16,4,FALSE),0),"")</f>
        <v/>
      </c>
      <c r="AG740" t="str">
        <f>IFERROR(R740&amp;"*"&amp;ROUND(V740*(S740/(S740+U740))/VLOOKUP(R740,商品!$A$4:$D$67,4,FALSE),0),"")</f>
        <v/>
      </c>
      <c r="AH740" t="str">
        <f>IFERROR(T740&amp;"*"&amp;ROUND(V740*(U740/(S740+U740))/VLOOKUP(T740,商品!$A$4:$D$67,4,FALSE),0),"")</f>
        <v/>
      </c>
    </row>
    <row r="741" customHeight="1" spans="1:34">
      <c r="A741" s="14" t="s">
        <v>421</v>
      </c>
      <c r="C741" s="2">
        <v>1</v>
      </c>
      <c r="D741" s="2" t="s">
        <v>260</v>
      </c>
      <c r="E741" s="2" t="s">
        <v>222</v>
      </c>
      <c r="L741" s="2">
        <f>IFERROR(VLOOKUP($D741&amp;$C741,生产方式定位!$A$2:$E$39,2,FALSE)+VLOOKUP($E741&amp;$C741,生产方式定位!$F$3:$J$39,2,FALSE),0)</f>
        <v>0</v>
      </c>
      <c r="Q741" s="2">
        <f>IFERROR(VLOOKUP($D741&amp;$C741,生产方式定位!$A$2:$E$39,3,FALSE)+VLOOKUP($E741&amp;$C741,生产方式定位!$F$3:$J$39,3,FALSE),0)</f>
        <v>3000</v>
      </c>
      <c r="V741" s="2">
        <f>IFERROR(VLOOKUP($D741&amp;$C741,生产方式定位!$A$2:$E$39,5,FALSE)+VLOOKUP($E741&amp;$C741,生产方式定位!$F$3:$J$39,5,FALSE),"错误")</f>
        <v>1500</v>
      </c>
      <c r="W741" s="3" t="str">
        <f t="shared" si="55"/>
        <v/>
      </c>
      <c r="X741" s="4" t="str">
        <f t="shared" si="56"/>
        <v/>
      </c>
      <c r="Y741" s="4" t="str">
        <f t="shared" si="57"/>
        <v/>
      </c>
      <c r="Z741" s="5">
        <f t="shared" si="58"/>
        <v>0</v>
      </c>
      <c r="AA741" s="6">
        <f t="shared" si="59"/>
        <v>1</v>
      </c>
      <c r="AB741" t="str">
        <f>IFERROR(F741&amp;"*"&amp;ROUND(L741*(G741/(G741+I741+K741))/VLOOKUP(F741,商品!$A$4:$D$67,4,FALSE),0),"")</f>
        <v/>
      </c>
      <c r="AC741" t="str">
        <f>IFERROR(H741&amp;"*"&amp;ROUND(L741*(I741/(G741+I741+K741))/VLOOKUP(H741,商品!$A$4:$D$67,4,FALSE),0),"")</f>
        <v/>
      </c>
      <c r="AD741" t="str">
        <f>IFERROR(J741&amp;"*"&amp;ROUND(L741*(K741/(G741+I741+K741))/VLOOKUP(J741,商品!$A$4:$D$67,4,FALSE),0),"")</f>
        <v/>
      </c>
      <c r="AE741" t="str">
        <f>IFERROR(M741&amp;"*"&amp;ROUND(Q741*(N741/(N741+P741))/VLOOKUP(M741,职业!$A$3:$E$16,4,FALSE),0),"")</f>
        <v/>
      </c>
      <c r="AF741" t="str">
        <f>IFERROR(O741&amp;"*"&amp;ROUND(Q741*(P741/(N741+P741))/VLOOKUP(O741,职业!$A$3:$E$16,4,FALSE),0),"")</f>
        <v/>
      </c>
      <c r="AG741" t="str">
        <f>IFERROR(R741&amp;"*"&amp;ROUND(V741*(S741/(S741+U741))/VLOOKUP(R741,商品!$A$4:$D$67,4,FALSE),0),"")</f>
        <v/>
      </c>
      <c r="AH741" t="str">
        <f>IFERROR(T741&amp;"*"&amp;ROUND(V741*(U741/(S741+U741))/VLOOKUP(T741,商品!$A$4:$D$67,4,FALSE),0),"")</f>
        <v/>
      </c>
    </row>
    <row r="742" customHeight="1" spans="1:34">
      <c r="A742" s="14" t="s">
        <v>421</v>
      </c>
      <c r="C742" s="2">
        <v>2</v>
      </c>
      <c r="D742" s="2" t="s">
        <v>260</v>
      </c>
      <c r="E742" s="2" t="s">
        <v>222</v>
      </c>
      <c r="L742" s="2">
        <f>IFERROR(VLOOKUP($D742&amp;$C742,生产方式定位!$A$2:$E$39,2,FALSE)+VLOOKUP($E742&amp;$C742,生产方式定位!$F$3:$J$39,2,FALSE),0)</f>
        <v>1500</v>
      </c>
      <c r="Q742" s="2">
        <f>IFERROR(VLOOKUP($D742&amp;$C742,生产方式定位!$A$2:$E$39,3,FALSE)+VLOOKUP($E742&amp;$C742,生产方式定位!$F$3:$J$39,3,FALSE),0)</f>
        <v>3000</v>
      </c>
      <c r="V742" s="2">
        <f>IFERROR(VLOOKUP($D742&amp;$C742,生产方式定位!$A$2:$E$39,5,FALSE)+VLOOKUP($E742&amp;$C742,生产方式定位!$F$3:$J$39,5,FALSE),"错误")</f>
        <v>2322</v>
      </c>
      <c r="W742" s="3" t="str">
        <f t="shared" si="55"/>
        <v/>
      </c>
      <c r="X742" s="4" t="str">
        <f t="shared" si="56"/>
        <v/>
      </c>
      <c r="Y742" s="4" t="str">
        <f t="shared" si="57"/>
        <v/>
      </c>
      <c r="Z742" s="5">
        <f t="shared" si="58"/>
        <v>0.65</v>
      </c>
      <c r="AA742" s="6">
        <f t="shared" si="59"/>
        <v>2</v>
      </c>
      <c r="AB742" t="str">
        <f>IFERROR(F742&amp;"*"&amp;ROUND(L742*(G742/(G742+I742+K742))/VLOOKUP(F742,商品!$A$4:$D$67,4,FALSE),0),"")</f>
        <v/>
      </c>
      <c r="AC742" t="str">
        <f>IFERROR(H742&amp;"*"&amp;ROUND(L742*(I742/(G742+I742+K742))/VLOOKUP(H742,商品!$A$4:$D$67,4,FALSE),0),"")</f>
        <v/>
      </c>
      <c r="AD742" t="str">
        <f>IFERROR(J742&amp;"*"&amp;ROUND(L742*(K742/(G742+I742+K742))/VLOOKUP(J742,商品!$A$4:$D$67,4,FALSE),0),"")</f>
        <v/>
      </c>
      <c r="AE742" t="str">
        <f>IFERROR(M742&amp;"*"&amp;ROUND(Q742*(N742/(N742+P742))/VLOOKUP(M742,职业!$A$3:$E$16,4,FALSE),0),"")</f>
        <v/>
      </c>
      <c r="AF742" t="str">
        <f>IFERROR(O742&amp;"*"&amp;ROUND(Q742*(P742/(N742+P742))/VLOOKUP(O742,职业!$A$3:$E$16,4,FALSE),0),"")</f>
        <v/>
      </c>
      <c r="AG742" t="str">
        <f>IFERROR(R742&amp;"*"&amp;ROUND(V742*(S742/(S742+U742))/VLOOKUP(R742,商品!$A$4:$D$67,4,FALSE),0),"")</f>
        <v/>
      </c>
      <c r="AH742" t="str">
        <f>IFERROR(T742&amp;"*"&amp;ROUND(V742*(U742/(S742+U742))/VLOOKUP(T742,商品!$A$4:$D$67,4,FALSE),0),"")</f>
        <v/>
      </c>
    </row>
    <row r="743" customHeight="1" spans="1:34">
      <c r="A743" s="15" t="s">
        <v>422</v>
      </c>
      <c r="C743" s="2">
        <v>3</v>
      </c>
      <c r="D743" s="2" t="s">
        <v>260</v>
      </c>
      <c r="E743" s="2" t="s">
        <v>223</v>
      </c>
      <c r="L743" s="2">
        <f>IFERROR(VLOOKUP($D743&amp;$C743,生产方式定位!$A$2:$E$39,2,FALSE)+VLOOKUP($E743&amp;$C743,生产方式定位!$F$3:$J$39,2,FALSE),0)</f>
        <v>3000</v>
      </c>
      <c r="Q743" s="2">
        <f>IFERROR(VLOOKUP($D743&amp;$C743,生产方式定位!$A$2:$E$39,3,FALSE)+VLOOKUP($E743&amp;$C743,生产方式定位!$F$3:$J$39,3,FALSE),0)</f>
        <v>5600</v>
      </c>
      <c r="V743" s="2">
        <f>IFERROR(VLOOKUP($D743&amp;$C743,生产方式定位!$A$2:$E$39,5,FALSE)+VLOOKUP($E743&amp;$C743,生产方式定位!$F$3:$J$39,5,FALSE),"错误")</f>
        <v>4450</v>
      </c>
      <c r="W743" s="3" t="str">
        <f t="shared" si="55"/>
        <v/>
      </c>
      <c r="X743" s="4" t="str">
        <f t="shared" si="56"/>
        <v/>
      </c>
      <c r="Y743" s="4" t="str">
        <f t="shared" si="57"/>
        <v/>
      </c>
      <c r="Z743" s="5">
        <f t="shared" si="58"/>
        <v>0.67</v>
      </c>
      <c r="AA743" s="6">
        <f t="shared" si="59"/>
        <v>3</v>
      </c>
      <c r="AB743" t="str">
        <f>IFERROR(F743&amp;"*"&amp;ROUND(L743*(G743/(G743+I743+K743))/VLOOKUP(F743,商品!$A$4:$D$67,4,FALSE),0),"")</f>
        <v/>
      </c>
      <c r="AC743" t="str">
        <f>IFERROR(H743&amp;"*"&amp;ROUND(L743*(I743/(G743+I743+K743))/VLOOKUP(H743,商品!$A$4:$D$67,4,FALSE),0),"")</f>
        <v/>
      </c>
      <c r="AD743" t="str">
        <f>IFERROR(J743&amp;"*"&amp;ROUND(L743*(K743/(G743+I743+K743))/VLOOKUP(J743,商品!$A$4:$D$67,4,FALSE),0),"")</f>
        <v/>
      </c>
      <c r="AE743" t="str">
        <f>IFERROR(M743&amp;"*"&amp;ROUND(Q743*(N743/(N743+P743))/VLOOKUP(M743,职业!$A$3:$E$16,4,FALSE),0),"")</f>
        <v/>
      </c>
      <c r="AF743" t="str">
        <f>IFERROR(O743&amp;"*"&amp;ROUND(Q743*(P743/(N743+P743))/VLOOKUP(O743,职业!$A$3:$E$16,4,FALSE),0),"")</f>
        <v/>
      </c>
      <c r="AG743" t="str">
        <f>IFERROR(R743&amp;"*"&amp;ROUND(V743*(S743/(S743+U743))/VLOOKUP(R743,商品!$A$4:$D$67,4,FALSE),0),"")</f>
        <v/>
      </c>
      <c r="AH743" t="str">
        <f>IFERROR(T743&amp;"*"&amp;ROUND(V743*(U743/(S743+U743))/VLOOKUP(T743,商品!$A$4:$D$67,4,FALSE),0),"")</f>
        <v/>
      </c>
    </row>
    <row r="744" customHeight="1" spans="1:34">
      <c r="A744" s="15" t="s">
        <v>422</v>
      </c>
      <c r="C744" s="2">
        <v>4</v>
      </c>
      <c r="D744" s="2" t="s">
        <v>260</v>
      </c>
      <c r="E744" s="2" t="s">
        <v>223</v>
      </c>
      <c r="L744" s="2">
        <f>IFERROR(VLOOKUP($D744&amp;$C744,生产方式定位!$A$2:$E$39,2,FALSE)+VLOOKUP($E744&amp;$C744,生产方式定位!$F$3:$J$39,2,FALSE),0)</f>
        <v>4500</v>
      </c>
      <c r="Q744" s="2">
        <f>IFERROR(VLOOKUP($D744&amp;$C744,生产方式定位!$A$2:$E$39,3,FALSE)+VLOOKUP($E744&amp;$C744,生产方式定位!$F$3:$J$39,3,FALSE),0)</f>
        <v>6400</v>
      </c>
      <c r="V744" s="2">
        <f>IFERROR(VLOOKUP($D744&amp;$C744,生产方式定位!$A$2:$E$39,5,FALSE)+VLOOKUP($E744&amp;$C744,生产方式定位!$F$3:$J$39,5,FALSE),"错误")</f>
        <v>5765</v>
      </c>
      <c r="W744" s="3" t="str">
        <f t="shared" si="55"/>
        <v/>
      </c>
      <c r="X744" s="4" t="str">
        <f t="shared" si="56"/>
        <v/>
      </c>
      <c r="Y744" s="4" t="str">
        <f t="shared" si="57"/>
        <v/>
      </c>
      <c r="Z744" s="5">
        <f t="shared" si="58"/>
        <v>0.78</v>
      </c>
      <c r="AA744" s="6">
        <f t="shared" si="59"/>
        <v>4</v>
      </c>
      <c r="AB744" t="str">
        <f>IFERROR(F744&amp;"*"&amp;ROUND(L744*(G744/(G744+I744+K744))/VLOOKUP(F744,商品!$A$4:$D$67,4,FALSE),0),"")</f>
        <v/>
      </c>
      <c r="AC744" t="str">
        <f>IFERROR(H744&amp;"*"&amp;ROUND(L744*(I744/(G744+I744+K744))/VLOOKUP(H744,商品!$A$4:$D$67,4,FALSE),0),"")</f>
        <v/>
      </c>
      <c r="AD744" t="str">
        <f>IFERROR(J744&amp;"*"&amp;ROUND(L744*(K744/(G744+I744+K744))/VLOOKUP(J744,商品!$A$4:$D$67,4,FALSE),0),"")</f>
        <v/>
      </c>
      <c r="AE744" t="str">
        <f>IFERROR(M744&amp;"*"&amp;ROUND(Q744*(N744/(N744+P744))/VLOOKUP(M744,职业!$A$3:$E$16,4,FALSE),0),"")</f>
        <v/>
      </c>
      <c r="AF744" t="str">
        <f>IFERROR(O744&amp;"*"&amp;ROUND(Q744*(P744/(N744+P744))/VLOOKUP(O744,职业!$A$3:$E$16,4,FALSE),0),"")</f>
        <v/>
      </c>
      <c r="AG744" t="str">
        <f>IFERROR(R744&amp;"*"&amp;ROUND(V744*(S744/(S744+U744))/VLOOKUP(R744,商品!$A$4:$D$67,4,FALSE),0),"")</f>
        <v/>
      </c>
      <c r="AH744" t="str">
        <f>IFERROR(T744&amp;"*"&amp;ROUND(V744*(U744/(S744+U744))/VLOOKUP(T744,商品!$A$4:$D$67,4,FALSE),0),"")</f>
        <v/>
      </c>
    </row>
    <row r="745" customHeight="1" spans="1:34">
      <c r="A745" s="15" t="s">
        <v>422</v>
      </c>
      <c r="C745" s="2">
        <v>5</v>
      </c>
      <c r="D745" s="2" t="s">
        <v>260</v>
      </c>
      <c r="E745" s="2" t="s">
        <v>223</v>
      </c>
      <c r="L745" s="2">
        <f>IFERROR(VLOOKUP($D745&amp;$C745,生产方式定位!$A$2:$E$39,2,FALSE)+VLOOKUP($E745&amp;$C745,生产方式定位!$F$3:$J$39,2,FALSE),0)</f>
        <v>6000</v>
      </c>
      <c r="Q745" s="2">
        <f>IFERROR(VLOOKUP($D745&amp;$C745,生产方式定位!$A$2:$E$39,3,FALSE)+VLOOKUP($E745&amp;$C745,生产方式定位!$F$3:$J$39,3,FALSE),0)</f>
        <v>7200</v>
      </c>
      <c r="V745" s="2">
        <f>IFERROR(VLOOKUP($D745&amp;$C745,生产方式定位!$A$2:$E$39,5,FALSE)+VLOOKUP($E745&amp;$C745,生产方式定位!$F$3:$J$39,5,FALSE),"错误")</f>
        <v>7163</v>
      </c>
      <c r="W745" s="3" t="str">
        <f t="shared" si="55"/>
        <v/>
      </c>
      <c r="X745" s="4" t="str">
        <f t="shared" si="56"/>
        <v/>
      </c>
      <c r="Y745" s="4" t="str">
        <f t="shared" si="57"/>
        <v/>
      </c>
      <c r="Z745" s="5">
        <f t="shared" si="58"/>
        <v>0.84</v>
      </c>
      <c r="AA745" s="6">
        <f t="shared" si="59"/>
        <v>5</v>
      </c>
      <c r="AB745" t="str">
        <f>IFERROR(F745&amp;"*"&amp;ROUND(L745*(G745/(G745+I745+K745))/VLOOKUP(F745,商品!$A$4:$D$67,4,FALSE),0),"")</f>
        <v/>
      </c>
      <c r="AC745" t="str">
        <f>IFERROR(H745&amp;"*"&amp;ROUND(L745*(I745/(G745+I745+K745))/VLOOKUP(H745,商品!$A$4:$D$67,4,FALSE),0),"")</f>
        <v/>
      </c>
      <c r="AD745" t="str">
        <f>IFERROR(J745&amp;"*"&amp;ROUND(L745*(K745/(G745+I745+K745))/VLOOKUP(J745,商品!$A$4:$D$67,4,FALSE),0),"")</f>
        <v/>
      </c>
      <c r="AE745" t="str">
        <f>IFERROR(M745&amp;"*"&amp;ROUND(Q745*(N745/(N745+P745))/VLOOKUP(M745,职业!$A$3:$E$16,4,FALSE),0),"")</f>
        <v/>
      </c>
      <c r="AF745" t="str">
        <f>IFERROR(O745&amp;"*"&amp;ROUND(Q745*(P745/(N745+P745))/VLOOKUP(O745,职业!$A$3:$E$16,4,FALSE),0),"")</f>
        <v/>
      </c>
      <c r="AG745" t="str">
        <f>IFERROR(R745&amp;"*"&amp;ROUND(V745*(S745/(S745+U745))/VLOOKUP(R745,商品!$A$4:$D$67,4,FALSE),0),"")</f>
        <v/>
      </c>
      <c r="AH745" t="str">
        <f>IFERROR(T745&amp;"*"&amp;ROUND(V745*(U745/(S745+U745))/VLOOKUP(T745,商品!$A$4:$D$67,4,FALSE),0),"")</f>
        <v/>
      </c>
    </row>
    <row r="746" customHeight="1" spans="1:34">
      <c r="A746" s="15" t="s">
        <v>422</v>
      </c>
      <c r="C746" s="2">
        <v>1</v>
      </c>
      <c r="D746" s="2" t="s">
        <v>260</v>
      </c>
      <c r="E746" s="2" t="s">
        <v>223</v>
      </c>
      <c r="L746" s="2">
        <f>IFERROR(VLOOKUP($D746&amp;$C746,生产方式定位!$A$2:$E$39,2,FALSE)+VLOOKUP($E746&amp;$C746,生产方式定位!$F$3:$J$39,2,FALSE),0)</f>
        <v>0</v>
      </c>
      <c r="Q746" s="2">
        <f>IFERROR(VLOOKUP($D746&amp;$C746,生产方式定位!$A$2:$E$39,3,FALSE)+VLOOKUP($E746&amp;$C746,生产方式定位!$F$3:$J$39,3,FALSE),0)</f>
        <v>3000</v>
      </c>
      <c r="V746" s="2">
        <f>IFERROR(VLOOKUP($D746&amp;$C746,生产方式定位!$A$2:$E$39,5,FALSE)+VLOOKUP($E746&amp;$C746,生产方式定位!$F$3:$J$39,5,FALSE),"错误")</f>
        <v>1500</v>
      </c>
      <c r="W746" s="3" t="str">
        <f t="shared" si="55"/>
        <v/>
      </c>
      <c r="X746" s="4" t="str">
        <f t="shared" si="56"/>
        <v/>
      </c>
      <c r="Y746" s="4" t="str">
        <f t="shared" si="57"/>
        <v/>
      </c>
      <c r="Z746" s="5">
        <f t="shared" si="58"/>
        <v>0</v>
      </c>
      <c r="AA746" s="6">
        <f t="shared" si="59"/>
        <v>1</v>
      </c>
      <c r="AB746" t="str">
        <f>IFERROR(F746&amp;"*"&amp;ROUND(L746*(G746/(G746+I746+K746))/VLOOKUP(F746,商品!$A$4:$D$67,4,FALSE),0),"")</f>
        <v/>
      </c>
      <c r="AC746" t="str">
        <f>IFERROR(H746&amp;"*"&amp;ROUND(L746*(I746/(G746+I746+K746))/VLOOKUP(H746,商品!$A$4:$D$67,4,FALSE),0),"")</f>
        <v/>
      </c>
      <c r="AD746" t="str">
        <f>IFERROR(J746&amp;"*"&amp;ROUND(L746*(K746/(G746+I746+K746))/VLOOKUP(J746,商品!$A$4:$D$67,4,FALSE),0),"")</f>
        <v/>
      </c>
      <c r="AE746" t="str">
        <f>IFERROR(M746&amp;"*"&amp;ROUND(Q746*(N746/(N746+P746))/VLOOKUP(M746,职业!$A$3:$E$16,4,FALSE),0),"")</f>
        <v/>
      </c>
      <c r="AF746" t="str">
        <f>IFERROR(O746&amp;"*"&amp;ROUND(Q746*(P746/(N746+P746))/VLOOKUP(O746,职业!$A$3:$E$16,4,FALSE),0),"")</f>
        <v/>
      </c>
      <c r="AG746" t="str">
        <f>IFERROR(R746&amp;"*"&amp;ROUND(V746*(S746/(S746+U746))/VLOOKUP(R746,商品!$A$4:$D$67,4,FALSE),0),"")</f>
        <v/>
      </c>
      <c r="AH746" t="str">
        <f>IFERROR(T746&amp;"*"&amp;ROUND(V746*(U746/(S746+U746))/VLOOKUP(T746,商品!$A$4:$D$67,4,FALSE),0),"")</f>
        <v/>
      </c>
    </row>
    <row r="747" customHeight="1" spans="1:34">
      <c r="A747" s="15" t="s">
        <v>422</v>
      </c>
      <c r="C747" s="2">
        <v>2</v>
      </c>
      <c r="D747" s="2" t="s">
        <v>260</v>
      </c>
      <c r="E747" s="2" t="s">
        <v>223</v>
      </c>
      <c r="L747" s="2">
        <f>IFERROR(VLOOKUP($D747&amp;$C747,生产方式定位!$A$2:$E$39,2,FALSE)+VLOOKUP($E747&amp;$C747,生产方式定位!$F$3:$J$39,2,FALSE),0)</f>
        <v>1500</v>
      </c>
      <c r="Q747" s="2">
        <f>IFERROR(VLOOKUP($D747&amp;$C747,生产方式定位!$A$2:$E$39,3,FALSE)+VLOOKUP($E747&amp;$C747,生产方式定位!$F$3:$J$39,3,FALSE),0)</f>
        <v>4800</v>
      </c>
      <c r="V747" s="2">
        <f>IFERROR(VLOOKUP($D747&amp;$C747,生产方式定位!$A$2:$E$39,5,FALSE)+VLOOKUP($E747&amp;$C747,生产方式定位!$F$3:$J$39,5,FALSE),"错误")</f>
        <v>3195</v>
      </c>
      <c r="W747" s="3" t="str">
        <f t="shared" si="55"/>
        <v/>
      </c>
      <c r="X747" s="4" t="str">
        <f t="shared" si="56"/>
        <v/>
      </c>
      <c r="Y747" s="4" t="str">
        <f t="shared" si="57"/>
        <v/>
      </c>
      <c r="Z747" s="5">
        <f t="shared" si="58"/>
        <v>0.47</v>
      </c>
      <c r="AA747" s="6">
        <f t="shared" si="59"/>
        <v>2</v>
      </c>
      <c r="AB747" t="str">
        <f>IFERROR(F747&amp;"*"&amp;ROUND(L747*(G747/(G747+I747+K747))/VLOOKUP(F747,商品!$A$4:$D$67,4,FALSE),0),"")</f>
        <v/>
      </c>
      <c r="AC747" t="str">
        <f>IFERROR(H747&amp;"*"&amp;ROUND(L747*(I747/(G747+I747+K747))/VLOOKUP(H747,商品!$A$4:$D$67,4,FALSE),0),"")</f>
        <v/>
      </c>
      <c r="AD747" t="str">
        <f>IFERROR(J747&amp;"*"&amp;ROUND(L747*(K747/(G747+I747+K747))/VLOOKUP(J747,商品!$A$4:$D$67,4,FALSE),0),"")</f>
        <v/>
      </c>
      <c r="AE747" t="str">
        <f>IFERROR(M747&amp;"*"&amp;ROUND(Q747*(N747/(N747+P747))/VLOOKUP(M747,职业!$A$3:$E$16,4,FALSE),0),"")</f>
        <v/>
      </c>
      <c r="AF747" t="str">
        <f>IFERROR(O747&amp;"*"&amp;ROUND(Q747*(P747/(N747+P747))/VLOOKUP(O747,职业!$A$3:$E$16,4,FALSE),0),"")</f>
        <v/>
      </c>
      <c r="AG747" t="str">
        <f>IFERROR(R747&amp;"*"&amp;ROUND(V747*(S747/(S747+U747))/VLOOKUP(R747,商品!$A$4:$D$67,4,FALSE),0),"")</f>
        <v/>
      </c>
      <c r="AH747" t="str">
        <f>IFERROR(T747&amp;"*"&amp;ROUND(V747*(U747/(S747+U747))/VLOOKUP(T747,商品!$A$4:$D$67,4,FALSE),0),"")</f>
        <v/>
      </c>
    </row>
    <row r="748" customHeight="1" spans="1:34">
      <c r="A748" s="14" t="s">
        <v>423</v>
      </c>
      <c r="C748" s="2">
        <v>3</v>
      </c>
      <c r="D748" s="2" t="s">
        <v>260</v>
      </c>
      <c r="E748" s="2" t="s">
        <v>224</v>
      </c>
      <c r="L748" s="2">
        <f>IFERROR(VLOOKUP($D748&amp;$C748,生产方式定位!$A$2:$E$39,2,FALSE)+VLOOKUP($E748&amp;$C748,生产方式定位!$F$3:$J$39,2,FALSE),0)</f>
        <v>4000</v>
      </c>
      <c r="Q748" s="2">
        <f>IFERROR(VLOOKUP($D748&amp;$C748,生产方式定位!$A$2:$E$39,3,FALSE)+VLOOKUP($E748&amp;$C748,生产方式定位!$F$3:$J$39,3,FALSE),0)</f>
        <v>2200</v>
      </c>
      <c r="V748" s="2">
        <f>IFERROR(VLOOKUP($D748&amp;$C748,生产方式定位!$A$2:$E$39,5,FALSE)+VLOOKUP($E748&amp;$C748,生产方式定位!$F$3:$J$39,5,FALSE),"错误")</f>
        <v>3360</v>
      </c>
      <c r="W748" s="3" t="str">
        <f t="shared" si="55"/>
        <v/>
      </c>
      <c r="X748" s="4" t="str">
        <f t="shared" si="56"/>
        <v/>
      </c>
      <c r="Y748" s="4" t="str">
        <f t="shared" si="57"/>
        <v/>
      </c>
      <c r="Z748" s="5">
        <f t="shared" si="58"/>
        <v>1.19</v>
      </c>
      <c r="AA748" s="6">
        <f t="shared" si="59"/>
        <v>3</v>
      </c>
      <c r="AB748" t="str">
        <f>IFERROR(F748&amp;"*"&amp;ROUND(L748*(G748/(G748+I748+K748))/VLOOKUP(F748,商品!$A$4:$D$67,4,FALSE),0),"")</f>
        <v/>
      </c>
      <c r="AC748" t="str">
        <f>IFERROR(H748&amp;"*"&amp;ROUND(L748*(I748/(G748+I748+K748))/VLOOKUP(H748,商品!$A$4:$D$67,4,FALSE),0),"")</f>
        <v/>
      </c>
      <c r="AD748" t="str">
        <f>IFERROR(J748&amp;"*"&amp;ROUND(L748*(K748/(G748+I748+K748))/VLOOKUP(J748,商品!$A$4:$D$67,4,FALSE),0),"")</f>
        <v/>
      </c>
      <c r="AE748" t="str">
        <f>IFERROR(M748&amp;"*"&amp;ROUND(Q748*(N748/(N748+P748))/VLOOKUP(M748,职业!$A$3:$E$16,4,FALSE),0),"")</f>
        <v/>
      </c>
      <c r="AF748" t="str">
        <f>IFERROR(O748&amp;"*"&amp;ROUND(Q748*(P748/(N748+P748))/VLOOKUP(O748,职业!$A$3:$E$16,4,FALSE),0),"")</f>
        <v/>
      </c>
      <c r="AG748" t="str">
        <f>IFERROR(R748&amp;"*"&amp;ROUND(V748*(S748/(S748+U748))/VLOOKUP(R748,商品!$A$4:$D$67,4,FALSE),0),"")</f>
        <v/>
      </c>
      <c r="AH748" t="str">
        <f>IFERROR(T748&amp;"*"&amp;ROUND(V748*(U748/(S748+U748))/VLOOKUP(T748,商品!$A$4:$D$67,4,FALSE),0),"")</f>
        <v/>
      </c>
    </row>
    <row r="749" customHeight="1" spans="1:34">
      <c r="A749" s="14" t="s">
        <v>423</v>
      </c>
      <c r="C749" s="2">
        <v>4</v>
      </c>
      <c r="D749" s="2" t="s">
        <v>260</v>
      </c>
      <c r="E749" s="2" t="s">
        <v>224</v>
      </c>
      <c r="L749" s="2">
        <f>IFERROR(VLOOKUP($D749&amp;$C749,生产方式定位!$A$2:$E$39,2,FALSE)+VLOOKUP($E749&amp;$C749,生产方式定位!$F$3:$J$39,2,FALSE),0)</f>
        <v>5500</v>
      </c>
      <c r="Q749" s="2">
        <f>IFERROR(VLOOKUP($D749&amp;$C749,生产方式定位!$A$2:$E$39,3,FALSE)+VLOOKUP($E749&amp;$C749,生产方式定位!$F$3:$J$39,3,FALSE),0)</f>
        <v>1800</v>
      </c>
      <c r="V749" s="2">
        <f>IFERROR(VLOOKUP($D749&amp;$C749,生产方式定位!$A$2:$E$39,5,FALSE)+VLOOKUP($E749&amp;$C749,生产方式定位!$F$3:$J$39,5,FALSE),"错误")</f>
        <v>4160</v>
      </c>
      <c r="W749" s="3" t="str">
        <f t="shared" si="55"/>
        <v/>
      </c>
      <c r="X749" s="4" t="str">
        <f t="shared" si="56"/>
        <v/>
      </c>
      <c r="Y749" s="4" t="str">
        <f t="shared" si="57"/>
        <v/>
      </c>
      <c r="Z749" s="5">
        <f t="shared" si="58"/>
        <v>1.32</v>
      </c>
      <c r="AA749" s="6">
        <f t="shared" si="59"/>
        <v>4</v>
      </c>
      <c r="AB749" t="str">
        <f>IFERROR(F749&amp;"*"&amp;ROUND(L749*(G749/(G749+I749+K749))/VLOOKUP(F749,商品!$A$4:$D$67,4,FALSE),0),"")</f>
        <v/>
      </c>
      <c r="AC749" t="str">
        <f>IFERROR(H749&amp;"*"&amp;ROUND(L749*(I749/(G749+I749+K749))/VLOOKUP(H749,商品!$A$4:$D$67,4,FALSE),0),"")</f>
        <v/>
      </c>
      <c r="AD749" t="str">
        <f>IFERROR(J749&amp;"*"&amp;ROUND(L749*(K749/(G749+I749+K749))/VLOOKUP(J749,商品!$A$4:$D$67,4,FALSE),0),"")</f>
        <v/>
      </c>
      <c r="AE749" t="str">
        <f>IFERROR(M749&amp;"*"&amp;ROUND(Q749*(N749/(N749+P749))/VLOOKUP(M749,职业!$A$3:$E$16,4,FALSE),0),"")</f>
        <v/>
      </c>
      <c r="AF749" t="str">
        <f>IFERROR(O749&amp;"*"&amp;ROUND(Q749*(P749/(N749+P749))/VLOOKUP(O749,职业!$A$3:$E$16,4,FALSE),0),"")</f>
        <v/>
      </c>
      <c r="AG749" t="str">
        <f>IFERROR(R749&amp;"*"&amp;ROUND(V749*(S749/(S749+U749))/VLOOKUP(R749,商品!$A$4:$D$67,4,FALSE),0),"")</f>
        <v/>
      </c>
      <c r="AH749" t="str">
        <f>IFERROR(T749&amp;"*"&amp;ROUND(V749*(U749/(S749+U749))/VLOOKUP(T749,商品!$A$4:$D$67,4,FALSE),0),"")</f>
        <v/>
      </c>
    </row>
    <row r="750" customHeight="1" spans="1:34">
      <c r="A750" s="14" t="s">
        <v>423</v>
      </c>
      <c r="C750" s="2">
        <v>5</v>
      </c>
      <c r="D750" s="2" t="s">
        <v>260</v>
      </c>
      <c r="E750" s="2" t="s">
        <v>224</v>
      </c>
      <c r="L750" s="2">
        <f>IFERROR(VLOOKUP($D750&amp;$C750,生产方式定位!$A$2:$E$39,2,FALSE)+VLOOKUP($E750&amp;$C750,生产方式定位!$F$3:$J$39,2,FALSE),0)</f>
        <v>7000</v>
      </c>
      <c r="Q750" s="2">
        <f>IFERROR(VLOOKUP($D750&amp;$C750,生产方式定位!$A$2:$E$39,3,FALSE)+VLOOKUP($E750&amp;$C750,生产方式定位!$F$3:$J$39,3,FALSE),0)</f>
        <v>1400</v>
      </c>
      <c r="V750" s="2">
        <f>IFERROR(VLOOKUP($D750&amp;$C750,生产方式定位!$A$2:$E$39,5,FALSE)+VLOOKUP($E750&amp;$C750,生产方式定位!$F$3:$J$39,5,FALSE),"错误")</f>
        <v>5040</v>
      </c>
      <c r="W750" s="3" t="str">
        <f t="shared" si="55"/>
        <v/>
      </c>
      <c r="X750" s="4" t="str">
        <f t="shared" si="56"/>
        <v/>
      </c>
      <c r="Y750" s="4" t="str">
        <f t="shared" si="57"/>
        <v/>
      </c>
      <c r="Z750" s="5">
        <f t="shared" si="58"/>
        <v>1.39</v>
      </c>
      <c r="AA750" s="6">
        <f t="shared" si="59"/>
        <v>5</v>
      </c>
      <c r="AB750" t="str">
        <f>IFERROR(F750&amp;"*"&amp;ROUND(L750*(G750/(G750+I750+K750))/VLOOKUP(F750,商品!$A$4:$D$67,4,FALSE),0),"")</f>
        <v/>
      </c>
      <c r="AC750" t="str">
        <f>IFERROR(H750&amp;"*"&amp;ROUND(L750*(I750/(G750+I750+K750))/VLOOKUP(H750,商品!$A$4:$D$67,4,FALSE),0),"")</f>
        <v/>
      </c>
      <c r="AD750" t="str">
        <f>IFERROR(J750&amp;"*"&amp;ROUND(L750*(K750/(G750+I750+K750))/VLOOKUP(J750,商品!$A$4:$D$67,4,FALSE),0),"")</f>
        <v/>
      </c>
      <c r="AE750" t="str">
        <f>IFERROR(M750&amp;"*"&amp;ROUND(Q750*(N750/(N750+P750))/VLOOKUP(M750,职业!$A$3:$E$16,4,FALSE),0),"")</f>
        <v/>
      </c>
      <c r="AF750" t="str">
        <f>IFERROR(O750&amp;"*"&amp;ROUND(Q750*(P750/(N750+P750))/VLOOKUP(O750,职业!$A$3:$E$16,4,FALSE),0),"")</f>
        <v/>
      </c>
      <c r="AG750" t="str">
        <f>IFERROR(R750&amp;"*"&amp;ROUND(V750*(S750/(S750+U750))/VLOOKUP(R750,商品!$A$4:$D$67,4,FALSE),0),"")</f>
        <v/>
      </c>
      <c r="AH750" t="str">
        <f>IFERROR(T750&amp;"*"&amp;ROUND(V750*(U750/(S750+U750))/VLOOKUP(T750,商品!$A$4:$D$67,4,FALSE),0),"")</f>
        <v/>
      </c>
    </row>
    <row r="751" customHeight="1" spans="1:34">
      <c r="A751" s="14" t="s">
        <v>423</v>
      </c>
      <c r="C751" s="2">
        <v>1</v>
      </c>
      <c r="D751" s="2" t="s">
        <v>260</v>
      </c>
      <c r="E751" s="2" t="s">
        <v>224</v>
      </c>
      <c r="L751" s="2">
        <f>IFERROR(VLOOKUP($D751&amp;$C751,生产方式定位!$A$2:$E$39,2,FALSE)+VLOOKUP($E751&amp;$C751,生产方式定位!$F$3:$J$39,2,FALSE),0)</f>
        <v>0</v>
      </c>
      <c r="Q751" s="2">
        <f>IFERROR(VLOOKUP($D751&amp;$C751,生产方式定位!$A$2:$E$39,3,FALSE)+VLOOKUP($E751&amp;$C751,生产方式定位!$F$3:$J$39,3,FALSE),0)</f>
        <v>3000</v>
      </c>
      <c r="V751" s="2">
        <f>IFERROR(VLOOKUP($D751&amp;$C751,生产方式定位!$A$2:$E$39,5,FALSE)+VLOOKUP($E751&amp;$C751,生产方式定位!$F$3:$J$39,5,FALSE),"错误")</f>
        <v>1500</v>
      </c>
      <c r="W751" s="3" t="str">
        <f t="shared" si="55"/>
        <v/>
      </c>
      <c r="X751" s="4" t="str">
        <f t="shared" si="56"/>
        <v/>
      </c>
      <c r="Y751" s="4" t="str">
        <f t="shared" si="57"/>
        <v/>
      </c>
      <c r="Z751" s="5">
        <f t="shared" si="58"/>
        <v>0</v>
      </c>
      <c r="AA751" s="6">
        <f t="shared" si="59"/>
        <v>1</v>
      </c>
      <c r="AB751" t="str">
        <f>IFERROR(F751&amp;"*"&amp;ROUND(L751*(G751/(G751+I751+K751))/VLOOKUP(F751,商品!$A$4:$D$67,4,FALSE),0),"")</f>
        <v/>
      </c>
      <c r="AC751" t="str">
        <f>IFERROR(H751&amp;"*"&amp;ROUND(L751*(I751/(G751+I751+K751))/VLOOKUP(H751,商品!$A$4:$D$67,4,FALSE),0),"")</f>
        <v/>
      </c>
      <c r="AD751" t="str">
        <f>IFERROR(J751&amp;"*"&amp;ROUND(L751*(K751/(G751+I751+K751))/VLOOKUP(J751,商品!$A$4:$D$67,4,FALSE),0),"")</f>
        <v/>
      </c>
      <c r="AE751" t="str">
        <f>IFERROR(M751&amp;"*"&amp;ROUND(Q751*(N751/(N751+P751))/VLOOKUP(M751,职业!$A$3:$E$16,4,FALSE),0),"")</f>
        <v/>
      </c>
      <c r="AF751" t="str">
        <f>IFERROR(O751&amp;"*"&amp;ROUND(Q751*(P751/(N751+P751))/VLOOKUP(O751,职业!$A$3:$E$16,4,FALSE),0),"")</f>
        <v/>
      </c>
      <c r="AG751" t="str">
        <f>IFERROR(R751&amp;"*"&amp;ROUND(V751*(S751/(S751+U751))/VLOOKUP(R751,商品!$A$4:$D$67,4,FALSE),0),"")</f>
        <v/>
      </c>
      <c r="AH751" t="str">
        <f>IFERROR(T751&amp;"*"&amp;ROUND(V751*(U751/(S751+U751))/VLOOKUP(T751,商品!$A$4:$D$67,4,FALSE),0),"")</f>
        <v/>
      </c>
    </row>
    <row r="752" customHeight="1" spans="1:34">
      <c r="A752" s="14" t="s">
        <v>423</v>
      </c>
      <c r="C752" s="2">
        <v>2</v>
      </c>
      <c r="D752" s="2" t="s">
        <v>260</v>
      </c>
      <c r="E752" s="2" t="s">
        <v>224</v>
      </c>
      <c r="L752" s="2">
        <f>IFERROR(VLOOKUP($D752&amp;$C752,生产方式定位!$A$2:$E$39,2,FALSE)+VLOOKUP($E752&amp;$C752,生产方式定位!$F$3:$J$39,2,FALSE),0)</f>
        <v>2500</v>
      </c>
      <c r="Q752" s="2">
        <f>IFERROR(VLOOKUP($D752&amp;$C752,生产方式定位!$A$2:$E$39,3,FALSE)+VLOOKUP($E752&amp;$C752,生产方式定位!$F$3:$J$39,3,FALSE),0)</f>
        <v>2600</v>
      </c>
      <c r="V752" s="2">
        <f>IFERROR(VLOOKUP($D752&amp;$C752,生产方式定位!$A$2:$E$39,5,FALSE)+VLOOKUP($E752&amp;$C752,生产方式定位!$F$3:$J$39,5,FALSE),"错误")</f>
        <v>2640</v>
      </c>
      <c r="W752" s="3" t="str">
        <f t="shared" si="55"/>
        <v/>
      </c>
      <c r="X752" s="4" t="str">
        <f t="shared" si="56"/>
        <v/>
      </c>
      <c r="Y752" s="4" t="str">
        <f t="shared" si="57"/>
        <v/>
      </c>
      <c r="Z752" s="5">
        <f t="shared" si="58"/>
        <v>0.95</v>
      </c>
      <c r="AA752" s="6">
        <f t="shared" si="59"/>
        <v>2</v>
      </c>
      <c r="AB752" t="str">
        <f>IFERROR(F752&amp;"*"&amp;ROUND(L752*(G752/(G752+I752+K752))/VLOOKUP(F752,商品!$A$4:$D$67,4,FALSE),0),"")</f>
        <v/>
      </c>
      <c r="AC752" t="str">
        <f>IFERROR(H752&amp;"*"&amp;ROUND(L752*(I752/(G752+I752+K752))/VLOOKUP(H752,商品!$A$4:$D$67,4,FALSE),0),"")</f>
        <v/>
      </c>
      <c r="AD752" t="str">
        <f>IFERROR(J752&amp;"*"&amp;ROUND(L752*(K752/(G752+I752+K752))/VLOOKUP(J752,商品!$A$4:$D$67,4,FALSE),0),"")</f>
        <v/>
      </c>
      <c r="AE752" t="str">
        <f>IFERROR(M752&amp;"*"&amp;ROUND(Q752*(N752/(N752+P752))/VLOOKUP(M752,职业!$A$3:$E$16,4,FALSE),0),"")</f>
        <v/>
      </c>
      <c r="AF752" t="str">
        <f>IFERROR(O752&amp;"*"&amp;ROUND(Q752*(P752/(N752+P752))/VLOOKUP(O752,职业!$A$3:$E$16,4,FALSE),0),"")</f>
        <v/>
      </c>
      <c r="AG752" t="str">
        <f>IFERROR(R752&amp;"*"&amp;ROUND(V752*(S752/(S752+U752))/VLOOKUP(R752,商品!$A$4:$D$67,4,FALSE),0),"")</f>
        <v/>
      </c>
      <c r="AH752" t="str">
        <f>IFERROR(T752&amp;"*"&amp;ROUND(V752*(U752/(S752+U752))/VLOOKUP(T752,商品!$A$4:$D$67,4,FALSE),0),"")</f>
        <v/>
      </c>
    </row>
    <row r="753" customHeight="1" spans="1:34">
      <c r="A753" s="15" t="s">
        <v>423</v>
      </c>
      <c r="C753" s="2">
        <v>3</v>
      </c>
      <c r="D753" s="2" t="s">
        <v>260</v>
      </c>
      <c r="E753" s="2" t="s">
        <v>224</v>
      </c>
      <c r="L753" s="2">
        <f>IFERROR(VLOOKUP($D753&amp;$C753,生产方式定位!$A$2:$E$39,2,FALSE)+VLOOKUP($E753&amp;$C753,生产方式定位!$F$3:$J$39,2,FALSE),0)</f>
        <v>4000</v>
      </c>
      <c r="Q753" s="2">
        <f>IFERROR(VLOOKUP($D753&amp;$C753,生产方式定位!$A$2:$E$39,3,FALSE)+VLOOKUP($E753&amp;$C753,生产方式定位!$F$3:$J$39,3,FALSE),0)</f>
        <v>2200</v>
      </c>
      <c r="V753" s="2">
        <f>IFERROR(VLOOKUP($D753&amp;$C753,生产方式定位!$A$2:$E$39,5,FALSE)+VLOOKUP($E753&amp;$C753,生产方式定位!$F$3:$J$39,5,FALSE),"错误")</f>
        <v>3360</v>
      </c>
      <c r="W753" s="3" t="str">
        <f t="shared" si="55"/>
        <v/>
      </c>
      <c r="X753" s="4" t="str">
        <f t="shared" si="56"/>
        <v/>
      </c>
      <c r="Y753" s="4" t="str">
        <f t="shared" si="57"/>
        <v/>
      </c>
      <c r="Z753" s="5">
        <f t="shared" si="58"/>
        <v>1.19</v>
      </c>
      <c r="AA753" s="6">
        <f t="shared" si="59"/>
        <v>3</v>
      </c>
      <c r="AB753" t="str">
        <f>IFERROR(F753&amp;"*"&amp;ROUND(L753*(G753/(G753+I753+K753))/VLOOKUP(F753,商品!$A$4:$D$67,4,FALSE),0),"")</f>
        <v/>
      </c>
      <c r="AC753" t="str">
        <f>IFERROR(H753&amp;"*"&amp;ROUND(L753*(I753/(G753+I753+K753))/VLOOKUP(H753,商品!$A$4:$D$67,4,FALSE),0),"")</f>
        <v/>
      </c>
      <c r="AD753" t="str">
        <f>IFERROR(J753&amp;"*"&amp;ROUND(L753*(K753/(G753+I753+K753))/VLOOKUP(J753,商品!$A$4:$D$67,4,FALSE),0),"")</f>
        <v/>
      </c>
      <c r="AE753" t="str">
        <f>IFERROR(M753&amp;"*"&amp;ROUND(Q753*(N753/(N753+P753))/VLOOKUP(M753,职业!$A$3:$E$16,4,FALSE),0),"")</f>
        <v/>
      </c>
      <c r="AF753" t="str">
        <f>IFERROR(O753&amp;"*"&amp;ROUND(Q753*(P753/(N753+P753))/VLOOKUP(O753,职业!$A$3:$E$16,4,FALSE),0),"")</f>
        <v/>
      </c>
      <c r="AG753" t="str">
        <f>IFERROR(R753&amp;"*"&amp;ROUND(V753*(S753/(S753+U753))/VLOOKUP(R753,商品!$A$4:$D$67,4,FALSE),0),"")</f>
        <v/>
      </c>
      <c r="AH753" t="str">
        <f>IFERROR(T753&amp;"*"&amp;ROUND(V753*(U753/(S753+U753))/VLOOKUP(T753,商品!$A$4:$D$67,4,FALSE),0),"")</f>
        <v/>
      </c>
    </row>
    <row r="754" customHeight="1" spans="1:34">
      <c r="A754" s="15" t="s">
        <v>423</v>
      </c>
      <c r="C754" s="2">
        <v>4</v>
      </c>
      <c r="D754" s="2" t="s">
        <v>260</v>
      </c>
      <c r="E754" s="2" t="s">
        <v>224</v>
      </c>
      <c r="L754" s="2">
        <f>IFERROR(VLOOKUP($D754&amp;$C754,生产方式定位!$A$2:$E$39,2,FALSE)+VLOOKUP($E754&amp;$C754,生产方式定位!$F$3:$J$39,2,FALSE),0)</f>
        <v>5500</v>
      </c>
      <c r="Q754" s="2">
        <f>IFERROR(VLOOKUP($D754&amp;$C754,生产方式定位!$A$2:$E$39,3,FALSE)+VLOOKUP($E754&amp;$C754,生产方式定位!$F$3:$J$39,3,FALSE),0)</f>
        <v>1800</v>
      </c>
      <c r="V754" s="2">
        <f>IFERROR(VLOOKUP($D754&amp;$C754,生产方式定位!$A$2:$E$39,5,FALSE)+VLOOKUP($E754&amp;$C754,生产方式定位!$F$3:$J$39,5,FALSE),"错误")</f>
        <v>4160</v>
      </c>
      <c r="W754" s="3" t="str">
        <f t="shared" si="55"/>
        <v/>
      </c>
      <c r="X754" s="4" t="str">
        <f t="shared" si="56"/>
        <v/>
      </c>
      <c r="Y754" s="4" t="str">
        <f t="shared" si="57"/>
        <v/>
      </c>
      <c r="Z754" s="5">
        <f t="shared" si="58"/>
        <v>1.32</v>
      </c>
      <c r="AA754" s="6">
        <f t="shared" si="59"/>
        <v>4</v>
      </c>
      <c r="AB754" t="str">
        <f>IFERROR(F754&amp;"*"&amp;ROUND(L754*(G754/(G754+I754+K754))/VLOOKUP(F754,商品!$A$4:$D$67,4,FALSE),0),"")</f>
        <v/>
      </c>
      <c r="AC754" t="str">
        <f>IFERROR(H754&amp;"*"&amp;ROUND(L754*(I754/(G754+I754+K754))/VLOOKUP(H754,商品!$A$4:$D$67,4,FALSE),0),"")</f>
        <v/>
      </c>
      <c r="AD754" t="str">
        <f>IFERROR(J754&amp;"*"&amp;ROUND(L754*(K754/(G754+I754+K754))/VLOOKUP(J754,商品!$A$4:$D$67,4,FALSE),0),"")</f>
        <v/>
      </c>
      <c r="AE754" t="str">
        <f>IFERROR(M754&amp;"*"&amp;ROUND(Q754*(N754/(N754+P754))/VLOOKUP(M754,职业!$A$3:$E$16,4,FALSE),0),"")</f>
        <v/>
      </c>
      <c r="AF754" t="str">
        <f>IFERROR(O754&amp;"*"&amp;ROUND(Q754*(P754/(N754+P754))/VLOOKUP(O754,职业!$A$3:$E$16,4,FALSE),0),"")</f>
        <v/>
      </c>
      <c r="AG754" t="str">
        <f>IFERROR(R754&amp;"*"&amp;ROUND(V754*(S754/(S754+U754))/VLOOKUP(R754,商品!$A$4:$D$67,4,FALSE),0),"")</f>
        <v/>
      </c>
      <c r="AH754" t="str">
        <f>IFERROR(T754&amp;"*"&amp;ROUND(V754*(U754/(S754+U754))/VLOOKUP(T754,商品!$A$4:$D$67,4,FALSE),0),"")</f>
        <v/>
      </c>
    </row>
    <row r="755" customHeight="1" spans="1:34">
      <c r="A755" s="15" t="s">
        <v>423</v>
      </c>
      <c r="C755" s="2">
        <v>5</v>
      </c>
      <c r="D755" s="2" t="s">
        <v>260</v>
      </c>
      <c r="E755" s="2" t="s">
        <v>224</v>
      </c>
      <c r="L755" s="2">
        <f>IFERROR(VLOOKUP($D755&amp;$C755,生产方式定位!$A$2:$E$39,2,FALSE)+VLOOKUP($E755&amp;$C755,生产方式定位!$F$3:$J$39,2,FALSE),0)</f>
        <v>7000</v>
      </c>
      <c r="Q755" s="2">
        <f>IFERROR(VLOOKUP($D755&amp;$C755,生产方式定位!$A$2:$E$39,3,FALSE)+VLOOKUP($E755&amp;$C755,生产方式定位!$F$3:$J$39,3,FALSE),0)</f>
        <v>1400</v>
      </c>
      <c r="V755" s="2">
        <f>IFERROR(VLOOKUP($D755&amp;$C755,生产方式定位!$A$2:$E$39,5,FALSE)+VLOOKUP($E755&amp;$C755,生产方式定位!$F$3:$J$39,5,FALSE),"错误")</f>
        <v>5040</v>
      </c>
      <c r="W755" s="3" t="str">
        <f t="shared" si="55"/>
        <v/>
      </c>
      <c r="X755" s="4" t="str">
        <f t="shared" si="56"/>
        <v/>
      </c>
      <c r="Y755" s="4" t="str">
        <f t="shared" si="57"/>
        <v/>
      </c>
      <c r="Z755" s="5">
        <f t="shared" si="58"/>
        <v>1.39</v>
      </c>
      <c r="AA755" s="6">
        <f t="shared" si="59"/>
        <v>5</v>
      </c>
      <c r="AB755" t="str">
        <f>IFERROR(F755&amp;"*"&amp;ROUND(L755*(G755/(G755+I755+K755))/VLOOKUP(F755,商品!$A$4:$D$67,4,FALSE),0),"")</f>
        <v/>
      </c>
      <c r="AC755" t="str">
        <f>IFERROR(H755&amp;"*"&amp;ROUND(L755*(I755/(G755+I755+K755))/VLOOKUP(H755,商品!$A$4:$D$67,4,FALSE),0),"")</f>
        <v/>
      </c>
      <c r="AD755" t="str">
        <f>IFERROR(J755&amp;"*"&amp;ROUND(L755*(K755/(G755+I755+K755))/VLOOKUP(J755,商品!$A$4:$D$67,4,FALSE),0),"")</f>
        <v/>
      </c>
      <c r="AE755" t="str">
        <f>IFERROR(M755&amp;"*"&amp;ROUND(Q755*(N755/(N755+P755))/VLOOKUP(M755,职业!$A$3:$E$16,4,FALSE),0),"")</f>
        <v/>
      </c>
      <c r="AF755" t="str">
        <f>IFERROR(O755&amp;"*"&amp;ROUND(Q755*(P755/(N755+P755))/VLOOKUP(O755,职业!$A$3:$E$16,4,FALSE),0),"")</f>
        <v/>
      </c>
      <c r="AG755" t="str">
        <f>IFERROR(R755&amp;"*"&amp;ROUND(V755*(S755/(S755+U755))/VLOOKUP(R755,商品!$A$4:$D$67,4,FALSE),0),"")</f>
        <v/>
      </c>
      <c r="AH755" t="str">
        <f>IFERROR(T755&amp;"*"&amp;ROUND(V755*(U755/(S755+U755))/VLOOKUP(T755,商品!$A$4:$D$67,4,FALSE),0),"")</f>
        <v/>
      </c>
    </row>
    <row r="756" customHeight="1" spans="1:34">
      <c r="A756" s="15" t="s">
        <v>423</v>
      </c>
      <c r="C756" s="2">
        <v>1</v>
      </c>
      <c r="D756" s="2" t="s">
        <v>260</v>
      </c>
      <c r="E756" s="2" t="s">
        <v>224</v>
      </c>
      <c r="L756" s="2">
        <f>IFERROR(VLOOKUP($D756&amp;$C756,生产方式定位!$A$2:$E$39,2,FALSE)+VLOOKUP($E756&amp;$C756,生产方式定位!$F$3:$J$39,2,FALSE),0)</f>
        <v>0</v>
      </c>
      <c r="Q756" s="2">
        <f>IFERROR(VLOOKUP($D756&amp;$C756,生产方式定位!$A$2:$E$39,3,FALSE)+VLOOKUP($E756&amp;$C756,生产方式定位!$F$3:$J$39,3,FALSE),0)</f>
        <v>3000</v>
      </c>
      <c r="V756" s="2">
        <f>IFERROR(VLOOKUP($D756&amp;$C756,生产方式定位!$A$2:$E$39,5,FALSE)+VLOOKUP($E756&amp;$C756,生产方式定位!$F$3:$J$39,5,FALSE),"错误")</f>
        <v>1500</v>
      </c>
      <c r="W756" s="3" t="str">
        <f t="shared" si="55"/>
        <v/>
      </c>
      <c r="X756" s="4" t="str">
        <f t="shared" si="56"/>
        <v/>
      </c>
      <c r="Y756" s="4" t="str">
        <f t="shared" si="57"/>
        <v/>
      </c>
      <c r="Z756" s="5">
        <f t="shared" si="58"/>
        <v>0</v>
      </c>
      <c r="AA756" s="6">
        <f t="shared" si="59"/>
        <v>1</v>
      </c>
      <c r="AB756" t="str">
        <f>IFERROR(F756&amp;"*"&amp;ROUND(L756*(G756/(G756+I756+K756))/VLOOKUP(F756,商品!$A$4:$D$67,4,FALSE),0),"")</f>
        <v/>
      </c>
      <c r="AC756" t="str">
        <f>IFERROR(H756&amp;"*"&amp;ROUND(L756*(I756/(G756+I756+K756))/VLOOKUP(H756,商品!$A$4:$D$67,4,FALSE),0),"")</f>
        <v/>
      </c>
      <c r="AD756" t="str">
        <f>IFERROR(J756&amp;"*"&amp;ROUND(L756*(K756/(G756+I756+K756))/VLOOKUP(J756,商品!$A$4:$D$67,4,FALSE),0),"")</f>
        <v/>
      </c>
      <c r="AE756" t="str">
        <f>IFERROR(M756&amp;"*"&amp;ROUND(Q756*(N756/(N756+P756))/VLOOKUP(M756,职业!$A$3:$E$16,4,FALSE),0),"")</f>
        <v/>
      </c>
      <c r="AF756" t="str">
        <f>IFERROR(O756&amp;"*"&amp;ROUND(Q756*(P756/(N756+P756))/VLOOKUP(O756,职业!$A$3:$E$16,4,FALSE),0),"")</f>
        <v/>
      </c>
      <c r="AG756" t="str">
        <f>IFERROR(R756&amp;"*"&amp;ROUND(V756*(S756/(S756+U756))/VLOOKUP(R756,商品!$A$4:$D$67,4,FALSE),0),"")</f>
        <v/>
      </c>
      <c r="AH756" t="str">
        <f>IFERROR(T756&amp;"*"&amp;ROUND(V756*(U756/(S756+U756))/VLOOKUP(T756,商品!$A$4:$D$67,4,FALSE),0),"")</f>
        <v/>
      </c>
    </row>
    <row r="757" customHeight="1" spans="1:34">
      <c r="A757" s="15" t="s">
        <v>423</v>
      </c>
      <c r="C757" s="2">
        <v>2</v>
      </c>
      <c r="D757" s="2" t="s">
        <v>260</v>
      </c>
      <c r="E757" s="2" t="s">
        <v>224</v>
      </c>
      <c r="L757" s="2">
        <f>IFERROR(VLOOKUP($D757&amp;$C757,生产方式定位!$A$2:$E$39,2,FALSE)+VLOOKUP($E757&amp;$C757,生产方式定位!$F$3:$J$39,2,FALSE),0)</f>
        <v>2500</v>
      </c>
      <c r="Q757" s="2">
        <f>IFERROR(VLOOKUP($D757&amp;$C757,生产方式定位!$A$2:$E$39,3,FALSE)+VLOOKUP($E757&amp;$C757,生产方式定位!$F$3:$J$39,3,FALSE),0)</f>
        <v>2600</v>
      </c>
      <c r="V757" s="2">
        <f>IFERROR(VLOOKUP($D757&amp;$C757,生产方式定位!$A$2:$E$39,5,FALSE)+VLOOKUP($E757&amp;$C757,生产方式定位!$F$3:$J$39,5,FALSE),"错误")</f>
        <v>2640</v>
      </c>
      <c r="W757" s="3" t="str">
        <f t="shared" si="55"/>
        <v/>
      </c>
      <c r="X757" s="4" t="str">
        <f t="shared" si="56"/>
        <v/>
      </c>
      <c r="Y757" s="4" t="str">
        <f t="shared" si="57"/>
        <v/>
      </c>
      <c r="Z757" s="5">
        <f t="shared" si="58"/>
        <v>0.95</v>
      </c>
      <c r="AA757" s="6">
        <f t="shared" si="59"/>
        <v>2</v>
      </c>
      <c r="AB757" t="str">
        <f>IFERROR(F757&amp;"*"&amp;ROUND(L757*(G757/(G757+I757+K757))/VLOOKUP(F757,商品!$A$4:$D$67,4,FALSE),0),"")</f>
        <v/>
      </c>
      <c r="AC757" t="str">
        <f>IFERROR(H757&amp;"*"&amp;ROUND(L757*(I757/(G757+I757+K757))/VLOOKUP(H757,商品!$A$4:$D$67,4,FALSE),0),"")</f>
        <v/>
      </c>
      <c r="AD757" t="str">
        <f>IFERROR(J757&amp;"*"&amp;ROUND(L757*(K757/(G757+I757+K757))/VLOOKUP(J757,商品!$A$4:$D$67,4,FALSE),0),"")</f>
        <v/>
      </c>
      <c r="AE757" t="str">
        <f>IFERROR(M757&amp;"*"&amp;ROUND(Q757*(N757/(N757+P757))/VLOOKUP(M757,职业!$A$3:$E$16,4,FALSE),0),"")</f>
        <v/>
      </c>
      <c r="AF757" t="str">
        <f>IFERROR(O757&amp;"*"&amp;ROUND(Q757*(P757/(N757+P757))/VLOOKUP(O757,职业!$A$3:$E$16,4,FALSE),0),"")</f>
        <v/>
      </c>
      <c r="AG757" t="str">
        <f>IFERROR(R757&amp;"*"&amp;ROUND(V757*(S757/(S757+U757))/VLOOKUP(R757,商品!$A$4:$D$67,4,FALSE),0),"")</f>
        <v/>
      </c>
      <c r="AH757" t="str">
        <f>IFERROR(T757&amp;"*"&amp;ROUND(V757*(U757/(S757+U757))/VLOOKUP(T757,商品!$A$4:$D$67,4,FALSE),0),"")</f>
        <v/>
      </c>
    </row>
    <row r="758" customHeight="1" spans="1:34">
      <c r="A758" s="14" t="s">
        <v>424</v>
      </c>
      <c r="C758" s="2">
        <v>3</v>
      </c>
      <c r="D758" s="2" t="s">
        <v>260</v>
      </c>
      <c r="E758" s="2" t="s">
        <v>225</v>
      </c>
      <c r="L758" s="2">
        <f>IFERROR(VLOOKUP($D758&amp;$C758,生产方式定位!$A$2:$E$39,2,FALSE)+VLOOKUP($E758&amp;$C758,生产方式定位!$F$3:$J$39,2,FALSE),0)</f>
        <v>1000</v>
      </c>
      <c r="Q758" s="2">
        <f>IFERROR(VLOOKUP($D758&amp;$C758,生产方式定位!$A$2:$E$39,3,FALSE)+VLOOKUP($E758&amp;$C758,生产方式定位!$F$3:$J$39,3,FALSE),0)</f>
        <v>2600</v>
      </c>
      <c r="V758" s="2">
        <f>IFERROR(VLOOKUP($D758&amp;$C758,生产方式定位!$A$2:$E$39,5,FALSE)+VLOOKUP($E758&amp;$C758,生产方式定位!$F$3:$J$39,5,FALSE),"错误")</f>
        <v>1800</v>
      </c>
      <c r="W758" s="3" t="str">
        <f t="shared" si="55"/>
        <v/>
      </c>
      <c r="X758" s="4" t="str">
        <f t="shared" si="56"/>
        <v/>
      </c>
      <c r="Y758" s="4" t="str">
        <f t="shared" si="57"/>
        <v/>
      </c>
      <c r="Z758" s="5">
        <f t="shared" si="58"/>
        <v>0.56</v>
      </c>
      <c r="AA758" s="6">
        <f t="shared" si="59"/>
        <v>3</v>
      </c>
      <c r="AB758" t="str">
        <f>IFERROR(F758&amp;"*"&amp;ROUND(L758*(G758/(G758+I758+K758))/VLOOKUP(F758,商品!$A$4:$D$67,4,FALSE),0),"")</f>
        <v/>
      </c>
      <c r="AC758" t="str">
        <f>IFERROR(H758&amp;"*"&amp;ROUND(L758*(I758/(G758+I758+K758))/VLOOKUP(H758,商品!$A$4:$D$67,4,FALSE),0),"")</f>
        <v/>
      </c>
      <c r="AD758" t="str">
        <f>IFERROR(J758&amp;"*"&amp;ROUND(L758*(K758/(G758+I758+K758))/VLOOKUP(J758,商品!$A$4:$D$67,4,FALSE),0),"")</f>
        <v/>
      </c>
      <c r="AE758" t="str">
        <f>IFERROR(M758&amp;"*"&amp;ROUND(Q758*(N758/(N758+P758))/VLOOKUP(M758,职业!$A$3:$E$16,4,FALSE),0),"")</f>
        <v/>
      </c>
      <c r="AF758" t="str">
        <f>IFERROR(O758&amp;"*"&amp;ROUND(Q758*(P758/(N758+P758))/VLOOKUP(O758,职业!$A$3:$E$16,4,FALSE),0),"")</f>
        <v/>
      </c>
      <c r="AG758" t="str">
        <f>IFERROR(R758&amp;"*"&amp;ROUND(V758*(S758/(S758+U758))/VLOOKUP(R758,商品!$A$4:$D$67,4,FALSE),0),"")</f>
        <v/>
      </c>
      <c r="AH758" t="str">
        <f>IFERROR(T758&amp;"*"&amp;ROUND(V758*(U758/(S758+U758))/VLOOKUP(T758,商品!$A$4:$D$67,4,FALSE),0),"")</f>
        <v/>
      </c>
    </row>
    <row r="759" customHeight="1" spans="1:34">
      <c r="A759" s="14" t="s">
        <v>424</v>
      </c>
      <c r="C759" s="2">
        <v>4</v>
      </c>
      <c r="D759" s="2" t="s">
        <v>260</v>
      </c>
      <c r="E759" s="2" t="s">
        <v>225</v>
      </c>
      <c r="L759" s="2">
        <f>IFERROR(VLOOKUP($D759&amp;$C759,生产方式定位!$A$2:$E$39,2,FALSE)+VLOOKUP($E759&amp;$C759,生产方式定位!$F$3:$J$39,2,FALSE),0)</f>
        <v>1500</v>
      </c>
      <c r="Q759" s="2">
        <f>IFERROR(VLOOKUP($D759&amp;$C759,生产方式定位!$A$2:$E$39,3,FALSE)+VLOOKUP($E759&amp;$C759,生产方式定位!$F$3:$J$39,3,FALSE),0)</f>
        <v>2400</v>
      </c>
      <c r="V759" s="2">
        <f>IFERROR(VLOOKUP($D759&amp;$C759,生产方式定位!$A$2:$E$39,5,FALSE)+VLOOKUP($E759&amp;$C759,生产方式定位!$F$3:$J$39,5,FALSE),"错误")</f>
        <v>1950</v>
      </c>
      <c r="W759" s="3" t="str">
        <f t="shared" si="55"/>
        <v/>
      </c>
      <c r="X759" s="4" t="str">
        <f t="shared" si="56"/>
        <v/>
      </c>
      <c r="Y759" s="4" t="str">
        <f t="shared" si="57"/>
        <v/>
      </c>
      <c r="Z759" s="5">
        <f t="shared" si="58"/>
        <v>0.77</v>
      </c>
      <c r="AA759" s="6">
        <f t="shared" si="59"/>
        <v>4</v>
      </c>
      <c r="AB759" t="str">
        <f>IFERROR(F759&amp;"*"&amp;ROUND(L759*(G759/(G759+I759+K759))/VLOOKUP(F759,商品!$A$4:$D$67,4,FALSE),0),"")</f>
        <v/>
      </c>
      <c r="AC759" t="str">
        <f>IFERROR(H759&amp;"*"&amp;ROUND(L759*(I759/(G759+I759+K759))/VLOOKUP(H759,商品!$A$4:$D$67,4,FALSE),0),"")</f>
        <v/>
      </c>
      <c r="AD759" t="str">
        <f>IFERROR(J759&amp;"*"&amp;ROUND(L759*(K759/(G759+I759+K759))/VLOOKUP(J759,商品!$A$4:$D$67,4,FALSE),0),"")</f>
        <v/>
      </c>
      <c r="AE759" t="str">
        <f>IFERROR(M759&amp;"*"&amp;ROUND(Q759*(N759/(N759+P759))/VLOOKUP(M759,职业!$A$3:$E$16,4,FALSE),0),"")</f>
        <v/>
      </c>
      <c r="AF759" t="str">
        <f>IFERROR(O759&amp;"*"&amp;ROUND(Q759*(P759/(N759+P759))/VLOOKUP(O759,职业!$A$3:$E$16,4,FALSE),0),"")</f>
        <v/>
      </c>
      <c r="AG759" t="str">
        <f>IFERROR(R759&amp;"*"&amp;ROUND(V759*(S759/(S759+U759))/VLOOKUP(R759,商品!$A$4:$D$67,4,FALSE),0),"")</f>
        <v/>
      </c>
      <c r="AH759" t="str">
        <f>IFERROR(T759&amp;"*"&amp;ROUND(V759*(U759/(S759+U759))/VLOOKUP(T759,商品!$A$4:$D$67,4,FALSE),0),"")</f>
        <v/>
      </c>
    </row>
    <row r="760" customHeight="1" spans="1:34">
      <c r="A760" s="14" t="s">
        <v>424</v>
      </c>
      <c r="C760" s="2">
        <v>5</v>
      </c>
      <c r="D760" s="2" t="s">
        <v>260</v>
      </c>
      <c r="E760" s="2" t="s">
        <v>225</v>
      </c>
      <c r="L760" s="2">
        <f>IFERROR(VLOOKUP($D760&amp;$C760,生产方式定位!$A$2:$E$39,2,FALSE)+VLOOKUP($E760&amp;$C760,生产方式定位!$F$3:$J$39,2,FALSE),0)</f>
        <v>2000</v>
      </c>
      <c r="Q760" s="2">
        <f>IFERROR(VLOOKUP($D760&amp;$C760,生产方式定位!$A$2:$E$39,3,FALSE)+VLOOKUP($E760&amp;$C760,生产方式定位!$F$3:$J$39,3,FALSE),0)</f>
        <v>2200</v>
      </c>
      <c r="V760" s="2">
        <f>IFERROR(VLOOKUP($D760&amp;$C760,生产方式定位!$A$2:$E$39,5,FALSE)+VLOOKUP($E760&amp;$C760,生产方式定位!$F$3:$J$39,5,FALSE),"错误")</f>
        <v>2100</v>
      </c>
      <c r="W760" s="3" t="str">
        <f t="shared" si="55"/>
        <v/>
      </c>
      <c r="X760" s="4" t="str">
        <f t="shared" si="56"/>
        <v/>
      </c>
      <c r="Y760" s="4" t="str">
        <f t="shared" si="57"/>
        <v/>
      </c>
      <c r="Z760" s="5">
        <f t="shared" si="58"/>
        <v>0.95</v>
      </c>
      <c r="AA760" s="6">
        <f t="shared" si="59"/>
        <v>5</v>
      </c>
      <c r="AB760" t="str">
        <f>IFERROR(F760&amp;"*"&amp;ROUND(L760*(G760/(G760+I760+K760))/VLOOKUP(F760,商品!$A$4:$D$67,4,FALSE),0),"")</f>
        <v/>
      </c>
      <c r="AC760" t="str">
        <f>IFERROR(H760&amp;"*"&amp;ROUND(L760*(I760/(G760+I760+K760))/VLOOKUP(H760,商品!$A$4:$D$67,4,FALSE),0),"")</f>
        <v/>
      </c>
      <c r="AD760" t="str">
        <f>IFERROR(J760&amp;"*"&amp;ROUND(L760*(K760/(G760+I760+K760))/VLOOKUP(J760,商品!$A$4:$D$67,4,FALSE),0),"")</f>
        <v/>
      </c>
      <c r="AE760" t="str">
        <f>IFERROR(M760&amp;"*"&amp;ROUND(Q760*(N760/(N760+P760))/VLOOKUP(M760,职业!$A$3:$E$16,4,FALSE),0),"")</f>
        <v/>
      </c>
      <c r="AF760" t="str">
        <f>IFERROR(O760&amp;"*"&amp;ROUND(Q760*(P760/(N760+P760))/VLOOKUP(O760,职业!$A$3:$E$16,4,FALSE),0),"")</f>
        <v/>
      </c>
      <c r="AG760" t="str">
        <f>IFERROR(R760&amp;"*"&amp;ROUND(V760*(S760/(S760+U760))/VLOOKUP(R760,商品!$A$4:$D$67,4,FALSE),0),"")</f>
        <v/>
      </c>
      <c r="AH760" t="str">
        <f>IFERROR(T760&amp;"*"&amp;ROUND(V760*(U760/(S760+U760))/VLOOKUP(T760,商品!$A$4:$D$67,4,FALSE),0),"")</f>
        <v/>
      </c>
    </row>
    <row r="761" customHeight="1" spans="1:34">
      <c r="A761" s="14" t="s">
        <v>424</v>
      </c>
      <c r="C761" s="2">
        <v>1</v>
      </c>
      <c r="D761" s="2" t="s">
        <v>260</v>
      </c>
      <c r="E761" s="2" t="s">
        <v>225</v>
      </c>
      <c r="L761" s="2">
        <f>IFERROR(VLOOKUP($D761&amp;$C761,生产方式定位!$A$2:$E$39,2,FALSE)+VLOOKUP($E761&amp;$C761,生产方式定位!$F$3:$J$39,2,FALSE),0)</f>
        <v>0</v>
      </c>
      <c r="Q761" s="2">
        <f>IFERROR(VLOOKUP($D761&amp;$C761,生产方式定位!$A$2:$E$39,3,FALSE)+VLOOKUP($E761&amp;$C761,生产方式定位!$F$3:$J$39,3,FALSE),0)</f>
        <v>3000</v>
      </c>
      <c r="V761" s="2">
        <f>IFERROR(VLOOKUP($D761&amp;$C761,生产方式定位!$A$2:$E$39,5,FALSE)+VLOOKUP($E761&amp;$C761,生产方式定位!$F$3:$J$39,5,FALSE),"错误")</f>
        <v>1500</v>
      </c>
      <c r="W761" s="3" t="str">
        <f t="shared" si="55"/>
        <v/>
      </c>
      <c r="X761" s="4" t="str">
        <f t="shared" si="56"/>
        <v/>
      </c>
      <c r="Y761" s="4" t="str">
        <f t="shared" si="57"/>
        <v/>
      </c>
      <c r="Z761" s="5">
        <f t="shared" si="58"/>
        <v>0</v>
      </c>
      <c r="AA761" s="6">
        <f t="shared" si="59"/>
        <v>1</v>
      </c>
      <c r="AB761" t="str">
        <f>IFERROR(F761&amp;"*"&amp;ROUND(L761*(G761/(G761+I761+K761))/VLOOKUP(F761,商品!$A$4:$D$67,4,FALSE),0),"")</f>
        <v/>
      </c>
      <c r="AC761" t="str">
        <f>IFERROR(H761&amp;"*"&amp;ROUND(L761*(I761/(G761+I761+K761))/VLOOKUP(H761,商品!$A$4:$D$67,4,FALSE),0),"")</f>
        <v/>
      </c>
      <c r="AD761" t="str">
        <f>IFERROR(J761&amp;"*"&amp;ROUND(L761*(K761/(G761+I761+K761))/VLOOKUP(J761,商品!$A$4:$D$67,4,FALSE),0),"")</f>
        <v/>
      </c>
      <c r="AE761" t="str">
        <f>IFERROR(M761&amp;"*"&amp;ROUND(Q761*(N761/(N761+P761))/VLOOKUP(M761,职业!$A$3:$E$16,4,FALSE),0),"")</f>
        <v/>
      </c>
      <c r="AF761" t="str">
        <f>IFERROR(O761&amp;"*"&amp;ROUND(Q761*(P761/(N761+P761))/VLOOKUP(O761,职业!$A$3:$E$16,4,FALSE),0),"")</f>
        <v/>
      </c>
      <c r="AG761" t="str">
        <f>IFERROR(R761&amp;"*"&amp;ROUND(V761*(S761/(S761+U761))/VLOOKUP(R761,商品!$A$4:$D$67,4,FALSE),0),"")</f>
        <v/>
      </c>
      <c r="AH761" t="str">
        <f>IFERROR(T761&amp;"*"&amp;ROUND(V761*(U761/(S761+U761))/VLOOKUP(T761,商品!$A$4:$D$67,4,FALSE),0),"")</f>
        <v/>
      </c>
    </row>
    <row r="762" customHeight="1" spans="1:34">
      <c r="A762" s="14" t="s">
        <v>424</v>
      </c>
      <c r="C762" s="2">
        <v>2</v>
      </c>
      <c r="D762" s="2" t="s">
        <v>260</v>
      </c>
      <c r="E762" s="2" t="s">
        <v>225</v>
      </c>
      <c r="L762" s="2">
        <f>IFERROR(VLOOKUP($D762&amp;$C762,生产方式定位!$A$2:$E$39,2,FALSE)+VLOOKUP($E762&amp;$C762,生产方式定位!$F$3:$J$39,2,FALSE),0)</f>
        <v>500</v>
      </c>
      <c r="Q762" s="2">
        <f>IFERROR(VLOOKUP($D762&amp;$C762,生产方式定位!$A$2:$E$39,3,FALSE)+VLOOKUP($E762&amp;$C762,生产方式定位!$F$3:$J$39,3,FALSE),0)</f>
        <v>2800</v>
      </c>
      <c r="V762" s="2">
        <f>IFERROR(VLOOKUP($D762&amp;$C762,生产方式定位!$A$2:$E$39,5,FALSE)+VLOOKUP($E762&amp;$C762,生产方式定位!$F$3:$J$39,5,FALSE),"错误")</f>
        <v>1650</v>
      </c>
      <c r="W762" s="3" t="str">
        <f t="shared" si="55"/>
        <v/>
      </c>
      <c r="X762" s="4" t="str">
        <f t="shared" si="56"/>
        <v/>
      </c>
      <c r="Y762" s="4" t="str">
        <f t="shared" si="57"/>
        <v/>
      </c>
      <c r="Z762" s="5">
        <f t="shared" si="58"/>
        <v>0.3</v>
      </c>
      <c r="AA762" s="6">
        <f t="shared" si="59"/>
        <v>2</v>
      </c>
      <c r="AB762" t="str">
        <f>IFERROR(F762&amp;"*"&amp;ROUND(L762*(G762/(G762+I762+K762))/VLOOKUP(F762,商品!$A$4:$D$67,4,FALSE),0),"")</f>
        <v/>
      </c>
      <c r="AC762" t="str">
        <f>IFERROR(H762&amp;"*"&amp;ROUND(L762*(I762/(G762+I762+K762))/VLOOKUP(H762,商品!$A$4:$D$67,4,FALSE),0),"")</f>
        <v/>
      </c>
      <c r="AD762" t="str">
        <f>IFERROR(J762&amp;"*"&amp;ROUND(L762*(K762/(G762+I762+K762))/VLOOKUP(J762,商品!$A$4:$D$67,4,FALSE),0),"")</f>
        <v/>
      </c>
      <c r="AE762" t="str">
        <f>IFERROR(M762&amp;"*"&amp;ROUND(Q762*(N762/(N762+P762))/VLOOKUP(M762,职业!$A$3:$E$16,4,FALSE),0),"")</f>
        <v/>
      </c>
      <c r="AF762" t="str">
        <f>IFERROR(O762&amp;"*"&amp;ROUND(Q762*(P762/(N762+P762))/VLOOKUP(O762,职业!$A$3:$E$16,4,FALSE),0),"")</f>
        <v/>
      </c>
      <c r="AG762" t="str">
        <f>IFERROR(R762&amp;"*"&amp;ROUND(V762*(S762/(S762+U762))/VLOOKUP(R762,商品!$A$4:$D$67,4,FALSE),0),"")</f>
        <v/>
      </c>
      <c r="AH762" t="str">
        <f>IFERROR(T762&amp;"*"&amp;ROUND(V762*(U762/(S762+U762))/VLOOKUP(T762,商品!$A$4:$D$67,4,FALSE),0),"")</f>
        <v/>
      </c>
    </row>
    <row r="763" customHeight="1" spans="1:34">
      <c r="A763" s="14" t="s">
        <v>424</v>
      </c>
      <c r="C763" s="2">
        <v>3</v>
      </c>
      <c r="D763" s="2" t="s">
        <v>260</v>
      </c>
      <c r="E763" s="2" t="s">
        <v>225</v>
      </c>
      <c r="L763" s="2">
        <f>IFERROR(VLOOKUP($D763&amp;$C763,生产方式定位!$A$2:$E$39,2,FALSE)+VLOOKUP($E763&amp;$C763,生产方式定位!$F$3:$J$39,2,FALSE),0)</f>
        <v>1000</v>
      </c>
      <c r="Q763" s="2">
        <f>IFERROR(VLOOKUP($D763&amp;$C763,生产方式定位!$A$2:$E$39,3,FALSE)+VLOOKUP($E763&amp;$C763,生产方式定位!$F$3:$J$39,3,FALSE),0)</f>
        <v>2600</v>
      </c>
      <c r="V763" s="2">
        <f>IFERROR(VLOOKUP($D763&amp;$C763,生产方式定位!$A$2:$E$39,5,FALSE)+VLOOKUP($E763&amp;$C763,生产方式定位!$F$3:$J$39,5,FALSE),"错误")</f>
        <v>1800</v>
      </c>
      <c r="W763" s="3" t="str">
        <f t="shared" si="55"/>
        <v/>
      </c>
      <c r="X763" s="4" t="str">
        <f t="shared" si="56"/>
        <v/>
      </c>
      <c r="Y763" s="4" t="str">
        <f t="shared" si="57"/>
        <v/>
      </c>
      <c r="Z763" s="5">
        <f t="shared" si="58"/>
        <v>0.56</v>
      </c>
      <c r="AA763" s="6">
        <f t="shared" si="59"/>
        <v>3</v>
      </c>
      <c r="AB763" t="str">
        <f>IFERROR(F763&amp;"*"&amp;ROUND(L763*(G763/(G763+I763+K763))/VLOOKUP(F763,商品!$A$4:$D$67,4,FALSE),0),"")</f>
        <v/>
      </c>
      <c r="AC763" t="str">
        <f>IFERROR(H763&amp;"*"&amp;ROUND(L763*(I763/(G763+I763+K763))/VLOOKUP(H763,商品!$A$4:$D$67,4,FALSE),0),"")</f>
        <v/>
      </c>
      <c r="AD763" t="str">
        <f>IFERROR(J763&amp;"*"&amp;ROUND(L763*(K763/(G763+I763+K763))/VLOOKUP(J763,商品!$A$4:$D$67,4,FALSE),0),"")</f>
        <v/>
      </c>
      <c r="AE763" t="str">
        <f>IFERROR(M763&amp;"*"&amp;ROUND(Q763*(N763/(N763+P763))/VLOOKUP(M763,职业!$A$3:$E$16,4,FALSE),0),"")</f>
        <v/>
      </c>
      <c r="AF763" t="str">
        <f>IFERROR(O763&amp;"*"&amp;ROUND(Q763*(P763/(N763+P763))/VLOOKUP(O763,职业!$A$3:$E$16,4,FALSE),0),"")</f>
        <v/>
      </c>
      <c r="AG763" t="str">
        <f>IFERROR(R763&amp;"*"&amp;ROUND(V763*(S763/(S763+U763))/VLOOKUP(R763,商品!$A$4:$D$67,4,FALSE),0),"")</f>
        <v/>
      </c>
      <c r="AH763" t="str">
        <f>IFERROR(T763&amp;"*"&amp;ROUND(V763*(U763/(S763+U763))/VLOOKUP(T763,商品!$A$4:$D$67,4,FALSE),0),"")</f>
        <v/>
      </c>
    </row>
    <row r="764" customHeight="1" spans="1:34">
      <c r="A764" s="14" t="s">
        <v>424</v>
      </c>
      <c r="C764" s="2">
        <v>4</v>
      </c>
      <c r="D764" s="2" t="s">
        <v>260</v>
      </c>
      <c r="E764" s="2" t="s">
        <v>225</v>
      </c>
      <c r="L764" s="2">
        <f>IFERROR(VLOOKUP($D764&amp;$C764,生产方式定位!$A$2:$E$39,2,FALSE)+VLOOKUP($E764&amp;$C764,生产方式定位!$F$3:$J$39,2,FALSE),0)</f>
        <v>1500</v>
      </c>
      <c r="Q764" s="2">
        <f>IFERROR(VLOOKUP($D764&amp;$C764,生产方式定位!$A$2:$E$39,3,FALSE)+VLOOKUP($E764&amp;$C764,生产方式定位!$F$3:$J$39,3,FALSE),0)</f>
        <v>2400</v>
      </c>
      <c r="V764" s="2">
        <f>IFERROR(VLOOKUP($D764&amp;$C764,生产方式定位!$A$2:$E$39,5,FALSE)+VLOOKUP($E764&amp;$C764,生产方式定位!$F$3:$J$39,5,FALSE),"错误")</f>
        <v>1950</v>
      </c>
      <c r="W764" s="3" t="str">
        <f t="shared" si="55"/>
        <v/>
      </c>
      <c r="X764" s="4" t="str">
        <f t="shared" si="56"/>
        <v/>
      </c>
      <c r="Y764" s="4" t="str">
        <f t="shared" si="57"/>
        <v/>
      </c>
      <c r="Z764" s="5">
        <f t="shared" si="58"/>
        <v>0.77</v>
      </c>
      <c r="AA764" s="6">
        <f t="shared" si="59"/>
        <v>4</v>
      </c>
      <c r="AB764" t="str">
        <f>IFERROR(F764&amp;"*"&amp;ROUND(L764*(G764/(G764+I764+K764))/VLOOKUP(F764,商品!$A$4:$D$67,4,FALSE),0),"")</f>
        <v/>
      </c>
      <c r="AC764" t="str">
        <f>IFERROR(H764&amp;"*"&amp;ROUND(L764*(I764/(G764+I764+K764))/VLOOKUP(H764,商品!$A$4:$D$67,4,FALSE),0),"")</f>
        <v/>
      </c>
      <c r="AD764" t="str">
        <f>IFERROR(J764&amp;"*"&amp;ROUND(L764*(K764/(G764+I764+K764))/VLOOKUP(J764,商品!$A$4:$D$67,4,FALSE),0),"")</f>
        <v/>
      </c>
      <c r="AE764" t="str">
        <f>IFERROR(M764&amp;"*"&amp;ROUND(Q764*(N764/(N764+P764))/VLOOKUP(M764,职业!$A$3:$E$16,4,FALSE),0),"")</f>
        <v/>
      </c>
      <c r="AF764" t="str">
        <f>IFERROR(O764&amp;"*"&amp;ROUND(Q764*(P764/(N764+P764))/VLOOKUP(O764,职业!$A$3:$E$16,4,FALSE),0),"")</f>
        <v/>
      </c>
      <c r="AG764" t="str">
        <f>IFERROR(R764&amp;"*"&amp;ROUND(V764*(S764/(S764+U764))/VLOOKUP(R764,商品!$A$4:$D$67,4,FALSE),0),"")</f>
        <v/>
      </c>
      <c r="AH764" t="str">
        <f>IFERROR(T764&amp;"*"&amp;ROUND(V764*(U764/(S764+U764))/VLOOKUP(T764,商品!$A$4:$D$67,4,FALSE),0),"")</f>
        <v/>
      </c>
    </row>
    <row r="765" customHeight="1" spans="1:34">
      <c r="A765" s="14" t="s">
        <v>424</v>
      </c>
      <c r="C765" s="2">
        <v>5</v>
      </c>
      <c r="D765" s="2" t="s">
        <v>260</v>
      </c>
      <c r="E765" s="2" t="s">
        <v>225</v>
      </c>
      <c r="L765" s="2">
        <f>IFERROR(VLOOKUP($D765&amp;$C765,生产方式定位!$A$2:$E$39,2,FALSE)+VLOOKUP($E765&amp;$C765,生产方式定位!$F$3:$J$39,2,FALSE),0)</f>
        <v>2000</v>
      </c>
      <c r="Q765" s="2">
        <f>IFERROR(VLOOKUP($D765&amp;$C765,生产方式定位!$A$2:$E$39,3,FALSE)+VLOOKUP($E765&amp;$C765,生产方式定位!$F$3:$J$39,3,FALSE),0)</f>
        <v>2200</v>
      </c>
      <c r="V765" s="2">
        <f>IFERROR(VLOOKUP($D765&amp;$C765,生产方式定位!$A$2:$E$39,5,FALSE)+VLOOKUP($E765&amp;$C765,生产方式定位!$F$3:$J$39,5,FALSE),"错误")</f>
        <v>2100</v>
      </c>
      <c r="W765" s="3" t="str">
        <f t="shared" si="55"/>
        <v/>
      </c>
      <c r="X765" s="4" t="str">
        <f t="shared" si="56"/>
        <v/>
      </c>
      <c r="Y765" s="4" t="str">
        <f t="shared" si="57"/>
        <v/>
      </c>
      <c r="Z765" s="5">
        <f t="shared" si="58"/>
        <v>0.95</v>
      </c>
      <c r="AA765" s="6">
        <f t="shared" si="59"/>
        <v>5</v>
      </c>
      <c r="AB765" t="str">
        <f>IFERROR(F765&amp;"*"&amp;ROUND(L765*(G765/(G765+I765+K765))/VLOOKUP(F765,商品!$A$4:$D$67,4,FALSE),0),"")</f>
        <v/>
      </c>
      <c r="AC765" t="str">
        <f>IFERROR(H765&amp;"*"&amp;ROUND(L765*(I765/(G765+I765+K765))/VLOOKUP(H765,商品!$A$4:$D$67,4,FALSE),0),"")</f>
        <v/>
      </c>
      <c r="AD765" t="str">
        <f>IFERROR(J765&amp;"*"&amp;ROUND(L765*(K765/(G765+I765+K765))/VLOOKUP(J765,商品!$A$4:$D$67,4,FALSE),0),"")</f>
        <v/>
      </c>
      <c r="AE765" t="str">
        <f>IFERROR(M765&amp;"*"&amp;ROUND(Q765*(N765/(N765+P765))/VLOOKUP(M765,职业!$A$3:$E$16,4,FALSE),0),"")</f>
        <v/>
      </c>
      <c r="AF765" t="str">
        <f>IFERROR(O765&amp;"*"&amp;ROUND(Q765*(P765/(N765+P765))/VLOOKUP(O765,职业!$A$3:$E$16,4,FALSE),0),"")</f>
        <v/>
      </c>
      <c r="AG765" t="str">
        <f>IFERROR(R765&amp;"*"&amp;ROUND(V765*(S765/(S765+U765))/VLOOKUP(R765,商品!$A$4:$D$67,4,FALSE),0),"")</f>
        <v/>
      </c>
      <c r="AH765" t="str">
        <f>IFERROR(T765&amp;"*"&amp;ROUND(V765*(U765/(S765+U765))/VLOOKUP(T765,商品!$A$4:$D$67,4,FALSE),0),"")</f>
        <v/>
      </c>
    </row>
    <row r="766" customHeight="1" spans="1:34">
      <c r="A766" s="15" t="s">
        <v>426</v>
      </c>
      <c r="C766" s="2">
        <v>1</v>
      </c>
      <c r="D766" s="2" t="s">
        <v>260</v>
      </c>
      <c r="E766" s="2" t="s">
        <v>222</v>
      </c>
      <c r="L766" s="2">
        <f>IFERROR(VLOOKUP($D766&amp;$C766,生产方式定位!$A$2:$E$39,2,FALSE)+VLOOKUP($E766&amp;$C766,生产方式定位!$F$3:$J$39,2,FALSE),0)</f>
        <v>0</v>
      </c>
      <c r="Q766" s="2">
        <f>IFERROR(VLOOKUP($D766&amp;$C766,生产方式定位!$A$2:$E$39,3,FALSE)+VLOOKUP($E766&amp;$C766,生产方式定位!$F$3:$J$39,3,FALSE),0)</f>
        <v>3000</v>
      </c>
      <c r="V766" s="2">
        <f>IFERROR(VLOOKUP($D766&amp;$C766,生产方式定位!$A$2:$E$39,5,FALSE)+VLOOKUP($E766&amp;$C766,生产方式定位!$F$3:$J$39,5,FALSE),"错误")</f>
        <v>1500</v>
      </c>
      <c r="W766" s="3" t="str">
        <f t="shared" si="55"/>
        <v/>
      </c>
      <c r="X766" s="4" t="str">
        <f t="shared" si="56"/>
        <v/>
      </c>
      <c r="Y766" s="4" t="str">
        <f t="shared" si="57"/>
        <v/>
      </c>
      <c r="Z766" s="5">
        <f t="shared" si="58"/>
        <v>0</v>
      </c>
      <c r="AA766" s="6">
        <f t="shared" si="59"/>
        <v>1</v>
      </c>
      <c r="AB766" t="str">
        <f>IFERROR(F766&amp;"*"&amp;ROUND(L766*(G766/(G766+I766+K766))/VLOOKUP(F766,商品!$A$4:$D$67,4,FALSE),0),"")</f>
        <v/>
      </c>
      <c r="AC766" t="str">
        <f>IFERROR(H766&amp;"*"&amp;ROUND(L766*(I766/(G766+I766+K766))/VLOOKUP(H766,商品!$A$4:$D$67,4,FALSE),0),"")</f>
        <v/>
      </c>
      <c r="AD766" t="str">
        <f>IFERROR(J766&amp;"*"&amp;ROUND(L766*(K766/(G766+I766+K766))/VLOOKUP(J766,商品!$A$4:$D$67,4,FALSE),0),"")</f>
        <v/>
      </c>
      <c r="AE766" t="str">
        <f>IFERROR(M766&amp;"*"&amp;ROUND(Q766*(N766/(N766+P766))/VLOOKUP(M766,职业!$A$3:$E$16,4,FALSE),0),"")</f>
        <v/>
      </c>
      <c r="AF766" t="str">
        <f>IFERROR(O766&amp;"*"&amp;ROUND(Q766*(P766/(N766+P766))/VLOOKUP(O766,职业!$A$3:$E$16,4,FALSE),0),"")</f>
        <v/>
      </c>
      <c r="AG766" t="str">
        <f>IFERROR(R766&amp;"*"&amp;ROUND(V766*(S766/(S766+U766))/VLOOKUP(R766,商品!$A$4:$D$67,4,FALSE),0),"")</f>
        <v/>
      </c>
      <c r="AH766" t="str">
        <f>IFERROR(T766&amp;"*"&amp;ROUND(V766*(U766/(S766+U766))/VLOOKUP(T766,商品!$A$4:$D$67,4,FALSE),0),"")</f>
        <v/>
      </c>
    </row>
    <row r="767" customHeight="1" spans="1:34">
      <c r="A767" s="15" t="s">
        <v>426</v>
      </c>
      <c r="C767" s="2">
        <v>2</v>
      </c>
      <c r="D767" s="2" t="s">
        <v>260</v>
      </c>
      <c r="E767" s="2" t="s">
        <v>222</v>
      </c>
      <c r="L767" s="2">
        <f>IFERROR(VLOOKUP($D767&amp;$C767,生产方式定位!$A$2:$E$39,2,FALSE)+VLOOKUP($E767&amp;$C767,生产方式定位!$F$3:$J$39,2,FALSE),0)</f>
        <v>1500</v>
      </c>
      <c r="Q767" s="2">
        <f>IFERROR(VLOOKUP($D767&amp;$C767,生产方式定位!$A$2:$E$39,3,FALSE)+VLOOKUP($E767&amp;$C767,生产方式定位!$F$3:$J$39,3,FALSE),0)</f>
        <v>3000</v>
      </c>
      <c r="V767" s="2">
        <f>IFERROR(VLOOKUP($D767&amp;$C767,生产方式定位!$A$2:$E$39,5,FALSE)+VLOOKUP($E767&amp;$C767,生产方式定位!$F$3:$J$39,5,FALSE),"错误")</f>
        <v>2322</v>
      </c>
      <c r="W767" s="3" t="str">
        <f t="shared" si="55"/>
        <v/>
      </c>
      <c r="X767" s="4" t="str">
        <f t="shared" si="56"/>
        <v/>
      </c>
      <c r="Y767" s="4" t="str">
        <f t="shared" si="57"/>
        <v/>
      </c>
      <c r="Z767" s="5">
        <f t="shared" si="58"/>
        <v>0.65</v>
      </c>
      <c r="AA767" s="6">
        <f t="shared" si="59"/>
        <v>2</v>
      </c>
      <c r="AB767" t="str">
        <f>IFERROR(F767&amp;"*"&amp;ROUND(L767*(G767/(G767+I767+K767))/VLOOKUP(F767,商品!$A$4:$D$67,4,FALSE),0),"")</f>
        <v/>
      </c>
      <c r="AC767" t="str">
        <f>IFERROR(H767&amp;"*"&amp;ROUND(L767*(I767/(G767+I767+K767))/VLOOKUP(H767,商品!$A$4:$D$67,4,FALSE),0),"")</f>
        <v/>
      </c>
      <c r="AD767" t="str">
        <f>IFERROR(J767&amp;"*"&amp;ROUND(L767*(K767/(G767+I767+K767))/VLOOKUP(J767,商品!$A$4:$D$67,4,FALSE),0),"")</f>
        <v/>
      </c>
      <c r="AE767" t="str">
        <f>IFERROR(M767&amp;"*"&amp;ROUND(Q767*(N767/(N767+P767))/VLOOKUP(M767,职业!$A$3:$E$16,4,FALSE),0),"")</f>
        <v/>
      </c>
      <c r="AF767" t="str">
        <f>IFERROR(O767&amp;"*"&amp;ROUND(Q767*(P767/(N767+P767))/VLOOKUP(O767,职业!$A$3:$E$16,4,FALSE),0),"")</f>
        <v/>
      </c>
      <c r="AG767" t="str">
        <f>IFERROR(R767&amp;"*"&amp;ROUND(V767*(S767/(S767+U767))/VLOOKUP(R767,商品!$A$4:$D$67,4,FALSE),0),"")</f>
        <v/>
      </c>
      <c r="AH767" t="str">
        <f>IFERROR(T767&amp;"*"&amp;ROUND(V767*(U767/(S767+U767))/VLOOKUP(T767,商品!$A$4:$D$67,4,FALSE),0),"")</f>
        <v/>
      </c>
    </row>
    <row r="768" customHeight="1" spans="1:34">
      <c r="A768" s="15" t="s">
        <v>426</v>
      </c>
      <c r="C768" s="2">
        <v>3</v>
      </c>
      <c r="D768" s="2" t="s">
        <v>260</v>
      </c>
      <c r="E768" s="2" t="s">
        <v>222</v>
      </c>
      <c r="L768" s="2">
        <f>IFERROR(VLOOKUP($D768&amp;$C768,生产方式定位!$A$2:$E$39,2,FALSE)+VLOOKUP($E768&amp;$C768,生产方式定位!$F$3:$J$39,2,FALSE),0)</f>
        <v>3000</v>
      </c>
      <c r="Q768" s="2">
        <f>IFERROR(VLOOKUP($D768&amp;$C768,生产方式定位!$A$2:$E$39,3,FALSE)+VLOOKUP($E768&amp;$C768,生产方式定位!$F$3:$J$39,3,FALSE),0)</f>
        <v>3000</v>
      </c>
      <c r="V768" s="2">
        <f>IFERROR(VLOOKUP($D768&amp;$C768,生产方式定位!$A$2:$E$39,5,FALSE)+VLOOKUP($E768&amp;$C768,生产方式定位!$F$3:$J$39,5,FALSE),"错误")</f>
        <v>3288</v>
      </c>
      <c r="W768" s="3" t="str">
        <f t="shared" si="55"/>
        <v/>
      </c>
      <c r="X768" s="4" t="str">
        <f t="shared" si="56"/>
        <v/>
      </c>
      <c r="Y768" s="4" t="str">
        <f t="shared" si="57"/>
        <v/>
      </c>
      <c r="Z768" s="5">
        <f t="shared" si="58"/>
        <v>0.91</v>
      </c>
      <c r="AA768" s="6">
        <f t="shared" si="59"/>
        <v>3</v>
      </c>
      <c r="AB768" t="str">
        <f>IFERROR(F768&amp;"*"&amp;ROUND(L768*(G768/(G768+I768+K768))/VLOOKUP(F768,商品!$A$4:$D$67,4,FALSE),0),"")</f>
        <v/>
      </c>
      <c r="AC768" t="str">
        <f>IFERROR(H768&amp;"*"&amp;ROUND(L768*(I768/(G768+I768+K768))/VLOOKUP(H768,商品!$A$4:$D$67,4,FALSE),0),"")</f>
        <v/>
      </c>
      <c r="AD768" t="str">
        <f>IFERROR(J768&amp;"*"&amp;ROUND(L768*(K768/(G768+I768+K768))/VLOOKUP(J768,商品!$A$4:$D$67,4,FALSE),0),"")</f>
        <v/>
      </c>
      <c r="AE768" t="str">
        <f>IFERROR(M768&amp;"*"&amp;ROUND(Q768*(N768/(N768+P768))/VLOOKUP(M768,职业!$A$3:$E$16,4,FALSE),0),"")</f>
        <v/>
      </c>
      <c r="AF768" t="str">
        <f>IFERROR(O768&amp;"*"&amp;ROUND(Q768*(P768/(N768+P768))/VLOOKUP(O768,职业!$A$3:$E$16,4,FALSE),0),"")</f>
        <v/>
      </c>
      <c r="AG768" t="str">
        <f>IFERROR(R768&amp;"*"&amp;ROUND(V768*(S768/(S768+U768))/VLOOKUP(R768,商品!$A$4:$D$67,4,FALSE),0),"")</f>
        <v/>
      </c>
      <c r="AH768" t="str">
        <f>IFERROR(T768&amp;"*"&amp;ROUND(V768*(U768/(S768+U768))/VLOOKUP(T768,商品!$A$4:$D$67,4,FALSE),0),"")</f>
        <v/>
      </c>
    </row>
    <row r="769" customHeight="1" spans="1:34">
      <c r="A769" s="15" t="s">
        <v>426</v>
      </c>
      <c r="C769" s="2">
        <v>4</v>
      </c>
      <c r="D769" s="2" t="s">
        <v>260</v>
      </c>
      <c r="E769" s="2" t="s">
        <v>222</v>
      </c>
      <c r="L769" s="2">
        <f>IFERROR(VLOOKUP($D769&amp;$C769,生产方式定位!$A$2:$E$39,2,FALSE)+VLOOKUP($E769&amp;$C769,生产方式定位!$F$3:$J$39,2,FALSE),0)</f>
        <v>4500</v>
      </c>
      <c r="Q769" s="2">
        <f>IFERROR(VLOOKUP($D769&amp;$C769,生产方式定位!$A$2:$E$39,3,FALSE)+VLOOKUP($E769&amp;$C769,生产方式定位!$F$3:$J$39,3,FALSE),0)</f>
        <v>3000</v>
      </c>
      <c r="V769" s="2">
        <f>IFERROR(VLOOKUP($D769&amp;$C769,生产方式定位!$A$2:$E$39,5,FALSE)+VLOOKUP($E769&amp;$C769,生产方式定位!$F$3:$J$39,5,FALSE),"错误")</f>
        <v>4398</v>
      </c>
      <c r="W769" s="3" t="str">
        <f t="shared" si="55"/>
        <v/>
      </c>
      <c r="X769" s="4" t="str">
        <f t="shared" si="56"/>
        <v/>
      </c>
      <c r="Y769" s="4" t="str">
        <f t="shared" si="57"/>
        <v/>
      </c>
      <c r="Z769" s="5">
        <f t="shared" si="58"/>
        <v>1.02</v>
      </c>
      <c r="AA769" s="6">
        <f t="shared" si="59"/>
        <v>4</v>
      </c>
      <c r="AB769" t="str">
        <f>IFERROR(F769&amp;"*"&amp;ROUND(L769*(G769/(G769+I769+K769))/VLOOKUP(F769,商品!$A$4:$D$67,4,FALSE),0),"")</f>
        <v/>
      </c>
      <c r="AC769" t="str">
        <f>IFERROR(H769&amp;"*"&amp;ROUND(L769*(I769/(G769+I769+K769))/VLOOKUP(H769,商品!$A$4:$D$67,4,FALSE),0),"")</f>
        <v/>
      </c>
      <c r="AD769" t="str">
        <f>IFERROR(J769&amp;"*"&amp;ROUND(L769*(K769/(G769+I769+K769))/VLOOKUP(J769,商品!$A$4:$D$67,4,FALSE),0),"")</f>
        <v/>
      </c>
      <c r="AE769" t="str">
        <f>IFERROR(M769&amp;"*"&amp;ROUND(Q769*(N769/(N769+P769))/VLOOKUP(M769,职业!$A$3:$E$16,4,FALSE),0),"")</f>
        <v/>
      </c>
      <c r="AF769" t="str">
        <f>IFERROR(O769&amp;"*"&amp;ROUND(Q769*(P769/(N769+P769))/VLOOKUP(O769,职业!$A$3:$E$16,4,FALSE),0),"")</f>
        <v/>
      </c>
      <c r="AG769" t="str">
        <f>IFERROR(R769&amp;"*"&amp;ROUND(V769*(S769/(S769+U769))/VLOOKUP(R769,商品!$A$4:$D$67,4,FALSE),0),"")</f>
        <v/>
      </c>
      <c r="AH769" t="str">
        <f>IFERROR(T769&amp;"*"&amp;ROUND(V769*(U769/(S769+U769))/VLOOKUP(T769,商品!$A$4:$D$67,4,FALSE),0),"")</f>
        <v/>
      </c>
    </row>
    <row r="770" customHeight="1" spans="1:34">
      <c r="A770" s="15" t="s">
        <v>426</v>
      </c>
      <c r="C770" s="2">
        <v>5</v>
      </c>
      <c r="D770" s="2" t="s">
        <v>260</v>
      </c>
      <c r="E770" s="2" t="s">
        <v>222</v>
      </c>
      <c r="L770" s="2">
        <f>IFERROR(VLOOKUP($D770&amp;$C770,生产方式定位!$A$2:$E$39,2,FALSE)+VLOOKUP($E770&amp;$C770,生产方式定位!$F$3:$J$39,2,FALSE),0)</f>
        <v>6000</v>
      </c>
      <c r="Q770" s="2">
        <f>IFERROR(VLOOKUP($D770&amp;$C770,生产方式定位!$A$2:$E$39,3,FALSE)+VLOOKUP($E770&amp;$C770,生产方式定位!$F$3:$J$39,3,FALSE),0)</f>
        <v>3000</v>
      </c>
      <c r="V770" s="2">
        <f>IFERROR(VLOOKUP($D770&amp;$C770,生产方式定位!$A$2:$E$39,5,FALSE)+VLOOKUP($E770&amp;$C770,生产方式定位!$F$3:$J$39,5,FALSE),"错误")</f>
        <v>5700</v>
      </c>
      <c r="W770" s="3" t="str">
        <f t="shared" si="55"/>
        <v/>
      </c>
      <c r="X770" s="4" t="str">
        <f t="shared" si="56"/>
        <v/>
      </c>
      <c r="Y770" s="4" t="str">
        <f t="shared" si="57"/>
        <v/>
      </c>
      <c r="Z770" s="5">
        <f t="shared" si="58"/>
        <v>1.05</v>
      </c>
      <c r="AA770" s="6">
        <f t="shared" si="59"/>
        <v>5</v>
      </c>
      <c r="AB770" t="str">
        <f>IFERROR(F770&amp;"*"&amp;ROUND(L770*(G770/(G770+I770+K770))/VLOOKUP(F770,商品!$A$4:$D$67,4,FALSE),0),"")</f>
        <v/>
      </c>
      <c r="AC770" t="str">
        <f>IFERROR(H770&amp;"*"&amp;ROUND(L770*(I770/(G770+I770+K770))/VLOOKUP(H770,商品!$A$4:$D$67,4,FALSE),0),"")</f>
        <v/>
      </c>
      <c r="AD770" t="str">
        <f>IFERROR(J770&amp;"*"&amp;ROUND(L770*(K770/(G770+I770+K770))/VLOOKUP(J770,商品!$A$4:$D$67,4,FALSE),0),"")</f>
        <v/>
      </c>
      <c r="AE770" t="str">
        <f>IFERROR(M770&amp;"*"&amp;ROUND(Q770*(N770/(N770+P770))/VLOOKUP(M770,职业!$A$3:$E$16,4,FALSE),0),"")</f>
        <v/>
      </c>
      <c r="AF770" t="str">
        <f>IFERROR(O770&amp;"*"&amp;ROUND(Q770*(P770/(N770+P770))/VLOOKUP(O770,职业!$A$3:$E$16,4,FALSE),0),"")</f>
        <v/>
      </c>
      <c r="AG770" t="str">
        <f>IFERROR(R770&amp;"*"&amp;ROUND(V770*(S770/(S770+U770))/VLOOKUP(R770,商品!$A$4:$D$67,4,FALSE),0),"")</f>
        <v/>
      </c>
      <c r="AH770" t="str">
        <f>IFERROR(T770&amp;"*"&amp;ROUND(V770*(U770/(S770+U770))/VLOOKUP(T770,商品!$A$4:$D$67,4,FALSE),0),"")</f>
        <v/>
      </c>
    </row>
    <row r="771" customHeight="1" spans="1:34">
      <c r="A771" s="14" t="s">
        <v>427</v>
      </c>
      <c r="C771" s="2">
        <v>1</v>
      </c>
      <c r="D771" s="2" t="s">
        <v>260</v>
      </c>
      <c r="E771" s="2" t="s">
        <v>223</v>
      </c>
      <c r="L771" s="2">
        <f>IFERROR(VLOOKUP($D771&amp;$C771,生产方式定位!$A$2:$E$39,2,FALSE)+VLOOKUP($E771&amp;$C771,生产方式定位!$F$3:$J$39,2,FALSE),0)</f>
        <v>0</v>
      </c>
      <c r="Q771" s="2">
        <f>IFERROR(VLOOKUP($D771&amp;$C771,生产方式定位!$A$2:$E$39,3,FALSE)+VLOOKUP($E771&amp;$C771,生产方式定位!$F$3:$J$39,3,FALSE),0)</f>
        <v>3000</v>
      </c>
      <c r="V771" s="2">
        <f>IFERROR(VLOOKUP($D771&amp;$C771,生产方式定位!$A$2:$E$39,5,FALSE)+VLOOKUP($E771&amp;$C771,生产方式定位!$F$3:$J$39,5,FALSE),"错误")</f>
        <v>1500</v>
      </c>
      <c r="W771" s="3" t="str">
        <f t="shared" si="55"/>
        <v/>
      </c>
      <c r="X771" s="4" t="str">
        <f t="shared" si="56"/>
        <v/>
      </c>
      <c r="Y771" s="4" t="str">
        <f t="shared" si="57"/>
        <v/>
      </c>
      <c r="Z771" s="5">
        <f t="shared" si="58"/>
        <v>0</v>
      </c>
      <c r="AA771" s="6">
        <f t="shared" si="59"/>
        <v>1</v>
      </c>
      <c r="AB771" t="str">
        <f>IFERROR(F771&amp;"*"&amp;ROUND(L771*(G771/(G771+I771+K771))/VLOOKUP(F771,商品!$A$4:$D$67,4,FALSE),0),"")</f>
        <v/>
      </c>
      <c r="AC771" t="str">
        <f>IFERROR(H771&amp;"*"&amp;ROUND(L771*(I771/(G771+I771+K771))/VLOOKUP(H771,商品!$A$4:$D$67,4,FALSE),0),"")</f>
        <v/>
      </c>
      <c r="AD771" t="str">
        <f>IFERROR(J771&amp;"*"&amp;ROUND(L771*(K771/(G771+I771+K771))/VLOOKUP(J771,商品!$A$4:$D$67,4,FALSE),0),"")</f>
        <v/>
      </c>
      <c r="AE771" t="str">
        <f>IFERROR(M771&amp;"*"&amp;ROUND(Q771*(N771/(N771+P771))/VLOOKUP(M771,职业!$A$3:$E$16,4,FALSE),0),"")</f>
        <v/>
      </c>
      <c r="AF771" t="str">
        <f>IFERROR(O771&amp;"*"&amp;ROUND(Q771*(P771/(N771+P771))/VLOOKUP(O771,职业!$A$3:$E$16,4,FALSE),0),"")</f>
        <v/>
      </c>
      <c r="AG771" t="str">
        <f>IFERROR(R771&amp;"*"&amp;ROUND(V771*(S771/(S771+U771))/VLOOKUP(R771,商品!$A$4:$D$67,4,FALSE),0),"")</f>
        <v/>
      </c>
      <c r="AH771" t="str">
        <f>IFERROR(T771&amp;"*"&amp;ROUND(V771*(U771/(S771+U771))/VLOOKUP(T771,商品!$A$4:$D$67,4,FALSE),0),"")</f>
        <v/>
      </c>
    </row>
    <row r="772" customHeight="1" spans="1:34">
      <c r="A772" s="14" t="s">
        <v>427</v>
      </c>
      <c r="C772" s="2">
        <v>2</v>
      </c>
      <c r="D772" s="2" t="s">
        <v>260</v>
      </c>
      <c r="E772" s="2" t="s">
        <v>223</v>
      </c>
      <c r="L772" s="2">
        <f>IFERROR(VLOOKUP($D772&amp;$C772,生产方式定位!$A$2:$E$39,2,FALSE)+VLOOKUP($E772&amp;$C772,生产方式定位!$F$3:$J$39,2,FALSE),0)</f>
        <v>1500</v>
      </c>
      <c r="Q772" s="2">
        <f>IFERROR(VLOOKUP($D772&amp;$C772,生产方式定位!$A$2:$E$39,3,FALSE)+VLOOKUP($E772&amp;$C772,生产方式定位!$F$3:$J$39,3,FALSE),0)</f>
        <v>4800</v>
      </c>
      <c r="V772" s="2">
        <f>IFERROR(VLOOKUP($D772&amp;$C772,生产方式定位!$A$2:$E$39,5,FALSE)+VLOOKUP($E772&amp;$C772,生产方式定位!$F$3:$J$39,5,FALSE),"错误")</f>
        <v>3195</v>
      </c>
      <c r="W772" s="3" t="str">
        <f t="shared" si="55"/>
        <v/>
      </c>
      <c r="X772" s="4" t="str">
        <f t="shared" si="56"/>
        <v/>
      </c>
      <c r="Y772" s="4" t="str">
        <f t="shared" si="57"/>
        <v/>
      </c>
      <c r="Z772" s="5">
        <f t="shared" si="58"/>
        <v>0.47</v>
      </c>
      <c r="AA772" s="6">
        <f t="shared" si="59"/>
        <v>2</v>
      </c>
      <c r="AB772" t="str">
        <f>IFERROR(F772&amp;"*"&amp;ROUND(L772*(G772/(G772+I772+K772))/VLOOKUP(F772,商品!$A$4:$D$67,4,FALSE),0),"")</f>
        <v/>
      </c>
      <c r="AC772" t="str">
        <f>IFERROR(H772&amp;"*"&amp;ROUND(L772*(I772/(G772+I772+K772))/VLOOKUP(H772,商品!$A$4:$D$67,4,FALSE),0),"")</f>
        <v/>
      </c>
      <c r="AD772" t="str">
        <f>IFERROR(J772&amp;"*"&amp;ROUND(L772*(K772/(G772+I772+K772))/VLOOKUP(J772,商品!$A$4:$D$67,4,FALSE),0),"")</f>
        <v/>
      </c>
      <c r="AE772" t="str">
        <f>IFERROR(M772&amp;"*"&amp;ROUND(Q772*(N772/(N772+P772))/VLOOKUP(M772,职业!$A$3:$E$16,4,FALSE),0),"")</f>
        <v/>
      </c>
      <c r="AF772" t="str">
        <f>IFERROR(O772&amp;"*"&amp;ROUND(Q772*(P772/(N772+P772))/VLOOKUP(O772,职业!$A$3:$E$16,4,FALSE),0),"")</f>
        <v/>
      </c>
      <c r="AG772" t="str">
        <f>IFERROR(R772&amp;"*"&amp;ROUND(V772*(S772/(S772+U772))/VLOOKUP(R772,商品!$A$4:$D$67,4,FALSE),0),"")</f>
        <v/>
      </c>
      <c r="AH772" t="str">
        <f>IFERROR(T772&amp;"*"&amp;ROUND(V772*(U772/(S772+U772))/VLOOKUP(T772,商品!$A$4:$D$67,4,FALSE),0),"")</f>
        <v/>
      </c>
    </row>
    <row r="773" customHeight="1" spans="1:34">
      <c r="A773" s="14" t="s">
        <v>427</v>
      </c>
      <c r="C773" s="2">
        <v>3</v>
      </c>
      <c r="D773" s="2" t="s">
        <v>260</v>
      </c>
      <c r="E773" s="2" t="s">
        <v>223</v>
      </c>
      <c r="L773" s="2">
        <f>IFERROR(VLOOKUP($D773&amp;$C773,生产方式定位!$A$2:$E$39,2,FALSE)+VLOOKUP($E773&amp;$C773,生产方式定位!$F$3:$J$39,2,FALSE),0)</f>
        <v>3000</v>
      </c>
      <c r="Q773" s="2">
        <f>IFERROR(VLOOKUP($D773&amp;$C773,生产方式定位!$A$2:$E$39,3,FALSE)+VLOOKUP($E773&amp;$C773,生产方式定位!$F$3:$J$39,3,FALSE),0)</f>
        <v>5600</v>
      </c>
      <c r="V773" s="2">
        <f>IFERROR(VLOOKUP($D773&amp;$C773,生产方式定位!$A$2:$E$39,5,FALSE)+VLOOKUP($E773&amp;$C773,生产方式定位!$F$3:$J$39,5,FALSE),"错误")</f>
        <v>4450</v>
      </c>
      <c r="W773" s="3" t="str">
        <f t="shared" ref="W773:W836" si="60">IF(AB773="","",AB773)&amp;IF(AC773="","",","&amp;AC773)&amp;IF(AD773="","",","&amp;AD773)</f>
        <v/>
      </c>
      <c r="X773" s="4" t="str">
        <f t="shared" ref="X773:X836" si="61">IF(AE773="","",AE773)&amp;IF(AF773="","",","&amp;AF773)</f>
        <v/>
      </c>
      <c r="Y773" s="4" t="str">
        <f t="shared" ref="Y773:Y836" si="62">IF(AG773="","",AG773)&amp;IF(AH773="","",","&amp;AH773)</f>
        <v/>
      </c>
      <c r="Z773" s="5">
        <f t="shared" ref="Z773:Z836" si="63">IFERROR(ROUND(L773/V773,2),"")</f>
        <v>0.67</v>
      </c>
      <c r="AA773" s="6">
        <f t="shared" ref="AA773:AA836" si="64">C773</f>
        <v>3</v>
      </c>
      <c r="AB773" t="str">
        <f>IFERROR(F773&amp;"*"&amp;ROUND(L773*(G773/(G773+I773+K773))/VLOOKUP(F773,商品!$A$4:$D$67,4,FALSE),0),"")</f>
        <v/>
      </c>
      <c r="AC773" t="str">
        <f>IFERROR(H773&amp;"*"&amp;ROUND(L773*(I773/(G773+I773+K773))/VLOOKUP(H773,商品!$A$4:$D$67,4,FALSE),0),"")</f>
        <v/>
      </c>
      <c r="AD773" t="str">
        <f>IFERROR(J773&amp;"*"&amp;ROUND(L773*(K773/(G773+I773+K773))/VLOOKUP(J773,商品!$A$4:$D$67,4,FALSE),0),"")</f>
        <v/>
      </c>
      <c r="AE773" t="str">
        <f>IFERROR(M773&amp;"*"&amp;ROUND(Q773*(N773/(N773+P773))/VLOOKUP(M773,职业!$A$3:$E$16,4,FALSE),0),"")</f>
        <v/>
      </c>
      <c r="AF773" t="str">
        <f>IFERROR(O773&amp;"*"&amp;ROUND(Q773*(P773/(N773+P773))/VLOOKUP(O773,职业!$A$3:$E$16,4,FALSE),0),"")</f>
        <v/>
      </c>
      <c r="AG773" t="str">
        <f>IFERROR(R773&amp;"*"&amp;ROUND(V773*(S773/(S773+U773))/VLOOKUP(R773,商品!$A$4:$D$67,4,FALSE),0),"")</f>
        <v/>
      </c>
      <c r="AH773" t="str">
        <f>IFERROR(T773&amp;"*"&amp;ROUND(V773*(U773/(S773+U773))/VLOOKUP(T773,商品!$A$4:$D$67,4,FALSE),0),"")</f>
        <v/>
      </c>
    </row>
    <row r="774" customHeight="1" spans="1:34">
      <c r="A774" s="14" t="s">
        <v>427</v>
      </c>
      <c r="C774" s="2">
        <v>4</v>
      </c>
      <c r="D774" s="2" t="s">
        <v>260</v>
      </c>
      <c r="E774" s="2" t="s">
        <v>223</v>
      </c>
      <c r="L774" s="2">
        <f>IFERROR(VLOOKUP($D774&amp;$C774,生产方式定位!$A$2:$E$39,2,FALSE)+VLOOKUP($E774&amp;$C774,生产方式定位!$F$3:$J$39,2,FALSE),0)</f>
        <v>4500</v>
      </c>
      <c r="Q774" s="2">
        <f>IFERROR(VLOOKUP($D774&amp;$C774,生产方式定位!$A$2:$E$39,3,FALSE)+VLOOKUP($E774&amp;$C774,生产方式定位!$F$3:$J$39,3,FALSE),0)</f>
        <v>6400</v>
      </c>
      <c r="V774" s="2">
        <f>IFERROR(VLOOKUP($D774&amp;$C774,生产方式定位!$A$2:$E$39,5,FALSE)+VLOOKUP($E774&amp;$C774,生产方式定位!$F$3:$J$39,5,FALSE),"错误")</f>
        <v>5765</v>
      </c>
      <c r="W774" s="3" t="str">
        <f t="shared" si="60"/>
        <v/>
      </c>
      <c r="X774" s="4" t="str">
        <f t="shared" si="61"/>
        <v/>
      </c>
      <c r="Y774" s="4" t="str">
        <f t="shared" si="62"/>
        <v/>
      </c>
      <c r="Z774" s="5">
        <f t="shared" si="63"/>
        <v>0.78</v>
      </c>
      <c r="AA774" s="6">
        <f t="shared" si="64"/>
        <v>4</v>
      </c>
      <c r="AB774" t="str">
        <f>IFERROR(F774&amp;"*"&amp;ROUND(L774*(G774/(G774+I774+K774))/VLOOKUP(F774,商品!$A$4:$D$67,4,FALSE),0),"")</f>
        <v/>
      </c>
      <c r="AC774" t="str">
        <f>IFERROR(H774&amp;"*"&amp;ROUND(L774*(I774/(G774+I774+K774))/VLOOKUP(H774,商品!$A$4:$D$67,4,FALSE),0),"")</f>
        <v/>
      </c>
      <c r="AD774" t="str">
        <f>IFERROR(J774&amp;"*"&amp;ROUND(L774*(K774/(G774+I774+K774))/VLOOKUP(J774,商品!$A$4:$D$67,4,FALSE),0),"")</f>
        <v/>
      </c>
      <c r="AE774" t="str">
        <f>IFERROR(M774&amp;"*"&amp;ROUND(Q774*(N774/(N774+P774))/VLOOKUP(M774,职业!$A$3:$E$16,4,FALSE),0),"")</f>
        <v/>
      </c>
      <c r="AF774" t="str">
        <f>IFERROR(O774&amp;"*"&amp;ROUND(Q774*(P774/(N774+P774))/VLOOKUP(O774,职业!$A$3:$E$16,4,FALSE),0),"")</f>
        <v/>
      </c>
      <c r="AG774" t="str">
        <f>IFERROR(R774&amp;"*"&amp;ROUND(V774*(S774/(S774+U774))/VLOOKUP(R774,商品!$A$4:$D$67,4,FALSE),0),"")</f>
        <v/>
      </c>
      <c r="AH774" t="str">
        <f>IFERROR(T774&amp;"*"&amp;ROUND(V774*(U774/(S774+U774))/VLOOKUP(T774,商品!$A$4:$D$67,4,FALSE),0),"")</f>
        <v/>
      </c>
    </row>
    <row r="775" customHeight="1" spans="1:34">
      <c r="A775" s="14" t="s">
        <v>427</v>
      </c>
      <c r="C775" s="2">
        <v>5</v>
      </c>
      <c r="D775" s="2" t="s">
        <v>260</v>
      </c>
      <c r="E775" s="2" t="s">
        <v>223</v>
      </c>
      <c r="L775" s="2">
        <f>IFERROR(VLOOKUP($D775&amp;$C775,生产方式定位!$A$2:$E$39,2,FALSE)+VLOOKUP($E775&amp;$C775,生产方式定位!$F$3:$J$39,2,FALSE),0)</f>
        <v>6000</v>
      </c>
      <c r="Q775" s="2">
        <f>IFERROR(VLOOKUP($D775&amp;$C775,生产方式定位!$A$2:$E$39,3,FALSE)+VLOOKUP($E775&amp;$C775,生产方式定位!$F$3:$J$39,3,FALSE),0)</f>
        <v>7200</v>
      </c>
      <c r="V775" s="2">
        <f>IFERROR(VLOOKUP($D775&amp;$C775,生产方式定位!$A$2:$E$39,5,FALSE)+VLOOKUP($E775&amp;$C775,生产方式定位!$F$3:$J$39,5,FALSE),"错误")</f>
        <v>7163</v>
      </c>
      <c r="W775" s="3" t="str">
        <f t="shared" si="60"/>
        <v/>
      </c>
      <c r="X775" s="4" t="str">
        <f t="shared" si="61"/>
        <v/>
      </c>
      <c r="Y775" s="4" t="str">
        <f t="shared" si="62"/>
        <v/>
      </c>
      <c r="Z775" s="5">
        <f t="shared" si="63"/>
        <v>0.84</v>
      </c>
      <c r="AA775" s="6">
        <f t="shared" si="64"/>
        <v>5</v>
      </c>
      <c r="AB775" t="str">
        <f>IFERROR(F775&amp;"*"&amp;ROUND(L775*(G775/(G775+I775+K775))/VLOOKUP(F775,商品!$A$4:$D$67,4,FALSE),0),"")</f>
        <v/>
      </c>
      <c r="AC775" t="str">
        <f>IFERROR(H775&amp;"*"&amp;ROUND(L775*(I775/(G775+I775+K775))/VLOOKUP(H775,商品!$A$4:$D$67,4,FALSE),0),"")</f>
        <v/>
      </c>
      <c r="AD775" t="str">
        <f>IFERROR(J775&amp;"*"&amp;ROUND(L775*(K775/(G775+I775+K775))/VLOOKUP(J775,商品!$A$4:$D$67,4,FALSE),0),"")</f>
        <v/>
      </c>
      <c r="AE775" t="str">
        <f>IFERROR(M775&amp;"*"&amp;ROUND(Q775*(N775/(N775+P775))/VLOOKUP(M775,职业!$A$3:$E$16,4,FALSE),0),"")</f>
        <v/>
      </c>
      <c r="AF775" t="str">
        <f>IFERROR(O775&amp;"*"&amp;ROUND(Q775*(P775/(N775+P775))/VLOOKUP(O775,职业!$A$3:$E$16,4,FALSE),0),"")</f>
        <v/>
      </c>
      <c r="AG775" t="str">
        <f>IFERROR(R775&amp;"*"&amp;ROUND(V775*(S775/(S775+U775))/VLOOKUP(R775,商品!$A$4:$D$67,4,FALSE),0),"")</f>
        <v/>
      </c>
      <c r="AH775" t="str">
        <f>IFERROR(T775&amp;"*"&amp;ROUND(V775*(U775/(S775+U775))/VLOOKUP(T775,商品!$A$4:$D$67,4,FALSE),0),"")</f>
        <v/>
      </c>
    </row>
    <row r="776" customHeight="1" spans="1:34">
      <c r="A776" s="15" t="s">
        <v>428</v>
      </c>
      <c r="C776" s="2">
        <v>1</v>
      </c>
      <c r="D776" s="2" t="s">
        <v>260</v>
      </c>
      <c r="E776" s="2" t="s">
        <v>224</v>
      </c>
      <c r="L776" s="2">
        <f>IFERROR(VLOOKUP($D776&amp;$C776,生产方式定位!$A$2:$E$39,2,FALSE)+VLOOKUP($E776&amp;$C776,生产方式定位!$F$3:$J$39,2,FALSE),0)</f>
        <v>0</v>
      </c>
      <c r="Q776" s="2">
        <f>IFERROR(VLOOKUP($D776&amp;$C776,生产方式定位!$A$2:$E$39,3,FALSE)+VLOOKUP($E776&amp;$C776,生产方式定位!$F$3:$J$39,3,FALSE),0)</f>
        <v>3000</v>
      </c>
      <c r="V776" s="2">
        <f>IFERROR(VLOOKUP($D776&amp;$C776,生产方式定位!$A$2:$E$39,5,FALSE)+VLOOKUP($E776&amp;$C776,生产方式定位!$F$3:$J$39,5,FALSE),"错误")</f>
        <v>1500</v>
      </c>
      <c r="W776" s="3" t="str">
        <f t="shared" si="60"/>
        <v/>
      </c>
      <c r="X776" s="4" t="str">
        <f t="shared" si="61"/>
        <v/>
      </c>
      <c r="Y776" s="4" t="str">
        <f t="shared" si="62"/>
        <v/>
      </c>
      <c r="Z776" s="5">
        <f t="shared" si="63"/>
        <v>0</v>
      </c>
      <c r="AA776" s="6">
        <f t="shared" si="64"/>
        <v>1</v>
      </c>
      <c r="AB776" t="str">
        <f>IFERROR(F776&amp;"*"&amp;ROUND(L776*(G776/(G776+I776+K776))/VLOOKUP(F776,商品!$A$4:$D$67,4,FALSE),0),"")</f>
        <v/>
      </c>
      <c r="AC776" t="str">
        <f>IFERROR(H776&amp;"*"&amp;ROUND(L776*(I776/(G776+I776+K776))/VLOOKUP(H776,商品!$A$4:$D$67,4,FALSE),0),"")</f>
        <v/>
      </c>
      <c r="AD776" t="str">
        <f>IFERROR(J776&amp;"*"&amp;ROUND(L776*(K776/(G776+I776+K776))/VLOOKUP(J776,商品!$A$4:$D$67,4,FALSE),0),"")</f>
        <v/>
      </c>
      <c r="AE776" t="str">
        <f>IFERROR(M776&amp;"*"&amp;ROUND(Q776*(N776/(N776+P776))/VLOOKUP(M776,职业!$A$3:$E$16,4,FALSE),0),"")</f>
        <v/>
      </c>
      <c r="AF776" t="str">
        <f>IFERROR(O776&amp;"*"&amp;ROUND(Q776*(P776/(N776+P776))/VLOOKUP(O776,职业!$A$3:$E$16,4,FALSE),0),"")</f>
        <v/>
      </c>
      <c r="AG776" t="str">
        <f>IFERROR(R776&amp;"*"&amp;ROUND(V776*(S776/(S776+U776))/VLOOKUP(R776,商品!$A$4:$D$67,4,FALSE),0),"")</f>
        <v/>
      </c>
      <c r="AH776" t="str">
        <f>IFERROR(T776&amp;"*"&amp;ROUND(V776*(U776/(S776+U776))/VLOOKUP(T776,商品!$A$4:$D$67,4,FALSE),0),"")</f>
        <v/>
      </c>
    </row>
    <row r="777" customHeight="1" spans="1:34">
      <c r="A777" s="15" t="s">
        <v>428</v>
      </c>
      <c r="C777" s="2">
        <v>2</v>
      </c>
      <c r="D777" s="2" t="s">
        <v>260</v>
      </c>
      <c r="E777" s="2" t="s">
        <v>224</v>
      </c>
      <c r="L777" s="2">
        <f>IFERROR(VLOOKUP($D777&amp;$C777,生产方式定位!$A$2:$E$39,2,FALSE)+VLOOKUP($E777&amp;$C777,生产方式定位!$F$3:$J$39,2,FALSE),0)</f>
        <v>2500</v>
      </c>
      <c r="Q777" s="2">
        <f>IFERROR(VLOOKUP($D777&amp;$C777,生产方式定位!$A$2:$E$39,3,FALSE)+VLOOKUP($E777&amp;$C777,生产方式定位!$F$3:$J$39,3,FALSE),0)</f>
        <v>2600</v>
      </c>
      <c r="V777" s="2">
        <f>IFERROR(VLOOKUP($D777&amp;$C777,生产方式定位!$A$2:$E$39,5,FALSE)+VLOOKUP($E777&amp;$C777,生产方式定位!$F$3:$J$39,5,FALSE),"错误")</f>
        <v>2640</v>
      </c>
      <c r="W777" s="3" t="str">
        <f t="shared" si="60"/>
        <v/>
      </c>
      <c r="X777" s="4" t="str">
        <f t="shared" si="61"/>
        <v/>
      </c>
      <c r="Y777" s="4" t="str">
        <f t="shared" si="62"/>
        <v/>
      </c>
      <c r="Z777" s="5">
        <f t="shared" si="63"/>
        <v>0.95</v>
      </c>
      <c r="AA777" s="6">
        <f t="shared" si="64"/>
        <v>2</v>
      </c>
      <c r="AB777" t="str">
        <f>IFERROR(F777&amp;"*"&amp;ROUND(L777*(G777/(G777+I777+K777))/VLOOKUP(F777,商品!$A$4:$D$67,4,FALSE),0),"")</f>
        <v/>
      </c>
      <c r="AC777" t="str">
        <f>IFERROR(H777&amp;"*"&amp;ROUND(L777*(I777/(G777+I777+K777))/VLOOKUP(H777,商品!$A$4:$D$67,4,FALSE),0),"")</f>
        <v/>
      </c>
      <c r="AD777" t="str">
        <f>IFERROR(J777&amp;"*"&amp;ROUND(L777*(K777/(G777+I777+K777))/VLOOKUP(J777,商品!$A$4:$D$67,4,FALSE),0),"")</f>
        <v/>
      </c>
      <c r="AE777" t="str">
        <f>IFERROR(M777&amp;"*"&amp;ROUND(Q777*(N777/(N777+P777))/VLOOKUP(M777,职业!$A$3:$E$16,4,FALSE),0),"")</f>
        <v/>
      </c>
      <c r="AF777" t="str">
        <f>IFERROR(O777&amp;"*"&amp;ROUND(Q777*(P777/(N777+P777))/VLOOKUP(O777,职业!$A$3:$E$16,4,FALSE),0),"")</f>
        <v/>
      </c>
      <c r="AG777" t="str">
        <f>IFERROR(R777&amp;"*"&amp;ROUND(V777*(S777/(S777+U777))/VLOOKUP(R777,商品!$A$4:$D$67,4,FALSE),0),"")</f>
        <v/>
      </c>
      <c r="AH777" t="str">
        <f>IFERROR(T777&amp;"*"&amp;ROUND(V777*(U777/(S777+U777))/VLOOKUP(T777,商品!$A$4:$D$67,4,FALSE),0),"")</f>
        <v/>
      </c>
    </row>
    <row r="778" customHeight="1" spans="1:34">
      <c r="A778" s="15" t="s">
        <v>428</v>
      </c>
      <c r="C778" s="2">
        <v>3</v>
      </c>
      <c r="D778" s="2" t="s">
        <v>260</v>
      </c>
      <c r="E778" s="2" t="s">
        <v>224</v>
      </c>
      <c r="L778" s="2">
        <f>IFERROR(VLOOKUP($D778&amp;$C778,生产方式定位!$A$2:$E$39,2,FALSE)+VLOOKUP($E778&amp;$C778,生产方式定位!$F$3:$J$39,2,FALSE),0)</f>
        <v>4000</v>
      </c>
      <c r="Q778" s="2">
        <f>IFERROR(VLOOKUP($D778&amp;$C778,生产方式定位!$A$2:$E$39,3,FALSE)+VLOOKUP($E778&amp;$C778,生产方式定位!$F$3:$J$39,3,FALSE),0)</f>
        <v>2200</v>
      </c>
      <c r="V778" s="2">
        <f>IFERROR(VLOOKUP($D778&amp;$C778,生产方式定位!$A$2:$E$39,5,FALSE)+VLOOKUP($E778&amp;$C778,生产方式定位!$F$3:$J$39,5,FALSE),"错误")</f>
        <v>3360</v>
      </c>
      <c r="W778" s="3" t="str">
        <f t="shared" si="60"/>
        <v/>
      </c>
      <c r="X778" s="4" t="str">
        <f t="shared" si="61"/>
        <v/>
      </c>
      <c r="Y778" s="4" t="str">
        <f t="shared" si="62"/>
        <v/>
      </c>
      <c r="Z778" s="5">
        <f t="shared" si="63"/>
        <v>1.19</v>
      </c>
      <c r="AA778" s="6">
        <f t="shared" si="64"/>
        <v>3</v>
      </c>
      <c r="AB778" t="str">
        <f>IFERROR(F778&amp;"*"&amp;ROUND(L778*(G778/(G778+I778+K778))/VLOOKUP(F778,商品!$A$4:$D$67,4,FALSE),0),"")</f>
        <v/>
      </c>
      <c r="AC778" t="str">
        <f>IFERROR(H778&amp;"*"&amp;ROUND(L778*(I778/(G778+I778+K778))/VLOOKUP(H778,商品!$A$4:$D$67,4,FALSE),0),"")</f>
        <v/>
      </c>
      <c r="AD778" t="str">
        <f>IFERROR(J778&amp;"*"&amp;ROUND(L778*(K778/(G778+I778+K778))/VLOOKUP(J778,商品!$A$4:$D$67,4,FALSE),0),"")</f>
        <v/>
      </c>
      <c r="AE778" t="str">
        <f>IFERROR(M778&amp;"*"&amp;ROUND(Q778*(N778/(N778+P778))/VLOOKUP(M778,职业!$A$3:$E$16,4,FALSE),0),"")</f>
        <v/>
      </c>
      <c r="AF778" t="str">
        <f>IFERROR(O778&amp;"*"&amp;ROUND(Q778*(P778/(N778+P778))/VLOOKUP(O778,职业!$A$3:$E$16,4,FALSE),0),"")</f>
        <v/>
      </c>
      <c r="AG778" t="str">
        <f>IFERROR(R778&amp;"*"&amp;ROUND(V778*(S778/(S778+U778))/VLOOKUP(R778,商品!$A$4:$D$67,4,FALSE),0),"")</f>
        <v/>
      </c>
      <c r="AH778" t="str">
        <f>IFERROR(T778&amp;"*"&amp;ROUND(V778*(U778/(S778+U778))/VLOOKUP(T778,商品!$A$4:$D$67,4,FALSE),0),"")</f>
        <v/>
      </c>
    </row>
    <row r="779" customHeight="1" spans="1:34">
      <c r="A779" s="15" t="s">
        <v>428</v>
      </c>
      <c r="C779" s="2">
        <v>4</v>
      </c>
      <c r="D779" s="2" t="s">
        <v>260</v>
      </c>
      <c r="E779" s="2" t="s">
        <v>224</v>
      </c>
      <c r="L779" s="2">
        <f>IFERROR(VLOOKUP($D779&amp;$C779,生产方式定位!$A$2:$E$39,2,FALSE)+VLOOKUP($E779&amp;$C779,生产方式定位!$F$3:$J$39,2,FALSE),0)</f>
        <v>5500</v>
      </c>
      <c r="Q779" s="2">
        <f>IFERROR(VLOOKUP($D779&amp;$C779,生产方式定位!$A$2:$E$39,3,FALSE)+VLOOKUP($E779&amp;$C779,生产方式定位!$F$3:$J$39,3,FALSE),0)</f>
        <v>1800</v>
      </c>
      <c r="V779" s="2">
        <f>IFERROR(VLOOKUP($D779&amp;$C779,生产方式定位!$A$2:$E$39,5,FALSE)+VLOOKUP($E779&amp;$C779,生产方式定位!$F$3:$J$39,5,FALSE),"错误")</f>
        <v>4160</v>
      </c>
      <c r="W779" s="3" t="str">
        <f t="shared" si="60"/>
        <v/>
      </c>
      <c r="X779" s="4" t="str">
        <f t="shared" si="61"/>
        <v/>
      </c>
      <c r="Y779" s="4" t="str">
        <f t="shared" si="62"/>
        <v/>
      </c>
      <c r="Z779" s="5">
        <f t="shared" si="63"/>
        <v>1.32</v>
      </c>
      <c r="AA779" s="6">
        <f t="shared" si="64"/>
        <v>4</v>
      </c>
      <c r="AB779" t="str">
        <f>IFERROR(F779&amp;"*"&amp;ROUND(L779*(G779/(G779+I779+K779))/VLOOKUP(F779,商品!$A$4:$D$67,4,FALSE),0),"")</f>
        <v/>
      </c>
      <c r="AC779" t="str">
        <f>IFERROR(H779&amp;"*"&amp;ROUND(L779*(I779/(G779+I779+K779))/VLOOKUP(H779,商品!$A$4:$D$67,4,FALSE),0),"")</f>
        <v/>
      </c>
      <c r="AD779" t="str">
        <f>IFERROR(J779&amp;"*"&amp;ROUND(L779*(K779/(G779+I779+K779))/VLOOKUP(J779,商品!$A$4:$D$67,4,FALSE),0),"")</f>
        <v/>
      </c>
      <c r="AE779" t="str">
        <f>IFERROR(M779&amp;"*"&amp;ROUND(Q779*(N779/(N779+P779))/VLOOKUP(M779,职业!$A$3:$E$16,4,FALSE),0),"")</f>
        <v/>
      </c>
      <c r="AF779" t="str">
        <f>IFERROR(O779&amp;"*"&amp;ROUND(Q779*(P779/(N779+P779))/VLOOKUP(O779,职业!$A$3:$E$16,4,FALSE),0),"")</f>
        <v/>
      </c>
      <c r="AG779" t="str">
        <f>IFERROR(R779&amp;"*"&amp;ROUND(V779*(S779/(S779+U779))/VLOOKUP(R779,商品!$A$4:$D$67,4,FALSE),0),"")</f>
        <v/>
      </c>
      <c r="AH779" t="str">
        <f>IFERROR(T779&amp;"*"&amp;ROUND(V779*(U779/(S779+U779))/VLOOKUP(T779,商品!$A$4:$D$67,4,FALSE),0),"")</f>
        <v/>
      </c>
    </row>
    <row r="780" customHeight="1" spans="1:34">
      <c r="A780" s="15" t="s">
        <v>428</v>
      </c>
      <c r="C780" s="2">
        <v>5</v>
      </c>
      <c r="D780" s="2" t="s">
        <v>260</v>
      </c>
      <c r="E780" s="2" t="s">
        <v>224</v>
      </c>
      <c r="L780" s="2">
        <f>IFERROR(VLOOKUP($D780&amp;$C780,生产方式定位!$A$2:$E$39,2,FALSE)+VLOOKUP($E780&amp;$C780,生产方式定位!$F$3:$J$39,2,FALSE),0)</f>
        <v>7000</v>
      </c>
      <c r="Q780" s="2">
        <f>IFERROR(VLOOKUP($D780&amp;$C780,生产方式定位!$A$2:$E$39,3,FALSE)+VLOOKUP($E780&amp;$C780,生产方式定位!$F$3:$J$39,3,FALSE),0)</f>
        <v>1400</v>
      </c>
      <c r="V780" s="2">
        <f>IFERROR(VLOOKUP($D780&amp;$C780,生产方式定位!$A$2:$E$39,5,FALSE)+VLOOKUP($E780&amp;$C780,生产方式定位!$F$3:$J$39,5,FALSE),"错误")</f>
        <v>5040</v>
      </c>
      <c r="W780" s="3" t="str">
        <f t="shared" si="60"/>
        <v/>
      </c>
      <c r="X780" s="4" t="str">
        <f t="shared" si="61"/>
        <v/>
      </c>
      <c r="Y780" s="4" t="str">
        <f t="shared" si="62"/>
        <v/>
      </c>
      <c r="Z780" s="5">
        <f t="shared" si="63"/>
        <v>1.39</v>
      </c>
      <c r="AA780" s="6">
        <f t="shared" si="64"/>
        <v>5</v>
      </c>
      <c r="AB780" t="str">
        <f>IFERROR(F780&amp;"*"&amp;ROUND(L780*(G780/(G780+I780+K780))/VLOOKUP(F780,商品!$A$4:$D$67,4,FALSE),0),"")</f>
        <v/>
      </c>
      <c r="AC780" t="str">
        <f>IFERROR(H780&amp;"*"&amp;ROUND(L780*(I780/(G780+I780+K780))/VLOOKUP(H780,商品!$A$4:$D$67,4,FALSE),0),"")</f>
        <v/>
      </c>
      <c r="AD780" t="str">
        <f>IFERROR(J780&amp;"*"&amp;ROUND(L780*(K780/(G780+I780+K780))/VLOOKUP(J780,商品!$A$4:$D$67,4,FALSE),0),"")</f>
        <v/>
      </c>
      <c r="AE780" t="str">
        <f>IFERROR(M780&amp;"*"&amp;ROUND(Q780*(N780/(N780+P780))/VLOOKUP(M780,职业!$A$3:$E$16,4,FALSE),0),"")</f>
        <v/>
      </c>
      <c r="AF780" t="str">
        <f>IFERROR(O780&amp;"*"&amp;ROUND(Q780*(P780/(N780+P780))/VLOOKUP(O780,职业!$A$3:$E$16,4,FALSE),0),"")</f>
        <v/>
      </c>
      <c r="AG780" t="str">
        <f>IFERROR(R780&amp;"*"&amp;ROUND(V780*(S780/(S780+U780))/VLOOKUP(R780,商品!$A$4:$D$67,4,FALSE),0),"")</f>
        <v/>
      </c>
      <c r="AH780" t="str">
        <f>IFERROR(T780&amp;"*"&amp;ROUND(V780*(U780/(S780+U780))/VLOOKUP(T780,商品!$A$4:$D$67,4,FALSE),0),"")</f>
        <v/>
      </c>
    </row>
    <row r="781" customHeight="1" spans="1:34">
      <c r="A781" s="14" t="s">
        <v>428</v>
      </c>
      <c r="C781" s="2">
        <v>1</v>
      </c>
      <c r="D781" s="2" t="s">
        <v>260</v>
      </c>
      <c r="E781" s="2" t="s">
        <v>224</v>
      </c>
      <c r="L781" s="2">
        <f>IFERROR(VLOOKUP($D781&amp;$C781,生产方式定位!$A$2:$E$39,2,FALSE)+VLOOKUP($E781&amp;$C781,生产方式定位!$F$3:$J$39,2,FALSE),0)</f>
        <v>0</v>
      </c>
      <c r="Q781" s="2">
        <f>IFERROR(VLOOKUP($D781&amp;$C781,生产方式定位!$A$2:$E$39,3,FALSE)+VLOOKUP($E781&amp;$C781,生产方式定位!$F$3:$J$39,3,FALSE),0)</f>
        <v>3000</v>
      </c>
      <c r="V781" s="2">
        <f>IFERROR(VLOOKUP($D781&amp;$C781,生产方式定位!$A$2:$E$39,5,FALSE)+VLOOKUP($E781&amp;$C781,生产方式定位!$F$3:$J$39,5,FALSE),"错误")</f>
        <v>1500</v>
      </c>
      <c r="W781" s="3" t="str">
        <f t="shared" si="60"/>
        <v/>
      </c>
      <c r="X781" s="4" t="str">
        <f t="shared" si="61"/>
        <v/>
      </c>
      <c r="Y781" s="4" t="str">
        <f t="shared" si="62"/>
        <v/>
      </c>
      <c r="Z781" s="5">
        <f t="shared" si="63"/>
        <v>0</v>
      </c>
      <c r="AA781" s="6">
        <f t="shared" si="64"/>
        <v>1</v>
      </c>
      <c r="AB781" t="str">
        <f>IFERROR(F781&amp;"*"&amp;ROUND(L781*(G781/(G781+I781+K781))/VLOOKUP(F781,商品!$A$4:$D$67,4,FALSE),0),"")</f>
        <v/>
      </c>
      <c r="AC781" t="str">
        <f>IFERROR(H781&amp;"*"&amp;ROUND(L781*(I781/(G781+I781+K781))/VLOOKUP(H781,商品!$A$4:$D$67,4,FALSE),0),"")</f>
        <v/>
      </c>
      <c r="AD781" t="str">
        <f>IFERROR(J781&amp;"*"&amp;ROUND(L781*(K781/(G781+I781+K781))/VLOOKUP(J781,商品!$A$4:$D$67,4,FALSE),0),"")</f>
        <v/>
      </c>
      <c r="AE781" t="str">
        <f>IFERROR(M781&amp;"*"&amp;ROUND(Q781*(N781/(N781+P781))/VLOOKUP(M781,职业!$A$3:$E$16,4,FALSE),0),"")</f>
        <v/>
      </c>
      <c r="AF781" t="str">
        <f>IFERROR(O781&amp;"*"&amp;ROUND(Q781*(P781/(N781+P781))/VLOOKUP(O781,职业!$A$3:$E$16,4,FALSE),0),"")</f>
        <v/>
      </c>
      <c r="AG781" t="str">
        <f>IFERROR(R781&amp;"*"&amp;ROUND(V781*(S781/(S781+U781))/VLOOKUP(R781,商品!$A$4:$D$67,4,FALSE),0),"")</f>
        <v/>
      </c>
      <c r="AH781" t="str">
        <f>IFERROR(T781&amp;"*"&amp;ROUND(V781*(U781/(S781+U781))/VLOOKUP(T781,商品!$A$4:$D$67,4,FALSE),0),"")</f>
        <v/>
      </c>
    </row>
    <row r="782" customHeight="1" spans="1:34">
      <c r="A782" s="14" t="s">
        <v>428</v>
      </c>
      <c r="C782" s="2">
        <v>2</v>
      </c>
      <c r="D782" s="2" t="s">
        <v>260</v>
      </c>
      <c r="E782" s="2" t="s">
        <v>224</v>
      </c>
      <c r="L782" s="2">
        <f>IFERROR(VLOOKUP($D782&amp;$C782,生产方式定位!$A$2:$E$39,2,FALSE)+VLOOKUP($E782&amp;$C782,生产方式定位!$F$3:$J$39,2,FALSE),0)</f>
        <v>2500</v>
      </c>
      <c r="Q782" s="2">
        <f>IFERROR(VLOOKUP($D782&amp;$C782,生产方式定位!$A$2:$E$39,3,FALSE)+VLOOKUP($E782&amp;$C782,生产方式定位!$F$3:$J$39,3,FALSE),0)</f>
        <v>2600</v>
      </c>
      <c r="V782" s="2">
        <f>IFERROR(VLOOKUP($D782&amp;$C782,生产方式定位!$A$2:$E$39,5,FALSE)+VLOOKUP($E782&amp;$C782,生产方式定位!$F$3:$J$39,5,FALSE),"错误")</f>
        <v>2640</v>
      </c>
      <c r="W782" s="3" t="str">
        <f t="shared" si="60"/>
        <v/>
      </c>
      <c r="X782" s="4" t="str">
        <f t="shared" si="61"/>
        <v/>
      </c>
      <c r="Y782" s="4" t="str">
        <f t="shared" si="62"/>
        <v/>
      </c>
      <c r="Z782" s="5">
        <f t="shared" si="63"/>
        <v>0.95</v>
      </c>
      <c r="AA782" s="6">
        <f t="shared" si="64"/>
        <v>2</v>
      </c>
      <c r="AB782" t="str">
        <f>IFERROR(F782&amp;"*"&amp;ROUND(L782*(G782/(G782+I782+K782))/VLOOKUP(F782,商品!$A$4:$D$67,4,FALSE),0),"")</f>
        <v/>
      </c>
      <c r="AC782" t="str">
        <f>IFERROR(H782&amp;"*"&amp;ROUND(L782*(I782/(G782+I782+K782))/VLOOKUP(H782,商品!$A$4:$D$67,4,FALSE),0),"")</f>
        <v/>
      </c>
      <c r="AD782" t="str">
        <f>IFERROR(J782&amp;"*"&amp;ROUND(L782*(K782/(G782+I782+K782))/VLOOKUP(J782,商品!$A$4:$D$67,4,FALSE),0),"")</f>
        <v/>
      </c>
      <c r="AE782" t="str">
        <f>IFERROR(M782&amp;"*"&amp;ROUND(Q782*(N782/(N782+P782))/VLOOKUP(M782,职业!$A$3:$E$16,4,FALSE),0),"")</f>
        <v/>
      </c>
      <c r="AF782" t="str">
        <f>IFERROR(O782&amp;"*"&amp;ROUND(Q782*(P782/(N782+P782))/VLOOKUP(O782,职业!$A$3:$E$16,4,FALSE),0),"")</f>
        <v/>
      </c>
      <c r="AG782" t="str">
        <f>IFERROR(R782&amp;"*"&amp;ROUND(V782*(S782/(S782+U782))/VLOOKUP(R782,商品!$A$4:$D$67,4,FALSE),0),"")</f>
        <v/>
      </c>
      <c r="AH782" t="str">
        <f>IFERROR(T782&amp;"*"&amp;ROUND(V782*(U782/(S782+U782))/VLOOKUP(T782,商品!$A$4:$D$67,4,FALSE),0),"")</f>
        <v/>
      </c>
    </row>
    <row r="783" customHeight="1" spans="1:34">
      <c r="A783" s="14" t="s">
        <v>428</v>
      </c>
      <c r="C783" s="2">
        <v>3</v>
      </c>
      <c r="D783" s="2" t="s">
        <v>260</v>
      </c>
      <c r="E783" s="2" t="s">
        <v>224</v>
      </c>
      <c r="L783" s="2">
        <f>IFERROR(VLOOKUP($D783&amp;$C783,生产方式定位!$A$2:$E$39,2,FALSE)+VLOOKUP($E783&amp;$C783,生产方式定位!$F$3:$J$39,2,FALSE),0)</f>
        <v>4000</v>
      </c>
      <c r="Q783" s="2">
        <f>IFERROR(VLOOKUP($D783&amp;$C783,生产方式定位!$A$2:$E$39,3,FALSE)+VLOOKUP($E783&amp;$C783,生产方式定位!$F$3:$J$39,3,FALSE),0)</f>
        <v>2200</v>
      </c>
      <c r="V783" s="2">
        <f>IFERROR(VLOOKUP($D783&amp;$C783,生产方式定位!$A$2:$E$39,5,FALSE)+VLOOKUP($E783&amp;$C783,生产方式定位!$F$3:$J$39,5,FALSE),"错误")</f>
        <v>3360</v>
      </c>
      <c r="W783" s="3" t="str">
        <f t="shared" si="60"/>
        <v/>
      </c>
      <c r="X783" s="4" t="str">
        <f t="shared" si="61"/>
        <v/>
      </c>
      <c r="Y783" s="4" t="str">
        <f t="shared" si="62"/>
        <v/>
      </c>
      <c r="Z783" s="5">
        <f t="shared" si="63"/>
        <v>1.19</v>
      </c>
      <c r="AA783" s="6">
        <f t="shared" si="64"/>
        <v>3</v>
      </c>
      <c r="AB783" t="str">
        <f>IFERROR(F783&amp;"*"&amp;ROUND(L783*(G783/(G783+I783+K783))/VLOOKUP(F783,商品!$A$4:$D$67,4,FALSE),0),"")</f>
        <v/>
      </c>
      <c r="AC783" t="str">
        <f>IFERROR(H783&amp;"*"&amp;ROUND(L783*(I783/(G783+I783+K783))/VLOOKUP(H783,商品!$A$4:$D$67,4,FALSE),0),"")</f>
        <v/>
      </c>
      <c r="AD783" t="str">
        <f>IFERROR(J783&amp;"*"&amp;ROUND(L783*(K783/(G783+I783+K783))/VLOOKUP(J783,商品!$A$4:$D$67,4,FALSE),0),"")</f>
        <v/>
      </c>
      <c r="AE783" t="str">
        <f>IFERROR(M783&amp;"*"&amp;ROUND(Q783*(N783/(N783+P783))/VLOOKUP(M783,职业!$A$3:$E$16,4,FALSE),0),"")</f>
        <v/>
      </c>
      <c r="AF783" t="str">
        <f>IFERROR(O783&amp;"*"&amp;ROUND(Q783*(P783/(N783+P783))/VLOOKUP(O783,职业!$A$3:$E$16,4,FALSE),0),"")</f>
        <v/>
      </c>
      <c r="AG783" t="str">
        <f>IFERROR(R783&amp;"*"&amp;ROUND(V783*(S783/(S783+U783))/VLOOKUP(R783,商品!$A$4:$D$67,4,FALSE),0),"")</f>
        <v/>
      </c>
      <c r="AH783" t="str">
        <f>IFERROR(T783&amp;"*"&amp;ROUND(V783*(U783/(S783+U783))/VLOOKUP(T783,商品!$A$4:$D$67,4,FALSE),0),"")</f>
        <v/>
      </c>
    </row>
    <row r="784" customHeight="1" spans="1:34">
      <c r="A784" s="14" t="s">
        <v>428</v>
      </c>
      <c r="C784" s="2">
        <v>4</v>
      </c>
      <c r="D784" s="2" t="s">
        <v>260</v>
      </c>
      <c r="E784" s="2" t="s">
        <v>224</v>
      </c>
      <c r="L784" s="2">
        <f>IFERROR(VLOOKUP($D784&amp;$C784,生产方式定位!$A$2:$E$39,2,FALSE)+VLOOKUP($E784&amp;$C784,生产方式定位!$F$3:$J$39,2,FALSE),0)</f>
        <v>5500</v>
      </c>
      <c r="Q784" s="2">
        <f>IFERROR(VLOOKUP($D784&amp;$C784,生产方式定位!$A$2:$E$39,3,FALSE)+VLOOKUP($E784&amp;$C784,生产方式定位!$F$3:$J$39,3,FALSE),0)</f>
        <v>1800</v>
      </c>
      <c r="V784" s="2">
        <f>IFERROR(VLOOKUP($D784&amp;$C784,生产方式定位!$A$2:$E$39,5,FALSE)+VLOOKUP($E784&amp;$C784,生产方式定位!$F$3:$J$39,5,FALSE),"错误")</f>
        <v>4160</v>
      </c>
      <c r="W784" s="3" t="str">
        <f t="shared" si="60"/>
        <v/>
      </c>
      <c r="X784" s="4" t="str">
        <f t="shared" si="61"/>
        <v/>
      </c>
      <c r="Y784" s="4" t="str">
        <f t="shared" si="62"/>
        <v/>
      </c>
      <c r="Z784" s="5">
        <f t="shared" si="63"/>
        <v>1.32</v>
      </c>
      <c r="AA784" s="6">
        <f t="shared" si="64"/>
        <v>4</v>
      </c>
      <c r="AB784" t="str">
        <f>IFERROR(F784&amp;"*"&amp;ROUND(L784*(G784/(G784+I784+K784))/VLOOKUP(F784,商品!$A$4:$D$67,4,FALSE),0),"")</f>
        <v/>
      </c>
      <c r="AC784" t="str">
        <f>IFERROR(H784&amp;"*"&amp;ROUND(L784*(I784/(G784+I784+K784))/VLOOKUP(H784,商品!$A$4:$D$67,4,FALSE),0),"")</f>
        <v/>
      </c>
      <c r="AD784" t="str">
        <f>IFERROR(J784&amp;"*"&amp;ROUND(L784*(K784/(G784+I784+K784))/VLOOKUP(J784,商品!$A$4:$D$67,4,FALSE),0),"")</f>
        <v/>
      </c>
      <c r="AE784" t="str">
        <f>IFERROR(M784&amp;"*"&amp;ROUND(Q784*(N784/(N784+P784))/VLOOKUP(M784,职业!$A$3:$E$16,4,FALSE),0),"")</f>
        <v/>
      </c>
      <c r="AF784" t="str">
        <f>IFERROR(O784&amp;"*"&amp;ROUND(Q784*(P784/(N784+P784))/VLOOKUP(O784,职业!$A$3:$E$16,4,FALSE),0),"")</f>
        <v/>
      </c>
      <c r="AG784" t="str">
        <f>IFERROR(R784&amp;"*"&amp;ROUND(V784*(S784/(S784+U784))/VLOOKUP(R784,商品!$A$4:$D$67,4,FALSE),0),"")</f>
        <v/>
      </c>
      <c r="AH784" t="str">
        <f>IFERROR(T784&amp;"*"&amp;ROUND(V784*(U784/(S784+U784))/VLOOKUP(T784,商品!$A$4:$D$67,4,FALSE),0),"")</f>
        <v/>
      </c>
    </row>
    <row r="785" customHeight="1" spans="1:34">
      <c r="A785" s="14" t="s">
        <v>428</v>
      </c>
      <c r="C785" s="2">
        <v>5</v>
      </c>
      <c r="D785" s="2" t="s">
        <v>260</v>
      </c>
      <c r="E785" s="2" t="s">
        <v>224</v>
      </c>
      <c r="L785" s="2">
        <f>IFERROR(VLOOKUP($D785&amp;$C785,生产方式定位!$A$2:$E$39,2,FALSE)+VLOOKUP($E785&amp;$C785,生产方式定位!$F$3:$J$39,2,FALSE),0)</f>
        <v>7000</v>
      </c>
      <c r="Q785" s="2">
        <f>IFERROR(VLOOKUP($D785&amp;$C785,生产方式定位!$A$2:$E$39,3,FALSE)+VLOOKUP($E785&amp;$C785,生产方式定位!$F$3:$J$39,3,FALSE),0)</f>
        <v>1400</v>
      </c>
      <c r="V785" s="2">
        <f>IFERROR(VLOOKUP($D785&amp;$C785,生产方式定位!$A$2:$E$39,5,FALSE)+VLOOKUP($E785&amp;$C785,生产方式定位!$F$3:$J$39,5,FALSE),"错误")</f>
        <v>5040</v>
      </c>
      <c r="W785" s="3" t="str">
        <f t="shared" si="60"/>
        <v/>
      </c>
      <c r="X785" s="4" t="str">
        <f t="shared" si="61"/>
        <v/>
      </c>
      <c r="Y785" s="4" t="str">
        <f t="shared" si="62"/>
        <v/>
      </c>
      <c r="Z785" s="5">
        <f t="shared" si="63"/>
        <v>1.39</v>
      </c>
      <c r="AA785" s="6">
        <f t="shared" si="64"/>
        <v>5</v>
      </c>
      <c r="AB785" t="str">
        <f>IFERROR(F785&amp;"*"&amp;ROUND(L785*(G785/(G785+I785+K785))/VLOOKUP(F785,商品!$A$4:$D$67,4,FALSE),0),"")</f>
        <v/>
      </c>
      <c r="AC785" t="str">
        <f>IFERROR(H785&amp;"*"&amp;ROUND(L785*(I785/(G785+I785+K785))/VLOOKUP(H785,商品!$A$4:$D$67,4,FALSE),0),"")</f>
        <v/>
      </c>
      <c r="AD785" t="str">
        <f>IFERROR(J785&amp;"*"&amp;ROUND(L785*(K785/(G785+I785+K785))/VLOOKUP(J785,商品!$A$4:$D$67,4,FALSE),0),"")</f>
        <v/>
      </c>
      <c r="AE785" t="str">
        <f>IFERROR(M785&amp;"*"&amp;ROUND(Q785*(N785/(N785+P785))/VLOOKUP(M785,职业!$A$3:$E$16,4,FALSE),0),"")</f>
        <v/>
      </c>
      <c r="AF785" t="str">
        <f>IFERROR(O785&amp;"*"&amp;ROUND(Q785*(P785/(N785+P785))/VLOOKUP(O785,职业!$A$3:$E$16,4,FALSE),0),"")</f>
        <v/>
      </c>
      <c r="AG785" t="str">
        <f>IFERROR(R785&amp;"*"&amp;ROUND(V785*(S785/(S785+U785))/VLOOKUP(R785,商品!$A$4:$D$67,4,FALSE),0),"")</f>
        <v/>
      </c>
      <c r="AH785" t="str">
        <f>IFERROR(T785&amp;"*"&amp;ROUND(V785*(U785/(S785+U785))/VLOOKUP(T785,商品!$A$4:$D$67,4,FALSE),0),"")</f>
        <v/>
      </c>
    </row>
    <row r="786" customHeight="1" spans="1:34">
      <c r="A786" s="15" t="s">
        <v>429</v>
      </c>
      <c r="C786" s="2">
        <v>1</v>
      </c>
      <c r="D786" s="2" t="s">
        <v>260</v>
      </c>
      <c r="E786" s="2" t="s">
        <v>225</v>
      </c>
      <c r="L786" s="2">
        <f>IFERROR(VLOOKUP($D786&amp;$C786,生产方式定位!$A$2:$E$39,2,FALSE)+VLOOKUP($E786&amp;$C786,生产方式定位!$F$3:$J$39,2,FALSE),0)</f>
        <v>0</v>
      </c>
      <c r="Q786" s="2">
        <f>IFERROR(VLOOKUP($D786&amp;$C786,生产方式定位!$A$2:$E$39,3,FALSE)+VLOOKUP($E786&amp;$C786,生产方式定位!$F$3:$J$39,3,FALSE),0)</f>
        <v>3000</v>
      </c>
      <c r="V786" s="2">
        <f>IFERROR(VLOOKUP($D786&amp;$C786,生产方式定位!$A$2:$E$39,5,FALSE)+VLOOKUP($E786&amp;$C786,生产方式定位!$F$3:$J$39,5,FALSE),"错误")</f>
        <v>1500</v>
      </c>
      <c r="W786" s="3" t="str">
        <f t="shared" si="60"/>
        <v/>
      </c>
      <c r="X786" s="4" t="str">
        <f t="shared" si="61"/>
        <v/>
      </c>
      <c r="Y786" s="4" t="str">
        <f t="shared" si="62"/>
        <v/>
      </c>
      <c r="Z786" s="5">
        <f t="shared" si="63"/>
        <v>0</v>
      </c>
      <c r="AA786" s="6">
        <f t="shared" si="64"/>
        <v>1</v>
      </c>
      <c r="AB786" t="str">
        <f>IFERROR(F786&amp;"*"&amp;ROUND(L786*(G786/(G786+I786+K786))/VLOOKUP(F786,商品!$A$4:$D$67,4,FALSE),0),"")</f>
        <v/>
      </c>
      <c r="AC786" t="str">
        <f>IFERROR(H786&amp;"*"&amp;ROUND(L786*(I786/(G786+I786+K786))/VLOOKUP(H786,商品!$A$4:$D$67,4,FALSE),0),"")</f>
        <v/>
      </c>
      <c r="AD786" t="str">
        <f>IFERROR(J786&amp;"*"&amp;ROUND(L786*(K786/(G786+I786+K786))/VLOOKUP(J786,商品!$A$4:$D$67,4,FALSE),0),"")</f>
        <v/>
      </c>
      <c r="AE786" t="str">
        <f>IFERROR(M786&amp;"*"&amp;ROUND(Q786*(N786/(N786+P786))/VLOOKUP(M786,职业!$A$3:$E$16,4,FALSE),0),"")</f>
        <v/>
      </c>
      <c r="AF786" t="str">
        <f>IFERROR(O786&amp;"*"&amp;ROUND(Q786*(P786/(N786+P786))/VLOOKUP(O786,职业!$A$3:$E$16,4,FALSE),0),"")</f>
        <v/>
      </c>
      <c r="AG786" t="str">
        <f>IFERROR(R786&amp;"*"&amp;ROUND(V786*(S786/(S786+U786))/VLOOKUP(R786,商品!$A$4:$D$67,4,FALSE),0),"")</f>
        <v/>
      </c>
      <c r="AH786" t="str">
        <f>IFERROR(T786&amp;"*"&amp;ROUND(V786*(U786/(S786+U786))/VLOOKUP(T786,商品!$A$4:$D$67,4,FALSE),0),"")</f>
        <v/>
      </c>
    </row>
    <row r="787" customHeight="1" spans="1:34">
      <c r="A787" s="15" t="s">
        <v>429</v>
      </c>
      <c r="C787" s="2">
        <v>2</v>
      </c>
      <c r="D787" s="2" t="s">
        <v>260</v>
      </c>
      <c r="E787" s="2" t="s">
        <v>225</v>
      </c>
      <c r="L787" s="2">
        <f>IFERROR(VLOOKUP($D787&amp;$C787,生产方式定位!$A$2:$E$39,2,FALSE)+VLOOKUP($E787&amp;$C787,生产方式定位!$F$3:$J$39,2,FALSE),0)</f>
        <v>500</v>
      </c>
      <c r="Q787" s="2">
        <f>IFERROR(VLOOKUP($D787&amp;$C787,生产方式定位!$A$2:$E$39,3,FALSE)+VLOOKUP($E787&amp;$C787,生产方式定位!$F$3:$J$39,3,FALSE),0)</f>
        <v>2800</v>
      </c>
      <c r="V787" s="2">
        <f>IFERROR(VLOOKUP($D787&amp;$C787,生产方式定位!$A$2:$E$39,5,FALSE)+VLOOKUP($E787&amp;$C787,生产方式定位!$F$3:$J$39,5,FALSE),"错误")</f>
        <v>1650</v>
      </c>
      <c r="W787" s="3" t="str">
        <f t="shared" si="60"/>
        <v/>
      </c>
      <c r="X787" s="4" t="str">
        <f t="shared" si="61"/>
        <v/>
      </c>
      <c r="Y787" s="4" t="str">
        <f t="shared" si="62"/>
        <v/>
      </c>
      <c r="Z787" s="5">
        <f t="shared" si="63"/>
        <v>0.3</v>
      </c>
      <c r="AA787" s="6">
        <f t="shared" si="64"/>
        <v>2</v>
      </c>
      <c r="AB787" t="str">
        <f>IFERROR(F787&amp;"*"&amp;ROUND(L787*(G787/(G787+I787+K787))/VLOOKUP(F787,商品!$A$4:$D$67,4,FALSE),0),"")</f>
        <v/>
      </c>
      <c r="AC787" t="str">
        <f>IFERROR(H787&amp;"*"&amp;ROUND(L787*(I787/(G787+I787+K787))/VLOOKUP(H787,商品!$A$4:$D$67,4,FALSE),0),"")</f>
        <v/>
      </c>
      <c r="AD787" t="str">
        <f>IFERROR(J787&amp;"*"&amp;ROUND(L787*(K787/(G787+I787+K787))/VLOOKUP(J787,商品!$A$4:$D$67,4,FALSE),0),"")</f>
        <v/>
      </c>
      <c r="AE787" t="str">
        <f>IFERROR(M787&amp;"*"&amp;ROUND(Q787*(N787/(N787+P787))/VLOOKUP(M787,职业!$A$3:$E$16,4,FALSE),0),"")</f>
        <v/>
      </c>
      <c r="AF787" t="str">
        <f>IFERROR(O787&amp;"*"&amp;ROUND(Q787*(P787/(N787+P787))/VLOOKUP(O787,职业!$A$3:$E$16,4,FALSE),0),"")</f>
        <v/>
      </c>
      <c r="AG787" t="str">
        <f>IFERROR(R787&amp;"*"&amp;ROUND(V787*(S787/(S787+U787))/VLOOKUP(R787,商品!$A$4:$D$67,4,FALSE),0),"")</f>
        <v/>
      </c>
      <c r="AH787" t="str">
        <f>IFERROR(T787&amp;"*"&amp;ROUND(V787*(U787/(S787+U787))/VLOOKUP(T787,商品!$A$4:$D$67,4,FALSE),0),"")</f>
        <v/>
      </c>
    </row>
    <row r="788" customHeight="1" spans="1:34">
      <c r="A788" s="15" t="s">
        <v>429</v>
      </c>
      <c r="C788" s="2">
        <v>3</v>
      </c>
      <c r="D788" s="2" t="s">
        <v>260</v>
      </c>
      <c r="E788" s="2" t="s">
        <v>225</v>
      </c>
      <c r="L788" s="2">
        <f>IFERROR(VLOOKUP($D788&amp;$C788,生产方式定位!$A$2:$E$39,2,FALSE)+VLOOKUP($E788&amp;$C788,生产方式定位!$F$3:$J$39,2,FALSE),0)</f>
        <v>1000</v>
      </c>
      <c r="Q788" s="2">
        <f>IFERROR(VLOOKUP($D788&amp;$C788,生产方式定位!$A$2:$E$39,3,FALSE)+VLOOKUP($E788&amp;$C788,生产方式定位!$F$3:$J$39,3,FALSE),0)</f>
        <v>2600</v>
      </c>
      <c r="V788" s="2">
        <f>IFERROR(VLOOKUP($D788&amp;$C788,生产方式定位!$A$2:$E$39,5,FALSE)+VLOOKUP($E788&amp;$C788,生产方式定位!$F$3:$J$39,5,FALSE),"错误")</f>
        <v>1800</v>
      </c>
      <c r="W788" s="3" t="str">
        <f t="shared" si="60"/>
        <v/>
      </c>
      <c r="X788" s="4" t="str">
        <f t="shared" si="61"/>
        <v/>
      </c>
      <c r="Y788" s="4" t="str">
        <f t="shared" si="62"/>
        <v/>
      </c>
      <c r="Z788" s="5">
        <f t="shared" si="63"/>
        <v>0.56</v>
      </c>
      <c r="AA788" s="6">
        <f t="shared" si="64"/>
        <v>3</v>
      </c>
      <c r="AB788" t="str">
        <f>IFERROR(F788&amp;"*"&amp;ROUND(L788*(G788/(G788+I788+K788))/VLOOKUP(F788,商品!$A$4:$D$67,4,FALSE),0),"")</f>
        <v/>
      </c>
      <c r="AC788" t="str">
        <f>IFERROR(H788&amp;"*"&amp;ROUND(L788*(I788/(G788+I788+K788))/VLOOKUP(H788,商品!$A$4:$D$67,4,FALSE),0),"")</f>
        <v/>
      </c>
      <c r="AD788" t="str">
        <f>IFERROR(J788&amp;"*"&amp;ROUND(L788*(K788/(G788+I788+K788))/VLOOKUP(J788,商品!$A$4:$D$67,4,FALSE),0),"")</f>
        <v/>
      </c>
      <c r="AE788" t="str">
        <f>IFERROR(M788&amp;"*"&amp;ROUND(Q788*(N788/(N788+P788))/VLOOKUP(M788,职业!$A$3:$E$16,4,FALSE),0),"")</f>
        <v/>
      </c>
      <c r="AF788" t="str">
        <f>IFERROR(O788&amp;"*"&amp;ROUND(Q788*(P788/(N788+P788))/VLOOKUP(O788,职业!$A$3:$E$16,4,FALSE),0),"")</f>
        <v/>
      </c>
      <c r="AG788" t="str">
        <f>IFERROR(R788&amp;"*"&amp;ROUND(V788*(S788/(S788+U788))/VLOOKUP(R788,商品!$A$4:$D$67,4,FALSE),0),"")</f>
        <v/>
      </c>
      <c r="AH788" t="str">
        <f>IFERROR(T788&amp;"*"&amp;ROUND(V788*(U788/(S788+U788))/VLOOKUP(T788,商品!$A$4:$D$67,4,FALSE),0),"")</f>
        <v/>
      </c>
    </row>
    <row r="789" customHeight="1" spans="1:34">
      <c r="A789" s="15" t="s">
        <v>429</v>
      </c>
      <c r="C789" s="2">
        <v>4</v>
      </c>
      <c r="D789" s="2" t="s">
        <v>260</v>
      </c>
      <c r="E789" s="2" t="s">
        <v>225</v>
      </c>
      <c r="L789" s="2">
        <f>IFERROR(VLOOKUP($D789&amp;$C789,生产方式定位!$A$2:$E$39,2,FALSE)+VLOOKUP($E789&amp;$C789,生产方式定位!$F$3:$J$39,2,FALSE),0)</f>
        <v>1500</v>
      </c>
      <c r="Q789" s="2">
        <f>IFERROR(VLOOKUP($D789&amp;$C789,生产方式定位!$A$2:$E$39,3,FALSE)+VLOOKUP($E789&amp;$C789,生产方式定位!$F$3:$J$39,3,FALSE),0)</f>
        <v>2400</v>
      </c>
      <c r="V789" s="2">
        <f>IFERROR(VLOOKUP($D789&amp;$C789,生产方式定位!$A$2:$E$39,5,FALSE)+VLOOKUP($E789&amp;$C789,生产方式定位!$F$3:$J$39,5,FALSE),"错误")</f>
        <v>1950</v>
      </c>
      <c r="W789" s="3" t="str">
        <f t="shared" si="60"/>
        <v/>
      </c>
      <c r="X789" s="4" t="str">
        <f t="shared" si="61"/>
        <v/>
      </c>
      <c r="Y789" s="4" t="str">
        <f t="shared" si="62"/>
        <v/>
      </c>
      <c r="Z789" s="5">
        <f t="shared" si="63"/>
        <v>0.77</v>
      </c>
      <c r="AA789" s="6">
        <f t="shared" si="64"/>
        <v>4</v>
      </c>
      <c r="AB789" t="str">
        <f>IFERROR(F789&amp;"*"&amp;ROUND(L789*(G789/(G789+I789+K789))/VLOOKUP(F789,商品!$A$4:$D$67,4,FALSE),0),"")</f>
        <v/>
      </c>
      <c r="AC789" t="str">
        <f>IFERROR(H789&amp;"*"&amp;ROUND(L789*(I789/(G789+I789+K789))/VLOOKUP(H789,商品!$A$4:$D$67,4,FALSE),0),"")</f>
        <v/>
      </c>
      <c r="AD789" t="str">
        <f>IFERROR(J789&amp;"*"&amp;ROUND(L789*(K789/(G789+I789+K789))/VLOOKUP(J789,商品!$A$4:$D$67,4,FALSE),0),"")</f>
        <v/>
      </c>
      <c r="AE789" t="str">
        <f>IFERROR(M789&amp;"*"&amp;ROUND(Q789*(N789/(N789+P789))/VLOOKUP(M789,职业!$A$3:$E$16,4,FALSE),0),"")</f>
        <v/>
      </c>
      <c r="AF789" t="str">
        <f>IFERROR(O789&amp;"*"&amp;ROUND(Q789*(P789/(N789+P789))/VLOOKUP(O789,职业!$A$3:$E$16,4,FALSE),0),"")</f>
        <v/>
      </c>
      <c r="AG789" t="str">
        <f>IFERROR(R789&amp;"*"&amp;ROUND(V789*(S789/(S789+U789))/VLOOKUP(R789,商品!$A$4:$D$67,4,FALSE),0),"")</f>
        <v/>
      </c>
      <c r="AH789" t="str">
        <f>IFERROR(T789&amp;"*"&amp;ROUND(V789*(U789/(S789+U789))/VLOOKUP(T789,商品!$A$4:$D$67,4,FALSE),0),"")</f>
        <v/>
      </c>
    </row>
    <row r="790" customHeight="1" spans="1:34">
      <c r="A790" s="15" t="s">
        <v>429</v>
      </c>
      <c r="C790" s="2">
        <v>5</v>
      </c>
      <c r="D790" s="2" t="s">
        <v>260</v>
      </c>
      <c r="E790" s="2" t="s">
        <v>225</v>
      </c>
      <c r="L790" s="2">
        <f>IFERROR(VLOOKUP($D790&amp;$C790,生产方式定位!$A$2:$E$39,2,FALSE)+VLOOKUP($E790&amp;$C790,生产方式定位!$F$3:$J$39,2,FALSE),0)</f>
        <v>2000</v>
      </c>
      <c r="Q790" s="2">
        <f>IFERROR(VLOOKUP($D790&amp;$C790,生产方式定位!$A$2:$E$39,3,FALSE)+VLOOKUP($E790&amp;$C790,生产方式定位!$F$3:$J$39,3,FALSE),0)</f>
        <v>2200</v>
      </c>
      <c r="V790" s="2">
        <f>IFERROR(VLOOKUP($D790&amp;$C790,生产方式定位!$A$2:$E$39,5,FALSE)+VLOOKUP($E790&amp;$C790,生产方式定位!$F$3:$J$39,5,FALSE),"错误")</f>
        <v>2100</v>
      </c>
      <c r="W790" s="3" t="str">
        <f t="shared" si="60"/>
        <v/>
      </c>
      <c r="X790" s="4" t="str">
        <f t="shared" si="61"/>
        <v/>
      </c>
      <c r="Y790" s="4" t="str">
        <f t="shared" si="62"/>
        <v/>
      </c>
      <c r="Z790" s="5">
        <f t="shared" si="63"/>
        <v>0.95</v>
      </c>
      <c r="AA790" s="6">
        <f t="shared" si="64"/>
        <v>5</v>
      </c>
      <c r="AB790" t="str">
        <f>IFERROR(F790&amp;"*"&amp;ROUND(L790*(G790/(G790+I790+K790))/VLOOKUP(F790,商品!$A$4:$D$67,4,FALSE),0),"")</f>
        <v/>
      </c>
      <c r="AC790" t="str">
        <f>IFERROR(H790&amp;"*"&amp;ROUND(L790*(I790/(G790+I790+K790))/VLOOKUP(H790,商品!$A$4:$D$67,4,FALSE),0),"")</f>
        <v/>
      </c>
      <c r="AD790" t="str">
        <f>IFERROR(J790&amp;"*"&amp;ROUND(L790*(K790/(G790+I790+K790))/VLOOKUP(J790,商品!$A$4:$D$67,4,FALSE),0),"")</f>
        <v/>
      </c>
      <c r="AE790" t="str">
        <f>IFERROR(M790&amp;"*"&amp;ROUND(Q790*(N790/(N790+P790))/VLOOKUP(M790,职业!$A$3:$E$16,4,FALSE),0),"")</f>
        <v/>
      </c>
      <c r="AF790" t="str">
        <f>IFERROR(O790&amp;"*"&amp;ROUND(Q790*(P790/(N790+P790))/VLOOKUP(O790,职业!$A$3:$E$16,4,FALSE),0),"")</f>
        <v/>
      </c>
      <c r="AG790" t="str">
        <f>IFERROR(R790&amp;"*"&amp;ROUND(V790*(S790/(S790+U790))/VLOOKUP(R790,商品!$A$4:$D$67,4,FALSE),0),"")</f>
        <v/>
      </c>
      <c r="AH790" t="str">
        <f>IFERROR(T790&amp;"*"&amp;ROUND(V790*(U790/(S790+U790))/VLOOKUP(T790,商品!$A$4:$D$67,4,FALSE),0),"")</f>
        <v/>
      </c>
    </row>
    <row r="791" customHeight="1" spans="1:34">
      <c r="A791" s="15" t="s">
        <v>429</v>
      </c>
      <c r="C791" s="2">
        <v>1</v>
      </c>
      <c r="D791" s="2" t="s">
        <v>260</v>
      </c>
      <c r="E791" s="2" t="s">
        <v>225</v>
      </c>
      <c r="L791" s="2">
        <f>IFERROR(VLOOKUP($D791&amp;$C791,生产方式定位!$A$2:$E$39,2,FALSE)+VLOOKUP($E791&amp;$C791,生产方式定位!$F$3:$J$39,2,FALSE),0)</f>
        <v>0</v>
      </c>
      <c r="Q791" s="2">
        <f>IFERROR(VLOOKUP($D791&amp;$C791,生产方式定位!$A$2:$E$39,3,FALSE)+VLOOKUP($E791&amp;$C791,生产方式定位!$F$3:$J$39,3,FALSE),0)</f>
        <v>3000</v>
      </c>
      <c r="V791" s="2">
        <f>IFERROR(VLOOKUP($D791&amp;$C791,生产方式定位!$A$2:$E$39,5,FALSE)+VLOOKUP($E791&amp;$C791,生产方式定位!$F$3:$J$39,5,FALSE),"错误")</f>
        <v>1500</v>
      </c>
      <c r="W791" s="3" t="str">
        <f t="shared" si="60"/>
        <v/>
      </c>
      <c r="X791" s="4" t="str">
        <f t="shared" si="61"/>
        <v/>
      </c>
      <c r="Y791" s="4" t="str">
        <f t="shared" si="62"/>
        <v/>
      </c>
      <c r="Z791" s="5">
        <f t="shared" si="63"/>
        <v>0</v>
      </c>
      <c r="AA791" s="6">
        <f t="shared" si="64"/>
        <v>1</v>
      </c>
      <c r="AB791" t="str">
        <f>IFERROR(F791&amp;"*"&amp;ROUND(L791*(G791/(G791+I791+K791))/VLOOKUP(F791,商品!$A$4:$D$67,4,FALSE),0),"")</f>
        <v/>
      </c>
      <c r="AC791" t="str">
        <f>IFERROR(H791&amp;"*"&amp;ROUND(L791*(I791/(G791+I791+K791))/VLOOKUP(H791,商品!$A$4:$D$67,4,FALSE),0),"")</f>
        <v/>
      </c>
      <c r="AD791" t="str">
        <f>IFERROR(J791&amp;"*"&amp;ROUND(L791*(K791/(G791+I791+K791))/VLOOKUP(J791,商品!$A$4:$D$67,4,FALSE),0),"")</f>
        <v/>
      </c>
      <c r="AE791" t="str">
        <f>IFERROR(M791&amp;"*"&amp;ROUND(Q791*(N791/(N791+P791))/VLOOKUP(M791,职业!$A$3:$E$16,4,FALSE),0),"")</f>
        <v/>
      </c>
      <c r="AF791" t="str">
        <f>IFERROR(O791&amp;"*"&amp;ROUND(Q791*(P791/(N791+P791))/VLOOKUP(O791,职业!$A$3:$E$16,4,FALSE),0),"")</f>
        <v/>
      </c>
      <c r="AG791" t="str">
        <f>IFERROR(R791&amp;"*"&amp;ROUND(V791*(S791/(S791+U791))/VLOOKUP(R791,商品!$A$4:$D$67,4,FALSE),0),"")</f>
        <v/>
      </c>
      <c r="AH791" t="str">
        <f>IFERROR(T791&amp;"*"&amp;ROUND(V791*(U791/(S791+U791))/VLOOKUP(T791,商品!$A$4:$D$67,4,FALSE),0),"")</f>
        <v/>
      </c>
    </row>
    <row r="792" customHeight="1" spans="1:34">
      <c r="A792" s="15" t="s">
        <v>429</v>
      </c>
      <c r="C792" s="2">
        <v>2</v>
      </c>
      <c r="D792" s="2" t="s">
        <v>260</v>
      </c>
      <c r="E792" s="2" t="s">
        <v>225</v>
      </c>
      <c r="L792" s="2">
        <f>IFERROR(VLOOKUP($D792&amp;$C792,生产方式定位!$A$2:$E$39,2,FALSE)+VLOOKUP($E792&amp;$C792,生产方式定位!$F$3:$J$39,2,FALSE),0)</f>
        <v>500</v>
      </c>
      <c r="Q792" s="2">
        <f>IFERROR(VLOOKUP($D792&amp;$C792,生产方式定位!$A$2:$E$39,3,FALSE)+VLOOKUP($E792&amp;$C792,生产方式定位!$F$3:$J$39,3,FALSE),0)</f>
        <v>2800</v>
      </c>
      <c r="V792" s="2">
        <f>IFERROR(VLOOKUP($D792&amp;$C792,生产方式定位!$A$2:$E$39,5,FALSE)+VLOOKUP($E792&amp;$C792,生产方式定位!$F$3:$J$39,5,FALSE),"错误")</f>
        <v>1650</v>
      </c>
      <c r="W792" s="3" t="str">
        <f t="shared" si="60"/>
        <v/>
      </c>
      <c r="X792" s="4" t="str">
        <f t="shared" si="61"/>
        <v/>
      </c>
      <c r="Y792" s="4" t="str">
        <f t="shared" si="62"/>
        <v/>
      </c>
      <c r="Z792" s="5">
        <f t="shared" si="63"/>
        <v>0.3</v>
      </c>
      <c r="AA792" s="6">
        <f t="shared" si="64"/>
        <v>2</v>
      </c>
      <c r="AB792" t="str">
        <f>IFERROR(F792&amp;"*"&amp;ROUND(L792*(G792/(G792+I792+K792))/VLOOKUP(F792,商品!$A$4:$D$67,4,FALSE),0),"")</f>
        <v/>
      </c>
      <c r="AC792" t="str">
        <f>IFERROR(H792&amp;"*"&amp;ROUND(L792*(I792/(G792+I792+K792))/VLOOKUP(H792,商品!$A$4:$D$67,4,FALSE),0),"")</f>
        <v/>
      </c>
      <c r="AD792" t="str">
        <f>IFERROR(J792&amp;"*"&amp;ROUND(L792*(K792/(G792+I792+K792))/VLOOKUP(J792,商品!$A$4:$D$67,4,FALSE),0),"")</f>
        <v/>
      </c>
      <c r="AE792" t="str">
        <f>IFERROR(M792&amp;"*"&amp;ROUND(Q792*(N792/(N792+P792))/VLOOKUP(M792,职业!$A$3:$E$16,4,FALSE),0),"")</f>
        <v/>
      </c>
      <c r="AF792" t="str">
        <f>IFERROR(O792&amp;"*"&amp;ROUND(Q792*(P792/(N792+P792))/VLOOKUP(O792,职业!$A$3:$E$16,4,FALSE),0),"")</f>
        <v/>
      </c>
      <c r="AG792" t="str">
        <f>IFERROR(R792&amp;"*"&amp;ROUND(V792*(S792/(S792+U792))/VLOOKUP(R792,商品!$A$4:$D$67,4,FALSE),0),"")</f>
        <v/>
      </c>
      <c r="AH792" t="str">
        <f>IFERROR(T792&amp;"*"&amp;ROUND(V792*(U792/(S792+U792))/VLOOKUP(T792,商品!$A$4:$D$67,4,FALSE),0),"")</f>
        <v/>
      </c>
    </row>
    <row r="793" customHeight="1" spans="1:34">
      <c r="A793" s="15" t="s">
        <v>429</v>
      </c>
      <c r="C793" s="2">
        <v>3</v>
      </c>
      <c r="D793" s="2" t="s">
        <v>260</v>
      </c>
      <c r="E793" s="2" t="s">
        <v>225</v>
      </c>
      <c r="L793" s="2">
        <f>IFERROR(VLOOKUP($D793&amp;$C793,生产方式定位!$A$2:$E$39,2,FALSE)+VLOOKUP($E793&amp;$C793,生产方式定位!$F$3:$J$39,2,FALSE),0)</f>
        <v>1000</v>
      </c>
      <c r="Q793" s="2">
        <f>IFERROR(VLOOKUP($D793&amp;$C793,生产方式定位!$A$2:$E$39,3,FALSE)+VLOOKUP($E793&amp;$C793,生产方式定位!$F$3:$J$39,3,FALSE),0)</f>
        <v>2600</v>
      </c>
      <c r="V793" s="2">
        <f>IFERROR(VLOOKUP($D793&amp;$C793,生产方式定位!$A$2:$E$39,5,FALSE)+VLOOKUP($E793&amp;$C793,生产方式定位!$F$3:$J$39,5,FALSE),"错误")</f>
        <v>1800</v>
      </c>
      <c r="W793" s="3" t="str">
        <f t="shared" si="60"/>
        <v/>
      </c>
      <c r="X793" s="4" t="str">
        <f t="shared" si="61"/>
        <v/>
      </c>
      <c r="Y793" s="4" t="str">
        <f t="shared" si="62"/>
        <v/>
      </c>
      <c r="Z793" s="5">
        <f t="shared" si="63"/>
        <v>0.56</v>
      </c>
      <c r="AA793" s="6">
        <f t="shared" si="64"/>
        <v>3</v>
      </c>
      <c r="AB793" t="str">
        <f>IFERROR(F793&amp;"*"&amp;ROUND(L793*(G793/(G793+I793+K793))/VLOOKUP(F793,商品!$A$4:$D$67,4,FALSE),0),"")</f>
        <v/>
      </c>
      <c r="AC793" t="str">
        <f>IFERROR(H793&amp;"*"&amp;ROUND(L793*(I793/(G793+I793+K793))/VLOOKUP(H793,商品!$A$4:$D$67,4,FALSE),0),"")</f>
        <v/>
      </c>
      <c r="AD793" t="str">
        <f>IFERROR(J793&amp;"*"&amp;ROUND(L793*(K793/(G793+I793+K793))/VLOOKUP(J793,商品!$A$4:$D$67,4,FALSE),0),"")</f>
        <v/>
      </c>
      <c r="AE793" t="str">
        <f>IFERROR(M793&amp;"*"&amp;ROUND(Q793*(N793/(N793+P793))/VLOOKUP(M793,职业!$A$3:$E$16,4,FALSE),0),"")</f>
        <v/>
      </c>
      <c r="AF793" t="str">
        <f>IFERROR(O793&amp;"*"&amp;ROUND(Q793*(P793/(N793+P793))/VLOOKUP(O793,职业!$A$3:$E$16,4,FALSE),0),"")</f>
        <v/>
      </c>
      <c r="AG793" t="str">
        <f>IFERROR(R793&amp;"*"&amp;ROUND(V793*(S793/(S793+U793))/VLOOKUP(R793,商品!$A$4:$D$67,4,FALSE),0),"")</f>
        <v/>
      </c>
      <c r="AH793" t="str">
        <f>IFERROR(T793&amp;"*"&amp;ROUND(V793*(U793/(S793+U793))/VLOOKUP(T793,商品!$A$4:$D$67,4,FALSE),0),"")</f>
        <v/>
      </c>
    </row>
    <row r="794" customHeight="1" spans="1:34">
      <c r="A794" s="14" t="s">
        <v>431</v>
      </c>
      <c r="C794" s="2">
        <v>4</v>
      </c>
      <c r="D794" s="2" t="s">
        <v>220</v>
      </c>
      <c r="E794" s="2" t="s">
        <v>222</v>
      </c>
      <c r="L794" s="2">
        <f>IFERROR(VLOOKUP($D794&amp;$C794,生产方式定位!$A$2:$E$39,2,FALSE)+VLOOKUP($E794&amp;$C794,生产方式定位!$F$3:$J$39,2,FALSE),0)</f>
        <v>6500</v>
      </c>
      <c r="Q794" s="2">
        <f>IFERROR(VLOOKUP($D794&amp;$C794,生产方式定位!$A$2:$E$39,3,FALSE)+VLOOKUP($E794&amp;$C794,生产方式定位!$F$3:$J$39,3,FALSE),0)</f>
        <v>3200</v>
      </c>
      <c r="V794" s="2">
        <f>IFERROR(VLOOKUP($D794&amp;$C794,生产方式定位!$A$2:$E$39,5,FALSE)+VLOOKUP($E794&amp;$C794,生产方式定位!$F$3:$J$39,5,FALSE),"错误")</f>
        <v>5498</v>
      </c>
      <c r="W794" s="3" t="str">
        <f t="shared" si="60"/>
        <v/>
      </c>
      <c r="X794" s="4" t="str">
        <f t="shared" si="61"/>
        <v/>
      </c>
      <c r="Y794" s="4" t="str">
        <f t="shared" si="62"/>
        <v/>
      </c>
      <c r="Z794" s="5">
        <f t="shared" si="63"/>
        <v>1.18</v>
      </c>
      <c r="AA794" s="6">
        <f t="shared" si="64"/>
        <v>4</v>
      </c>
      <c r="AB794" t="str">
        <f>IFERROR(F794&amp;"*"&amp;ROUND(L794*(G794/(G794+I794+K794))/VLOOKUP(F794,商品!$A$4:$D$67,4,FALSE),0),"")</f>
        <v/>
      </c>
      <c r="AC794" t="str">
        <f>IFERROR(H794&amp;"*"&amp;ROUND(L794*(I794/(G794+I794+K794))/VLOOKUP(H794,商品!$A$4:$D$67,4,FALSE),0),"")</f>
        <v/>
      </c>
      <c r="AD794" t="str">
        <f>IFERROR(J794&amp;"*"&amp;ROUND(L794*(K794/(G794+I794+K794))/VLOOKUP(J794,商品!$A$4:$D$67,4,FALSE),0),"")</f>
        <v/>
      </c>
      <c r="AE794" t="str">
        <f>IFERROR(M794&amp;"*"&amp;ROUND(Q794*(N794/(N794+P794))/VLOOKUP(M794,职业!$A$3:$E$16,4,FALSE),0),"")</f>
        <v/>
      </c>
      <c r="AF794" t="str">
        <f>IFERROR(O794&amp;"*"&amp;ROUND(Q794*(P794/(N794+P794))/VLOOKUP(O794,职业!$A$3:$E$16,4,FALSE),0),"")</f>
        <v/>
      </c>
      <c r="AG794" t="str">
        <f>IFERROR(R794&amp;"*"&amp;ROUND(V794*(S794/(S794+U794))/VLOOKUP(R794,商品!$A$4:$D$67,4,FALSE),0),"")</f>
        <v/>
      </c>
      <c r="AH794" t="str">
        <f>IFERROR(T794&amp;"*"&amp;ROUND(V794*(U794/(S794+U794))/VLOOKUP(T794,商品!$A$4:$D$67,4,FALSE),0),"")</f>
        <v/>
      </c>
    </row>
    <row r="795" customHeight="1" spans="1:34">
      <c r="A795" s="14" t="s">
        <v>431</v>
      </c>
      <c r="C795" s="2">
        <v>5</v>
      </c>
      <c r="D795" s="2" t="s">
        <v>220</v>
      </c>
      <c r="E795" s="2" t="s">
        <v>222</v>
      </c>
      <c r="L795" s="2">
        <f>IFERROR(VLOOKUP($D795&amp;$C795,生产方式定位!$A$2:$E$39,2,FALSE)+VLOOKUP($E795&amp;$C795,生产方式定位!$F$3:$J$39,2,FALSE),0)</f>
        <v>8000</v>
      </c>
      <c r="Q795" s="2">
        <f>IFERROR(VLOOKUP($D795&amp;$C795,生产方式定位!$A$2:$E$39,3,FALSE)+VLOOKUP($E795&amp;$C795,生产方式定位!$F$3:$J$39,3,FALSE),0)</f>
        <v>3600</v>
      </c>
      <c r="V795" s="2">
        <f>IFERROR(VLOOKUP($D795&amp;$C795,生产方式定位!$A$2:$E$39,5,FALSE)+VLOOKUP($E795&amp;$C795,生产方式定位!$F$3:$J$39,5,FALSE),"错误")</f>
        <v>7000</v>
      </c>
      <c r="W795" s="3" t="str">
        <f t="shared" si="60"/>
        <v/>
      </c>
      <c r="X795" s="4" t="str">
        <f t="shared" si="61"/>
        <v/>
      </c>
      <c r="Y795" s="4" t="str">
        <f t="shared" si="62"/>
        <v/>
      </c>
      <c r="Z795" s="5">
        <f t="shared" si="63"/>
        <v>1.14</v>
      </c>
      <c r="AA795" s="6">
        <f t="shared" si="64"/>
        <v>5</v>
      </c>
      <c r="AB795" t="str">
        <f>IFERROR(F795&amp;"*"&amp;ROUND(L795*(G795/(G795+I795+K795))/VLOOKUP(F795,商品!$A$4:$D$67,4,FALSE),0),"")</f>
        <v/>
      </c>
      <c r="AC795" t="str">
        <f>IFERROR(H795&amp;"*"&amp;ROUND(L795*(I795/(G795+I795+K795))/VLOOKUP(H795,商品!$A$4:$D$67,4,FALSE),0),"")</f>
        <v/>
      </c>
      <c r="AD795" t="str">
        <f>IFERROR(J795&amp;"*"&amp;ROUND(L795*(K795/(G795+I795+K795))/VLOOKUP(J795,商品!$A$4:$D$67,4,FALSE),0),"")</f>
        <v/>
      </c>
      <c r="AE795" t="str">
        <f>IFERROR(M795&amp;"*"&amp;ROUND(Q795*(N795/(N795+P795))/VLOOKUP(M795,职业!$A$3:$E$16,4,FALSE),0),"")</f>
        <v/>
      </c>
      <c r="AF795" t="str">
        <f>IFERROR(O795&amp;"*"&amp;ROUND(Q795*(P795/(N795+P795))/VLOOKUP(O795,职业!$A$3:$E$16,4,FALSE),0),"")</f>
        <v/>
      </c>
      <c r="AG795" t="str">
        <f>IFERROR(R795&amp;"*"&amp;ROUND(V795*(S795/(S795+U795))/VLOOKUP(R795,商品!$A$4:$D$67,4,FALSE),0),"")</f>
        <v/>
      </c>
      <c r="AH795" t="str">
        <f>IFERROR(T795&amp;"*"&amp;ROUND(V795*(U795/(S795+U795))/VLOOKUP(T795,商品!$A$4:$D$67,4,FALSE),0),"")</f>
        <v/>
      </c>
    </row>
    <row r="796" customHeight="1" spans="1:34">
      <c r="A796" s="14" t="s">
        <v>431</v>
      </c>
      <c r="C796" s="2">
        <v>1</v>
      </c>
      <c r="D796" s="2" t="s">
        <v>220</v>
      </c>
      <c r="E796" s="2" t="s">
        <v>222</v>
      </c>
      <c r="L796" s="2">
        <f>IFERROR(VLOOKUP($D796&amp;$C796,生产方式定位!$A$2:$E$39,2,FALSE)+VLOOKUP($E796&amp;$C796,生产方式定位!$F$3:$J$39,2,FALSE),0)</f>
        <v>2000</v>
      </c>
      <c r="Q796" s="2">
        <f>IFERROR(VLOOKUP($D796&amp;$C796,生产方式定位!$A$2:$E$39,3,FALSE)+VLOOKUP($E796&amp;$C796,生产方式定位!$F$3:$J$39,3,FALSE),0)</f>
        <v>2000</v>
      </c>
      <c r="V796" s="2">
        <f>IFERROR(VLOOKUP($D796&amp;$C796,生产方式定位!$A$2:$E$39,5,FALSE)+VLOOKUP($E796&amp;$C796,生产方式定位!$F$3:$J$39,5,FALSE),"错误")</f>
        <v>2000</v>
      </c>
      <c r="W796" s="3" t="str">
        <f t="shared" si="60"/>
        <v/>
      </c>
      <c r="X796" s="4" t="str">
        <f t="shared" si="61"/>
        <v/>
      </c>
      <c r="Y796" s="4" t="str">
        <f t="shared" si="62"/>
        <v/>
      </c>
      <c r="Z796" s="5">
        <f t="shared" si="63"/>
        <v>1</v>
      </c>
      <c r="AA796" s="6">
        <f t="shared" si="64"/>
        <v>1</v>
      </c>
      <c r="AB796" t="str">
        <f>IFERROR(F796&amp;"*"&amp;ROUND(L796*(G796/(G796+I796+K796))/VLOOKUP(F796,商品!$A$4:$D$67,4,FALSE),0),"")</f>
        <v/>
      </c>
      <c r="AC796" t="str">
        <f>IFERROR(H796&amp;"*"&amp;ROUND(L796*(I796/(G796+I796+K796))/VLOOKUP(H796,商品!$A$4:$D$67,4,FALSE),0),"")</f>
        <v/>
      </c>
      <c r="AD796" t="str">
        <f>IFERROR(J796&amp;"*"&amp;ROUND(L796*(K796/(G796+I796+K796))/VLOOKUP(J796,商品!$A$4:$D$67,4,FALSE),0),"")</f>
        <v/>
      </c>
      <c r="AE796" t="str">
        <f>IFERROR(M796&amp;"*"&amp;ROUND(Q796*(N796/(N796+P796))/VLOOKUP(M796,职业!$A$3:$E$16,4,FALSE),0),"")</f>
        <v/>
      </c>
      <c r="AF796" t="str">
        <f>IFERROR(O796&amp;"*"&amp;ROUND(Q796*(P796/(N796+P796))/VLOOKUP(O796,职业!$A$3:$E$16,4,FALSE),0),"")</f>
        <v/>
      </c>
      <c r="AG796" t="str">
        <f>IFERROR(R796&amp;"*"&amp;ROUND(V796*(S796/(S796+U796))/VLOOKUP(R796,商品!$A$4:$D$67,4,FALSE),0),"")</f>
        <v/>
      </c>
      <c r="AH796" t="str">
        <f>IFERROR(T796&amp;"*"&amp;ROUND(V796*(U796/(S796+U796))/VLOOKUP(T796,商品!$A$4:$D$67,4,FALSE),0),"")</f>
        <v/>
      </c>
    </row>
    <row r="797" customHeight="1" spans="1:34">
      <c r="A797" s="14" t="s">
        <v>431</v>
      </c>
      <c r="C797" s="2">
        <v>2</v>
      </c>
      <c r="D797" s="2" t="s">
        <v>220</v>
      </c>
      <c r="E797" s="2" t="s">
        <v>222</v>
      </c>
      <c r="L797" s="2">
        <f>IFERROR(VLOOKUP($D797&amp;$C797,生产方式定位!$A$2:$E$39,2,FALSE)+VLOOKUP($E797&amp;$C797,生产方式定位!$F$3:$J$39,2,FALSE),0)</f>
        <v>3500</v>
      </c>
      <c r="Q797" s="2">
        <f>IFERROR(VLOOKUP($D797&amp;$C797,生产方式定位!$A$2:$E$39,3,FALSE)+VLOOKUP($E797&amp;$C797,生产方式定位!$F$3:$J$39,3,FALSE),0)</f>
        <v>2400</v>
      </c>
      <c r="V797" s="2">
        <f>IFERROR(VLOOKUP($D797&amp;$C797,生产方式定位!$A$2:$E$39,5,FALSE)+VLOOKUP($E797&amp;$C797,生产方式定位!$F$3:$J$39,5,FALSE),"错误")</f>
        <v>3022</v>
      </c>
      <c r="W797" s="3" t="str">
        <f t="shared" si="60"/>
        <v/>
      </c>
      <c r="X797" s="4" t="str">
        <f t="shared" si="61"/>
        <v/>
      </c>
      <c r="Y797" s="4" t="str">
        <f t="shared" si="62"/>
        <v/>
      </c>
      <c r="Z797" s="5">
        <f t="shared" si="63"/>
        <v>1.16</v>
      </c>
      <c r="AA797" s="6">
        <f t="shared" si="64"/>
        <v>2</v>
      </c>
      <c r="AB797" t="str">
        <f>IFERROR(F797&amp;"*"&amp;ROUND(L797*(G797/(G797+I797+K797))/VLOOKUP(F797,商品!$A$4:$D$67,4,FALSE),0),"")</f>
        <v/>
      </c>
      <c r="AC797" t="str">
        <f>IFERROR(H797&amp;"*"&amp;ROUND(L797*(I797/(G797+I797+K797))/VLOOKUP(H797,商品!$A$4:$D$67,4,FALSE),0),"")</f>
        <v/>
      </c>
      <c r="AD797" t="str">
        <f>IFERROR(J797&amp;"*"&amp;ROUND(L797*(K797/(G797+I797+K797))/VLOOKUP(J797,商品!$A$4:$D$67,4,FALSE),0),"")</f>
        <v/>
      </c>
      <c r="AE797" t="str">
        <f>IFERROR(M797&amp;"*"&amp;ROUND(Q797*(N797/(N797+P797))/VLOOKUP(M797,职业!$A$3:$E$16,4,FALSE),0),"")</f>
        <v/>
      </c>
      <c r="AF797" t="str">
        <f>IFERROR(O797&amp;"*"&amp;ROUND(Q797*(P797/(N797+P797))/VLOOKUP(O797,职业!$A$3:$E$16,4,FALSE),0),"")</f>
        <v/>
      </c>
      <c r="AG797" t="str">
        <f>IFERROR(R797&amp;"*"&amp;ROUND(V797*(S797/(S797+U797))/VLOOKUP(R797,商品!$A$4:$D$67,4,FALSE),0),"")</f>
        <v/>
      </c>
      <c r="AH797" t="str">
        <f>IFERROR(T797&amp;"*"&amp;ROUND(V797*(U797/(S797+U797))/VLOOKUP(T797,商品!$A$4:$D$67,4,FALSE),0),"")</f>
        <v/>
      </c>
    </row>
    <row r="798" customHeight="1" spans="1:34">
      <c r="A798" s="14" t="s">
        <v>431</v>
      </c>
      <c r="C798" s="2">
        <v>3</v>
      </c>
      <c r="D798" s="2" t="s">
        <v>220</v>
      </c>
      <c r="E798" s="2" t="s">
        <v>222</v>
      </c>
      <c r="L798" s="2">
        <f>IFERROR(VLOOKUP($D798&amp;$C798,生产方式定位!$A$2:$E$39,2,FALSE)+VLOOKUP($E798&amp;$C798,生产方式定位!$F$3:$J$39,2,FALSE),0)</f>
        <v>5000</v>
      </c>
      <c r="Q798" s="2">
        <f>IFERROR(VLOOKUP($D798&amp;$C798,生产方式定位!$A$2:$E$39,3,FALSE)+VLOOKUP($E798&amp;$C798,生产方式定位!$F$3:$J$39,3,FALSE),0)</f>
        <v>2800</v>
      </c>
      <c r="V798" s="2">
        <f>IFERROR(VLOOKUP($D798&amp;$C798,生产方式定位!$A$2:$E$39,5,FALSE)+VLOOKUP($E798&amp;$C798,生产方式定位!$F$3:$J$39,5,FALSE),"错误")</f>
        <v>4188</v>
      </c>
      <c r="W798" s="3" t="str">
        <f t="shared" si="60"/>
        <v/>
      </c>
      <c r="X798" s="4" t="str">
        <f t="shared" si="61"/>
        <v/>
      </c>
      <c r="Y798" s="4" t="str">
        <f t="shared" si="62"/>
        <v/>
      </c>
      <c r="Z798" s="5">
        <f t="shared" si="63"/>
        <v>1.19</v>
      </c>
      <c r="AA798" s="6">
        <f t="shared" si="64"/>
        <v>3</v>
      </c>
      <c r="AB798" t="str">
        <f>IFERROR(F798&amp;"*"&amp;ROUND(L798*(G798/(G798+I798+K798))/VLOOKUP(F798,商品!$A$4:$D$67,4,FALSE),0),"")</f>
        <v/>
      </c>
      <c r="AC798" t="str">
        <f>IFERROR(H798&amp;"*"&amp;ROUND(L798*(I798/(G798+I798+K798))/VLOOKUP(H798,商品!$A$4:$D$67,4,FALSE),0),"")</f>
        <v/>
      </c>
      <c r="AD798" t="str">
        <f>IFERROR(J798&amp;"*"&amp;ROUND(L798*(K798/(G798+I798+K798))/VLOOKUP(J798,商品!$A$4:$D$67,4,FALSE),0),"")</f>
        <v/>
      </c>
      <c r="AE798" t="str">
        <f>IFERROR(M798&amp;"*"&amp;ROUND(Q798*(N798/(N798+P798))/VLOOKUP(M798,职业!$A$3:$E$16,4,FALSE),0),"")</f>
        <v/>
      </c>
      <c r="AF798" t="str">
        <f>IFERROR(O798&amp;"*"&amp;ROUND(Q798*(P798/(N798+P798))/VLOOKUP(O798,职业!$A$3:$E$16,4,FALSE),0),"")</f>
        <v/>
      </c>
      <c r="AG798" t="str">
        <f>IFERROR(R798&amp;"*"&amp;ROUND(V798*(S798/(S798+U798))/VLOOKUP(R798,商品!$A$4:$D$67,4,FALSE),0),"")</f>
        <v/>
      </c>
      <c r="AH798" t="str">
        <f>IFERROR(T798&amp;"*"&amp;ROUND(V798*(U798/(S798+U798))/VLOOKUP(T798,商品!$A$4:$D$67,4,FALSE),0),"")</f>
        <v/>
      </c>
    </row>
    <row r="799" customHeight="1" spans="1:34">
      <c r="A799" s="15" t="s">
        <v>432</v>
      </c>
      <c r="C799" s="2">
        <v>4</v>
      </c>
      <c r="D799" s="2" t="s">
        <v>220</v>
      </c>
      <c r="E799" s="2" t="s">
        <v>224</v>
      </c>
      <c r="L799" s="2">
        <f>IFERROR(VLOOKUP($D799&amp;$C799,生产方式定位!$A$2:$E$39,2,FALSE)+VLOOKUP($E799&amp;$C799,生产方式定位!$F$3:$J$39,2,FALSE),0)</f>
        <v>7500</v>
      </c>
      <c r="Q799" s="2">
        <f>IFERROR(VLOOKUP($D799&amp;$C799,生产方式定位!$A$2:$E$39,3,FALSE)+VLOOKUP($E799&amp;$C799,生产方式定位!$F$3:$J$39,3,FALSE),0)</f>
        <v>2000</v>
      </c>
      <c r="V799" s="2">
        <f>IFERROR(VLOOKUP($D799&amp;$C799,生产方式定位!$A$2:$E$39,5,FALSE)+VLOOKUP($E799&amp;$C799,生产方式定位!$F$3:$J$39,5,FALSE),"错误")</f>
        <v>5260</v>
      </c>
      <c r="W799" s="3" t="str">
        <f t="shared" si="60"/>
        <v/>
      </c>
      <c r="X799" s="4" t="str">
        <f t="shared" si="61"/>
        <v/>
      </c>
      <c r="Y799" s="4" t="str">
        <f t="shared" si="62"/>
        <v/>
      </c>
      <c r="Z799" s="5">
        <f t="shared" si="63"/>
        <v>1.43</v>
      </c>
      <c r="AA799" s="6">
        <f t="shared" si="64"/>
        <v>4</v>
      </c>
      <c r="AB799" t="str">
        <f>IFERROR(F799&amp;"*"&amp;ROUND(L799*(G799/(G799+I799+K799))/VLOOKUP(F799,商品!$A$4:$D$67,4,FALSE),0),"")</f>
        <v/>
      </c>
      <c r="AC799" t="str">
        <f>IFERROR(H799&amp;"*"&amp;ROUND(L799*(I799/(G799+I799+K799))/VLOOKUP(H799,商品!$A$4:$D$67,4,FALSE),0),"")</f>
        <v/>
      </c>
      <c r="AD799" t="str">
        <f>IFERROR(J799&amp;"*"&amp;ROUND(L799*(K799/(G799+I799+K799))/VLOOKUP(J799,商品!$A$4:$D$67,4,FALSE),0),"")</f>
        <v/>
      </c>
      <c r="AE799" t="str">
        <f>IFERROR(M799&amp;"*"&amp;ROUND(Q799*(N799/(N799+P799))/VLOOKUP(M799,职业!$A$3:$E$16,4,FALSE),0),"")</f>
        <v/>
      </c>
      <c r="AF799" t="str">
        <f>IFERROR(O799&amp;"*"&amp;ROUND(Q799*(P799/(N799+P799))/VLOOKUP(O799,职业!$A$3:$E$16,4,FALSE),0),"")</f>
        <v/>
      </c>
      <c r="AG799" t="str">
        <f>IFERROR(R799&amp;"*"&amp;ROUND(V799*(S799/(S799+U799))/VLOOKUP(R799,商品!$A$4:$D$67,4,FALSE),0),"")</f>
        <v/>
      </c>
      <c r="AH799" t="str">
        <f>IFERROR(T799&amp;"*"&amp;ROUND(V799*(U799/(S799+U799))/VLOOKUP(T799,商品!$A$4:$D$67,4,FALSE),0),"")</f>
        <v/>
      </c>
    </row>
    <row r="800" customHeight="1" spans="1:34">
      <c r="A800" s="15" t="s">
        <v>432</v>
      </c>
      <c r="C800" s="2">
        <v>5</v>
      </c>
      <c r="D800" s="2" t="s">
        <v>220</v>
      </c>
      <c r="E800" s="2" t="s">
        <v>224</v>
      </c>
      <c r="L800" s="2">
        <f>IFERROR(VLOOKUP($D800&amp;$C800,生产方式定位!$A$2:$E$39,2,FALSE)+VLOOKUP($E800&amp;$C800,生产方式定位!$F$3:$J$39,2,FALSE),0)</f>
        <v>9000</v>
      </c>
      <c r="Q800" s="2">
        <f>IFERROR(VLOOKUP($D800&amp;$C800,生产方式定位!$A$2:$E$39,3,FALSE)+VLOOKUP($E800&amp;$C800,生产方式定位!$F$3:$J$39,3,FALSE),0)</f>
        <v>2000</v>
      </c>
      <c r="V800" s="2">
        <f>IFERROR(VLOOKUP($D800&amp;$C800,生产方式定位!$A$2:$E$39,5,FALSE)+VLOOKUP($E800&amp;$C800,生产方式定位!$F$3:$J$39,5,FALSE),"错误")</f>
        <v>6340</v>
      </c>
      <c r="W800" s="3" t="str">
        <f t="shared" si="60"/>
        <v/>
      </c>
      <c r="X800" s="4" t="str">
        <f t="shared" si="61"/>
        <v/>
      </c>
      <c r="Y800" s="4" t="str">
        <f t="shared" si="62"/>
        <v/>
      </c>
      <c r="Z800" s="5">
        <f t="shared" si="63"/>
        <v>1.42</v>
      </c>
      <c r="AA800" s="6">
        <f t="shared" si="64"/>
        <v>5</v>
      </c>
      <c r="AB800" t="str">
        <f>IFERROR(F800&amp;"*"&amp;ROUND(L800*(G800/(G800+I800+K800))/VLOOKUP(F800,商品!$A$4:$D$67,4,FALSE),0),"")</f>
        <v/>
      </c>
      <c r="AC800" t="str">
        <f>IFERROR(H800&amp;"*"&amp;ROUND(L800*(I800/(G800+I800+K800))/VLOOKUP(H800,商品!$A$4:$D$67,4,FALSE),0),"")</f>
        <v/>
      </c>
      <c r="AD800" t="str">
        <f>IFERROR(J800&amp;"*"&amp;ROUND(L800*(K800/(G800+I800+K800))/VLOOKUP(J800,商品!$A$4:$D$67,4,FALSE),0),"")</f>
        <v/>
      </c>
      <c r="AE800" t="str">
        <f>IFERROR(M800&amp;"*"&amp;ROUND(Q800*(N800/(N800+P800))/VLOOKUP(M800,职业!$A$3:$E$16,4,FALSE),0),"")</f>
        <v/>
      </c>
      <c r="AF800" t="str">
        <f>IFERROR(O800&amp;"*"&amp;ROUND(Q800*(P800/(N800+P800))/VLOOKUP(O800,职业!$A$3:$E$16,4,FALSE),0),"")</f>
        <v/>
      </c>
      <c r="AG800" t="str">
        <f>IFERROR(R800&amp;"*"&amp;ROUND(V800*(S800/(S800+U800))/VLOOKUP(R800,商品!$A$4:$D$67,4,FALSE),0),"")</f>
        <v/>
      </c>
      <c r="AH800" t="str">
        <f>IFERROR(T800&amp;"*"&amp;ROUND(V800*(U800/(S800+U800))/VLOOKUP(T800,商品!$A$4:$D$67,4,FALSE),0),"")</f>
        <v/>
      </c>
    </row>
    <row r="801" customHeight="1" spans="1:34">
      <c r="A801" s="15" t="s">
        <v>432</v>
      </c>
      <c r="C801" s="2">
        <v>1</v>
      </c>
      <c r="D801" s="2" t="s">
        <v>220</v>
      </c>
      <c r="E801" s="2" t="s">
        <v>224</v>
      </c>
      <c r="L801" s="2">
        <f>IFERROR(VLOOKUP($D801&amp;$C801,生产方式定位!$A$2:$E$39,2,FALSE)+VLOOKUP($E801&amp;$C801,生产方式定位!$F$3:$J$39,2,FALSE),0)</f>
        <v>2000</v>
      </c>
      <c r="Q801" s="2">
        <f>IFERROR(VLOOKUP($D801&amp;$C801,生产方式定位!$A$2:$E$39,3,FALSE)+VLOOKUP($E801&amp;$C801,生产方式定位!$F$3:$J$39,3,FALSE),0)</f>
        <v>2000</v>
      </c>
      <c r="V801" s="2">
        <f>IFERROR(VLOOKUP($D801&amp;$C801,生产方式定位!$A$2:$E$39,5,FALSE)+VLOOKUP($E801&amp;$C801,生产方式定位!$F$3:$J$39,5,FALSE),"错误")</f>
        <v>2000</v>
      </c>
      <c r="W801" s="3" t="str">
        <f t="shared" si="60"/>
        <v/>
      </c>
      <c r="X801" s="4" t="str">
        <f t="shared" si="61"/>
        <v/>
      </c>
      <c r="Y801" s="4" t="str">
        <f t="shared" si="62"/>
        <v/>
      </c>
      <c r="Z801" s="5">
        <f t="shared" si="63"/>
        <v>1</v>
      </c>
      <c r="AA801" s="6">
        <f t="shared" si="64"/>
        <v>1</v>
      </c>
      <c r="AB801" t="str">
        <f>IFERROR(F801&amp;"*"&amp;ROUND(L801*(G801/(G801+I801+K801))/VLOOKUP(F801,商品!$A$4:$D$67,4,FALSE),0),"")</f>
        <v/>
      </c>
      <c r="AC801" t="str">
        <f>IFERROR(H801&amp;"*"&amp;ROUND(L801*(I801/(G801+I801+K801))/VLOOKUP(H801,商品!$A$4:$D$67,4,FALSE),0),"")</f>
        <v/>
      </c>
      <c r="AD801" t="str">
        <f>IFERROR(J801&amp;"*"&amp;ROUND(L801*(K801/(G801+I801+K801))/VLOOKUP(J801,商品!$A$4:$D$67,4,FALSE),0),"")</f>
        <v/>
      </c>
      <c r="AE801" t="str">
        <f>IFERROR(M801&amp;"*"&amp;ROUND(Q801*(N801/(N801+P801))/VLOOKUP(M801,职业!$A$3:$E$16,4,FALSE),0),"")</f>
        <v/>
      </c>
      <c r="AF801" t="str">
        <f>IFERROR(O801&amp;"*"&amp;ROUND(Q801*(P801/(N801+P801))/VLOOKUP(O801,职业!$A$3:$E$16,4,FALSE),0),"")</f>
        <v/>
      </c>
      <c r="AG801" t="str">
        <f>IFERROR(R801&amp;"*"&amp;ROUND(V801*(S801/(S801+U801))/VLOOKUP(R801,商品!$A$4:$D$67,4,FALSE),0),"")</f>
        <v/>
      </c>
      <c r="AH801" t="str">
        <f>IFERROR(T801&amp;"*"&amp;ROUND(V801*(U801/(S801+U801))/VLOOKUP(T801,商品!$A$4:$D$67,4,FALSE),0),"")</f>
        <v/>
      </c>
    </row>
    <row r="802" customHeight="1" spans="1:34">
      <c r="A802" s="15" t="s">
        <v>432</v>
      </c>
      <c r="C802" s="2">
        <v>2</v>
      </c>
      <c r="D802" s="2" t="s">
        <v>220</v>
      </c>
      <c r="E802" s="2" t="s">
        <v>224</v>
      </c>
      <c r="L802" s="2">
        <f>IFERROR(VLOOKUP($D802&amp;$C802,生产方式定位!$A$2:$E$39,2,FALSE)+VLOOKUP($E802&amp;$C802,生产方式定位!$F$3:$J$39,2,FALSE),0)</f>
        <v>4500</v>
      </c>
      <c r="Q802" s="2">
        <f>IFERROR(VLOOKUP($D802&amp;$C802,生产方式定位!$A$2:$E$39,3,FALSE)+VLOOKUP($E802&amp;$C802,生产方式定位!$F$3:$J$39,3,FALSE),0)</f>
        <v>2000</v>
      </c>
      <c r="V802" s="2">
        <f>IFERROR(VLOOKUP($D802&amp;$C802,生产方式定位!$A$2:$E$39,5,FALSE)+VLOOKUP($E802&amp;$C802,生产方式定位!$F$3:$J$39,5,FALSE),"错误")</f>
        <v>3340</v>
      </c>
      <c r="W802" s="3" t="str">
        <f t="shared" si="60"/>
        <v/>
      </c>
      <c r="X802" s="4" t="str">
        <f t="shared" si="61"/>
        <v/>
      </c>
      <c r="Y802" s="4" t="str">
        <f t="shared" si="62"/>
        <v/>
      </c>
      <c r="Z802" s="5">
        <f t="shared" si="63"/>
        <v>1.35</v>
      </c>
      <c r="AA802" s="6">
        <f t="shared" si="64"/>
        <v>2</v>
      </c>
      <c r="AB802" t="str">
        <f>IFERROR(F802&amp;"*"&amp;ROUND(L802*(G802/(G802+I802+K802))/VLOOKUP(F802,商品!$A$4:$D$67,4,FALSE),0),"")</f>
        <v/>
      </c>
      <c r="AC802" t="str">
        <f>IFERROR(H802&amp;"*"&amp;ROUND(L802*(I802/(G802+I802+K802))/VLOOKUP(H802,商品!$A$4:$D$67,4,FALSE),0),"")</f>
        <v/>
      </c>
      <c r="AD802" t="str">
        <f>IFERROR(J802&amp;"*"&amp;ROUND(L802*(K802/(G802+I802+K802))/VLOOKUP(J802,商品!$A$4:$D$67,4,FALSE),0),"")</f>
        <v/>
      </c>
      <c r="AE802" t="str">
        <f>IFERROR(M802&amp;"*"&amp;ROUND(Q802*(N802/(N802+P802))/VLOOKUP(M802,职业!$A$3:$E$16,4,FALSE),0),"")</f>
        <v/>
      </c>
      <c r="AF802" t="str">
        <f>IFERROR(O802&amp;"*"&amp;ROUND(Q802*(P802/(N802+P802))/VLOOKUP(O802,职业!$A$3:$E$16,4,FALSE),0),"")</f>
        <v/>
      </c>
      <c r="AG802" t="str">
        <f>IFERROR(R802&amp;"*"&amp;ROUND(V802*(S802/(S802+U802))/VLOOKUP(R802,商品!$A$4:$D$67,4,FALSE),0),"")</f>
        <v/>
      </c>
      <c r="AH802" t="str">
        <f>IFERROR(T802&amp;"*"&amp;ROUND(V802*(U802/(S802+U802))/VLOOKUP(T802,商品!$A$4:$D$67,4,FALSE),0),"")</f>
        <v/>
      </c>
    </row>
    <row r="803" customHeight="1" spans="1:34">
      <c r="A803" s="15" t="s">
        <v>432</v>
      </c>
      <c r="C803" s="2">
        <v>3</v>
      </c>
      <c r="D803" s="2" t="s">
        <v>220</v>
      </c>
      <c r="E803" s="2" t="s">
        <v>224</v>
      </c>
      <c r="L803" s="2">
        <f>IFERROR(VLOOKUP($D803&amp;$C803,生产方式定位!$A$2:$E$39,2,FALSE)+VLOOKUP($E803&amp;$C803,生产方式定位!$F$3:$J$39,2,FALSE),0)</f>
        <v>6000</v>
      </c>
      <c r="Q803" s="2">
        <f>IFERROR(VLOOKUP($D803&amp;$C803,生产方式定位!$A$2:$E$39,3,FALSE)+VLOOKUP($E803&amp;$C803,生产方式定位!$F$3:$J$39,3,FALSE),0)</f>
        <v>2000</v>
      </c>
      <c r="V803" s="2">
        <f>IFERROR(VLOOKUP($D803&amp;$C803,生产方式定位!$A$2:$E$39,5,FALSE)+VLOOKUP($E803&amp;$C803,生产方式定位!$F$3:$J$39,5,FALSE),"错误")</f>
        <v>4260</v>
      </c>
      <c r="W803" s="3" t="str">
        <f t="shared" si="60"/>
        <v/>
      </c>
      <c r="X803" s="4" t="str">
        <f t="shared" si="61"/>
        <v/>
      </c>
      <c r="Y803" s="4" t="str">
        <f t="shared" si="62"/>
        <v/>
      </c>
      <c r="Z803" s="5">
        <f t="shared" si="63"/>
        <v>1.41</v>
      </c>
      <c r="AA803" s="6">
        <f t="shared" si="64"/>
        <v>3</v>
      </c>
      <c r="AB803" t="str">
        <f>IFERROR(F803&amp;"*"&amp;ROUND(L803*(G803/(G803+I803+K803))/VLOOKUP(F803,商品!$A$4:$D$67,4,FALSE),0),"")</f>
        <v/>
      </c>
      <c r="AC803" t="str">
        <f>IFERROR(H803&amp;"*"&amp;ROUND(L803*(I803/(G803+I803+K803))/VLOOKUP(H803,商品!$A$4:$D$67,4,FALSE),0),"")</f>
        <v/>
      </c>
      <c r="AD803" t="str">
        <f>IFERROR(J803&amp;"*"&amp;ROUND(L803*(K803/(G803+I803+K803))/VLOOKUP(J803,商品!$A$4:$D$67,4,FALSE),0),"")</f>
        <v/>
      </c>
      <c r="AE803" t="str">
        <f>IFERROR(M803&amp;"*"&amp;ROUND(Q803*(N803/(N803+P803))/VLOOKUP(M803,职业!$A$3:$E$16,4,FALSE),0),"")</f>
        <v/>
      </c>
      <c r="AF803" t="str">
        <f>IFERROR(O803&amp;"*"&amp;ROUND(Q803*(P803/(N803+P803))/VLOOKUP(O803,职业!$A$3:$E$16,4,FALSE),0),"")</f>
        <v/>
      </c>
      <c r="AG803" t="str">
        <f>IFERROR(R803&amp;"*"&amp;ROUND(V803*(S803/(S803+U803))/VLOOKUP(R803,商品!$A$4:$D$67,4,FALSE),0),"")</f>
        <v/>
      </c>
      <c r="AH803" t="str">
        <f>IFERROR(T803&amp;"*"&amp;ROUND(V803*(U803/(S803+U803))/VLOOKUP(T803,商品!$A$4:$D$67,4,FALSE),0),"")</f>
        <v/>
      </c>
    </row>
    <row r="804" customHeight="1" spans="1:34">
      <c r="A804" s="14" t="s">
        <v>432</v>
      </c>
      <c r="C804" s="2">
        <v>4</v>
      </c>
      <c r="D804" s="2" t="s">
        <v>220</v>
      </c>
      <c r="E804" s="2" t="s">
        <v>224</v>
      </c>
      <c r="L804" s="2">
        <f>IFERROR(VLOOKUP($D804&amp;$C804,生产方式定位!$A$2:$E$39,2,FALSE)+VLOOKUP($E804&amp;$C804,生产方式定位!$F$3:$J$39,2,FALSE),0)</f>
        <v>7500</v>
      </c>
      <c r="Q804" s="2">
        <f>IFERROR(VLOOKUP($D804&amp;$C804,生产方式定位!$A$2:$E$39,3,FALSE)+VLOOKUP($E804&amp;$C804,生产方式定位!$F$3:$J$39,3,FALSE),0)</f>
        <v>2000</v>
      </c>
      <c r="V804" s="2">
        <f>IFERROR(VLOOKUP($D804&amp;$C804,生产方式定位!$A$2:$E$39,5,FALSE)+VLOOKUP($E804&amp;$C804,生产方式定位!$F$3:$J$39,5,FALSE),"错误")</f>
        <v>5260</v>
      </c>
      <c r="W804" s="3" t="str">
        <f t="shared" si="60"/>
        <v/>
      </c>
      <c r="X804" s="4" t="str">
        <f t="shared" si="61"/>
        <v/>
      </c>
      <c r="Y804" s="4" t="str">
        <f t="shared" si="62"/>
        <v/>
      </c>
      <c r="Z804" s="5">
        <f t="shared" si="63"/>
        <v>1.43</v>
      </c>
      <c r="AA804" s="6">
        <f t="shared" si="64"/>
        <v>4</v>
      </c>
      <c r="AB804" t="str">
        <f>IFERROR(F804&amp;"*"&amp;ROUND(L804*(G804/(G804+I804+K804))/VLOOKUP(F804,商品!$A$4:$D$67,4,FALSE),0),"")</f>
        <v/>
      </c>
      <c r="AC804" t="str">
        <f>IFERROR(H804&amp;"*"&amp;ROUND(L804*(I804/(G804+I804+K804))/VLOOKUP(H804,商品!$A$4:$D$67,4,FALSE),0),"")</f>
        <v/>
      </c>
      <c r="AD804" t="str">
        <f>IFERROR(J804&amp;"*"&amp;ROUND(L804*(K804/(G804+I804+K804))/VLOOKUP(J804,商品!$A$4:$D$67,4,FALSE),0),"")</f>
        <v/>
      </c>
      <c r="AE804" t="str">
        <f>IFERROR(M804&amp;"*"&amp;ROUND(Q804*(N804/(N804+P804))/VLOOKUP(M804,职业!$A$3:$E$16,4,FALSE),0),"")</f>
        <v/>
      </c>
      <c r="AF804" t="str">
        <f>IFERROR(O804&amp;"*"&amp;ROUND(Q804*(P804/(N804+P804))/VLOOKUP(O804,职业!$A$3:$E$16,4,FALSE),0),"")</f>
        <v/>
      </c>
      <c r="AG804" t="str">
        <f>IFERROR(R804&amp;"*"&amp;ROUND(V804*(S804/(S804+U804))/VLOOKUP(R804,商品!$A$4:$D$67,4,FALSE),0),"")</f>
        <v/>
      </c>
      <c r="AH804" t="str">
        <f>IFERROR(T804&amp;"*"&amp;ROUND(V804*(U804/(S804+U804))/VLOOKUP(T804,商品!$A$4:$D$67,4,FALSE),0),"")</f>
        <v/>
      </c>
    </row>
    <row r="805" customHeight="1" spans="1:34">
      <c r="A805" s="14" t="s">
        <v>432</v>
      </c>
      <c r="C805" s="2">
        <v>5</v>
      </c>
      <c r="D805" s="2" t="s">
        <v>220</v>
      </c>
      <c r="E805" s="2" t="s">
        <v>224</v>
      </c>
      <c r="L805" s="2">
        <f>IFERROR(VLOOKUP($D805&amp;$C805,生产方式定位!$A$2:$E$39,2,FALSE)+VLOOKUP($E805&amp;$C805,生产方式定位!$F$3:$J$39,2,FALSE),0)</f>
        <v>9000</v>
      </c>
      <c r="Q805" s="2">
        <f>IFERROR(VLOOKUP($D805&amp;$C805,生产方式定位!$A$2:$E$39,3,FALSE)+VLOOKUP($E805&amp;$C805,生产方式定位!$F$3:$J$39,3,FALSE),0)</f>
        <v>2000</v>
      </c>
      <c r="V805" s="2">
        <f>IFERROR(VLOOKUP($D805&amp;$C805,生产方式定位!$A$2:$E$39,5,FALSE)+VLOOKUP($E805&amp;$C805,生产方式定位!$F$3:$J$39,5,FALSE),"错误")</f>
        <v>6340</v>
      </c>
      <c r="W805" s="3" t="str">
        <f t="shared" si="60"/>
        <v/>
      </c>
      <c r="X805" s="4" t="str">
        <f t="shared" si="61"/>
        <v/>
      </c>
      <c r="Y805" s="4" t="str">
        <f t="shared" si="62"/>
        <v/>
      </c>
      <c r="Z805" s="5">
        <f t="shared" si="63"/>
        <v>1.42</v>
      </c>
      <c r="AA805" s="6">
        <f t="shared" si="64"/>
        <v>5</v>
      </c>
      <c r="AB805" t="str">
        <f>IFERROR(F805&amp;"*"&amp;ROUND(L805*(G805/(G805+I805+K805))/VLOOKUP(F805,商品!$A$4:$D$67,4,FALSE),0),"")</f>
        <v/>
      </c>
      <c r="AC805" t="str">
        <f>IFERROR(H805&amp;"*"&amp;ROUND(L805*(I805/(G805+I805+K805))/VLOOKUP(H805,商品!$A$4:$D$67,4,FALSE),0),"")</f>
        <v/>
      </c>
      <c r="AD805" t="str">
        <f>IFERROR(J805&amp;"*"&amp;ROUND(L805*(K805/(G805+I805+K805))/VLOOKUP(J805,商品!$A$4:$D$67,4,FALSE),0),"")</f>
        <v/>
      </c>
      <c r="AE805" t="str">
        <f>IFERROR(M805&amp;"*"&amp;ROUND(Q805*(N805/(N805+P805))/VLOOKUP(M805,职业!$A$3:$E$16,4,FALSE),0),"")</f>
        <v/>
      </c>
      <c r="AF805" t="str">
        <f>IFERROR(O805&amp;"*"&amp;ROUND(Q805*(P805/(N805+P805))/VLOOKUP(O805,职业!$A$3:$E$16,4,FALSE),0),"")</f>
        <v/>
      </c>
      <c r="AG805" t="str">
        <f>IFERROR(R805&amp;"*"&amp;ROUND(V805*(S805/(S805+U805))/VLOOKUP(R805,商品!$A$4:$D$67,4,FALSE),0),"")</f>
        <v/>
      </c>
      <c r="AH805" t="str">
        <f>IFERROR(T805&amp;"*"&amp;ROUND(V805*(U805/(S805+U805))/VLOOKUP(T805,商品!$A$4:$D$67,4,FALSE),0),"")</f>
        <v/>
      </c>
    </row>
    <row r="806" customHeight="1" spans="1:34">
      <c r="A806" s="14" t="s">
        <v>432</v>
      </c>
      <c r="C806" s="2">
        <v>1</v>
      </c>
      <c r="D806" s="2" t="s">
        <v>220</v>
      </c>
      <c r="E806" s="2" t="s">
        <v>224</v>
      </c>
      <c r="L806" s="2">
        <f>IFERROR(VLOOKUP($D806&amp;$C806,生产方式定位!$A$2:$E$39,2,FALSE)+VLOOKUP($E806&amp;$C806,生产方式定位!$F$3:$J$39,2,FALSE),0)</f>
        <v>2000</v>
      </c>
      <c r="Q806" s="2">
        <f>IFERROR(VLOOKUP($D806&amp;$C806,生产方式定位!$A$2:$E$39,3,FALSE)+VLOOKUP($E806&amp;$C806,生产方式定位!$F$3:$J$39,3,FALSE),0)</f>
        <v>2000</v>
      </c>
      <c r="V806" s="2">
        <f>IFERROR(VLOOKUP($D806&amp;$C806,生产方式定位!$A$2:$E$39,5,FALSE)+VLOOKUP($E806&amp;$C806,生产方式定位!$F$3:$J$39,5,FALSE),"错误")</f>
        <v>2000</v>
      </c>
      <c r="W806" s="3" t="str">
        <f t="shared" si="60"/>
        <v/>
      </c>
      <c r="X806" s="4" t="str">
        <f t="shared" si="61"/>
        <v/>
      </c>
      <c r="Y806" s="4" t="str">
        <f t="shared" si="62"/>
        <v/>
      </c>
      <c r="Z806" s="5">
        <f t="shared" si="63"/>
        <v>1</v>
      </c>
      <c r="AA806" s="6">
        <f t="shared" si="64"/>
        <v>1</v>
      </c>
      <c r="AB806" t="str">
        <f>IFERROR(F806&amp;"*"&amp;ROUND(L806*(G806/(G806+I806+K806))/VLOOKUP(F806,商品!$A$4:$D$67,4,FALSE),0),"")</f>
        <v/>
      </c>
      <c r="AC806" t="str">
        <f>IFERROR(H806&amp;"*"&amp;ROUND(L806*(I806/(G806+I806+K806))/VLOOKUP(H806,商品!$A$4:$D$67,4,FALSE),0),"")</f>
        <v/>
      </c>
      <c r="AD806" t="str">
        <f>IFERROR(J806&amp;"*"&amp;ROUND(L806*(K806/(G806+I806+K806))/VLOOKUP(J806,商品!$A$4:$D$67,4,FALSE),0),"")</f>
        <v/>
      </c>
      <c r="AE806" t="str">
        <f>IFERROR(M806&amp;"*"&amp;ROUND(Q806*(N806/(N806+P806))/VLOOKUP(M806,职业!$A$3:$E$16,4,FALSE),0),"")</f>
        <v/>
      </c>
      <c r="AF806" t="str">
        <f>IFERROR(O806&amp;"*"&amp;ROUND(Q806*(P806/(N806+P806))/VLOOKUP(O806,职业!$A$3:$E$16,4,FALSE),0),"")</f>
        <v/>
      </c>
      <c r="AG806" t="str">
        <f>IFERROR(R806&amp;"*"&amp;ROUND(V806*(S806/(S806+U806))/VLOOKUP(R806,商品!$A$4:$D$67,4,FALSE),0),"")</f>
        <v/>
      </c>
      <c r="AH806" t="str">
        <f>IFERROR(T806&amp;"*"&amp;ROUND(V806*(U806/(S806+U806))/VLOOKUP(T806,商品!$A$4:$D$67,4,FALSE),0),"")</f>
        <v/>
      </c>
    </row>
    <row r="807" customHeight="1" spans="1:34">
      <c r="A807" s="14" t="s">
        <v>432</v>
      </c>
      <c r="C807" s="2">
        <v>2</v>
      </c>
      <c r="D807" s="2" t="s">
        <v>220</v>
      </c>
      <c r="E807" s="2" t="s">
        <v>224</v>
      </c>
      <c r="L807" s="2">
        <f>IFERROR(VLOOKUP($D807&amp;$C807,生产方式定位!$A$2:$E$39,2,FALSE)+VLOOKUP($E807&amp;$C807,生产方式定位!$F$3:$J$39,2,FALSE),0)</f>
        <v>4500</v>
      </c>
      <c r="Q807" s="2">
        <f>IFERROR(VLOOKUP($D807&amp;$C807,生产方式定位!$A$2:$E$39,3,FALSE)+VLOOKUP($E807&amp;$C807,生产方式定位!$F$3:$J$39,3,FALSE),0)</f>
        <v>2000</v>
      </c>
      <c r="V807" s="2">
        <f>IFERROR(VLOOKUP($D807&amp;$C807,生产方式定位!$A$2:$E$39,5,FALSE)+VLOOKUP($E807&amp;$C807,生产方式定位!$F$3:$J$39,5,FALSE),"错误")</f>
        <v>3340</v>
      </c>
      <c r="W807" s="3" t="str">
        <f t="shared" si="60"/>
        <v/>
      </c>
      <c r="X807" s="4" t="str">
        <f t="shared" si="61"/>
        <v/>
      </c>
      <c r="Y807" s="4" t="str">
        <f t="shared" si="62"/>
        <v/>
      </c>
      <c r="Z807" s="5">
        <f t="shared" si="63"/>
        <v>1.35</v>
      </c>
      <c r="AA807" s="6">
        <f t="shared" si="64"/>
        <v>2</v>
      </c>
      <c r="AB807" t="str">
        <f>IFERROR(F807&amp;"*"&amp;ROUND(L807*(G807/(G807+I807+K807))/VLOOKUP(F807,商品!$A$4:$D$67,4,FALSE),0),"")</f>
        <v/>
      </c>
      <c r="AC807" t="str">
        <f>IFERROR(H807&amp;"*"&amp;ROUND(L807*(I807/(G807+I807+K807))/VLOOKUP(H807,商品!$A$4:$D$67,4,FALSE),0),"")</f>
        <v/>
      </c>
      <c r="AD807" t="str">
        <f>IFERROR(J807&amp;"*"&amp;ROUND(L807*(K807/(G807+I807+K807))/VLOOKUP(J807,商品!$A$4:$D$67,4,FALSE),0),"")</f>
        <v/>
      </c>
      <c r="AE807" t="str">
        <f>IFERROR(M807&amp;"*"&amp;ROUND(Q807*(N807/(N807+P807))/VLOOKUP(M807,职业!$A$3:$E$16,4,FALSE),0),"")</f>
        <v/>
      </c>
      <c r="AF807" t="str">
        <f>IFERROR(O807&amp;"*"&amp;ROUND(Q807*(P807/(N807+P807))/VLOOKUP(O807,职业!$A$3:$E$16,4,FALSE),0),"")</f>
        <v/>
      </c>
      <c r="AG807" t="str">
        <f>IFERROR(R807&amp;"*"&amp;ROUND(V807*(S807/(S807+U807))/VLOOKUP(R807,商品!$A$4:$D$67,4,FALSE),0),"")</f>
        <v/>
      </c>
      <c r="AH807" t="str">
        <f>IFERROR(T807&amp;"*"&amp;ROUND(V807*(U807/(S807+U807))/VLOOKUP(T807,商品!$A$4:$D$67,4,FALSE),0),"")</f>
        <v/>
      </c>
    </row>
    <row r="808" customHeight="1" spans="1:34">
      <c r="A808" s="14" t="s">
        <v>432</v>
      </c>
      <c r="C808" s="2">
        <v>3</v>
      </c>
      <c r="D808" s="2" t="s">
        <v>220</v>
      </c>
      <c r="E808" s="2" t="s">
        <v>224</v>
      </c>
      <c r="L808" s="2">
        <f>IFERROR(VLOOKUP($D808&amp;$C808,生产方式定位!$A$2:$E$39,2,FALSE)+VLOOKUP($E808&amp;$C808,生产方式定位!$F$3:$J$39,2,FALSE),0)</f>
        <v>6000</v>
      </c>
      <c r="Q808" s="2">
        <f>IFERROR(VLOOKUP($D808&amp;$C808,生产方式定位!$A$2:$E$39,3,FALSE)+VLOOKUP($E808&amp;$C808,生产方式定位!$F$3:$J$39,3,FALSE),0)</f>
        <v>2000</v>
      </c>
      <c r="V808" s="2">
        <f>IFERROR(VLOOKUP($D808&amp;$C808,生产方式定位!$A$2:$E$39,5,FALSE)+VLOOKUP($E808&amp;$C808,生产方式定位!$F$3:$J$39,5,FALSE),"错误")</f>
        <v>4260</v>
      </c>
      <c r="W808" s="3" t="str">
        <f t="shared" si="60"/>
        <v/>
      </c>
      <c r="X808" s="4" t="str">
        <f t="shared" si="61"/>
        <v/>
      </c>
      <c r="Y808" s="4" t="str">
        <f t="shared" si="62"/>
        <v/>
      </c>
      <c r="Z808" s="5">
        <f t="shared" si="63"/>
        <v>1.41</v>
      </c>
      <c r="AA808" s="6">
        <f t="shared" si="64"/>
        <v>3</v>
      </c>
      <c r="AB808" t="str">
        <f>IFERROR(F808&amp;"*"&amp;ROUND(L808*(G808/(G808+I808+K808))/VLOOKUP(F808,商品!$A$4:$D$67,4,FALSE),0),"")</f>
        <v/>
      </c>
      <c r="AC808" t="str">
        <f>IFERROR(H808&amp;"*"&amp;ROUND(L808*(I808/(G808+I808+K808))/VLOOKUP(H808,商品!$A$4:$D$67,4,FALSE),0),"")</f>
        <v/>
      </c>
      <c r="AD808" t="str">
        <f>IFERROR(J808&amp;"*"&amp;ROUND(L808*(K808/(G808+I808+K808))/VLOOKUP(J808,商品!$A$4:$D$67,4,FALSE),0),"")</f>
        <v/>
      </c>
      <c r="AE808" t="str">
        <f>IFERROR(M808&amp;"*"&amp;ROUND(Q808*(N808/(N808+P808))/VLOOKUP(M808,职业!$A$3:$E$16,4,FALSE),0),"")</f>
        <v/>
      </c>
      <c r="AF808" t="str">
        <f>IFERROR(O808&amp;"*"&amp;ROUND(Q808*(P808/(N808+P808))/VLOOKUP(O808,职业!$A$3:$E$16,4,FALSE),0),"")</f>
        <v/>
      </c>
      <c r="AG808" t="str">
        <f>IFERROR(R808&amp;"*"&amp;ROUND(V808*(S808/(S808+U808))/VLOOKUP(R808,商品!$A$4:$D$67,4,FALSE),0),"")</f>
        <v/>
      </c>
      <c r="AH808" t="str">
        <f>IFERROR(T808&amp;"*"&amp;ROUND(V808*(U808/(S808+U808))/VLOOKUP(T808,商品!$A$4:$D$67,4,FALSE),0),"")</f>
        <v/>
      </c>
    </row>
    <row r="809" customHeight="1" spans="1:34">
      <c r="A809" s="15" t="s">
        <v>433</v>
      </c>
      <c r="C809" s="2">
        <v>4</v>
      </c>
      <c r="D809" s="2" t="s">
        <v>220</v>
      </c>
      <c r="E809" s="2" t="s">
        <v>255</v>
      </c>
      <c r="L809" s="2">
        <f>IFERROR(VLOOKUP($D809&amp;$C809,生产方式定位!$A$2:$E$39,2,FALSE)+VLOOKUP($E809&amp;$C809,生产方式定位!$F$3:$J$39,2,FALSE),0)</f>
        <v>3500</v>
      </c>
      <c r="Q809" s="2">
        <f>IFERROR(VLOOKUP($D809&amp;$C809,生产方式定位!$A$2:$E$39,3,FALSE)+VLOOKUP($E809&amp;$C809,生产方式定位!$F$3:$J$39,3,FALSE),0)</f>
        <v>2600</v>
      </c>
      <c r="V809" s="2">
        <f>IFERROR(VLOOKUP($D809&amp;$C809,生产方式定位!$A$2:$E$39,5,FALSE)+VLOOKUP($E809&amp;$C809,生产方式定位!$F$3:$J$39,5,FALSE),"错误")</f>
        <v>3050</v>
      </c>
      <c r="W809" s="3" t="str">
        <f t="shared" si="60"/>
        <v/>
      </c>
      <c r="X809" s="4" t="str">
        <f t="shared" si="61"/>
        <v/>
      </c>
      <c r="Y809" s="4" t="str">
        <f t="shared" si="62"/>
        <v/>
      </c>
      <c r="Z809" s="5">
        <f t="shared" si="63"/>
        <v>1.15</v>
      </c>
      <c r="AA809" s="6">
        <f t="shared" si="64"/>
        <v>4</v>
      </c>
      <c r="AB809" t="str">
        <f>IFERROR(F809&amp;"*"&amp;ROUND(L809*(G809/(G809+I809+K809))/VLOOKUP(F809,商品!$A$4:$D$67,4,FALSE),0),"")</f>
        <v/>
      </c>
      <c r="AC809" t="str">
        <f>IFERROR(H809&amp;"*"&amp;ROUND(L809*(I809/(G809+I809+K809))/VLOOKUP(H809,商品!$A$4:$D$67,4,FALSE),0),"")</f>
        <v/>
      </c>
      <c r="AD809" t="str">
        <f>IFERROR(J809&amp;"*"&amp;ROUND(L809*(K809/(G809+I809+K809))/VLOOKUP(J809,商品!$A$4:$D$67,4,FALSE),0),"")</f>
        <v/>
      </c>
      <c r="AE809" t="str">
        <f>IFERROR(M809&amp;"*"&amp;ROUND(Q809*(N809/(N809+P809))/VLOOKUP(M809,职业!$A$3:$E$16,4,FALSE),0),"")</f>
        <v/>
      </c>
      <c r="AF809" t="str">
        <f>IFERROR(O809&amp;"*"&amp;ROUND(Q809*(P809/(N809+P809))/VLOOKUP(O809,职业!$A$3:$E$16,4,FALSE),0),"")</f>
        <v/>
      </c>
      <c r="AG809" t="str">
        <f>IFERROR(R809&amp;"*"&amp;ROUND(V809*(S809/(S809+U809))/VLOOKUP(R809,商品!$A$4:$D$67,4,FALSE),0),"")</f>
        <v/>
      </c>
      <c r="AH809" t="str">
        <f>IFERROR(T809&amp;"*"&amp;ROUND(V809*(U809/(S809+U809))/VLOOKUP(T809,商品!$A$4:$D$67,4,FALSE),0),"")</f>
        <v/>
      </c>
    </row>
    <row r="810" customHeight="1" spans="1:34">
      <c r="A810" s="15" t="s">
        <v>433</v>
      </c>
      <c r="C810" s="2">
        <v>5</v>
      </c>
      <c r="D810" s="2" t="s">
        <v>220</v>
      </c>
      <c r="E810" s="2" t="s">
        <v>255</v>
      </c>
      <c r="L810" s="2">
        <f>IFERROR(VLOOKUP($D810&amp;$C810,生产方式定位!$A$2:$E$39,2,FALSE)+VLOOKUP($E810&amp;$C810,生产方式定位!$F$3:$J$39,2,FALSE),0)</f>
        <v>0</v>
      </c>
      <c r="Q810" s="2">
        <f>IFERROR(VLOOKUP($D810&amp;$C810,生产方式定位!$A$2:$E$39,3,FALSE)+VLOOKUP($E810&amp;$C810,生产方式定位!$F$3:$J$39,3,FALSE),0)</f>
        <v>0</v>
      </c>
      <c r="V810" s="2" t="str">
        <f>IFERROR(VLOOKUP($D810&amp;$C810,生产方式定位!$A$2:$E$39,5,FALSE)+VLOOKUP($E810&amp;$C810,生产方式定位!$F$3:$J$39,5,FALSE),"错误")</f>
        <v>错误</v>
      </c>
      <c r="W810" s="3" t="str">
        <f t="shared" si="60"/>
        <v/>
      </c>
      <c r="X810" s="4" t="str">
        <f t="shared" si="61"/>
        <v/>
      </c>
      <c r="Y810" s="4" t="str">
        <f t="shared" si="62"/>
        <v/>
      </c>
      <c r="Z810" s="5" t="str">
        <f t="shared" si="63"/>
        <v/>
      </c>
      <c r="AA810" s="6">
        <f t="shared" si="64"/>
        <v>5</v>
      </c>
      <c r="AB810" t="str">
        <f>IFERROR(F810&amp;"*"&amp;ROUND(L810*(G810/(G810+I810+K810))/VLOOKUP(F810,商品!$A$4:$D$67,4,FALSE),0),"")</f>
        <v/>
      </c>
      <c r="AC810" t="str">
        <f>IFERROR(H810&amp;"*"&amp;ROUND(L810*(I810/(G810+I810+K810))/VLOOKUP(H810,商品!$A$4:$D$67,4,FALSE),0),"")</f>
        <v/>
      </c>
      <c r="AD810" t="str">
        <f>IFERROR(J810&amp;"*"&amp;ROUND(L810*(K810/(G810+I810+K810))/VLOOKUP(J810,商品!$A$4:$D$67,4,FALSE),0),"")</f>
        <v/>
      </c>
      <c r="AE810" t="str">
        <f>IFERROR(M810&amp;"*"&amp;ROUND(Q810*(N810/(N810+P810))/VLOOKUP(M810,职业!$A$3:$E$16,4,FALSE),0),"")</f>
        <v/>
      </c>
      <c r="AF810" t="str">
        <f>IFERROR(O810&amp;"*"&amp;ROUND(Q810*(P810/(N810+P810))/VLOOKUP(O810,职业!$A$3:$E$16,4,FALSE),0),"")</f>
        <v/>
      </c>
      <c r="AG810" t="str">
        <f>IFERROR(R810&amp;"*"&amp;ROUND(V810*(S810/(S810+U810))/VLOOKUP(R810,商品!$A$4:$D$67,4,FALSE),0),"")</f>
        <v/>
      </c>
      <c r="AH810" t="str">
        <f>IFERROR(T810&amp;"*"&amp;ROUND(V810*(U810/(S810+U810))/VLOOKUP(T810,商品!$A$4:$D$67,4,FALSE),0),"")</f>
        <v/>
      </c>
    </row>
    <row r="811" customHeight="1" spans="1:34">
      <c r="A811" s="15" t="s">
        <v>433</v>
      </c>
      <c r="C811" s="2">
        <v>1</v>
      </c>
      <c r="D811" s="2" t="s">
        <v>220</v>
      </c>
      <c r="E811" s="2" t="s">
        <v>255</v>
      </c>
      <c r="L811" s="2">
        <f>IFERROR(VLOOKUP($D811&amp;$C811,生产方式定位!$A$2:$E$39,2,FALSE)+VLOOKUP($E811&amp;$C811,生产方式定位!$F$3:$J$39,2,FALSE),0)</f>
        <v>2000</v>
      </c>
      <c r="Q811" s="2">
        <f>IFERROR(VLOOKUP($D811&amp;$C811,生产方式定位!$A$2:$E$39,3,FALSE)+VLOOKUP($E811&amp;$C811,生产方式定位!$F$3:$J$39,3,FALSE),0)</f>
        <v>2000</v>
      </c>
      <c r="V811" s="2">
        <f>IFERROR(VLOOKUP($D811&amp;$C811,生产方式定位!$A$2:$E$39,5,FALSE)+VLOOKUP($E811&amp;$C811,生产方式定位!$F$3:$J$39,5,FALSE),"错误")</f>
        <v>2000</v>
      </c>
      <c r="W811" s="3" t="str">
        <f t="shared" si="60"/>
        <v/>
      </c>
      <c r="X811" s="4" t="str">
        <f t="shared" si="61"/>
        <v/>
      </c>
      <c r="Y811" s="4" t="str">
        <f t="shared" si="62"/>
        <v/>
      </c>
      <c r="Z811" s="5">
        <f t="shared" si="63"/>
        <v>1</v>
      </c>
      <c r="AA811" s="6">
        <f t="shared" si="64"/>
        <v>1</v>
      </c>
      <c r="AB811" t="str">
        <f>IFERROR(F811&amp;"*"&amp;ROUND(L811*(G811/(G811+I811+K811))/VLOOKUP(F811,商品!$A$4:$D$67,4,FALSE),0),"")</f>
        <v/>
      </c>
      <c r="AC811" t="str">
        <f>IFERROR(H811&amp;"*"&amp;ROUND(L811*(I811/(G811+I811+K811))/VLOOKUP(H811,商品!$A$4:$D$67,4,FALSE),0),"")</f>
        <v/>
      </c>
      <c r="AD811" t="str">
        <f>IFERROR(J811&amp;"*"&amp;ROUND(L811*(K811/(G811+I811+K811))/VLOOKUP(J811,商品!$A$4:$D$67,4,FALSE),0),"")</f>
        <v/>
      </c>
      <c r="AE811" t="str">
        <f>IFERROR(M811&amp;"*"&amp;ROUND(Q811*(N811/(N811+P811))/VLOOKUP(M811,职业!$A$3:$E$16,4,FALSE),0),"")</f>
        <v/>
      </c>
      <c r="AF811" t="str">
        <f>IFERROR(O811&amp;"*"&amp;ROUND(Q811*(P811/(N811+P811))/VLOOKUP(O811,职业!$A$3:$E$16,4,FALSE),0),"")</f>
        <v/>
      </c>
      <c r="AG811" t="str">
        <f>IFERROR(R811&amp;"*"&amp;ROUND(V811*(S811/(S811+U811))/VLOOKUP(R811,商品!$A$4:$D$67,4,FALSE),0),"")</f>
        <v/>
      </c>
      <c r="AH811" t="str">
        <f>IFERROR(T811&amp;"*"&amp;ROUND(V811*(U811/(S811+U811))/VLOOKUP(T811,商品!$A$4:$D$67,4,FALSE),0),"")</f>
        <v/>
      </c>
    </row>
    <row r="812" customHeight="1" spans="1:34">
      <c r="A812" s="15" t="s">
        <v>433</v>
      </c>
      <c r="C812" s="2">
        <v>2</v>
      </c>
      <c r="D812" s="2" t="s">
        <v>220</v>
      </c>
      <c r="E812" s="2" t="s">
        <v>255</v>
      </c>
      <c r="L812" s="2">
        <f>IFERROR(VLOOKUP($D812&amp;$C812,生产方式定位!$A$2:$E$39,2,FALSE)+VLOOKUP($E812&amp;$C812,生产方式定位!$F$3:$J$39,2,FALSE),0)</f>
        <v>2500</v>
      </c>
      <c r="Q812" s="2">
        <f>IFERROR(VLOOKUP($D812&amp;$C812,生产方式定位!$A$2:$E$39,3,FALSE)+VLOOKUP($E812&amp;$C812,生产方式定位!$F$3:$J$39,3,FALSE),0)</f>
        <v>2200</v>
      </c>
      <c r="V812" s="2">
        <f>IFERROR(VLOOKUP($D812&amp;$C812,生产方式定位!$A$2:$E$39,5,FALSE)+VLOOKUP($E812&amp;$C812,生产方式定位!$F$3:$J$39,5,FALSE),"错误")</f>
        <v>2350</v>
      </c>
      <c r="W812" s="3" t="str">
        <f t="shared" si="60"/>
        <v/>
      </c>
      <c r="X812" s="4" t="str">
        <f t="shared" si="61"/>
        <v/>
      </c>
      <c r="Y812" s="4" t="str">
        <f t="shared" si="62"/>
        <v/>
      </c>
      <c r="Z812" s="5">
        <f t="shared" si="63"/>
        <v>1.06</v>
      </c>
      <c r="AA812" s="6">
        <f t="shared" si="64"/>
        <v>2</v>
      </c>
      <c r="AB812" t="str">
        <f>IFERROR(F812&amp;"*"&amp;ROUND(L812*(G812/(G812+I812+K812))/VLOOKUP(F812,商品!$A$4:$D$67,4,FALSE),0),"")</f>
        <v/>
      </c>
      <c r="AC812" t="str">
        <f>IFERROR(H812&amp;"*"&amp;ROUND(L812*(I812/(G812+I812+K812))/VLOOKUP(H812,商品!$A$4:$D$67,4,FALSE),0),"")</f>
        <v/>
      </c>
      <c r="AD812" t="str">
        <f>IFERROR(J812&amp;"*"&amp;ROUND(L812*(K812/(G812+I812+K812))/VLOOKUP(J812,商品!$A$4:$D$67,4,FALSE),0),"")</f>
        <v/>
      </c>
      <c r="AE812" t="str">
        <f>IFERROR(M812&amp;"*"&amp;ROUND(Q812*(N812/(N812+P812))/VLOOKUP(M812,职业!$A$3:$E$16,4,FALSE),0),"")</f>
        <v/>
      </c>
      <c r="AF812" t="str">
        <f>IFERROR(O812&amp;"*"&amp;ROUND(Q812*(P812/(N812+P812))/VLOOKUP(O812,职业!$A$3:$E$16,4,FALSE),0),"")</f>
        <v/>
      </c>
      <c r="AG812" t="str">
        <f>IFERROR(R812&amp;"*"&amp;ROUND(V812*(S812/(S812+U812))/VLOOKUP(R812,商品!$A$4:$D$67,4,FALSE),0),"")</f>
        <v/>
      </c>
      <c r="AH812" t="str">
        <f>IFERROR(T812&amp;"*"&amp;ROUND(V812*(U812/(S812+U812))/VLOOKUP(T812,商品!$A$4:$D$67,4,FALSE),0),"")</f>
        <v/>
      </c>
    </row>
    <row r="813" customHeight="1" spans="1:34">
      <c r="A813" s="15" t="s">
        <v>433</v>
      </c>
      <c r="C813" s="2">
        <v>3</v>
      </c>
      <c r="D813" s="2" t="s">
        <v>220</v>
      </c>
      <c r="E813" s="2" t="s">
        <v>255</v>
      </c>
      <c r="L813" s="2">
        <f>IFERROR(VLOOKUP($D813&amp;$C813,生产方式定位!$A$2:$E$39,2,FALSE)+VLOOKUP($E813&amp;$C813,生产方式定位!$F$3:$J$39,2,FALSE),0)</f>
        <v>3000</v>
      </c>
      <c r="Q813" s="2">
        <f>IFERROR(VLOOKUP($D813&amp;$C813,生产方式定位!$A$2:$E$39,3,FALSE)+VLOOKUP($E813&amp;$C813,生产方式定位!$F$3:$J$39,3,FALSE),0)</f>
        <v>2400</v>
      </c>
      <c r="V813" s="2">
        <f>IFERROR(VLOOKUP($D813&amp;$C813,生产方式定位!$A$2:$E$39,5,FALSE)+VLOOKUP($E813&amp;$C813,生产方式定位!$F$3:$J$39,5,FALSE),"错误")</f>
        <v>2700</v>
      </c>
      <c r="W813" s="3" t="str">
        <f t="shared" si="60"/>
        <v/>
      </c>
      <c r="X813" s="4" t="str">
        <f t="shared" si="61"/>
        <v/>
      </c>
      <c r="Y813" s="4" t="str">
        <f t="shared" si="62"/>
        <v/>
      </c>
      <c r="Z813" s="5">
        <f t="shared" si="63"/>
        <v>1.11</v>
      </c>
      <c r="AA813" s="6">
        <f t="shared" si="64"/>
        <v>3</v>
      </c>
      <c r="AB813" t="str">
        <f>IFERROR(F813&amp;"*"&amp;ROUND(L813*(G813/(G813+I813+K813))/VLOOKUP(F813,商品!$A$4:$D$67,4,FALSE),0),"")</f>
        <v/>
      </c>
      <c r="AC813" t="str">
        <f>IFERROR(H813&amp;"*"&amp;ROUND(L813*(I813/(G813+I813+K813))/VLOOKUP(H813,商品!$A$4:$D$67,4,FALSE),0),"")</f>
        <v/>
      </c>
      <c r="AD813" t="str">
        <f>IFERROR(J813&amp;"*"&amp;ROUND(L813*(K813/(G813+I813+K813))/VLOOKUP(J813,商品!$A$4:$D$67,4,FALSE),0),"")</f>
        <v/>
      </c>
      <c r="AE813" t="str">
        <f>IFERROR(M813&amp;"*"&amp;ROUND(Q813*(N813/(N813+P813))/VLOOKUP(M813,职业!$A$3:$E$16,4,FALSE),0),"")</f>
        <v/>
      </c>
      <c r="AF813" t="str">
        <f>IFERROR(O813&amp;"*"&amp;ROUND(Q813*(P813/(N813+P813))/VLOOKUP(O813,职业!$A$3:$E$16,4,FALSE),0),"")</f>
        <v/>
      </c>
      <c r="AG813" t="str">
        <f>IFERROR(R813&amp;"*"&amp;ROUND(V813*(S813/(S813+U813))/VLOOKUP(R813,商品!$A$4:$D$67,4,FALSE),0),"")</f>
        <v/>
      </c>
      <c r="AH813" t="str">
        <f>IFERROR(T813&amp;"*"&amp;ROUND(V813*(U813/(S813+U813))/VLOOKUP(T813,商品!$A$4:$D$67,4,FALSE),0),"")</f>
        <v/>
      </c>
    </row>
    <row r="814" customHeight="1" spans="1:34">
      <c r="A814" s="14" t="s">
        <v>434</v>
      </c>
      <c r="C814" s="2">
        <v>4</v>
      </c>
      <c r="D814" s="2" t="s">
        <v>220</v>
      </c>
      <c r="E814" s="2" t="s">
        <v>225</v>
      </c>
      <c r="L814" s="2">
        <f>IFERROR(VLOOKUP($D814&amp;$C814,生产方式定位!$A$2:$E$39,2,FALSE)+VLOOKUP($E814&amp;$C814,生产方式定位!$F$3:$J$39,2,FALSE),0)</f>
        <v>3500</v>
      </c>
      <c r="Q814" s="2">
        <f>IFERROR(VLOOKUP($D814&amp;$C814,生产方式定位!$A$2:$E$39,3,FALSE)+VLOOKUP($E814&amp;$C814,生产方式定位!$F$3:$J$39,3,FALSE),0)</f>
        <v>2600</v>
      </c>
      <c r="V814" s="2">
        <f>IFERROR(VLOOKUP($D814&amp;$C814,生产方式定位!$A$2:$E$39,5,FALSE)+VLOOKUP($E814&amp;$C814,生产方式定位!$F$3:$J$39,5,FALSE),"错误")</f>
        <v>3050</v>
      </c>
      <c r="W814" s="3" t="str">
        <f t="shared" si="60"/>
        <v/>
      </c>
      <c r="X814" s="4" t="str">
        <f t="shared" si="61"/>
        <v/>
      </c>
      <c r="Y814" s="4" t="str">
        <f t="shared" si="62"/>
        <v/>
      </c>
      <c r="Z814" s="5">
        <f t="shared" si="63"/>
        <v>1.15</v>
      </c>
      <c r="AA814" s="6">
        <f t="shared" si="64"/>
        <v>4</v>
      </c>
      <c r="AB814" t="str">
        <f>IFERROR(F814&amp;"*"&amp;ROUND(L814*(G814/(G814+I814+K814))/VLOOKUP(F814,商品!$A$4:$D$67,4,FALSE),0),"")</f>
        <v/>
      </c>
      <c r="AC814" t="str">
        <f>IFERROR(H814&amp;"*"&amp;ROUND(L814*(I814/(G814+I814+K814))/VLOOKUP(H814,商品!$A$4:$D$67,4,FALSE),0),"")</f>
        <v/>
      </c>
      <c r="AD814" t="str">
        <f>IFERROR(J814&amp;"*"&amp;ROUND(L814*(K814/(G814+I814+K814))/VLOOKUP(J814,商品!$A$4:$D$67,4,FALSE),0),"")</f>
        <v/>
      </c>
      <c r="AE814" t="str">
        <f>IFERROR(M814&amp;"*"&amp;ROUND(Q814*(N814/(N814+P814))/VLOOKUP(M814,职业!$A$3:$E$16,4,FALSE),0),"")</f>
        <v/>
      </c>
      <c r="AF814" t="str">
        <f>IFERROR(O814&amp;"*"&amp;ROUND(Q814*(P814/(N814+P814))/VLOOKUP(O814,职业!$A$3:$E$16,4,FALSE),0),"")</f>
        <v/>
      </c>
      <c r="AG814" t="str">
        <f>IFERROR(R814&amp;"*"&amp;ROUND(V814*(S814/(S814+U814))/VLOOKUP(R814,商品!$A$4:$D$67,4,FALSE),0),"")</f>
        <v/>
      </c>
      <c r="AH814" t="str">
        <f>IFERROR(T814&amp;"*"&amp;ROUND(V814*(U814/(S814+U814))/VLOOKUP(T814,商品!$A$4:$D$67,4,FALSE),0),"")</f>
        <v/>
      </c>
    </row>
    <row r="815" customHeight="1" spans="1:34">
      <c r="A815" s="14" t="s">
        <v>434</v>
      </c>
      <c r="C815" s="2">
        <v>5</v>
      </c>
      <c r="D815" s="2" t="s">
        <v>220</v>
      </c>
      <c r="E815" s="2" t="s">
        <v>225</v>
      </c>
      <c r="L815" s="2">
        <f>IFERROR(VLOOKUP($D815&amp;$C815,生产方式定位!$A$2:$E$39,2,FALSE)+VLOOKUP($E815&amp;$C815,生产方式定位!$F$3:$J$39,2,FALSE),0)</f>
        <v>4000</v>
      </c>
      <c r="Q815" s="2">
        <f>IFERROR(VLOOKUP($D815&amp;$C815,生产方式定位!$A$2:$E$39,3,FALSE)+VLOOKUP($E815&amp;$C815,生产方式定位!$F$3:$J$39,3,FALSE),0)</f>
        <v>2800</v>
      </c>
      <c r="V815" s="2">
        <f>IFERROR(VLOOKUP($D815&amp;$C815,生产方式定位!$A$2:$E$39,5,FALSE)+VLOOKUP($E815&amp;$C815,生产方式定位!$F$3:$J$39,5,FALSE),"错误")</f>
        <v>3400</v>
      </c>
      <c r="W815" s="3" t="str">
        <f t="shared" si="60"/>
        <v/>
      </c>
      <c r="X815" s="4" t="str">
        <f t="shared" si="61"/>
        <v/>
      </c>
      <c r="Y815" s="4" t="str">
        <f t="shared" si="62"/>
        <v/>
      </c>
      <c r="Z815" s="5">
        <f t="shared" si="63"/>
        <v>1.18</v>
      </c>
      <c r="AA815" s="6">
        <f t="shared" si="64"/>
        <v>5</v>
      </c>
      <c r="AB815" t="str">
        <f>IFERROR(F815&amp;"*"&amp;ROUND(L815*(G815/(G815+I815+K815))/VLOOKUP(F815,商品!$A$4:$D$67,4,FALSE),0),"")</f>
        <v/>
      </c>
      <c r="AC815" t="str">
        <f>IFERROR(H815&amp;"*"&amp;ROUND(L815*(I815/(G815+I815+K815))/VLOOKUP(H815,商品!$A$4:$D$67,4,FALSE),0),"")</f>
        <v/>
      </c>
      <c r="AD815" t="str">
        <f>IFERROR(J815&amp;"*"&amp;ROUND(L815*(K815/(G815+I815+K815))/VLOOKUP(J815,商品!$A$4:$D$67,4,FALSE),0),"")</f>
        <v/>
      </c>
      <c r="AE815" t="str">
        <f>IFERROR(M815&amp;"*"&amp;ROUND(Q815*(N815/(N815+P815))/VLOOKUP(M815,职业!$A$3:$E$16,4,FALSE),0),"")</f>
        <v/>
      </c>
      <c r="AF815" t="str">
        <f>IFERROR(O815&amp;"*"&amp;ROUND(Q815*(P815/(N815+P815))/VLOOKUP(O815,职业!$A$3:$E$16,4,FALSE),0),"")</f>
        <v/>
      </c>
      <c r="AG815" t="str">
        <f>IFERROR(R815&amp;"*"&amp;ROUND(V815*(S815/(S815+U815))/VLOOKUP(R815,商品!$A$4:$D$67,4,FALSE),0),"")</f>
        <v/>
      </c>
      <c r="AH815" t="str">
        <f>IFERROR(T815&amp;"*"&amp;ROUND(V815*(U815/(S815+U815))/VLOOKUP(T815,商品!$A$4:$D$67,4,FALSE),0),"")</f>
        <v/>
      </c>
    </row>
    <row r="816" customHeight="1" spans="1:34">
      <c r="A816" s="14" t="s">
        <v>434</v>
      </c>
      <c r="C816" s="2">
        <v>1</v>
      </c>
      <c r="D816" s="2" t="s">
        <v>220</v>
      </c>
      <c r="E816" s="2" t="s">
        <v>225</v>
      </c>
      <c r="L816" s="2">
        <f>IFERROR(VLOOKUP($D816&amp;$C816,生产方式定位!$A$2:$E$39,2,FALSE)+VLOOKUP($E816&amp;$C816,生产方式定位!$F$3:$J$39,2,FALSE),0)</f>
        <v>2000</v>
      </c>
      <c r="Q816" s="2">
        <f>IFERROR(VLOOKUP($D816&amp;$C816,生产方式定位!$A$2:$E$39,3,FALSE)+VLOOKUP($E816&amp;$C816,生产方式定位!$F$3:$J$39,3,FALSE),0)</f>
        <v>2000</v>
      </c>
      <c r="V816" s="2">
        <f>IFERROR(VLOOKUP($D816&amp;$C816,生产方式定位!$A$2:$E$39,5,FALSE)+VLOOKUP($E816&amp;$C816,生产方式定位!$F$3:$J$39,5,FALSE),"错误")</f>
        <v>2000</v>
      </c>
      <c r="W816" s="3" t="str">
        <f t="shared" si="60"/>
        <v/>
      </c>
      <c r="X816" s="4" t="str">
        <f t="shared" si="61"/>
        <v/>
      </c>
      <c r="Y816" s="4" t="str">
        <f t="shared" si="62"/>
        <v/>
      </c>
      <c r="Z816" s="5">
        <f t="shared" si="63"/>
        <v>1</v>
      </c>
      <c r="AA816" s="6">
        <f t="shared" si="64"/>
        <v>1</v>
      </c>
      <c r="AB816" t="str">
        <f>IFERROR(F816&amp;"*"&amp;ROUND(L816*(G816/(G816+I816+K816))/VLOOKUP(F816,商品!$A$4:$D$67,4,FALSE),0),"")</f>
        <v/>
      </c>
      <c r="AC816" t="str">
        <f>IFERROR(H816&amp;"*"&amp;ROUND(L816*(I816/(G816+I816+K816))/VLOOKUP(H816,商品!$A$4:$D$67,4,FALSE),0),"")</f>
        <v/>
      </c>
      <c r="AD816" t="str">
        <f>IFERROR(J816&amp;"*"&amp;ROUND(L816*(K816/(G816+I816+K816))/VLOOKUP(J816,商品!$A$4:$D$67,4,FALSE),0),"")</f>
        <v/>
      </c>
      <c r="AE816" t="str">
        <f>IFERROR(M816&amp;"*"&amp;ROUND(Q816*(N816/(N816+P816))/VLOOKUP(M816,职业!$A$3:$E$16,4,FALSE),0),"")</f>
        <v/>
      </c>
      <c r="AF816" t="str">
        <f>IFERROR(O816&amp;"*"&amp;ROUND(Q816*(P816/(N816+P816))/VLOOKUP(O816,职业!$A$3:$E$16,4,FALSE),0),"")</f>
        <v/>
      </c>
      <c r="AG816" t="str">
        <f>IFERROR(R816&amp;"*"&amp;ROUND(V816*(S816/(S816+U816))/VLOOKUP(R816,商品!$A$4:$D$67,4,FALSE),0),"")</f>
        <v/>
      </c>
      <c r="AH816" t="str">
        <f>IFERROR(T816&amp;"*"&amp;ROUND(V816*(U816/(S816+U816))/VLOOKUP(T816,商品!$A$4:$D$67,4,FALSE),0),"")</f>
        <v/>
      </c>
    </row>
    <row r="817" customHeight="1" spans="1:34">
      <c r="A817" s="14" t="s">
        <v>434</v>
      </c>
      <c r="C817" s="2">
        <v>2</v>
      </c>
      <c r="D817" s="2" t="s">
        <v>220</v>
      </c>
      <c r="E817" s="2" t="s">
        <v>225</v>
      </c>
      <c r="L817" s="2">
        <f>IFERROR(VLOOKUP($D817&amp;$C817,生产方式定位!$A$2:$E$39,2,FALSE)+VLOOKUP($E817&amp;$C817,生产方式定位!$F$3:$J$39,2,FALSE),0)</f>
        <v>2500</v>
      </c>
      <c r="Q817" s="2">
        <f>IFERROR(VLOOKUP($D817&amp;$C817,生产方式定位!$A$2:$E$39,3,FALSE)+VLOOKUP($E817&amp;$C817,生产方式定位!$F$3:$J$39,3,FALSE),0)</f>
        <v>2200</v>
      </c>
      <c r="V817" s="2">
        <f>IFERROR(VLOOKUP($D817&amp;$C817,生产方式定位!$A$2:$E$39,5,FALSE)+VLOOKUP($E817&amp;$C817,生产方式定位!$F$3:$J$39,5,FALSE),"错误")</f>
        <v>2350</v>
      </c>
      <c r="W817" s="3" t="str">
        <f t="shared" si="60"/>
        <v/>
      </c>
      <c r="X817" s="4" t="str">
        <f t="shared" si="61"/>
        <v/>
      </c>
      <c r="Y817" s="4" t="str">
        <f t="shared" si="62"/>
        <v/>
      </c>
      <c r="Z817" s="5">
        <f t="shared" si="63"/>
        <v>1.06</v>
      </c>
      <c r="AA817" s="6">
        <f t="shared" si="64"/>
        <v>2</v>
      </c>
      <c r="AB817" t="str">
        <f>IFERROR(F817&amp;"*"&amp;ROUND(L817*(G817/(G817+I817+K817))/VLOOKUP(F817,商品!$A$4:$D$67,4,FALSE),0),"")</f>
        <v/>
      </c>
      <c r="AC817" t="str">
        <f>IFERROR(H817&amp;"*"&amp;ROUND(L817*(I817/(G817+I817+K817))/VLOOKUP(H817,商品!$A$4:$D$67,4,FALSE),0),"")</f>
        <v/>
      </c>
      <c r="AD817" t="str">
        <f>IFERROR(J817&amp;"*"&amp;ROUND(L817*(K817/(G817+I817+K817))/VLOOKUP(J817,商品!$A$4:$D$67,4,FALSE),0),"")</f>
        <v/>
      </c>
      <c r="AE817" t="str">
        <f>IFERROR(M817&amp;"*"&amp;ROUND(Q817*(N817/(N817+P817))/VLOOKUP(M817,职业!$A$3:$E$16,4,FALSE),0),"")</f>
        <v/>
      </c>
      <c r="AF817" t="str">
        <f>IFERROR(O817&amp;"*"&amp;ROUND(Q817*(P817/(N817+P817))/VLOOKUP(O817,职业!$A$3:$E$16,4,FALSE),0),"")</f>
        <v/>
      </c>
      <c r="AG817" t="str">
        <f>IFERROR(R817&amp;"*"&amp;ROUND(V817*(S817/(S817+U817))/VLOOKUP(R817,商品!$A$4:$D$67,4,FALSE),0),"")</f>
        <v/>
      </c>
      <c r="AH817" t="str">
        <f>IFERROR(T817&amp;"*"&amp;ROUND(V817*(U817/(S817+U817))/VLOOKUP(T817,商品!$A$4:$D$67,4,FALSE),0),"")</f>
        <v/>
      </c>
    </row>
    <row r="818" customHeight="1" spans="1:34">
      <c r="A818" s="14" t="s">
        <v>434</v>
      </c>
      <c r="C818" s="2">
        <v>3</v>
      </c>
      <c r="D818" s="2" t="s">
        <v>220</v>
      </c>
      <c r="E818" s="2" t="s">
        <v>225</v>
      </c>
      <c r="L818" s="2">
        <f>IFERROR(VLOOKUP($D818&amp;$C818,生产方式定位!$A$2:$E$39,2,FALSE)+VLOOKUP($E818&amp;$C818,生产方式定位!$F$3:$J$39,2,FALSE),0)</f>
        <v>3000</v>
      </c>
      <c r="Q818" s="2">
        <f>IFERROR(VLOOKUP($D818&amp;$C818,生产方式定位!$A$2:$E$39,3,FALSE)+VLOOKUP($E818&amp;$C818,生产方式定位!$F$3:$J$39,3,FALSE),0)</f>
        <v>2400</v>
      </c>
      <c r="V818" s="2">
        <f>IFERROR(VLOOKUP($D818&amp;$C818,生产方式定位!$A$2:$E$39,5,FALSE)+VLOOKUP($E818&amp;$C818,生产方式定位!$F$3:$J$39,5,FALSE),"错误")</f>
        <v>2700</v>
      </c>
      <c r="W818" s="3" t="str">
        <f t="shared" si="60"/>
        <v/>
      </c>
      <c r="X818" s="4" t="str">
        <f t="shared" si="61"/>
        <v/>
      </c>
      <c r="Y818" s="4" t="str">
        <f t="shared" si="62"/>
        <v/>
      </c>
      <c r="Z818" s="5">
        <f t="shared" si="63"/>
        <v>1.11</v>
      </c>
      <c r="AA818" s="6">
        <f t="shared" si="64"/>
        <v>3</v>
      </c>
      <c r="AB818" t="str">
        <f>IFERROR(F818&amp;"*"&amp;ROUND(L818*(G818/(G818+I818+K818))/VLOOKUP(F818,商品!$A$4:$D$67,4,FALSE),0),"")</f>
        <v/>
      </c>
      <c r="AC818" t="str">
        <f>IFERROR(H818&amp;"*"&amp;ROUND(L818*(I818/(G818+I818+K818))/VLOOKUP(H818,商品!$A$4:$D$67,4,FALSE),0),"")</f>
        <v/>
      </c>
      <c r="AD818" t="str">
        <f>IFERROR(J818&amp;"*"&amp;ROUND(L818*(K818/(G818+I818+K818))/VLOOKUP(J818,商品!$A$4:$D$67,4,FALSE),0),"")</f>
        <v/>
      </c>
      <c r="AE818" t="str">
        <f>IFERROR(M818&amp;"*"&amp;ROUND(Q818*(N818/(N818+P818))/VLOOKUP(M818,职业!$A$3:$E$16,4,FALSE),0),"")</f>
        <v/>
      </c>
      <c r="AF818" t="str">
        <f>IFERROR(O818&amp;"*"&amp;ROUND(Q818*(P818/(N818+P818))/VLOOKUP(O818,职业!$A$3:$E$16,4,FALSE),0),"")</f>
        <v/>
      </c>
      <c r="AG818" t="str">
        <f>IFERROR(R818&amp;"*"&amp;ROUND(V818*(S818/(S818+U818))/VLOOKUP(R818,商品!$A$4:$D$67,4,FALSE),0),"")</f>
        <v/>
      </c>
      <c r="AH818" t="str">
        <f>IFERROR(T818&amp;"*"&amp;ROUND(V818*(U818/(S818+U818))/VLOOKUP(T818,商品!$A$4:$D$67,4,FALSE),0),"")</f>
        <v/>
      </c>
    </row>
    <row r="819" customHeight="1" spans="1:34">
      <c r="A819" s="14" t="s">
        <v>434</v>
      </c>
      <c r="C819" s="2">
        <v>4</v>
      </c>
      <c r="D819" s="2" t="s">
        <v>220</v>
      </c>
      <c r="E819" s="2" t="s">
        <v>225</v>
      </c>
      <c r="L819" s="2">
        <f>IFERROR(VLOOKUP($D819&amp;$C819,生产方式定位!$A$2:$E$39,2,FALSE)+VLOOKUP($E819&amp;$C819,生产方式定位!$F$3:$J$39,2,FALSE),0)</f>
        <v>3500</v>
      </c>
      <c r="Q819" s="2">
        <f>IFERROR(VLOOKUP($D819&amp;$C819,生产方式定位!$A$2:$E$39,3,FALSE)+VLOOKUP($E819&amp;$C819,生产方式定位!$F$3:$J$39,3,FALSE),0)</f>
        <v>2600</v>
      </c>
      <c r="V819" s="2">
        <f>IFERROR(VLOOKUP($D819&amp;$C819,生产方式定位!$A$2:$E$39,5,FALSE)+VLOOKUP($E819&amp;$C819,生产方式定位!$F$3:$J$39,5,FALSE),"错误")</f>
        <v>3050</v>
      </c>
      <c r="W819" s="3" t="str">
        <f t="shared" si="60"/>
        <v/>
      </c>
      <c r="X819" s="4" t="str">
        <f t="shared" si="61"/>
        <v/>
      </c>
      <c r="Y819" s="4" t="str">
        <f t="shared" si="62"/>
        <v/>
      </c>
      <c r="Z819" s="5">
        <f t="shared" si="63"/>
        <v>1.15</v>
      </c>
      <c r="AA819" s="6">
        <f t="shared" si="64"/>
        <v>4</v>
      </c>
      <c r="AB819" t="str">
        <f>IFERROR(F819&amp;"*"&amp;ROUND(L819*(G819/(G819+I819+K819))/VLOOKUP(F819,商品!$A$4:$D$67,4,FALSE),0),"")</f>
        <v/>
      </c>
      <c r="AC819" t="str">
        <f>IFERROR(H819&amp;"*"&amp;ROUND(L819*(I819/(G819+I819+K819))/VLOOKUP(H819,商品!$A$4:$D$67,4,FALSE),0),"")</f>
        <v/>
      </c>
      <c r="AD819" t="str">
        <f>IFERROR(J819&amp;"*"&amp;ROUND(L819*(K819/(G819+I819+K819))/VLOOKUP(J819,商品!$A$4:$D$67,4,FALSE),0),"")</f>
        <v/>
      </c>
      <c r="AE819" t="str">
        <f>IFERROR(M819&amp;"*"&amp;ROUND(Q819*(N819/(N819+P819))/VLOOKUP(M819,职业!$A$3:$E$16,4,FALSE),0),"")</f>
        <v/>
      </c>
      <c r="AF819" t="str">
        <f>IFERROR(O819&amp;"*"&amp;ROUND(Q819*(P819/(N819+P819))/VLOOKUP(O819,职业!$A$3:$E$16,4,FALSE),0),"")</f>
        <v/>
      </c>
      <c r="AG819" t="str">
        <f>IFERROR(R819&amp;"*"&amp;ROUND(V819*(S819/(S819+U819))/VLOOKUP(R819,商品!$A$4:$D$67,4,FALSE),0),"")</f>
        <v/>
      </c>
      <c r="AH819" t="str">
        <f>IFERROR(T819&amp;"*"&amp;ROUND(V819*(U819/(S819+U819))/VLOOKUP(T819,商品!$A$4:$D$67,4,FALSE),0),"")</f>
        <v/>
      </c>
    </row>
    <row r="820" customHeight="1" spans="1:34">
      <c r="A820" s="14" t="s">
        <v>434</v>
      </c>
      <c r="C820" s="2">
        <v>5</v>
      </c>
      <c r="D820" s="2" t="s">
        <v>220</v>
      </c>
      <c r="E820" s="2" t="s">
        <v>225</v>
      </c>
      <c r="L820" s="2">
        <f>IFERROR(VLOOKUP($D820&amp;$C820,生产方式定位!$A$2:$E$39,2,FALSE)+VLOOKUP($E820&amp;$C820,生产方式定位!$F$3:$J$39,2,FALSE),0)</f>
        <v>4000</v>
      </c>
      <c r="Q820" s="2">
        <f>IFERROR(VLOOKUP($D820&amp;$C820,生产方式定位!$A$2:$E$39,3,FALSE)+VLOOKUP($E820&amp;$C820,生产方式定位!$F$3:$J$39,3,FALSE),0)</f>
        <v>2800</v>
      </c>
      <c r="V820" s="2">
        <f>IFERROR(VLOOKUP($D820&amp;$C820,生产方式定位!$A$2:$E$39,5,FALSE)+VLOOKUP($E820&amp;$C820,生产方式定位!$F$3:$J$39,5,FALSE),"错误")</f>
        <v>3400</v>
      </c>
      <c r="W820" s="3" t="str">
        <f t="shared" si="60"/>
        <v/>
      </c>
      <c r="X820" s="4" t="str">
        <f t="shared" si="61"/>
        <v/>
      </c>
      <c r="Y820" s="4" t="str">
        <f t="shared" si="62"/>
        <v/>
      </c>
      <c r="Z820" s="5">
        <f t="shared" si="63"/>
        <v>1.18</v>
      </c>
      <c r="AA820" s="6">
        <f t="shared" si="64"/>
        <v>5</v>
      </c>
      <c r="AB820" t="str">
        <f>IFERROR(F820&amp;"*"&amp;ROUND(L820*(G820/(G820+I820+K820))/VLOOKUP(F820,商品!$A$4:$D$67,4,FALSE),0),"")</f>
        <v/>
      </c>
      <c r="AC820" t="str">
        <f>IFERROR(H820&amp;"*"&amp;ROUND(L820*(I820/(G820+I820+K820))/VLOOKUP(H820,商品!$A$4:$D$67,4,FALSE),0),"")</f>
        <v/>
      </c>
      <c r="AD820" t="str">
        <f>IFERROR(J820&amp;"*"&amp;ROUND(L820*(K820/(G820+I820+K820))/VLOOKUP(J820,商品!$A$4:$D$67,4,FALSE),0),"")</f>
        <v/>
      </c>
      <c r="AE820" t="str">
        <f>IFERROR(M820&amp;"*"&amp;ROUND(Q820*(N820/(N820+P820))/VLOOKUP(M820,职业!$A$3:$E$16,4,FALSE),0),"")</f>
        <v/>
      </c>
      <c r="AF820" t="str">
        <f>IFERROR(O820&amp;"*"&amp;ROUND(Q820*(P820/(N820+P820))/VLOOKUP(O820,职业!$A$3:$E$16,4,FALSE),0),"")</f>
        <v/>
      </c>
      <c r="AG820" t="str">
        <f>IFERROR(R820&amp;"*"&amp;ROUND(V820*(S820/(S820+U820))/VLOOKUP(R820,商品!$A$4:$D$67,4,FALSE),0),"")</f>
        <v/>
      </c>
      <c r="AH820" t="str">
        <f>IFERROR(T820&amp;"*"&amp;ROUND(V820*(U820/(S820+U820))/VLOOKUP(T820,商品!$A$4:$D$67,4,FALSE),0),"")</f>
        <v/>
      </c>
    </row>
    <row r="821" customHeight="1" spans="1:34">
      <c r="A821" s="14" t="s">
        <v>434</v>
      </c>
      <c r="C821" s="2">
        <v>1</v>
      </c>
      <c r="D821" s="2" t="s">
        <v>220</v>
      </c>
      <c r="E821" s="2" t="s">
        <v>225</v>
      </c>
      <c r="L821" s="2">
        <f>IFERROR(VLOOKUP($D821&amp;$C821,生产方式定位!$A$2:$E$39,2,FALSE)+VLOOKUP($E821&amp;$C821,生产方式定位!$F$3:$J$39,2,FALSE),0)</f>
        <v>2000</v>
      </c>
      <c r="Q821" s="2">
        <f>IFERROR(VLOOKUP($D821&amp;$C821,生产方式定位!$A$2:$E$39,3,FALSE)+VLOOKUP($E821&amp;$C821,生产方式定位!$F$3:$J$39,3,FALSE),0)</f>
        <v>2000</v>
      </c>
      <c r="V821" s="2">
        <f>IFERROR(VLOOKUP($D821&amp;$C821,生产方式定位!$A$2:$E$39,5,FALSE)+VLOOKUP($E821&amp;$C821,生产方式定位!$F$3:$J$39,5,FALSE),"错误")</f>
        <v>2000</v>
      </c>
      <c r="W821" s="3" t="str">
        <f t="shared" si="60"/>
        <v/>
      </c>
      <c r="X821" s="4" t="str">
        <f t="shared" si="61"/>
        <v/>
      </c>
      <c r="Y821" s="4" t="str">
        <f t="shared" si="62"/>
        <v/>
      </c>
      <c r="Z821" s="5">
        <f t="shared" si="63"/>
        <v>1</v>
      </c>
      <c r="AA821" s="6">
        <f t="shared" si="64"/>
        <v>1</v>
      </c>
      <c r="AB821" t="str">
        <f>IFERROR(F821&amp;"*"&amp;ROUND(L821*(G821/(G821+I821+K821))/VLOOKUP(F821,商品!$A$4:$D$67,4,FALSE),0),"")</f>
        <v/>
      </c>
      <c r="AC821" t="str">
        <f>IFERROR(H821&amp;"*"&amp;ROUND(L821*(I821/(G821+I821+K821))/VLOOKUP(H821,商品!$A$4:$D$67,4,FALSE),0),"")</f>
        <v/>
      </c>
      <c r="AD821" t="str">
        <f>IFERROR(J821&amp;"*"&amp;ROUND(L821*(K821/(G821+I821+K821))/VLOOKUP(J821,商品!$A$4:$D$67,4,FALSE),0),"")</f>
        <v/>
      </c>
      <c r="AE821" t="str">
        <f>IFERROR(M821&amp;"*"&amp;ROUND(Q821*(N821/(N821+P821))/VLOOKUP(M821,职业!$A$3:$E$16,4,FALSE),0),"")</f>
        <v/>
      </c>
      <c r="AF821" t="str">
        <f>IFERROR(O821&amp;"*"&amp;ROUND(Q821*(P821/(N821+P821))/VLOOKUP(O821,职业!$A$3:$E$16,4,FALSE),0),"")</f>
        <v/>
      </c>
      <c r="AG821" t="str">
        <f>IFERROR(R821&amp;"*"&amp;ROUND(V821*(S821/(S821+U821))/VLOOKUP(R821,商品!$A$4:$D$67,4,FALSE),0),"")</f>
        <v/>
      </c>
      <c r="AH821" t="str">
        <f>IFERROR(T821&amp;"*"&amp;ROUND(V821*(U821/(S821+U821))/VLOOKUP(T821,商品!$A$4:$D$67,4,FALSE),0),"")</f>
        <v/>
      </c>
    </row>
    <row r="822" customHeight="1" spans="1:34">
      <c r="A822" s="15" t="s">
        <v>436</v>
      </c>
      <c r="C822" s="2">
        <v>2</v>
      </c>
      <c r="D822" s="2" t="s">
        <v>220</v>
      </c>
      <c r="E822" s="2" t="s">
        <v>222</v>
      </c>
      <c r="L822" s="2">
        <f>IFERROR(VLOOKUP($D822&amp;$C822,生产方式定位!$A$2:$E$39,2,FALSE)+VLOOKUP($E822&amp;$C822,生产方式定位!$F$3:$J$39,2,FALSE),0)</f>
        <v>3500</v>
      </c>
      <c r="Q822" s="2">
        <f>IFERROR(VLOOKUP($D822&amp;$C822,生产方式定位!$A$2:$E$39,3,FALSE)+VLOOKUP($E822&amp;$C822,生产方式定位!$F$3:$J$39,3,FALSE),0)</f>
        <v>2400</v>
      </c>
      <c r="V822" s="2">
        <f>IFERROR(VLOOKUP($D822&amp;$C822,生产方式定位!$A$2:$E$39,5,FALSE)+VLOOKUP($E822&amp;$C822,生产方式定位!$F$3:$J$39,5,FALSE),"错误")</f>
        <v>3022</v>
      </c>
      <c r="W822" s="3" t="str">
        <f t="shared" si="60"/>
        <v/>
      </c>
      <c r="X822" s="4" t="str">
        <f t="shared" si="61"/>
        <v/>
      </c>
      <c r="Y822" s="4" t="str">
        <f t="shared" si="62"/>
        <v/>
      </c>
      <c r="Z822" s="5">
        <f t="shared" si="63"/>
        <v>1.16</v>
      </c>
      <c r="AA822" s="6">
        <f t="shared" si="64"/>
        <v>2</v>
      </c>
      <c r="AB822" t="str">
        <f>IFERROR(F822&amp;"*"&amp;ROUND(L822*(G822/(G822+I822+K822))/VLOOKUP(F822,商品!$A$4:$D$67,4,FALSE),0),"")</f>
        <v/>
      </c>
      <c r="AC822" t="str">
        <f>IFERROR(H822&amp;"*"&amp;ROUND(L822*(I822/(G822+I822+K822))/VLOOKUP(H822,商品!$A$4:$D$67,4,FALSE),0),"")</f>
        <v/>
      </c>
      <c r="AD822" t="str">
        <f>IFERROR(J822&amp;"*"&amp;ROUND(L822*(K822/(G822+I822+K822))/VLOOKUP(J822,商品!$A$4:$D$67,4,FALSE),0),"")</f>
        <v/>
      </c>
      <c r="AE822" t="str">
        <f>IFERROR(M822&amp;"*"&amp;ROUND(Q822*(N822/(N822+P822))/VLOOKUP(M822,职业!$A$3:$E$16,4,FALSE),0),"")</f>
        <v/>
      </c>
      <c r="AF822" t="str">
        <f>IFERROR(O822&amp;"*"&amp;ROUND(Q822*(P822/(N822+P822))/VLOOKUP(O822,职业!$A$3:$E$16,4,FALSE),0),"")</f>
        <v/>
      </c>
      <c r="AG822" t="str">
        <f>IFERROR(R822&amp;"*"&amp;ROUND(V822*(S822/(S822+U822))/VLOOKUP(R822,商品!$A$4:$D$67,4,FALSE),0),"")</f>
        <v/>
      </c>
      <c r="AH822" t="str">
        <f>IFERROR(T822&amp;"*"&amp;ROUND(V822*(U822/(S822+U822))/VLOOKUP(T822,商品!$A$4:$D$67,4,FALSE),0),"")</f>
        <v/>
      </c>
    </row>
    <row r="823" customHeight="1" spans="1:34">
      <c r="A823" s="15" t="s">
        <v>436</v>
      </c>
      <c r="C823" s="2">
        <v>3</v>
      </c>
      <c r="D823" s="2" t="s">
        <v>220</v>
      </c>
      <c r="E823" s="2" t="s">
        <v>222</v>
      </c>
      <c r="L823" s="2">
        <f>IFERROR(VLOOKUP($D823&amp;$C823,生产方式定位!$A$2:$E$39,2,FALSE)+VLOOKUP($E823&amp;$C823,生产方式定位!$F$3:$J$39,2,FALSE),0)</f>
        <v>5000</v>
      </c>
      <c r="Q823" s="2">
        <f>IFERROR(VLOOKUP($D823&amp;$C823,生产方式定位!$A$2:$E$39,3,FALSE)+VLOOKUP($E823&amp;$C823,生产方式定位!$F$3:$J$39,3,FALSE),0)</f>
        <v>2800</v>
      </c>
      <c r="V823" s="2">
        <f>IFERROR(VLOOKUP($D823&amp;$C823,生产方式定位!$A$2:$E$39,5,FALSE)+VLOOKUP($E823&amp;$C823,生产方式定位!$F$3:$J$39,5,FALSE),"错误")</f>
        <v>4188</v>
      </c>
      <c r="W823" s="3" t="str">
        <f t="shared" si="60"/>
        <v/>
      </c>
      <c r="X823" s="4" t="str">
        <f t="shared" si="61"/>
        <v/>
      </c>
      <c r="Y823" s="4" t="str">
        <f t="shared" si="62"/>
        <v/>
      </c>
      <c r="Z823" s="5">
        <f t="shared" si="63"/>
        <v>1.19</v>
      </c>
      <c r="AA823" s="6">
        <f t="shared" si="64"/>
        <v>3</v>
      </c>
      <c r="AB823" t="str">
        <f>IFERROR(F823&amp;"*"&amp;ROUND(L823*(G823/(G823+I823+K823))/VLOOKUP(F823,商品!$A$4:$D$67,4,FALSE),0),"")</f>
        <v/>
      </c>
      <c r="AC823" t="str">
        <f>IFERROR(H823&amp;"*"&amp;ROUND(L823*(I823/(G823+I823+K823))/VLOOKUP(H823,商品!$A$4:$D$67,4,FALSE),0),"")</f>
        <v/>
      </c>
      <c r="AD823" t="str">
        <f>IFERROR(J823&amp;"*"&amp;ROUND(L823*(K823/(G823+I823+K823))/VLOOKUP(J823,商品!$A$4:$D$67,4,FALSE),0),"")</f>
        <v/>
      </c>
      <c r="AE823" t="str">
        <f>IFERROR(M823&amp;"*"&amp;ROUND(Q823*(N823/(N823+P823))/VLOOKUP(M823,职业!$A$3:$E$16,4,FALSE),0),"")</f>
        <v/>
      </c>
      <c r="AF823" t="str">
        <f>IFERROR(O823&amp;"*"&amp;ROUND(Q823*(P823/(N823+P823))/VLOOKUP(O823,职业!$A$3:$E$16,4,FALSE),0),"")</f>
        <v/>
      </c>
      <c r="AG823" t="str">
        <f>IFERROR(R823&amp;"*"&amp;ROUND(V823*(S823/(S823+U823))/VLOOKUP(R823,商品!$A$4:$D$67,4,FALSE),0),"")</f>
        <v/>
      </c>
      <c r="AH823" t="str">
        <f>IFERROR(T823&amp;"*"&amp;ROUND(V823*(U823/(S823+U823))/VLOOKUP(T823,商品!$A$4:$D$67,4,FALSE),0),"")</f>
        <v/>
      </c>
    </row>
    <row r="824" customHeight="1" spans="1:34">
      <c r="A824" s="15" t="s">
        <v>436</v>
      </c>
      <c r="C824" s="2">
        <v>4</v>
      </c>
      <c r="D824" s="2" t="s">
        <v>220</v>
      </c>
      <c r="E824" s="2" t="s">
        <v>222</v>
      </c>
      <c r="L824" s="2">
        <f>IFERROR(VLOOKUP($D824&amp;$C824,生产方式定位!$A$2:$E$39,2,FALSE)+VLOOKUP($E824&amp;$C824,生产方式定位!$F$3:$J$39,2,FALSE),0)</f>
        <v>6500</v>
      </c>
      <c r="Q824" s="2">
        <f>IFERROR(VLOOKUP($D824&amp;$C824,生产方式定位!$A$2:$E$39,3,FALSE)+VLOOKUP($E824&amp;$C824,生产方式定位!$F$3:$J$39,3,FALSE),0)</f>
        <v>3200</v>
      </c>
      <c r="V824" s="2">
        <f>IFERROR(VLOOKUP($D824&amp;$C824,生产方式定位!$A$2:$E$39,5,FALSE)+VLOOKUP($E824&amp;$C824,生产方式定位!$F$3:$J$39,5,FALSE),"错误")</f>
        <v>5498</v>
      </c>
      <c r="W824" s="3" t="str">
        <f t="shared" si="60"/>
        <v/>
      </c>
      <c r="X824" s="4" t="str">
        <f t="shared" si="61"/>
        <v/>
      </c>
      <c r="Y824" s="4" t="str">
        <f t="shared" si="62"/>
        <v/>
      </c>
      <c r="Z824" s="5">
        <f t="shared" si="63"/>
        <v>1.18</v>
      </c>
      <c r="AA824" s="6">
        <f t="shared" si="64"/>
        <v>4</v>
      </c>
      <c r="AB824" t="str">
        <f>IFERROR(F824&amp;"*"&amp;ROUND(L824*(G824/(G824+I824+K824))/VLOOKUP(F824,商品!$A$4:$D$67,4,FALSE),0),"")</f>
        <v/>
      </c>
      <c r="AC824" t="str">
        <f>IFERROR(H824&amp;"*"&amp;ROUND(L824*(I824/(G824+I824+K824))/VLOOKUP(H824,商品!$A$4:$D$67,4,FALSE),0),"")</f>
        <v/>
      </c>
      <c r="AD824" t="str">
        <f>IFERROR(J824&amp;"*"&amp;ROUND(L824*(K824/(G824+I824+K824))/VLOOKUP(J824,商品!$A$4:$D$67,4,FALSE),0),"")</f>
        <v/>
      </c>
      <c r="AE824" t="str">
        <f>IFERROR(M824&amp;"*"&amp;ROUND(Q824*(N824/(N824+P824))/VLOOKUP(M824,职业!$A$3:$E$16,4,FALSE),0),"")</f>
        <v/>
      </c>
      <c r="AF824" t="str">
        <f>IFERROR(O824&amp;"*"&amp;ROUND(Q824*(P824/(N824+P824))/VLOOKUP(O824,职业!$A$3:$E$16,4,FALSE),0),"")</f>
        <v/>
      </c>
      <c r="AG824" t="str">
        <f>IFERROR(R824&amp;"*"&amp;ROUND(V824*(S824/(S824+U824))/VLOOKUP(R824,商品!$A$4:$D$67,4,FALSE),0),"")</f>
        <v/>
      </c>
      <c r="AH824" t="str">
        <f>IFERROR(T824&amp;"*"&amp;ROUND(V824*(U824/(S824+U824))/VLOOKUP(T824,商品!$A$4:$D$67,4,FALSE),0),"")</f>
        <v/>
      </c>
    </row>
    <row r="825" customHeight="1" spans="1:34">
      <c r="A825" s="15" t="s">
        <v>436</v>
      </c>
      <c r="C825" s="2">
        <v>5</v>
      </c>
      <c r="D825" s="2" t="s">
        <v>220</v>
      </c>
      <c r="E825" s="2" t="s">
        <v>222</v>
      </c>
      <c r="L825" s="2">
        <f>IFERROR(VLOOKUP($D825&amp;$C825,生产方式定位!$A$2:$E$39,2,FALSE)+VLOOKUP($E825&amp;$C825,生产方式定位!$F$3:$J$39,2,FALSE),0)</f>
        <v>8000</v>
      </c>
      <c r="Q825" s="2">
        <f>IFERROR(VLOOKUP($D825&amp;$C825,生产方式定位!$A$2:$E$39,3,FALSE)+VLOOKUP($E825&amp;$C825,生产方式定位!$F$3:$J$39,3,FALSE),0)</f>
        <v>3600</v>
      </c>
      <c r="V825" s="2">
        <f>IFERROR(VLOOKUP($D825&amp;$C825,生产方式定位!$A$2:$E$39,5,FALSE)+VLOOKUP($E825&amp;$C825,生产方式定位!$F$3:$J$39,5,FALSE),"错误")</f>
        <v>7000</v>
      </c>
      <c r="W825" s="3" t="str">
        <f t="shared" si="60"/>
        <v/>
      </c>
      <c r="X825" s="4" t="str">
        <f t="shared" si="61"/>
        <v/>
      </c>
      <c r="Y825" s="4" t="str">
        <f t="shared" si="62"/>
        <v/>
      </c>
      <c r="Z825" s="5">
        <f t="shared" si="63"/>
        <v>1.14</v>
      </c>
      <c r="AA825" s="6">
        <f t="shared" si="64"/>
        <v>5</v>
      </c>
      <c r="AB825" t="str">
        <f>IFERROR(F825&amp;"*"&amp;ROUND(L825*(G825/(G825+I825+K825))/VLOOKUP(F825,商品!$A$4:$D$67,4,FALSE),0),"")</f>
        <v/>
      </c>
      <c r="AC825" t="str">
        <f>IFERROR(H825&amp;"*"&amp;ROUND(L825*(I825/(G825+I825+K825))/VLOOKUP(H825,商品!$A$4:$D$67,4,FALSE),0),"")</f>
        <v/>
      </c>
      <c r="AD825" t="str">
        <f>IFERROR(J825&amp;"*"&amp;ROUND(L825*(K825/(G825+I825+K825))/VLOOKUP(J825,商品!$A$4:$D$67,4,FALSE),0),"")</f>
        <v/>
      </c>
      <c r="AE825" t="str">
        <f>IFERROR(M825&amp;"*"&amp;ROUND(Q825*(N825/(N825+P825))/VLOOKUP(M825,职业!$A$3:$E$16,4,FALSE),0),"")</f>
        <v/>
      </c>
      <c r="AF825" t="str">
        <f>IFERROR(O825&amp;"*"&amp;ROUND(Q825*(P825/(N825+P825))/VLOOKUP(O825,职业!$A$3:$E$16,4,FALSE),0),"")</f>
        <v/>
      </c>
      <c r="AG825" t="str">
        <f>IFERROR(R825&amp;"*"&amp;ROUND(V825*(S825/(S825+U825))/VLOOKUP(R825,商品!$A$4:$D$67,4,FALSE),0),"")</f>
        <v/>
      </c>
      <c r="AH825" t="str">
        <f>IFERROR(T825&amp;"*"&amp;ROUND(V825*(U825/(S825+U825))/VLOOKUP(T825,商品!$A$4:$D$67,4,FALSE),0),"")</f>
        <v/>
      </c>
    </row>
    <row r="826" customHeight="1" spans="1:34">
      <c r="A826" s="15" t="s">
        <v>436</v>
      </c>
      <c r="C826" s="2">
        <v>1</v>
      </c>
      <c r="D826" s="2" t="s">
        <v>220</v>
      </c>
      <c r="E826" s="2" t="s">
        <v>222</v>
      </c>
      <c r="L826" s="2">
        <f>IFERROR(VLOOKUP($D826&amp;$C826,生产方式定位!$A$2:$E$39,2,FALSE)+VLOOKUP($E826&amp;$C826,生产方式定位!$F$3:$J$39,2,FALSE),0)</f>
        <v>2000</v>
      </c>
      <c r="Q826" s="2">
        <f>IFERROR(VLOOKUP($D826&amp;$C826,生产方式定位!$A$2:$E$39,3,FALSE)+VLOOKUP($E826&amp;$C826,生产方式定位!$F$3:$J$39,3,FALSE),0)</f>
        <v>2000</v>
      </c>
      <c r="V826" s="2">
        <f>IFERROR(VLOOKUP($D826&amp;$C826,生产方式定位!$A$2:$E$39,5,FALSE)+VLOOKUP($E826&amp;$C826,生产方式定位!$F$3:$J$39,5,FALSE),"错误")</f>
        <v>2000</v>
      </c>
      <c r="W826" s="3" t="str">
        <f t="shared" si="60"/>
        <v/>
      </c>
      <c r="X826" s="4" t="str">
        <f t="shared" si="61"/>
        <v/>
      </c>
      <c r="Y826" s="4" t="str">
        <f t="shared" si="62"/>
        <v/>
      </c>
      <c r="Z826" s="5">
        <f t="shared" si="63"/>
        <v>1</v>
      </c>
      <c r="AA826" s="6">
        <f t="shared" si="64"/>
        <v>1</v>
      </c>
      <c r="AB826" t="str">
        <f>IFERROR(F826&amp;"*"&amp;ROUND(L826*(G826/(G826+I826+K826))/VLOOKUP(F826,商品!$A$4:$D$67,4,FALSE),0),"")</f>
        <v/>
      </c>
      <c r="AC826" t="str">
        <f>IFERROR(H826&amp;"*"&amp;ROUND(L826*(I826/(G826+I826+K826))/VLOOKUP(H826,商品!$A$4:$D$67,4,FALSE),0),"")</f>
        <v/>
      </c>
      <c r="AD826" t="str">
        <f>IFERROR(J826&amp;"*"&amp;ROUND(L826*(K826/(G826+I826+K826))/VLOOKUP(J826,商品!$A$4:$D$67,4,FALSE),0),"")</f>
        <v/>
      </c>
      <c r="AE826" t="str">
        <f>IFERROR(M826&amp;"*"&amp;ROUND(Q826*(N826/(N826+P826))/VLOOKUP(M826,职业!$A$3:$E$16,4,FALSE),0),"")</f>
        <v/>
      </c>
      <c r="AF826" t="str">
        <f>IFERROR(O826&amp;"*"&amp;ROUND(Q826*(P826/(N826+P826))/VLOOKUP(O826,职业!$A$3:$E$16,4,FALSE),0),"")</f>
        <v/>
      </c>
      <c r="AG826" t="str">
        <f>IFERROR(R826&amp;"*"&amp;ROUND(V826*(S826/(S826+U826))/VLOOKUP(R826,商品!$A$4:$D$67,4,FALSE),0),"")</f>
        <v/>
      </c>
      <c r="AH826" t="str">
        <f>IFERROR(T826&amp;"*"&amp;ROUND(V826*(U826/(S826+U826))/VLOOKUP(T826,商品!$A$4:$D$67,4,FALSE),0),"")</f>
        <v/>
      </c>
    </row>
    <row r="827" customHeight="1" spans="1:34">
      <c r="A827" s="14" t="s">
        <v>437</v>
      </c>
      <c r="C827" s="2">
        <v>2</v>
      </c>
      <c r="D827" s="2" t="s">
        <v>220</v>
      </c>
      <c r="E827" s="2" t="s">
        <v>224</v>
      </c>
      <c r="L827" s="2">
        <f>IFERROR(VLOOKUP($D827&amp;$C827,生产方式定位!$A$2:$E$39,2,FALSE)+VLOOKUP($E827&amp;$C827,生产方式定位!$F$3:$J$39,2,FALSE),0)</f>
        <v>4500</v>
      </c>
      <c r="Q827" s="2">
        <f>IFERROR(VLOOKUP($D827&amp;$C827,生产方式定位!$A$2:$E$39,3,FALSE)+VLOOKUP($E827&amp;$C827,生产方式定位!$F$3:$J$39,3,FALSE),0)</f>
        <v>2000</v>
      </c>
      <c r="V827" s="2">
        <f>IFERROR(VLOOKUP($D827&amp;$C827,生产方式定位!$A$2:$E$39,5,FALSE)+VLOOKUP($E827&amp;$C827,生产方式定位!$F$3:$J$39,5,FALSE),"错误")</f>
        <v>3340</v>
      </c>
      <c r="W827" s="3" t="str">
        <f t="shared" si="60"/>
        <v/>
      </c>
      <c r="X827" s="4" t="str">
        <f t="shared" si="61"/>
        <v/>
      </c>
      <c r="Y827" s="4" t="str">
        <f t="shared" si="62"/>
        <v/>
      </c>
      <c r="Z827" s="5">
        <f t="shared" si="63"/>
        <v>1.35</v>
      </c>
      <c r="AA827" s="6">
        <f t="shared" si="64"/>
        <v>2</v>
      </c>
      <c r="AB827" t="str">
        <f>IFERROR(F827&amp;"*"&amp;ROUND(L827*(G827/(G827+I827+K827))/VLOOKUP(F827,商品!$A$4:$D$67,4,FALSE),0),"")</f>
        <v/>
      </c>
      <c r="AC827" t="str">
        <f>IFERROR(H827&amp;"*"&amp;ROUND(L827*(I827/(G827+I827+K827))/VLOOKUP(H827,商品!$A$4:$D$67,4,FALSE),0),"")</f>
        <v/>
      </c>
      <c r="AD827" t="str">
        <f>IFERROR(J827&amp;"*"&amp;ROUND(L827*(K827/(G827+I827+K827))/VLOOKUP(J827,商品!$A$4:$D$67,4,FALSE),0),"")</f>
        <v/>
      </c>
      <c r="AE827" t="str">
        <f>IFERROR(M827&amp;"*"&amp;ROUND(Q827*(N827/(N827+P827))/VLOOKUP(M827,职业!$A$3:$E$16,4,FALSE),0),"")</f>
        <v/>
      </c>
      <c r="AF827" t="str">
        <f>IFERROR(O827&amp;"*"&amp;ROUND(Q827*(P827/(N827+P827))/VLOOKUP(O827,职业!$A$3:$E$16,4,FALSE),0),"")</f>
        <v/>
      </c>
      <c r="AG827" t="str">
        <f>IFERROR(R827&amp;"*"&amp;ROUND(V827*(S827/(S827+U827))/VLOOKUP(R827,商品!$A$4:$D$67,4,FALSE),0),"")</f>
        <v/>
      </c>
      <c r="AH827" t="str">
        <f>IFERROR(T827&amp;"*"&amp;ROUND(V827*(U827/(S827+U827))/VLOOKUP(T827,商品!$A$4:$D$67,4,FALSE),0),"")</f>
        <v/>
      </c>
    </row>
    <row r="828" customHeight="1" spans="1:34">
      <c r="A828" s="14" t="s">
        <v>437</v>
      </c>
      <c r="C828" s="2">
        <v>3</v>
      </c>
      <c r="D828" s="2" t="s">
        <v>220</v>
      </c>
      <c r="E828" s="2" t="s">
        <v>224</v>
      </c>
      <c r="L828" s="2">
        <f>IFERROR(VLOOKUP($D828&amp;$C828,生产方式定位!$A$2:$E$39,2,FALSE)+VLOOKUP($E828&amp;$C828,生产方式定位!$F$3:$J$39,2,FALSE),0)</f>
        <v>6000</v>
      </c>
      <c r="Q828" s="2">
        <f>IFERROR(VLOOKUP($D828&amp;$C828,生产方式定位!$A$2:$E$39,3,FALSE)+VLOOKUP($E828&amp;$C828,生产方式定位!$F$3:$J$39,3,FALSE),0)</f>
        <v>2000</v>
      </c>
      <c r="V828" s="2">
        <f>IFERROR(VLOOKUP($D828&amp;$C828,生产方式定位!$A$2:$E$39,5,FALSE)+VLOOKUP($E828&amp;$C828,生产方式定位!$F$3:$J$39,5,FALSE),"错误")</f>
        <v>4260</v>
      </c>
      <c r="W828" s="3" t="str">
        <f t="shared" si="60"/>
        <v/>
      </c>
      <c r="X828" s="4" t="str">
        <f t="shared" si="61"/>
        <v/>
      </c>
      <c r="Y828" s="4" t="str">
        <f t="shared" si="62"/>
        <v/>
      </c>
      <c r="Z828" s="5">
        <f t="shared" si="63"/>
        <v>1.41</v>
      </c>
      <c r="AA828" s="6">
        <f t="shared" si="64"/>
        <v>3</v>
      </c>
      <c r="AB828" t="str">
        <f>IFERROR(F828&amp;"*"&amp;ROUND(L828*(G828/(G828+I828+K828))/VLOOKUP(F828,商品!$A$4:$D$67,4,FALSE),0),"")</f>
        <v/>
      </c>
      <c r="AC828" t="str">
        <f>IFERROR(H828&amp;"*"&amp;ROUND(L828*(I828/(G828+I828+K828))/VLOOKUP(H828,商品!$A$4:$D$67,4,FALSE),0),"")</f>
        <v/>
      </c>
      <c r="AD828" t="str">
        <f>IFERROR(J828&amp;"*"&amp;ROUND(L828*(K828/(G828+I828+K828))/VLOOKUP(J828,商品!$A$4:$D$67,4,FALSE),0),"")</f>
        <v/>
      </c>
      <c r="AE828" t="str">
        <f>IFERROR(M828&amp;"*"&amp;ROUND(Q828*(N828/(N828+P828))/VLOOKUP(M828,职业!$A$3:$E$16,4,FALSE),0),"")</f>
        <v/>
      </c>
      <c r="AF828" t="str">
        <f>IFERROR(O828&amp;"*"&amp;ROUND(Q828*(P828/(N828+P828))/VLOOKUP(O828,职业!$A$3:$E$16,4,FALSE),0),"")</f>
        <v/>
      </c>
      <c r="AG828" t="str">
        <f>IFERROR(R828&amp;"*"&amp;ROUND(V828*(S828/(S828+U828))/VLOOKUP(R828,商品!$A$4:$D$67,4,FALSE),0),"")</f>
        <v/>
      </c>
      <c r="AH828" t="str">
        <f>IFERROR(T828&amp;"*"&amp;ROUND(V828*(U828/(S828+U828))/VLOOKUP(T828,商品!$A$4:$D$67,4,FALSE),0),"")</f>
        <v/>
      </c>
    </row>
    <row r="829" customHeight="1" spans="1:34">
      <c r="A829" s="14" t="s">
        <v>437</v>
      </c>
      <c r="C829" s="2">
        <v>4</v>
      </c>
      <c r="D829" s="2" t="s">
        <v>220</v>
      </c>
      <c r="E829" s="2" t="s">
        <v>224</v>
      </c>
      <c r="L829" s="2">
        <f>IFERROR(VLOOKUP($D829&amp;$C829,生产方式定位!$A$2:$E$39,2,FALSE)+VLOOKUP($E829&amp;$C829,生产方式定位!$F$3:$J$39,2,FALSE),0)</f>
        <v>7500</v>
      </c>
      <c r="Q829" s="2">
        <f>IFERROR(VLOOKUP($D829&amp;$C829,生产方式定位!$A$2:$E$39,3,FALSE)+VLOOKUP($E829&amp;$C829,生产方式定位!$F$3:$J$39,3,FALSE),0)</f>
        <v>2000</v>
      </c>
      <c r="V829" s="2">
        <f>IFERROR(VLOOKUP($D829&amp;$C829,生产方式定位!$A$2:$E$39,5,FALSE)+VLOOKUP($E829&amp;$C829,生产方式定位!$F$3:$J$39,5,FALSE),"错误")</f>
        <v>5260</v>
      </c>
      <c r="W829" s="3" t="str">
        <f t="shared" si="60"/>
        <v/>
      </c>
      <c r="X829" s="4" t="str">
        <f t="shared" si="61"/>
        <v/>
      </c>
      <c r="Y829" s="4" t="str">
        <f t="shared" si="62"/>
        <v/>
      </c>
      <c r="Z829" s="5">
        <f t="shared" si="63"/>
        <v>1.43</v>
      </c>
      <c r="AA829" s="6">
        <f t="shared" si="64"/>
        <v>4</v>
      </c>
      <c r="AB829" t="str">
        <f>IFERROR(F829&amp;"*"&amp;ROUND(L829*(G829/(G829+I829+K829))/VLOOKUP(F829,商品!$A$4:$D$67,4,FALSE),0),"")</f>
        <v/>
      </c>
      <c r="AC829" t="str">
        <f>IFERROR(H829&amp;"*"&amp;ROUND(L829*(I829/(G829+I829+K829))/VLOOKUP(H829,商品!$A$4:$D$67,4,FALSE),0),"")</f>
        <v/>
      </c>
      <c r="AD829" t="str">
        <f>IFERROR(J829&amp;"*"&amp;ROUND(L829*(K829/(G829+I829+K829))/VLOOKUP(J829,商品!$A$4:$D$67,4,FALSE),0),"")</f>
        <v/>
      </c>
      <c r="AE829" t="str">
        <f>IFERROR(M829&amp;"*"&amp;ROUND(Q829*(N829/(N829+P829))/VLOOKUP(M829,职业!$A$3:$E$16,4,FALSE),0),"")</f>
        <v/>
      </c>
      <c r="AF829" t="str">
        <f>IFERROR(O829&amp;"*"&amp;ROUND(Q829*(P829/(N829+P829))/VLOOKUP(O829,职业!$A$3:$E$16,4,FALSE),0),"")</f>
        <v/>
      </c>
      <c r="AG829" t="str">
        <f>IFERROR(R829&amp;"*"&amp;ROUND(V829*(S829/(S829+U829))/VLOOKUP(R829,商品!$A$4:$D$67,4,FALSE),0),"")</f>
        <v/>
      </c>
      <c r="AH829" t="str">
        <f>IFERROR(T829&amp;"*"&amp;ROUND(V829*(U829/(S829+U829))/VLOOKUP(T829,商品!$A$4:$D$67,4,FALSE),0),"")</f>
        <v/>
      </c>
    </row>
    <row r="830" customHeight="1" spans="1:34">
      <c r="A830" s="14" t="s">
        <v>437</v>
      </c>
      <c r="C830" s="2">
        <v>5</v>
      </c>
      <c r="D830" s="2" t="s">
        <v>220</v>
      </c>
      <c r="E830" s="2" t="s">
        <v>224</v>
      </c>
      <c r="L830" s="2">
        <f>IFERROR(VLOOKUP($D830&amp;$C830,生产方式定位!$A$2:$E$39,2,FALSE)+VLOOKUP($E830&amp;$C830,生产方式定位!$F$3:$J$39,2,FALSE),0)</f>
        <v>9000</v>
      </c>
      <c r="Q830" s="2">
        <f>IFERROR(VLOOKUP($D830&amp;$C830,生产方式定位!$A$2:$E$39,3,FALSE)+VLOOKUP($E830&amp;$C830,生产方式定位!$F$3:$J$39,3,FALSE),0)</f>
        <v>2000</v>
      </c>
      <c r="V830" s="2">
        <f>IFERROR(VLOOKUP($D830&amp;$C830,生产方式定位!$A$2:$E$39,5,FALSE)+VLOOKUP($E830&amp;$C830,生产方式定位!$F$3:$J$39,5,FALSE),"错误")</f>
        <v>6340</v>
      </c>
      <c r="W830" s="3" t="str">
        <f t="shared" si="60"/>
        <v/>
      </c>
      <c r="X830" s="4" t="str">
        <f t="shared" si="61"/>
        <v/>
      </c>
      <c r="Y830" s="4" t="str">
        <f t="shared" si="62"/>
        <v/>
      </c>
      <c r="Z830" s="5">
        <f t="shared" si="63"/>
        <v>1.42</v>
      </c>
      <c r="AA830" s="6">
        <f t="shared" si="64"/>
        <v>5</v>
      </c>
      <c r="AB830" t="str">
        <f>IFERROR(F830&amp;"*"&amp;ROUND(L830*(G830/(G830+I830+K830))/VLOOKUP(F830,商品!$A$4:$D$67,4,FALSE),0),"")</f>
        <v/>
      </c>
      <c r="AC830" t="str">
        <f>IFERROR(H830&amp;"*"&amp;ROUND(L830*(I830/(G830+I830+K830))/VLOOKUP(H830,商品!$A$4:$D$67,4,FALSE),0),"")</f>
        <v/>
      </c>
      <c r="AD830" t="str">
        <f>IFERROR(J830&amp;"*"&amp;ROUND(L830*(K830/(G830+I830+K830))/VLOOKUP(J830,商品!$A$4:$D$67,4,FALSE),0),"")</f>
        <v/>
      </c>
      <c r="AE830" t="str">
        <f>IFERROR(M830&amp;"*"&amp;ROUND(Q830*(N830/(N830+P830))/VLOOKUP(M830,职业!$A$3:$E$16,4,FALSE),0),"")</f>
        <v/>
      </c>
      <c r="AF830" t="str">
        <f>IFERROR(O830&amp;"*"&amp;ROUND(Q830*(P830/(N830+P830))/VLOOKUP(O830,职业!$A$3:$E$16,4,FALSE),0),"")</f>
        <v/>
      </c>
      <c r="AG830" t="str">
        <f>IFERROR(R830&amp;"*"&amp;ROUND(V830*(S830/(S830+U830))/VLOOKUP(R830,商品!$A$4:$D$67,4,FALSE),0),"")</f>
        <v/>
      </c>
      <c r="AH830" t="str">
        <f>IFERROR(T830&amp;"*"&amp;ROUND(V830*(U830/(S830+U830))/VLOOKUP(T830,商品!$A$4:$D$67,4,FALSE),0),"")</f>
        <v/>
      </c>
    </row>
    <row r="831" customHeight="1" spans="1:34">
      <c r="A831" s="14" t="s">
        <v>437</v>
      </c>
      <c r="C831" s="2">
        <v>1</v>
      </c>
      <c r="D831" s="2" t="s">
        <v>220</v>
      </c>
      <c r="E831" s="2" t="s">
        <v>224</v>
      </c>
      <c r="L831" s="2">
        <f>IFERROR(VLOOKUP($D831&amp;$C831,生产方式定位!$A$2:$E$39,2,FALSE)+VLOOKUP($E831&amp;$C831,生产方式定位!$F$3:$J$39,2,FALSE),0)</f>
        <v>2000</v>
      </c>
      <c r="Q831" s="2">
        <f>IFERROR(VLOOKUP($D831&amp;$C831,生产方式定位!$A$2:$E$39,3,FALSE)+VLOOKUP($E831&amp;$C831,生产方式定位!$F$3:$J$39,3,FALSE),0)</f>
        <v>2000</v>
      </c>
      <c r="V831" s="2">
        <f>IFERROR(VLOOKUP($D831&amp;$C831,生产方式定位!$A$2:$E$39,5,FALSE)+VLOOKUP($E831&amp;$C831,生产方式定位!$F$3:$J$39,5,FALSE),"错误")</f>
        <v>2000</v>
      </c>
      <c r="W831" s="3" t="str">
        <f t="shared" si="60"/>
        <v/>
      </c>
      <c r="X831" s="4" t="str">
        <f t="shared" si="61"/>
        <v/>
      </c>
      <c r="Y831" s="4" t="str">
        <f t="shared" si="62"/>
        <v/>
      </c>
      <c r="Z831" s="5">
        <f t="shared" si="63"/>
        <v>1</v>
      </c>
      <c r="AA831" s="6">
        <f t="shared" si="64"/>
        <v>1</v>
      </c>
      <c r="AB831" t="str">
        <f>IFERROR(F831&amp;"*"&amp;ROUND(L831*(G831/(G831+I831+K831))/VLOOKUP(F831,商品!$A$4:$D$67,4,FALSE),0),"")</f>
        <v/>
      </c>
      <c r="AC831" t="str">
        <f>IFERROR(H831&amp;"*"&amp;ROUND(L831*(I831/(G831+I831+K831))/VLOOKUP(H831,商品!$A$4:$D$67,4,FALSE),0),"")</f>
        <v/>
      </c>
      <c r="AD831" t="str">
        <f>IFERROR(J831&amp;"*"&amp;ROUND(L831*(K831/(G831+I831+K831))/VLOOKUP(J831,商品!$A$4:$D$67,4,FALSE),0),"")</f>
        <v/>
      </c>
      <c r="AE831" t="str">
        <f>IFERROR(M831&amp;"*"&amp;ROUND(Q831*(N831/(N831+P831))/VLOOKUP(M831,职业!$A$3:$E$16,4,FALSE),0),"")</f>
        <v/>
      </c>
      <c r="AF831" t="str">
        <f>IFERROR(O831&amp;"*"&amp;ROUND(Q831*(P831/(N831+P831))/VLOOKUP(O831,职业!$A$3:$E$16,4,FALSE),0),"")</f>
        <v/>
      </c>
      <c r="AG831" t="str">
        <f>IFERROR(R831&amp;"*"&amp;ROUND(V831*(S831/(S831+U831))/VLOOKUP(R831,商品!$A$4:$D$67,4,FALSE),0),"")</f>
        <v/>
      </c>
      <c r="AH831" t="str">
        <f>IFERROR(T831&amp;"*"&amp;ROUND(V831*(U831/(S831+U831))/VLOOKUP(T831,商品!$A$4:$D$67,4,FALSE),0),"")</f>
        <v/>
      </c>
    </row>
    <row r="832" customHeight="1" spans="1:34">
      <c r="A832" s="15" t="s">
        <v>437</v>
      </c>
      <c r="C832" s="2">
        <v>2</v>
      </c>
      <c r="D832" s="2" t="s">
        <v>220</v>
      </c>
      <c r="E832" s="2" t="s">
        <v>224</v>
      </c>
      <c r="L832" s="2">
        <f>IFERROR(VLOOKUP($D832&amp;$C832,生产方式定位!$A$2:$E$39,2,FALSE)+VLOOKUP($E832&amp;$C832,生产方式定位!$F$3:$J$39,2,FALSE),0)</f>
        <v>4500</v>
      </c>
      <c r="Q832" s="2">
        <f>IFERROR(VLOOKUP($D832&amp;$C832,生产方式定位!$A$2:$E$39,3,FALSE)+VLOOKUP($E832&amp;$C832,生产方式定位!$F$3:$J$39,3,FALSE),0)</f>
        <v>2000</v>
      </c>
      <c r="V832" s="2">
        <f>IFERROR(VLOOKUP($D832&amp;$C832,生产方式定位!$A$2:$E$39,5,FALSE)+VLOOKUP($E832&amp;$C832,生产方式定位!$F$3:$J$39,5,FALSE),"错误")</f>
        <v>3340</v>
      </c>
      <c r="W832" s="3" t="str">
        <f t="shared" si="60"/>
        <v/>
      </c>
      <c r="X832" s="4" t="str">
        <f t="shared" si="61"/>
        <v/>
      </c>
      <c r="Y832" s="4" t="str">
        <f t="shared" si="62"/>
        <v/>
      </c>
      <c r="Z832" s="5">
        <f t="shared" si="63"/>
        <v>1.35</v>
      </c>
      <c r="AA832" s="6">
        <f t="shared" si="64"/>
        <v>2</v>
      </c>
      <c r="AB832" t="str">
        <f>IFERROR(F832&amp;"*"&amp;ROUND(L832*(G832/(G832+I832+K832))/VLOOKUP(F832,商品!$A$4:$D$67,4,FALSE),0),"")</f>
        <v/>
      </c>
      <c r="AC832" t="str">
        <f>IFERROR(H832&amp;"*"&amp;ROUND(L832*(I832/(G832+I832+K832))/VLOOKUP(H832,商品!$A$4:$D$67,4,FALSE),0),"")</f>
        <v/>
      </c>
      <c r="AD832" t="str">
        <f>IFERROR(J832&amp;"*"&amp;ROUND(L832*(K832/(G832+I832+K832))/VLOOKUP(J832,商品!$A$4:$D$67,4,FALSE),0),"")</f>
        <v/>
      </c>
      <c r="AE832" t="str">
        <f>IFERROR(M832&amp;"*"&amp;ROUND(Q832*(N832/(N832+P832))/VLOOKUP(M832,职业!$A$3:$E$16,4,FALSE),0),"")</f>
        <v/>
      </c>
      <c r="AF832" t="str">
        <f>IFERROR(O832&amp;"*"&amp;ROUND(Q832*(P832/(N832+P832))/VLOOKUP(O832,职业!$A$3:$E$16,4,FALSE),0),"")</f>
        <v/>
      </c>
      <c r="AG832" t="str">
        <f>IFERROR(R832&amp;"*"&amp;ROUND(V832*(S832/(S832+U832))/VLOOKUP(R832,商品!$A$4:$D$67,4,FALSE),0),"")</f>
        <v/>
      </c>
      <c r="AH832" t="str">
        <f>IFERROR(T832&amp;"*"&amp;ROUND(V832*(U832/(S832+U832))/VLOOKUP(T832,商品!$A$4:$D$67,4,FALSE),0),"")</f>
        <v/>
      </c>
    </row>
    <row r="833" customHeight="1" spans="1:34">
      <c r="A833" s="15" t="s">
        <v>437</v>
      </c>
      <c r="C833" s="2">
        <v>3</v>
      </c>
      <c r="D833" s="2" t="s">
        <v>220</v>
      </c>
      <c r="E833" s="2" t="s">
        <v>224</v>
      </c>
      <c r="L833" s="2">
        <f>IFERROR(VLOOKUP($D833&amp;$C833,生产方式定位!$A$2:$E$39,2,FALSE)+VLOOKUP($E833&amp;$C833,生产方式定位!$F$3:$J$39,2,FALSE),0)</f>
        <v>6000</v>
      </c>
      <c r="Q833" s="2">
        <f>IFERROR(VLOOKUP($D833&amp;$C833,生产方式定位!$A$2:$E$39,3,FALSE)+VLOOKUP($E833&amp;$C833,生产方式定位!$F$3:$J$39,3,FALSE),0)</f>
        <v>2000</v>
      </c>
      <c r="V833" s="2">
        <f>IFERROR(VLOOKUP($D833&amp;$C833,生产方式定位!$A$2:$E$39,5,FALSE)+VLOOKUP($E833&amp;$C833,生产方式定位!$F$3:$J$39,5,FALSE),"错误")</f>
        <v>4260</v>
      </c>
      <c r="W833" s="3" t="str">
        <f t="shared" si="60"/>
        <v/>
      </c>
      <c r="X833" s="4" t="str">
        <f t="shared" si="61"/>
        <v/>
      </c>
      <c r="Y833" s="4" t="str">
        <f t="shared" si="62"/>
        <v/>
      </c>
      <c r="Z833" s="5">
        <f t="shared" si="63"/>
        <v>1.41</v>
      </c>
      <c r="AA833" s="6">
        <f t="shared" si="64"/>
        <v>3</v>
      </c>
      <c r="AB833" t="str">
        <f>IFERROR(F833&amp;"*"&amp;ROUND(L833*(G833/(G833+I833+K833))/VLOOKUP(F833,商品!$A$4:$D$67,4,FALSE),0),"")</f>
        <v/>
      </c>
      <c r="AC833" t="str">
        <f>IFERROR(H833&amp;"*"&amp;ROUND(L833*(I833/(G833+I833+K833))/VLOOKUP(H833,商品!$A$4:$D$67,4,FALSE),0),"")</f>
        <v/>
      </c>
      <c r="AD833" t="str">
        <f>IFERROR(J833&amp;"*"&amp;ROUND(L833*(K833/(G833+I833+K833))/VLOOKUP(J833,商品!$A$4:$D$67,4,FALSE),0),"")</f>
        <v/>
      </c>
      <c r="AE833" t="str">
        <f>IFERROR(M833&amp;"*"&amp;ROUND(Q833*(N833/(N833+P833))/VLOOKUP(M833,职业!$A$3:$E$16,4,FALSE),0),"")</f>
        <v/>
      </c>
      <c r="AF833" t="str">
        <f>IFERROR(O833&amp;"*"&amp;ROUND(Q833*(P833/(N833+P833))/VLOOKUP(O833,职业!$A$3:$E$16,4,FALSE),0),"")</f>
        <v/>
      </c>
      <c r="AG833" t="str">
        <f>IFERROR(R833&amp;"*"&amp;ROUND(V833*(S833/(S833+U833))/VLOOKUP(R833,商品!$A$4:$D$67,4,FALSE),0),"")</f>
        <v/>
      </c>
      <c r="AH833" t="str">
        <f>IFERROR(T833&amp;"*"&amp;ROUND(V833*(U833/(S833+U833))/VLOOKUP(T833,商品!$A$4:$D$67,4,FALSE),0),"")</f>
        <v/>
      </c>
    </row>
    <row r="834" customHeight="1" spans="1:34">
      <c r="A834" s="15" t="s">
        <v>437</v>
      </c>
      <c r="C834" s="2">
        <v>4</v>
      </c>
      <c r="D834" s="2" t="s">
        <v>220</v>
      </c>
      <c r="E834" s="2" t="s">
        <v>224</v>
      </c>
      <c r="L834" s="2">
        <f>IFERROR(VLOOKUP($D834&amp;$C834,生产方式定位!$A$2:$E$39,2,FALSE)+VLOOKUP($E834&amp;$C834,生产方式定位!$F$3:$J$39,2,FALSE),0)</f>
        <v>7500</v>
      </c>
      <c r="Q834" s="2">
        <f>IFERROR(VLOOKUP($D834&amp;$C834,生产方式定位!$A$2:$E$39,3,FALSE)+VLOOKUP($E834&amp;$C834,生产方式定位!$F$3:$J$39,3,FALSE),0)</f>
        <v>2000</v>
      </c>
      <c r="V834" s="2">
        <f>IFERROR(VLOOKUP($D834&amp;$C834,生产方式定位!$A$2:$E$39,5,FALSE)+VLOOKUP($E834&amp;$C834,生产方式定位!$F$3:$J$39,5,FALSE),"错误")</f>
        <v>5260</v>
      </c>
      <c r="W834" s="3" t="str">
        <f t="shared" si="60"/>
        <v/>
      </c>
      <c r="X834" s="4" t="str">
        <f t="shared" si="61"/>
        <v/>
      </c>
      <c r="Y834" s="4" t="str">
        <f t="shared" si="62"/>
        <v/>
      </c>
      <c r="Z834" s="5">
        <f t="shared" si="63"/>
        <v>1.43</v>
      </c>
      <c r="AA834" s="6">
        <f t="shared" si="64"/>
        <v>4</v>
      </c>
      <c r="AB834" t="str">
        <f>IFERROR(F834&amp;"*"&amp;ROUND(L834*(G834/(G834+I834+K834))/VLOOKUP(F834,商品!$A$4:$D$67,4,FALSE),0),"")</f>
        <v/>
      </c>
      <c r="AC834" t="str">
        <f>IFERROR(H834&amp;"*"&amp;ROUND(L834*(I834/(G834+I834+K834))/VLOOKUP(H834,商品!$A$4:$D$67,4,FALSE),0),"")</f>
        <v/>
      </c>
      <c r="AD834" t="str">
        <f>IFERROR(J834&amp;"*"&amp;ROUND(L834*(K834/(G834+I834+K834))/VLOOKUP(J834,商品!$A$4:$D$67,4,FALSE),0),"")</f>
        <v/>
      </c>
      <c r="AE834" t="str">
        <f>IFERROR(M834&amp;"*"&amp;ROUND(Q834*(N834/(N834+P834))/VLOOKUP(M834,职业!$A$3:$E$16,4,FALSE),0),"")</f>
        <v/>
      </c>
      <c r="AF834" t="str">
        <f>IFERROR(O834&amp;"*"&amp;ROUND(Q834*(P834/(N834+P834))/VLOOKUP(O834,职业!$A$3:$E$16,4,FALSE),0),"")</f>
        <v/>
      </c>
      <c r="AG834" t="str">
        <f>IFERROR(R834&amp;"*"&amp;ROUND(V834*(S834/(S834+U834))/VLOOKUP(R834,商品!$A$4:$D$67,4,FALSE),0),"")</f>
        <v/>
      </c>
      <c r="AH834" t="str">
        <f>IFERROR(T834&amp;"*"&amp;ROUND(V834*(U834/(S834+U834))/VLOOKUP(T834,商品!$A$4:$D$67,4,FALSE),0),"")</f>
        <v/>
      </c>
    </row>
    <row r="835" customHeight="1" spans="1:34">
      <c r="A835" s="15" t="s">
        <v>437</v>
      </c>
      <c r="C835" s="2">
        <v>5</v>
      </c>
      <c r="D835" s="2" t="s">
        <v>220</v>
      </c>
      <c r="E835" s="2" t="s">
        <v>224</v>
      </c>
      <c r="L835" s="2">
        <f>IFERROR(VLOOKUP($D835&amp;$C835,生产方式定位!$A$2:$E$39,2,FALSE)+VLOOKUP($E835&amp;$C835,生产方式定位!$F$3:$J$39,2,FALSE),0)</f>
        <v>9000</v>
      </c>
      <c r="Q835" s="2">
        <f>IFERROR(VLOOKUP($D835&amp;$C835,生产方式定位!$A$2:$E$39,3,FALSE)+VLOOKUP($E835&amp;$C835,生产方式定位!$F$3:$J$39,3,FALSE),0)</f>
        <v>2000</v>
      </c>
      <c r="V835" s="2">
        <f>IFERROR(VLOOKUP($D835&amp;$C835,生产方式定位!$A$2:$E$39,5,FALSE)+VLOOKUP($E835&amp;$C835,生产方式定位!$F$3:$J$39,5,FALSE),"错误")</f>
        <v>6340</v>
      </c>
      <c r="W835" s="3" t="str">
        <f t="shared" si="60"/>
        <v/>
      </c>
      <c r="X835" s="4" t="str">
        <f t="shared" si="61"/>
        <v/>
      </c>
      <c r="Y835" s="4" t="str">
        <f t="shared" si="62"/>
        <v/>
      </c>
      <c r="Z835" s="5">
        <f t="shared" si="63"/>
        <v>1.42</v>
      </c>
      <c r="AA835" s="6">
        <f t="shared" si="64"/>
        <v>5</v>
      </c>
      <c r="AB835" t="str">
        <f>IFERROR(F835&amp;"*"&amp;ROUND(L835*(G835/(G835+I835+K835))/VLOOKUP(F835,商品!$A$4:$D$67,4,FALSE),0),"")</f>
        <v/>
      </c>
      <c r="AC835" t="str">
        <f>IFERROR(H835&amp;"*"&amp;ROUND(L835*(I835/(G835+I835+K835))/VLOOKUP(H835,商品!$A$4:$D$67,4,FALSE),0),"")</f>
        <v/>
      </c>
      <c r="AD835" t="str">
        <f>IFERROR(J835&amp;"*"&amp;ROUND(L835*(K835/(G835+I835+K835))/VLOOKUP(J835,商品!$A$4:$D$67,4,FALSE),0),"")</f>
        <v/>
      </c>
      <c r="AE835" t="str">
        <f>IFERROR(M835&amp;"*"&amp;ROUND(Q835*(N835/(N835+P835))/VLOOKUP(M835,职业!$A$3:$E$16,4,FALSE),0),"")</f>
        <v/>
      </c>
      <c r="AF835" t="str">
        <f>IFERROR(O835&amp;"*"&amp;ROUND(Q835*(P835/(N835+P835))/VLOOKUP(O835,职业!$A$3:$E$16,4,FALSE),0),"")</f>
        <v/>
      </c>
      <c r="AG835" t="str">
        <f>IFERROR(R835&amp;"*"&amp;ROUND(V835*(S835/(S835+U835))/VLOOKUP(R835,商品!$A$4:$D$67,4,FALSE),0),"")</f>
        <v/>
      </c>
      <c r="AH835" t="str">
        <f>IFERROR(T835&amp;"*"&amp;ROUND(V835*(U835/(S835+U835))/VLOOKUP(T835,商品!$A$4:$D$67,4,FALSE),0),"")</f>
        <v/>
      </c>
    </row>
    <row r="836" customHeight="1" spans="1:34">
      <c r="A836" s="15" t="s">
        <v>437</v>
      </c>
      <c r="C836" s="2">
        <v>1</v>
      </c>
      <c r="D836" s="2" t="s">
        <v>220</v>
      </c>
      <c r="E836" s="2" t="s">
        <v>224</v>
      </c>
      <c r="L836" s="2">
        <f>IFERROR(VLOOKUP($D836&amp;$C836,生产方式定位!$A$2:$E$39,2,FALSE)+VLOOKUP($E836&amp;$C836,生产方式定位!$F$3:$J$39,2,FALSE),0)</f>
        <v>2000</v>
      </c>
      <c r="Q836" s="2">
        <f>IFERROR(VLOOKUP($D836&amp;$C836,生产方式定位!$A$2:$E$39,3,FALSE)+VLOOKUP($E836&amp;$C836,生产方式定位!$F$3:$J$39,3,FALSE),0)</f>
        <v>2000</v>
      </c>
      <c r="V836" s="2">
        <f>IFERROR(VLOOKUP($D836&amp;$C836,生产方式定位!$A$2:$E$39,5,FALSE)+VLOOKUP($E836&amp;$C836,生产方式定位!$F$3:$J$39,5,FALSE),"错误")</f>
        <v>2000</v>
      </c>
      <c r="W836" s="3" t="str">
        <f t="shared" si="60"/>
        <v/>
      </c>
      <c r="X836" s="4" t="str">
        <f t="shared" si="61"/>
        <v/>
      </c>
      <c r="Y836" s="4" t="str">
        <f t="shared" si="62"/>
        <v/>
      </c>
      <c r="Z836" s="5">
        <f t="shared" si="63"/>
        <v>1</v>
      </c>
      <c r="AA836" s="6">
        <f t="shared" si="64"/>
        <v>1</v>
      </c>
      <c r="AB836" t="str">
        <f>IFERROR(F836&amp;"*"&amp;ROUND(L836*(G836/(G836+I836+K836))/VLOOKUP(F836,商品!$A$4:$D$67,4,FALSE),0),"")</f>
        <v/>
      </c>
      <c r="AC836" t="str">
        <f>IFERROR(H836&amp;"*"&amp;ROUND(L836*(I836/(G836+I836+K836))/VLOOKUP(H836,商品!$A$4:$D$67,4,FALSE),0),"")</f>
        <v/>
      </c>
      <c r="AD836" t="str">
        <f>IFERROR(J836&amp;"*"&amp;ROUND(L836*(K836/(G836+I836+K836))/VLOOKUP(J836,商品!$A$4:$D$67,4,FALSE),0),"")</f>
        <v/>
      </c>
      <c r="AE836" t="str">
        <f>IFERROR(M836&amp;"*"&amp;ROUND(Q836*(N836/(N836+P836))/VLOOKUP(M836,职业!$A$3:$E$16,4,FALSE),0),"")</f>
        <v/>
      </c>
      <c r="AF836" t="str">
        <f>IFERROR(O836&amp;"*"&amp;ROUND(Q836*(P836/(N836+P836))/VLOOKUP(O836,职业!$A$3:$E$16,4,FALSE),0),"")</f>
        <v/>
      </c>
      <c r="AG836" t="str">
        <f>IFERROR(R836&amp;"*"&amp;ROUND(V836*(S836/(S836+U836))/VLOOKUP(R836,商品!$A$4:$D$67,4,FALSE),0),"")</f>
        <v/>
      </c>
      <c r="AH836" t="str">
        <f>IFERROR(T836&amp;"*"&amp;ROUND(V836*(U836/(S836+U836))/VLOOKUP(T836,商品!$A$4:$D$67,4,FALSE),0),"")</f>
        <v/>
      </c>
    </row>
    <row r="837" customHeight="1" spans="1:34">
      <c r="A837" s="14" t="s">
        <v>438</v>
      </c>
      <c r="C837" s="2">
        <v>2</v>
      </c>
      <c r="D837" s="2" t="s">
        <v>220</v>
      </c>
      <c r="E837" s="2" t="s">
        <v>255</v>
      </c>
      <c r="L837" s="2">
        <f>IFERROR(VLOOKUP($D837&amp;$C837,生产方式定位!$A$2:$E$39,2,FALSE)+VLOOKUP($E837&amp;$C837,生产方式定位!$F$3:$J$39,2,FALSE),0)</f>
        <v>2500</v>
      </c>
      <c r="Q837" s="2">
        <f>IFERROR(VLOOKUP($D837&amp;$C837,生产方式定位!$A$2:$E$39,3,FALSE)+VLOOKUP($E837&amp;$C837,生产方式定位!$F$3:$J$39,3,FALSE),0)</f>
        <v>2200</v>
      </c>
      <c r="V837" s="2">
        <f>IFERROR(VLOOKUP($D837&amp;$C837,生产方式定位!$A$2:$E$39,5,FALSE)+VLOOKUP($E837&amp;$C837,生产方式定位!$F$3:$J$39,5,FALSE),"错误")</f>
        <v>2350</v>
      </c>
      <c r="W837" s="3" t="str">
        <f t="shared" ref="W837:W900" si="65">IF(AB837="","",AB837)&amp;IF(AC837="","",","&amp;AC837)&amp;IF(AD837="","",","&amp;AD837)</f>
        <v/>
      </c>
      <c r="X837" s="4" t="str">
        <f t="shared" ref="X837:X900" si="66">IF(AE837="","",AE837)&amp;IF(AF837="","",","&amp;AF837)</f>
        <v/>
      </c>
      <c r="Y837" s="4" t="str">
        <f t="shared" ref="Y837:Y900" si="67">IF(AG837="","",AG837)&amp;IF(AH837="","",","&amp;AH837)</f>
        <v/>
      </c>
      <c r="Z837" s="5">
        <f t="shared" ref="Z837:Z900" si="68">IFERROR(ROUND(L837/V837,2),"")</f>
        <v>1.06</v>
      </c>
      <c r="AA837" s="6">
        <f t="shared" ref="AA837:AA900" si="69">C837</f>
        <v>2</v>
      </c>
      <c r="AB837" t="str">
        <f>IFERROR(F837&amp;"*"&amp;ROUND(L837*(G837/(G837+I837+K837))/VLOOKUP(F837,商品!$A$4:$D$67,4,FALSE),0),"")</f>
        <v/>
      </c>
      <c r="AC837" t="str">
        <f>IFERROR(H837&amp;"*"&amp;ROUND(L837*(I837/(G837+I837+K837))/VLOOKUP(H837,商品!$A$4:$D$67,4,FALSE),0),"")</f>
        <v/>
      </c>
      <c r="AD837" t="str">
        <f>IFERROR(J837&amp;"*"&amp;ROUND(L837*(K837/(G837+I837+K837))/VLOOKUP(J837,商品!$A$4:$D$67,4,FALSE),0),"")</f>
        <v/>
      </c>
      <c r="AE837" t="str">
        <f>IFERROR(M837&amp;"*"&amp;ROUND(Q837*(N837/(N837+P837))/VLOOKUP(M837,职业!$A$3:$E$16,4,FALSE),0),"")</f>
        <v/>
      </c>
      <c r="AF837" t="str">
        <f>IFERROR(O837&amp;"*"&amp;ROUND(Q837*(P837/(N837+P837))/VLOOKUP(O837,职业!$A$3:$E$16,4,FALSE),0),"")</f>
        <v/>
      </c>
      <c r="AG837" t="str">
        <f>IFERROR(R837&amp;"*"&amp;ROUND(V837*(S837/(S837+U837))/VLOOKUP(R837,商品!$A$4:$D$67,4,FALSE),0),"")</f>
        <v/>
      </c>
      <c r="AH837" t="str">
        <f>IFERROR(T837&amp;"*"&amp;ROUND(V837*(U837/(S837+U837))/VLOOKUP(T837,商品!$A$4:$D$67,4,FALSE),0),"")</f>
        <v/>
      </c>
    </row>
    <row r="838" customHeight="1" spans="1:34">
      <c r="A838" s="14" t="s">
        <v>438</v>
      </c>
      <c r="C838" s="2">
        <v>3</v>
      </c>
      <c r="D838" s="2" t="s">
        <v>220</v>
      </c>
      <c r="E838" s="2" t="s">
        <v>255</v>
      </c>
      <c r="L838" s="2">
        <f>IFERROR(VLOOKUP($D838&amp;$C838,生产方式定位!$A$2:$E$39,2,FALSE)+VLOOKUP($E838&amp;$C838,生产方式定位!$F$3:$J$39,2,FALSE),0)</f>
        <v>3000</v>
      </c>
      <c r="Q838" s="2">
        <f>IFERROR(VLOOKUP($D838&amp;$C838,生产方式定位!$A$2:$E$39,3,FALSE)+VLOOKUP($E838&amp;$C838,生产方式定位!$F$3:$J$39,3,FALSE),0)</f>
        <v>2400</v>
      </c>
      <c r="V838" s="2">
        <f>IFERROR(VLOOKUP($D838&amp;$C838,生产方式定位!$A$2:$E$39,5,FALSE)+VLOOKUP($E838&amp;$C838,生产方式定位!$F$3:$J$39,5,FALSE),"错误")</f>
        <v>2700</v>
      </c>
      <c r="W838" s="3" t="str">
        <f t="shared" si="65"/>
        <v/>
      </c>
      <c r="X838" s="4" t="str">
        <f t="shared" si="66"/>
        <v/>
      </c>
      <c r="Y838" s="4" t="str">
        <f t="shared" si="67"/>
        <v/>
      </c>
      <c r="Z838" s="5">
        <f t="shared" si="68"/>
        <v>1.11</v>
      </c>
      <c r="AA838" s="6">
        <f t="shared" si="69"/>
        <v>3</v>
      </c>
      <c r="AB838" t="str">
        <f>IFERROR(F838&amp;"*"&amp;ROUND(L838*(G838/(G838+I838+K838))/VLOOKUP(F838,商品!$A$4:$D$67,4,FALSE),0),"")</f>
        <v/>
      </c>
      <c r="AC838" t="str">
        <f>IFERROR(H838&amp;"*"&amp;ROUND(L838*(I838/(G838+I838+K838))/VLOOKUP(H838,商品!$A$4:$D$67,4,FALSE),0),"")</f>
        <v/>
      </c>
      <c r="AD838" t="str">
        <f>IFERROR(J838&amp;"*"&amp;ROUND(L838*(K838/(G838+I838+K838))/VLOOKUP(J838,商品!$A$4:$D$67,4,FALSE),0),"")</f>
        <v/>
      </c>
      <c r="AE838" t="str">
        <f>IFERROR(M838&amp;"*"&amp;ROUND(Q838*(N838/(N838+P838))/VLOOKUP(M838,职业!$A$3:$E$16,4,FALSE),0),"")</f>
        <v/>
      </c>
      <c r="AF838" t="str">
        <f>IFERROR(O838&amp;"*"&amp;ROUND(Q838*(P838/(N838+P838))/VLOOKUP(O838,职业!$A$3:$E$16,4,FALSE),0),"")</f>
        <v/>
      </c>
      <c r="AG838" t="str">
        <f>IFERROR(R838&amp;"*"&amp;ROUND(V838*(S838/(S838+U838))/VLOOKUP(R838,商品!$A$4:$D$67,4,FALSE),0),"")</f>
        <v/>
      </c>
      <c r="AH838" t="str">
        <f>IFERROR(T838&amp;"*"&amp;ROUND(V838*(U838/(S838+U838))/VLOOKUP(T838,商品!$A$4:$D$67,4,FALSE),0),"")</f>
        <v/>
      </c>
    </row>
    <row r="839" customHeight="1" spans="1:34">
      <c r="A839" s="14" t="s">
        <v>438</v>
      </c>
      <c r="C839" s="2">
        <v>4</v>
      </c>
      <c r="D839" s="2" t="s">
        <v>220</v>
      </c>
      <c r="E839" s="2" t="s">
        <v>255</v>
      </c>
      <c r="L839" s="2">
        <f>IFERROR(VLOOKUP($D839&amp;$C839,生产方式定位!$A$2:$E$39,2,FALSE)+VLOOKUP($E839&amp;$C839,生产方式定位!$F$3:$J$39,2,FALSE),0)</f>
        <v>3500</v>
      </c>
      <c r="Q839" s="2">
        <f>IFERROR(VLOOKUP($D839&amp;$C839,生产方式定位!$A$2:$E$39,3,FALSE)+VLOOKUP($E839&amp;$C839,生产方式定位!$F$3:$J$39,3,FALSE),0)</f>
        <v>2600</v>
      </c>
      <c r="V839" s="2">
        <f>IFERROR(VLOOKUP($D839&amp;$C839,生产方式定位!$A$2:$E$39,5,FALSE)+VLOOKUP($E839&amp;$C839,生产方式定位!$F$3:$J$39,5,FALSE),"错误")</f>
        <v>3050</v>
      </c>
      <c r="W839" s="3" t="str">
        <f t="shared" si="65"/>
        <v/>
      </c>
      <c r="X839" s="4" t="str">
        <f t="shared" si="66"/>
        <v/>
      </c>
      <c r="Y839" s="4" t="str">
        <f t="shared" si="67"/>
        <v/>
      </c>
      <c r="Z839" s="5">
        <f t="shared" si="68"/>
        <v>1.15</v>
      </c>
      <c r="AA839" s="6">
        <f t="shared" si="69"/>
        <v>4</v>
      </c>
      <c r="AB839" t="str">
        <f>IFERROR(F839&amp;"*"&amp;ROUND(L839*(G839/(G839+I839+K839))/VLOOKUP(F839,商品!$A$4:$D$67,4,FALSE),0),"")</f>
        <v/>
      </c>
      <c r="AC839" t="str">
        <f>IFERROR(H839&amp;"*"&amp;ROUND(L839*(I839/(G839+I839+K839))/VLOOKUP(H839,商品!$A$4:$D$67,4,FALSE),0),"")</f>
        <v/>
      </c>
      <c r="AD839" t="str">
        <f>IFERROR(J839&amp;"*"&amp;ROUND(L839*(K839/(G839+I839+K839))/VLOOKUP(J839,商品!$A$4:$D$67,4,FALSE),0),"")</f>
        <v/>
      </c>
      <c r="AE839" t="str">
        <f>IFERROR(M839&amp;"*"&amp;ROUND(Q839*(N839/(N839+P839))/VLOOKUP(M839,职业!$A$3:$E$16,4,FALSE),0),"")</f>
        <v/>
      </c>
      <c r="AF839" t="str">
        <f>IFERROR(O839&amp;"*"&amp;ROUND(Q839*(P839/(N839+P839))/VLOOKUP(O839,职业!$A$3:$E$16,4,FALSE),0),"")</f>
        <v/>
      </c>
      <c r="AG839" t="str">
        <f>IFERROR(R839&amp;"*"&amp;ROUND(V839*(S839/(S839+U839))/VLOOKUP(R839,商品!$A$4:$D$67,4,FALSE),0),"")</f>
        <v/>
      </c>
      <c r="AH839" t="str">
        <f>IFERROR(T839&amp;"*"&amp;ROUND(V839*(U839/(S839+U839))/VLOOKUP(T839,商品!$A$4:$D$67,4,FALSE),0),"")</f>
        <v/>
      </c>
    </row>
    <row r="840" customHeight="1" spans="1:34">
      <c r="A840" s="14" t="s">
        <v>438</v>
      </c>
      <c r="C840" s="2">
        <v>5</v>
      </c>
      <c r="D840" s="2" t="s">
        <v>220</v>
      </c>
      <c r="E840" s="2" t="s">
        <v>255</v>
      </c>
      <c r="L840" s="2">
        <f>IFERROR(VLOOKUP($D840&amp;$C840,生产方式定位!$A$2:$E$39,2,FALSE)+VLOOKUP($E840&amp;$C840,生产方式定位!$F$3:$J$39,2,FALSE),0)</f>
        <v>0</v>
      </c>
      <c r="Q840" s="2">
        <f>IFERROR(VLOOKUP($D840&amp;$C840,生产方式定位!$A$2:$E$39,3,FALSE)+VLOOKUP($E840&amp;$C840,生产方式定位!$F$3:$J$39,3,FALSE),0)</f>
        <v>0</v>
      </c>
      <c r="V840" s="2" t="str">
        <f>IFERROR(VLOOKUP($D840&amp;$C840,生产方式定位!$A$2:$E$39,5,FALSE)+VLOOKUP($E840&amp;$C840,生产方式定位!$F$3:$J$39,5,FALSE),"错误")</f>
        <v>错误</v>
      </c>
      <c r="W840" s="3" t="str">
        <f t="shared" si="65"/>
        <v/>
      </c>
      <c r="X840" s="4" t="str">
        <f t="shared" si="66"/>
        <v/>
      </c>
      <c r="Y840" s="4" t="str">
        <f t="shared" si="67"/>
        <v/>
      </c>
      <c r="Z840" s="5" t="str">
        <f t="shared" si="68"/>
        <v/>
      </c>
      <c r="AA840" s="6">
        <f t="shared" si="69"/>
        <v>5</v>
      </c>
      <c r="AB840" t="str">
        <f>IFERROR(F840&amp;"*"&amp;ROUND(L840*(G840/(G840+I840+K840))/VLOOKUP(F840,商品!$A$4:$D$67,4,FALSE),0),"")</f>
        <v/>
      </c>
      <c r="AC840" t="str">
        <f>IFERROR(H840&amp;"*"&amp;ROUND(L840*(I840/(G840+I840+K840))/VLOOKUP(H840,商品!$A$4:$D$67,4,FALSE),0),"")</f>
        <v/>
      </c>
      <c r="AD840" t="str">
        <f>IFERROR(J840&amp;"*"&amp;ROUND(L840*(K840/(G840+I840+K840))/VLOOKUP(J840,商品!$A$4:$D$67,4,FALSE),0),"")</f>
        <v/>
      </c>
      <c r="AE840" t="str">
        <f>IFERROR(M840&amp;"*"&amp;ROUND(Q840*(N840/(N840+P840))/VLOOKUP(M840,职业!$A$3:$E$16,4,FALSE),0),"")</f>
        <v/>
      </c>
      <c r="AF840" t="str">
        <f>IFERROR(O840&amp;"*"&amp;ROUND(Q840*(P840/(N840+P840))/VLOOKUP(O840,职业!$A$3:$E$16,4,FALSE),0),"")</f>
        <v/>
      </c>
      <c r="AG840" t="str">
        <f>IFERROR(R840&amp;"*"&amp;ROUND(V840*(S840/(S840+U840))/VLOOKUP(R840,商品!$A$4:$D$67,4,FALSE),0),"")</f>
        <v/>
      </c>
      <c r="AH840" t="str">
        <f>IFERROR(T840&amp;"*"&amp;ROUND(V840*(U840/(S840+U840))/VLOOKUP(T840,商品!$A$4:$D$67,4,FALSE),0),"")</f>
        <v/>
      </c>
    </row>
    <row r="841" customHeight="1" spans="1:34">
      <c r="A841" s="14" t="s">
        <v>438</v>
      </c>
      <c r="C841" s="2">
        <v>1</v>
      </c>
      <c r="D841" s="2" t="s">
        <v>220</v>
      </c>
      <c r="E841" s="2" t="s">
        <v>255</v>
      </c>
      <c r="L841" s="2">
        <f>IFERROR(VLOOKUP($D841&amp;$C841,生产方式定位!$A$2:$E$39,2,FALSE)+VLOOKUP($E841&amp;$C841,生产方式定位!$F$3:$J$39,2,FALSE),0)</f>
        <v>2000</v>
      </c>
      <c r="Q841" s="2">
        <f>IFERROR(VLOOKUP($D841&amp;$C841,生产方式定位!$A$2:$E$39,3,FALSE)+VLOOKUP($E841&amp;$C841,生产方式定位!$F$3:$J$39,3,FALSE),0)</f>
        <v>2000</v>
      </c>
      <c r="V841" s="2">
        <f>IFERROR(VLOOKUP($D841&amp;$C841,生产方式定位!$A$2:$E$39,5,FALSE)+VLOOKUP($E841&amp;$C841,生产方式定位!$F$3:$J$39,5,FALSE),"错误")</f>
        <v>2000</v>
      </c>
      <c r="W841" s="3" t="str">
        <f t="shared" si="65"/>
        <v/>
      </c>
      <c r="X841" s="4" t="str">
        <f t="shared" si="66"/>
        <v/>
      </c>
      <c r="Y841" s="4" t="str">
        <f t="shared" si="67"/>
        <v/>
      </c>
      <c r="Z841" s="5">
        <f t="shared" si="68"/>
        <v>1</v>
      </c>
      <c r="AA841" s="6">
        <f t="shared" si="69"/>
        <v>1</v>
      </c>
      <c r="AB841" t="str">
        <f>IFERROR(F841&amp;"*"&amp;ROUND(L841*(G841/(G841+I841+K841))/VLOOKUP(F841,商品!$A$4:$D$67,4,FALSE),0),"")</f>
        <v/>
      </c>
      <c r="AC841" t="str">
        <f>IFERROR(H841&amp;"*"&amp;ROUND(L841*(I841/(G841+I841+K841))/VLOOKUP(H841,商品!$A$4:$D$67,4,FALSE),0),"")</f>
        <v/>
      </c>
      <c r="AD841" t="str">
        <f>IFERROR(J841&amp;"*"&amp;ROUND(L841*(K841/(G841+I841+K841))/VLOOKUP(J841,商品!$A$4:$D$67,4,FALSE),0),"")</f>
        <v/>
      </c>
      <c r="AE841" t="str">
        <f>IFERROR(M841&amp;"*"&amp;ROUND(Q841*(N841/(N841+P841))/VLOOKUP(M841,职业!$A$3:$E$16,4,FALSE),0),"")</f>
        <v/>
      </c>
      <c r="AF841" t="str">
        <f>IFERROR(O841&amp;"*"&amp;ROUND(Q841*(P841/(N841+P841))/VLOOKUP(O841,职业!$A$3:$E$16,4,FALSE),0),"")</f>
        <v/>
      </c>
      <c r="AG841" t="str">
        <f>IFERROR(R841&amp;"*"&amp;ROUND(V841*(S841/(S841+U841))/VLOOKUP(R841,商品!$A$4:$D$67,4,FALSE),0),"")</f>
        <v/>
      </c>
      <c r="AH841" t="str">
        <f>IFERROR(T841&amp;"*"&amp;ROUND(V841*(U841/(S841+U841))/VLOOKUP(T841,商品!$A$4:$D$67,4,FALSE),0),"")</f>
        <v/>
      </c>
    </row>
    <row r="842" customHeight="1" spans="1:34">
      <c r="A842" s="15" t="s">
        <v>439</v>
      </c>
      <c r="C842" s="2">
        <v>2</v>
      </c>
      <c r="D842" s="2" t="s">
        <v>220</v>
      </c>
      <c r="E842" s="2" t="s">
        <v>225</v>
      </c>
      <c r="L842" s="2">
        <f>IFERROR(VLOOKUP($D842&amp;$C842,生产方式定位!$A$2:$E$39,2,FALSE)+VLOOKUP($E842&amp;$C842,生产方式定位!$F$3:$J$39,2,FALSE),0)</f>
        <v>2500</v>
      </c>
      <c r="Q842" s="2">
        <f>IFERROR(VLOOKUP($D842&amp;$C842,生产方式定位!$A$2:$E$39,3,FALSE)+VLOOKUP($E842&amp;$C842,生产方式定位!$F$3:$J$39,3,FALSE),0)</f>
        <v>2200</v>
      </c>
      <c r="V842" s="2">
        <f>IFERROR(VLOOKUP($D842&amp;$C842,生产方式定位!$A$2:$E$39,5,FALSE)+VLOOKUP($E842&amp;$C842,生产方式定位!$F$3:$J$39,5,FALSE),"错误")</f>
        <v>2350</v>
      </c>
      <c r="W842" s="3" t="str">
        <f t="shared" si="65"/>
        <v/>
      </c>
      <c r="X842" s="4" t="str">
        <f t="shared" si="66"/>
        <v/>
      </c>
      <c r="Y842" s="4" t="str">
        <f t="shared" si="67"/>
        <v/>
      </c>
      <c r="Z842" s="5">
        <f t="shared" si="68"/>
        <v>1.06</v>
      </c>
      <c r="AA842" s="6">
        <f t="shared" si="69"/>
        <v>2</v>
      </c>
      <c r="AB842" t="str">
        <f>IFERROR(F842&amp;"*"&amp;ROUND(L842*(G842/(G842+I842+K842))/VLOOKUP(F842,商品!$A$4:$D$67,4,FALSE),0),"")</f>
        <v/>
      </c>
      <c r="AC842" t="str">
        <f>IFERROR(H842&amp;"*"&amp;ROUND(L842*(I842/(G842+I842+K842))/VLOOKUP(H842,商品!$A$4:$D$67,4,FALSE),0),"")</f>
        <v/>
      </c>
      <c r="AD842" t="str">
        <f>IFERROR(J842&amp;"*"&amp;ROUND(L842*(K842/(G842+I842+K842))/VLOOKUP(J842,商品!$A$4:$D$67,4,FALSE),0),"")</f>
        <v/>
      </c>
      <c r="AE842" t="str">
        <f>IFERROR(M842&amp;"*"&amp;ROUND(Q842*(N842/(N842+P842))/VLOOKUP(M842,职业!$A$3:$E$16,4,FALSE),0),"")</f>
        <v/>
      </c>
      <c r="AF842" t="str">
        <f>IFERROR(O842&amp;"*"&amp;ROUND(Q842*(P842/(N842+P842))/VLOOKUP(O842,职业!$A$3:$E$16,4,FALSE),0),"")</f>
        <v/>
      </c>
      <c r="AG842" t="str">
        <f>IFERROR(R842&amp;"*"&amp;ROUND(V842*(S842/(S842+U842))/VLOOKUP(R842,商品!$A$4:$D$67,4,FALSE),0),"")</f>
        <v/>
      </c>
      <c r="AH842" t="str">
        <f>IFERROR(T842&amp;"*"&amp;ROUND(V842*(U842/(S842+U842))/VLOOKUP(T842,商品!$A$4:$D$67,4,FALSE),0),"")</f>
        <v/>
      </c>
    </row>
    <row r="843" customHeight="1" spans="1:34">
      <c r="A843" s="15" t="s">
        <v>439</v>
      </c>
      <c r="C843" s="2">
        <v>3</v>
      </c>
      <c r="D843" s="2" t="s">
        <v>220</v>
      </c>
      <c r="E843" s="2" t="s">
        <v>225</v>
      </c>
      <c r="L843" s="2">
        <f>IFERROR(VLOOKUP($D843&amp;$C843,生产方式定位!$A$2:$E$39,2,FALSE)+VLOOKUP($E843&amp;$C843,生产方式定位!$F$3:$J$39,2,FALSE),0)</f>
        <v>3000</v>
      </c>
      <c r="Q843" s="2">
        <f>IFERROR(VLOOKUP($D843&amp;$C843,生产方式定位!$A$2:$E$39,3,FALSE)+VLOOKUP($E843&amp;$C843,生产方式定位!$F$3:$J$39,3,FALSE),0)</f>
        <v>2400</v>
      </c>
      <c r="V843" s="2">
        <f>IFERROR(VLOOKUP($D843&amp;$C843,生产方式定位!$A$2:$E$39,5,FALSE)+VLOOKUP($E843&amp;$C843,生产方式定位!$F$3:$J$39,5,FALSE),"错误")</f>
        <v>2700</v>
      </c>
      <c r="W843" s="3" t="str">
        <f t="shared" si="65"/>
        <v/>
      </c>
      <c r="X843" s="4" t="str">
        <f t="shared" si="66"/>
        <v/>
      </c>
      <c r="Y843" s="4" t="str">
        <f t="shared" si="67"/>
        <v/>
      </c>
      <c r="Z843" s="5">
        <f t="shared" si="68"/>
        <v>1.11</v>
      </c>
      <c r="AA843" s="6">
        <f t="shared" si="69"/>
        <v>3</v>
      </c>
      <c r="AB843" t="str">
        <f>IFERROR(F843&amp;"*"&amp;ROUND(L843*(G843/(G843+I843+K843))/VLOOKUP(F843,商品!$A$4:$D$67,4,FALSE),0),"")</f>
        <v/>
      </c>
      <c r="AC843" t="str">
        <f>IFERROR(H843&amp;"*"&amp;ROUND(L843*(I843/(G843+I843+K843))/VLOOKUP(H843,商品!$A$4:$D$67,4,FALSE),0),"")</f>
        <v/>
      </c>
      <c r="AD843" t="str">
        <f>IFERROR(J843&amp;"*"&amp;ROUND(L843*(K843/(G843+I843+K843))/VLOOKUP(J843,商品!$A$4:$D$67,4,FALSE),0),"")</f>
        <v/>
      </c>
      <c r="AE843" t="str">
        <f>IFERROR(M843&amp;"*"&amp;ROUND(Q843*(N843/(N843+P843))/VLOOKUP(M843,职业!$A$3:$E$16,4,FALSE),0),"")</f>
        <v/>
      </c>
      <c r="AF843" t="str">
        <f>IFERROR(O843&amp;"*"&amp;ROUND(Q843*(P843/(N843+P843))/VLOOKUP(O843,职业!$A$3:$E$16,4,FALSE),0),"")</f>
        <v/>
      </c>
      <c r="AG843" t="str">
        <f>IFERROR(R843&amp;"*"&amp;ROUND(V843*(S843/(S843+U843))/VLOOKUP(R843,商品!$A$4:$D$67,4,FALSE),0),"")</f>
        <v/>
      </c>
      <c r="AH843" t="str">
        <f>IFERROR(T843&amp;"*"&amp;ROUND(V843*(U843/(S843+U843))/VLOOKUP(T843,商品!$A$4:$D$67,4,FALSE),0),"")</f>
        <v/>
      </c>
    </row>
    <row r="844" customHeight="1" spans="1:34">
      <c r="A844" s="15" t="s">
        <v>439</v>
      </c>
      <c r="C844" s="2">
        <v>4</v>
      </c>
      <c r="D844" s="2" t="s">
        <v>220</v>
      </c>
      <c r="E844" s="2" t="s">
        <v>225</v>
      </c>
      <c r="L844" s="2">
        <f>IFERROR(VLOOKUP($D844&amp;$C844,生产方式定位!$A$2:$E$39,2,FALSE)+VLOOKUP($E844&amp;$C844,生产方式定位!$F$3:$J$39,2,FALSE),0)</f>
        <v>3500</v>
      </c>
      <c r="Q844" s="2">
        <f>IFERROR(VLOOKUP($D844&amp;$C844,生产方式定位!$A$2:$E$39,3,FALSE)+VLOOKUP($E844&amp;$C844,生产方式定位!$F$3:$J$39,3,FALSE),0)</f>
        <v>2600</v>
      </c>
      <c r="V844" s="2">
        <f>IFERROR(VLOOKUP($D844&amp;$C844,生产方式定位!$A$2:$E$39,5,FALSE)+VLOOKUP($E844&amp;$C844,生产方式定位!$F$3:$J$39,5,FALSE),"错误")</f>
        <v>3050</v>
      </c>
      <c r="W844" s="3" t="str">
        <f t="shared" si="65"/>
        <v/>
      </c>
      <c r="X844" s="4" t="str">
        <f t="shared" si="66"/>
        <v/>
      </c>
      <c r="Y844" s="4" t="str">
        <f t="shared" si="67"/>
        <v/>
      </c>
      <c r="Z844" s="5">
        <f t="shared" si="68"/>
        <v>1.15</v>
      </c>
      <c r="AA844" s="6">
        <f t="shared" si="69"/>
        <v>4</v>
      </c>
      <c r="AB844" t="str">
        <f>IFERROR(F844&amp;"*"&amp;ROUND(L844*(G844/(G844+I844+K844))/VLOOKUP(F844,商品!$A$4:$D$67,4,FALSE),0),"")</f>
        <v/>
      </c>
      <c r="AC844" t="str">
        <f>IFERROR(H844&amp;"*"&amp;ROUND(L844*(I844/(G844+I844+K844))/VLOOKUP(H844,商品!$A$4:$D$67,4,FALSE),0),"")</f>
        <v/>
      </c>
      <c r="AD844" t="str">
        <f>IFERROR(J844&amp;"*"&amp;ROUND(L844*(K844/(G844+I844+K844))/VLOOKUP(J844,商品!$A$4:$D$67,4,FALSE),0),"")</f>
        <v/>
      </c>
      <c r="AE844" t="str">
        <f>IFERROR(M844&amp;"*"&amp;ROUND(Q844*(N844/(N844+P844))/VLOOKUP(M844,职业!$A$3:$E$16,4,FALSE),0),"")</f>
        <v/>
      </c>
      <c r="AF844" t="str">
        <f>IFERROR(O844&amp;"*"&amp;ROUND(Q844*(P844/(N844+P844))/VLOOKUP(O844,职业!$A$3:$E$16,4,FALSE),0),"")</f>
        <v/>
      </c>
      <c r="AG844" t="str">
        <f>IFERROR(R844&amp;"*"&amp;ROUND(V844*(S844/(S844+U844))/VLOOKUP(R844,商品!$A$4:$D$67,4,FALSE),0),"")</f>
        <v/>
      </c>
      <c r="AH844" t="str">
        <f>IFERROR(T844&amp;"*"&amp;ROUND(V844*(U844/(S844+U844))/VLOOKUP(T844,商品!$A$4:$D$67,4,FALSE),0),"")</f>
        <v/>
      </c>
    </row>
    <row r="845" customHeight="1" spans="1:34">
      <c r="A845" s="15" t="s">
        <v>439</v>
      </c>
      <c r="C845" s="2">
        <v>5</v>
      </c>
      <c r="D845" s="2" t="s">
        <v>220</v>
      </c>
      <c r="E845" s="2" t="s">
        <v>225</v>
      </c>
      <c r="L845" s="2">
        <f>IFERROR(VLOOKUP($D845&amp;$C845,生产方式定位!$A$2:$E$39,2,FALSE)+VLOOKUP($E845&amp;$C845,生产方式定位!$F$3:$J$39,2,FALSE),0)</f>
        <v>4000</v>
      </c>
      <c r="Q845" s="2">
        <f>IFERROR(VLOOKUP($D845&amp;$C845,生产方式定位!$A$2:$E$39,3,FALSE)+VLOOKUP($E845&amp;$C845,生产方式定位!$F$3:$J$39,3,FALSE),0)</f>
        <v>2800</v>
      </c>
      <c r="V845" s="2">
        <f>IFERROR(VLOOKUP($D845&amp;$C845,生产方式定位!$A$2:$E$39,5,FALSE)+VLOOKUP($E845&amp;$C845,生产方式定位!$F$3:$J$39,5,FALSE),"错误")</f>
        <v>3400</v>
      </c>
      <c r="W845" s="3" t="str">
        <f t="shared" si="65"/>
        <v/>
      </c>
      <c r="X845" s="4" t="str">
        <f t="shared" si="66"/>
        <v/>
      </c>
      <c r="Y845" s="4" t="str">
        <f t="shared" si="67"/>
        <v/>
      </c>
      <c r="Z845" s="5">
        <f t="shared" si="68"/>
        <v>1.18</v>
      </c>
      <c r="AA845" s="6">
        <f t="shared" si="69"/>
        <v>5</v>
      </c>
      <c r="AB845" t="str">
        <f>IFERROR(F845&amp;"*"&amp;ROUND(L845*(G845/(G845+I845+K845))/VLOOKUP(F845,商品!$A$4:$D$67,4,FALSE),0),"")</f>
        <v/>
      </c>
      <c r="AC845" t="str">
        <f>IFERROR(H845&amp;"*"&amp;ROUND(L845*(I845/(G845+I845+K845))/VLOOKUP(H845,商品!$A$4:$D$67,4,FALSE),0),"")</f>
        <v/>
      </c>
      <c r="AD845" t="str">
        <f>IFERROR(J845&amp;"*"&amp;ROUND(L845*(K845/(G845+I845+K845))/VLOOKUP(J845,商品!$A$4:$D$67,4,FALSE),0),"")</f>
        <v/>
      </c>
      <c r="AE845" t="str">
        <f>IFERROR(M845&amp;"*"&amp;ROUND(Q845*(N845/(N845+P845))/VLOOKUP(M845,职业!$A$3:$E$16,4,FALSE),0),"")</f>
        <v/>
      </c>
      <c r="AF845" t="str">
        <f>IFERROR(O845&amp;"*"&amp;ROUND(Q845*(P845/(N845+P845))/VLOOKUP(O845,职业!$A$3:$E$16,4,FALSE),0),"")</f>
        <v/>
      </c>
      <c r="AG845" t="str">
        <f>IFERROR(R845&amp;"*"&amp;ROUND(V845*(S845/(S845+U845))/VLOOKUP(R845,商品!$A$4:$D$67,4,FALSE),0),"")</f>
        <v/>
      </c>
      <c r="AH845" t="str">
        <f>IFERROR(T845&amp;"*"&amp;ROUND(V845*(U845/(S845+U845))/VLOOKUP(T845,商品!$A$4:$D$67,4,FALSE),0),"")</f>
        <v/>
      </c>
    </row>
    <row r="846" customHeight="1" spans="1:34">
      <c r="A846" s="15" t="s">
        <v>439</v>
      </c>
      <c r="C846" s="2">
        <v>1</v>
      </c>
      <c r="D846" s="2" t="s">
        <v>220</v>
      </c>
      <c r="E846" s="2" t="s">
        <v>225</v>
      </c>
      <c r="L846" s="2">
        <f>IFERROR(VLOOKUP($D846&amp;$C846,生产方式定位!$A$2:$E$39,2,FALSE)+VLOOKUP($E846&amp;$C846,生产方式定位!$F$3:$J$39,2,FALSE),0)</f>
        <v>2000</v>
      </c>
      <c r="Q846" s="2">
        <f>IFERROR(VLOOKUP($D846&amp;$C846,生产方式定位!$A$2:$E$39,3,FALSE)+VLOOKUP($E846&amp;$C846,生产方式定位!$F$3:$J$39,3,FALSE),0)</f>
        <v>2000</v>
      </c>
      <c r="V846" s="2">
        <f>IFERROR(VLOOKUP($D846&amp;$C846,生产方式定位!$A$2:$E$39,5,FALSE)+VLOOKUP($E846&amp;$C846,生产方式定位!$F$3:$J$39,5,FALSE),"错误")</f>
        <v>2000</v>
      </c>
      <c r="W846" s="3" t="str">
        <f t="shared" si="65"/>
        <v/>
      </c>
      <c r="X846" s="4" t="str">
        <f t="shared" si="66"/>
        <v/>
      </c>
      <c r="Y846" s="4" t="str">
        <f t="shared" si="67"/>
        <v/>
      </c>
      <c r="Z846" s="5">
        <f t="shared" si="68"/>
        <v>1</v>
      </c>
      <c r="AA846" s="6">
        <f t="shared" si="69"/>
        <v>1</v>
      </c>
      <c r="AB846" t="str">
        <f>IFERROR(F846&amp;"*"&amp;ROUND(L846*(G846/(G846+I846+K846))/VLOOKUP(F846,商品!$A$4:$D$67,4,FALSE),0),"")</f>
        <v/>
      </c>
      <c r="AC846" t="str">
        <f>IFERROR(H846&amp;"*"&amp;ROUND(L846*(I846/(G846+I846+K846))/VLOOKUP(H846,商品!$A$4:$D$67,4,FALSE),0),"")</f>
        <v/>
      </c>
      <c r="AD846" t="str">
        <f>IFERROR(J846&amp;"*"&amp;ROUND(L846*(K846/(G846+I846+K846))/VLOOKUP(J846,商品!$A$4:$D$67,4,FALSE),0),"")</f>
        <v/>
      </c>
      <c r="AE846" t="str">
        <f>IFERROR(M846&amp;"*"&amp;ROUND(Q846*(N846/(N846+P846))/VLOOKUP(M846,职业!$A$3:$E$16,4,FALSE),0),"")</f>
        <v/>
      </c>
      <c r="AF846" t="str">
        <f>IFERROR(O846&amp;"*"&amp;ROUND(Q846*(P846/(N846+P846))/VLOOKUP(O846,职业!$A$3:$E$16,4,FALSE),0),"")</f>
        <v/>
      </c>
      <c r="AG846" t="str">
        <f>IFERROR(R846&amp;"*"&amp;ROUND(V846*(S846/(S846+U846))/VLOOKUP(R846,商品!$A$4:$D$67,4,FALSE),0),"")</f>
        <v/>
      </c>
      <c r="AH846" t="str">
        <f>IFERROR(T846&amp;"*"&amp;ROUND(V846*(U846/(S846+U846))/VLOOKUP(T846,商品!$A$4:$D$67,4,FALSE),0),"")</f>
        <v/>
      </c>
    </row>
    <row r="847" customHeight="1" spans="1:34">
      <c r="A847" s="15" t="s">
        <v>439</v>
      </c>
      <c r="C847" s="2">
        <v>2</v>
      </c>
      <c r="D847" s="2" t="s">
        <v>220</v>
      </c>
      <c r="E847" s="2" t="s">
        <v>225</v>
      </c>
      <c r="L847" s="2">
        <f>IFERROR(VLOOKUP($D847&amp;$C847,生产方式定位!$A$2:$E$39,2,FALSE)+VLOOKUP($E847&amp;$C847,生产方式定位!$F$3:$J$39,2,FALSE),0)</f>
        <v>2500</v>
      </c>
      <c r="Q847" s="2">
        <f>IFERROR(VLOOKUP($D847&amp;$C847,生产方式定位!$A$2:$E$39,3,FALSE)+VLOOKUP($E847&amp;$C847,生产方式定位!$F$3:$J$39,3,FALSE),0)</f>
        <v>2200</v>
      </c>
      <c r="V847" s="2">
        <f>IFERROR(VLOOKUP($D847&amp;$C847,生产方式定位!$A$2:$E$39,5,FALSE)+VLOOKUP($E847&amp;$C847,生产方式定位!$F$3:$J$39,5,FALSE),"错误")</f>
        <v>2350</v>
      </c>
      <c r="W847" s="3" t="str">
        <f t="shared" si="65"/>
        <v/>
      </c>
      <c r="X847" s="4" t="str">
        <f t="shared" si="66"/>
        <v/>
      </c>
      <c r="Y847" s="4" t="str">
        <f t="shared" si="67"/>
        <v/>
      </c>
      <c r="Z847" s="5">
        <f t="shared" si="68"/>
        <v>1.06</v>
      </c>
      <c r="AA847" s="6">
        <f t="shared" si="69"/>
        <v>2</v>
      </c>
      <c r="AB847" t="str">
        <f>IFERROR(F847&amp;"*"&amp;ROUND(L847*(G847/(G847+I847+K847))/VLOOKUP(F847,商品!$A$4:$D$67,4,FALSE),0),"")</f>
        <v/>
      </c>
      <c r="AC847" t="str">
        <f>IFERROR(H847&amp;"*"&amp;ROUND(L847*(I847/(G847+I847+K847))/VLOOKUP(H847,商品!$A$4:$D$67,4,FALSE),0),"")</f>
        <v/>
      </c>
      <c r="AD847" t="str">
        <f>IFERROR(J847&amp;"*"&amp;ROUND(L847*(K847/(G847+I847+K847))/VLOOKUP(J847,商品!$A$4:$D$67,4,FALSE),0),"")</f>
        <v/>
      </c>
      <c r="AE847" t="str">
        <f>IFERROR(M847&amp;"*"&amp;ROUND(Q847*(N847/(N847+P847))/VLOOKUP(M847,职业!$A$3:$E$16,4,FALSE),0),"")</f>
        <v/>
      </c>
      <c r="AF847" t="str">
        <f>IFERROR(O847&amp;"*"&amp;ROUND(Q847*(P847/(N847+P847))/VLOOKUP(O847,职业!$A$3:$E$16,4,FALSE),0),"")</f>
        <v/>
      </c>
      <c r="AG847" t="str">
        <f>IFERROR(R847&amp;"*"&amp;ROUND(V847*(S847/(S847+U847))/VLOOKUP(R847,商品!$A$4:$D$67,4,FALSE),0),"")</f>
        <v/>
      </c>
      <c r="AH847" t="str">
        <f>IFERROR(T847&amp;"*"&amp;ROUND(V847*(U847/(S847+U847))/VLOOKUP(T847,商品!$A$4:$D$67,4,FALSE),0),"")</f>
        <v/>
      </c>
    </row>
    <row r="848" customHeight="1" spans="1:34">
      <c r="A848" s="15" t="s">
        <v>439</v>
      </c>
      <c r="C848" s="2">
        <v>3</v>
      </c>
      <c r="D848" s="2" t="s">
        <v>220</v>
      </c>
      <c r="E848" s="2" t="s">
        <v>225</v>
      </c>
      <c r="L848" s="2">
        <f>IFERROR(VLOOKUP($D848&amp;$C848,生产方式定位!$A$2:$E$39,2,FALSE)+VLOOKUP($E848&amp;$C848,生产方式定位!$F$3:$J$39,2,FALSE),0)</f>
        <v>3000</v>
      </c>
      <c r="Q848" s="2">
        <f>IFERROR(VLOOKUP($D848&amp;$C848,生产方式定位!$A$2:$E$39,3,FALSE)+VLOOKUP($E848&amp;$C848,生产方式定位!$F$3:$J$39,3,FALSE),0)</f>
        <v>2400</v>
      </c>
      <c r="V848" s="2">
        <f>IFERROR(VLOOKUP($D848&amp;$C848,生产方式定位!$A$2:$E$39,5,FALSE)+VLOOKUP($E848&amp;$C848,生产方式定位!$F$3:$J$39,5,FALSE),"错误")</f>
        <v>2700</v>
      </c>
      <c r="W848" s="3" t="str">
        <f t="shared" si="65"/>
        <v/>
      </c>
      <c r="X848" s="4" t="str">
        <f t="shared" si="66"/>
        <v/>
      </c>
      <c r="Y848" s="4" t="str">
        <f t="shared" si="67"/>
        <v/>
      </c>
      <c r="Z848" s="5">
        <f t="shared" si="68"/>
        <v>1.11</v>
      </c>
      <c r="AA848" s="6">
        <f t="shared" si="69"/>
        <v>3</v>
      </c>
      <c r="AB848" t="str">
        <f>IFERROR(F848&amp;"*"&amp;ROUND(L848*(G848/(G848+I848+K848))/VLOOKUP(F848,商品!$A$4:$D$67,4,FALSE),0),"")</f>
        <v/>
      </c>
      <c r="AC848" t="str">
        <f>IFERROR(H848&amp;"*"&amp;ROUND(L848*(I848/(G848+I848+K848))/VLOOKUP(H848,商品!$A$4:$D$67,4,FALSE),0),"")</f>
        <v/>
      </c>
      <c r="AD848" t="str">
        <f>IFERROR(J848&amp;"*"&amp;ROUND(L848*(K848/(G848+I848+K848))/VLOOKUP(J848,商品!$A$4:$D$67,4,FALSE),0),"")</f>
        <v/>
      </c>
      <c r="AE848" t="str">
        <f>IFERROR(M848&amp;"*"&amp;ROUND(Q848*(N848/(N848+P848))/VLOOKUP(M848,职业!$A$3:$E$16,4,FALSE),0),"")</f>
        <v/>
      </c>
      <c r="AF848" t="str">
        <f>IFERROR(O848&amp;"*"&amp;ROUND(Q848*(P848/(N848+P848))/VLOOKUP(O848,职业!$A$3:$E$16,4,FALSE),0),"")</f>
        <v/>
      </c>
      <c r="AG848" t="str">
        <f>IFERROR(R848&amp;"*"&amp;ROUND(V848*(S848/(S848+U848))/VLOOKUP(R848,商品!$A$4:$D$67,4,FALSE),0),"")</f>
        <v/>
      </c>
      <c r="AH848" t="str">
        <f>IFERROR(T848&amp;"*"&amp;ROUND(V848*(U848/(S848+U848))/VLOOKUP(T848,商品!$A$4:$D$67,4,FALSE),0),"")</f>
        <v/>
      </c>
    </row>
    <row r="849" customHeight="1" spans="1:34">
      <c r="A849" s="15" t="s">
        <v>439</v>
      </c>
      <c r="C849" s="2">
        <v>4</v>
      </c>
      <c r="D849" s="2" t="s">
        <v>220</v>
      </c>
      <c r="E849" s="2" t="s">
        <v>225</v>
      </c>
      <c r="L849" s="2">
        <f>IFERROR(VLOOKUP($D849&amp;$C849,生产方式定位!$A$2:$E$39,2,FALSE)+VLOOKUP($E849&amp;$C849,生产方式定位!$F$3:$J$39,2,FALSE),0)</f>
        <v>3500</v>
      </c>
      <c r="Q849" s="2">
        <f>IFERROR(VLOOKUP($D849&amp;$C849,生产方式定位!$A$2:$E$39,3,FALSE)+VLOOKUP($E849&amp;$C849,生产方式定位!$F$3:$J$39,3,FALSE),0)</f>
        <v>2600</v>
      </c>
      <c r="V849" s="2">
        <f>IFERROR(VLOOKUP($D849&amp;$C849,生产方式定位!$A$2:$E$39,5,FALSE)+VLOOKUP($E849&amp;$C849,生产方式定位!$F$3:$J$39,5,FALSE),"错误")</f>
        <v>3050</v>
      </c>
      <c r="W849" s="3" t="str">
        <f t="shared" si="65"/>
        <v/>
      </c>
      <c r="X849" s="4" t="str">
        <f t="shared" si="66"/>
        <v/>
      </c>
      <c r="Y849" s="4" t="str">
        <f t="shared" si="67"/>
        <v/>
      </c>
      <c r="Z849" s="5">
        <f t="shared" si="68"/>
        <v>1.15</v>
      </c>
      <c r="AA849" s="6">
        <f t="shared" si="69"/>
        <v>4</v>
      </c>
      <c r="AB849" t="str">
        <f>IFERROR(F849&amp;"*"&amp;ROUND(L849*(G849/(G849+I849+K849))/VLOOKUP(F849,商品!$A$4:$D$67,4,FALSE),0),"")</f>
        <v/>
      </c>
      <c r="AC849" t="str">
        <f>IFERROR(H849&amp;"*"&amp;ROUND(L849*(I849/(G849+I849+K849))/VLOOKUP(H849,商品!$A$4:$D$67,4,FALSE),0),"")</f>
        <v/>
      </c>
      <c r="AD849" t="str">
        <f>IFERROR(J849&amp;"*"&amp;ROUND(L849*(K849/(G849+I849+K849))/VLOOKUP(J849,商品!$A$4:$D$67,4,FALSE),0),"")</f>
        <v/>
      </c>
      <c r="AE849" t="str">
        <f>IFERROR(M849&amp;"*"&amp;ROUND(Q849*(N849/(N849+P849))/VLOOKUP(M849,职业!$A$3:$E$16,4,FALSE),0),"")</f>
        <v/>
      </c>
      <c r="AF849" t="str">
        <f>IFERROR(O849&amp;"*"&amp;ROUND(Q849*(P849/(N849+P849))/VLOOKUP(O849,职业!$A$3:$E$16,4,FALSE),0),"")</f>
        <v/>
      </c>
      <c r="AG849" t="str">
        <f>IFERROR(R849&amp;"*"&amp;ROUND(V849*(S849/(S849+U849))/VLOOKUP(R849,商品!$A$4:$D$67,4,FALSE),0),"")</f>
        <v/>
      </c>
      <c r="AH849" t="str">
        <f>IFERROR(T849&amp;"*"&amp;ROUND(V849*(U849/(S849+U849))/VLOOKUP(T849,商品!$A$4:$D$67,4,FALSE),0),"")</f>
        <v/>
      </c>
    </row>
    <row r="850" customHeight="1" spans="1:34">
      <c r="A850" s="14" t="s">
        <v>441</v>
      </c>
      <c r="C850" s="2">
        <v>5</v>
      </c>
      <c r="D850" s="2" t="s">
        <v>220</v>
      </c>
      <c r="E850" s="2" t="s">
        <v>222</v>
      </c>
      <c r="L850" s="2">
        <f>IFERROR(VLOOKUP($D850&amp;$C850,生产方式定位!$A$2:$E$39,2,FALSE)+VLOOKUP($E850&amp;$C850,生产方式定位!$F$3:$J$39,2,FALSE),0)</f>
        <v>8000</v>
      </c>
      <c r="Q850" s="2">
        <f>IFERROR(VLOOKUP($D850&amp;$C850,生产方式定位!$A$2:$E$39,3,FALSE)+VLOOKUP($E850&amp;$C850,生产方式定位!$F$3:$J$39,3,FALSE),0)</f>
        <v>3600</v>
      </c>
      <c r="V850" s="2">
        <f>IFERROR(VLOOKUP($D850&amp;$C850,生产方式定位!$A$2:$E$39,5,FALSE)+VLOOKUP($E850&amp;$C850,生产方式定位!$F$3:$J$39,5,FALSE),"错误")</f>
        <v>7000</v>
      </c>
      <c r="W850" s="3" t="str">
        <f t="shared" si="65"/>
        <v/>
      </c>
      <c r="X850" s="4" t="str">
        <f t="shared" si="66"/>
        <v/>
      </c>
      <c r="Y850" s="4" t="str">
        <f t="shared" si="67"/>
        <v/>
      </c>
      <c r="Z850" s="5">
        <f t="shared" si="68"/>
        <v>1.14</v>
      </c>
      <c r="AA850" s="6">
        <f t="shared" si="69"/>
        <v>5</v>
      </c>
      <c r="AB850" t="str">
        <f>IFERROR(F850&amp;"*"&amp;ROUND(L850*(G850/(G850+I850+K850))/VLOOKUP(F850,商品!$A$4:$D$67,4,FALSE),0),"")</f>
        <v/>
      </c>
      <c r="AC850" t="str">
        <f>IFERROR(H850&amp;"*"&amp;ROUND(L850*(I850/(G850+I850+K850))/VLOOKUP(H850,商品!$A$4:$D$67,4,FALSE),0),"")</f>
        <v/>
      </c>
      <c r="AD850" t="str">
        <f>IFERROR(J850&amp;"*"&amp;ROUND(L850*(K850/(G850+I850+K850))/VLOOKUP(J850,商品!$A$4:$D$67,4,FALSE),0),"")</f>
        <v/>
      </c>
      <c r="AE850" t="str">
        <f>IFERROR(M850&amp;"*"&amp;ROUND(Q850*(N850/(N850+P850))/VLOOKUP(M850,职业!$A$3:$E$16,4,FALSE),0),"")</f>
        <v/>
      </c>
      <c r="AF850" t="str">
        <f>IFERROR(O850&amp;"*"&amp;ROUND(Q850*(P850/(N850+P850))/VLOOKUP(O850,职业!$A$3:$E$16,4,FALSE),0),"")</f>
        <v/>
      </c>
      <c r="AG850" t="str">
        <f>IFERROR(R850&amp;"*"&amp;ROUND(V850*(S850/(S850+U850))/VLOOKUP(R850,商品!$A$4:$D$67,4,FALSE),0),"")</f>
        <v/>
      </c>
      <c r="AH850" t="str">
        <f>IFERROR(T850&amp;"*"&amp;ROUND(V850*(U850/(S850+U850))/VLOOKUP(T850,商品!$A$4:$D$67,4,FALSE),0),"")</f>
        <v/>
      </c>
    </row>
    <row r="851" customHeight="1" spans="1:34">
      <c r="A851" s="14" t="s">
        <v>441</v>
      </c>
      <c r="C851" s="2">
        <v>1</v>
      </c>
      <c r="D851" s="2" t="s">
        <v>220</v>
      </c>
      <c r="E851" s="2" t="s">
        <v>222</v>
      </c>
      <c r="L851" s="2">
        <f>IFERROR(VLOOKUP($D851&amp;$C851,生产方式定位!$A$2:$E$39,2,FALSE)+VLOOKUP($E851&amp;$C851,生产方式定位!$F$3:$J$39,2,FALSE),0)</f>
        <v>2000</v>
      </c>
      <c r="Q851" s="2">
        <f>IFERROR(VLOOKUP($D851&amp;$C851,生产方式定位!$A$2:$E$39,3,FALSE)+VLOOKUP($E851&amp;$C851,生产方式定位!$F$3:$J$39,3,FALSE),0)</f>
        <v>2000</v>
      </c>
      <c r="V851" s="2">
        <f>IFERROR(VLOOKUP($D851&amp;$C851,生产方式定位!$A$2:$E$39,5,FALSE)+VLOOKUP($E851&amp;$C851,生产方式定位!$F$3:$J$39,5,FALSE),"错误")</f>
        <v>2000</v>
      </c>
      <c r="W851" s="3" t="str">
        <f t="shared" si="65"/>
        <v/>
      </c>
      <c r="X851" s="4" t="str">
        <f t="shared" si="66"/>
        <v/>
      </c>
      <c r="Y851" s="4" t="str">
        <f t="shared" si="67"/>
        <v/>
      </c>
      <c r="Z851" s="5">
        <f t="shared" si="68"/>
        <v>1</v>
      </c>
      <c r="AA851" s="6">
        <f t="shared" si="69"/>
        <v>1</v>
      </c>
      <c r="AB851" t="str">
        <f>IFERROR(F851&amp;"*"&amp;ROUND(L851*(G851/(G851+I851+K851))/VLOOKUP(F851,商品!$A$4:$D$67,4,FALSE),0),"")</f>
        <v/>
      </c>
      <c r="AC851" t="str">
        <f>IFERROR(H851&amp;"*"&amp;ROUND(L851*(I851/(G851+I851+K851))/VLOOKUP(H851,商品!$A$4:$D$67,4,FALSE),0),"")</f>
        <v/>
      </c>
      <c r="AD851" t="str">
        <f>IFERROR(J851&amp;"*"&amp;ROUND(L851*(K851/(G851+I851+K851))/VLOOKUP(J851,商品!$A$4:$D$67,4,FALSE),0),"")</f>
        <v/>
      </c>
      <c r="AE851" t="str">
        <f>IFERROR(M851&amp;"*"&amp;ROUND(Q851*(N851/(N851+P851))/VLOOKUP(M851,职业!$A$3:$E$16,4,FALSE),0),"")</f>
        <v/>
      </c>
      <c r="AF851" t="str">
        <f>IFERROR(O851&amp;"*"&amp;ROUND(Q851*(P851/(N851+P851))/VLOOKUP(O851,职业!$A$3:$E$16,4,FALSE),0),"")</f>
        <v/>
      </c>
      <c r="AG851" t="str">
        <f>IFERROR(R851&amp;"*"&amp;ROUND(V851*(S851/(S851+U851))/VLOOKUP(R851,商品!$A$4:$D$67,4,FALSE),0),"")</f>
        <v/>
      </c>
      <c r="AH851" t="str">
        <f>IFERROR(T851&amp;"*"&amp;ROUND(V851*(U851/(S851+U851))/VLOOKUP(T851,商品!$A$4:$D$67,4,FALSE),0),"")</f>
        <v/>
      </c>
    </row>
    <row r="852" customHeight="1" spans="1:34">
      <c r="A852" s="14" t="s">
        <v>441</v>
      </c>
      <c r="C852" s="2">
        <v>2</v>
      </c>
      <c r="D852" s="2" t="s">
        <v>220</v>
      </c>
      <c r="E852" s="2" t="s">
        <v>222</v>
      </c>
      <c r="L852" s="2">
        <f>IFERROR(VLOOKUP($D852&amp;$C852,生产方式定位!$A$2:$E$39,2,FALSE)+VLOOKUP($E852&amp;$C852,生产方式定位!$F$3:$J$39,2,FALSE),0)</f>
        <v>3500</v>
      </c>
      <c r="Q852" s="2">
        <f>IFERROR(VLOOKUP($D852&amp;$C852,生产方式定位!$A$2:$E$39,3,FALSE)+VLOOKUP($E852&amp;$C852,生产方式定位!$F$3:$J$39,3,FALSE),0)</f>
        <v>2400</v>
      </c>
      <c r="V852" s="2">
        <f>IFERROR(VLOOKUP($D852&amp;$C852,生产方式定位!$A$2:$E$39,5,FALSE)+VLOOKUP($E852&amp;$C852,生产方式定位!$F$3:$J$39,5,FALSE),"错误")</f>
        <v>3022</v>
      </c>
      <c r="W852" s="3" t="str">
        <f t="shared" si="65"/>
        <v/>
      </c>
      <c r="X852" s="4" t="str">
        <f t="shared" si="66"/>
        <v/>
      </c>
      <c r="Y852" s="4" t="str">
        <f t="shared" si="67"/>
        <v/>
      </c>
      <c r="Z852" s="5">
        <f t="shared" si="68"/>
        <v>1.16</v>
      </c>
      <c r="AA852" s="6">
        <f t="shared" si="69"/>
        <v>2</v>
      </c>
      <c r="AB852" t="str">
        <f>IFERROR(F852&amp;"*"&amp;ROUND(L852*(G852/(G852+I852+K852))/VLOOKUP(F852,商品!$A$4:$D$67,4,FALSE),0),"")</f>
        <v/>
      </c>
      <c r="AC852" t="str">
        <f>IFERROR(H852&amp;"*"&amp;ROUND(L852*(I852/(G852+I852+K852))/VLOOKUP(H852,商品!$A$4:$D$67,4,FALSE),0),"")</f>
        <v/>
      </c>
      <c r="AD852" t="str">
        <f>IFERROR(J852&amp;"*"&amp;ROUND(L852*(K852/(G852+I852+K852))/VLOOKUP(J852,商品!$A$4:$D$67,4,FALSE),0),"")</f>
        <v/>
      </c>
      <c r="AE852" t="str">
        <f>IFERROR(M852&amp;"*"&amp;ROUND(Q852*(N852/(N852+P852))/VLOOKUP(M852,职业!$A$3:$E$16,4,FALSE),0),"")</f>
        <v/>
      </c>
      <c r="AF852" t="str">
        <f>IFERROR(O852&amp;"*"&amp;ROUND(Q852*(P852/(N852+P852))/VLOOKUP(O852,职业!$A$3:$E$16,4,FALSE),0),"")</f>
        <v/>
      </c>
      <c r="AG852" t="str">
        <f>IFERROR(R852&amp;"*"&amp;ROUND(V852*(S852/(S852+U852))/VLOOKUP(R852,商品!$A$4:$D$67,4,FALSE),0),"")</f>
        <v/>
      </c>
      <c r="AH852" t="str">
        <f>IFERROR(T852&amp;"*"&amp;ROUND(V852*(U852/(S852+U852))/VLOOKUP(T852,商品!$A$4:$D$67,4,FALSE),0),"")</f>
        <v/>
      </c>
    </row>
    <row r="853" customHeight="1" spans="1:34">
      <c r="A853" s="14" t="s">
        <v>441</v>
      </c>
      <c r="C853" s="2">
        <v>3</v>
      </c>
      <c r="D853" s="2" t="s">
        <v>220</v>
      </c>
      <c r="E853" s="2" t="s">
        <v>222</v>
      </c>
      <c r="L853" s="2">
        <f>IFERROR(VLOOKUP($D853&amp;$C853,生产方式定位!$A$2:$E$39,2,FALSE)+VLOOKUP($E853&amp;$C853,生产方式定位!$F$3:$J$39,2,FALSE),0)</f>
        <v>5000</v>
      </c>
      <c r="Q853" s="2">
        <f>IFERROR(VLOOKUP($D853&amp;$C853,生产方式定位!$A$2:$E$39,3,FALSE)+VLOOKUP($E853&amp;$C853,生产方式定位!$F$3:$J$39,3,FALSE),0)</f>
        <v>2800</v>
      </c>
      <c r="V853" s="2">
        <f>IFERROR(VLOOKUP($D853&amp;$C853,生产方式定位!$A$2:$E$39,5,FALSE)+VLOOKUP($E853&amp;$C853,生产方式定位!$F$3:$J$39,5,FALSE),"错误")</f>
        <v>4188</v>
      </c>
      <c r="W853" s="3" t="str">
        <f t="shared" si="65"/>
        <v/>
      </c>
      <c r="X853" s="4" t="str">
        <f t="shared" si="66"/>
        <v/>
      </c>
      <c r="Y853" s="4" t="str">
        <f t="shared" si="67"/>
        <v/>
      </c>
      <c r="Z853" s="5">
        <f t="shared" si="68"/>
        <v>1.19</v>
      </c>
      <c r="AA853" s="6">
        <f t="shared" si="69"/>
        <v>3</v>
      </c>
      <c r="AB853" t="str">
        <f>IFERROR(F853&amp;"*"&amp;ROUND(L853*(G853/(G853+I853+K853))/VLOOKUP(F853,商品!$A$4:$D$67,4,FALSE),0),"")</f>
        <v/>
      </c>
      <c r="AC853" t="str">
        <f>IFERROR(H853&amp;"*"&amp;ROUND(L853*(I853/(G853+I853+K853))/VLOOKUP(H853,商品!$A$4:$D$67,4,FALSE),0),"")</f>
        <v/>
      </c>
      <c r="AD853" t="str">
        <f>IFERROR(J853&amp;"*"&amp;ROUND(L853*(K853/(G853+I853+K853))/VLOOKUP(J853,商品!$A$4:$D$67,4,FALSE),0),"")</f>
        <v/>
      </c>
      <c r="AE853" t="str">
        <f>IFERROR(M853&amp;"*"&amp;ROUND(Q853*(N853/(N853+P853))/VLOOKUP(M853,职业!$A$3:$E$16,4,FALSE),0),"")</f>
        <v/>
      </c>
      <c r="AF853" t="str">
        <f>IFERROR(O853&amp;"*"&amp;ROUND(Q853*(P853/(N853+P853))/VLOOKUP(O853,职业!$A$3:$E$16,4,FALSE),0),"")</f>
        <v/>
      </c>
      <c r="AG853" t="str">
        <f>IFERROR(R853&amp;"*"&amp;ROUND(V853*(S853/(S853+U853))/VLOOKUP(R853,商品!$A$4:$D$67,4,FALSE),0),"")</f>
        <v/>
      </c>
      <c r="AH853" t="str">
        <f>IFERROR(T853&amp;"*"&amp;ROUND(V853*(U853/(S853+U853))/VLOOKUP(T853,商品!$A$4:$D$67,4,FALSE),0),"")</f>
        <v/>
      </c>
    </row>
    <row r="854" customHeight="1" spans="1:34">
      <c r="A854" s="14" t="s">
        <v>441</v>
      </c>
      <c r="C854" s="2">
        <v>4</v>
      </c>
      <c r="D854" s="2" t="s">
        <v>220</v>
      </c>
      <c r="E854" s="2" t="s">
        <v>222</v>
      </c>
      <c r="L854" s="2">
        <f>IFERROR(VLOOKUP($D854&amp;$C854,生产方式定位!$A$2:$E$39,2,FALSE)+VLOOKUP($E854&amp;$C854,生产方式定位!$F$3:$J$39,2,FALSE),0)</f>
        <v>6500</v>
      </c>
      <c r="Q854" s="2">
        <f>IFERROR(VLOOKUP($D854&amp;$C854,生产方式定位!$A$2:$E$39,3,FALSE)+VLOOKUP($E854&amp;$C854,生产方式定位!$F$3:$J$39,3,FALSE),0)</f>
        <v>3200</v>
      </c>
      <c r="V854" s="2">
        <f>IFERROR(VLOOKUP($D854&amp;$C854,生产方式定位!$A$2:$E$39,5,FALSE)+VLOOKUP($E854&amp;$C854,生产方式定位!$F$3:$J$39,5,FALSE),"错误")</f>
        <v>5498</v>
      </c>
      <c r="W854" s="3" t="str">
        <f t="shared" si="65"/>
        <v/>
      </c>
      <c r="X854" s="4" t="str">
        <f t="shared" si="66"/>
        <v/>
      </c>
      <c r="Y854" s="4" t="str">
        <f t="shared" si="67"/>
        <v/>
      </c>
      <c r="Z854" s="5">
        <f t="shared" si="68"/>
        <v>1.18</v>
      </c>
      <c r="AA854" s="6">
        <f t="shared" si="69"/>
        <v>4</v>
      </c>
      <c r="AB854" t="str">
        <f>IFERROR(F854&amp;"*"&amp;ROUND(L854*(G854/(G854+I854+K854))/VLOOKUP(F854,商品!$A$4:$D$67,4,FALSE),0),"")</f>
        <v/>
      </c>
      <c r="AC854" t="str">
        <f>IFERROR(H854&amp;"*"&amp;ROUND(L854*(I854/(G854+I854+K854))/VLOOKUP(H854,商品!$A$4:$D$67,4,FALSE),0),"")</f>
        <v/>
      </c>
      <c r="AD854" t="str">
        <f>IFERROR(J854&amp;"*"&amp;ROUND(L854*(K854/(G854+I854+K854))/VLOOKUP(J854,商品!$A$4:$D$67,4,FALSE),0),"")</f>
        <v/>
      </c>
      <c r="AE854" t="str">
        <f>IFERROR(M854&amp;"*"&amp;ROUND(Q854*(N854/(N854+P854))/VLOOKUP(M854,职业!$A$3:$E$16,4,FALSE),0),"")</f>
        <v/>
      </c>
      <c r="AF854" t="str">
        <f>IFERROR(O854&amp;"*"&amp;ROUND(Q854*(P854/(N854+P854))/VLOOKUP(O854,职业!$A$3:$E$16,4,FALSE),0),"")</f>
        <v/>
      </c>
      <c r="AG854" t="str">
        <f>IFERROR(R854&amp;"*"&amp;ROUND(V854*(S854/(S854+U854))/VLOOKUP(R854,商品!$A$4:$D$67,4,FALSE),0),"")</f>
        <v/>
      </c>
      <c r="AH854" t="str">
        <f>IFERROR(T854&amp;"*"&amp;ROUND(V854*(U854/(S854+U854))/VLOOKUP(T854,商品!$A$4:$D$67,4,FALSE),0),"")</f>
        <v/>
      </c>
    </row>
    <row r="855" customHeight="1" spans="1:34">
      <c r="A855" s="15" t="s">
        <v>442</v>
      </c>
      <c r="C855" s="2">
        <v>5</v>
      </c>
      <c r="D855" s="2" t="s">
        <v>220</v>
      </c>
      <c r="E855" s="2" t="s">
        <v>224</v>
      </c>
      <c r="L855" s="2">
        <f>IFERROR(VLOOKUP($D855&amp;$C855,生产方式定位!$A$2:$E$39,2,FALSE)+VLOOKUP($E855&amp;$C855,生产方式定位!$F$3:$J$39,2,FALSE),0)</f>
        <v>9000</v>
      </c>
      <c r="Q855" s="2">
        <f>IFERROR(VLOOKUP($D855&amp;$C855,生产方式定位!$A$2:$E$39,3,FALSE)+VLOOKUP($E855&amp;$C855,生产方式定位!$F$3:$J$39,3,FALSE),0)</f>
        <v>2000</v>
      </c>
      <c r="V855" s="2">
        <f>IFERROR(VLOOKUP($D855&amp;$C855,生产方式定位!$A$2:$E$39,5,FALSE)+VLOOKUP($E855&amp;$C855,生产方式定位!$F$3:$J$39,5,FALSE),"错误")</f>
        <v>6340</v>
      </c>
      <c r="W855" s="3" t="str">
        <f t="shared" si="65"/>
        <v/>
      </c>
      <c r="X855" s="4" t="str">
        <f t="shared" si="66"/>
        <v/>
      </c>
      <c r="Y855" s="4" t="str">
        <f t="shared" si="67"/>
        <v/>
      </c>
      <c r="Z855" s="5">
        <f t="shared" si="68"/>
        <v>1.42</v>
      </c>
      <c r="AA855" s="6">
        <f t="shared" si="69"/>
        <v>5</v>
      </c>
      <c r="AB855" t="str">
        <f>IFERROR(F855&amp;"*"&amp;ROUND(L855*(G855/(G855+I855+K855))/VLOOKUP(F855,商品!$A$4:$D$67,4,FALSE),0),"")</f>
        <v/>
      </c>
      <c r="AC855" t="str">
        <f>IFERROR(H855&amp;"*"&amp;ROUND(L855*(I855/(G855+I855+K855))/VLOOKUP(H855,商品!$A$4:$D$67,4,FALSE),0),"")</f>
        <v/>
      </c>
      <c r="AD855" t="str">
        <f>IFERROR(J855&amp;"*"&amp;ROUND(L855*(K855/(G855+I855+K855))/VLOOKUP(J855,商品!$A$4:$D$67,4,FALSE),0),"")</f>
        <v/>
      </c>
      <c r="AE855" t="str">
        <f>IFERROR(M855&amp;"*"&amp;ROUND(Q855*(N855/(N855+P855))/VLOOKUP(M855,职业!$A$3:$E$16,4,FALSE),0),"")</f>
        <v/>
      </c>
      <c r="AF855" t="str">
        <f>IFERROR(O855&amp;"*"&amp;ROUND(Q855*(P855/(N855+P855))/VLOOKUP(O855,职业!$A$3:$E$16,4,FALSE),0),"")</f>
        <v/>
      </c>
      <c r="AG855" t="str">
        <f>IFERROR(R855&amp;"*"&amp;ROUND(V855*(S855/(S855+U855))/VLOOKUP(R855,商品!$A$4:$D$67,4,FALSE),0),"")</f>
        <v/>
      </c>
      <c r="AH855" t="str">
        <f>IFERROR(T855&amp;"*"&amp;ROUND(V855*(U855/(S855+U855))/VLOOKUP(T855,商品!$A$4:$D$67,4,FALSE),0),"")</f>
        <v/>
      </c>
    </row>
    <row r="856" customHeight="1" spans="1:34">
      <c r="A856" s="15" t="s">
        <v>442</v>
      </c>
      <c r="C856" s="2">
        <v>1</v>
      </c>
      <c r="D856" s="2" t="s">
        <v>220</v>
      </c>
      <c r="E856" s="2" t="s">
        <v>224</v>
      </c>
      <c r="L856" s="2">
        <f>IFERROR(VLOOKUP($D856&amp;$C856,生产方式定位!$A$2:$E$39,2,FALSE)+VLOOKUP($E856&amp;$C856,生产方式定位!$F$3:$J$39,2,FALSE),0)</f>
        <v>2000</v>
      </c>
      <c r="Q856" s="2">
        <f>IFERROR(VLOOKUP($D856&amp;$C856,生产方式定位!$A$2:$E$39,3,FALSE)+VLOOKUP($E856&amp;$C856,生产方式定位!$F$3:$J$39,3,FALSE),0)</f>
        <v>2000</v>
      </c>
      <c r="V856" s="2">
        <f>IFERROR(VLOOKUP($D856&amp;$C856,生产方式定位!$A$2:$E$39,5,FALSE)+VLOOKUP($E856&amp;$C856,生产方式定位!$F$3:$J$39,5,FALSE),"错误")</f>
        <v>2000</v>
      </c>
      <c r="W856" s="3" t="str">
        <f t="shared" si="65"/>
        <v/>
      </c>
      <c r="X856" s="4" t="str">
        <f t="shared" si="66"/>
        <v/>
      </c>
      <c r="Y856" s="4" t="str">
        <f t="shared" si="67"/>
        <v/>
      </c>
      <c r="Z856" s="5">
        <f t="shared" si="68"/>
        <v>1</v>
      </c>
      <c r="AA856" s="6">
        <f t="shared" si="69"/>
        <v>1</v>
      </c>
      <c r="AB856" t="str">
        <f>IFERROR(F856&amp;"*"&amp;ROUND(L856*(G856/(G856+I856+K856))/VLOOKUP(F856,商品!$A$4:$D$67,4,FALSE),0),"")</f>
        <v/>
      </c>
      <c r="AC856" t="str">
        <f>IFERROR(H856&amp;"*"&amp;ROUND(L856*(I856/(G856+I856+K856))/VLOOKUP(H856,商品!$A$4:$D$67,4,FALSE),0),"")</f>
        <v/>
      </c>
      <c r="AD856" t="str">
        <f>IFERROR(J856&amp;"*"&amp;ROUND(L856*(K856/(G856+I856+K856))/VLOOKUP(J856,商品!$A$4:$D$67,4,FALSE),0),"")</f>
        <v/>
      </c>
      <c r="AE856" t="str">
        <f>IFERROR(M856&amp;"*"&amp;ROUND(Q856*(N856/(N856+P856))/VLOOKUP(M856,职业!$A$3:$E$16,4,FALSE),0),"")</f>
        <v/>
      </c>
      <c r="AF856" t="str">
        <f>IFERROR(O856&amp;"*"&amp;ROUND(Q856*(P856/(N856+P856))/VLOOKUP(O856,职业!$A$3:$E$16,4,FALSE),0),"")</f>
        <v/>
      </c>
      <c r="AG856" t="str">
        <f>IFERROR(R856&amp;"*"&amp;ROUND(V856*(S856/(S856+U856))/VLOOKUP(R856,商品!$A$4:$D$67,4,FALSE),0),"")</f>
        <v/>
      </c>
      <c r="AH856" t="str">
        <f>IFERROR(T856&amp;"*"&amp;ROUND(V856*(U856/(S856+U856))/VLOOKUP(T856,商品!$A$4:$D$67,4,FALSE),0),"")</f>
        <v/>
      </c>
    </row>
    <row r="857" customHeight="1" spans="1:34">
      <c r="A857" s="15" t="s">
        <v>442</v>
      </c>
      <c r="C857" s="2">
        <v>2</v>
      </c>
      <c r="D857" s="2" t="s">
        <v>220</v>
      </c>
      <c r="E857" s="2" t="s">
        <v>224</v>
      </c>
      <c r="L857" s="2">
        <f>IFERROR(VLOOKUP($D857&amp;$C857,生产方式定位!$A$2:$E$39,2,FALSE)+VLOOKUP($E857&amp;$C857,生产方式定位!$F$3:$J$39,2,FALSE),0)</f>
        <v>4500</v>
      </c>
      <c r="Q857" s="2">
        <f>IFERROR(VLOOKUP($D857&amp;$C857,生产方式定位!$A$2:$E$39,3,FALSE)+VLOOKUP($E857&amp;$C857,生产方式定位!$F$3:$J$39,3,FALSE),0)</f>
        <v>2000</v>
      </c>
      <c r="V857" s="2">
        <f>IFERROR(VLOOKUP($D857&amp;$C857,生产方式定位!$A$2:$E$39,5,FALSE)+VLOOKUP($E857&amp;$C857,生产方式定位!$F$3:$J$39,5,FALSE),"错误")</f>
        <v>3340</v>
      </c>
      <c r="W857" s="3" t="str">
        <f t="shared" si="65"/>
        <v/>
      </c>
      <c r="X857" s="4" t="str">
        <f t="shared" si="66"/>
        <v/>
      </c>
      <c r="Y857" s="4" t="str">
        <f t="shared" si="67"/>
        <v/>
      </c>
      <c r="Z857" s="5">
        <f t="shared" si="68"/>
        <v>1.35</v>
      </c>
      <c r="AA857" s="6">
        <f t="shared" si="69"/>
        <v>2</v>
      </c>
      <c r="AB857" t="str">
        <f>IFERROR(F857&amp;"*"&amp;ROUND(L857*(G857/(G857+I857+K857))/VLOOKUP(F857,商品!$A$4:$D$67,4,FALSE),0),"")</f>
        <v/>
      </c>
      <c r="AC857" t="str">
        <f>IFERROR(H857&amp;"*"&amp;ROUND(L857*(I857/(G857+I857+K857))/VLOOKUP(H857,商品!$A$4:$D$67,4,FALSE),0),"")</f>
        <v/>
      </c>
      <c r="AD857" t="str">
        <f>IFERROR(J857&amp;"*"&amp;ROUND(L857*(K857/(G857+I857+K857))/VLOOKUP(J857,商品!$A$4:$D$67,4,FALSE),0),"")</f>
        <v/>
      </c>
      <c r="AE857" t="str">
        <f>IFERROR(M857&amp;"*"&amp;ROUND(Q857*(N857/(N857+P857))/VLOOKUP(M857,职业!$A$3:$E$16,4,FALSE),0),"")</f>
        <v/>
      </c>
      <c r="AF857" t="str">
        <f>IFERROR(O857&amp;"*"&amp;ROUND(Q857*(P857/(N857+P857))/VLOOKUP(O857,职业!$A$3:$E$16,4,FALSE),0),"")</f>
        <v/>
      </c>
      <c r="AG857" t="str">
        <f>IFERROR(R857&amp;"*"&amp;ROUND(V857*(S857/(S857+U857))/VLOOKUP(R857,商品!$A$4:$D$67,4,FALSE),0),"")</f>
        <v/>
      </c>
      <c r="AH857" t="str">
        <f>IFERROR(T857&amp;"*"&amp;ROUND(V857*(U857/(S857+U857))/VLOOKUP(T857,商品!$A$4:$D$67,4,FALSE),0),"")</f>
        <v/>
      </c>
    </row>
    <row r="858" customHeight="1" spans="1:34">
      <c r="A858" s="15" t="s">
        <v>442</v>
      </c>
      <c r="C858" s="2">
        <v>3</v>
      </c>
      <c r="D858" s="2" t="s">
        <v>220</v>
      </c>
      <c r="E858" s="2" t="s">
        <v>224</v>
      </c>
      <c r="L858" s="2">
        <f>IFERROR(VLOOKUP($D858&amp;$C858,生产方式定位!$A$2:$E$39,2,FALSE)+VLOOKUP($E858&amp;$C858,生产方式定位!$F$3:$J$39,2,FALSE),0)</f>
        <v>6000</v>
      </c>
      <c r="Q858" s="2">
        <f>IFERROR(VLOOKUP($D858&amp;$C858,生产方式定位!$A$2:$E$39,3,FALSE)+VLOOKUP($E858&amp;$C858,生产方式定位!$F$3:$J$39,3,FALSE),0)</f>
        <v>2000</v>
      </c>
      <c r="V858" s="2">
        <f>IFERROR(VLOOKUP($D858&amp;$C858,生产方式定位!$A$2:$E$39,5,FALSE)+VLOOKUP($E858&amp;$C858,生产方式定位!$F$3:$J$39,5,FALSE),"错误")</f>
        <v>4260</v>
      </c>
      <c r="W858" s="3" t="str">
        <f t="shared" si="65"/>
        <v/>
      </c>
      <c r="X858" s="4" t="str">
        <f t="shared" si="66"/>
        <v/>
      </c>
      <c r="Y858" s="4" t="str">
        <f t="shared" si="67"/>
        <v/>
      </c>
      <c r="Z858" s="5">
        <f t="shared" si="68"/>
        <v>1.41</v>
      </c>
      <c r="AA858" s="6">
        <f t="shared" si="69"/>
        <v>3</v>
      </c>
      <c r="AB858" t="str">
        <f>IFERROR(F858&amp;"*"&amp;ROUND(L858*(G858/(G858+I858+K858))/VLOOKUP(F858,商品!$A$4:$D$67,4,FALSE),0),"")</f>
        <v/>
      </c>
      <c r="AC858" t="str">
        <f>IFERROR(H858&amp;"*"&amp;ROUND(L858*(I858/(G858+I858+K858))/VLOOKUP(H858,商品!$A$4:$D$67,4,FALSE),0),"")</f>
        <v/>
      </c>
      <c r="AD858" t="str">
        <f>IFERROR(J858&amp;"*"&amp;ROUND(L858*(K858/(G858+I858+K858))/VLOOKUP(J858,商品!$A$4:$D$67,4,FALSE),0),"")</f>
        <v/>
      </c>
      <c r="AE858" t="str">
        <f>IFERROR(M858&amp;"*"&amp;ROUND(Q858*(N858/(N858+P858))/VLOOKUP(M858,职业!$A$3:$E$16,4,FALSE),0),"")</f>
        <v/>
      </c>
      <c r="AF858" t="str">
        <f>IFERROR(O858&amp;"*"&amp;ROUND(Q858*(P858/(N858+P858))/VLOOKUP(O858,职业!$A$3:$E$16,4,FALSE),0),"")</f>
        <v/>
      </c>
      <c r="AG858" t="str">
        <f>IFERROR(R858&amp;"*"&amp;ROUND(V858*(S858/(S858+U858))/VLOOKUP(R858,商品!$A$4:$D$67,4,FALSE),0),"")</f>
        <v/>
      </c>
      <c r="AH858" t="str">
        <f>IFERROR(T858&amp;"*"&amp;ROUND(V858*(U858/(S858+U858))/VLOOKUP(T858,商品!$A$4:$D$67,4,FALSE),0),"")</f>
        <v/>
      </c>
    </row>
    <row r="859" customHeight="1" spans="1:34">
      <c r="A859" s="15" t="s">
        <v>442</v>
      </c>
      <c r="C859" s="2">
        <v>4</v>
      </c>
      <c r="D859" s="2" t="s">
        <v>220</v>
      </c>
      <c r="E859" s="2" t="s">
        <v>224</v>
      </c>
      <c r="L859" s="2">
        <f>IFERROR(VLOOKUP($D859&amp;$C859,生产方式定位!$A$2:$E$39,2,FALSE)+VLOOKUP($E859&amp;$C859,生产方式定位!$F$3:$J$39,2,FALSE),0)</f>
        <v>7500</v>
      </c>
      <c r="Q859" s="2">
        <f>IFERROR(VLOOKUP($D859&amp;$C859,生产方式定位!$A$2:$E$39,3,FALSE)+VLOOKUP($E859&amp;$C859,生产方式定位!$F$3:$J$39,3,FALSE),0)</f>
        <v>2000</v>
      </c>
      <c r="V859" s="2">
        <f>IFERROR(VLOOKUP($D859&amp;$C859,生产方式定位!$A$2:$E$39,5,FALSE)+VLOOKUP($E859&amp;$C859,生产方式定位!$F$3:$J$39,5,FALSE),"错误")</f>
        <v>5260</v>
      </c>
      <c r="W859" s="3" t="str">
        <f t="shared" si="65"/>
        <v/>
      </c>
      <c r="X859" s="4" t="str">
        <f t="shared" si="66"/>
        <v/>
      </c>
      <c r="Y859" s="4" t="str">
        <f t="shared" si="67"/>
        <v/>
      </c>
      <c r="Z859" s="5">
        <f t="shared" si="68"/>
        <v>1.43</v>
      </c>
      <c r="AA859" s="6">
        <f t="shared" si="69"/>
        <v>4</v>
      </c>
      <c r="AB859" t="str">
        <f>IFERROR(F859&amp;"*"&amp;ROUND(L859*(G859/(G859+I859+K859))/VLOOKUP(F859,商品!$A$4:$D$67,4,FALSE),0),"")</f>
        <v/>
      </c>
      <c r="AC859" t="str">
        <f>IFERROR(H859&amp;"*"&amp;ROUND(L859*(I859/(G859+I859+K859))/VLOOKUP(H859,商品!$A$4:$D$67,4,FALSE),0),"")</f>
        <v/>
      </c>
      <c r="AD859" t="str">
        <f>IFERROR(J859&amp;"*"&amp;ROUND(L859*(K859/(G859+I859+K859))/VLOOKUP(J859,商品!$A$4:$D$67,4,FALSE),0),"")</f>
        <v/>
      </c>
      <c r="AE859" t="str">
        <f>IFERROR(M859&amp;"*"&amp;ROUND(Q859*(N859/(N859+P859))/VLOOKUP(M859,职业!$A$3:$E$16,4,FALSE),0),"")</f>
        <v/>
      </c>
      <c r="AF859" t="str">
        <f>IFERROR(O859&amp;"*"&amp;ROUND(Q859*(P859/(N859+P859))/VLOOKUP(O859,职业!$A$3:$E$16,4,FALSE),0),"")</f>
        <v/>
      </c>
      <c r="AG859" t="str">
        <f>IFERROR(R859&amp;"*"&amp;ROUND(V859*(S859/(S859+U859))/VLOOKUP(R859,商品!$A$4:$D$67,4,FALSE),0),"")</f>
        <v/>
      </c>
      <c r="AH859" t="str">
        <f>IFERROR(T859&amp;"*"&amp;ROUND(V859*(U859/(S859+U859))/VLOOKUP(T859,商品!$A$4:$D$67,4,FALSE),0),"")</f>
        <v/>
      </c>
    </row>
    <row r="860" customHeight="1" spans="1:34">
      <c r="A860" s="14" t="s">
        <v>442</v>
      </c>
      <c r="C860" s="2">
        <v>5</v>
      </c>
      <c r="D860" s="2" t="s">
        <v>220</v>
      </c>
      <c r="E860" s="2" t="s">
        <v>224</v>
      </c>
      <c r="L860" s="2">
        <f>IFERROR(VLOOKUP($D860&amp;$C860,生产方式定位!$A$2:$E$39,2,FALSE)+VLOOKUP($E860&amp;$C860,生产方式定位!$F$3:$J$39,2,FALSE),0)</f>
        <v>9000</v>
      </c>
      <c r="Q860" s="2">
        <f>IFERROR(VLOOKUP($D860&amp;$C860,生产方式定位!$A$2:$E$39,3,FALSE)+VLOOKUP($E860&amp;$C860,生产方式定位!$F$3:$J$39,3,FALSE),0)</f>
        <v>2000</v>
      </c>
      <c r="V860" s="2">
        <f>IFERROR(VLOOKUP($D860&amp;$C860,生产方式定位!$A$2:$E$39,5,FALSE)+VLOOKUP($E860&amp;$C860,生产方式定位!$F$3:$J$39,5,FALSE),"错误")</f>
        <v>6340</v>
      </c>
      <c r="W860" s="3" t="str">
        <f t="shared" si="65"/>
        <v/>
      </c>
      <c r="X860" s="4" t="str">
        <f t="shared" si="66"/>
        <v/>
      </c>
      <c r="Y860" s="4" t="str">
        <f t="shared" si="67"/>
        <v/>
      </c>
      <c r="Z860" s="5">
        <f t="shared" si="68"/>
        <v>1.42</v>
      </c>
      <c r="AA860" s="6">
        <f t="shared" si="69"/>
        <v>5</v>
      </c>
      <c r="AB860" t="str">
        <f>IFERROR(F860&amp;"*"&amp;ROUND(L860*(G860/(G860+I860+K860))/VLOOKUP(F860,商品!$A$4:$D$67,4,FALSE),0),"")</f>
        <v/>
      </c>
      <c r="AC860" t="str">
        <f>IFERROR(H860&amp;"*"&amp;ROUND(L860*(I860/(G860+I860+K860))/VLOOKUP(H860,商品!$A$4:$D$67,4,FALSE),0),"")</f>
        <v/>
      </c>
      <c r="AD860" t="str">
        <f>IFERROR(J860&amp;"*"&amp;ROUND(L860*(K860/(G860+I860+K860))/VLOOKUP(J860,商品!$A$4:$D$67,4,FALSE),0),"")</f>
        <v/>
      </c>
      <c r="AE860" t="str">
        <f>IFERROR(M860&amp;"*"&amp;ROUND(Q860*(N860/(N860+P860))/VLOOKUP(M860,职业!$A$3:$E$16,4,FALSE),0),"")</f>
        <v/>
      </c>
      <c r="AF860" t="str">
        <f>IFERROR(O860&amp;"*"&amp;ROUND(Q860*(P860/(N860+P860))/VLOOKUP(O860,职业!$A$3:$E$16,4,FALSE),0),"")</f>
        <v/>
      </c>
      <c r="AG860" t="str">
        <f>IFERROR(R860&amp;"*"&amp;ROUND(V860*(S860/(S860+U860))/VLOOKUP(R860,商品!$A$4:$D$67,4,FALSE),0),"")</f>
        <v/>
      </c>
      <c r="AH860" t="str">
        <f>IFERROR(T860&amp;"*"&amp;ROUND(V860*(U860/(S860+U860))/VLOOKUP(T860,商品!$A$4:$D$67,4,FALSE),0),"")</f>
        <v/>
      </c>
    </row>
    <row r="861" customHeight="1" spans="1:34">
      <c r="A861" s="14" t="s">
        <v>442</v>
      </c>
      <c r="C861" s="2">
        <v>1</v>
      </c>
      <c r="D861" s="2" t="s">
        <v>220</v>
      </c>
      <c r="E861" s="2" t="s">
        <v>224</v>
      </c>
      <c r="L861" s="2">
        <f>IFERROR(VLOOKUP($D861&amp;$C861,生产方式定位!$A$2:$E$39,2,FALSE)+VLOOKUP($E861&amp;$C861,生产方式定位!$F$3:$J$39,2,FALSE),0)</f>
        <v>2000</v>
      </c>
      <c r="Q861" s="2">
        <f>IFERROR(VLOOKUP($D861&amp;$C861,生产方式定位!$A$2:$E$39,3,FALSE)+VLOOKUP($E861&amp;$C861,生产方式定位!$F$3:$J$39,3,FALSE),0)</f>
        <v>2000</v>
      </c>
      <c r="V861" s="2">
        <f>IFERROR(VLOOKUP($D861&amp;$C861,生产方式定位!$A$2:$E$39,5,FALSE)+VLOOKUP($E861&amp;$C861,生产方式定位!$F$3:$J$39,5,FALSE),"错误")</f>
        <v>2000</v>
      </c>
      <c r="W861" s="3" t="str">
        <f t="shared" si="65"/>
        <v/>
      </c>
      <c r="X861" s="4" t="str">
        <f t="shared" si="66"/>
        <v/>
      </c>
      <c r="Y861" s="4" t="str">
        <f t="shared" si="67"/>
        <v/>
      </c>
      <c r="Z861" s="5">
        <f t="shared" si="68"/>
        <v>1</v>
      </c>
      <c r="AA861" s="6">
        <f t="shared" si="69"/>
        <v>1</v>
      </c>
      <c r="AB861" t="str">
        <f>IFERROR(F861&amp;"*"&amp;ROUND(L861*(G861/(G861+I861+K861))/VLOOKUP(F861,商品!$A$4:$D$67,4,FALSE),0),"")</f>
        <v/>
      </c>
      <c r="AC861" t="str">
        <f>IFERROR(H861&amp;"*"&amp;ROUND(L861*(I861/(G861+I861+K861))/VLOOKUP(H861,商品!$A$4:$D$67,4,FALSE),0),"")</f>
        <v/>
      </c>
      <c r="AD861" t="str">
        <f>IFERROR(J861&amp;"*"&amp;ROUND(L861*(K861/(G861+I861+K861))/VLOOKUP(J861,商品!$A$4:$D$67,4,FALSE),0),"")</f>
        <v/>
      </c>
      <c r="AE861" t="str">
        <f>IFERROR(M861&amp;"*"&amp;ROUND(Q861*(N861/(N861+P861))/VLOOKUP(M861,职业!$A$3:$E$16,4,FALSE),0),"")</f>
        <v/>
      </c>
      <c r="AF861" t="str">
        <f>IFERROR(O861&amp;"*"&amp;ROUND(Q861*(P861/(N861+P861))/VLOOKUP(O861,职业!$A$3:$E$16,4,FALSE),0),"")</f>
        <v/>
      </c>
      <c r="AG861" t="str">
        <f>IFERROR(R861&amp;"*"&amp;ROUND(V861*(S861/(S861+U861))/VLOOKUP(R861,商品!$A$4:$D$67,4,FALSE),0),"")</f>
        <v/>
      </c>
      <c r="AH861" t="str">
        <f>IFERROR(T861&amp;"*"&amp;ROUND(V861*(U861/(S861+U861))/VLOOKUP(T861,商品!$A$4:$D$67,4,FALSE),0),"")</f>
        <v/>
      </c>
    </row>
    <row r="862" customHeight="1" spans="1:34">
      <c r="A862" s="14" t="s">
        <v>442</v>
      </c>
      <c r="C862" s="2">
        <v>2</v>
      </c>
      <c r="D862" s="2" t="s">
        <v>220</v>
      </c>
      <c r="E862" s="2" t="s">
        <v>224</v>
      </c>
      <c r="L862" s="2">
        <f>IFERROR(VLOOKUP($D862&amp;$C862,生产方式定位!$A$2:$E$39,2,FALSE)+VLOOKUP($E862&amp;$C862,生产方式定位!$F$3:$J$39,2,FALSE),0)</f>
        <v>4500</v>
      </c>
      <c r="Q862" s="2">
        <f>IFERROR(VLOOKUP($D862&amp;$C862,生产方式定位!$A$2:$E$39,3,FALSE)+VLOOKUP($E862&amp;$C862,生产方式定位!$F$3:$J$39,3,FALSE),0)</f>
        <v>2000</v>
      </c>
      <c r="V862" s="2">
        <f>IFERROR(VLOOKUP($D862&amp;$C862,生产方式定位!$A$2:$E$39,5,FALSE)+VLOOKUP($E862&amp;$C862,生产方式定位!$F$3:$J$39,5,FALSE),"错误")</f>
        <v>3340</v>
      </c>
      <c r="W862" s="3" t="str">
        <f t="shared" si="65"/>
        <v/>
      </c>
      <c r="X862" s="4" t="str">
        <f t="shared" si="66"/>
        <v/>
      </c>
      <c r="Y862" s="4" t="str">
        <f t="shared" si="67"/>
        <v/>
      </c>
      <c r="Z862" s="5">
        <f t="shared" si="68"/>
        <v>1.35</v>
      </c>
      <c r="AA862" s="6">
        <f t="shared" si="69"/>
        <v>2</v>
      </c>
      <c r="AB862" t="str">
        <f>IFERROR(F862&amp;"*"&amp;ROUND(L862*(G862/(G862+I862+K862))/VLOOKUP(F862,商品!$A$4:$D$67,4,FALSE),0),"")</f>
        <v/>
      </c>
      <c r="AC862" t="str">
        <f>IFERROR(H862&amp;"*"&amp;ROUND(L862*(I862/(G862+I862+K862))/VLOOKUP(H862,商品!$A$4:$D$67,4,FALSE),0),"")</f>
        <v/>
      </c>
      <c r="AD862" t="str">
        <f>IFERROR(J862&amp;"*"&amp;ROUND(L862*(K862/(G862+I862+K862))/VLOOKUP(J862,商品!$A$4:$D$67,4,FALSE),0),"")</f>
        <v/>
      </c>
      <c r="AE862" t="str">
        <f>IFERROR(M862&amp;"*"&amp;ROUND(Q862*(N862/(N862+P862))/VLOOKUP(M862,职业!$A$3:$E$16,4,FALSE),0),"")</f>
        <v/>
      </c>
      <c r="AF862" t="str">
        <f>IFERROR(O862&amp;"*"&amp;ROUND(Q862*(P862/(N862+P862))/VLOOKUP(O862,职业!$A$3:$E$16,4,FALSE),0),"")</f>
        <v/>
      </c>
      <c r="AG862" t="str">
        <f>IFERROR(R862&amp;"*"&amp;ROUND(V862*(S862/(S862+U862))/VLOOKUP(R862,商品!$A$4:$D$67,4,FALSE),0),"")</f>
        <v/>
      </c>
      <c r="AH862" t="str">
        <f>IFERROR(T862&amp;"*"&amp;ROUND(V862*(U862/(S862+U862))/VLOOKUP(T862,商品!$A$4:$D$67,4,FALSE),0),"")</f>
        <v/>
      </c>
    </row>
    <row r="863" customHeight="1" spans="1:34">
      <c r="A863" s="14" t="s">
        <v>442</v>
      </c>
      <c r="C863" s="2">
        <v>3</v>
      </c>
      <c r="D863" s="2" t="s">
        <v>220</v>
      </c>
      <c r="E863" s="2" t="s">
        <v>224</v>
      </c>
      <c r="L863" s="2">
        <f>IFERROR(VLOOKUP($D863&amp;$C863,生产方式定位!$A$2:$E$39,2,FALSE)+VLOOKUP($E863&amp;$C863,生产方式定位!$F$3:$J$39,2,FALSE),0)</f>
        <v>6000</v>
      </c>
      <c r="Q863" s="2">
        <f>IFERROR(VLOOKUP($D863&amp;$C863,生产方式定位!$A$2:$E$39,3,FALSE)+VLOOKUP($E863&amp;$C863,生产方式定位!$F$3:$J$39,3,FALSE),0)</f>
        <v>2000</v>
      </c>
      <c r="V863" s="2">
        <f>IFERROR(VLOOKUP($D863&amp;$C863,生产方式定位!$A$2:$E$39,5,FALSE)+VLOOKUP($E863&amp;$C863,生产方式定位!$F$3:$J$39,5,FALSE),"错误")</f>
        <v>4260</v>
      </c>
      <c r="W863" s="3" t="str">
        <f t="shared" si="65"/>
        <v/>
      </c>
      <c r="X863" s="4" t="str">
        <f t="shared" si="66"/>
        <v/>
      </c>
      <c r="Y863" s="4" t="str">
        <f t="shared" si="67"/>
        <v/>
      </c>
      <c r="Z863" s="5">
        <f t="shared" si="68"/>
        <v>1.41</v>
      </c>
      <c r="AA863" s="6">
        <f t="shared" si="69"/>
        <v>3</v>
      </c>
      <c r="AB863" t="str">
        <f>IFERROR(F863&amp;"*"&amp;ROUND(L863*(G863/(G863+I863+K863))/VLOOKUP(F863,商品!$A$4:$D$67,4,FALSE),0),"")</f>
        <v/>
      </c>
      <c r="AC863" t="str">
        <f>IFERROR(H863&amp;"*"&amp;ROUND(L863*(I863/(G863+I863+K863))/VLOOKUP(H863,商品!$A$4:$D$67,4,FALSE),0),"")</f>
        <v/>
      </c>
      <c r="AD863" t="str">
        <f>IFERROR(J863&amp;"*"&amp;ROUND(L863*(K863/(G863+I863+K863))/VLOOKUP(J863,商品!$A$4:$D$67,4,FALSE),0),"")</f>
        <v/>
      </c>
      <c r="AE863" t="str">
        <f>IFERROR(M863&amp;"*"&amp;ROUND(Q863*(N863/(N863+P863))/VLOOKUP(M863,职业!$A$3:$E$16,4,FALSE),0),"")</f>
        <v/>
      </c>
      <c r="AF863" t="str">
        <f>IFERROR(O863&amp;"*"&amp;ROUND(Q863*(P863/(N863+P863))/VLOOKUP(O863,职业!$A$3:$E$16,4,FALSE),0),"")</f>
        <v/>
      </c>
      <c r="AG863" t="str">
        <f>IFERROR(R863&amp;"*"&amp;ROUND(V863*(S863/(S863+U863))/VLOOKUP(R863,商品!$A$4:$D$67,4,FALSE),0),"")</f>
        <v/>
      </c>
      <c r="AH863" t="str">
        <f>IFERROR(T863&amp;"*"&amp;ROUND(V863*(U863/(S863+U863))/VLOOKUP(T863,商品!$A$4:$D$67,4,FALSE),0),"")</f>
        <v/>
      </c>
    </row>
    <row r="864" customHeight="1" spans="1:34">
      <c r="A864" s="14" t="s">
        <v>442</v>
      </c>
      <c r="C864" s="2">
        <v>4</v>
      </c>
      <c r="D864" s="2" t="s">
        <v>220</v>
      </c>
      <c r="E864" s="2" t="s">
        <v>224</v>
      </c>
      <c r="L864" s="2">
        <f>IFERROR(VLOOKUP($D864&amp;$C864,生产方式定位!$A$2:$E$39,2,FALSE)+VLOOKUP($E864&amp;$C864,生产方式定位!$F$3:$J$39,2,FALSE),0)</f>
        <v>7500</v>
      </c>
      <c r="Q864" s="2">
        <f>IFERROR(VLOOKUP($D864&amp;$C864,生产方式定位!$A$2:$E$39,3,FALSE)+VLOOKUP($E864&amp;$C864,生产方式定位!$F$3:$J$39,3,FALSE),0)</f>
        <v>2000</v>
      </c>
      <c r="V864" s="2">
        <f>IFERROR(VLOOKUP($D864&amp;$C864,生产方式定位!$A$2:$E$39,5,FALSE)+VLOOKUP($E864&amp;$C864,生产方式定位!$F$3:$J$39,5,FALSE),"错误")</f>
        <v>5260</v>
      </c>
      <c r="W864" s="3" t="str">
        <f t="shared" si="65"/>
        <v/>
      </c>
      <c r="X864" s="4" t="str">
        <f t="shared" si="66"/>
        <v/>
      </c>
      <c r="Y864" s="4" t="str">
        <f t="shared" si="67"/>
        <v/>
      </c>
      <c r="Z864" s="5">
        <f t="shared" si="68"/>
        <v>1.43</v>
      </c>
      <c r="AA864" s="6">
        <f t="shared" si="69"/>
        <v>4</v>
      </c>
      <c r="AB864" t="str">
        <f>IFERROR(F864&amp;"*"&amp;ROUND(L864*(G864/(G864+I864+K864))/VLOOKUP(F864,商品!$A$4:$D$67,4,FALSE),0),"")</f>
        <v/>
      </c>
      <c r="AC864" t="str">
        <f>IFERROR(H864&amp;"*"&amp;ROUND(L864*(I864/(G864+I864+K864))/VLOOKUP(H864,商品!$A$4:$D$67,4,FALSE),0),"")</f>
        <v/>
      </c>
      <c r="AD864" t="str">
        <f>IFERROR(J864&amp;"*"&amp;ROUND(L864*(K864/(G864+I864+K864))/VLOOKUP(J864,商品!$A$4:$D$67,4,FALSE),0),"")</f>
        <v/>
      </c>
      <c r="AE864" t="str">
        <f>IFERROR(M864&amp;"*"&amp;ROUND(Q864*(N864/(N864+P864))/VLOOKUP(M864,职业!$A$3:$E$16,4,FALSE),0),"")</f>
        <v/>
      </c>
      <c r="AF864" t="str">
        <f>IFERROR(O864&amp;"*"&amp;ROUND(Q864*(P864/(N864+P864))/VLOOKUP(O864,职业!$A$3:$E$16,4,FALSE),0),"")</f>
        <v/>
      </c>
      <c r="AG864" t="str">
        <f>IFERROR(R864&amp;"*"&amp;ROUND(V864*(S864/(S864+U864))/VLOOKUP(R864,商品!$A$4:$D$67,4,FALSE),0),"")</f>
        <v/>
      </c>
      <c r="AH864" t="str">
        <f>IFERROR(T864&amp;"*"&amp;ROUND(V864*(U864/(S864+U864))/VLOOKUP(T864,商品!$A$4:$D$67,4,FALSE),0),"")</f>
        <v/>
      </c>
    </row>
    <row r="865" customHeight="1" spans="1:34">
      <c r="A865" s="15" t="s">
        <v>443</v>
      </c>
      <c r="C865" s="2">
        <v>5</v>
      </c>
      <c r="D865" s="2" t="s">
        <v>220</v>
      </c>
      <c r="E865" s="2" t="s">
        <v>255</v>
      </c>
      <c r="L865" s="2">
        <f>IFERROR(VLOOKUP($D865&amp;$C865,生产方式定位!$A$2:$E$39,2,FALSE)+VLOOKUP($E865&amp;$C865,生产方式定位!$F$3:$J$39,2,FALSE),0)</f>
        <v>0</v>
      </c>
      <c r="Q865" s="2">
        <f>IFERROR(VLOOKUP($D865&amp;$C865,生产方式定位!$A$2:$E$39,3,FALSE)+VLOOKUP($E865&amp;$C865,生产方式定位!$F$3:$J$39,3,FALSE),0)</f>
        <v>0</v>
      </c>
      <c r="V865" s="2" t="str">
        <f>IFERROR(VLOOKUP($D865&amp;$C865,生产方式定位!$A$2:$E$39,5,FALSE)+VLOOKUP($E865&amp;$C865,生产方式定位!$F$3:$J$39,5,FALSE),"错误")</f>
        <v>错误</v>
      </c>
      <c r="W865" s="3" t="str">
        <f t="shared" si="65"/>
        <v/>
      </c>
      <c r="X865" s="4" t="str">
        <f t="shared" si="66"/>
        <v/>
      </c>
      <c r="Y865" s="4" t="str">
        <f t="shared" si="67"/>
        <v/>
      </c>
      <c r="Z865" s="5" t="str">
        <f t="shared" si="68"/>
        <v/>
      </c>
      <c r="AA865" s="6">
        <f t="shared" si="69"/>
        <v>5</v>
      </c>
      <c r="AB865" t="str">
        <f>IFERROR(F865&amp;"*"&amp;ROUND(L865*(G865/(G865+I865+K865))/VLOOKUP(F865,商品!$A$4:$D$67,4,FALSE),0),"")</f>
        <v/>
      </c>
      <c r="AC865" t="str">
        <f>IFERROR(H865&amp;"*"&amp;ROUND(L865*(I865/(G865+I865+K865))/VLOOKUP(H865,商品!$A$4:$D$67,4,FALSE),0),"")</f>
        <v/>
      </c>
      <c r="AD865" t="str">
        <f>IFERROR(J865&amp;"*"&amp;ROUND(L865*(K865/(G865+I865+K865))/VLOOKUP(J865,商品!$A$4:$D$67,4,FALSE),0),"")</f>
        <v/>
      </c>
      <c r="AE865" t="str">
        <f>IFERROR(M865&amp;"*"&amp;ROUND(Q865*(N865/(N865+P865))/VLOOKUP(M865,职业!$A$3:$E$16,4,FALSE),0),"")</f>
        <v/>
      </c>
      <c r="AF865" t="str">
        <f>IFERROR(O865&amp;"*"&amp;ROUND(Q865*(P865/(N865+P865))/VLOOKUP(O865,职业!$A$3:$E$16,4,FALSE),0),"")</f>
        <v/>
      </c>
      <c r="AG865" t="str">
        <f>IFERROR(R865&amp;"*"&amp;ROUND(V865*(S865/(S865+U865))/VLOOKUP(R865,商品!$A$4:$D$67,4,FALSE),0),"")</f>
        <v/>
      </c>
      <c r="AH865" t="str">
        <f>IFERROR(T865&amp;"*"&amp;ROUND(V865*(U865/(S865+U865))/VLOOKUP(T865,商品!$A$4:$D$67,4,FALSE),0),"")</f>
        <v/>
      </c>
    </row>
    <row r="866" customHeight="1" spans="1:34">
      <c r="A866" s="15" t="s">
        <v>443</v>
      </c>
      <c r="C866" s="2">
        <v>1</v>
      </c>
      <c r="D866" s="2" t="s">
        <v>220</v>
      </c>
      <c r="E866" s="2" t="s">
        <v>255</v>
      </c>
      <c r="L866" s="2">
        <f>IFERROR(VLOOKUP($D866&amp;$C866,生产方式定位!$A$2:$E$39,2,FALSE)+VLOOKUP($E866&amp;$C866,生产方式定位!$F$3:$J$39,2,FALSE),0)</f>
        <v>2000</v>
      </c>
      <c r="Q866" s="2">
        <f>IFERROR(VLOOKUP($D866&amp;$C866,生产方式定位!$A$2:$E$39,3,FALSE)+VLOOKUP($E866&amp;$C866,生产方式定位!$F$3:$J$39,3,FALSE),0)</f>
        <v>2000</v>
      </c>
      <c r="V866" s="2">
        <f>IFERROR(VLOOKUP($D866&amp;$C866,生产方式定位!$A$2:$E$39,5,FALSE)+VLOOKUP($E866&amp;$C866,生产方式定位!$F$3:$J$39,5,FALSE),"错误")</f>
        <v>2000</v>
      </c>
      <c r="W866" s="3" t="str">
        <f t="shared" si="65"/>
        <v/>
      </c>
      <c r="X866" s="4" t="str">
        <f t="shared" si="66"/>
        <v/>
      </c>
      <c r="Y866" s="4" t="str">
        <f t="shared" si="67"/>
        <v/>
      </c>
      <c r="Z866" s="5">
        <f t="shared" si="68"/>
        <v>1</v>
      </c>
      <c r="AA866" s="6">
        <f t="shared" si="69"/>
        <v>1</v>
      </c>
      <c r="AB866" t="str">
        <f>IFERROR(F866&amp;"*"&amp;ROUND(L866*(G866/(G866+I866+K866))/VLOOKUP(F866,商品!$A$4:$D$67,4,FALSE),0),"")</f>
        <v/>
      </c>
      <c r="AC866" t="str">
        <f>IFERROR(H866&amp;"*"&amp;ROUND(L866*(I866/(G866+I866+K866))/VLOOKUP(H866,商品!$A$4:$D$67,4,FALSE),0),"")</f>
        <v/>
      </c>
      <c r="AD866" t="str">
        <f>IFERROR(J866&amp;"*"&amp;ROUND(L866*(K866/(G866+I866+K866))/VLOOKUP(J866,商品!$A$4:$D$67,4,FALSE),0),"")</f>
        <v/>
      </c>
      <c r="AE866" t="str">
        <f>IFERROR(M866&amp;"*"&amp;ROUND(Q866*(N866/(N866+P866))/VLOOKUP(M866,职业!$A$3:$E$16,4,FALSE),0),"")</f>
        <v/>
      </c>
      <c r="AF866" t="str">
        <f>IFERROR(O866&amp;"*"&amp;ROUND(Q866*(P866/(N866+P866))/VLOOKUP(O866,职业!$A$3:$E$16,4,FALSE),0),"")</f>
        <v/>
      </c>
      <c r="AG866" t="str">
        <f>IFERROR(R866&amp;"*"&amp;ROUND(V866*(S866/(S866+U866))/VLOOKUP(R866,商品!$A$4:$D$67,4,FALSE),0),"")</f>
        <v/>
      </c>
      <c r="AH866" t="str">
        <f>IFERROR(T866&amp;"*"&amp;ROUND(V866*(U866/(S866+U866))/VLOOKUP(T866,商品!$A$4:$D$67,4,FALSE),0),"")</f>
        <v/>
      </c>
    </row>
    <row r="867" customHeight="1" spans="1:34">
      <c r="A867" s="15" t="s">
        <v>443</v>
      </c>
      <c r="C867" s="2">
        <v>2</v>
      </c>
      <c r="D867" s="2" t="s">
        <v>220</v>
      </c>
      <c r="E867" s="2" t="s">
        <v>255</v>
      </c>
      <c r="L867" s="2">
        <f>IFERROR(VLOOKUP($D867&amp;$C867,生产方式定位!$A$2:$E$39,2,FALSE)+VLOOKUP($E867&amp;$C867,生产方式定位!$F$3:$J$39,2,FALSE),0)</f>
        <v>2500</v>
      </c>
      <c r="Q867" s="2">
        <f>IFERROR(VLOOKUP($D867&amp;$C867,生产方式定位!$A$2:$E$39,3,FALSE)+VLOOKUP($E867&amp;$C867,生产方式定位!$F$3:$J$39,3,FALSE),0)</f>
        <v>2200</v>
      </c>
      <c r="V867" s="2">
        <f>IFERROR(VLOOKUP($D867&amp;$C867,生产方式定位!$A$2:$E$39,5,FALSE)+VLOOKUP($E867&amp;$C867,生产方式定位!$F$3:$J$39,5,FALSE),"错误")</f>
        <v>2350</v>
      </c>
      <c r="W867" s="3" t="str">
        <f t="shared" si="65"/>
        <v/>
      </c>
      <c r="X867" s="4" t="str">
        <f t="shared" si="66"/>
        <v/>
      </c>
      <c r="Y867" s="4" t="str">
        <f t="shared" si="67"/>
        <v/>
      </c>
      <c r="Z867" s="5">
        <f t="shared" si="68"/>
        <v>1.06</v>
      </c>
      <c r="AA867" s="6">
        <f t="shared" si="69"/>
        <v>2</v>
      </c>
      <c r="AB867" t="str">
        <f>IFERROR(F867&amp;"*"&amp;ROUND(L867*(G867/(G867+I867+K867))/VLOOKUP(F867,商品!$A$4:$D$67,4,FALSE),0),"")</f>
        <v/>
      </c>
      <c r="AC867" t="str">
        <f>IFERROR(H867&amp;"*"&amp;ROUND(L867*(I867/(G867+I867+K867))/VLOOKUP(H867,商品!$A$4:$D$67,4,FALSE),0),"")</f>
        <v/>
      </c>
      <c r="AD867" t="str">
        <f>IFERROR(J867&amp;"*"&amp;ROUND(L867*(K867/(G867+I867+K867))/VLOOKUP(J867,商品!$A$4:$D$67,4,FALSE),0),"")</f>
        <v/>
      </c>
      <c r="AE867" t="str">
        <f>IFERROR(M867&amp;"*"&amp;ROUND(Q867*(N867/(N867+P867))/VLOOKUP(M867,职业!$A$3:$E$16,4,FALSE),0),"")</f>
        <v/>
      </c>
      <c r="AF867" t="str">
        <f>IFERROR(O867&amp;"*"&amp;ROUND(Q867*(P867/(N867+P867))/VLOOKUP(O867,职业!$A$3:$E$16,4,FALSE),0),"")</f>
        <v/>
      </c>
      <c r="AG867" t="str">
        <f>IFERROR(R867&amp;"*"&amp;ROUND(V867*(S867/(S867+U867))/VLOOKUP(R867,商品!$A$4:$D$67,4,FALSE),0),"")</f>
        <v/>
      </c>
      <c r="AH867" t="str">
        <f>IFERROR(T867&amp;"*"&amp;ROUND(V867*(U867/(S867+U867))/VLOOKUP(T867,商品!$A$4:$D$67,4,FALSE),0),"")</f>
        <v/>
      </c>
    </row>
    <row r="868" customHeight="1" spans="1:34">
      <c r="A868" s="15" t="s">
        <v>443</v>
      </c>
      <c r="C868" s="2">
        <v>3</v>
      </c>
      <c r="D868" s="2" t="s">
        <v>220</v>
      </c>
      <c r="E868" s="2" t="s">
        <v>255</v>
      </c>
      <c r="L868" s="2">
        <f>IFERROR(VLOOKUP($D868&amp;$C868,生产方式定位!$A$2:$E$39,2,FALSE)+VLOOKUP($E868&amp;$C868,生产方式定位!$F$3:$J$39,2,FALSE),0)</f>
        <v>3000</v>
      </c>
      <c r="Q868" s="2">
        <f>IFERROR(VLOOKUP($D868&amp;$C868,生产方式定位!$A$2:$E$39,3,FALSE)+VLOOKUP($E868&amp;$C868,生产方式定位!$F$3:$J$39,3,FALSE),0)</f>
        <v>2400</v>
      </c>
      <c r="V868" s="2">
        <f>IFERROR(VLOOKUP($D868&amp;$C868,生产方式定位!$A$2:$E$39,5,FALSE)+VLOOKUP($E868&amp;$C868,生产方式定位!$F$3:$J$39,5,FALSE),"错误")</f>
        <v>2700</v>
      </c>
      <c r="W868" s="3" t="str">
        <f t="shared" si="65"/>
        <v/>
      </c>
      <c r="X868" s="4" t="str">
        <f t="shared" si="66"/>
        <v/>
      </c>
      <c r="Y868" s="4" t="str">
        <f t="shared" si="67"/>
        <v/>
      </c>
      <c r="Z868" s="5">
        <f t="shared" si="68"/>
        <v>1.11</v>
      </c>
      <c r="AA868" s="6">
        <f t="shared" si="69"/>
        <v>3</v>
      </c>
      <c r="AB868" t="str">
        <f>IFERROR(F868&amp;"*"&amp;ROUND(L868*(G868/(G868+I868+K868))/VLOOKUP(F868,商品!$A$4:$D$67,4,FALSE),0),"")</f>
        <v/>
      </c>
      <c r="AC868" t="str">
        <f>IFERROR(H868&amp;"*"&amp;ROUND(L868*(I868/(G868+I868+K868))/VLOOKUP(H868,商品!$A$4:$D$67,4,FALSE),0),"")</f>
        <v/>
      </c>
      <c r="AD868" t="str">
        <f>IFERROR(J868&amp;"*"&amp;ROUND(L868*(K868/(G868+I868+K868))/VLOOKUP(J868,商品!$A$4:$D$67,4,FALSE),0),"")</f>
        <v/>
      </c>
      <c r="AE868" t="str">
        <f>IFERROR(M868&amp;"*"&amp;ROUND(Q868*(N868/(N868+P868))/VLOOKUP(M868,职业!$A$3:$E$16,4,FALSE),0),"")</f>
        <v/>
      </c>
      <c r="AF868" t="str">
        <f>IFERROR(O868&amp;"*"&amp;ROUND(Q868*(P868/(N868+P868))/VLOOKUP(O868,职业!$A$3:$E$16,4,FALSE),0),"")</f>
        <v/>
      </c>
      <c r="AG868" t="str">
        <f>IFERROR(R868&amp;"*"&amp;ROUND(V868*(S868/(S868+U868))/VLOOKUP(R868,商品!$A$4:$D$67,4,FALSE),0),"")</f>
        <v/>
      </c>
      <c r="AH868" t="str">
        <f>IFERROR(T868&amp;"*"&amp;ROUND(V868*(U868/(S868+U868))/VLOOKUP(T868,商品!$A$4:$D$67,4,FALSE),0),"")</f>
        <v/>
      </c>
    </row>
    <row r="869" customHeight="1" spans="1:34">
      <c r="A869" s="15" t="s">
        <v>443</v>
      </c>
      <c r="C869" s="2">
        <v>4</v>
      </c>
      <c r="D869" s="2" t="s">
        <v>220</v>
      </c>
      <c r="E869" s="2" t="s">
        <v>255</v>
      </c>
      <c r="L869" s="2">
        <f>IFERROR(VLOOKUP($D869&amp;$C869,生产方式定位!$A$2:$E$39,2,FALSE)+VLOOKUP($E869&amp;$C869,生产方式定位!$F$3:$J$39,2,FALSE),0)</f>
        <v>3500</v>
      </c>
      <c r="Q869" s="2">
        <f>IFERROR(VLOOKUP($D869&amp;$C869,生产方式定位!$A$2:$E$39,3,FALSE)+VLOOKUP($E869&amp;$C869,生产方式定位!$F$3:$J$39,3,FALSE),0)</f>
        <v>2600</v>
      </c>
      <c r="V869" s="2">
        <f>IFERROR(VLOOKUP($D869&amp;$C869,生产方式定位!$A$2:$E$39,5,FALSE)+VLOOKUP($E869&amp;$C869,生产方式定位!$F$3:$J$39,5,FALSE),"错误")</f>
        <v>3050</v>
      </c>
      <c r="W869" s="3" t="str">
        <f t="shared" si="65"/>
        <v/>
      </c>
      <c r="X869" s="4" t="str">
        <f t="shared" si="66"/>
        <v/>
      </c>
      <c r="Y869" s="4" t="str">
        <f t="shared" si="67"/>
        <v/>
      </c>
      <c r="Z869" s="5">
        <f t="shared" si="68"/>
        <v>1.15</v>
      </c>
      <c r="AA869" s="6">
        <f t="shared" si="69"/>
        <v>4</v>
      </c>
      <c r="AB869" t="str">
        <f>IFERROR(F869&amp;"*"&amp;ROUND(L869*(G869/(G869+I869+K869))/VLOOKUP(F869,商品!$A$4:$D$67,4,FALSE),0),"")</f>
        <v/>
      </c>
      <c r="AC869" t="str">
        <f>IFERROR(H869&amp;"*"&amp;ROUND(L869*(I869/(G869+I869+K869))/VLOOKUP(H869,商品!$A$4:$D$67,4,FALSE),0),"")</f>
        <v/>
      </c>
      <c r="AD869" t="str">
        <f>IFERROR(J869&amp;"*"&amp;ROUND(L869*(K869/(G869+I869+K869))/VLOOKUP(J869,商品!$A$4:$D$67,4,FALSE),0),"")</f>
        <v/>
      </c>
      <c r="AE869" t="str">
        <f>IFERROR(M869&amp;"*"&amp;ROUND(Q869*(N869/(N869+P869))/VLOOKUP(M869,职业!$A$3:$E$16,4,FALSE),0),"")</f>
        <v/>
      </c>
      <c r="AF869" t="str">
        <f>IFERROR(O869&amp;"*"&amp;ROUND(Q869*(P869/(N869+P869))/VLOOKUP(O869,职业!$A$3:$E$16,4,FALSE),0),"")</f>
        <v/>
      </c>
      <c r="AG869" t="str">
        <f>IFERROR(R869&amp;"*"&amp;ROUND(V869*(S869/(S869+U869))/VLOOKUP(R869,商品!$A$4:$D$67,4,FALSE),0),"")</f>
        <v/>
      </c>
      <c r="AH869" t="str">
        <f>IFERROR(T869&amp;"*"&amp;ROUND(V869*(U869/(S869+U869))/VLOOKUP(T869,商品!$A$4:$D$67,4,FALSE),0),"")</f>
        <v/>
      </c>
    </row>
    <row r="870" customHeight="1" spans="1:34">
      <c r="A870" s="14" t="s">
        <v>444</v>
      </c>
      <c r="C870" s="2">
        <v>5</v>
      </c>
      <c r="D870" s="2" t="s">
        <v>220</v>
      </c>
      <c r="E870" s="2" t="s">
        <v>225</v>
      </c>
      <c r="L870" s="2">
        <f>IFERROR(VLOOKUP($D870&amp;$C870,生产方式定位!$A$2:$E$39,2,FALSE)+VLOOKUP($E870&amp;$C870,生产方式定位!$F$3:$J$39,2,FALSE),0)</f>
        <v>4000</v>
      </c>
      <c r="Q870" s="2">
        <f>IFERROR(VLOOKUP($D870&amp;$C870,生产方式定位!$A$2:$E$39,3,FALSE)+VLOOKUP($E870&amp;$C870,生产方式定位!$F$3:$J$39,3,FALSE),0)</f>
        <v>2800</v>
      </c>
      <c r="V870" s="2">
        <f>IFERROR(VLOOKUP($D870&amp;$C870,生产方式定位!$A$2:$E$39,5,FALSE)+VLOOKUP($E870&amp;$C870,生产方式定位!$F$3:$J$39,5,FALSE),"错误")</f>
        <v>3400</v>
      </c>
      <c r="W870" s="3" t="str">
        <f t="shared" si="65"/>
        <v/>
      </c>
      <c r="X870" s="4" t="str">
        <f t="shared" si="66"/>
        <v/>
      </c>
      <c r="Y870" s="4" t="str">
        <f t="shared" si="67"/>
        <v/>
      </c>
      <c r="Z870" s="5">
        <f t="shared" si="68"/>
        <v>1.18</v>
      </c>
      <c r="AA870" s="6">
        <f t="shared" si="69"/>
        <v>5</v>
      </c>
      <c r="AB870" t="str">
        <f>IFERROR(F870&amp;"*"&amp;ROUND(L870*(G870/(G870+I870+K870))/VLOOKUP(F870,商品!$A$4:$D$67,4,FALSE),0),"")</f>
        <v/>
      </c>
      <c r="AC870" t="str">
        <f>IFERROR(H870&amp;"*"&amp;ROUND(L870*(I870/(G870+I870+K870))/VLOOKUP(H870,商品!$A$4:$D$67,4,FALSE),0),"")</f>
        <v/>
      </c>
      <c r="AD870" t="str">
        <f>IFERROR(J870&amp;"*"&amp;ROUND(L870*(K870/(G870+I870+K870))/VLOOKUP(J870,商品!$A$4:$D$67,4,FALSE),0),"")</f>
        <v/>
      </c>
      <c r="AE870" t="str">
        <f>IFERROR(M870&amp;"*"&amp;ROUND(Q870*(N870/(N870+P870))/VLOOKUP(M870,职业!$A$3:$E$16,4,FALSE),0),"")</f>
        <v/>
      </c>
      <c r="AF870" t="str">
        <f>IFERROR(O870&amp;"*"&amp;ROUND(Q870*(P870/(N870+P870))/VLOOKUP(O870,职业!$A$3:$E$16,4,FALSE),0),"")</f>
        <v/>
      </c>
      <c r="AG870" t="str">
        <f>IFERROR(R870&amp;"*"&amp;ROUND(V870*(S870/(S870+U870))/VLOOKUP(R870,商品!$A$4:$D$67,4,FALSE),0),"")</f>
        <v/>
      </c>
      <c r="AH870" t="str">
        <f>IFERROR(T870&amp;"*"&amp;ROUND(V870*(U870/(S870+U870))/VLOOKUP(T870,商品!$A$4:$D$67,4,FALSE),0),"")</f>
        <v/>
      </c>
    </row>
    <row r="871" customHeight="1" spans="1:34">
      <c r="A871" s="14" t="s">
        <v>444</v>
      </c>
      <c r="C871" s="2">
        <v>1</v>
      </c>
      <c r="D871" s="2" t="s">
        <v>220</v>
      </c>
      <c r="E871" s="2" t="s">
        <v>225</v>
      </c>
      <c r="L871" s="2">
        <f>IFERROR(VLOOKUP($D871&amp;$C871,生产方式定位!$A$2:$E$39,2,FALSE)+VLOOKUP($E871&amp;$C871,生产方式定位!$F$3:$J$39,2,FALSE),0)</f>
        <v>2000</v>
      </c>
      <c r="Q871" s="2">
        <f>IFERROR(VLOOKUP($D871&amp;$C871,生产方式定位!$A$2:$E$39,3,FALSE)+VLOOKUP($E871&amp;$C871,生产方式定位!$F$3:$J$39,3,FALSE),0)</f>
        <v>2000</v>
      </c>
      <c r="V871" s="2">
        <f>IFERROR(VLOOKUP($D871&amp;$C871,生产方式定位!$A$2:$E$39,5,FALSE)+VLOOKUP($E871&amp;$C871,生产方式定位!$F$3:$J$39,5,FALSE),"错误")</f>
        <v>2000</v>
      </c>
      <c r="W871" s="3" t="str">
        <f t="shared" si="65"/>
        <v/>
      </c>
      <c r="X871" s="4" t="str">
        <f t="shared" si="66"/>
        <v/>
      </c>
      <c r="Y871" s="4" t="str">
        <f t="shared" si="67"/>
        <v/>
      </c>
      <c r="Z871" s="5">
        <f t="shared" si="68"/>
        <v>1</v>
      </c>
      <c r="AA871" s="6">
        <f t="shared" si="69"/>
        <v>1</v>
      </c>
      <c r="AB871" t="str">
        <f>IFERROR(F871&amp;"*"&amp;ROUND(L871*(G871/(G871+I871+K871))/VLOOKUP(F871,商品!$A$4:$D$67,4,FALSE),0),"")</f>
        <v/>
      </c>
      <c r="AC871" t="str">
        <f>IFERROR(H871&amp;"*"&amp;ROUND(L871*(I871/(G871+I871+K871))/VLOOKUP(H871,商品!$A$4:$D$67,4,FALSE),0),"")</f>
        <v/>
      </c>
      <c r="AD871" t="str">
        <f>IFERROR(J871&amp;"*"&amp;ROUND(L871*(K871/(G871+I871+K871))/VLOOKUP(J871,商品!$A$4:$D$67,4,FALSE),0),"")</f>
        <v/>
      </c>
      <c r="AE871" t="str">
        <f>IFERROR(M871&amp;"*"&amp;ROUND(Q871*(N871/(N871+P871))/VLOOKUP(M871,职业!$A$3:$E$16,4,FALSE),0),"")</f>
        <v/>
      </c>
      <c r="AF871" t="str">
        <f>IFERROR(O871&amp;"*"&amp;ROUND(Q871*(P871/(N871+P871))/VLOOKUP(O871,职业!$A$3:$E$16,4,FALSE),0),"")</f>
        <v/>
      </c>
      <c r="AG871" t="str">
        <f>IFERROR(R871&amp;"*"&amp;ROUND(V871*(S871/(S871+U871))/VLOOKUP(R871,商品!$A$4:$D$67,4,FALSE),0),"")</f>
        <v/>
      </c>
      <c r="AH871" t="str">
        <f>IFERROR(T871&amp;"*"&amp;ROUND(V871*(U871/(S871+U871))/VLOOKUP(T871,商品!$A$4:$D$67,4,FALSE),0),"")</f>
        <v/>
      </c>
    </row>
    <row r="872" customHeight="1" spans="1:34">
      <c r="A872" s="14" t="s">
        <v>444</v>
      </c>
      <c r="C872" s="2">
        <v>2</v>
      </c>
      <c r="D872" s="2" t="s">
        <v>220</v>
      </c>
      <c r="E872" s="2" t="s">
        <v>225</v>
      </c>
      <c r="L872" s="2">
        <f>IFERROR(VLOOKUP($D872&amp;$C872,生产方式定位!$A$2:$E$39,2,FALSE)+VLOOKUP($E872&amp;$C872,生产方式定位!$F$3:$J$39,2,FALSE),0)</f>
        <v>2500</v>
      </c>
      <c r="Q872" s="2">
        <f>IFERROR(VLOOKUP($D872&amp;$C872,生产方式定位!$A$2:$E$39,3,FALSE)+VLOOKUP($E872&amp;$C872,生产方式定位!$F$3:$J$39,3,FALSE),0)</f>
        <v>2200</v>
      </c>
      <c r="V872" s="2">
        <f>IFERROR(VLOOKUP($D872&amp;$C872,生产方式定位!$A$2:$E$39,5,FALSE)+VLOOKUP($E872&amp;$C872,生产方式定位!$F$3:$J$39,5,FALSE),"错误")</f>
        <v>2350</v>
      </c>
      <c r="W872" s="3" t="str">
        <f t="shared" si="65"/>
        <v/>
      </c>
      <c r="X872" s="4" t="str">
        <f t="shared" si="66"/>
        <v/>
      </c>
      <c r="Y872" s="4" t="str">
        <f t="shared" si="67"/>
        <v/>
      </c>
      <c r="Z872" s="5">
        <f t="shared" si="68"/>
        <v>1.06</v>
      </c>
      <c r="AA872" s="6">
        <f t="shared" si="69"/>
        <v>2</v>
      </c>
      <c r="AB872" t="str">
        <f>IFERROR(F872&amp;"*"&amp;ROUND(L872*(G872/(G872+I872+K872))/VLOOKUP(F872,商品!$A$4:$D$67,4,FALSE),0),"")</f>
        <v/>
      </c>
      <c r="AC872" t="str">
        <f>IFERROR(H872&amp;"*"&amp;ROUND(L872*(I872/(G872+I872+K872))/VLOOKUP(H872,商品!$A$4:$D$67,4,FALSE),0),"")</f>
        <v/>
      </c>
      <c r="AD872" t="str">
        <f>IFERROR(J872&amp;"*"&amp;ROUND(L872*(K872/(G872+I872+K872))/VLOOKUP(J872,商品!$A$4:$D$67,4,FALSE),0),"")</f>
        <v/>
      </c>
      <c r="AE872" t="str">
        <f>IFERROR(M872&amp;"*"&amp;ROUND(Q872*(N872/(N872+P872))/VLOOKUP(M872,职业!$A$3:$E$16,4,FALSE),0),"")</f>
        <v/>
      </c>
      <c r="AF872" t="str">
        <f>IFERROR(O872&amp;"*"&amp;ROUND(Q872*(P872/(N872+P872))/VLOOKUP(O872,职业!$A$3:$E$16,4,FALSE),0),"")</f>
        <v/>
      </c>
      <c r="AG872" t="str">
        <f>IFERROR(R872&amp;"*"&amp;ROUND(V872*(S872/(S872+U872))/VLOOKUP(R872,商品!$A$4:$D$67,4,FALSE),0),"")</f>
        <v/>
      </c>
      <c r="AH872" t="str">
        <f>IFERROR(T872&amp;"*"&amp;ROUND(V872*(U872/(S872+U872))/VLOOKUP(T872,商品!$A$4:$D$67,4,FALSE),0),"")</f>
        <v/>
      </c>
    </row>
    <row r="873" customHeight="1" spans="1:34">
      <c r="A873" s="14" t="s">
        <v>444</v>
      </c>
      <c r="C873" s="2">
        <v>3</v>
      </c>
      <c r="D873" s="2" t="s">
        <v>220</v>
      </c>
      <c r="E873" s="2" t="s">
        <v>225</v>
      </c>
      <c r="L873" s="2">
        <f>IFERROR(VLOOKUP($D873&amp;$C873,生产方式定位!$A$2:$E$39,2,FALSE)+VLOOKUP($E873&amp;$C873,生产方式定位!$F$3:$J$39,2,FALSE),0)</f>
        <v>3000</v>
      </c>
      <c r="Q873" s="2">
        <f>IFERROR(VLOOKUP($D873&amp;$C873,生产方式定位!$A$2:$E$39,3,FALSE)+VLOOKUP($E873&amp;$C873,生产方式定位!$F$3:$J$39,3,FALSE),0)</f>
        <v>2400</v>
      </c>
      <c r="V873" s="2">
        <f>IFERROR(VLOOKUP($D873&amp;$C873,生产方式定位!$A$2:$E$39,5,FALSE)+VLOOKUP($E873&amp;$C873,生产方式定位!$F$3:$J$39,5,FALSE),"错误")</f>
        <v>2700</v>
      </c>
      <c r="W873" s="3" t="str">
        <f t="shared" si="65"/>
        <v/>
      </c>
      <c r="X873" s="4" t="str">
        <f t="shared" si="66"/>
        <v/>
      </c>
      <c r="Y873" s="4" t="str">
        <f t="shared" si="67"/>
        <v/>
      </c>
      <c r="Z873" s="5">
        <f t="shared" si="68"/>
        <v>1.11</v>
      </c>
      <c r="AA873" s="6">
        <f t="shared" si="69"/>
        <v>3</v>
      </c>
      <c r="AB873" t="str">
        <f>IFERROR(F873&amp;"*"&amp;ROUND(L873*(G873/(G873+I873+K873))/VLOOKUP(F873,商品!$A$4:$D$67,4,FALSE),0),"")</f>
        <v/>
      </c>
      <c r="AC873" t="str">
        <f>IFERROR(H873&amp;"*"&amp;ROUND(L873*(I873/(G873+I873+K873))/VLOOKUP(H873,商品!$A$4:$D$67,4,FALSE),0),"")</f>
        <v/>
      </c>
      <c r="AD873" t="str">
        <f>IFERROR(J873&amp;"*"&amp;ROUND(L873*(K873/(G873+I873+K873))/VLOOKUP(J873,商品!$A$4:$D$67,4,FALSE),0),"")</f>
        <v/>
      </c>
      <c r="AE873" t="str">
        <f>IFERROR(M873&amp;"*"&amp;ROUND(Q873*(N873/(N873+P873))/VLOOKUP(M873,职业!$A$3:$E$16,4,FALSE),0),"")</f>
        <v/>
      </c>
      <c r="AF873" t="str">
        <f>IFERROR(O873&amp;"*"&amp;ROUND(Q873*(P873/(N873+P873))/VLOOKUP(O873,职业!$A$3:$E$16,4,FALSE),0),"")</f>
        <v/>
      </c>
      <c r="AG873" t="str">
        <f>IFERROR(R873&amp;"*"&amp;ROUND(V873*(S873/(S873+U873))/VLOOKUP(R873,商品!$A$4:$D$67,4,FALSE),0),"")</f>
        <v/>
      </c>
      <c r="AH873" t="str">
        <f>IFERROR(T873&amp;"*"&amp;ROUND(V873*(U873/(S873+U873))/VLOOKUP(T873,商品!$A$4:$D$67,4,FALSE),0),"")</f>
        <v/>
      </c>
    </row>
    <row r="874" customHeight="1" spans="1:34">
      <c r="A874" s="14" t="s">
        <v>444</v>
      </c>
      <c r="C874" s="2">
        <v>4</v>
      </c>
      <c r="D874" s="2" t="s">
        <v>220</v>
      </c>
      <c r="E874" s="2" t="s">
        <v>225</v>
      </c>
      <c r="L874" s="2">
        <f>IFERROR(VLOOKUP($D874&amp;$C874,生产方式定位!$A$2:$E$39,2,FALSE)+VLOOKUP($E874&amp;$C874,生产方式定位!$F$3:$J$39,2,FALSE),0)</f>
        <v>3500</v>
      </c>
      <c r="Q874" s="2">
        <f>IFERROR(VLOOKUP($D874&amp;$C874,生产方式定位!$A$2:$E$39,3,FALSE)+VLOOKUP($E874&amp;$C874,生产方式定位!$F$3:$J$39,3,FALSE),0)</f>
        <v>2600</v>
      </c>
      <c r="V874" s="2">
        <f>IFERROR(VLOOKUP($D874&amp;$C874,生产方式定位!$A$2:$E$39,5,FALSE)+VLOOKUP($E874&amp;$C874,生产方式定位!$F$3:$J$39,5,FALSE),"错误")</f>
        <v>3050</v>
      </c>
      <c r="W874" s="3" t="str">
        <f t="shared" si="65"/>
        <v/>
      </c>
      <c r="X874" s="4" t="str">
        <f t="shared" si="66"/>
        <v/>
      </c>
      <c r="Y874" s="4" t="str">
        <f t="shared" si="67"/>
        <v/>
      </c>
      <c r="Z874" s="5">
        <f t="shared" si="68"/>
        <v>1.15</v>
      </c>
      <c r="AA874" s="6">
        <f t="shared" si="69"/>
        <v>4</v>
      </c>
      <c r="AB874" t="str">
        <f>IFERROR(F874&amp;"*"&amp;ROUND(L874*(G874/(G874+I874+K874))/VLOOKUP(F874,商品!$A$4:$D$67,4,FALSE),0),"")</f>
        <v/>
      </c>
      <c r="AC874" t="str">
        <f>IFERROR(H874&amp;"*"&amp;ROUND(L874*(I874/(G874+I874+K874))/VLOOKUP(H874,商品!$A$4:$D$67,4,FALSE),0),"")</f>
        <v/>
      </c>
      <c r="AD874" t="str">
        <f>IFERROR(J874&amp;"*"&amp;ROUND(L874*(K874/(G874+I874+K874))/VLOOKUP(J874,商品!$A$4:$D$67,4,FALSE),0),"")</f>
        <v/>
      </c>
      <c r="AE874" t="str">
        <f>IFERROR(M874&amp;"*"&amp;ROUND(Q874*(N874/(N874+P874))/VLOOKUP(M874,职业!$A$3:$E$16,4,FALSE),0),"")</f>
        <v/>
      </c>
      <c r="AF874" t="str">
        <f>IFERROR(O874&amp;"*"&amp;ROUND(Q874*(P874/(N874+P874))/VLOOKUP(O874,职业!$A$3:$E$16,4,FALSE),0),"")</f>
        <v/>
      </c>
      <c r="AG874" t="str">
        <f>IFERROR(R874&amp;"*"&amp;ROUND(V874*(S874/(S874+U874))/VLOOKUP(R874,商品!$A$4:$D$67,4,FALSE),0),"")</f>
        <v/>
      </c>
      <c r="AH874" t="str">
        <f>IFERROR(T874&amp;"*"&amp;ROUND(V874*(U874/(S874+U874))/VLOOKUP(T874,商品!$A$4:$D$67,4,FALSE),0),"")</f>
        <v/>
      </c>
    </row>
    <row r="875" customHeight="1" spans="1:34">
      <c r="A875" s="14" t="s">
        <v>444</v>
      </c>
      <c r="C875" s="2">
        <v>5</v>
      </c>
      <c r="D875" s="2" t="s">
        <v>220</v>
      </c>
      <c r="E875" s="2" t="s">
        <v>225</v>
      </c>
      <c r="L875" s="2">
        <f>IFERROR(VLOOKUP($D875&amp;$C875,生产方式定位!$A$2:$E$39,2,FALSE)+VLOOKUP($E875&amp;$C875,生产方式定位!$F$3:$J$39,2,FALSE),0)</f>
        <v>4000</v>
      </c>
      <c r="Q875" s="2">
        <f>IFERROR(VLOOKUP($D875&amp;$C875,生产方式定位!$A$2:$E$39,3,FALSE)+VLOOKUP($E875&amp;$C875,生产方式定位!$F$3:$J$39,3,FALSE),0)</f>
        <v>2800</v>
      </c>
      <c r="V875" s="2">
        <f>IFERROR(VLOOKUP($D875&amp;$C875,生产方式定位!$A$2:$E$39,5,FALSE)+VLOOKUP($E875&amp;$C875,生产方式定位!$F$3:$J$39,5,FALSE),"错误")</f>
        <v>3400</v>
      </c>
      <c r="W875" s="3" t="str">
        <f t="shared" si="65"/>
        <v/>
      </c>
      <c r="X875" s="4" t="str">
        <f t="shared" si="66"/>
        <v/>
      </c>
      <c r="Y875" s="4" t="str">
        <f t="shared" si="67"/>
        <v/>
      </c>
      <c r="Z875" s="5">
        <f t="shared" si="68"/>
        <v>1.18</v>
      </c>
      <c r="AA875" s="6">
        <f t="shared" si="69"/>
        <v>5</v>
      </c>
      <c r="AB875" t="str">
        <f>IFERROR(F875&amp;"*"&amp;ROUND(L875*(G875/(G875+I875+K875))/VLOOKUP(F875,商品!$A$4:$D$67,4,FALSE),0),"")</f>
        <v/>
      </c>
      <c r="AC875" t="str">
        <f>IFERROR(H875&amp;"*"&amp;ROUND(L875*(I875/(G875+I875+K875))/VLOOKUP(H875,商品!$A$4:$D$67,4,FALSE),0),"")</f>
        <v/>
      </c>
      <c r="AD875" t="str">
        <f>IFERROR(J875&amp;"*"&amp;ROUND(L875*(K875/(G875+I875+K875))/VLOOKUP(J875,商品!$A$4:$D$67,4,FALSE),0),"")</f>
        <v/>
      </c>
      <c r="AE875" t="str">
        <f>IFERROR(M875&amp;"*"&amp;ROUND(Q875*(N875/(N875+P875))/VLOOKUP(M875,职业!$A$3:$E$16,4,FALSE),0),"")</f>
        <v/>
      </c>
      <c r="AF875" t="str">
        <f>IFERROR(O875&amp;"*"&amp;ROUND(Q875*(P875/(N875+P875))/VLOOKUP(O875,职业!$A$3:$E$16,4,FALSE),0),"")</f>
        <v/>
      </c>
      <c r="AG875" t="str">
        <f>IFERROR(R875&amp;"*"&amp;ROUND(V875*(S875/(S875+U875))/VLOOKUP(R875,商品!$A$4:$D$67,4,FALSE),0),"")</f>
        <v/>
      </c>
      <c r="AH875" t="str">
        <f>IFERROR(T875&amp;"*"&amp;ROUND(V875*(U875/(S875+U875))/VLOOKUP(T875,商品!$A$4:$D$67,4,FALSE),0),"")</f>
        <v/>
      </c>
    </row>
    <row r="876" customHeight="1" spans="1:34">
      <c r="A876" s="14" t="s">
        <v>444</v>
      </c>
      <c r="C876" s="2">
        <v>1</v>
      </c>
      <c r="D876" s="2" t="s">
        <v>220</v>
      </c>
      <c r="E876" s="2" t="s">
        <v>225</v>
      </c>
      <c r="L876" s="2">
        <f>IFERROR(VLOOKUP($D876&amp;$C876,生产方式定位!$A$2:$E$39,2,FALSE)+VLOOKUP($E876&amp;$C876,生产方式定位!$F$3:$J$39,2,FALSE),0)</f>
        <v>2000</v>
      </c>
      <c r="Q876" s="2">
        <f>IFERROR(VLOOKUP($D876&amp;$C876,生产方式定位!$A$2:$E$39,3,FALSE)+VLOOKUP($E876&amp;$C876,生产方式定位!$F$3:$J$39,3,FALSE),0)</f>
        <v>2000</v>
      </c>
      <c r="V876" s="2">
        <f>IFERROR(VLOOKUP($D876&amp;$C876,生产方式定位!$A$2:$E$39,5,FALSE)+VLOOKUP($E876&amp;$C876,生产方式定位!$F$3:$J$39,5,FALSE),"错误")</f>
        <v>2000</v>
      </c>
      <c r="W876" s="3" t="str">
        <f t="shared" si="65"/>
        <v/>
      </c>
      <c r="X876" s="4" t="str">
        <f t="shared" si="66"/>
        <v/>
      </c>
      <c r="Y876" s="4" t="str">
        <f t="shared" si="67"/>
        <v/>
      </c>
      <c r="Z876" s="5">
        <f t="shared" si="68"/>
        <v>1</v>
      </c>
      <c r="AA876" s="6">
        <f t="shared" si="69"/>
        <v>1</v>
      </c>
      <c r="AB876" t="str">
        <f>IFERROR(F876&amp;"*"&amp;ROUND(L876*(G876/(G876+I876+K876))/VLOOKUP(F876,商品!$A$4:$D$67,4,FALSE),0),"")</f>
        <v/>
      </c>
      <c r="AC876" t="str">
        <f>IFERROR(H876&amp;"*"&amp;ROUND(L876*(I876/(G876+I876+K876))/VLOOKUP(H876,商品!$A$4:$D$67,4,FALSE),0),"")</f>
        <v/>
      </c>
      <c r="AD876" t="str">
        <f>IFERROR(J876&amp;"*"&amp;ROUND(L876*(K876/(G876+I876+K876))/VLOOKUP(J876,商品!$A$4:$D$67,4,FALSE),0),"")</f>
        <v/>
      </c>
      <c r="AE876" t="str">
        <f>IFERROR(M876&amp;"*"&amp;ROUND(Q876*(N876/(N876+P876))/VLOOKUP(M876,职业!$A$3:$E$16,4,FALSE),0),"")</f>
        <v/>
      </c>
      <c r="AF876" t="str">
        <f>IFERROR(O876&amp;"*"&amp;ROUND(Q876*(P876/(N876+P876))/VLOOKUP(O876,职业!$A$3:$E$16,4,FALSE),0),"")</f>
        <v/>
      </c>
      <c r="AG876" t="str">
        <f>IFERROR(R876&amp;"*"&amp;ROUND(V876*(S876/(S876+U876))/VLOOKUP(R876,商品!$A$4:$D$67,4,FALSE),0),"")</f>
        <v/>
      </c>
      <c r="AH876" t="str">
        <f>IFERROR(T876&amp;"*"&amp;ROUND(V876*(U876/(S876+U876))/VLOOKUP(T876,商品!$A$4:$D$67,4,FALSE),0),"")</f>
        <v/>
      </c>
    </row>
    <row r="877" customHeight="1" spans="1:34">
      <c r="A877" s="14" t="s">
        <v>444</v>
      </c>
      <c r="C877" s="2">
        <v>2</v>
      </c>
      <c r="D877" s="2" t="s">
        <v>220</v>
      </c>
      <c r="E877" s="2" t="s">
        <v>225</v>
      </c>
      <c r="L877" s="2">
        <f>IFERROR(VLOOKUP($D877&amp;$C877,生产方式定位!$A$2:$E$39,2,FALSE)+VLOOKUP($E877&amp;$C877,生产方式定位!$F$3:$J$39,2,FALSE),0)</f>
        <v>2500</v>
      </c>
      <c r="Q877" s="2">
        <f>IFERROR(VLOOKUP($D877&amp;$C877,生产方式定位!$A$2:$E$39,3,FALSE)+VLOOKUP($E877&amp;$C877,生产方式定位!$F$3:$J$39,3,FALSE),0)</f>
        <v>2200</v>
      </c>
      <c r="V877" s="2">
        <f>IFERROR(VLOOKUP($D877&amp;$C877,生产方式定位!$A$2:$E$39,5,FALSE)+VLOOKUP($E877&amp;$C877,生产方式定位!$F$3:$J$39,5,FALSE),"错误")</f>
        <v>2350</v>
      </c>
      <c r="W877" s="3" t="str">
        <f t="shared" si="65"/>
        <v/>
      </c>
      <c r="X877" s="4" t="str">
        <f t="shared" si="66"/>
        <v/>
      </c>
      <c r="Y877" s="4" t="str">
        <f t="shared" si="67"/>
        <v/>
      </c>
      <c r="Z877" s="5">
        <f t="shared" si="68"/>
        <v>1.06</v>
      </c>
      <c r="AA877" s="6">
        <f t="shared" si="69"/>
        <v>2</v>
      </c>
      <c r="AB877" t="str">
        <f>IFERROR(F877&amp;"*"&amp;ROUND(L877*(G877/(G877+I877+K877))/VLOOKUP(F877,商品!$A$4:$D$67,4,FALSE),0),"")</f>
        <v/>
      </c>
      <c r="AC877" t="str">
        <f>IFERROR(H877&amp;"*"&amp;ROUND(L877*(I877/(G877+I877+K877))/VLOOKUP(H877,商品!$A$4:$D$67,4,FALSE),0),"")</f>
        <v/>
      </c>
      <c r="AD877" t="str">
        <f>IFERROR(J877&amp;"*"&amp;ROUND(L877*(K877/(G877+I877+K877))/VLOOKUP(J877,商品!$A$4:$D$67,4,FALSE),0),"")</f>
        <v/>
      </c>
      <c r="AE877" t="str">
        <f>IFERROR(M877&amp;"*"&amp;ROUND(Q877*(N877/(N877+P877))/VLOOKUP(M877,职业!$A$3:$E$16,4,FALSE),0),"")</f>
        <v/>
      </c>
      <c r="AF877" t="str">
        <f>IFERROR(O877&amp;"*"&amp;ROUND(Q877*(P877/(N877+P877))/VLOOKUP(O877,职业!$A$3:$E$16,4,FALSE),0),"")</f>
        <v/>
      </c>
      <c r="AG877" t="str">
        <f>IFERROR(R877&amp;"*"&amp;ROUND(V877*(S877/(S877+U877))/VLOOKUP(R877,商品!$A$4:$D$67,4,FALSE),0),"")</f>
        <v/>
      </c>
      <c r="AH877" t="str">
        <f>IFERROR(T877&amp;"*"&amp;ROUND(V877*(U877/(S877+U877))/VLOOKUP(T877,商品!$A$4:$D$67,4,FALSE),0),"")</f>
        <v/>
      </c>
    </row>
    <row r="878" customHeight="1" spans="1:34">
      <c r="A878" s="15" t="s">
        <v>446</v>
      </c>
      <c r="C878" s="2">
        <v>3</v>
      </c>
      <c r="D878" s="2" t="s">
        <v>220</v>
      </c>
      <c r="E878" s="2" t="s">
        <v>222</v>
      </c>
      <c r="L878" s="2">
        <f>IFERROR(VLOOKUP($D878&amp;$C878,生产方式定位!$A$2:$E$39,2,FALSE)+VLOOKUP($E878&amp;$C878,生产方式定位!$F$3:$J$39,2,FALSE),0)</f>
        <v>5000</v>
      </c>
      <c r="Q878" s="2">
        <f>IFERROR(VLOOKUP($D878&amp;$C878,生产方式定位!$A$2:$E$39,3,FALSE)+VLOOKUP($E878&amp;$C878,生产方式定位!$F$3:$J$39,3,FALSE),0)</f>
        <v>2800</v>
      </c>
      <c r="V878" s="2">
        <f>IFERROR(VLOOKUP($D878&amp;$C878,生产方式定位!$A$2:$E$39,5,FALSE)+VLOOKUP($E878&amp;$C878,生产方式定位!$F$3:$J$39,5,FALSE),"错误")</f>
        <v>4188</v>
      </c>
      <c r="W878" s="3" t="str">
        <f t="shared" si="65"/>
        <v/>
      </c>
      <c r="X878" s="4" t="str">
        <f t="shared" si="66"/>
        <v/>
      </c>
      <c r="Y878" s="4" t="str">
        <f t="shared" si="67"/>
        <v/>
      </c>
      <c r="Z878" s="5">
        <f t="shared" si="68"/>
        <v>1.19</v>
      </c>
      <c r="AA878" s="6">
        <f t="shared" si="69"/>
        <v>3</v>
      </c>
      <c r="AB878" t="str">
        <f>IFERROR(F878&amp;"*"&amp;ROUND(L878*(G878/(G878+I878+K878))/VLOOKUP(F878,商品!$A$4:$D$67,4,FALSE),0),"")</f>
        <v/>
      </c>
      <c r="AC878" t="str">
        <f>IFERROR(H878&amp;"*"&amp;ROUND(L878*(I878/(G878+I878+K878))/VLOOKUP(H878,商品!$A$4:$D$67,4,FALSE),0),"")</f>
        <v/>
      </c>
      <c r="AD878" t="str">
        <f>IFERROR(J878&amp;"*"&amp;ROUND(L878*(K878/(G878+I878+K878))/VLOOKUP(J878,商品!$A$4:$D$67,4,FALSE),0),"")</f>
        <v/>
      </c>
      <c r="AE878" t="str">
        <f>IFERROR(M878&amp;"*"&amp;ROUND(Q878*(N878/(N878+P878))/VLOOKUP(M878,职业!$A$3:$E$16,4,FALSE),0),"")</f>
        <v/>
      </c>
      <c r="AF878" t="str">
        <f>IFERROR(O878&amp;"*"&amp;ROUND(Q878*(P878/(N878+P878))/VLOOKUP(O878,职业!$A$3:$E$16,4,FALSE),0),"")</f>
        <v/>
      </c>
      <c r="AG878" t="str">
        <f>IFERROR(R878&amp;"*"&amp;ROUND(V878*(S878/(S878+U878))/VLOOKUP(R878,商品!$A$4:$D$67,4,FALSE),0),"")</f>
        <v/>
      </c>
      <c r="AH878" t="str">
        <f>IFERROR(T878&amp;"*"&amp;ROUND(V878*(U878/(S878+U878))/VLOOKUP(T878,商品!$A$4:$D$67,4,FALSE),0),"")</f>
        <v/>
      </c>
    </row>
    <row r="879" customHeight="1" spans="1:34">
      <c r="A879" s="15" t="s">
        <v>446</v>
      </c>
      <c r="C879" s="2">
        <v>4</v>
      </c>
      <c r="D879" s="2" t="s">
        <v>220</v>
      </c>
      <c r="E879" s="2" t="s">
        <v>222</v>
      </c>
      <c r="L879" s="2">
        <f>IFERROR(VLOOKUP($D879&amp;$C879,生产方式定位!$A$2:$E$39,2,FALSE)+VLOOKUP($E879&amp;$C879,生产方式定位!$F$3:$J$39,2,FALSE),0)</f>
        <v>6500</v>
      </c>
      <c r="Q879" s="2">
        <f>IFERROR(VLOOKUP($D879&amp;$C879,生产方式定位!$A$2:$E$39,3,FALSE)+VLOOKUP($E879&amp;$C879,生产方式定位!$F$3:$J$39,3,FALSE),0)</f>
        <v>3200</v>
      </c>
      <c r="V879" s="2">
        <f>IFERROR(VLOOKUP($D879&amp;$C879,生产方式定位!$A$2:$E$39,5,FALSE)+VLOOKUP($E879&amp;$C879,生产方式定位!$F$3:$J$39,5,FALSE),"错误")</f>
        <v>5498</v>
      </c>
      <c r="W879" s="3" t="str">
        <f t="shared" si="65"/>
        <v/>
      </c>
      <c r="X879" s="4" t="str">
        <f t="shared" si="66"/>
        <v/>
      </c>
      <c r="Y879" s="4" t="str">
        <f t="shared" si="67"/>
        <v/>
      </c>
      <c r="Z879" s="5">
        <f t="shared" si="68"/>
        <v>1.18</v>
      </c>
      <c r="AA879" s="6">
        <f t="shared" si="69"/>
        <v>4</v>
      </c>
      <c r="AB879" t="str">
        <f>IFERROR(F879&amp;"*"&amp;ROUND(L879*(G879/(G879+I879+K879))/VLOOKUP(F879,商品!$A$4:$D$67,4,FALSE),0),"")</f>
        <v/>
      </c>
      <c r="AC879" t="str">
        <f>IFERROR(H879&amp;"*"&amp;ROUND(L879*(I879/(G879+I879+K879))/VLOOKUP(H879,商品!$A$4:$D$67,4,FALSE),0),"")</f>
        <v/>
      </c>
      <c r="AD879" t="str">
        <f>IFERROR(J879&amp;"*"&amp;ROUND(L879*(K879/(G879+I879+K879))/VLOOKUP(J879,商品!$A$4:$D$67,4,FALSE),0),"")</f>
        <v/>
      </c>
      <c r="AE879" t="str">
        <f>IFERROR(M879&amp;"*"&amp;ROUND(Q879*(N879/(N879+P879))/VLOOKUP(M879,职业!$A$3:$E$16,4,FALSE),0),"")</f>
        <v/>
      </c>
      <c r="AF879" t="str">
        <f>IFERROR(O879&amp;"*"&amp;ROUND(Q879*(P879/(N879+P879))/VLOOKUP(O879,职业!$A$3:$E$16,4,FALSE),0),"")</f>
        <v/>
      </c>
      <c r="AG879" t="str">
        <f>IFERROR(R879&amp;"*"&amp;ROUND(V879*(S879/(S879+U879))/VLOOKUP(R879,商品!$A$4:$D$67,4,FALSE),0),"")</f>
        <v/>
      </c>
      <c r="AH879" t="str">
        <f>IFERROR(T879&amp;"*"&amp;ROUND(V879*(U879/(S879+U879))/VLOOKUP(T879,商品!$A$4:$D$67,4,FALSE),0),"")</f>
        <v/>
      </c>
    </row>
    <row r="880" customHeight="1" spans="1:34">
      <c r="A880" s="15" t="s">
        <v>446</v>
      </c>
      <c r="C880" s="2">
        <v>5</v>
      </c>
      <c r="D880" s="2" t="s">
        <v>220</v>
      </c>
      <c r="E880" s="2" t="s">
        <v>222</v>
      </c>
      <c r="L880" s="2">
        <f>IFERROR(VLOOKUP($D880&amp;$C880,生产方式定位!$A$2:$E$39,2,FALSE)+VLOOKUP($E880&amp;$C880,生产方式定位!$F$3:$J$39,2,FALSE),0)</f>
        <v>8000</v>
      </c>
      <c r="Q880" s="2">
        <f>IFERROR(VLOOKUP($D880&amp;$C880,生产方式定位!$A$2:$E$39,3,FALSE)+VLOOKUP($E880&amp;$C880,生产方式定位!$F$3:$J$39,3,FALSE),0)</f>
        <v>3600</v>
      </c>
      <c r="V880" s="2">
        <f>IFERROR(VLOOKUP($D880&amp;$C880,生产方式定位!$A$2:$E$39,5,FALSE)+VLOOKUP($E880&amp;$C880,生产方式定位!$F$3:$J$39,5,FALSE),"错误")</f>
        <v>7000</v>
      </c>
      <c r="W880" s="3" t="str">
        <f t="shared" si="65"/>
        <v/>
      </c>
      <c r="X880" s="4" t="str">
        <f t="shared" si="66"/>
        <v/>
      </c>
      <c r="Y880" s="4" t="str">
        <f t="shared" si="67"/>
        <v/>
      </c>
      <c r="Z880" s="5">
        <f t="shared" si="68"/>
        <v>1.14</v>
      </c>
      <c r="AA880" s="6">
        <f t="shared" si="69"/>
        <v>5</v>
      </c>
      <c r="AB880" t="str">
        <f>IFERROR(F880&amp;"*"&amp;ROUND(L880*(G880/(G880+I880+K880))/VLOOKUP(F880,商品!$A$4:$D$67,4,FALSE),0),"")</f>
        <v/>
      </c>
      <c r="AC880" t="str">
        <f>IFERROR(H880&amp;"*"&amp;ROUND(L880*(I880/(G880+I880+K880))/VLOOKUP(H880,商品!$A$4:$D$67,4,FALSE),0),"")</f>
        <v/>
      </c>
      <c r="AD880" t="str">
        <f>IFERROR(J880&amp;"*"&amp;ROUND(L880*(K880/(G880+I880+K880))/VLOOKUP(J880,商品!$A$4:$D$67,4,FALSE),0),"")</f>
        <v/>
      </c>
      <c r="AE880" t="str">
        <f>IFERROR(M880&amp;"*"&amp;ROUND(Q880*(N880/(N880+P880))/VLOOKUP(M880,职业!$A$3:$E$16,4,FALSE),0),"")</f>
        <v/>
      </c>
      <c r="AF880" t="str">
        <f>IFERROR(O880&amp;"*"&amp;ROUND(Q880*(P880/(N880+P880))/VLOOKUP(O880,职业!$A$3:$E$16,4,FALSE),0),"")</f>
        <v/>
      </c>
      <c r="AG880" t="str">
        <f>IFERROR(R880&amp;"*"&amp;ROUND(V880*(S880/(S880+U880))/VLOOKUP(R880,商品!$A$4:$D$67,4,FALSE),0),"")</f>
        <v/>
      </c>
      <c r="AH880" t="str">
        <f>IFERROR(T880&amp;"*"&amp;ROUND(V880*(U880/(S880+U880))/VLOOKUP(T880,商品!$A$4:$D$67,4,FALSE),0),"")</f>
        <v/>
      </c>
    </row>
    <row r="881" customHeight="1" spans="1:34">
      <c r="A881" s="15" t="s">
        <v>446</v>
      </c>
      <c r="C881" s="2">
        <v>1</v>
      </c>
      <c r="D881" s="2" t="s">
        <v>220</v>
      </c>
      <c r="E881" s="2" t="s">
        <v>222</v>
      </c>
      <c r="L881" s="2">
        <f>IFERROR(VLOOKUP($D881&amp;$C881,生产方式定位!$A$2:$E$39,2,FALSE)+VLOOKUP($E881&amp;$C881,生产方式定位!$F$3:$J$39,2,FALSE),0)</f>
        <v>2000</v>
      </c>
      <c r="Q881" s="2">
        <f>IFERROR(VLOOKUP($D881&amp;$C881,生产方式定位!$A$2:$E$39,3,FALSE)+VLOOKUP($E881&amp;$C881,生产方式定位!$F$3:$J$39,3,FALSE),0)</f>
        <v>2000</v>
      </c>
      <c r="V881" s="2">
        <f>IFERROR(VLOOKUP($D881&amp;$C881,生产方式定位!$A$2:$E$39,5,FALSE)+VLOOKUP($E881&amp;$C881,生产方式定位!$F$3:$J$39,5,FALSE),"错误")</f>
        <v>2000</v>
      </c>
      <c r="W881" s="3" t="str">
        <f t="shared" si="65"/>
        <v/>
      </c>
      <c r="X881" s="4" t="str">
        <f t="shared" si="66"/>
        <v/>
      </c>
      <c r="Y881" s="4" t="str">
        <f t="shared" si="67"/>
        <v/>
      </c>
      <c r="Z881" s="5">
        <f t="shared" si="68"/>
        <v>1</v>
      </c>
      <c r="AA881" s="6">
        <f t="shared" si="69"/>
        <v>1</v>
      </c>
      <c r="AB881" t="str">
        <f>IFERROR(F881&amp;"*"&amp;ROUND(L881*(G881/(G881+I881+K881))/VLOOKUP(F881,商品!$A$4:$D$67,4,FALSE),0),"")</f>
        <v/>
      </c>
      <c r="AC881" t="str">
        <f>IFERROR(H881&amp;"*"&amp;ROUND(L881*(I881/(G881+I881+K881))/VLOOKUP(H881,商品!$A$4:$D$67,4,FALSE),0),"")</f>
        <v/>
      </c>
      <c r="AD881" t="str">
        <f>IFERROR(J881&amp;"*"&amp;ROUND(L881*(K881/(G881+I881+K881))/VLOOKUP(J881,商品!$A$4:$D$67,4,FALSE),0),"")</f>
        <v/>
      </c>
      <c r="AE881" t="str">
        <f>IFERROR(M881&amp;"*"&amp;ROUND(Q881*(N881/(N881+P881))/VLOOKUP(M881,职业!$A$3:$E$16,4,FALSE),0),"")</f>
        <v/>
      </c>
      <c r="AF881" t="str">
        <f>IFERROR(O881&amp;"*"&amp;ROUND(Q881*(P881/(N881+P881))/VLOOKUP(O881,职业!$A$3:$E$16,4,FALSE),0),"")</f>
        <v/>
      </c>
      <c r="AG881" t="str">
        <f>IFERROR(R881&amp;"*"&amp;ROUND(V881*(S881/(S881+U881))/VLOOKUP(R881,商品!$A$4:$D$67,4,FALSE),0),"")</f>
        <v/>
      </c>
      <c r="AH881" t="str">
        <f>IFERROR(T881&amp;"*"&amp;ROUND(V881*(U881/(S881+U881))/VLOOKUP(T881,商品!$A$4:$D$67,4,FALSE),0),"")</f>
        <v/>
      </c>
    </row>
    <row r="882" customHeight="1" spans="1:34">
      <c r="A882" s="15" t="s">
        <v>446</v>
      </c>
      <c r="C882" s="2">
        <v>2</v>
      </c>
      <c r="D882" s="2" t="s">
        <v>220</v>
      </c>
      <c r="E882" s="2" t="s">
        <v>222</v>
      </c>
      <c r="L882" s="2">
        <f>IFERROR(VLOOKUP($D882&amp;$C882,生产方式定位!$A$2:$E$39,2,FALSE)+VLOOKUP($E882&amp;$C882,生产方式定位!$F$3:$J$39,2,FALSE),0)</f>
        <v>3500</v>
      </c>
      <c r="Q882" s="2">
        <f>IFERROR(VLOOKUP($D882&amp;$C882,生产方式定位!$A$2:$E$39,3,FALSE)+VLOOKUP($E882&amp;$C882,生产方式定位!$F$3:$J$39,3,FALSE),0)</f>
        <v>2400</v>
      </c>
      <c r="V882" s="2">
        <f>IFERROR(VLOOKUP($D882&amp;$C882,生产方式定位!$A$2:$E$39,5,FALSE)+VLOOKUP($E882&amp;$C882,生产方式定位!$F$3:$J$39,5,FALSE),"错误")</f>
        <v>3022</v>
      </c>
      <c r="W882" s="3" t="str">
        <f t="shared" si="65"/>
        <v/>
      </c>
      <c r="X882" s="4" t="str">
        <f t="shared" si="66"/>
        <v/>
      </c>
      <c r="Y882" s="4" t="str">
        <f t="shared" si="67"/>
        <v/>
      </c>
      <c r="Z882" s="5">
        <f t="shared" si="68"/>
        <v>1.16</v>
      </c>
      <c r="AA882" s="6">
        <f t="shared" si="69"/>
        <v>2</v>
      </c>
      <c r="AB882" t="str">
        <f>IFERROR(F882&amp;"*"&amp;ROUND(L882*(G882/(G882+I882+K882))/VLOOKUP(F882,商品!$A$4:$D$67,4,FALSE),0),"")</f>
        <v/>
      </c>
      <c r="AC882" t="str">
        <f>IFERROR(H882&amp;"*"&amp;ROUND(L882*(I882/(G882+I882+K882))/VLOOKUP(H882,商品!$A$4:$D$67,4,FALSE),0),"")</f>
        <v/>
      </c>
      <c r="AD882" t="str">
        <f>IFERROR(J882&amp;"*"&amp;ROUND(L882*(K882/(G882+I882+K882))/VLOOKUP(J882,商品!$A$4:$D$67,4,FALSE),0),"")</f>
        <v/>
      </c>
      <c r="AE882" t="str">
        <f>IFERROR(M882&amp;"*"&amp;ROUND(Q882*(N882/(N882+P882))/VLOOKUP(M882,职业!$A$3:$E$16,4,FALSE),0),"")</f>
        <v/>
      </c>
      <c r="AF882" t="str">
        <f>IFERROR(O882&amp;"*"&amp;ROUND(Q882*(P882/(N882+P882))/VLOOKUP(O882,职业!$A$3:$E$16,4,FALSE),0),"")</f>
        <v/>
      </c>
      <c r="AG882" t="str">
        <f>IFERROR(R882&amp;"*"&amp;ROUND(V882*(S882/(S882+U882))/VLOOKUP(R882,商品!$A$4:$D$67,4,FALSE),0),"")</f>
        <v/>
      </c>
      <c r="AH882" t="str">
        <f>IFERROR(T882&amp;"*"&amp;ROUND(V882*(U882/(S882+U882))/VLOOKUP(T882,商品!$A$4:$D$67,4,FALSE),0),"")</f>
        <v/>
      </c>
    </row>
    <row r="883" customHeight="1" spans="1:34">
      <c r="A883" s="14" t="s">
        <v>447</v>
      </c>
      <c r="C883" s="2">
        <v>3</v>
      </c>
      <c r="D883" s="2" t="s">
        <v>220</v>
      </c>
      <c r="E883" s="2" t="s">
        <v>224</v>
      </c>
      <c r="L883" s="2">
        <f>IFERROR(VLOOKUP($D883&amp;$C883,生产方式定位!$A$2:$E$39,2,FALSE)+VLOOKUP($E883&amp;$C883,生产方式定位!$F$3:$J$39,2,FALSE),0)</f>
        <v>6000</v>
      </c>
      <c r="Q883" s="2">
        <f>IFERROR(VLOOKUP($D883&amp;$C883,生产方式定位!$A$2:$E$39,3,FALSE)+VLOOKUP($E883&amp;$C883,生产方式定位!$F$3:$J$39,3,FALSE),0)</f>
        <v>2000</v>
      </c>
      <c r="V883" s="2">
        <f>IFERROR(VLOOKUP($D883&amp;$C883,生产方式定位!$A$2:$E$39,5,FALSE)+VLOOKUP($E883&amp;$C883,生产方式定位!$F$3:$J$39,5,FALSE),"错误")</f>
        <v>4260</v>
      </c>
      <c r="W883" s="3" t="str">
        <f t="shared" si="65"/>
        <v/>
      </c>
      <c r="X883" s="4" t="str">
        <f t="shared" si="66"/>
        <v/>
      </c>
      <c r="Y883" s="4" t="str">
        <f t="shared" si="67"/>
        <v/>
      </c>
      <c r="Z883" s="5">
        <f t="shared" si="68"/>
        <v>1.41</v>
      </c>
      <c r="AA883" s="6">
        <f t="shared" si="69"/>
        <v>3</v>
      </c>
      <c r="AB883" t="str">
        <f>IFERROR(F883&amp;"*"&amp;ROUND(L883*(G883/(G883+I883+K883))/VLOOKUP(F883,商品!$A$4:$D$67,4,FALSE),0),"")</f>
        <v/>
      </c>
      <c r="AC883" t="str">
        <f>IFERROR(H883&amp;"*"&amp;ROUND(L883*(I883/(G883+I883+K883))/VLOOKUP(H883,商品!$A$4:$D$67,4,FALSE),0),"")</f>
        <v/>
      </c>
      <c r="AD883" t="str">
        <f>IFERROR(J883&amp;"*"&amp;ROUND(L883*(K883/(G883+I883+K883))/VLOOKUP(J883,商品!$A$4:$D$67,4,FALSE),0),"")</f>
        <v/>
      </c>
      <c r="AE883" t="str">
        <f>IFERROR(M883&amp;"*"&amp;ROUND(Q883*(N883/(N883+P883))/VLOOKUP(M883,职业!$A$3:$E$16,4,FALSE),0),"")</f>
        <v/>
      </c>
      <c r="AF883" t="str">
        <f>IFERROR(O883&amp;"*"&amp;ROUND(Q883*(P883/(N883+P883))/VLOOKUP(O883,职业!$A$3:$E$16,4,FALSE),0),"")</f>
        <v/>
      </c>
      <c r="AG883" t="str">
        <f>IFERROR(R883&amp;"*"&amp;ROUND(V883*(S883/(S883+U883))/VLOOKUP(R883,商品!$A$4:$D$67,4,FALSE),0),"")</f>
        <v/>
      </c>
      <c r="AH883" t="str">
        <f>IFERROR(T883&amp;"*"&amp;ROUND(V883*(U883/(S883+U883))/VLOOKUP(T883,商品!$A$4:$D$67,4,FALSE),0),"")</f>
        <v/>
      </c>
    </row>
    <row r="884" customHeight="1" spans="1:34">
      <c r="A884" s="14" t="s">
        <v>447</v>
      </c>
      <c r="C884" s="2">
        <v>4</v>
      </c>
      <c r="D884" s="2" t="s">
        <v>220</v>
      </c>
      <c r="E884" s="2" t="s">
        <v>224</v>
      </c>
      <c r="L884" s="2">
        <f>IFERROR(VLOOKUP($D884&amp;$C884,生产方式定位!$A$2:$E$39,2,FALSE)+VLOOKUP($E884&amp;$C884,生产方式定位!$F$3:$J$39,2,FALSE),0)</f>
        <v>7500</v>
      </c>
      <c r="Q884" s="2">
        <f>IFERROR(VLOOKUP($D884&amp;$C884,生产方式定位!$A$2:$E$39,3,FALSE)+VLOOKUP($E884&amp;$C884,生产方式定位!$F$3:$J$39,3,FALSE),0)</f>
        <v>2000</v>
      </c>
      <c r="V884" s="2">
        <f>IFERROR(VLOOKUP($D884&amp;$C884,生产方式定位!$A$2:$E$39,5,FALSE)+VLOOKUP($E884&amp;$C884,生产方式定位!$F$3:$J$39,5,FALSE),"错误")</f>
        <v>5260</v>
      </c>
      <c r="W884" s="3" t="str">
        <f t="shared" si="65"/>
        <v/>
      </c>
      <c r="X884" s="4" t="str">
        <f t="shared" si="66"/>
        <v/>
      </c>
      <c r="Y884" s="4" t="str">
        <f t="shared" si="67"/>
        <v/>
      </c>
      <c r="Z884" s="5">
        <f t="shared" si="68"/>
        <v>1.43</v>
      </c>
      <c r="AA884" s="6">
        <f t="shared" si="69"/>
        <v>4</v>
      </c>
      <c r="AB884" t="str">
        <f>IFERROR(F884&amp;"*"&amp;ROUND(L884*(G884/(G884+I884+K884))/VLOOKUP(F884,商品!$A$4:$D$67,4,FALSE),0),"")</f>
        <v/>
      </c>
      <c r="AC884" t="str">
        <f>IFERROR(H884&amp;"*"&amp;ROUND(L884*(I884/(G884+I884+K884))/VLOOKUP(H884,商品!$A$4:$D$67,4,FALSE),0),"")</f>
        <v/>
      </c>
      <c r="AD884" t="str">
        <f>IFERROR(J884&amp;"*"&amp;ROUND(L884*(K884/(G884+I884+K884))/VLOOKUP(J884,商品!$A$4:$D$67,4,FALSE),0),"")</f>
        <v/>
      </c>
      <c r="AE884" t="str">
        <f>IFERROR(M884&amp;"*"&amp;ROUND(Q884*(N884/(N884+P884))/VLOOKUP(M884,职业!$A$3:$E$16,4,FALSE),0),"")</f>
        <v/>
      </c>
      <c r="AF884" t="str">
        <f>IFERROR(O884&amp;"*"&amp;ROUND(Q884*(P884/(N884+P884))/VLOOKUP(O884,职业!$A$3:$E$16,4,FALSE),0),"")</f>
        <v/>
      </c>
      <c r="AG884" t="str">
        <f>IFERROR(R884&amp;"*"&amp;ROUND(V884*(S884/(S884+U884))/VLOOKUP(R884,商品!$A$4:$D$67,4,FALSE),0),"")</f>
        <v/>
      </c>
      <c r="AH884" t="str">
        <f>IFERROR(T884&amp;"*"&amp;ROUND(V884*(U884/(S884+U884))/VLOOKUP(T884,商品!$A$4:$D$67,4,FALSE),0),"")</f>
        <v/>
      </c>
    </row>
    <row r="885" customHeight="1" spans="1:34">
      <c r="A885" s="14" t="s">
        <v>447</v>
      </c>
      <c r="C885" s="2">
        <v>5</v>
      </c>
      <c r="D885" s="2" t="s">
        <v>220</v>
      </c>
      <c r="E885" s="2" t="s">
        <v>224</v>
      </c>
      <c r="L885" s="2">
        <f>IFERROR(VLOOKUP($D885&amp;$C885,生产方式定位!$A$2:$E$39,2,FALSE)+VLOOKUP($E885&amp;$C885,生产方式定位!$F$3:$J$39,2,FALSE),0)</f>
        <v>9000</v>
      </c>
      <c r="Q885" s="2">
        <f>IFERROR(VLOOKUP($D885&amp;$C885,生产方式定位!$A$2:$E$39,3,FALSE)+VLOOKUP($E885&amp;$C885,生产方式定位!$F$3:$J$39,3,FALSE),0)</f>
        <v>2000</v>
      </c>
      <c r="V885" s="2">
        <f>IFERROR(VLOOKUP($D885&amp;$C885,生产方式定位!$A$2:$E$39,5,FALSE)+VLOOKUP($E885&amp;$C885,生产方式定位!$F$3:$J$39,5,FALSE),"错误")</f>
        <v>6340</v>
      </c>
      <c r="W885" s="3" t="str">
        <f t="shared" si="65"/>
        <v/>
      </c>
      <c r="X885" s="4" t="str">
        <f t="shared" si="66"/>
        <v/>
      </c>
      <c r="Y885" s="4" t="str">
        <f t="shared" si="67"/>
        <v/>
      </c>
      <c r="Z885" s="5">
        <f t="shared" si="68"/>
        <v>1.42</v>
      </c>
      <c r="AA885" s="6">
        <f t="shared" si="69"/>
        <v>5</v>
      </c>
      <c r="AB885" t="str">
        <f>IFERROR(F885&amp;"*"&amp;ROUND(L885*(G885/(G885+I885+K885))/VLOOKUP(F885,商品!$A$4:$D$67,4,FALSE),0),"")</f>
        <v/>
      </c>
      <c r="AC885" t="str">
        <f>IFERROR(H885&amp;"*"&amp;ROUND(L885*(I885/(G885+I885+K885))/VLOOKUP(H885,商品!$A$4:$D$67,4,FALSE),0),"")</f>
        <v/>
      </c>
      <c r="AD885" t="str">
        <f>IFERROR(J885&amp;"*"&amp;ROUND(L885*(K885/(G885+I885+K885))/VLOOKUP(J885,商品!$A$4:$D$67,4,FALSE),0),"")</f>
        <v/>
      </c>
      <c r="AE885" t="str">
        <f>IFERROR(M885&amp;"*"&amp;ROUND(Q885*(N885/(N885+P885))/VLOOKUP(M885,职业!$A$3:$E$16,4,FALSE),0),"")</f>
        <v/>
      </c>
      <c r="AF885" t="str">
        <f>IFERROR(O885&amp;"*"&amp;ROUND(Q885*(P885/(N885+P885))/VLOOKUP(O885,职业!$A$3:$E$16,4,FALSE),0),"")</f>
        <v/>
      </c>
      <c r="AG885" t="str">
        <f>IFERROR(R885&amp;"*"&amp;ROUND(V885*(S885/(S885+U885))/VLOOKUP(R885,商品!$A$4:$D$67,4,FALSE),0),"")</f>
        <v/>
      </c>
      <c r="AH885" t="str">
        <f>IFERROR(T885&amp;"*"&amp;ROUND(V885*(U885/(S885+U885))/VLOOKUP(T885,商品!$A$4:$D$67,4,FALSE),0),"")</f>
        <v/>
      </c>
    </row>
    <row r="886" customHeight="1" spans="1:34">
      <c r="A886" s="14" t="s">
        <v>447</v>
      </c>
      <c r="C886" s="2">
        <v>1</v>
      </c>
      <c r="D886" s="2" t="s">
        <v>220</v>
      </c>
      <c r="E886" s="2" t="s">
        <v>224</v>
      </c>
      <c r="L886" s="2">
        <f>IFERROR(VLOOKUP($D886&amp;$C886,生产方式定位!$A$2:$E$39,2,FALSE)+VLOOKUP($E886&amp;$C886,生产方式定位!$F$3:$J$39,2,FALSE),0)</f>
        <v>2000</v>
      </c>
      <c r="Q886" s="2">
        <f>IFERROR(VLOOKUP($D886&amp;$C886,生产方式定位!$A$2:$E$39,3,FALSE)+VLOOKUP($E886&amp;$C886,生产方式定位!$F$3:$J$39,3,FALSE),0)</f>
        <v>2000</v>
      </c>
      <c r="V886" s="2">
        <f>IFERROR(VLOOKUP($D886&amp;$C886,生产方式定位!$A$2:$E$39,5,FALSE)+VLOOKUP($E886&amp;$C886,生产方式定位!$F$3:$J$39,5,FALSE),"错误")</f>
        <v>2000</v>
      </c>
      <c r="W886" s="3" t="str">
        <f t="shared" si="65"/>
        <v/>
      </c>
      <c r="X886" s="4" t="str">
        <f t="shared" si="66"/>
        <v/>
      </c>
      <c r="Y886" s="4" t="str">
        <f t="shared" si="67"/>
        <v/>
      </c>
      <c r="Z886" s="5">
        <f t="shared" si="68"/>
        <v>1</v>
      </c>
      <c r="AA886" s="6">
        <f t="shared" si="69"/>
        <v>1</v>
      </c>
      <c r="AB886" t="str">
        <f>IFERROR(F886&amp;"*"&amp;ROUND(L886*(G886/(G886+I886+K886))/VLOOKUP(F886,商品!$A$4:$D$67,4,FALSE),0),"")</f>
        <v/>
      </c>
      <c r="AC886" t="str">
        <f>IFERROR(H886&amp;"*"&amp;ROUND(L886*(I886/(G886+I886+K886))/VLOOKUP(H886,商品!$A$4:$D$67,4,FALSE),0),"")</f>
        <v/>
      </c>
      <c r="AD886" t="str">
        <f>IFERROR(J886&amp;"*"&amp;ROUND(L886*(K886/(G886+I886+K886))/VLOOKUP(J886,商品!$A$4:$D$67,4,FALSE),0),"")</f>
        <v/>
      </c>
      <c r="AE886" t="str">
        <f>IFERROR(M886&amp;"*"&amp;ROUND(Q886*(N886/(N886+P886))/VLOOKUP(M886,职业!$A$3:$E$16,4,FALSE),0),"")</f>
        <v/>
      </c>
      <c r="AF886" t="str">
        <f>IFERROR(O886&amp;"*"&amp;ROUND(Q886*(P886/(N886+P886))/VLOOKUP(O886,职业!$A$3:$E$16,4,FALSE),0),"")</f>
        <v/>
      </c>
      <c r="AG886" t="str">
        <f>IFERROR(R886&amp;"*"&amp;ROUND(V886*(S886/(S886+U886))/VLOOKUP(R886,商品!$A$4:$D$67,4,FALSE),0),"")</f>
        <v/>
      </c>
      <c r="AH886" t="str">
        <f>IFERROR(T886&amp;"*"&amp;ROUND(V886*(U886/(S886+U886))/VLOOKUP(T886,商品!$A$4:$D$67,4,FALSE),0),"")</f>
        <v/>
      </c>
    </row>
    <row r="887" customHeight="1" spans="1:34">
      <c r="A887" s="14" t="s">
        <v>447</v>
      </c>
      <c r="C887" s="2">
        <v>2</v>
      </c>
      <c r="D887" s="2" t="s">
        <v>220</v>
      </c>
      <c r="E887" s="2" t="s">
        <v>224</v>
      </c>
      <c r="L887" s="2">
        <f>IFERROR(VLOOKUP($D887&amp;$C887,生产方式定位!$A$2:$E$39,2,FALSE)+VLOOKUP($E887&amp;$C887,生产方式定位!$F$3:$J$39,2,FALSE),0)</f>
        <v>4500</v>
      </c>
      <c r="Q887" s="2">
        <f>IFERROR(VLOOKUP($D887&amp;$C887,生产方式定位!$A$2:$E$39,3,FALSE)+VLOOKUP($E887&amp;$C887,生产方式定位!$F$3:$J$39,3,FALSE),0)</f>
        <v>2000</v>
      </c>
      <c r="V887" s="2">
        <f>IFERROR(VLOOKUP($D887&amp;$C887,生产方式定位!$A$2:$E$39,5,FALSE)+VLOOKUP($E887&amp;$C887,生产方式定位!$F$3:$J$39,5,FALSE),"错误")</f>
        <v>3340</v>
      </c>
      <c r="W887" s="3" t="str">
        <f t="shared" si="65"/>
        <v/>
      </c>
      <c r="X887" s="4" t="str">
        <f t="shared" si="66"/>
        <v/>
      </c>
      <c r="Y887" s="4" t="str">
        <f t="shared" si="67"/>
        <v/>
      </c>
      <c r="Z887" s="5">
        <f t="shared" si="68"/>
        <v>1.35</v>
      </c>
      <c r="AA887" s="6">
        <f t="shared" si="69"/>
        <v>2</v>
      </c>
      <c r="AB887" t="str">
        <f>IFERROR(F887&amp;"*"&amp;ROUND(L887*(G887/(G887+I887+K887))/VLOOKUP(F887,商品!$A$4:$D$67,4,FALSE),0),"")</f>
        <v/>
      </c>
      <c r="AC887" t="str">
        <f>IFERROR(H887&amp;"*"&amp;ROUND(L887*(I887/(G887+I887+K887))/VLOOKUP(H887,商品!$A$4:$D$67,4,FALSE),0),"")</f>
        <v/>
      </c>
      <c r="AD887" t="str">
        <f>IFERROR(J887&amp;"*"&amp;ROUND(L887*(K887/(G887+I887+K887))/VLOOKUP(J887,商品!$A$4:$D$67,4,FALSE),0),"")</f>
        <v/>
      </c>
      <c r="AE887" t="str">
        <f>IFERROR(M887&amp;"*"&amp;ROUND(Q887*(N887/(N887+P887))/VLOOKUP(M887,职业!$A$3:$E$16,4,FALSE),0),"")</f>
        <v/>
      </c>
      <c r="AF887" t="str">
        <f>IFERROR(O887&amp;"*"&amp;ROUND(Q887*(P887/(N887+P887))/VLOOKUP(O887,职业!$A$3:$E$16,4,FALSE),0),"")</f>
        <v/>
      </c>
      <c r="AG887" t="str">
        <f>IFERROR(R887&amp;"*"&amp;ROUND(V887*(S887/(S887+U887))/VLOOKUP(R887,商品!$A$4:$D$67,4,FALSE),0),"")</f>
        <v/>
      </c>
      <c r="AH887" t="str">
        <f>IFERROR(T887&amp;"*"&amp;ROUND(V887*(U887/(S887+U887))/VLOOKUP(T887,商品!$A$4:$D$67,4,FALSE),0),"")</f>
        <v/>
      </c>
    </row>
    <row r="888" customHeight="1" spans="1:34">
      <c r="A888" s="15" t="s">
        <v>447</v>
      </c>
      <c r="C888" s="2">
        <v>3</v>
      </c>
      <c r="D888" s="2" t="s">
        <v>220</v>
      </c>
      <c r="E888" s="2" t="s">
        <v>224</v>
      </c>
      <c r="L888" s="2">
        <f>IFERROR(VLOOKUP($D888&amp;$C888,生产方式定位!$A$2:$E$39,2,FALSE)+VLOOKUP($E888&amp;$C888,生产方式定位!$F$3:$J$39,2,FALSE),0)</f>
        <v>6000</v>
      </c>
      <c r="Q888" s="2">
        <f>IFERROR(VLOOKUP($D888&amp;$C888,生产方式定位!$A$2:$E$39,3,FALSE)+VLOOKUP($E888&amp;$C888,生产方式定位!$F$3:$J$39,3,FALSE),0)</f>
        <v>2000</v>
      </c>
      <c r="V888" s="2">
        <f>IFERROR(VLOOKUP($D888&amp;$C888,生产方式定位!$A$2:$E$39,5,FALSE)+VLOOKUP($E888&amp;$C888,生产方式定位!$F$3:$J$39,5,FALSE),"错误")</f>
        <v>4260</v>
      </c>
      <c r="W888" s="3" t="str">
        <f t="shared" si="65"/>
        <v/>
      </c>
      <c r="X888" s="4" t="str">
        <f t="shared" si="66"/>
        <v/>
      </c>
      <c r="Y888" s="4" t="str">
        <f t="shared" si="67"/>
        <v/>
      </c>
      <c r="Z888" s="5">
        <f t="shared" si="68"/>
        <v>1.41</v>
      </c>
      <c r="AA888" s="6">
        <f t="shared" si="69"/>
        <v>3</v>
      </c>
      <c r="AB888" t="str">
        <f>IFERROR(F888&amp;"*"&amp;ROUND(L888*(G888/(G888+I888+K888))/VLOOKUP(F888,商品!$A$4:$D$67,4,FALSE),0),"")</f>
        <v/>
      </c>
      <c r="AC888" t="str">
        <f>IFERROR(H888&amp;"*"&amp;ROUND(L888*(I888/(G888+I888+K888))/VLOOKUP(H888,商品!$A$4:$D$67,4,FALSE),0),"")</f>
        <v/>
      </c>
      <c r="AD888" t="str">
        <f>IFERROR(J888&amp;"*"&amp;ROUND(L888*(K888/(G888+I888+K888))/VLOOKUP(J888,商品!$A$4:$D$67,4,FALSE),0),"")</f>
        <v/>
      </c>
      <c r="AE888" t="str">
        <f>IFERROR(M888&amp;"*"&amp;ROUND(Q888*(N888/(N888+P888))/VLOOKUP(M888,职业!$A$3:$E$16,4,FALSE),0),"")</f>
        <v/>
      </c>
      <c r="AF888" t="str">
        <f>IFERROR(O888&amp;"*"&amp;ROUND(Q888*(P888/(N888+P888))/VLOOKUP(O888,职业!$A$3:$E$16,4,FALSE),0),"")</f>
        <v/>
      </c>
      <c r="AG888" t="str">
        <f>IFERROR(R888&amp;"*"&amp;ROUND(V888*(S888/(S888+U888))/VLOOKUP(R888,商品!$A$4:$D$67,4,FALSE),0),"")</f>
        <v/>
      </c>
      <c r="AH888" t="str">
        <f>IFERROR(T888&amp;"*"&amp;ROUND(V888*(U888/(S888+U888))/VLOOKUP(T888,商品!$A$4:$D$67,4,FALSE),0),"")</f>
        <v/>
      </c>
    </row>
    <row r="889" customHeight="1" spans="1:34">
      <c r="A889" s="15" t="s">
        <v>447</v>
      </c>
      <c r="C889" s="2">
        <v>4</v>
      </c>
      <c r="D889" s="2" t="s">
        <v>220</v>
      </c>
      <c r="E889" s="2" t="s">
        <v>224</v>
      </c>
      <c r="L889" s="2">
        <f>IFERROR(VLOOKUP($D889&amp;$C889,生产方式定位!$A$2:$E$39,2,FALSE)+VLOOKUP($E889&amp;$C889,生产方式定位!$F$3:$J$39,2,FALSE),0)</f>
        <v>7500</v>
      </c>
      <c r="Q889" s="2">
        <f>IFERROR(VLOOKUP($D889&amp;$C889,生产方式定位!$A$2:$E$39,3,FALSE)+VLOOKUP($E889&amp;$C889,生产方式定位!$F$3:$J$39,3,FALSE),0)</f>
        <v>2000</v>
      </c>
      <c r="V889" s="2">
        <f>IFERROR(VLOOKUP($D889&amp;$C889,生产方式定位!$A$2:$E$39,5,FALSE)+VLOOKUP($E889&amp;$C889,生产方式定位!$F$3:$J$39,5,FALSE),"错误")</f>
        <v>5260</v>
      </c>
      <c r="W889" s="3" t="str">
        <f t="shared" si="65"/>
        <v/>
      </c>
      <c r="X889" s="4" t="str">
        <f t="shared" si="66"/>
        <v/>
      </c>
      <c r="Y889" s="4" t="str">
        <f t="shared" si="67"/>
        <v/>
      </c>
      <c r="Z889" s="5">
        <f t="shared" si="68"/>
        <v>1.43</v>
      </c>
      <c r="AA889" s="6">
        <f t="shared" si="69"/>
        <v>4</v>
      </c>
      <c r="AB889" t="str">
        <f>IFERROR(F889&amp;"*"&amp;ROUND(L889*(G889/(G889+I889+K889))/VLOOKUP(F889,商品!$A$4:$D$67,4,FALSE),0),"")</f>
        <v/>
      </c>
      <c r="AC889" t="str">
        <f>IFERROR(H889&amp;"*"&amp;ROUND(L889*(I889/(G889+I889+K889))/VLOOKUP(H889,商品!$A$4:$D$67,4,FALSE),0),"")</f>
        <v/>
      </c>
      <c r="AD889" t="str">
        <f>IFERROR(J889&amp;"*"&amp;ROUND(L889*(K889/(G889+I889+K889))/VLOOKUP(J889,商品!$A$4:$D$67,4,FALSE),0),"")</f>
        <v/>
      </c>
      <c r="AE889" t="str">
        <f>IFERROR(M889&amp;"*"&amp;ROUND(Q889*(N889/(N889+P889))/VLOOKUP(M889,职业!$A$3:$E$16,4,FALSE),0),"")</f>
        <v/>
      </c>
      <c r="AF889" t="str">
        <f>IFERROR(O889&amp;"*"&amp;ROUND(Q889*(P889/(N889+P889))/VLOOKUP(O889,职业!$A$3:$E$16,4,FALSE),0),"")</f>
        <v/>
      </c>
      <c r="AG889" t="str">
        <f>IFERROR(R889&amp;"*"&amp;ROUND(V889*(S889/(S889+U889))/VLOOKUP(R889,商品!$A$4:$D$67,4,FALSE),0),"")</f>
        <v/>
      </c>
      <c r="AH889" t="str">
        <f>IFERROR(T889&amp;"*"&amp;ROUND(V889*(U889/(S889+U889))/VLOOKUP(T889,商品!$A$4:$D$67,4,FALSE),0),"")</f>
        <v/>
      </c>
    </row>
    <row r="890" customHeight="1" spans="1:34">
      <c r="A890" s="15" t="s">
        <v>447</v>
      </c>
      <c r="C890" s="2">
        <v>5</v>
      </c>
      <c r="D890" s="2" t="s">
        <v>220</v>
      </c>
      <c r="E890" s="2" t="s">
        <v>224</v>
      </c>
      <c r="L890" s="2">
        <f>IFERROR(VLOOKUP($D890&amp;$C890,生产方式定位!$A$2:$E$39,2,FALSE)+VLOOKUP($E890&amp;$C890,生产方式定位!$F$3:$J$39,2,FALSE),0)</f>
        <v>9000</v>
      </c>
      <c r="Q890" s="2">
        <f>IFERROR(VLOOKUP($D890&amp;$C890,生产方式定位!$A$2:$E$39,3,FALSE)+VLOOKUP($E890&amp;$C890,生产方式定位!$F$3:$J$39,3,FALSE),0)</f>
        <v>2000</v>
      </c>
      <c r="V890" s="2">
        <f>IFERROR(VLOOKUP($D890&amp;$C890,生产方式定位!$A$2:$E$39,5,FALSE)+VLOOKUP($E890&amp;$C890,生产方式定位!$F$3:$J$39,5,FALSE),"错误")</f>
        <v>6340</v>
      </c>
      <c r="W890" s="3" t="str">
        <f t="shared" si="65"/>
        <v/>
      </c>
      <c r="X890" s="4" t="str">
        <f t="shared" si="66"/>
        <v/>
      </c>
      <c r="Y890" s="4" t="str">
        <f t="shared" si="67"/>
        <v/>
      </c>
      <c r="Z890" s="5">
        <f t="shared" si="68"/>
        <v>1.42</v>
      </c>
      <c r="AA890" s="6">
        <f t="shared" si="69"/>
        <v>5</v>
      </c>
      <c r="AB890" t="str">
        <f>IFERROR(F890&amp;"*"&amp;ROUND(L890*(G890/(G890+I890+K890))/VLOOKUP(F890,商品!$A$4:$D$67,4,FALSE),0),"")</f>
        <v/>
      </c>
      <c r="AC890" t="str">
        <f>IFERROR(H890&amp;"*"&amp;ROUND(L890*(I890/(G890+I890+K890))/VLOOKUP(H890,商品!$A$4:$D$67,4,FALSE),0),"")</f>
        <v/>
      </c>
      <c r="AD890" t="str">
        <f>IFERROR(J890&amp;"*"&amp;ROUND(L890*(K890/(G890+I890+K890))/VLOOKUP(J890,商品!$A$4:$D$67,4,FALSE),0),"")</f>
        <v/>
      </c>
      <c r="AE890" t="str">
        <f>IFERROR(M890&amp;"*"&amp;ROUND(Q890*(N890/(N890+P890))/VLOOKUP(M890,职业!$A$3:$E$16,4,FALSE),0),"")</f>
        <v/>
      </c>
      <c r="AF890" t="str">
        <f>IFERROR(O890&amp;"*"&amp;ROUND(Q890*(P890/(N890+P890))/VLOOKUP(O890,职业!$A$3:$E$16,4,FALSE),0),"")</f>
        <v/>
      </c>
      <c r="AG890" t="str">
        <f>IFERROR(R890&amp;"*"&amp;ROUND(V890*(S890/(S890+U890))/VLOOKUP(R890,商品!$A$4:$D$67,4,FALSE),0),"")</f>
        <v/>
      </c>
      <c r="AH890" t="str">
        <f>IFERROR(T890&amp;"*"&amp;ROUND(V890*(U890/(S890+U890))/VLOOKUP(T890,商品!$A$4:$D$67,4,FALSE),0),"")</f>
        <v/>
      </c>
    </row>
    <row r="891" customHeight="1" spans="1:34">
      <c r="A891" s="15" t="s">
        <v>447</v>
      </c>
      <c r="C891" s="2">
        <v>1</v>
      </c>
      <c r="D891" s="2" t="s">
        <v>220</v>
      </c>
      <c r="E891" s="2" t="s">
        <v>224</v>
      </c>
      <c r="L891" s="2">
        <f>IFERROR(VLOOKUP($D891&amp;$C891,生产方式定位!$A$2:$E$39,2,FALSE)+VLOOKUP($E891&amp;$C891,生产方式定位!$F$3:$J$39,2,FALSE),0)</f>
        <v>2000</v>
      </c>
      <c r="Q891" s="2">
        <f>IFERROR(VLOOKUP($D891&amp;$C891,生产方式定位!$A$2:$E$39,3,FALSE)+VLOOKUP($E891&amp;$C891,生产方式定位!$F$3:$J$39,3,FALSE),0)</f>
        <v>2000</v>
      </c>
      <c r="V891" s="2">
        <f>IFERROR(VLOOKUP($D891&amp;$C891,生产方式定位!$A$2:$E$39,5,FALSE)+VLOOKUP($E891&amp;$C891,生产方式定位!$F$3:$J$39,5,FALSE),"错误")</f>
        <v>2000</v>
      </c>
      <c r="W891" s="3" t="str">
        <f t="shared" si="65"/>
        <v/>
      </c>
      <c r="X891" s="4" t="str">
        <f t="shared" si="66"/>
        <v/>
      </c>
      <c r="Y891" s="4" t="str">
        <f t="shared" si="67"/>
        <v/>
      </c>
      <c r="Z891" s="5">
        <f t="shared" si="68"/>
        <v>1</v>
      </c>
      <c r="AA891" s="6">
        <f t="shared" si="69"/>
        <v>1</v>
      </c>
      <c r="AB891" t="str">
        <f>IFERROR(F891&amp;"*"&amp;ROUND(L891*(G891/(G891+I891+K891))/VLOOKUP(F891,商品!$A$4:$D$67,4,FALSE),0),"")</f>
        <v/>
      </c>
      <c r="AC891" t="str">
        <f>IFERROR(H891&amp;"*"&amp;ROUND(L891*(I891/(G891+I891+K891))/VLOOKUP(H891,商品!$A$4:$D$67,4,FALSE),0),"")</f>
        <v/>
      </c>
      <c r="AD891" t="str">
        <f>IFERROR(J891&amp;"*"&amp;ROUND(L891*(K891/(G891+I891+K891))/VLOOKUP(J891,商品!$A$4:$D$67,4,FALSE),0),"")</f>
        <v/>
      </c>
      <c r="AE891" t="str">
        <f>IFERROR(M891&amp;"*"&amp;ROUND(Q891*(N891/(N891+P891))/VLOOKUP(M891,职业!$A$3:$E$16,4,FALSE),0),"")</f>
        <v/>
      </c>
      <c r="AF891" t="str">
        <f>IFERROR(O891&amp;"*"&amp;ROUND(Q891*(P891/(N891+P891))/VLOOKUP(O891,职业!$A$3:$E$16,4,FALSE),0),"")</f>
        <v/>
      </c>
      <c r="AG891" t="str">
        <f>IFERROR(R891&amp;"*"&amp;ROUND(V891*(S891/(S891+U891))/VLOOKUP(R891,商品!$A$4:$D$67,4,FALSE),0),"")</f>
        <v/>
      </c>
      <c r="AH891" t="str">
        <f>IFERROR(T891&amp;"*"&amp;ROUND(V891*(U891/(S891+U891))/VLOOKUP(T891,商品!$A$4:$D$67,4,FALSE),0),"")</f>
        <v/>
      </c>
    </row>
    <row r="892" customHeight="1" spans="1:34">
      <c r="A892" s="15" t="s">
        <v>447</v>
      </c>
      <c r="C892" s="2">
        <v>2</v>
      </c>
      <c r="D892" s="2" t="s">
        <v>220</v>
      </c>
      <c r="E892" s="2" t="s">
        <v>224</v>
      </c>
      <c r="L892" s="2">
        <f>IFERROR(VLOOKUP($D892&amp;$C892,生产方式定位!$A$2:$E$39,2,FALSE)+VLOOKUP($E892&amp;$C892,生产方式定位!$F$3:$J$39,2,FALSE),0)</f>
        <v>4500</v>
      </c>
      <c r="Q892" s="2">
        <f>IFERROR(VLOOKUP($D892&amp;$C892,生产方式定位!$A$2:$E$39,3,FALSE)+VLOOKUP($E892&amp;$C892,生产方式定位!$F$3:$J$39,3,FALSE),0)</f>
        <v>2000</v>
      </c>
      <c r="V892" s="2">
        <f>IFERROR(VLOOKUP($D892&amp;$C892,生产方式定位!$A$2:$E$39,5,FALSE)+VLOOKUP($E892&amp;$C892,生产方式定位!$F$3:$J$39,5,FALSE),"错误")</f>
        <v>3340</v>
      </c>
      <c r="W892" s="3" t="str">
        <f t="shared" si="65"/>
        <v/>
      </c>
      <c r="X892" s="4" t="str">
        <f t="shared" si="66"/>
        <v/>
      </c>
      <c r="Y892" s="4" t="str">
        <f t="shared" si="67"/>
        <v/>
      </c>
      <c r="Z892" s="5">
        <f t="shared" si="68"/>
        <v>1.35</v>
      </c>
      <c r="AA892" s="6">
        <f t="shared" si="69"/>
        <v>2</v>
      </c>
      <c r="AB892" t="str">
        <f>IFERROR(F892&amp;"*"&amp;ROUND(L892*(G892/(G892+I892+K892))/VLOOKUP(F892,商品!$A$4:$D$67,4,FALSE),0),"")</f>
        <v/>
      </c>
      <c r="AC892" t="str">
        <f>IFERROR(H892&amp;"*"&amp;ROUND(L892*(I892/(G892+I892+K892))/VLOOKUP(H892,商品!$A$4:$D$67,4,FALSE),0),"")</f>
        <v/>
      </c>
      <c r="AD892" t="str">
        <f>IFERROR(J892&amp;"*"&amp;ROUND(L892*(K892/(G892+I892+K892))/VLOOKUP(J892,商品!$A$4:$D$67,4,FALSE),0),"")</f>
        <v/>
      </c>
      <c r="AE892" t="str">
        <f>IFERROR(M892&amp;"*"&amp;ROUND(Q892*(N892/(N892+P892))/VLOOKUP(M892,职业!$A$3:$E$16,4,FALSE),0),"")</f>
        <v/>
      </c>
      <c r="AF892" t="str">
        <f>IFERROR(O892&amp;"*"&amp;ROUND(Q892*(P892/(N892+P892))/VLOOKUP(O892,职业!$A$3:$E$16,4,FALSE),0),"")</f>
        <v/>
      </c>
      <c r="AG892" t="str">
        <f>IFERROR(R892&amp;"*"&amp;ROUND(V892*(S892/(S892+U892))/VLOOKUP(R892,商品!$A$4:$D$67,4,FALSE),0),"")</f>
        <v/>
      </c>
      <c r="AH892" t="str">
        <f>IFERROR(T892&amp;"*"&amp;ROUND(V892*(U892/(S892+U892))/VLOOKUP(T892,商品!$A$4:$D$67,4,FALSE),0),"")</f>
        <v/>
      </c>
    </row>
    <row r="893" customHeight="1" spans="1:34">
      <c r="A893" s="14" t="s">
        <v>448</v>
      </c>
      <c r="C893" s="2">
        <v>3</v>
      </c>
      <c r="D893" s="2" t="s">
        <v>220</v>
      </c>
      <c r="E893" s="2" t="s">
        <v>255</v>
      </c>
      <c r="L893" s="2">
        <f>IFERROR(VLOOKUP($D893&amp;$C893,生产方式定位!$A$2:$E$39,2,FALSE)+VLOOKUP($E893&amp;$C893,生产方式定位!$F$3:$J$39,2,FALSE),0)</f>
        <v>3000</v>
      </c>
      <c r="Q893" s="2">
        <f>IFERROR(VLOOKUP($D893&amp;$C893,生产方式定位!$A$2:$E$39,3,FALSE)+VLOOKUP($E893&amp;$C893,生产方式定位!$F$3:$J$39,3,FALSE),0)</f>
        <v>2400</v>
      </c>
      <c r="V893" s="2">
        <f>IFERROR(VLOOKUP($D893&amp;$C893,生产方式定位!$A$2:$E$39,5,FALSE)+VLOOKUP($E893&amp;$C893,生产方式定位!$F$3:$J$39,5,FALSE),"错误")</f>
        <v>2700</v>
      </c>
      <c r="W893" s="3" t="str">
        <f t="shared" si="65"/>
        <v/>
      </c>
      <c r="X893" s="4" t="str">
        <f t="shared" si="66"/>
        <v/>
      </c>
      <c r="Y893" s="4" t="str">
        <f t="shared" si="67"/>
        <v/>
      </c>
      <c r="Z893" s="5">
        <f t="shared" si="68"/>
        <v>1.11</v>
      </c>
      <c r="AA893" s="6">
        <f t="shared" si="69"/>
        <v>3</v>
      </c>
      <c r="AB893" t="str">
        <f>IFERROR(F893&amp;"*"&amp;ROUND(L893*(G893/(G893+I893+K893))/VLOOKUP(F893,商品!$A$4:$D$67,4,FALSE),0),"")</f>
        <v/>
      </c>
      <c r="AC893" t="str">
        <f>IFERROR(H893&amp;"*"&amp;ROUND(L893*(I893/(G893+I893+K893))/VLOOKUP(H893,商品!$A$4:$D$67,4,FALSE),0),"")</f>
        <v/>
      </c>
      <c r="AD893" t="str">
        <f>IFERROR(J893&amp;"*"&amp;ROUND(L893*(K893/(G893+I893+K893))/VLOOKUP(J893,商品!$A$4:$D$67,4,FALSE),0),"")</f>
        <v/>
      </c>
      <c r="AE893" t="str">
        <f>IFERROR(M893&amp;"*"&amp;ROUND(Q893*(N893/(N893+P893))/VLOOKUP(M893,职业!$A$3:$E$16,4,FALSE),0),"")</f>
        <v/>
      </c>
      <c r="AF893" t="str">
        <f>IFERROR(O893&amp;"*"&amp;ROUND(Q893*(P893/(N893+P893))/VLOOKUP(O893,职业!$A$3:$E$16,4,FALSE),0),"")</f>
        <v/>
      </c>
      <c r="AG893" t="str">
        <f>IFERROR(R893&amp;"*"&amp;ROUND(V893*(S893/(S893+U893))/VLOOKUP(R893,商品!$A$4:$D$67,4,FALSE),0),"")</f>
        <v/>
      </c>
      <c r="AH893" t="str">
        <f>IFERROR(T893&amp;"*"&amp;ROUND(V893*(U893/(S893+U893))/VLOOKUP(T893,商品!$A$4:$D$67,4,FALSE),0),"")</f>
        <v/>
      </c>
    </row>
    <row r="894" customHeight="1" spans="1:34">
      <c r="A894" s="14" t="s">
        <v>448</v>
      </c>
      <c r="C894" s="2">
        <v>4</v>
      </c>
      <c r="D894" s="2" t="s">
        <v>220</v>
      </c>
      <c r="E894" s="2" t="s">
        <v>255</v>
      </c>
      <c r="L894" s="2">
        <f>IFERROR(VLOOKUP($D894&amp;$C894,生产方式定位!$A$2:$E$39,2,FALSE)+VLOOKUP($E894&amp;$C894,生产方式定位!$F$3:$J$39,2,FALSE),0)</f>
        <v>3500</v>
      </c>
      <c r="Q894" s="2">
        <f>IFERROR(VLOOKUP($D894&amp;$C894,生产方式定位!$A$2:$E$39,3,FALSE)+VLOOKUP($E894&amp;$C894,生产方式定位!$F$3:$J$39,3,FALSE),0)</f>
        <v>2600</v>
      </c>
      <c r="V894" s="2">
        <f>IFERROR(VLOOKUP($D894&amp;$C894,生产方式定位!$A$2:$E$39,5,FALSE)+VLOOKUP($E894&amp;$C894,生产方式定位!$F$3:$J$39,5,FALSE),"错误")</f>
        <v>3050</v>
      </c>
      <c r="W894" s="3" t="str">
        <f t="shared" si="65"/>
        <v/>
      </c>
      <c r="X894" s="4" t="str">
        <f t="shared" si="66"/>
        <v/>
      </c>
      <c r="Y894" s="4" t="str">
        <f t="shared" si="67"/>
        <v/>
      </c>
      <c r="Z894" s="5">
        <f t="shared" si="68"/>
        <v>1.15</v>
      </c>
      <c r="AA894" s="6">
        <f t="shared" si="69"/>
        <v>4</v>
      </c>
      <c r="AB894" t="str">
        <f>IFERROR(F894&amp;"*"&amp;ROUND(L894*(G894/(G894+I894+K894))/VLOOKUP(F894,商品!$A$4:$D$67,4,FALSE),0),"")</f>
        <v/>
      </c>
      <c r="AC894" t="str">
        <f>IFERROR(H894&amp;"*"&amp;ROUND(L894*(I894/(G894+I894+K894))/VLOOKUP(H894,商品!$A$4:$D$67,4,FALSE),0),"")</f>
        <v/>
      </c>
      <c r="AD894" t="str">
        <f>IFERROR(J894&amp;"*"&amp;ROUND(L894*(K894/(G894+I894+K894))/VLOOKUP(J894,商品!$A$4:$D$67,4,FALSE),0),"")</f>
        <v/>
      </c>
      <c r="AE894" t="str">
        <f>IFERROR(M894&amp;"*"&amp;ROUND(Q894*(N894/(N894+P894))/VLOOKUP(M894,职业!$A$3:$E$16,4,FALSE),0),"")</f>
        <v/>
      </c>
      <c r="AF894" t="str">
        <f>IFERROR(O894&amp;"*"&amp;ROUND(Q894*(P894/(N894+P894))/VLOOKUP(O894,职业!$A$3:$E$16,4,FALSE),0),"")</f>
        <v/>
      </c>
      <c r="AG894" t="str">
        <f>IFERROR(R894&amp;"*"&amp;ROUND(V894*(S894/(S894+U894))/VLOOKUP(R894,商品!$A$4:$D$67,4,FALSE),0),"")</f>
        <v/>
      </c>
      <c r="AH894" t="str">
        <f>IFERROR(T894&amp;"*"&amp;ROUND(V894*(U894/(S894+U894))/VLOOKUP(T894,商品!$A$4:$D$67,4,FALSE),0),"")</f>
        <v/>
      </c>
    </row>
    <row r="895" customHeight="1" spans="1:34">
      <c r="A895" s="14" t="s">
        <v>448</v>
      </c>
      <c r="C895" s="2">
        <v>5</v>
      </c>
      <c r="D895" s="2" t="s">
        <v>220</v>
      </c>
      <c r="E895" s="2" t="s">
        <v>255</v>
      </c>
      <c r="L895" s="2">
        <f>IFERROR(VLOOKUP($D895&amp;$C895,生产方式定位!$A$2:$E$39,2,FALSE)+VLOOKUP($E895&amp;$C895,生产方式定位!$F$3:$J$39,2,FALSE),0)</f>
        <v>0</v>
      </c>
      <c r="Q895" s="2">
        <f>IFERROR(VLOOKUP($D895&amp;$C895,生产方式定位!$A$2:$E$39,3,FALSE)+VLOOKUP($E895&amp;$C895,生产方式定位!$F$3:$J$39,3,FALSE),0)</f>
        <v>0</v>
      </c>
      <c r="V895" s="2" t="str">
        <f>IFERROR(VLOOKUP($D895&amp;$C895,生产方式定位!$A$2:$E$39,5,FALSE)+VLOOKUP($E895&amp;$C895,生产方式定位!$F$3:$J$39,5,FALSE),"错误")</f>
        <v>错误</v>
      </c>
      <c r="W895" s="3" t="str">
        <f t="shared" si="65"/>
        <v/>
      </c>
      <c r="X895" s="4" t="str">
        <f t="shared" si="66"/>
        <v/>
      </c>
      <c r="Y895" s="4" t="str">
        <f t="shared" si="67"/>
        <v/>
      </c>
      <c r="Z895" s="5" t="str">
        <f t="shared" si="68"/>
        <v/>
      </c>
      <c r="AA895" s="6">
        <f t="shared" si="69"/>
        <v>5</v>
      </c>
      <c r="AB895" t="str">
        <f>IFERROR(F895&amp;"*"&amp;ROUND(L895*(G895/(G895+I895+K895))/VLOOKUP(F895,商品!$A$4:$D$67,4,FALSE),0),"")</f>
        <v/>
      </c>
      <c r="AC895" t="str">
        <f>IFERROR(H895&amp;"*"&amp;ROUND(L895*(I895/(G895+I895+K895))/VLOOKUP(H895,商品!$A$4:$D$67,4,FALSE),0),"")</f>
        <v/>
      </c>
      <c r="AD895" t="str">
        <f>IFERROR(J895&amp;"*"&amp;ROUND(L895*(K895/(G895+I895+K895))/VLOOKUP(J895,商品!$A$4:$D$67,4,FALSE),0),"")</f>
        <v/>
      </c>
      <c r="AE895" t="str">
        <f>IFERROR(M895&amp;"*"&amp;ROUND(Q895*(N895/(N895+P895))/VLOOKUP(M895,职业!$A$3:$E$16,4,FALSE),0),"")</f>
        <v/>
      </c>
      <c r="AF895" t="str">
        <f>IFERROR(O895&amp;"*"&amp;ROUND(Q895*(P895/(N895+P895))/VLOOKUP(O895,职业!$A$3:$E$16,4,FALSE),0),"")</f>
        <v/>
      </c>
      <c r="AG895" t="str">
        <f>IFERROR(R895&amp;"*"&amp;ROUND(V895*(S895/(S895+U895))/VLOOKUP(R895,商品!$A$4:$D$67,4,FALSE),0),"")</f>
        <v/>
      </c>
      <c r="AH895" t="str">
        <f>IFERROR(T895&amp;"*"&amp;ROUND(V895*(U895/(S895+U895))/VLOOKUP(T895,商品!$A$4:$D$67,4,FALSE),0),"")</f>
        <v/>
      </c>
    </row>
    <row r="896" customHeight="1" spans="1:34">
      <c r="A896" s="14" t="s">
        <v>448</v>
      </c>
      <c r="C896" s="2">
        <v>1</v>
      </c>
      <c r="D896" s="2" t="s">
        <v>220</v>
      </c>
      <c r="E896" s="2" t="s">
        <v>255</v>
      </c>
      <c r="L896" s="2">
        <f>IFERROR(VLOOKUP($D896&amp;$C896,生产方式定位!$A$2:$E$39,2,FALSE)+VLOOKUP($E896&amp;$C896,生产方式定位!$F$3:$J$39,2,FALSE),0)</f>
        <v>2000</v>
      </c>
      <c r="Q896" s="2">
        <f>IFERROR(VLOOKUP($D896&amp;$C896,生产方式定位!$A$2:$E$39,3,FALSE)+VLOOKUP($E896&amp;$C896,生产方式定位!$F$3:$J$39,3,FALSE),0)</f>
        <v>2000</v>
      </c>
      <c r="V896" s="2">
        <f>IFERROR(VLOOKUP($D896&amp;$C896,生产方式定位!$A$2:$E$39,5,FALSE)+VLOOKUP($E896&amp;$C896,生产方式定位!$F$3:$J$39,5,FALSE),"错误")</f>
        <v>2000</v>
      </c>
      <c r="W896" s="3" t="str">
        <f t="shared" si="65"/>
        <v/>
      </c>
      <c r="X896" s="4" t="str">
        <f t="shared" si="66"/>
        <v/>
      </c>
      <c r="Y896" s="4" t="str">
        <f t="shared" si="67"/>
        <v/>
      </c>
      <c r="Z896" s="5">
        <f t="shared" si="68"/>
        <v>1</v>
      </c>
      <c r="AA896" s="6">
        <f t="shared" si="69"/>
        <v>1</v>
      </c>
      <c r="AB896" t="str">
        <f>IFERROR(F896&amp;"*"&amp;ROUND(L896*(G896/(G896+I896+K896))/VLOOKUP(F896,商品!$A$4:$D$67,4,FALSE),0),"")</f>
        <v/>
      </c>
      <c r="AC896" t="str">
        <f>IFERROR(H896&amp;"*"&amp;ROUND(L896*(I896/(G896+I896+K896))/VLOOKUP(H896,商品!$A$4:$D$67,4,FALSE),0),"")</f>
        <v/>
      </c>
      <c r="AD896" t="str">
        <f>IFERROR(J896&amp;"*"&amp;ROUND(L896*(K896/(G896+I896+K896))/VLOOKUP(J896,商品!$A$4:$D$67,4,FALSE),0),"")</f>
        <v/>
      </c>
      <c r="AE896" t="str">
        <f>IFERROR(M896&amp;"*"&amp;ROUND(Q896*(N896/(N896+P896))/VLOOKUP(M896,职业!$A$3:$E$16,4,FALSE),0),"")</f>
        <v/>
      </c>
      <c r="AF896" t="str">
        <f>IFERROR(O896&amp;"*"&amp;ROUND(Q896*(P896/(N896+P896))/VLOOKUP(O896,职业!$A$3:$E$16,4,FALSE),0),"")</f>
        <v/>
      </c>
      <c r="AG896" t="str">
        <f>IFERROR(R896&amp;"*"&amp;ROUND(V896*(S896/(S896+U896))/VLOOKUP(R896,商品!$A$4:$D$67,4,FALSE),0),"")</f>
        <v/>
      </c>
      <c r="AH896" t="str">
        <f>IFERROR(T896&amp;"*"&amp;ROUND(V896*(U896/(S896+U896))/VLOOKUP(T896,商品!$A$4:$D$67,4,FALSE),0),"")</f>
        <v/>
      </c>
    </row>
    <row r="897" customHeight="1" spans="1:34">
      <c r="A897" s="14" t="s">
        <v>448</v>
      </c>
      <c r="C897" s="2">
        <v>2</v>
      </c>
      <c r="D897" s="2" t="s">
        <v>220</v>
      </c>
      <c r="E897" s="2" t="s">
        <v>255</v>
      </c>
      <c r="L897" s="2">
        <f>IFERROR(VLOOKUP($D897&amp;$C897,生产方式定位!$A$2:$E$39,2,FALSE)+VLOOKUP($E897&amp;$C897,生产方式定位!$F$3:$J$39,2,FALSE),0)</f>
        <v>2500</v>
      </c>
      <c r="Q897" s="2">
        <f>IFERROR(VLOOKUP($D897&amp;$C897,生产方式定位!$A$2:$E$39,3,FALSE)+VLOOKUP($E897&amp;$C897,生产方式定位!$F$3:$J$39,3,FALSE),0)</f>
        <v>2200</v>
      </c>
      <c r="V897" s="2">
        <f>IFERROR(VLOOKUP($D897&amp;$C897,生产方式定位!$A$2:$E$39,5,FALSE)+VLOOKUP($E897&amp;$C897,生产方式定位!$F$3:$J$39,5,FALSE),"错误")</f>
        <v>2350</v>
      </c>
      <c r="W897" s="3" t="str">
        <f t="shared" si="65"/>
        <v/>
      </c>
      <c r="X897" s="4" t="str">
        <f t="shared" si="66"/>
        <v/>
      </c>
      <c r="Y897" s="4" t="str">
        <f t="shared" si="67"/>
        <v/>
      </c>
      <c r="Z897" s="5">
        <f t="shared" si="68"/>
        <v>1.06</v>
      </c>
      <c r="AA897" s="6">
        <f t="shared" si="69"/>
        <v>2</v>
      </c>
      <c r="AB897" t="str">
        <f>IFERROR(F897&amp;"*"&amp;ROUND(L897*(G897/(G897+I897+K897))/VLOOKUP(F897,商品!$A$4:$D$67,4,FALSE),0),"")</f>
        <v/>
      </c>
      <c r="AC897" t="str">
        <f>IFERROR(H897&amp;"*"&amp;ROUND(L897*(I897/(G897+I897+K897))/VLOOKUP(H897,商品!$A$4:$D$67,4,FALSE),0),"")</f>
        <v/>
      </c>
      <c r="AD897" t="str">
        <f>IFERROR(J897&amp;"*"&amp;ROUND(L897*(K897/(G897+I897+K897))/VLOOKUP(J897,商品!$A$4:$D$67,4,FALSE),0),"")</f>
        <v/>
      </c>
      <c r="AE897" t="str">
        <f>IFERROR(M897&amp;"*"&amp;ROUND(Q897*(N897/(N897+P897))/VLOOKUP(M897,职业!$A$3:$E$16,4,FALSE),0),"")</f>
        <v/>
      </c>
      <c r="AF897" t="str">
        <f>IFERROR(O897&amp;"*"&amp;ROUND(Q897*(P897/(N897+P897))/VLOOKUP(O897,职业!$A$3:$E$16,4,FALSE),0),"")</f>
        <v/>
      </c>
      <c r="AG897" t="str">
        <f>IFERROR(R897&amp;"*"&amp;ROUND(V897*(S897/(S897+U897))/VLOOKUP(R897,商品!$A$4:$D$67,4,FALSE),0),"")</f>
        <v/>
      </c>
      <c r="AH897" t="str">
        <f>IFERROR(T897&amp;"*"&amp;ROUND(V897*(U897/(S897+U897))/VLOOKUP(T897,商品!$A$4:$D$67,4,FALSE),0),"")</f>
        <v/>
      </c>
    </row>
    <row r="898" customHeight="1" spans="1:34">
      <c r="A898" s="15" t="s">
        <v>449</v>
      </c>
      <c r="C898" s="2">
        <v>3</v>
      </c>
      <c r="D898" s="2" t="s">
        <v>220</v>
      </c>
      <c r="E898" s="2" t="s">
        <v>225</v>
      </c>
      <c r="L898" s="2">
        <f>IFERROR(VLOOKUP($D898&amp;$C898,生产方式定位!$A$2:$E$39,2,FALSE)+VLOOKUP($E898&amp;$C898,生产方式定位!$F$3:$J$39,2,FALSE),0)</f>
        <v>3000</v>
      </c>
      <c r="Q898" s="2">
        <f>IFERROR(VLOOKUP($D898&amp;$C898,生产方式定位!$A$2:$E$39,3,FALSE)+VLOOKUP($E898&amp;$C898,生产方式定位!$F$3:$J$39,3,FALSE),0)</f>
        <v>2400</v>
      </c>
      <c r="V898" s="2">
        <f>IFERROR(VLOOKUP($D898&amp;$C898,生产方式定位!$A$2:$E$39,5,FALSE)+VLOOKUP($E898&amp;$C898,生产方式定位!$F$3:$J$39,5,FALSE),"错误")</f>
        <v>2700</v>
      </c>
      <c r="W898" s="3" t="str">
        <f t="shared" si="65"/>
        <v/>
      </c>
      <c r="X898" s="4" t="str">
        <f t="shared" si="66"/>
        <v/>
      </c>
      <c r="Y898" s="4" t="str">
        <f t="shared" si="67"/>
        <v/>
      </c>
      <c r="Z898" s="5">
        <f t="shared" si="68"/>
        <v>1.11</v>
      </c>
      <c r="AA898" s="6">
        <f t="shared" si="69"/>
        <v>3</v>
      </c>
      <c r="AB898" t="str">
        <f>IFERROR(F898&amp;"*"&amp;ROUND(L898*(G898/(G898+I898+K898))/VLOOKUP(F898,商品!$A$4:$D$67,4,FALSE),0),"")</f>
        <v/>
      </c>
      <c r="AC898" t="str">
        <f>IFERROR(H898&amp;"*"&amp;ROUND(L898*(I898/(G898+I898+K898))/VLOOKUP(H898,商品!$A$4:$D$67,4,FALSE),0),"")</f>
        <v/>
      </c>
      <c r="AD898" t="str">
        <f>IFERROR(J898&amp;"*"&amp;ROUND(L898*(K898/(G898+I898+K898))/VLOOKUP(J898,商品!$A$4:$D$67,4,FALSE),0),"")</f>
        <v/>
      </c>
      <c r="AE898" t="str">
        <f>IFERROR(M898&amp;"*"&amp;ROUND(Q898*(N898/(N898+P898))/VLOOKUP(M898,职业!$A$3:$E$16,4,FALSE),0),"")</f>
        <v/>
      </c>
      <c r="AF898" t="str">
        <f>IFERROR(O898&amp;"*"&amp;ROUND(Q898*(P898/(N898+P898))/VLOOKUP(O898,职业!$A$3:$E$16,4,FALSE),0),"")</f>
        <v/>
      </c>
      <c r="AG898" t="str">
        <f>IFERROR(R898&amp;"*"&amp;ROUND(V898*(S898/(S898+U898))/VLOOKUP(R898,商品!$A$4:$D$67,4,FALSE),0),"")</f>
        <v/>
      </c>
      <c r="AH898" t="str">
        <f>IFERROR(T898&amp;"*"&amp;ROUND(V898*(U898/(S898+U898))/VLOOKUP(T898,商品!$A$4:$D$67,4,FALSE),0),"")</f>
        <v/>
      </c>
    </row>
    <row r="899" customHeight="1" spans="1:34">
      <c r="A899" s="15" t="s">
        <v>449</v>
      </c>
      <c r="C899" s="2">
        <v>4</v>
      </c>
      <c r="D899" s="2" t="s">
        <v>220</v>
      </c>
      <c r="E899" s="2" t="s">
        <v>225</v>
      </c>
      <c r="L899" s="2">
        <f>IFERROR(VLOOKUP($D899&amp;$C899,生产方式定位!$A$2:$E$39,2,FALSE)+VLOOKUP($E899&amp;$C899,生产方式定位!$F$3:$J$39,2,FALSE),0)</f>
        <v>3500</v>
      </c>
      <c r="Q899" s="2">
        <f>IFERROR(VLOOKUP($D899&amp;$C899,生产方式定位!$A$2:$E$39,3,FALSE)+VLOOKUP($E899&amp;$C899,生产方式定位!$F$3:$J$39,3,FALSE),0)</f>
        <v>2600</v>
      </c>
      <c r="V899" s="2">
        <f>IFERROR(VLOOKUP($D899&amp;$C899,生产方式定位!$A$2:$E$39,5,FALSE)+VLOOKUP($E899&amp;$C899,生产方式定位!$F$3:$J$39,5,FALSE),"错误")</f>
        <v>3050</v>
      </c>
      <c r="W899" s="3" t="str">
        <f t="shared" si="65"/>
        <v/>
      </c>
      <c r="X899" s="4" t="str">
        <f t="shared" si="66"/>
        <v/>
      </c>
      <c r="Y899" s="4" t="str">
        <f t="shared" si="67"/>
        <v/>
      </c>
      <c r="Z899" s="5">
        <f t="shared" si="68"/>
        <v>1.15</v>
      </c>
      <c r="AA899" s="6">
        <f t="shared" si="69"/>
        <v>4</v>
      </c>
      <c r="AB899" t="str">
        <f>IFERROR(F899&amp;"*"&amp;ROUND(L899*(G899/(G899+I899+K899))/VLOOKUP(F899,商品!$A$4:$D$67,4,FALSE),0),"")</f>
        <v/>
      </c>
      <c r="AC899" t="str">
        <f>IFERROR(H899&amp;"*"&amp;ROUND(L899*(I899/(G899+I899+K899))/VLOOKUP(H899,商品!$A$4:$D$67,4,FALSE),0),"")</f>
        <v/>
      </c>
      <c r="AD899" t="str">
        <f>IFERROR(J899&amp;"*"&amp;ROUND(L899*(K899/(G899+I899+K899))/VLOOKUP(J899,商品!$A$4:$D$67,4,FALSE),0),"")</f>
        <v/>
      </c>
      <c r="AE899" t="str">
        <f>IFERROR(M899&amp;"*"&amp;ROUND(Q899*(N899/(N899+P899))/VLOOKUP(M899,职业!$A$3:$E$16,4,FALSE),0),"")</f>
        <v/>
      </c>
      <c r="AF899" t="str">
        <f>IFERROR(O899&amp;"*"&amp;ROUND(Q899*(P899/(N899+P899))/VLOOKUP(O899,职业!$A$3:$E$16,4,FALSE),0),"")</f>
        <v/>
      </c>
      <c r="AG899" t="str">
        <f>IFERROR(R899&amp;"*"&amp;ROUND(V899*(S899/(S899+U899))/VLOOKUP(R899,商品!$A$4:$D$67,4,FALSE),0),"")</f>
        <v/>
      </c>
      <c r="AH899" t="str">
        <f>IFERROR(T899&amp;"*"&amp;ROUND(V899*(U899/(S899+U899))/VLOOKUP(T899,商品!$A$4:$D$67,4,FALSE),0),"")</f>
        <v/>
      </c>
    </row>
    <row r="900" customHeight="1" spans="1:34">
      <c r="A900" s="15" t="s">
        <v>449</v>
      </c>
      <c r="C900" s="2">
        <v>5</v>
      </c>
      <c r="D900" s="2" t="s">
        <v>220</v>
      </c>
      <c r="E900" s="2" t="s">
        <v>225</v>
      </c>
      <c r="L900" s="2">
        <f>IFERROR(VLOOKUP($D900&amp;$C900,生产方式定位!$A$2:$E$39,2,FALSE)+VLOOKUP($E900&amp;$C900,生产方式定位!$F$3:$J$39,2,FALSE),0)</f>
        <v>4000</v>
      </c>
      <c r="Q900" s="2">
        <f>IFERROR(VLOOKUP($D900&amp;$C900,生产方式定位!$A$2:$E$39,3,FALSE)+VLOOKUP($E900&amp;$C900,生产方式定位!$F$3:$J$39,3,FALSE),0)</f>
        <v>2800</v>
      </c>
      <c r="V900" s="2">
        <f>IFERROR(VLOOKUP($D900&amp;$C900,生产方式定位!$A$2:$E$39,5,FALSE)+VLOOKUP($E900&amp;$C900,生产方式定位!$F$3:$J$39,5,FALSE),"错误")</f>
        <v>3400</v>
      </c>
      <c r="W900" s="3" t="str">
        <f t="shared" si="65"/>
        <v/>
      </c>
      <c r="X900" s="4" t="str">
        <f t="shared" si="66"/>
        <v/>
      </c>
      <c r="Y900" s="4" t="str">
        <f t="shared" si="67"/>
        <v/>
      </c>
      <c r="Z900" s="5">
        <f t="shared" si="68"/>
        <v>1.18</v>
      </c>
      <c r="AA900" s="6">
        <f t="shared" si="69"/>
        <v>5</v>
      </c>
      <c r="AB900" t="str">
        <f>IFERROR(F900&amp;"*"&amp;ROUND(L900*(G900/(G900+I900+K900))/VLOOKUP(F900,商品!$A$4:$D$67,4,FALSE),0),"")</f>
        <v/>
      </c>
      <c r="AC900" t="str">
        <f>IFERROR(H900&amp;"*"&amp;ROUND(L900*(I900/(G900+I900+K900))/VLOOKUP(H900,商品!$A$4:$D$67,4,FALSE),0),"")</f>
        <v/>
      </c>
      <c r="AD900" t="str">
        <f>IFERROR(J900&amp;"*"&amp;ROUND(L900*(K900/(G900+I900+K900))/VLOOKUP(J900,商品!$A$4:$D$67,4,FALSE),0),"")</f>
        <v/>
      </c>
      <c r="AE900" t="str">
        <f>IFERROR(M900&amp;"*"&amp;ROUND(Q900*(N900/(N900+P900))/VLOOKUP(M900,职业!$A$3:$E$16,4,FALSE),0),"")</f>
        <v/>
      </c>
      <c r="AF900" t="str">
        <f>IFERROR(O900&amp;"*"&amp;ROUND(Q900*(P900/(N900+P900))/VLOOKUP(O900,职业!$A$3:$E$16,4,FALSE),0),"")</f>
        <v/>
      </c>
      <c r="AG900" t="str">
        <f>IFERROR(R900&amp;"*"&amp;ROUND(V900*(S900/(S900+U900))/VLOOKUP(R900,商品!$A$4:$D$67,4,FALSE),0),"")</f>
        <v/>
      </c>
      <c r="AH900" t="str">
        <f>IFERROR(T900&amp;"*"&amp;ROUND(V900*(U900/(S900+U900))/VLOOKUP(T900,商品!$A$4:$D$67,4,FALSE),0),"")</f>
        <v/>
      </c>
    </row>
    <row r="901" customHeight="1" spans="1:34">
      <c r="A901" s="15" t="s">
        <v>449</v>
      </c>
      <c r="C901" s="2">
        <v>1</v>
      </c>
      <c r="D901" s="2" t="s">
        <v>220</v>
      </c>
      <c r="E901" s="2" t="s">
        <v>225</v>
      </c>
      <c r="L901" s="2">
        <f>IFERROR(VLOOKUP($D901&amp;$C901,生产方式定位!$A$2:$E$39,2,FALSE)+VLOOKUP($E901&amp;$C901,生产方式定位!$F$3:$J$39,2,FALSE),0)</f>
        <v>2000</v>
      </c>
      <c r="Q901" s="2">
        <f>IFERROR(VLOOKUP($D901&amp;$C901,生产方式定位!$A$2:$E$39,3,FALSE)+VLOOKUP($E901&amp;$C901,生产方式定位!$F$3:$J$39,3,FALSE),0)</f>
        <v>2000</v>
      </c>
      <c r="V901" s="2">
        <f>IFERROR(VLOOKUP($D901&amp;$C901,生产方式定位!$A$2:$E$39,5,FALSE)+VLOOKUP($E901&amp;$C901,生产方式定位!$F$3:$J$39,5,FALSE),"错误")</f>
        <v>2000</v>
      </c>
      <c r="W901" s="3" t="str">
        <f t="shared" ref="W901:W964" si="70">IF(AB901="","",AB901)&amp;IF(AC901="","",","&amp;AC901)&amp;IF(AD901="","",","&amp;AD901)</f>
        <v/>
      </c>
      <c r="X901" s="4" t="str">
        <f t="shared" ref="X901:X964" si="71">IF(AE901="","",AE901)&amp;IF(AF901="","",","&amp;AF901)</f>
        <v/>
      </c>
      <c r="Y901" s="4" t="str">
        <f t="shared" ref="Y901:Y964" si="72">IF(AG901="","",AG901)&amp;IF(AH901="","",","&amp;AH901)</f>
        <v/>
      </c>
      <c r="Z901" s="5">
        <f t="shared" ref="Z901:Z964" si="73">IFERROR(ROUND(L901/V901,2),"")</f>
        <v>1</v>
      </c>
      <c r="AA901" s="6">
        <f t="shared" ref="AA901:AA964" si="74">C901</f>
        <v>1</v>
      </c>
      <c r="AB901" t="str">
        <f>IFERROR(F901&amp;"*"&amp;ROUND(L901*(G901/(G901+I901+K901))/VLOOKUP(F901,商品!$A$4:$D$67,4,FALSE),0),"")</f>
        <v/>
      </c>
      <c r="AC901" t="str">
        <f>IFERROR(H901&amp;"*"&amp;ROUND(L901*(I901/(G901+I901+K901))/VLOOKUP(H901,商品!$A$4:$D$67,4,FALSE),0),"")</f>
        <v/>
      </c>
      <c r="AD901" t="str">
        <f>IFERROR(J901&amp;"*"&amp;ROUND(L901*(K901/(G901+I901+K901))/VLOOKUP(J901,商品!$A$4:$D$67,4,FALSE),0),"")</f>
        <v/>
      </c>
      <c r="AE901" t="str">
        <f>IFERROR(M901&amp;"*"&amp;ROUND(Q901*(N901/(N901+P901))/VLOOKUP(M901,职业!$A$3:$E$16,4,FALSE),0),"")</f>
        <v/>
      </c>
      <c r="AF901" t="str">
        <f>IFERROR(O901&amp;"*"&amp;ROUND(Q901*(P901/(N901+P901))/VLOOKUP(O901,职业!$A$3:$E$16,4,FALSE),0),"")</f>
        <v/>
      </c>
      <c r="AG901" t="str">
        <f>IFERROR(R901&amp;"*"&amp;ROUND(V901*(S901/(S901+U901))/VLOOKUP(R901,商品!$A$4:$D$67,4,FALSE),0),"")</f>
        <v/>
      </c>
      <c r="AH901" t="str">
        <f>IFERROR(T901&amp;"*"&amp;ROUND(V901*(U901/(S901+U901))/VLOOKUP(T901,商品!$A$4:$D$67,4,FALSE),0),"")</f>
        <v/>
      </c>
    </row>
    <row r="902" customHeight="1" spans="1:34">
      <c r="A902" s="15" t="s">
        <v>449</v>
      </c>
      <c r="C902" s="2">
        <v>2</v>
      </c>
      <c r="D902" s="2" t="s">
        <v>220</v>
      </c>
      <c r="E902" s="2" t="s">
        <v>225</v>
      </c>
      <c r="L902" s="2">
        <f>IFERROR(VLOOKUP($D902&amp;$C902,生产方式定位!$A$2:$E$39,2,FALSE)+VLOOKUP($E902&amp;$C902,生产方式定位!$F$3:$J$39,2,FALSE),0)</f>
        <v>2500</v>
      </c>
      <c r="Q902" s="2">
        <f>IFERROR(VLOOKUP($D902&amp;$C902,生产方式定位!$A$2:$E$39,3,FALSE)+VLOOKUP($E902&amp;$C902,生产方式定位!$F$3:$J$39,3,FALSE),0)</f>
        <v>2200</v>
      </c>
      <c r="V902" s="2">
        <f>IFERROR(VLOOKUP($D902&amp;$C902,生产方式定位!$A$2:$E$39,5,FALSE)+VLOOKUP($E902&amp;$C902,生产方式定位!$F$3:$J$39,5,FALSE),"错误")</f>
        <v>2350</v>
      </c>
      <c r="W902" s="3" t="str">
        <f t="shared" si="70"/>
        <v/>
      </c>
      <c r="X902" s="4" t="str">
        <f t="shared" si="71"/>
        <v/>
      </c>
      <c r="Y902" s="4" t="str">
        <f t="shared" si="72"/>
        <v/>
      </c>
      <c r="Z902" s="5">
        <f t="shared" si="73"/>
        <v>1.06</v>
      </c>
      <c r="AA902" s="6">
        <f t="shared" si="74"/>
        <v>2</v>
      </c>
      <c r="AB902" t="str">
        <f>IFERROR(F902&amp;"*"&amp;ROUND(L902*(G902/(G902+I902+K902))/VLOOKUP(F902,商品!$A$4:$D$67,4,FALSE),0),"")</f>
        <v/>
      </c>
      <c r="AC902" t="str">
        <f>IFERROR(H902&amp;"*"&amp;ROUND(L902*(I902/(G902+I902+K902))/VLOOKUP(H902,商品!$A$4:$D$67,4,FALSE),0),"")</f>
        <v/>
      </c>
      <c r="AD902" t="str">
        <f>IFERROR(J902&amp;"*"&amp;ROUND(L902*(K902/(G902+I902+K902))/VLOOKUP(J902,商品!$A$4:$D$67,4,FALSE),0),"")</f>
        <v/>
      </c>
      <c r="AE902" t="str">
        <f>IFERROR(M902&amp;"*"&amp;ROUND(Q902*(N902/(N902+P902))/VLOOKUP(M902,职业!$A$3:$E$16,4,FALSE),0),"")</f>
        <v/>
      </c>
      <c r="AF902" t="str">
        <f>IFERROR(O902&amp;"*"&amp;ROUND(Q902*(P902/(N902+P902))/VLOOKUP(O902,职业!$A$3:$E$16,4,FALSE),0),"")</f>
        <v/>
      </c>
      <c r="AG902" t="str">
        <f>IFERROR(R902&amp;"*"&amp;ROUND(V902*(S902/(S902+U902))/VLOOKUP(R902,商品!$A$4:$D$67,4,FALSE),0),"")</f>
        <v/>
      </c>
      <c r="AH902" t="str">
        <f>IFERROR(T902&amp;"*"&amp;ROUND(V902*(U902/(S902+U902))/VLOOKUP(T902,商品!$A$4:$D$67,4,FALSE),0),"")</f>
        <v/>
      </c>
    </row>
    <row r="903" customHeight="1" spans="1:34">
      <c r="A903" s="15" t="s">
        <v>449</v>
      </c>
      <c r="C903" s="2">
        <v>3</v>
      </c>
      <c r="D903" s="2" t="s">
        <v>220</v>
      </c>
      <c r="E903" s="2" t="s">
        <v>225</v>
      </c>
      <c r="L903" s="2">
        <f>IFERROR(VLOOKUP($D903&amp;$C903,生产方式定位!$A$2:$E$39,2,FALSE)+VLOOKUP($E903&amp;$C903,生产方式定位!$F$3:$J$39,2,FALSE),0)</f>
        <v>3000</v>
      </c>
      <c r="Q903" s="2">
        <f>IFERROR(VLOOKUP($D903&amp;$C903,生产方式定位!$A$2:$E$39,3,FALSE)+VLOOKUP($E903&amp;$C903,生产方式定位!$F$3:$J$39,3,FALSE),0)</f>
        <v>2400</v>
      </c>
      <c r="V903" s="2">
        <f>IFERROR(VLOOKUP($D903&amp;$C903,生产方式定位!$A$2:$E$39,5,FALSE)+VLOOKUP($E903&amp;$C903,生产方式定位!$F$3:$J$39,5,FALSE),"错误")</f>
        <v>2700</v>
      </c>
      <c r="W903" s="3" t="str">
        <f t="shared" si="70"/>
        <v/>
      </c>
      <c r="X903" s="4" t="str">
        <f t="shared" si="71"/>
        <v/>
      </c>
      <c r="Y903" s="4" t="str">
        <f t="shared" si="72"/>
        <v/>
      </c>
      <c r="Z903" s="5">
        <f t="shared" si="73"/>
        <v>1.11</v>
      </c>
      <c r="AA903" s="6">
        <f t="shared" si="74"/>
        <v>3</v>
      </c>
      <c r="AB903" t="str">
        <f>IFERROR(F903&amp;"*"&amp;ROUND(L903*(G903/(G903+I903+K903))/VLOOKUP(F903,商品!$A$4:$D$67,4,FALSE),0),"")</f>
        <v/>
      </c>
      <c r="AC903" t="str">
        <f>IFERROR(H903&amp;"*"&amp;ROUND(L903*(I903/(G903+I903+K903))/VLOOKUP(H903,商品!$A$4:$D$67,4,FALSE),0),"")</f>
        <v/>
      </c>
      <c r="AD903" t="str">
        <f>IFERROR(J903&amp;"*"&amp;ROUND(L903*(K903/(G903+I903+K903))/VLOOKUP(J903,商品!$A$4:$D$67,4,FALSE),0),"")</f>
        <v/>
      </c>
      <c r="AE903" t="str">
        <f>IFERROR(M903&amp;"*"&amp;ROUND(Q903*(N903/(N903+P903))/VLOOKUP(M903,职业!$A$3:$E$16,4,FALSE),0),"")</f>
        <v/>
      </c>
      <c r="AF903" t="str">
        <f>IFERROR(O903&amp;"*"&amp;ROUND(Q903*(P903/(N903+P903))/VLOOKUP(O903,职业!$A$3:$E$16,4,FALSE),0),"")</f>
        <v/>
      </c>
      <c r="AG903" t="str">
        <f>IFERROR(R903&amp;"*"&amp;ROUND(V903*(S903/(S903+U903))/VLOOKUP(R903,商品!$A$4:$D$67,4,FALSE),0),"")</f>
        <v/>
      </c>
      <c r="AH903" t="str">
        <f>IFERROR(T903&amp;"*"&amp;ROUND(V903*(U903/(S903+U903))/VLOOKUP(T903,商品!$A$4:$D$67,4,FALSE),0),"")</f>
        <v/>
      </c>
    </row>
    <row r="904" customHeight="1" spans="1:34">
      <c r="A904" s="15" t="s">
        <v>449</v>
      </c>
      <c r="C904" s="2">
        <v>4</v>
      </c>
      <c r="D904" s="2" t="s">
        <v>220</v>
      </c>
      <c r="E904" s="2" t="s">
        <v>225</v>
      </c>
      <c r="L904" s="2">
        <f>IFERROR(VLOOKUP($D904&amp;$C904,生产方式定位!$A$2:$E$39,2,FALSE)+VLOOKUP($E904&amp;$C904,生产方式定位!$F$3:$J$39,2,FALSE),0)</f>
        <v>3500</v>
      </c>
      <c r="Q904" s="2">
        <f>IFERROR(VLOOKUP($D904&amp;$C904,生产方式定位!$A$2:$E$39,3,FALSE)+VLOOKUP($E904&amp;$C904,生产方式定位!$F$3:$J$39,3,FALSE),0)</f>
        <v>2600</v>
      </c>
      <c r="V904" s="2">
        <f>IFERROR(VLOOKUP($D904&amp;$C904,生产方式定位!$A$2:$E$39,5,FALSE)+VLOOKUP($E904&amp;$C904,生产方式定位!$F$3:$J$39,5,FALSE),"错误")</f>
        <v>3050</v>
      </c>
      <c r="W904" s="3" t="str">
        <f t="shared" si="70"/>
        <v/>
      </c>
      <c r="X904" s="4" t="str">
        <f t="shared" si="71"/>
        <v/>
      </c>
      <c r="Y904" s="4" t="str">
        <f t="shared" si="72"/>
        <v/>
      </c>
      <c r="Z904" s="5">
        <f t="shared" si="73"/>
        <v>1.15</v>
      </c>
      <c r="AA904" s="6">
        <f t="shared" si="74"/>
        <v>4</v>
      </c>
      <c r="AB904" t="str">
        <f>IFERROR(F904&amp;"*"&amp;ROUND(L904*(G904/(G904+I904+K904))/VLOOKUP(F904,商品!$A$4:$D$67,4,FALSE),0),"")</f>
        <v/>
      </c>
      <c r="AC904" t="str">
        <f>IFERROR(H904&amp;"*"&amp;ROUND(L904*(I904/(G904+I904+K904))/VLOOKUP(H904,商品!$A$4:$D$67,4,FALSE),0),"")</f>
        <v/>
      </c>
      <c r="AD904" t="str">
        <f>IFERROR(J904&amp;"*"&amp;ROUND(L904*(K904/(G904+I904+K904))/VLOOKUP(J904,商品!$A$4:$D$67,4,FALSE),0),"")</f>
        <v/>
      </c>
      <c r="AE904" t="str">
        <f>IFERROR(M904&amp;"*"&amp;ROUND(Q904*(N904/(N904+P904))/VLOOKUP(M904,职业!$A$3:$E$16,4,FALSE),0),"")</f>
        <v/>
      </c>
      <c r="AF904" t="str">
        <f>IFERROR(O904&amp;"*"&amp;ROUND(Q904*(P904/(N904+P904))/VLOOKUP(O904,职业!$A$3:$E$16,4,FALSE),0),"")</f>
        <v/>
      </c>
      <c r="AG904" t="str">
        <f>IFERROR(R904&amp;"*"&amp;ROUND(V904*(S904/(S904+U904))/VLOOKUP(R904,商品!$A$4:$D$67,4,FALSE),0),"")</f>
        <v/>
      </c>
      <c r="AH904" t="str">
        <f>IFERROR(T904&amp;"*"&amp;ROUND(V904*(U904/(S904+U904))/VLOOKUP(T904,商品!$A$4:$D$67,4,FALSE),0),"")</f>
        <v/>
      </c>
    </row>
    <row r="905" customHeight="1" spans="1:34">
      <c r="A905" s="15" t="s">
        <v>449</v>
      </c>
      <c r="C905" s="2">
        <v>5</v>
      </c>
      <c r="D905" s="2" t="s">
        <v>220</v>
      </c>
      <c r="E905" s="2" t="s">
        <v>225</v>
      </c>
      <c r="L905" s="2">
        <f>IFERROR(VLOOKUP($D905&amp;$C905,生产方式定位!$A$2:$E$39,2,FALSE)+VLOOKUP($E905&amp;$C905,生产方式定位!$F$3:$J$39,2,FALSE),0)</f>
        <v>4000</v>
      </c>
      <c r="Q905" s="2">
        <f>IFERROR(VLOOKUP($D905&amp;$C905,生产方式定位!$A$2:$E$39,3,FALSE)+VLOOKUP($E905&amp;$C905,生产方式定位!$F$3:$J$39,3,FALSE),0)</f>
        <v>2800</v>
      </c>
      <c r="V905" s="2">
        <f>IFERROR(VLOOKUP($D905&amp;$C905,生产方式定位!$A$2:$E$39,5,FALSE)+VLOOKUP($E905&amp;$C905,生产方式定位!$F$3:$J$39,5,FALSE),"错误")</f>
        <v>3400</v>
      </c>
      <c r="W905" s="3" t="str">
        <f t="shared" si="70"/>
        <v/>
      </c>
      <c r="X905" s="4" t="str">
        <f t="shared" si="71"/>
        <v/>
      </c>
      <c r="Y905" s="4" t="str">
        <f t="shared" si="72"/>
        <v/>
      </c>
      <c r="Z905" s="5">
        <f t="shared" si="73"/>
        <v>1.18</v>
      </c>
      <c r="AA905" s="6">
        <f t="shared" si="74"/>
        <v>5</v>
      </c>
      <c r="AB905" t="str">
        <f>IFERROR(F905&amp;"*"&amp;ROUND(L905*(G905/(G905+I905+K905))/VLOOKUP(F905,商品!$A$4:$D$67,4,FALSE),0),"")</f>
        <v/>
      </c>
      <c r="AC905" t="str">
        <f>IFERROR(H905&amp;"*"&amp;ROUND(L905*(I905/(G905+I905+K905))/VLOOKUP(H905,商品!$A$4:$D$67,4,FALSE),0),"")</f>
        <v/>
      </c>
      <c r="AD905" t="str">
        <f>IFERROR(J905&amp;"*"&amp;ROUND(L905*(K905/(G905+I905+K905))/VLOOKUP(J905,商品!$A$4:$D$67,4,FALSE),0),"")</f>
        <v/>
      </c>
      <c r="AE905" t="str">
        <f>IFERROR(M905&amp;"*"&amp;ROUND(Q905*(N905/(N905+P905))/VLOOKUP(M905,职业!$A$3:$E$16,4,FALSE),0),"")</f>
        <v/>
      </c>
      <c r="AF905" t="str">
        <f>IFERROR(O905&amp;"*"&amp;ROUND(Q905*(P905/(N905+P905))/VLOOKUP(O905,职业!$A$3:$E$16,4,FALSE),0),"")</f>
        <v/>
      </c>
      <c r="AG905" t="str">
        <f>IFERROR(R905&amp;"*"&amp;ROUND(V905*(S905/(S905+U905))/VLOOKUP(R905,商品!$A$4:$D$67,4,FALSE),0),"")</f>
        <v/>
      </c>
      <c r="AH905" t="str">
        <f>IFERROR(T905&amp;"*"&amp;ROUND(V905*(U905/(S905+U905))/VLOOKUP(T905,商品!$A$4:$D$67,4,FALSE),0),"")</f>
        <v/>
      </c>
    </row>
    <row r="906" customHeight="1" spans="1:34">
      <c r="A906" s="14" t="s">
        <v>451</v>
      </c>
      <c r="C906" s="2">
        <v>1</v>
      </c>
      <c r="D906" s="2" t="s">
        <v>220</v>
      </c>
      <c r="E906" s="2" t="s">
        <v>222</v>
      </c>
      <c r="L906" s="2">
        <f>IFERROR(VLOOKUP($D906&amp;$C906,生产方式定位!$A$2:$E$39,2,FALSE)+VLOOKUP($E906&amp;$C906,生产方式定位!$F$3:$J$39,2,FALSE),0)</f>
        <v>2000</v>
      </c>
      <c r="Q906" s="2">
        <f>IFERROR(VLOOKUP($D906&amp;$C906,生产方式定位!$A$2:$E$39,3,FALSE)+VLOOKUP($E906&amp;$C906,生产方式定位!$F$3:$J$39,3,FALSE),0)</f>
        <v>2000</v>
      </c>
      <c r="V906" s="2">
        <f>IFERROR(VLOOKUP($D906&amp;$C906,生产方式定位!$A$2:$E$39,5,FALSE)+VLOOKUP($E906&amp;$C906,生产方式定位!$F$3:$J$39,5,FALSE),"错误")</f>
        <v>2000</v>
      </c>
      <c r="W906" s="3" t="str">
        <f t="shared" si="70"/>
        <v/>
      </c>
      <c r="X906" s="4" t="str">
        <f t="shared" si="71"/>
        <v/>
      </c>
      <c r="Y906" s="4" t="str">
        <f t="shared" si="72"/>
        <v/>
      </c>
      <c r="Z906" s="5">
        <f t="shared" si="73"/>
        <v>1</v>
      </c>
      <c r="AA906" s="6">
        <f t="shared" si="74"/>
        <v>1</v>
      </c>
      <c r="AB906" t="str">
        <f>IFERROR(F906&amp;"*"&amp;ROUND(L906*(G906/(G906+I906+K906))/VLOOKUP(F906,商品!$A$4:$D$67,4,FALSE),0),"")</f>
        <v/>
      </c>
      <c r="AC906" t="str">
        <f>IFERROR(H906&amp;"*"&amp;ROUND(L906*(I906/(G906+I906+K906))/VLOOKUP(H906,商品!$A$4:$D$67,4,FALSE),0),"")</f>
        <v/>
      </c>
      <c r="AD906" t="str">
        <f>IFERROR(J906&amp;"*"&amp;ROUND(L906*(K906/(G906+I906+K906))/VLOOKUP(J906,商品!$A$4:$D$67,4,FALSE),0),"")</f>
        <v/>
      </c>
      <c r="AE906" t="str">
        <f>IFERROR(M906&amp;"*"&amp;ROUND(Q906*(N906/(N906+P906))/VLOOKUP(M906,职业!$A$3:$E$16,4,FALSE),0),"")</f>
        <v/>
      </c>
      <c r="AF906" t="str">
        <f>IFERROR(O906&amp;"*"&amp;ROUND(Q906*(P906/(N906+P906))/VLOOKUP(O906,职业!$A$3:$E$16,4,FALSE),0),"")</f>
        <v/>
      </c>
      <c r="AG906" t="str">
        <f>IFERROR(R906&amp;"*"&amp;ROUND(V906*(S906/(S906+U906))/VLOOKUP(R906,商品!$A$4:$D$67,4,FALSE),0),"")</f>
        <v/>
      </c>
      <c r="AH906" t="str">
        <f>IFERROR(T906&amp;"*"&amp;ROUND(V906*(U906/(S906+U906))/VLOOKUP(T906,商品!$A$4:$D$67,4,FALSE),0),"")</f>
        <v/>
      </c>
    </row>
    <row r="907" customHeight="1" spans="1:34">
      <c r="A907" s="14" t="s">
        <v>451</v>
      </c>
      <c r="C907" s="2">
        <v>2</v>
      </c>
      <c r="D907" s="2" t="s">
        <v>220</v>
      </c>
      <c r="E907" s="2" t="s">
        <v>222</v>
      </c>
      <c r="L907" s="2">
        <f>IFERROR(VLOOKUP($D907&amp;$C907,生产方式定位!$A$2:$E$39,2,FALSE)+VLOOKUP($E907&amp;$C907,生产方式定位!$F$3:$J$39,2,FALSE),0)</f>
        <v>3500</v>
      </c>
      <c r="Q907" s="2">
        <f>IFERROR(VLOOKUP($D907&amp;$C907,生产方式定位!$A$2:$E$39,3,FALSE)+VLOOKUP($E907&amp;$C907,生产方式定位!$F$3:$J$39,3,FALSE),0)</f>
        <v>2400</v>
      </c>
      <c r="V907" s="2">
        <f>IFERROR(VLOOKUP($D907&amp;$C907,生产方式定位!$A$2:$E$39,5,FALSE)+VLOOKUP($E907&amp;$C907,生产方式定位!$F$3:$J$39,5,FALSE),"错误")</f>
        <v>3022</v>
      </c>
      <c r="W907" s="3" t="str">
        <f t="shared" si="70"/>
        <v/>
      </c>
      <c r="X907" s="4" t="str">
        <f t="shared" si="71"/>
        <v/>
      </c>
      <c r="Y907" s="4" t="str">
        <f t="shared" si="72"/>
        <v/>
      </c>
      <c r="Z907" s="5">
        <f t="shared" si="73"/>
        <v>1.16</v>
      </c>
      <c r="AA907" s="6">
        <f t="shared" si="74"/>
        <v>2</v>
      </c>
      <c r="AB907" t="str">
        <f>IFERROR(F907&amp;"*"&amp;ROUND(L907*(G907/(G907+I907+K907))/VLOOKUP(F907,商品!$A$4:$D$67,4,FALSE),0),"")</f>
        <v/>
      </c>
      <c r="AC907" t="str">
        <f>IFERROR(H907&amp;"*"&amp;ROUND(L907*(I907/(G907+I907+K907))/VLOOKUP(H907,商品!$A$4:$D$67,4,FALSE),0),"")</f>
        <v/>
      </c>
      <c r="AD907" t="str">
        <f>IFERROR(J907&amp;"*"&amp;ROUND(L907*(K907/(G907+I907+K907))/VLOOKUP(J907,商品!$A$4:$D$67,4,FALSE),0),"")</f>
        <v/>
      </c>
      <c r="AE907" t="str">
        <f>IFERROR(M907&amp;"*"&amp;ROUND(Q907*(N907/(N907+P907))/VLOOKUP(M907,职业!$A$3:$E$16,4,FALSE),0),"")</f>
        <v/>
      </c>
      <c r="AF907" t="str">
        <f>IFERROR(O907&amp;"*"&amp;ROUND(Q907*(P907/(N907+P907))/VLOOKUP(O907,职业!$A$3:$E$16,4,FALSE),0),"")</f>
        <v/>
      </c>
      <c r="AG907" t="str">
        <f>IFERROR(R907&amp;"*"&amp;ROUND(V907*(S907/(S907+U907))/VLOOKUP(R907,商品!$A$4:$D$67,4,FALSE),0),"")</f>
        <v/>
      </c>
      <c r="AH907" t="str">
        <f>IFERROR(T907&amp;"*"&amp;ROUND(V907*(U907/(S907+U907))/VLOOKUP(T907,商品!$A$4:$D$67,4,FALSE),0),"")</f>
        <v/>
      </c>
    </row>
    <row r="908" customHeight="1" spans="1:34">
      <c r="A908" s="14" t="s">
        <v>451</v>
      </c>
      <c r="C908" s="2">
        <v>3</v>
      </c>
      <c r="D908" s="2" t="s">
        <v>220</v>
      </c>
      <c r="E908" s="2" t="s">
        <v>222</v>
      </c>
      <c r="L908" s="2">
        <f>IFERROR(VLOOKUP($D908&amp;$C908,生产方式定位!$A$2:$E$39,2,FALSE)+VLOOKUP($E908&amp;$C908,生产方式定位!$F$3:$J$39,2,FALSE),0)</f>
        <v>5000</v>
      </c>
      <c r="Q908" s="2">
        <f>IFERROR(VLOOKUP($D908&amp;$C908,生产方式定位!$A$2:$E$39,3,FALSE)+VLOOKUP($E908&amp;$C908,生产方式定位!$F$3:$J$39,3,FALSE),0)</f>
        <v>2800</v>
      </c>
      <c r="V908" s="2">
        <f>IFERROR(VLOOKUP($D908&amp;$C908,生产方式定位!$A$2:$E$39,5,FALSE)+VLOOKUP($E908&amp;$C908,生产方式定位!$F$3:$J$39,5,FALSE),"错误")</f>
        <v>4188</v>
      </c>
      <c r="W908" s="3" t="str">
        <f t="shared" si="70"/>
        <v/>
      </c>
      <c r="X908" s="4" t="str">
        <f t="shared" si="71"/>
        <v/>
      </c>
      <c r="Y908" s="4" t="str">
        <f t="shared" si="72"/>
        <v/>
      </c>
      <c r="Z908" s="5">
        <f t="shared" si="73"/>
        <v>1.19</v>
      </c>
      <c r="AA908" s="6">
        <f t="shared" si="74"/>
        <v>3</v>
      </c>
      <c r="AB908" t="str">
        <f>IFERROR(F908&amp;"*"&amp;ROUND(L908*(G908/(G908+I908+K908))/VLOOKUP(F908,商品!$A$4:$D$67,4,FALSE),0),"")</f>
        <v/>
      </c>
      <c r="AC908" t="str">
        <f>IFERROR(H908&amp;"*"&amp;ROUND(L908*(I908/(G908+I908+K908))/VLOOKUP(H908,商品!$A$4:$D$67,4,FALSE),0),"")</f>
        <v/>
      </c>
      <c r="AD908" t="str">
        <f>IFERROR(J908&amp;"*"&amp;ROUND(L908*(K908/(G908+I908+K908))/VLOOKUP(J908,商品!$A$4:$D$67,4,FALSE),0),"")</f>
        <v/>
      </c>
      <c r="AE908" t="str">
        <f>IFERROR(M908&amp;"*"&amp;ROUND(Q908*(N908/(N908+P908))/VLOOKUP(M908,职业!$A$3:$E$16,4,FALSE),0),"")</f>
        <v/>
      </c>
      <c r="AF908" t="str">
        <f>IFERROR(O908&amp;"*"&amp;ROUND(Q908*(P908/(N908+P908))/VLOOKUP(O908,职业!$A$3:$E$16,4,FALSE),0),"")</f>
        <v/>
      </c>
      <c r="AG908" t="str">
        <f>IFERROR(R908&amp;"*"&amp;ROUND(V908*(S908/(S908+U908))/VLOOKUP(R908,商品!$A$4:$D$67,4,FALSE),0),"")</f>
        <v/>
      </c>
      <c r="AH908" t="str">
        <f>IFERROR(T908&amp;"*"&amp;ROUND(V908*(U908/(S908+U908))/VLOOKUP(T908,商品!$A$4:$D$67,4,FALSE),0),"")</f>
        <v/>
      </c>
    </row>
    <row r="909" customHeight="1" spans="1:34">
      <c r="A909" s="14" t="s">
        <v>451</v>
      </c>
      <c r="C909" s="2">
        <v>4</v>
      </c>
      <c r="D909" s="2" t="s">
        <v>220</v>
      </c>
      <c r="E909" s="2" t="s">
        <v>222</v>
      </c>
      <c r="L909" s="2">
        <f>IFERROR(VLOOKUP($D909&amp;$C909,生产方式定位!$A$2:$E$39,2,FALSE)+VLOOKUP($E909&amp;$C909,生产方式定位!$F$3:$J$39,2,FALSE),0)</f>
        <v>6500</v>
      </c>
      <c r="Q909" s="2">
        <f>IFERROR(VLOOKUP($D909&amp;$C909,生产方式定位!$A$2:$E$39,3,FALSE)+VLOOKUP($E909&amp;$C909,生产方式定位!$F$3:$J$39,3,FALSE),0)</f>
        <v>3200</v>
      </c>
      <c r="V909" s="2">
        <f>IFERROR(VLOOKUP($D909&amp;$C909,生产方式定位!$A$2:$E$39,5,FALSE)+VLOOKUP($E909&amp;$C909,生产方式定位!$F$3:$J$39,5,FALSE),"错误")</f>
        <v>5498</v>
      </c>
      <c r="W909" s="3" t="str">
        <f t="shared" si="70"/>
        <v/>
      </c>
      <c r="X909" s="4" t="str">
        <f t="shared" si="71"/>
        <v/>
      </c>
      <c r="Y909" s="4" t="str">
        <f t="shared" si="72"/>
        <v/>
      </c>
      <c r="Z909" s="5">
        <f t="shared" si="73"/>
        <v>1.18</v>
      </c>
      <c r="AA909" s="6">
        <f t="shared" si="74"/>
        <v>4</v>
      </c>
      <c r="AB909" t="str">
        <f>IFERROR(F909&amp;"*"&amp;ROUND(L909*(G909/(G909+I909+K909))/VLOOKUP(F909,商品!$A$4:$D$67,4,FALSE),0),"")</f>
        <v/>
      </c>
      <c r="AC909" t="str">
        <f>IFERROR(H909&amp;"*"&amp;ROUND(L909*(I909/(G909+I909+K909))/VLOOKUP(H909,商品!$A$4:$D$67,4,FALSE),0),"")</f>
        <v/>
      </c>
      <c r="AD909" t="str">
        <f>IFERROR(J909&amp;"*"&amp;ROUND(L909*(K909/(G909+I909+K909))/VLOOKUP(J909,商品!$A$4:$D$67,4,FALSE),0),"")</f>
        <v/>
      </c>
      <c r="AE909" t="str">
        <f>IFERROR(M909&amp;"*"&amp;ROUND(Q909*(N909/(N909+P909))/VLOOKUP(M909,职业!$A$3:$E$16,4,FALSE),0),"")</f>
        <v/>
      </c>
      <c r="AF909" t="str">
        <f>IFERROR(O909&amp;"*"&amp;ROUND(Q909*(P909/(N909+P909))/VLOOKUP(O909,职业!$A$3:$E$16,4,FALSE),0),"")</f>
        <v/>
      </c>
      <c r="AG909" t="str">
        <f>IFERROR(R909&amp;"*"&amp;ROUND(V909*(S909/(S909+U909))/VLOOKUP(R909,商品!$A$4:$D$67,4,FALSE),0),"")</f>
        <v/>
      </c>
      <c r="AH909" t="str">
        <f>IFERROR(T909&amp;"*"&amp;ROUND(V909*(U909/(S909+U909))/VLOOKUP(T909,商品!$A$4:$D$67,4,FALSE),0),"")</f>
        <v/>
      </c>
    </row>
    <row r="910" customHeight="1" spans="1:34">
      <c r="A910" s="14" t="s">
        <v>451</v>
      </c>
      <c r="C910" s="2">
        <v>5</v>
      </c>
      <c r="D910" s="2" t="s">
        <v>220</v>
      </c>
      <c r="E910" s="2" t="s">
        <v>222</v>
      </c>
      <c r="L910" s="2">
        <f>IFERROR(VLOOKUP($D910&amp;$C910,生产方式定位!$A$2:$E$39,2,FALSE)+VLOOKUP($E910&amp;$C910,生产方式定位!$F$3:$J$39,2,FALSE),0)</f>
        <v>8000</v>
      </c>
      <c r="Q910" s="2">
        <f>IFERROR(VLOOKUP($D910&amp;$C910,生产方式定位!$A$2:$E$39,3,FALSE)+VLOOKUP($E910&amp;$C910,生产方式定位!$F$3:$J$39,3,FALSE),0)</f>
        <v>3600</v>
      </c>
      <c r="V910" s="2">
        <f>IFERROR(VLOOKUP($D910&amp;$C910,生产方式定位!$A$2:$E$39,5,FALSE)+VLOOKUP($E910&amp;$C910,生产方式定位!$F$3:$J$39,5,FALSE),"错误")</f>
        <v>7000</v>
      </c>
      <c r="W910" s="3" t="str">
        <f t="shared" si="70"/>
        <v/>
      </c>
      <c r="X910" s="4" t="str">
        <f t="shared" si="71"/>
        <v/>
      </c>
      <c r="Y910" s="4" t="str">
        <f t="shared" si="72"/>
        <v/>
      </c>
      <c r="Z910" s="5">
        <f t="shared" si="73"/>
        <v>1.14</v>
      </c>
      <c r="AA910" s="6">
        <f t="shared" si="74"/>
        <v>5</v>
      </c>
      <c r="AB910" t="str">
        <f>IFERROR(F910&amp;"*"&amp;ROUND(L910*(G910/(G910+I910+K910))/VLOOKUP(F910,商品!$A$4:$D$67,4,FALSE),0),"")</f>
        <v/>
      </c>
      <c r="AC910" t="str">
        <f>IFERROR(H910&amp;"*"&amp;ROUND(L910*(I910/(G910+I910+K910))/VLOOKUP(H910,商品!$A$4:$D$67,4,FALSE),0),"")</f>
        <v/>
      </c>
      <c r="AD910" t="str">
        <f>IFERROR(J910&amp;"*"&amp;ROUND(L910*(K910/(G910+I910+K910))/VLOOKUP(J910,商品!$A$4:$D$67,4,FALSE),0),"")</f>
        <v/>
      </c>
      <c r="AE910" t="str">
        <f>IFERROR(M910&amp;"*"&amp;ROUND(Q910*(N910/(N910+P910))/VLOOKUP(M910,职业!$A$3:$E$16,4,FALSE),0),"")</f>
        <v/>
      </c>
      <c r="AF910" t="str">
        <f>IFERROR(O910&amp;"*"&amp;ROUND(Q910*(P910/(N910+P910))/VLOOKUP(O910,职业!$A$3:$E$16,4,FALSE),0),"")</f>
        <v/>
      </c>
      <c r="AG910" t="str">
        <f>IFERROR(R910&amp;"*"&amp;ROUND(V910*(S910/(S910+U910))/VLOOKUP(R910,商品!$A$4:$D$67,4,FALSE),0),"")</f>
        <v/>
      </c>
      <c r="AH910" t="str">
        <f>IFERROR(T910&amp;"*"&amp;ROUND(V910*(U910/(S910+U910))/VLOOKUP(T910,商品!$A$4:$D$67,4,FALSE),0),"")</f>
        <v/>
      </c>
    </row>
    <row r="911" customHeight="1" spans="1:34">
      <c r="A911" s="15" t="s">
        <v>452</v>
      </c>
      <c r="C911" s="2">
        <v>1</v>
      </c>
      <c r="D911" s="2" t="s">
        <v>220</v>
      </c>
      <c r="E911" s="2" t="s">
        <v>224</v>
      </c>
      <c r="L911" s="2">
        <f>IFERROR(VLOOKUP($D911&amp;$C911,生产方式定位!$A$2:$E$39,2,FALSE)+VLOOKUP($E911&amp;$C911,生产方式定位!$F$3:$J$39,2,FALSE),0)</f>
        <v>2000</v>
      </c>
      <c r="Q911" s="2">
        <f>IFERROR(VLOOKUP($D911&amp;$C911,生产方式定位!$A$2:$E$39,3,FALSE)+VLOOKUP($E911&amp;$C911,生产方式定位!$F$3:$J$39,3,FALSE),0)</f>
        <v>2000</v>
      </c>
      <c r="V911" s="2">
        <f>IFERROR(VLOOKUP($D911&amp;$C911,生产方式定位!$A$2:$E$39,5,FALSE)+VLOOKUP($E911&amp;$C911,生产方式定位!$F$3:$J$39,5,FALSE),"错误")</f>
        <v>2000</v>
      </c>
      <c r="W911" s="3" t="str">
        <f t="shared" si="70"/>
        <v/>
      </c>
      <c r="X911" s="4" t="str">
        <f t="shared" si="71"/>
        <v/>
      </c>
      <c r="Y911" s="4" t="str">
        <f t="shared" si="72"/>
        <v/>
      </c>
      <c r="Z911" s="5">
        <f t="shared" si="73"/>
        <v>1</v>
      </c>
      <c r="AA911" s="6">
        <f t="shared" si="74"/>
        <v>1</v>
      </c>
      <c r="AB911" t="str">
        <f>IFERROR(F911&amp;"*"&amp;ROUND(L911*(G911/(G911+I911+K911))/VLOOKUP(F911,商品!$A$4:$D$67,4,FALSE),0),"")</f>
        <v/>
      </c>
      <c r="AC911" t="str">
        <f>IFERROR(H911&amp;"*"&amp;ROUND(L911*(I911/(G911+I911+K911))/VLOOKUP(H911,商品!$A$4:$D$67,4,FALSE),0),"")</f>
        <v/>
      </c>
      <c r="AD911" t="str">
        <f>IFERROR(J911&amp;"*"&amp;ROUND(L911*(K911/(G911+I911+K911))/VLOOKUP(J911,商品!$A$4:$D$67,4,FALSE),0),"")</f>
        <v/>
      </c>
      <c r="AE911" t="str">
        <f>IFERROR(M911&amp;"*"&amp;ROUND(Q911*(N911/(N911+P911))/VLOOKUP(M911,职业!$A$3:$E$16,4,FALSE),0),"")</f>
        <v/>
      </c>
      <c r="AF911" t="str">
        <f>IFERROR(O911&amp;"*"&amp;ROUND(Q911*(P911/(N911+P911))/VLOOKUP(O911,职业!$A$3:$E$16,4,FALSE),0),"")</f>
        <v/>
      </c>
      <c r="AG911" t="str">
        <f>IFERROR(R911&amp;"*"&amp;ROUND(V911*(S911/(S911+U911))/VLOOKUP(R911,商品!$A$4:$D$67,4,FALSE),0),"")</f>
        <v/>
      </c>
      <c r="AH911" t="str">
        <f>IFERROR(T911&amp;"*"&amp;ROUND(V911*(U911/(S911+U911))/VLOOKUP(T911,商品!$A$4:$D$67,4,FALSE),0),"")</f>
        <v/>
      </c>
    </row>
    <row r="912" customHeight="1" spans="1:34">
      <c r="A912" s="15" t="s">
        <v>452</v>
      </c>
      <c r="C912" s="2">
        <v>2</v>
      </c>
      <c r="D912" s="2" t="s">
        <v>220</v>
      </c>
      <c r="E912" s="2" t="s">
        <v>224</v>
      </c>
      <c r="L912" s="2">
        <f>IFERROR(VLOOKUP($D912&amp;$C912,生产方式定位!$A$2:$E$39,2,FALSE)+VLOOKUP($E912&amp;$C912,生产方式定位!$F$3:$J$39,2,FALSE),0)</f>
        <v>4500</v>
      </c>
      <c r="Q912" s="2">
        <f>IFERROR(VLOOKUP($D912&amp;$C912,生产方式定位!$A$2:$E$39,3,FALSE)+VLOOKUP($E912&amp;$C912,生产方式定位!$F$3:$J$39,3,FALSE),0)</f>
        <v>2000</v>
      </c>
      <c r="V912" s="2">
        <f>IFERROR(VLOOKUP($D912&amp;$C912,生产方式定位!$A$2:$E$39,5,FALSE)+VLOOKUP($E912&amp;$C912,生产方式定位!$F$3:$J$39,5,FALSE),"错误")</f>
        <v>3340</v>
      </c>
      <c r="W912" s="3" t="str">
        <f t="shared" si="70"/>
        <v/>
      </c>
      <c r="X912" s="4" t="str">
        <f t="shared" si="71"/>
        <v/>
      </c>
      <c r="Y912" s="4" t="str">
        <f t="shared" si="72"/>
        <v/>
      </c>
      <c r="Z912" s="5">
        <f t="shared" si="73"/>
        <v>1.35</v>
      </c>
      <c r="AA912" s="6">
        <f t="shared" si="74"/>
        <v>2</v>
      </c>
      <c r="AB912" t="str">
        <f>IFERROR(F912&amp;"*"&amp;ROUND(L912*(G912/(G912+I912+K912))/VLOOKUP(F912,商品!$A$4:$D$67,4,FALSE),0),"")</f>
        <v/>
      </c>
      <c r="AC912" t="str">
        <f>IFERROR(H912&amp;"*"&amp;ROUND(L912*(I912/(G912+I912+K912))/VLOOKUP(H912,商品!$A$4:$D$67,4,FALSE),0),"")</f>
        <v/>
      </c>
      <c r="AD912" t="str">
        <f>IFERROR(J912&amp;"*"&amp;ROUND(L912*(K912/(G912+I912+K912))/VLOOKUP(J912,商品!$A$4:$D$67,4,FALSE),0),"")</f>
        <v/>
      </c>
      <c r="AE912" t="str">
        <f>IFERROR(M912&amp;"*"&amp;ROUND(Q912*(N912/(N912+P912))/VLOOKUP(M912,职业!$A$3:$E$16,4,FALSE),0),"")</f>
        <v/>
      </c>
      <c r="AF912" t="str">
        <f>IFERROR(O912&amp;"*"&amp;ROUND(Q912*(P912/(N912+P912))/VLOOKUP(O912,职业!$A$3:$E$16,4,FALSE),0),"")</f>
        <v/>
      </c>
      <c r="AG912" t="str">
        <f>IFERROR(R912&amp;"*"&amp;ROUND(V912*(S912/(S912+U912))/VLOOKUP(R912,商品!$A$4:$D$67,4,FALSE),0),"")</f>
        <v/>
      </c>
      <c r="AH912" t="str">
        <f>IFERROR(T912&amp;"*"&amp;ROUND(V912*(U912/(S912+U912))/VLOOKUP(T912,商品!$A$4:$D$67,4,FALSE),0),"")</f>
        <v/>
      </c>
    </row>
    <row r="913" customHeight="1" spans="1:34">
      <c r="A913" s="15" t="s">
        <v>452</v>
      </c>
      <c r="C913" s="2">
        <v>3</v>
      </c>
      <c r="D913" s="2" t="s">
        <v>220</v>
      </c>
      <c r="E913" s="2" t="s">
        <v>224</v>
      </c>
      <c r="L913" s="2">
        <f>IFERROR(VLOOKUP($D913&amp;$C913,生产方式定位!$A$2:$E$39,2,FALSE)+VLOOKUP($E913&amp;$C913,生产方式定位!$F$3:$J$39,2,FALSE),0)</f>
        <v>6000</v>
      </c>
      <c r="Q913" s="2">
        <f>IFERROR(VLOOKUP($D913&amp;$C913,生产方式定位!$A$2:$E$39,3,FALSE)+VLOOKUP($E913&amp;$C913,生产方式定位!$F$3:$J$39,3,FALSE),0)</f>
        <v>2000</v>
      </c>
      <c r="V913" s="2">
        <f>IFERROR(VLOOKUP($D913&amp;$C913,生产方式定位!$A$2:$E$39,5,FALSE)+VLOOKUP($E913&amp;$C913,生产方式定位!$F$3:$J$39,5,FALSE),"错误")</f>
        <v>4260</v>
      </c>
      <c r="W913" s="3" t="str">
        <f t="shared" si="70"/>
        <v/>
      </c>
      <c r="X913" s="4" t="str">
        <f t="shared" si="71"/>
        <v/>
      </c>
      <c r="Y913" s="4" t="str">
        <f t="shared" si="72"/>
        <v/>
      </c>
      <c r="Z913" s="5">
        <f t="shared" si="73"/>
        <v>1.41</v>
      </c>
      <c r="AA913" s="6">
        <f t="shared" si="74"/>
        <v>3</v>
      </c>
      <c r="AB913" t="str">
        <f>IFERROR(F913&amp;"*"&amp;ROUND(L913*(G913/(G913+I913+K913))/VLOOKUP(F913,商品!$A$4:$D$67,4,FALSE),0),"")</f>
        <v/>
      </c>
      <c r="AC913" t="str">
        <f>IFERROR(H913&amp;"*"&amp;ROUND(L913*(I913/(G913+I913+K913))/VLOOKUP(H913,商品!$A$4:$D$67,4,FALSE),0),"")</f>
        <v/>
      </c>
      <c r="AD913" t="str">
        <f>IFERROR(J913&amp;"*"&amp;ROUND(L913*(K913/(G913+I913+K913))/VLOOKUP(J913,商品!$A$4:$D$67,4,FALSE),0),"")</f>
        <v/>
      </c>
      <c r="AE913" t="str">
        <f>IFERROR(M913&amp;"*"&amp;ROUND(Q913*(N913/(N913+P913))/VLOOKUP(M913,职业!$A$3:$E$16,4,FALSE),0),"")</f>
        <v/>
      </c>
      <c r="AF913" t="str">
        <f>IFERROR(O913&amp;"*"&amp;ROUND(Q913*(P913/(N913+P913))/VLOOKUP(O913,职业!$A$3:$E$16,4,FALSE),0),"")</f>
        <v/>
      </c>
      <c r="AG913" t="str">
        <f>IFERROR(R913&amp;"*"&amp;ROUND(V913*(S913/(S913+U913))/VLOOKUP(R913,商品!$A$4:$D$67,4,FALSE),0),"")</f>
        <v/>
      </c>
      <c r="AH913" t="str">
        <f>IFERROR(T913&amp;"*"&amp;ROUND(V913*(U913/(S913+U913))/VLOOKUP(T913,商品!$A$4:$D$67,4,FALSE),0),"")</f>
        <v/>
      </c>
    </row>
    <row r="914" customHeight="1" spans="1:34">
      <c r="A914" s="15" t="s">
        <v>452</v>
      </c>
      <c r="C914" s="2">
        <v>4</v>
      </c>
      <c r="D914" s="2" t="s">
        <v>220</v>
      </c>
      <c r="E914" s="2" t="s">
        <v>224</v>
      </c>
      <c r="L914" s="2">
        <f>IFERROR(VLOOKUP($D914&amp;$C914,生产方式定位!$A$2:$E$39,2,FALSE)+VLOOKUP($E914&amp;$C914,生产方式定位!$F$3:$J$39,2,FALSE),0)</f>
        <v>7500</v>
      </c>
      <c r="Q914" s="2">
        <f>IFERROR(VLOOKUP($D914&amp;$C914,生产方式定位!$A$2:$E$39,3,FALSE)+VLOOKUP($E914&amp;$C914,生产方式定位!$F$3:$J$39,3,FALSE),0)</f>
        <v>2000</v>
      </c>
      <c r="V914" s="2">
        <f>IFERROR(VLOOKUP($D914&amp;$C914,生产方式定位!$A$2:$E$39,5,FALSE)+VLOOKUP($E914&amp;$C914,生产方式定位!$F$3:$J$39,5,FALSE),"错误")</f>
        <v>5260</v>
      </c>
      <c r="W914" s="3" t="str">
        <f t="shared" si="70"/>
        <v/>
      </c>
      <c r="X914" s="4" t="str">
        <f t="shared" si="71"/>
        <v/>
      </c>
      <c r="Y914" s="4" t="str">
        <f t="shared" si="72"/>
        <v/>
      </c>
      <c r="Z914" s="5">
        <f t="shared" si="73"/>
        <v>1.43</v>
      </c>
      <c r="AA914" s="6">
        <f t="shared" si="74"/>
        <v>4</v>
      </c>
      <c r="AB914" t="str">
        <f>IFERROR(F914&amp;"*"&amp;ROUND(L914*(G914/(G914+I914+K914))/VLOOKUP(F914,商品!$A$4:$D$67,4,FALSE),0),"")</f>
        <v/>
      </c>
      <c r="AC914" t="str">
        <f>IFERROR(H914&amp;"*"&amp;ROUND(L914*(I914/(G914+I914+K914))/VLOOKUP(H914,商品!$A$4:$D$67,4,FALSE),0),"")</f>
        <v/>
      </c>
      <c r="AD914" t="str">
        <f>IFERROR(J914&amp;"*"&amp;ROUND(L914*(K914/(G914+I914+K914))/VLOOKUP(J914,商品!$A$4:$D$67,4,FALSE),0),"")</f>
        <v/>
      </c>
      <c r="AE914" t="str">
        <f>IFERROR(M914&amp;"*"&amp;ROUND(Q914*(N914/(N914+P914))/VLOOKUP(M914,职业!$A$3:$E$16,4,FALSE),0),"")</f>
        <v/>
      </c>
      <c r="AF914" t="str">
        <f>IFERROR(O914&amp;"*"&amp;ROUND(Q914*(P914/(N914+P914))/VLOOKUP(O914,职业!$A$3:$E$16,4,FALSE),0),"")</f>
        <v/>
      </c>
      <c r="AG914" t="str">
        <f>IFERROR(R914&amp;"*"&amp;ROUND(V914*(S914/(S914+U914))/VLOOKUP(R914,商品!$A$4:$D$67,4,FALSE),0),"")</f>
        <v/>
      </c>
      <c r="AH914" t="str">
        <f>IFERROR(T914&amp;"*"&amp;ROUND(V914*(U914/(S914+U914))/VLOOKUP(T914,商品!$A$4:$D$67,4,FALSE),0),"")</f>
        <v/>
      </c>
    </row>
    <row r="915" customHeight="1" spans="1:34">
      <c r="A915" s="15" t="s">
        <v>452</v>
      </c>
      <c r="C915" s="2">
        <v>5</v>
      </c>
      <c r="D915" s="2" t="s">
        <v>220</v>
      </c>
      <c r="E915" s="2" t="s">
        <v>224</v>
      </c>
      <c r="L915" s="2">
        <f>IFERROR(VLOOKUP($D915&amp;$C915,生产方式定位!$A$2:$E$39,2,FALSE)+VLOOKUP($E915&amp;$C915,生产方式定位!$F$3:$J$39,2,FALSE),0)</f>
        <v>9000</v>
      </c>
      <c r="Q915" s="2">
        <f>IFERROR(VLOOKUP($D915&amp;$C915,生产方式定位!$A$2:$E$39,3,FALSE)+VLOOKUP($E915&amp;$C915,生产方式定位!$F$3:$J$39,3,FALSE),0)</f>
        <v>2000</v>
      </c>
      <c r="V915" s="2">
        <f>IFERROR(VLOOKUP($D915&amp;$C915,生产方式定位!$A$2:$E$39,5,FALSE)+VLOOKUP($E915&amp;$C915,生产方式定位!$F$3:$J$39,5,FALSE),"错误")</f>
        <v>6340</v>
      </c>
      <c r="W915" s="3" t="str">
        <f t="shared" si="70"/>
        <v/>
      </c>
      <c r="X915" s="4" t="str">
        <f t="shared" si="71"/>
        <v/>
      </c>
      <c r="Y915" s="4" t="str">
        <f t="shared" si="72"/>
        <v/>
      </c>
      <c r="Z915" s="5">
        <f t="shared" si="73"/>
        <v>1.42</v>
      </c>
      <c r="AA915" s="6">
        <f t="shared" si="74"/>
        <v>5</v>
      </c>
      <c r="AB915" t="str">
        <f>IFERROR(F915&amp;"*"&amp;ROUND(L915*(G915/(G915+I915+K915))/VLOOKUP(F915,商品!$A$4:$D$67,4,FALSE),0),"")</f>
        <v/>
      </c>
      <c r="AC915" t="str">
        <f>IFERROR(H915&amp;"*"&amp;ROUND(L915*(I915/(G915+I915+K915))/VLOOKUP(H915,商品!$A$4:$D$67,4,FALSE),0),"")</f>
        <v/>
      </c>
      <c r="AD915" t="str">
        <f>IFERROR(J915&amp;"*"&amp;ROUND(L915*(K915/(G915+I915+K915))/VLOOKUP(J915,商品!$A$4:$D$67,4,FALSE),0),"")</f>
        <v/>
      </c>
      <c r="AE915" t="str">
        <f>IFERROR(M915&amp;"*"&amp;ROUND(Q915*(N915/(N915+P915))/VLOOKUP(M915,职业!$A$3:$E$16,4,FALSE),0),"")</f>
        <v/>
      </c>
      <c r="AF915" t="str">
        <f>IFERROR(O915&amp;"*"&amp;ROUND(Q915*(P915/(N915+P915))/VLOOKUP(O915,职业!$A$3:$E$16,4,FALSE),0),"")</f>
        <v/>
      </c>
      <c r="AG915" t="str">
        <f>IFERROR(R915&amp;"*"&amp;ROUND(V915*(S915/(S915+U915))/VLOOKUP(R915,商品!$A$4:$D$67,4,FALSE),0),"")</f>
        <v/>
      </c>
      <c r="AH915" t="str">
        <f>IFERROR(T915&amp;"*"&amp;ROUND(V915*(U915/(S915+U915))/VLOOKUP(T915,商品!$A$4:$D$67,4,FALSE),0),"")</f>
        <v/>
      </c>
    </row>
    <row r="916" customHeight="1" spans="1:34">
      <c r="A916" s="14" t="s">
        <v>452</v>
      </c>
      <c r="C916" s="2">
        <v>1</v>
      </c>
      <c r="D916" s="2" t="s">
        <v>220</v>
      </c>
      <c r="E916" s="2" t="s">
        <v>224</v>
      </c>
      <c r="L916" s="2">
        <f>IFERROR(VLOOKUP($D916&amp;$C916,生产方式定位!$A$2:$E$39,2,FALSE)+VLOOKUP($E916&amp;$C916,生产方式定位!$F$3:$J$39,2,FALSE),0)</f>
        <v>2000</v>
      </c>
      <c r="Q916" s="2">
        <f>IFERROR(VLOOKUP($D916&amp;$C916,生产方式定位!$A$2:$E$39,3,FALSE)+VLOOKUP($E916&amp;$C916,生产方式定位!$F$3:$J$39,3,FALSE),0)</f>
        <v>2000</v>
      </c>
      <c r="V916" s="2">
        <f>IFERROR(VLOOKUP($D916&amp;$C916,生产方式定位!$A$2:$E$39,5,FALSE)+VLOOKUP($E916&amp;$C916,生产方式定位!$F$3:$J$39,5,FALSE),"错误")</f>
        <v>2000</v>
      </c>
      <c r="W916" s="3" t="str">
        <f t="shared" si="70"/>
        <v/>
      </c>
      <c r="X916" s="4" t="str">
        <f t="shared" si="71"/>
        <v/>
      </c>
      <c r="Y916" s="4" t="str">
        <f t="shared" si="72"/>
        <v/>
      </c>
      <c r="Z916" s="5">
        <f t="shared" si="73"/>
        <v>1</v>
      </c>
      <c r="AA916" s="6">
        <f t="shared" si="74"/>
        <v>1</v>
      </c>
      <c r="AB916" t="str">
        <f>IFERROR(F916&amp;"*"&amp;ROUND(L916*(G916/(G916+I916+K916))/VLOOKUP(F916,商品!$A$4:$D$67,4,FALSE),0),"")</f>
        <v/>
      </c>
      <c r="AC916" t="str">
        <f>IFERROR(H916&amp;"*"&amp;ROUND(L916*(I916/(G916+I916+K916))/VLOOKUP(H916,商品!$A$4:$D$67,4,FALSE),0),"")</f>
        <v/>
      </c>
      <c r="AD916" t="str">
        <f>IFERROR(J916&amp;"*"&amp;ROUND(L916*(K916/(G916+I916+K916))/VLOOKUP(J916,商品!$A$4:$D$67,4,FALSE),0),"")</f>
        <v/>
      </c>
      <c r="AE916" t="str">
        <f>IFERROR(M916&amp;"*"&amp;ROUND(Q916*(N916/(N916+P916))/VLOOKUP(M916,职业!$A$3:$E$16,4,FALSE),0),"")</f>
        <v/>
      </c>
      <c r="AF916" t="str">
        <f>IFERROR(O916&amp;"*"&amp;ROUND(Q916*(P916/(N916+P916))/VLOOKUP(O916,职业!$A$3:$E$16,4,FALSE),0),"")</f>
        <v/>
      </c>
      <c r="AG916" t="str">
        <f>IFERROR(R916&amp;"*"&amp;ROUND(V916*(S916/(S916+U916))/VLOOKUP(R916,商品!$A$4:$D$67,4,FALSE),0),"")</f>
        <v/>
      </c>
      <c r="AH916" t="str">
        <f>IFERROR(T916&amp;"*"&amp;ROUND(V916*(U916/(S916+U916))/VLOOKUP(T916,商品!$A$4:$D$67,4,FALSE),0),"")</f>
        <v/>
      </c>
    </row>
    <row r="917" customHeight="1" spans="1:34">
      <c r="A917" s="14" t="s">
        <v>452</v>
      </c>
      <c r="C917" s="2">
        <v>2</v>
      </c>
      <c r="D917" s="2" t="s">
        <v>220</v>
      </c>
      <c r="E917" s="2" t="s">
        <v>224</v>
      </c>
      <c r="L917" s="2">
        <f>IFERROR(VLOOKUP($D917&amp;$C917,生产方式定位!$A$2:$E$39,2,FALSE)+VLOOKUP($E917&amp;$C917,生产方式定位!$F$3:$J$39,2,FALSE),0)</f>
        <v>4500</v>
      </c>
      <c r="Q917" s="2">
        <f>IFERROR(VLOOKUP($D917&amp;$C917,生产方式定位!$A$2:$E$39,3,FALSE)+VLOOKUP($E917&amp;$C917,生产方式定位!$F$3:$J$39,3,FALSE),0)</f>
        <v>2000</v>
      </c>
      <c r="V917" s="2">
        <f>IFERROR(VLOOKUP($D917&amp;$C917,生产方式定位!$A$2:$E$39,5,FALSE)+VLOOKUP($E917&amp;$C917,生产方式定位!$F$3:$J$39,5,FALSE),"错误")</f>
        <v>3340</v>
      </c>
      <c r="W917" s="3" t="str">
        <f t="shared" si="70"/>
        <v/>
      </c>
      <c r="X917" s="4" t="str">
        <f t="shared" si="71"/>
        <v/>
      </c>
      <c r="Y917" s="4" t="str">
        <f t="shared" si="72"/>
        <v/>
      </c>
      <c r="Z917" s="5">
        <f t="shared" si="73"/>
        <v>1.35</v>
      </c>
      <c r="AA917" s="6">
        <f t="shared" si="74"/>
        <v>2</v>
      </c>
      <c r="AB917" t="str">
        <f>IFERROR(F917&amp;"*"&amp;ROUND(L917*(G917/(G917+I917+K917))/VLOOKUP(F917,商品!$A$4:$D$67,4,FALSE),0),"")</f>
        <v/>
      </c>
      <c r="AC917" t="str">
        <f>IFERROR(H917&amp;"*"&amp;ROUND(L917*(I917/(G917+I917+K917))/VLOOKUP(H917,商品!$A$4:$D$67,4,FALSE),0),"")</f>
        <v/>
      </c>
      <c r="AD917" t="str">
        <f>IFERROR(J917&amp;"*"&amp;ROUND(L917*(K917/(G917+I917+K917))/VLOOKUP(J917,商品!$A$4:$D$67,4,FALSE),0),"")</f>
        <v/>
      </c>
      <c r="AE917" t="str">
        <f>IFERROR(M917&amp;"*"&amp;ROUND(Q917*(N917/(N917+P917))/VLOOKUP(M917,职业!$A$3:$E$16,4,FALSE),0),"")</f>
        <v/>
      </c>
      <c r="AF917" t="str">
        <f>IFERROR(O917&amp;"*"&amp;ROUND(Q917*(P917/(N917+P917))/VLOOKUP(O917,职业!$A$3:$E$16,4,FALSE),0),"")</f>
        <v/>
      </c>
      <c r="AG917" t="str">
        <f>IFERROR(R917&amp;"*"&amp;ROUND(V917*(S917/(S917+U917))/VLOOKUP(R917,商品!$A$4:$D$67,4,FALSE),0),"")</f>
        <v/>
      </c>
      <c r="AH917" t="str">
        <f>IFERROR(T917&amp;"*"&amp;ROUND(V917*(U917/(S917+U917))/VLOOKUP(T917,商品!$A$4:$D$67,4,FALSE),0),"")</f>
        <v/>
      </c>
    </row>
    <row r="918" customHeight="1" spans="1:34">
      <c r="A918" s="14" t="s">
        <v>452</v>
      </c>
      <c r="C918" s="2">
        <v>3</v>
      </c>
      <c r="D918" s="2" t="s">
        <v>220</v>
      </c>
      <c r="E918" s="2" t="s">
        <v>224</v>
      </c>
      <c r="L918" s="2">
        <f>IFERROR(VLOOKUP($D918&amp;$C918,生产方式定位!$A$2:$E$39,2,FALSE)+VLOOKUP($E918&amp;$C918,生产方式定位!$F$3:$J$39,2,FALSE),0)</f>
        <v>6000</v>
      </c>
      <c r="Q918" s="2">
        <f>IFERROR(VLOOKUP($D918&amp;$C918,生产方式定位!$A$2:$E$39,3,FALSE)+VLOOKUP($E918&amp;$C918,生产方式定位!$F$3:$J$39,3,FALSE),0)</f>
        <v>2000</v>
      </c>
      <c r="V918" s="2">
        <f>IFERROR(VLOOKUP($D918&amp;$C918,生产方式定位!$A$2:$E$39,5,FALSE)+VLOOKUP($E918&amp;$C918,生产方式定位!$F$3:$J$39,5,FALSE),"错误")</f>
        <v>4260</v>
      </c>
      <c r="W918" s="3" t="str">
        <f t="shared" si="70"/>
        <v/>
      </c>
      <c r="X918" s="4" t="str">
        <f t="shared" si="71"/>
        <v/>
      </c>
      <c r="Y918" s="4" t="str">
        <f t="shared" si="72"/>
        <v/>
      </c>
      <c r="Z918" s="5">
        <f t="shared" si="73"/>
        <v>1.41</v>
      </c>
      <c r="AA918" s="6">
        <f t="shared" si="74"/>
        <v>3</v>
      </c>
      <c r="AB918" t="str">
        <f>IFERROR(F918&amp;"*"&amp;ROUND(L918*(G918/(G918+I918+K918))/VLOOKUP(F918,商品!$A$4:$D$67,4,FALSE),0),"")</f>
        <v/>
      </c>
      <c r="AC918" t="str">
        <f>IFERROR(H918&amp;"*"&amp;ROUND(L918*(I918/(G918+I918+K918))/VLOOKUP(H918,商品!$A$4:$D$67,4,FALSE),0),"")</f>
        <v/>
      </c>
      <c r="AD918" t="str">
        <f>IFERROR(J918&amp;"*"&amp;ROUND(L918*(K918/(G918+I918+K918))/VLOOKUP(J918,商品!$A$4:$D$67,4,FALSE),0),"")</f>
        <v/>
      </c>
      <c r="AE918" t="str">
        <f>IFERROR(M918&amp;"*"&amp;ROUND(Q918*(N918/(N918+P918))/VLOOKUP(M918,职业!$A$3:$E$16,4,FALSE),0),"")</f>
        <v/>
      </c>
      <c r="AF918" t="str">
        <f>IFERROR(O918&amp;"*"&amp;ROUND(Q918*(P918/(N918+P918))/VLOOKUP(O918,职业!$A$3:$E$16,4,FALSE),0),"")</f>
        <v/>
      </c>
      <c r="AG918" t="str">
        <f>IFERROR(R918&amp;"*"&amp;ROUND(V918*(S918/(S918+U918))/VLOOKUP(R918,商品!$A$4:$D$67,4,FALSE),0),"")</f>
        <v/>
      </c>
      <c r="AH918" t="str">
        <f>IFERROR(T918&amp;"*"&amp;ROUND(V918*(U918/(S918+U918))/VLOOKUP(T918,商品!$A$4:$D$67,4,FALSE),0),"")</f>
        <v/>
      </c>
    </row>
    <row r="919" customHeight="1" spans="1:34">
      <c r="A919" s="14" t="s">
        <v>452</v>
      </c>
      <c r="C919" s="2">
        <v>4</v>
      </c>
      <c r="D919" s="2" t="s">
        <v>220</v>
      </c>
      <c r="E919" s="2" t="s">
        <v>224</v>
      </c>
      <c r="L919" s="2">
        <f>IFERROR(VLOOKUP($D919&amp;$C919,生产方式定位!$A$2:$E$39,2,FALSE)+VLOOKUP($E919&amp;$C919,生产方式定位!$F$3:$J$39,2,FALSE),0)</f>
        <v>7500</v>
      </c>
      <c r="Q919" s="2">
        <f>IFERROR(VLOOKUP($D919&amp;$C919,生产方式定位!$A$2:$E$39,3,FALSE)+VLOOKUP($E919&amp;$C919,生产方式定位!$F$3:$J$39,3,FALSE),0)</f>
        <v>2000</v>
      </c>
      <c r="V919" s="2">
        <f>IFERROR(VLOOKUP($D919&amp;$C919,生产方式定位!$A$2:$E$39,5,FALSE)+VLOOKUP($E919&amp;$C919,生产方式定位!$F$3:$J$39,5,FALSE),"错误")</f>
        <v>5260</v>
      </c>
      <c r="W919" s="3" t="str">
        <f t="shared" si="70"/>
        <v/>
      </c>
      <c r="X919" s="4" t="str">
        <f t="shared" si="71"/>
        <v/>
      </c>
      <c r="Y919" s="4" t="str">
        <f t="shared" si="72"/>
        <v/>
      </c>
      <c r="Z919" s="5">
        <f t="shared" si="73"/>
        <v>1.43</v>
      </c>
      <c r="AA919" s="6">
        <f t="shared" si="74"/>
        <v>4</v>
      </c>
      <c r="AB919" t="str">
        <f>IFERROR(F919&amp;"*"&amp;ROUND(L919*(G919/(G919+I919+K919))/VLOOKUP(F919,商品!$A$4:$D$67,4,FALSE),0),"")</f>
        <v/>
      </c>
      <c r="AC919" t="str">
        <f>IFERROR(H919&amp;"*"&amp;ROUND(L919*(I919/(G919+I919+K919))/VLOOKUP(H919,商品!$A$4:$D$67,4,FALSE),0),"")</f>
        <v/>
      </c>
      <c r="AD919" t="str">
        <f>IFERROR(J919&amp;"*"&amp;ROUND(L919*(K919/(G919+I919+K919))/VLOOKUP(J919,商品!$A$4:$D$67,4,FALSE),0),"")</f>
        <v/>
      </c>
      <c r="AE919" t="str">
        <f>IFERROR(M919&amp;"*"&amp;ROUND(Q919*(N919/(N919+P919))/VLOOKUP(M919,职业!$A$3:$E$16,4,FALSE),0),"")</f>
        <v/>
      </c>
      <c r="AF919" t="str">
        <f>IFERROR(O919&amp;"*"&amp;ROUND(Q919*(P919/(N919+P919))/VLOOKUP(O919,职业!$A$3:$E$16,4,FALSE),0),"")</f>
        <v/>
      </c>
      <c r="AG919" t="str">
        <f>IFERROR(R919&amp;"*"&amp;ROUND(V919*(S919/(S919+U919))/VLOOKUP(R919,商品!$A$4:$D$67,4,FALSE),0),"")</f>
        <v/>
      </c>
      <c r="AH919" t="str">
        <f>IFERROR(T919&amp;"*"&amp;ROUND(V919*(U919/(S919+U919))/VLOOKUP(T919,商品!$A$4:$D$67,4,FALSE),0),"")</f>
        <v/>
      </c>
    </row>
    <row r="920" customHeight="1" spans="1:34">
      <c r="A920" s="14" t="s">
        <v>452</v>
      </c>
      <c r="C920" s="2">
        <v>5</v>
      </c>
      <c r="D920" s="2" t="s">
        <v>220</v>
      </c>
      <c r="E920" s="2" t="s">
        <v>224</v>
      </c>
      <c r="L920" s="2">
        <f>IFERROR(VLOOKUP($D920&amp;$C920,生产方式定位!$A$2:$E$39,2,FALSE)+VLOOKUP($E920&amp;$C920,生产方式定位!$F$3:$J$39,2,FALSE),0)</f>
        <v>9000</v>
      </c>
      <c r="Q920" s="2">
        <f>IFERROR(VLOOKUP($D920&amp;$C920,生产方式定位!$A$2:$E$39,3,FALSE)+VLOOKUP($E920&amp;$C920,生产方式定位!$F$3:$J$39,3,FALSE),0)</f>
        <v>2000</v>
      </c>
      <c r="V920" s="2">
        <f>IFERROR(VLOOKUP($D920&amp;$C920,生产方式定位!$A$2:$E$39,5,FALSE)+VLOOKUP($E920&amp;$C920,生产方式定位!$F$3:$J$39,5,FALSE),"错误")</f>
        <v>6340</v>
      </c>
      <c r="W920" s="3" t="str">
        <f t="shared" si="70"/>
        <v/>
      </c>
      <c r="X920" s="4" t="str">
        <f t="shared" si="71"/>
        <v/>
      </c>
      <c r="Y920" s="4" t="str">
        <f t="shared" si="72"/>
        <v/>
      </c>
      <c r="Z920" s="5">
        <f t="shared" si="73"/>
        <v>1.42</v>
      </c>
      <c r="AA920" s="6">
        <f t="shared" si="74"/>
        <v>5</v>
      </c>
      <c r="AB920" t="str">
        <f>IFERROR(F920&amp;"*"&amp;ROUND(L920*(G920/(G920+I920+K920))/VLOOKUP(F920,商品!$A$4:$D$67,4,FALSE),0),"")</f>
        <v/>
      </c>
      <c r="AC920" t="str">
        <f>IFERROR(H920&amp;"*"&amp;ROUND(L920*(I920/(G920+I920+K920))/VLOOKUP(H920,商品!$A$4:$D$67,4,FALSE),0),"")</f>
        <v/>
      </c>
      <c r="AD920" t="str">
        <f>IFERROR(J920&amp;"*"&amp;ROUND(L920*(K920/(G920+I920+K920))/VLOOKUP(J920,商品!$A$4:$D$67,4,FALSE),0),"")</f>
        <v/>
      </c>
      <c r="AE920" t="str">
        <f>IFERROR(M920&amp;"*"&amp;ROUND(Q920*(N920/(N920+P920))/VLOOKUP(M920,职业!$A$3:$E$16,4,FALSE),0),"")</f>
        <v/>
      </c>
      <c r="AF920" t="str">
        <f>IFERROR(O920&amp;"*"&amp;ROUND(Q920*(P920/(N920+P920))/VLOOKUP(O920,职业!$A$3:$E$16,4,FALSE),0),"")</f>
        <v/>
      </c>
      <c r="AG920" t="str">
        <f>IFERROR(R920&amp;"*"&amp;ROUND(V920*(S920/(S920+U920))/VLOOKUP(R920,商品!$A$4:$D$67,4,FALSE),0),"")</f>
        <v/>
      </c>
      <c r="AH920" t="str">
        <f>IFERROR(T920&amp;"*"&amp;ROUND(V920*(U920/(S920+U920))/VLOOKUP(T920,商品!$A$4:$D$67,4,FALSE),0),"")</f>
        <v/>
      </c>
    </row>
    <row r="921" customHeight="1" spans="1:34">
      <c r="A921" s="15" t="s">
        <v>453</v>
      </c>
      <c r="C921" s="2">
        <v>1</v>
      </c>
      <c r="D921" s="2" t="s">
        <v>220</v>
      </c>
      <c r="E921" s="2" t="s">
        <v>255</v>
      </c>
      <c r="L921" s="2">
        <f>IFERROR(VLOOKUP($D921&amp;$C921,生产方式定位!$A$2:$E$39,2,FALSE)+VLOOKUP($E921&amp;$C921,生产方式定位!$F$3:$J$39,2,FALSE),0)</f>
        <v>2000</v>
      </c>
      <c r="Q921" s="2">
        <f>IFERROR(VLOOKUP($D921&amp;$C921,生产方式定位!$A$2:$E$39,3,FALSE)+VLOOKUP($E921&amp;$C921,生产方式定位!$F$3:$J$39,3,FALSE),0)</f>
        <v>2000</v>
      </c>
      <c r="V921" s="2">
        <f>IFERROR(VLOOKUP($D921&amp;$C921,生产方式定位!$A$2:$E$39,5,FALSE)+VLOOKUP($E921&amp;$C921,生产方式定位!$F$3:$J$39,5,FALSE),"错误")</f>
        <v>2000</v>
      </c>
      <c r="W921" s="3" t="str">
        <f t="shared" si="70"/>
        <v/>
      </c>
      <c r="X921" s="4" t="str">
        <f t="shared" si="71"/>
        <v/>
      </c>
      <c r="Y921" s="4" t="str">
        <f t="shared" si="72"/>
        <v/>
      </c>
      <c r="Z921" s="5">
        <f t="shared" si="73"/>
        <v>1</v>
      </c>
      <c r="AA921" s="6">
        <f t="shared" si="74"/>
        <v>1</v>
      </c>
      <c r="AB921" t="str">
        <f>IFERROR(F921&amp;"*"&amp;ROUND(L921*(G921/(G921+I921+K921))/VLOOKUP(F921,商品!$A$4:$D$67,4,FALSE),0),"")</f>
        <v/>
      </c>
      <c r="AC921" t="str">
        <f>IFERROR(H921&amp;"*"&amp;ROUND(L921*(I921/(G921+I921+K921))/VLOOKUP(H921,商品!$A$4:$D$67,4,FALSE),0),"")</f>
        <v/>
      </c>
      <c r="AD921" t="str">
        <f>IFERROR(J921&amp;"*"&amp;ROUND(L921*(K921/(G921+I921+K921))/VLOOKUP(J921,商品!$A$4:$D$67,4,FALSE),0),"")</f>
        <v/>
      </c>
      <c r="AE921" t="str">
        <f>IFERROR(M921&amp;"*"&amp;ROUND(Q921*(N921/(N921+P921))/VLOOKUP(M921,职业!$A$3:$E$16,4,FALSE),0),"")</f>
        <v/>
      </c>
      <c r="AF921" t="str">
        <f>IFERROR(O921&amp;"*"&amp;ROUND(Q921*(P921/(N921+P921))/VLOOKUP(O921,职业!$A$3:$E$16,4,FALSE),0),"")</f>
        <v/>
      </c>
      <c r="AG921" t="str">
        <f>IFERROR(R921&amp;"*"&amp;ROUND(V921*(S921/(S921+U921))/VLOOKUP(R921,商品!$A$4:$D$67,4,FALSE),0),"")</f>
        <v/>
      </c>
      <c r="AH921" t="str">
        <f>IFERROR(T921&amp;"*"&amp;ROUND(V921*(U921/(S921+U921))/VLOOKUP(T921,商品!$A$4:$D$67,4,FALSE),0),"")</f>
        <v/>
      </c>
    </row>
    <row r="922" customHeight="1" spans="1:34">
      <c r="A922" s="15" t="s">
        <v>453</v>
      </c>
      <c r="C922" s="2">
        <v>2</v>
      </c>
      <c r="D922" s="2" t="s">
        <v>220</v>
      </c>
      <c r="E922" s="2" t="s">
        <v>255</v>
      </c>
      <c r="L922" s="2">
        <f>IFERROR(VLOOKUP($D922&amp;$C922,生产方式定位!$A$2:$E$39,2,FALSE)+VLOOKUP($E922&amp;$C922,生产方式定位!$F$3:$J$39,2,FALSE),0)</f>
        <v>2500</v>
      </c>
      <c r="Q922" s="2">
        <f>IFERROR(VLOOKUP($D922&amp;$C922,生产方式定位!$A$2:$E$39,3,FALSE)+VLOOKUP($E922&amp;$C922,生产方式定位!$F$3:$J$39,3,FALSE),0)</f>
        <v>2200</v>
      </c>
      <c r="V922" s="2">
        <f>IFERROR(VLOOKUP($D922&amp;$C922,生产方式定位!$A$2:$E$39,5,FALSE)+VLOOKUP($E922&amp;$C922,生产方式定位!$F$3:$J$39,5,FALSE),"错误")</f>
        <v>2350</v>
      </c>
      <c r="W922" s="3" t="str">
        <f t="shared" si="70"/>
        <v/>
      </c>
      <c r="X922" s="4" t="str">
        <f t="shared" si="71"/>
        <v/>
      </c>
      <c r="Y922" s="4" t="str">
        <f t="shared" si="72"/>
        <v/>
      </c>
      <c r="Z922" s="5">
        <f t="shared" si="73"/>
        <v>1.06</v>
      </c>
      <c r="AA922" s="6">
        <f t="shared" si="74"/>
        <v>2</v>
      </c>
      <c r="AB922" t="str">
        <f>IFERROR(F922&amp;"*"&amp;ROUND(L922*(G922/(G922+I922+K922))/VLOOKUP(F922,商品!$A$4:$D$67,4,FALSE),0),"")</f>
        <v/>
      </c>
      <c r="AC922" t="str">
        <f>IFERROR(H922&amp;"*"&amp;ROUND(L922*(I922/(G922+I922+K922))/VLOOKUP(H922,商品!$A$4:$D$67,4,FALSE),0),"")</f>
        <v/>
      </c>
      <c r="AD922" t="str">
        <f>IFERROR(J922&amp;"*"&amp;ROUND(L922*(K922/(G922+I922+K922))/VLOOKUP(J922,商品!$A$4:$D$67,4,FALSE),0),"")</f>
        <v/>
      </c>
      <c r="AE922" t="str">
        <f>IFERROR(M922&amp;"*"&amp;ROUND(Q922*(N922/(N922+P922))/VLOOKUP(M922,职业!$A$3:$E$16,4,FALSE),0),"")</f>
        <v/>
      </c>
      <c r="AF922" t="str">
        <f>IFERROR(O922&amp;"*"&amp;ROUND(Q922*(P922/(N922+P922))/VLOOKUP(O922,职业!$A$3:$E$16,4,FALSE),0),"")</f>
        <v/>
      </c>
      <c r="AG922" t="str">
        <f>IFERROR(R922&amp;"*"&amp;ROUND(V922*(S922/(S922+U922))/VLOOKUP(R922,商品!$A$4:$D$67,4,FALSE),0),"")</f>
        <v/>
      </c>
      <c r="AH922" t="str">
        <f>IFERROR(T922&amp;"*"&amp;ROUND(V922*(U922/(S922+U922))/VLOOKUP(T922,商品!$A$4:$D$67,4,FALSE),0),"")</f>
        <v/>
      </c>
    </row>
    <row r="923" customHeight="1" spans="1:34">
      <c r="A923" s="15" t="s">
        <v>453</v>
      </c>
      <c r="C923" s="2">
        <v>3</v>
      </c>
      <c r="D923" s="2" t="s">
        <v>220</v>
      </c>
      <c r="E923" s="2" t="s">
        <v>255</v>
      </c>
      <c r="L923" s="2">
        <f>IFERROR(VLOOKUP($D923&amp;$C923,生产方式定位!$A$2:$E$39,2,FALSE)+VLOOKUP($E923&amp;$C923,生产方式定位!$F$3:$J$39,2,FALSE),0)</f>
        <v>3000</v>
      </c>
      <c r="Q923" s="2">
        <f>IFERROR(VLOOKUP($D923&amp;$C923,生产方式定位!$A$2:$E$39,3,FALSE)+VLOOKUP($E923&amp;$C923,生产方式定位!$F$3:$J$39,3,FALSE),0)</f>
        <v>2400</v>
      </c>
      <c r="V923" s="2">
        <f>IFERROR(VLOOKUP($D923&amp;$C923,生产方式定位!$A$2:$E$39,5,FALSE)+VLOOKUP($E923&amp;$C923,生产方式定位!$F$3:$J$39,5,FALSE),"错误")</f>
        <v>2700</v>
      </c>
      <c r="W923" s="3" t="str">
        <f t="shared" si="70"/>
        <v/>
      </c>
      <c r="X923" s="4" t="str">
        <f t="shared" si="71"/>
        <v/>
      </c>
      <c r="Y923" s="4" t="str">
        <f t="shared" si="72"/>
        <v/>
      </c>
      <c r="Z923" s="5">
        <f t="shared" si="73"/>
        <v>1.11</v>
      </c>
      <c r="AA923" s="6">
        <f t="shared" si="74"/>
        <v>3</v>
      </c>
      <c r="AB923" t="str">
        <f>IFERROR(F923&amp;"*"&amp;ROUND(L923*(G923/(G923+I923+K923))/VLOOKUP(F923,商品!$A$4:$D$67,4,FALSE),0),"")</f>
        <v/>
      </c>
      <c r="AC923" t="str">
        <f>IFERROR(H923&amp;"*"&amp;ROUND(L923*(I923/(G923+I923+K923))/VLOOKUP(H923,商品!$A$4:$D$67,4,FALSE),0),"")</f>
        <v/>
      </c>
      <c r="AD923" t="str">
        <f>IFERROR(J923&amp;"*"&amp;ROUND(L923*(K923/(G923+I923+K923))/VLOOKUP(J923,商品!$A$4:$D$67,4,FALSE),0),"")</f>
        <v/>
      </c>
      <c r="AE923" t="str">
        <f>IFERROR(M923&amp;"*"&amp;ROUND(Q923*(N923/(N923+P923))/VLOOKUP(M923,职业!$A$3:$E$16,4,FALSE),0),"")</f>
        <v/>
      </c>
      <c r="AF923" t="str">
        <f>IFERROR(O923&amp;"*"&amp;ROUND(Q923*(P923/(N923+P923))/VLOOKUP(O923,职业!$A$3:$E$16,4,FALSE),0),"")</f>
        <v/>
      </c>
      <c r="AG923" t="str">
        <f>IFERROR(R923&amp;"*"&amp;ROUND(V923*(S923/(S923+U923))/VLOOKUP(R923,商品!$A$4:$D$67,4,FALSE),0),"")</f>
        <v/>
      </c>
      <c r="AH923" t="str">
        <f>IFERROR(T923&amp;"*"&amp;ROUND(V923*(U923/(S923+U923))/VLOOKUP(T923,商品!$A$4:$D$67,4,FALSE),0),"")</f>
        <v/>
      </c>
    </row>
    <row r="924" customHeight="1" spans="1:34">
      <c r="A924" s="15" t="s">
        <v>453</v>
      </c>
      <c r="C924" s="2">
        <v>4</v>
      </c>
      <c r="D924" s="2" t="s">
        <v>220</v>
      </c>
      <c r="E924" s="2" t="s">
        <v>255</v>
      </c>
      <c r="L924" s="2">
        <f>IFERROR(VLOOKUP($D924&amp;$C924,生产方式定位!$A$2:$E$39,2,FALSE)+VLOOKUP($E924&amp;$C924,生产方式定位!$F$3:$J$39,2,FALSE),0)</f>
        <v>3500</v>
      </c>
      <c r="Q924" s="2">
        <f>IFERROR(VLOOKUP($D924&amp;$C924,生产方式定位!$A$2:$E$39,3,FALSE)+VLOOKUP($E924&amp;$C924,生产方式定位!$F$3:$J$39,3,FALSE),0)</f>
        <v>2600</v>
      </c>
      <c r="V924" s="2">
        <f>IFERROR(VLOOKUP($D924&amp;$C924,生产方式定位!$A$2:$E$39,5,FALSE)+VLOOKUP($E924&amp;$C924,生产方式定位!$F$3:$J$39,5,FALSE),"错误")</f>
        <v>3050</v>
      </c>
      <c r="W924" s="3" t="str">
        <f t="shared" si="70"/>
        <v/>
      </c>
      <c r="X924" s="4" t="str">
        <f t="shared" si="71"/>
        <v/>
      </c>
      <c r="Y924" s="4" t="str">
        <f t="shared" si="72"/>
        <v/>
      </c>
      <c r="Z924" s="5">
        <f t="shared" si="73"/>
        <v>1.15</v>
      </c>
      <c r="AA924" s="6">
        <f t="shared" si="74"/>
        <v>4</v>
      </c>
      <c r="AB924" t="str">
        <f>IFERROR(F924&amp;"*"&amp;ROUND(L924*(G924/(G924+I924+K924))/VLOOKUP(F924,商品!$A$4:$D$67,4,FALSE),0),"")</f>
        <v/>
      </c>
      <c r="AC924" t="str">
        <f>IFERROR(H924&amp;"*"&amp;ROUND(L924*(I924/(G924+I924+K924))/VLOOKUP(H924,商品!$A$4:$D$67,4,FALSE),0),"")</f>
        <v/>
      </c>
      <c r="AD924" t="str">
        <f>IFERROR(J924&amp;"*"&amp;ROUND(L924*(K924/(G924+I924+K924))/VLOOKUP(J924,商品!$A$4:$D$67,4,FALSE),0),"")</f>
        <v/>
      </c>
      <c r="AE924" t="str">
        <f>IFERROR(M924&amp;"*"&amp;ROUND(Q924*(N924/(N924+P924))/VLOOKUP(M924,职业!$A$3:$E$16,4,FALSE),0),"")</f>
        <v/>
      </c>
      <c r="AF924" t="str">
        <f>IFERROR(O924&amp;"*"&amp;ROUND(Q924*(P924/(N924+P924))/VLOOKUP(O924,职业!$A$3:$E$16,4,FALSE),0),"")</f>
        <v/>
      </c>
      <c r="AG924" t="str">
        <f>IFERROR(R924&amp;"*"&amp;ROUND(V924*(S924/(S924+U924))/VLOOKUP(R924,商品!$A$4:$D$67,4,FALSE),0),"")</f>
        <v/>
      </c>
      <c r="AH924" t="str">
        <f>IFERROR(T924&amp;"*"&amp;ROUND(V924*(U924/(S924+U924))/VLOOKUP(T924,商品!$A$4:$D$67,4,FALSE),0),"")</f>
        <v/>
      </c>
    </row>
    <row r="925" customHeight="1" spans="1:34">
      <c r="A925" s="15" t="s">
        <v>453</v>
      </c>
      <c r="C925" s="2">
        <v>5</v>
      </c>
      <c r="D925" s="2" t="s">
        <v>220</v>
      </c>
      <c r="E925" s="2" t="s">
        <v>255</v>
      </c>
      <c r="L925" s="2">
        <f>IFERROR(VLOOKUP($D925&amp;$C925,生产方式定位!$A$2:$E$39,2,FALSE)+VLOOKUP($E925&amp;$C925,生产方式定位!$F$3:$J$39,2,FALSE),0)</f>
        <v>0</v>
      </c>
      <c r="Q925" s="2">
        <f>IFERROR(VLOOKUP($D925&amp;$C925,生产方式定位!$A$2:$E$39,3,FALSE)+VLOOKUP($E925&amp;$C925,生产方式定位!$F$3:$J$39,3,FALSE),0)</f>
        <v>0</v>
      </c>
      <c r="V925" s="2" t="str">
        <f>IFERROR(VLOOKUP($D925&amp;$C925,生产方式定位!$A$2:$E$39,5,FALSE)+VLOOKUP($E925&amp;$C925,生产方式定位!$F$3:$J$39,5,FALSE),"错误")</f>
        <v>错误</v>
      </c>
      <c r="W925" s="3" t="str">
        <f t="shared" si="70"/>
        <v/>
      </c>
      <c r="X925" s="4" t="str">
        <f t="shared" si="71"/>
        <v/>
      </c>
      <c r="Y925" s="4" t="str">
        <f t="shared" si="72"/>
        <v/>
      </c>
      <c r="Z925" s="5" t="str">
        <f t="shared" si="73"/>
        <v/>
      </c>
      <c r="AA925" s="6">
        <f t="shared" si="74"/>
        <v>5</v>
      </c>
      <c r="AB925" t="str">
        <f>IFERROR(F925&amp;"*"&amp;ROUND(L925*(G925/(G925+I925+K925))/VLOOKUP(F925,商品!$A$4:$D$67,4,FALSE),0),"")</f>
        <v/>
      </c>
      <c r="AC925" t="str">
        <f>IFERROR(H925&amp;"*"&amp;ROUND(L925*(I925/(G925+I925+K925))/VLOOKUP(H925,商品!$A$4:$D$67,4,FALSE),0),"")</f>
        <v/>
      </c>
      <c r="AD925" t="str">
        <f>IFERROR(J925&amp;"*"&amp;ROUND(L925*(K925/(G925+I925+K925))/VLOOKUP(J925,商品!$A$4:$D$67,4,FALSE),0),"")</f>
        <v/>
      </c>
      <c r="AE925" t="str">
        <f>IFERROR(M925&amp;"*"&amp;ROUND(Q925*(N925/(N925+P925))/VLOOKUP(M925,职业!$A$3:$E$16,4,FALSE),0),"")</f>
        <v/>
      </c>
      <c r="AF925" t="str">
        <f>IFERROR(O925&amp;"*"&amp;ROUND(Q925*(P925/(N925+P925))/VLOOKUP(O925,职业!$A$3:$E$16,4,FALSE),0),"")</f>
        <v/>
      </c>
      <c r="AG925" t="str">
        <f>IFERROR(R925&amp;"*"&amp;ROUND(V925*(S925/(S925+U925))/VLOOKUP(R925,商品!$A$4:$D$67,4,FALSE),0),"")</f>
        <v/>
      </c>
      <c r="AH925" t="str">
        <f>IFERROR(T925&amp;"*"&amp;ROUND(V925*(U925/(S925+U925))/VLOOKUP(T925,商品!$A$4:$D$67,4,FALSE),0),"")</f>
        <v/>
      </c>
    </row>
    <row r="926" customHeight="1" spans="1:34">
      <c r="A926" s="14" t="s">
        <v>454</v>
      </c>
      <c r="C926" s="2">
        <v>1</v>
      </c>
      <c r="D926" s="2" t="s">
        <v>220</v>
      </c>
      <c r="E926" s="2" t="s">
        <v>225</v>
      </c>
      <c r="L926" s="2">
        <f>IFERROR(VLOOKUP($D926&amp;$C926,生产方式定位!$A$2:$E$39,2,FALSE)+VLOOKUP($E926&amp;$C926,生产方式定位!$F$3:$J$39,2,FALSE),0)</f>
        <v>2000</v>
      </c>
      <c r="Q926" s="2">
        <f>IFERROR(VLOOKUP($D926&amp;$C926,生产方式定位!$A$2:$E$39,3,FALSE)+VLOOKUP($E926&amp;$C926,生产方式定位!$F$3:$J$39,3,FALSE),0)</f>
        <v>2000</v>
      </c>
      <c r="V926" s="2">
        <f>IFERROR(VLOOKUP($D926&amp;$C926,生产方式定位!$A$2:$E$39,5,FALSE)+VLOOKUP($E926&amp;$C926,生产方式定位!$F$3:$J$39,5,FALSE),"错误")</f>
        <v>2000</v>
      </c>
      <c r="W926" s="3" t="str">
        <f t="shared" si="70"/>
        <v/>
      </c>
      <c r="X926" s="4" t="str">
        <f t="shared" si="71"/>
        <v/>
      </c>
      <c r="Y926" s="4" t="str">
        <f t="shared" si="72"/>
        <v/>
      </c>
      <c r="Z926" s="5">
        <f t="shared" si="73"/>
        <v>1</v>
      </c>
      <c r="AA926" s="6">
        <f t="shared" si="74"/>
        <v>1</v>
      </c>
      <c r="AB926" t="str">
        <f>IFERROR(F926&amp;"*"&amp;ROUND(L926*(G926/(G926+I926+K926))/VLOOKUP(F926,商品!$A$4:$D$67,4,FALSE),0),"")</f>
        <v/>
      </c>
      <c r="AC926" t="str">
        <f>IFERROR(H926&amp;"*"&amp;ROUND(L926*(I926/(G926+I926+K926))/VLOOKUP(H926,商品!$A$4:$D$67,4,FALSE),0),"")</f>
        <v/>
      </c>
      <c r="AD926" t="str">
        <f>IFERROR(J926&amp;"*"&amp;ROUND(L926*(K926/(G926+I926+K926))/VLOOKUP(J926,商品!$A$4:$D$67,4,FALSE),0),"")</f>
        <v/>
      </c>
      <c r="AE926" t="str">
        <f>IFERROR(M926&amp;"*"&amp;ROUND(Q926*(N926/(N926+P926))/VLOOKUP(M926,职业!$A$3:$E$16,4,FALSE),0),"")</f>
        <v/>
      </c>
      <c r="AF926" t="str">
        <f>IFERROR(O926&amp;"*"&amp;ROUND(Q926*(P926/(N926+P926))/VLOOKUP(O926,职业!$A$3:$E$16,4,FALSE),0),"")</f>
        <v/>
      </c>
      <c r="AG926" t="str">
        <f>IFERROR(R926&amp;"*"&amp;ROUND(V926*(S926/(S926+U926))/VLOOKUP(R926,商品!$A$4:$D$67,4,FALSE),0),"")</f>
        <v/>
      </c>
      <c r="AH926" t="str">
        <f>IFERROR(T926&amp;"*"&amp;ROUND(V926*(U926/(S926+U926))/VLOOKUP(T926,商品!$A$4:$D$67,4,FALSE),0),"")</f>
        <v/>
      </c>
    </row>
    <row r="927" customHeight="1" spans="1:34">
      <c r="A927" s="14" t="s">
        <v>454</v>
      </c>
      <c r="C927" s="2">
        <v>2</v>
      </c>
      <c r="D927" s="2" t="s">
        <v>220</v>
      </c>
      <c r="E927" s="2" t="s">
        <v>225</v>
      </c>
      <c r="L927" s="2">
        <f>IFERROR(VLOOKUP($D927&amp;$C927,生产方式定位!$A$2:$E$39,2,FALSE)+VLOOKUP($E927&amp;$C927,生产方式定位!$F$3:$J$39,2,FALSE),0)</f>
        <v>2500</v>
      </c>
      <c r="Q927" s="2">
        <f>IFERROR(VLOOKUP($D927&amp;$C927,生产方式定位!$A$2:$E$39,3,FALSE)+VLOOKUP($E927&amp;$C927,生产方式定位!$F$3:$J$39,3,FALSE),0)</f>
        <v>2200</v>
      </c>
      <c r="V927" s="2">
        <f>IFERROR(VLOOKUP($D927&amp;$C927,生产方式定位!$A$2:$E$39,5,FALSE)+VLOOKUP($E927&amp;$C927,生产方式定位!$F$3:$J$39,5,FALSE),"错误")</f>
        <v>2350</v>
      </c>
      <c r="W927" s="3" t="str">
        <f t="shared" si="70"/>
        <v/>
      </c>
      <c r="X927" s="4" t="str">
        <f t="shared" si="71"/>
        <v/>
      </c>
      <c r="Y927" s="4" t="str">
        <f t="shared" si="72"/>
        <v/>
      </c>
      <c r="Z927" s="5">
        <f t="shared" si="73"/>
        <v>1.06</v>
      </c>
      <c r="AA927" s="6">
        <f t="shared" si="74"/>
        <v>2</v>
      </c>
      <c r="AB927" t="str">
        <f>IFERROR(F927&amp;"*"&amp;ROUND(L927*(G927/(G927+I927+K927))/VLOOKUP(F927,商品!$A$4:$D$67,4,FALSE),0),"")</f>
        <v/>
      </c>
      <c r="AC927" t="str">
        <f>IFERROR(H927&amp;"*"&amp;ROUND(L927*(I927/(G927+I927+K927))/VLOOKUP(H927,商品!$A$4:$D$67,4,FALSE),0),"")</f>
        <v/>
      </c>
      <c r="AD927" t="str">
        <f>IFERROR(J927&amp;"*"&amp;ROUND(L927*(K927/(G927+I927+K927))/VLOOKUP(J927,商品!$A$4:$D$67,4,FALSE),0),"")</f>
        <v/>
      </c>
      <c r="AE927" t="str">
        <f>IFERROR(M927&amp;"*"&amp;ROUND(Q927*(N927/(N927+P927))/VLOOKUP(M927,职业!$A$3:$E$16,4,FALSE),0),"")</f>
        <v/>
      </c>
      <c r="AF927" t="str">
        <f>IFERROR(O927&amp;"*"&amp;ROUND(Q927*(P927/(N927+P927))/VLOOKUP(O927,职业!$A$3:$E$16,4,FALSE),0),"")</f>
        <v/>
      </c>
      <c r="AG927" t="str">
        <f>IFERROR(R927&amp;"*"&amp;ROUND(V927*(S927/(S927+U927))/VLOOKUP(R927,商品!$A$4:$D$67,4,FALSE),0),"")</f>
        <v/>
      </c>
      <c r="AH927" t="str">
        <f>IFERROR(T927&amp;"*"&amp;ROUND(V927*(U927/(S927+U927))/VLOOKUP(T927,商品!$A$4:$D$67,4,FALSE),0),"")</f>
        <v/>
      </c>
    </row>
    <row r="928" customHeight="1" spans="1:34">
      <c r="A928" s="14" t="s">
        <v>454</v>
      </c>
      <c r="C928" s="2">
        <v>3</v>
      </c>
      <c r="D928" s="2" t="s">
        <v>220</v>
      </c>
      <c r="E928" s="2" t="s">
        <v>225</v>
      </c>
      <c r="L928" s="2">
        <f>IFERROR(VLOOKUP($D928&amp;$C928,生产方式定位!$A$2:$E$39,2,FALSE)+VLOOKUP($E928&amp;$C928,生产方式定位!$F$3:$J$39,2,FALSE),0)</f>
        <v>3000</v>
      </c>
      <c r="Q928" s="2">
        <f>IFERROR(VLOOKUP($D928&amp;$C928,生产方式定位!$A$2:$E$39,3,FALSE)+VLOOKUP($E928&amp;$C928,生产方式定位!$F$3:$J$39,3,FALSE),0)</f>
        <v>2400</v>
      </c>
      <c r="V928" s="2">
        <f>IFERROR(VLOOKUP($D928&amp;$C928,生产方式定位!$A$2:$E$39,5,FALSE)+VLOOKUP($E928&amp;$C928,生产方式定位!$F$3:$J$39,5,FALSE),"错误")</f>
        <v>2700</v>
      </c>
      <c r="W928" s="3" t="str">
        <f t="shared" si="70"/>
        <v/>
      </c>
      <c r="X928" s="4" t="str">
        <f t="shared" si="71"/>
        <v/>
      </c>
      <c r="Y928" s="4" t="str">
        <f t="shared" si="72"/>
        <v/>
      </c>
      <c r="Z928" s="5">
        <f t="shared" si="73"/>
        <v>1.11</v>
      </c>
      <c r="AA928" s="6">
        <f t="shared" si="74"/>
        <v>3</v>
      </c>
      <c r="AB928" t="str">
        <f>IFERROR(F928&amp;"*"&amp;ROUND(L928*(G928/(G928+I928+K928))/VLOOKUP(F928,商品!$A$4:$D$67,4,FALSE),0),"")</f>
        <v/>
      </c>
      <c r="AC928" t="str">
        <f>IFERROR(H928&amp;"*"&amp;ROUND(L928*(I928/(G928+I928+K928))/VLOOKUP(H928,商品!$A$4:$D$67,4,FALSE),0),"")</f>
        <v/>
      </c>
      <c r="AD928" t="str">
        <f>IFERROR(J928&amp;"*"&amp;ROUND(L928*(K928/(G928+I928+K928))/VLOOKUP(J928,商品!$A$4:$D$67,4,FALSE),0),"")</f>
        <v/>
      </c>
      <c r="AE928" t="str">
        <f>IFERROR(M928&amp;"*"&amp;ROUND(Q928*(N928/(N928+P928))/VLOOKUP(M928,职业!$A$3:$E$16,4,FALSE),0),"")</f>
        <v/>
      </c>
      <c r="AF928" t="str">
        <f>IFERROR(O928&amp;"*"&amp;ROUND(Q928*(P928/(N928+P928))/VLOOKUP(O928,职业!$A$3:$E$16,4,FALSE),0),"")</f>
        <v/>
      </c>
      <c r="AG928" t="str">
        <f>IFERROR(R928&amp;"*"&amp;ROUND(V928*(S928/(S928+U928))/VLOOKUP(R928,商品!$A$4:$D$67,4,FALSE),0),"")</f>
        <v/>
      </c>
      <c r="AH928" t="str">
        <f>IFERROR(T928&amp;"*"&amp;ROUND(V928*(U928/(S928+U928))/VLOOKUP(T928,商品!$A$4:$D$67,4,FALSE),0),"")</f>
        <v/>
      </c>
    </row>
    <row r="929" customHeight="1" spans="1:34">
      <c r="A929" s="14" t="s">
        <v>454</v>
      </c>
      <c r="C929" s="2">
        <v>4</v>
      </c>
      <c r="D929" s="2" t="s">
        <v>220</v>
      </c>
      <c r="E929" s="2" t="s">
        <v>225</v>
      </c>
      <c r="L929" s="2">
        <f>IFERROR(VLOOKUP($D929&amp;$C929,生产方式定位!$A$2:$E$39,2,FALSE)+VLOOKUP($E929&amp;$C929,生产方式定位!$F$3:$J$39,2,FALSE),0)</f>
        <v>3500</v>
      </c>
      <c r="Q929" s="2">
        <f>IFERROR(VLOOKUP($D929&amp;$C929,生产方式定位!$A$2:$E$39,3,FALSE)+VLOOKUP($E929&amp;$C929,生产方式定位!$F$3:$J$39,3,FALSE),0)</f>
        <v>2600</v>
      </c>
      <c r="V929" s="2">
        <f>IFERROR(VLOOKUP($D929&amp;$C929,生产方式定位!$A$2:$E$39,5,FALSE)+VLOOKUP($E929&amp;$C929,生产方式定位!$F$3:$J$39,5,FALSE),"错误")</f>
        <v>3050</v>
      </c>
      <c r="W929" s="3" t="str">
        <f t="shared" si="70"/>
        <v/>
      </c>
      <c r="X929" s="4" t="str">
        <f t="shared" si="71"/>
        <v/>
      </c>
      <c r="Y929" s="4" t="str">
        <f t="shared" si="72"/>
        <v/>
      </c>
      <c r="Z929" s="5">
        <f t="shared" si="73"/>
        <v>1.15</v>
      </c>
      <c r="AA929" s="6">
        <f t="shared" si="74"/>
        <v>4</v>
      </c>
      <c r="AB929" t="str">
        <f>IFERROR(F929&amp;"*"&amp;ROUND(L929*(G929/(G929+I929+K929))/VLOOKUP(F929,商品!$A$4:$D$67,4,FALSE),0),"")</f>
        <v/>
      </c>
      <c r="AC929" t="str">
        <f>IFERROR(H929&amp;"*"&amp;ROUND(L929*(I929/(G929+I929+K929))/VLOOKUP(H929,商品!$A$4:$D$67,4,FALSE),0),"")</f>
        <v/>
      </c>
      <c r="AD929" t="str">
        <f>IFERROR(J929&amp;"*"&amp;ROUND(L929*(K929/(G929+I929+K929))/VLOOKUP(J929,商品!$A$4:$D$67,4,FALSE),0),"")</f>
        <v/>
      </c>
      <c r="AE929" t="str">
        <f>IFERROR(M929&amp;"*"&amp;ROUND(Q929*(N929/(N929+P929))/VLOOKUP(M929,职业!$A$3:$E$16,4,FALSE),0),"")</f>
        <v/>
      </c>
      <c r="AF929" t="str">
        <f>IFERROR(O929&amp;"*"&amp;ROUND(Q929*(P929/(N929+P929))/VLOOKUP(O929,职业!$A$3:$E$16,4,FALSE),0),"")</f>
        <v/>
      </c>
      <c r="AG929" t="str">
        <f>IFERROR(R929&amp;"*"&amp;ROUND(V929*(S929/(S929+U929))/VLOOKUP(R929,商品!$A$4:$D$67,4,FALSE),0),"")</f>
        <v/>
      </c>
      <c r="AH929" t="str">
        <f>IFERROR(T929&amp;"*"&amp;ROUND(V929*(U929/(S929+U929))/VLOOKUP(T929,商品!$A$4:$D$67,4,FALSE),0),"")</f>
        <v/>
      </c>
    </row>
    <row r="930" customHeight="1" spans="1:34">
      <c r="A930" s="14" t="s">
        <v>454</v>
      </c>
      <c r="C930" s="2">
        <v>5</v>
      </c>
      <c r="D930" s="2" t="s">
        <v>220</v>
      </c>
      <c r="E930" s="2" t="s">
        <v>225</v>
      </c>
      <c r="L930" s="2">
        <f>IFERROR(VLOOKUP($D930&amp;$C930,生产方式定位!$A$2:$E$39,2,FALSE)+VLOOKUP($E930&amp;$C930,生产方式定位!$F$3:$J$39,2,FALSE),0)</f>
        <v>4000</v>
      </c>
      <c r="Q930" s="2">
        <f>IFERROR(VLOOKUP($D930&amp;$C930,生产方式定位!$A$2:$E$39,3,FALSE)+VLOOKUP($E930&amp;$C930,生产方式定位!$F$3:$J$39,3,FALSE),0)</f>
        <v>2800</v>
      </c>
      <c r="V930" s="2">
        <f>IFERROR(VLOOKUP($D930&amp;$C930,生产方式定位!$A$2:$E$39,5,FALSE)+VLOOKUP($E930&amp;$C930,生产方式定位!$F$3:$J$39,5,FALSE),"错误")</f>
        <v>3400</v>
      </c>
      <c r="W930" s="3" t="str">
        <f t="shared" si="70"/>
        <v/>
      </c>
      <c r="X930" s="4" t="str">
        <f t="shared" si="71"/>
        <v/>
      </c>
      <c r="Y930" s="4" t="str">
        <f t="shared" si="72"/>
        <v/>
      </c>
      <c r="Z930" s="5">
        <f t="shared" si="73"/>
        <v>1.18</v>
      </c>
      <c r="AA930" s="6">
        <f t="shared" si="74"/>
        <v>5</v>
      </c>
      <c r="AB930" t="str">
        <f>IFERROR(F930&amp;"*"&amp;ROUND(L930*(G930/(G930+I930+K930))/VLOOKUP(F930,商品!$A$4:$D$67,4,FALSE),0),"")</f>
        <v/>
      </c>
      <c r="AC930" t="str">
        <f>IFERROR(H930&amp;"*"&amp;ROUND(L930*(I930/(G930+I930+K930))/VLOOKUP(H930,商品!$A$4:$D$67,4,FALSE),0),"")</f>
        <v/>
      </c>
      <c r="AD930" t="str">
        <f>IFERROR(J930&amp;"*"&amp;ROUND(L930*(K930/(G930+I930+K930))/VLOOKUP(J930,商品!$A$4:$D$67,4,FALSE),0),"")</f>
        <v/>
      </c>
      <c r="AE930" t="str">
        <f>IFERROR(M930&amp;"*"&amp;ROUND(Q930*(N930/(N930+P930))/VLOOKUP(M930,职业!$A$3:$E$16,4,FALSE),0),"")</f>
        <v/>
      </c>
      <c r="AF930" t="str">
        <f>IFERROR(O930&amp;"*"&amp;ROUND(Q930*(P930/(N930+P930))/VLOOKUP(O930,职业!$A$3:$E$16,4,FALSE),0),"")</f>
        <v/>
      </c>
      <c r="AG930" t="str">
        <f>IFERROR(R930&amp;"*"&amp;ROUND(V930*(S930/(S930+U930))/VLOOKUP(R930,商品!$A$4:$D$67,4,FALSE),0),"")</f>
        <v/>
      </c>
      <c r="AH930" t="str">
        <f>IFERROR(T930&amp;"*"&amp;ROUND(V930*(U930/(S930+U930))/VLOOKUP(T930,商品!$A$4:$D$67,4,FALSE),0),"")</f>
        <v/>
      </c>
    </row>
    <row r="931" customHeight="1" spans="1:34">
      <c r="A931" s="14" t="s">
        <v>454</v>
      </c>
      <c r="C931" s="2">
        <v>1</v>
      </c>
      <c r="D931" s="2" t="s">
        <v>220</v>
      </c>
      <c r="E931" s="2" t="s">
        <v>225</v>
      </c>
      <c r="L931" s="2">
        <f>IFERROR(VLOOKUP($D931&amp;$C931,生产方式定位!$A$2:$E$39,2,FALSE)+VLOOKUP($E931&amp;$C931,生产方式定位!$F$3:$J$39,2,FALSE),0)</f>
        <v>2000</v>
      </c>
      <c r="Q931" s="2">
        <f>IFERROR(VLOOKUP($D931&amp;$C931,生产方式定位!$A$2:$E$39,3,FALSE)+VLOOKUP($E931&amp;$C931,生产方式定位!$F$3:$J$39,3,FALSE),0)</f>
        <v>2000</v>
      </c>
      <c r="V931" s="2">
        <f>IFERROR(VLOOKUP($D931&amp;$C931,生产方式定位!$A$2:$E$39,5,FALSE)+VLOOKUP($E931&amp;$C931,生产方式定位!$F$3:$J$39,5,FALSE),"错误")</f>
        <v>2000</v>
      </c>
      <c r="W931" s="3" t="str">
        <f t="shared" si="70"/>
        <v/>
      </c>
      <c r="X931" s="4" t="str">
        <f t="shared" si="71"/>
        <v/>
      </c>
      <c r="Y931" s="4" t="str">
        <f t="shared" si="72"/>
        <v/>
      </c>
      <c r="Z931" s="5">
        <f t="shared" si="73"/>
        <v>1</v>
      </c>
      <c r="AA931" s="6">
        <f t="shared" si="74"/>
        <v>1</v>
      </c>
      <c r="AB931" t="str">
        <f>IFERROR(F931&amp;"*"&amp;ROUND(L931*(G931/(G931+I931+K931))/VLOOKUP(F931,商品!$A$4:$D$67,4,FALSE),0),"")</f>
        <v/>
      </c>
      <c r="AC931" t="str">
        <f>IFERROR(H931&amp;"*"&amp;ROUND(L931*(I931/(G931+I931+K931))/VLOOKUP(H931,商品!$A$4:$D$67,4,FALSE),0),"")</f>
        <v/>
      </c>
      <c r="AD931" t="str">
        <f>IFERROR(J931&amp;"*"&amp;ROUND(L931*(K931/(G931+I931+K931))/VLOOKUP(J931,商品!$A$4:$D$67,4,FALSE),0),"")</f>
        <v/>
      </c>
      <c r="AE931" t="str">
        <f>IFERROR(M931&amp;"*"&amp;ROUND(Q931*(N931/(N931+P931))/VLOOKUP(M931,职业!$A$3:$E$16,4,FALSE),0),"")</f>
        <v/>
      </c>
      <c r="AF931" t="str">
        <f>IFERROR(O931&amp;"*"&amp;ROUND(Q931*(P931/(N931+P931))/VLOOKUP(O931,职业!$A$3:$E$16,4,FALSE),0),"")</f>
        <v/>
      </c>
      <c r="AG931" t="str">
        <f>IFERROR(R931&amp;"*"&amp;ROUND(V931*(S931/(S931+U931))/VLOOKUP(R931,商品!$A$4:$D$67,4,FALSE),0),"")</f>
        <v/>
      </c>
      <c r="AH931" t="str">
        <f>IFERROR(T931&amp;"*"&amp;ROUND(V931*(U931/(S931+U931))/VLOOKUP(T931,商品!$A$4:$D$67,4,FALSE),0),"")</f>
        <v/>
      </c>
    </row>
    <row r="932" customHeight="1" spans="1:34">
      <c r="A932" s="14" t="s">
        <v>454</v>
      </c>
      <c r="C932" s="2">
        <v>2</v>
      </c>
      <c r="D932" s="2" t="s">
        <v>220</v>
      </c>
      <c r="E932" s="2" t="s">
        <v>225</v>
      </c>
      <c r="L932" s="2">
        <f>IFERROR(VLOOKUP($D932&amp;$C932,生产方式定位!$A$2:$E$39,2,FALSE)+VLOOKUP($E932&amp;$C932,生产方式定位!$F$3:$J$39,2,FALSE),0)</f>
        <v>2500</v>
      </c>
      <c r="Q932" s="2">
        <f>IFERROR(VLOOKUP($D932&amp;$C932,生产方式定位!$A$2:$E$39,3,FALSE)+VLOOKUP($E932&amp;$C932,生产方式定位!$F$3:$J$39,3,FALSE),0)</f>
        <v>2200</v>
      </c>
      <c r="V932" s="2">
        <f>IFERROR(VLOOKUP($D932&amp;$C932,生产方式定位!$A$2:$E$39,5,FALSE)+VLOOKUP($E932&amp;$C932,生产方式定位!$F$3:$J$39,5,FALSE),"错误")</f>
        <v>2350</v>
      </c>
      <c r="W932" s="3" t="str">
        <f t="shared" si="70"/>
        <v/>
      </c>
      <c r="X932" s="4" t="str">
        <f t="shared" si="71"/>
        <v/>
      </c>
      <c r="Y932" s="4" t="str">
        <f t="shared" si="72"/>
        <v/>
      </c>
      <c r="Z932" s="5">
        <f t="shared" si="73"/>
        <v>1.06</v>
      </c>
      <c r="AA932" s="6">
        <f t="shared" si="74"/>
        <v>2</v>
      </c>
      <c r="AB932" t="str">
        <f>IFERROR(F932&amp;"*"&amp;ROUND(L932*(G932/(G932+I932+K932))/VLOOKUP(F932,商品!$A$4:$D$67,4,FALSE),0),"")</f>
        <v/>
      </c>
      <c r="AC932" t="str">
        <f>IFERROR(H932&amp;"*"&amp;ROUND(L932*(I932/(G932+I932+K932))/VLOOKUP(H932,商品!$A$4:$D$67,4,FALSE),0),"")</f>
        <v/>
      </c>
      <c r="AD932" t="str">
        <f>IFERROR(J932&amp;"*"&amp;ROUND(L932*(K932/(G932+I932+K932))/VLOOKUP(J932,商品!$A$4:$D$67,4,FALSE),0),"")</f>
        <v/>
      </c>
      <c r="AE932" t="str">
        <f>IFERROR(M932&amp;"*"&amp;ROUND(Q932*(N932/(N932+P932))/VLOOKUP(M932,职业!$A$3:$E$16,4,FALSE),0),"")</f>
        <v/>
      </c>
      <c r="AF932" t="str">
        <f>IFERROR(O932&amp;"*"&amp;ROUND(Q932*(P932/(N932+P932))/VLOOKUP(O932,职业!$A$3:$E$16,4,FALSE),0),"")</f>
        <v/>
      </c>
      <c r="AG932" t="str">
        <f>IFERROR(R932&amp;"*"&amp;ROUND(V932*(S932/(S932+U932))/VLOOKUP(R932,商品!$A$4:$D$67,4,FALSE),0),"")</f>
        <v/>
      </c>
      <c r="AH932" t="str">
        <f>IFERROR(T932&amp;"*"&amp;ROUND(V932*(U932/(S932+U932))/VLOOKUP(T932,商品!$A$4:$D$67,4,FALSE),0),"")</f>
        <v/>
      </c>
    </row>
    <row r="933" customHeight="1" spans="1:34">
      <c r="A933" s="14" t="s">
        <v>454</v>
      </c>
      <c r="C933" s="2">
        <v>3</v>
      </c>
      <c r="D933" s="2" t="s">
        <v>220</v>
      </c>
      <c r="E933" s="2" t="s">
        <v>225</v>
      </c>
      <c r="L933" s="2">
        <f>IFERROR(VLOOKUP($D933&amp;$C933,生产方式定位!$A$2:$E$39,2,FALSE)+VLOOKUP($E933&amp;$C933,生产方式定位!$F$3:$J$39,2,FALSE),0)</f>
        <v>3000</v>
      </c>
      <c r="Q933" s="2">
        <f>IFERROR(VLOOKUP($D933&amp;$C933,生产方式定位!$A$2:$E$39,3,FALSE)+VLOOKUP($E933&amp;$C933,生产方式定位!$F$3:$J$39,3,FALSE),0)</f>
        <v>2400</v>
      </c>
      <c r="V933" s="2">
        <f>IFERROR(VLOOKUP($D933&amp;$C933,生产方式定位!$A$2:$E$39,5,FALSE)+VLOOKUP($E933&amp;$C933,生产方式定位!$F$3:$J$39,5,FALSE),"错误")</f>
        <v>2700</v>
      </c>
      <c r="W933" s="3" t="str">
        <f t="shared" si="70"/>
        <v/>
      </c>
      <c r="X933" s="4" t="str">
        <f t="shared" si="71"/>
        <v/>
      </c>
      <c r="Y933" s="4" t="str">
        <f t="shared" si="72"/>
        <v/>
      </c>
      <c r="Z933" s="5">
        <f t="shared" si="73"/>
        <v>1.11</v>
      </c>
      <c r="AA933" s="6">
        <f t="shared" si="74"/>
        <v>3</v>
      </c>
      <c r="AB933" t="str">
        <f>IFERROR(F933&amp;"*"&amp;ROUND(L933*(G933/(G933+I933+K933))/VLOOKUP(F933,商品!$A$4:$D$67,4,FALSE),0),"")</f>
        <v/>
      </c>
      <c r="AC933" t="str">
        <f>IFERROR(H933&amp;"*"&amp;ROUND(L933*(I933/(G933+I933+K933))/VLOOKUP(H933,商品!$A$4:$D$67,4,FALSE),0),"")</f>
        <v/>
      </c>
      <c r="AD933" t="str">
        <f>IFERROR(J933&amp;"*"&amp;ROUND(L933*(K933/(G933+I933+K933))/VLOOKUP(J933,商品!$A$4:$D$67,4,FALSE),0),"")</f>
        <v/>
      </c>
      <c r="AE933" t="str">
        <f>IFERROR(M933&amp;"*"&amp;ROUND(Q933*(N933/(N933+P933))/VLOOKUP(M933,职业!$A$3:$E$16,4,FALSE),0),"")</f>
        <v/>
      </c>
      <c r="AF933" t="str">
        <f>IFERROR(O933&amp;"*"&amp;ROUND(Q933*(P933/(N933+P933))/VLOOKUP(O933,职业!$A$3:$E$16,4,FALSE),0),"")</f>
        <v/>
      </c>
      <c r="AG933" t="str">
        <f>IFERROR(R933&amp;"*"&amp;ROUND(V933*(S933/(S933+U933))/VLOOKUP(R933,商品!$A$4:$D$67,4,FALSE),0),"")</f>
        <v/>
      </c>
      <c r="AH933" t="str">
        <f>IFERROR(T933&amp;"*"&amp;ROUND(V933*(U933/(S933+U933))/VLOOKUP(T933,商品!$A$4:$D$67,4,FALSE),0),"")</f>
        <v/>
      </c>
    </row>
    <row r="934" customHeight="1" spans="1:34">
      <c r="A934" s="15" t="s">
        <v>456</v>
      </c>
      <c r="C934" s="2">
        <v>4</v>
      </c>
      <c r="D934" s="2" t="s">
        <v>220</v>
      </c>
      <c r="E934" s="2" t="s">
        <v>222</v>
      </c>
      <c r="L934" s="2">
        <f>IFERROR(VLOOKUP($D934&amp;$C934,生产方式定位!$A$2:$E$39,2,FALSE)+VLOOKUP($E934&amp;$C934,生产方式定位!$F$3:$J$39,2,FALSE),0)</f>
        <v>6500</v>
      </c>
      <c r="Q934" s="2">
        <f>IFERROR(VLOOKUP($D934&amp;$C934,生产方式定位!$A$2:$E$39,3,FALSE)+VLOOKUP($E934&amp;$C934,生产方式定位!$F$3:$J$39,3,FALSE),0)</f>
        <v>3200</v>
      </c>
      <c r="V934" s="2">
        <f>IFERROR(VLOOKUP($D934&amp;$C934,生产方式定位!$A$2:$E$39,5,FALSE)+VLOOKUP($E934&amp;$C934,生产方式定位!$F$3:$J$39,5,FALSE),"错误")</f>
        <v>5498</v>
      </c>
      <c r="W934" s="3" t="str">
        <f t="shared" si="70"/>
        <v/>
      </c>
      <c r="X934" s="4" t="str">
        <f t="shared" si="71"/>
        <v/>
      </c>
      <c r="Y934" s="4" t="str">
        <f t="shared" si="72"/>
        <v/>
      </c>
      <c r="Z934" s="5">
        <f t="shared" si="73"/>
        <v>1.18</v>
      </c>
      <c r="AA934" s="6">
        <f t="shared" si="74"/>
        <v>4</v>
      </c>
      <c r="AB934" t="str">
        <f>IFERROR(F934&amp;"*"&amp;ROUND(L934*(G934/(G934+I934+K934))/VLOOKUP(F934,商品!$A$4:$D$67,4,FALSE),0),"")</f>
        <v/>
      </c>
      <c r="AC934" t="str">
        <f>IFERROR(H934&amp;"*"&amp;ROUND(L934*(I934/(G934+I934+K934))/VLOOKUP(H934,商品!$A$4:$D$67,4,FALSE),0),"")</f>
        <v/>
      </c>
      <c r="AD934" t="str">
        <f>IFERROR(J934&amp;"*"&amp;ROUND(L934*(K934/(G934+I934+K934))/VLOOKUP(J934,商品!$A$4:$D$67,4,FALSE),0),"")</f>
        <v/>
      </c>
      <c r="AE934" t="str">
        <f>IFERROR(M934&amp;"*"&amp;ROUND(Q934*(N934/(N934+P934))/VLOOKUP(M934,职业!$A$3:$E$16,4,FALSE),0),"")</f>
        <v/>
      </c>
      <c r="AF934" t="str">
        <f>IFERROR(O934&amp;"*"&amp;ROUND(Q934*(P934/(N934+P934))/VLOOKUP(O934,职业!$A$3:$E$16,4,FALSE),0),"")</f>
        <v/>
      </c>
      <c r="AG934" t="str">
        <f>IFERROR(R934&amp;"*"&amp;ROUND(V934*(S934/(S934+U934))/VLOOKUP(R934,商品!$A$4:$D$67,4,FALSE),0),"")</f>
        <v/>
      </c>
      <c r="AH934" t="str">
        <f>IFERROR(T934&amp;"*"&amp;ROUND(V934*(U934/(S934+U934))/VLOOKUP(T934,商品!$A$4:$D$67,4,FALSE),0),"")</f>
        <v/>
      </c>
    </row>
    <row r="935" customHeight="1" spans="1:34">
      <c r="A935" s="15" t="s">
        <v>456</v>
      </c>
      <c r="C935" s="2">
        <v>5</v>
      </c>
      <c r="D935" s="2" t="s">
        <v>220</v>
      </c>
      <c r="E935" s="2" t="s">
        <v>222</v>
      </c>
      <c r="L935" s="2">
        <f>IFERROR(VLOOKUP($D935&amp;$C935,生产方式定位!$A$2:$E$39,2,FALSE)+VLOOKUP($E935&amp;$C935,生产方式定位!$F$3:$J$39,2,FALSE),0)</f>
        <v>8000</v>
      </c>
      <c r="Q935" s="2">
        <f>IFERROR(VLOOKUP($D935&amp;$C935,生产方式定位!$A$2:$E$39,3,FALSE)+VLOOKUP($E935&amp;$C935,生产方式定位!$F$3:$J$39,3,FALSE),0)</f>
        <v>3600</v>
      </c>
      <c r="V935" s="2">
        <f>IFERROR(VLOOKUP($D935&amp;$C935,生产方式定位!$A$2:$E$39,5,FALSE)+VLOOKUP($E935&amp;$C935,生产方式定位!$F$3:$J$39,5,FALSE),"错误")</f>
        <v>7000</v>
      </c>
      <c r="W935" s="3" t="str">
        <f t="shared" si="70"/>
        <v/>
      </c>
      <c r="X935" s="4" t="str">
        <f t="shared" si="71"/>
        <v/>
      </c>
      <c r="Y935" s="4" t="str">
        <f t="shared" si="72"/>
        <v/>
      </c>
      <c r="Z935" s="5">
        <f t="shared" si="73"/>
        <v>1.14</v>
      </c>
      <c r="AA935" s="6">
        <f t="shared" si="74"/>
        <v>5</v>
      </c>
      <c r="AB935" t="str">
        <f>IFERROR(F935&amp;"*"&amp;ROUND(L935*(G935/(G935+I935+K935))/VLOOKUP(F935,商品!$A$4:$D$67,4,FALSE),0),"")</f>
        <v/>
      </c>
      <c r="AC935" t="str">
        <f>IFERROR(H935&amp;"*"&amp;ROUND(L935*(I935/(G935+I935+K935))/VLOOKUP(H935,商品!$A$4:$D$67,4,FALSE),0),"")</f>
        <v/>
      </c>
      <c r="AD935" t="str">
        <f>IFERROR(J935&amp;"*"&amp;ROUND(L935*(K935/(G935+I935+K935))/VLOOKUP(J935,商品!$A$4:$D$67,4,FALSE),0),"")</f>
        <v/>
      </c>
      <c r="AE935" t="str">
        <f>IFERROR(M935&amp;"*"&amp;ROUND(Q935*(N935/(N935+P935))/VLOOKUP(M935,职业!$A$3:$E$16,4,FALSE),0),"")</f>
        <v/>
      </c>
      <c r="AF935" t="str">
        <f>IFERROR(O935&amp;"*"&amp;ROUND(Q935*(P935/(N935+P935))/VLOOKUP(O935,职业!$A$3:$E$16,4,FALSE),0),"")</f>
        <v/>
      </c>
      <c r="AG935" t="str">
        <f>IFERROR(R935&amp;"*"&amp;ROUND(V935*(S935/(S935+U935))/VLOOKUP(R935,商品!$A$4:$D$67,4,FALSE),0),"")</f>
        <v/>
      </c>
      <c r="AH935" t="str">
        <f>IFERROR(T935&amp;"*"&amp;ROUND(V935*(U935/(S935+U935))/VLOOKUP(T935,商品!$A$4:$D$67,4,FALSE),0),"")</f>
        <v/>
      </c>
    </row>
    <row r="936" customHeight="1" spans="1:34">
      <c r="A936" s="15" t="s">
        <v>456</v>
      </c>
      <c r="C936" s="2">
        <v>1</v>
      </c>
      <c r="D936" s="2" t="s">
        <v>220</v>
      </c>
      <c r="E936" s="2" t="s">
        <v>222</v>
      </c>
      <c r="L936" s="2">
        <f>IFERROR(VLOOKUP($D936&amp;$C936,生产方式定位!$A$2:$E$39,2,FALSE)+VLOOKUP($E936&amp;$C936,生产方式定位!$F$3:$J$39,2,FALSE),0)</f>
        <v>2000</v>
      </c>
      <c r="Q936" s="2">
        <f>IFERROR(VLOOKUP($D936&amp;$C936,生产方式定位!$A$2:$E$39,3,FALSE)+VLOOKUP($E936&amp;$C936,生产方式定位!$F$3:$J$39,3,FALSE),0)</f>
        <v>2000</v>
      </c>
      <c r="V936" s="2">
        <f>IFERROR(VLOOKUP($D936&amp;$C936,生产方式定位!$A$2:$E$39,5,FALSE)+VLOOKUP($E936&amp;$C936,生产方式定位!$F$3:$J$39,5,FALSE),"错误")</f>
        <v>2000</v>
      </c>
      <c r="W936" s="3" t="str">
        <f t="shared" si="70"/>
        <v/>
      </c>
      <c r="X936" s="4" t="str">
        <f t="shared" si="71"/>
        <v/>
      </c>
      <c r="Y936" s="4" t="str">
        <f t="shared" si="72"/>
        <v/>
      </c>
      <c r="Z936" s="5">
        <f t="shared" si="73"/>
        <v>1</v>
      </c>
      <c r="AA936" s="6">
        <f t="shared" si="74"/>
        <v>1</v>
      </c>
      <c r="AB936" t="str">
        <f>IFERROR(F936&amp;"*"&amp;ROUND(L936*(G936/(G936+I936+K936))/VLOOKUP(F936,商品!$A$4:$D$67,4,FALSE),0),"")</f>
        <v/>
      </c>
      <c r="AC936" t="str">
        <f>IFERROR(H936&amp;"*"&amp;ROUND(L936*(I936/(G936+I936+K936))/VLOOKUP(H936,商品!$A$4:$D$67,4,FALSE),0),"")</f>
        <v/>
      </c>
      <c r="AD936" t="str">
        <f>IFERROR(J936&amp;"*"&amp;ROUND(L936*(K936/(G936+I936+K936))/VLOOKUP(J936,商品!$A$4:$D$67,4,FALSE),0),"")</f>
        <v/>
      </c>
      <c r="AE936" t="str">
        <f>IFERROR(M936&amp;"*"&amp;ROUND(Q936*(N936/(N936+P936))/VLOOKUP(M936,职业!$A$3:$E$16,4,FALSE),0),"")</f>
        <v/>
      </c>
      <c r="AF936" t="str">
        <f>IFERROR(O936&amp;"*"&amp;ROUND(Q936*(P936/(N936+P936))/VLOOKUP(O936,职业!$A$3:$E$16,4,FALSE),0),"")</f>
        <v/>
      </c>
      <c r="AG936" t="str">
        <f>IFERROR(R936&amp;"*"&amp;ROUND(V936*(S936/(S936+U936))/VLOOKUP(R936,商品!$A$4:$D$67,4,FALSE),0),"")</f>
        <v/>
      </c>
      <c r="AH936" t="str">
        <f>IFERROR(T936&amp;"*"&amp;ROUND(V936*(U936/(S936+U936))/VLOOKUP(T936,商品!$A$4:$D$67,4,FALSE),0),"")</f>
        <v/>
      </c>
    </row>
    <row r="937" customHeight="1" spans="1:34">
      <c r="A937" s="15" t="s">
        <v>456</v>
      </c>
      <c r="C937" s="2">
        <v>2</v>
      </c>
      <c r="D937" s="2" t="s">
        <v>220</v>
      </c>
      <c r="E937" s="2" t="s">
        <v>222</v>
      </c>
      <c r="L937" s="2">
        <f>IFERROR(VLOOKUP($D937&amp;$C937,生产方式定位!$A$2:$E$39,2,FALSE)+VLOOKUP($E937&amp;$C937,生产方式定位!$F$3:$J$39,2,FALSE),0)</f>
        <v>3500</v>
      </c>
      <c r="Q937" s="2">
        <f>IFERROR(VLOOKUP($D937&amp;$C937,生产方式定位!$A$2:$E$39,3,FALSE)+VLOOKUP($E937&amp;$C937,生产方式定位!$F$3:$J$39,3,FALSE),0)</f>
        <v>2400</v>
      </c>
      <c r="V937" s="2">
        <f>IFERROR(VLOOKUP($D937&amp;$C937,生产方式定位!$A$2:$E$39,5,FALSE)+VLOOKUP($E937&amp;$C937,生产方式定位!$F$3:$J$39,5,FALSE),"错误")</f>
        <v>3022</v>
      </c>
      <c r="W937" s="3" t="str">
        <f t="shared" si="70"/>
        <v/>
      </c>
      <c r="X937" s="4" t="str">
        <f t="shared" si="71"/>
        <v/>
      </c>
      <c r="Y937" s="4" t="str">
        <f t="shared" si="72"/>
        <v/>
      </c>
      <c r="Z937" s="5">
        <f t="shared" si="73"/>
        <v>1.16</v>
      </c>
      <c r="AA937" s="6">
        <f t="shared" si="74"/>
        <v>2</v>
      </c>
      <c r="AB937" t="str">
        <f>IFERROR(F937&amp;"*"&amp;ROUND(L937*(G937/(G937+I937+K937))/VLOOKUP(F937,商品!$A$4:$D$67,4,FALSE),0),"")</f>
        <v/>
      </c>
      <c r="AC937" t="str">
        <f>IFERROR(H937&amp;"*"&amp;ROUND(L937*(I937/(G937+I937+K937))/VLOOKUP(H937,商品!$A$4:$D$67,4,FALSE),0),"")</f>
        <v/>
      </c>
      <c r="AD937" t="str">
        <f>IFERROR(J937&amp;"*"&amp;ROUND(L937*(K937/(G937+I937+K937))/VLOOKUP(J937,商品!$A$4:$D$67,4,FALSE),0),"")</f>
        <v/>
      </c>
      <c r="AE937" t="str">
        <f>IFERROR(M937&amp;"*"&amp;ROUND(Q937*(N937/(N937+P937))/VLOOKUP(M937,职业!$A$3:$E$16,4,FALSE),0),"")</f>
        <v/>
      </c>
      <c r="AF937" t="str">
        <f>IFERROR(O937&amp;"*"&amp;ROUND(Q937*(P937/(N937+P937))/VLOOKUP(O937,职业!$A$3:$E$16,4,FALSE),0),"")</f>
        <v/>
      </c>
      <c r="AG937" t="str">
        <f>IFERROR(R937&amp;"*"&amp;ROUND(V937*(S937/(S937+U937))/VLOOKUP(R937,商品!$A$4:$D$67,4,FALSE),0),"")</f>
        <v/>
      </c>
      <c r="AH937" t="str">
        <f>IFERROR(T937&amp;"*"&amp;ROUND(V937*(U937/(S937+U937))/VLOOKUP(T937,商品!$A$4:$D$67,4,FALSE),0),"")</f>
        <v/>
      </c>
    </row>
    <row r="938" customHeight="1" spans="1:34">
      <c r="A938" s="15" t="s">
        <v>456</v>
      </c>
      <c r="C938" s="2">
        <v>3</v>
      </c>
      <c r="D938" s="2" t="s">
        <v>220</v>
      </c>
      <c r="E938" s="2" t="s">
        <v>222</v>
      </c>
      <c r="L938" s="2">
        <f>IFERROR(VLOOKUP($D938&amp;$C938,生产方式定位!$A$2:$E$39,2,FALSE)+VLOOKUP($E938&amp;$C938,生产方式定位!$F$3:$J$39,2,FALSE),0)</f>
        <v>5000</v>
      </c>
      <c r="Q938" s="2">
        <f>IFERROR(VLOOKUP($D938&amp;$C938,生产方式定位!$A$2:$E$39,3,FALSE)+VLOOKUP($E938&amp;$C938,生产方式定位!$F$3:$J$39,3,FALSE),0)</f>
        <v>2800</v>
      </c>
      <c r="V938" s="2">
        <f>IFERROR(VLOOKUP($D938&amp;$C938,生产方式定位!$A$2:$E$39,5,FALSE)+VLOOKUP($E938&amp;$C938,生产方式定位!$F$3:$J$39,5,FALSE),"错误")</f>
        <v>4188</v>
      </c>
      <c r="W938" s="3" t="str">
        <f t="shared" si="70"/>
        <v/>
      </c>
      <c r="X938" s="4" t="str">
        <f t="shared" si="71"/>
        <v/>
      </c>
      <c r="Y938" s="4" t="str">
        <f t="shared" si="72"/>
        <v/>
      </c>
      <c r="Z938" s="5">
        <f t="shared" si="73"/>
        <v>1.19</v>
      </c>
      <c r="AA938" s="6">
        <f t="shared" si="74"/>
        <v>3</v>
      </c>
      <c r="AB938" t="str">
        <f>IFERROR(F938&amp;"*"&amp;ROUND(L938*(G938/(G938+I938+K938))/VLOOKUP(F938,商品!$A$4:$D$67,4,FALSE),0),"")</f>
        <v/>
      </c>
      <c r="AC938" t="str">
        <f>IFERROR(H938&amp;"*"&amp;ROUND(L938*(I938/(G938+I938+K938))/VLOOKUP(H938,商品!$A$4:$D$67,4,FALSE),0),"")</f>
        <v/>
      </c>
      <c r="AD938" t="str">
        <f>IFERROR(J938&amp;"*"&amp;ROUND(L938*(K938/(G938+I938+K938))/VLOOKUP(J938,商品!$A$4:$D$67,4,FALSE),0),"")</f>
        <v/>
      </c>
      <c r="AE938" t="str">
        <f>IFERROR(M938&amp;"*"&amp;ROUND(Q938*(N938/(N938+P938))/VLOOKUP(M938,职业!$A$3:$E$16,4,FALSE),0),"")</f>
        <v/>
      </c>
      <c r="AF938" t="str">
        <f>IFERROR(O938&amp;"*"&amp;ROUND(Q938*(P938/(N938+P938))/VLOOKUP(O938,职业!$A$3:$E$16,4,FALSE),0),"")</f>
        <v/>
      </c>
      <c r="AG938" t="str">
        <f>IFERROR(R938&amp;"*"&amp;ROUND(V938*(S938/(S938+U938))/VLOOKUP(R938,商品!$A$4:$D$67,4,FALSE),0),"")</f>
        <v/>
      </c>
      <c r="AH938" t="str">
        <f>IFERROR(T938&amp;"*"&amp;ROUND(V938*(U938/(S938+U938))/VLOOKUP(T938,商品!$A$4:$D$67,4,FALSE),0),"")</f>
        <v/>
      </c>
    </row>
    <row r="939" customHeight="1" spans="1:34">
      <c r="A939" s="14" t="s">
        <v>457</v>
      </c>
      <c r="C939" s="2">
        <v>4</v>
      </c>
      <c r="D939" s="2" t="s">
        <v>220</v>
      </c>
      <c r="E939" s="2" t="s">
        <v>224</v>
      </c>
      <c r="L939" s="2">
        <f>IFERROR(VLOOKUP($D939&amp;$C939,生产方式定位!$A$2:$E$39,2,FALSE)+VLOOKUP($E939&amp;$C939,生产方式定位!$F$3:$J$39,2,FALSE),0)</f>
        <v>7500</v>
      </c>
      <c r="Q939" s="2">
        <f>IFERROR(VLOOKUP($D939&amp;$C939,生产方式定位!$A$2:$E$39,3,FALSE)+VLOOKUP($E939&amp;$C939,生产方式定位!$F$3:$J$39,3,FALSE),0)</f>
        <v>2000</v>
      </c>
      <c r="V939" s="2">
        <f>IFERROR(VLOOKUP($D939&amp;$C939,生产方式定位!$A$2:$E$39,5,FALSE)+VLOOKUP($E939&amp;$C939,生产方式定位!$F$3:$J$39,5,FALSE),"错误")</f>
        <v>5260</v>
      </c>
      <c r="W939" s="3" t="str">
        <f t="shared" si="70"/>
        <v/>
      </c>
      <c r="X939" s="4" t="str">
        <f t="shared" si="71"/>
        <v/>
      </c>
      <c r="Y939" s="4" t="str">
        <f t="shared" si="72"/>
        <v/>
      </c>
      <c r="Z939" s="5">
        <f t="shared" si="73"/>
        <v>1.43</v>
      </c>
      <c r="AA939" s="6">
        <f t="shared" si="74"/>
        <v>4</v>
      </c>
      <c r="AB939" t="str">
        <f>IFERROR(F939&amp;"*"&amp;ROUND(L939*(G939/(G939+I939+K939))/VLOOKUP(F939,商品!$A$4:$D$67,4,FALSE),0),"")</f>
        <v/>
      </c>
      <c r="AC939" t="str">
        <f>IFERROR(H939&amp;"*"&amp;ROUND(L939*(I939/(G939+I939+K939))/VLOOKUP(H939,商品!$A$4:$D$67,4,FALSE),0),"")</f>
        <v/>
      </c>
      <c r="AD939" t="str">
        <f>IFERROR(J939&amp;"*"&amp;ROUND(L939*(K939/(G939+I939+K939))/VLOOKUP(J939,商品!$A$4:$D$67,4,FALSE),0),"")</f>
        <v/>
      </c>
      <c r="AE939" t="str">
        <f>IFERROR(M939&amp;"*"&amp;ROUND(Q939*(N939/(N939+P939))/VLOOKUP(M939,职业!$A$3:$E$16,4,FALSE),0),"")</f>
        <v/>
      </c>
      <c r="AF939" t="str">
        <f>IFERROR(O939&amp;"*"&amp;ROUND(Q939*(P939/(N939+P939))/VLOOKUP(O939,职业!$A$3:$E$16,4,FALSE),0),"")</f>
        <v/>
      </c>
      <c r="AG939" t="str">
        <f>IFERROR(R939&amp;"*"&amp;ROUND(V939*(S939/(S939+U939))/VLOOKUP(R939,商品!$A$4:$D$67,4,FALSE),0),"")</f>
        <v/>
      </c>
      <c r="AH939" t="str">
        <f>IFERROR(T939&amp;"*"&amp;ROUND(V939*(U939/(S939+U939))/VLOOKUP(T939,商品!$A$4:$D$67,4,FALSE),0),"")</f>
        <v/>
      </c>
    </row>
    <row r="940" customHeight="1" spans="1:34">
      <c r="A940" s="14" t="s">
        <v>457</v>
      </c>
      <c r="C940" s="2">
        <v>5</v>
      </c>
      <c r="D940" s="2" t="s">
        <v>220</v>
      </c>
      <c r="E940" s="2" t="s">
        <v>224</v>
      </c>
      <c r="L940" s="2">
        <f>IFERROR(VLOOKUP($D940&amp;$C940,生产方式定位!$A$2:$E$39,2,FALSE)+VLOOKUP($E940&amp;$C940,生产方式定位!$F$3:$J$39,2,FALSE),0)</f>
        <v>9000</v>
      </c>
      <c r="Q940" s="2">
        <f>IFERROR(VLOOKUP($D940&amp;$C940,生产方式定位!$A$2:$E$39,3,FALSE)+VLOOKUP($E940&amp;$C940,生产方式定位!$F$3:$J$39,3,FALSE),0)</f>
        <v>2000</v>
      </c>
      <c r="V940" s="2">
        <f>IFERROR(VLOOKUP($D940&amp;$C940,生产方式定位!$A$2:$E$39,5,FALSE)+VLOOKUP($E940&amp;$C940,生产方式定位!$F$3:$J$39,5,FALSE),"错误")</f>
        <v>6340</v>
      </c>
      <c r="W940" s="3" t="str">
        <f t="shared" si="70"/>
        <v/>
      </c>
      <c r="X940" s="4" t="str">
        <f t="shared" si="71"/>
        <v/>
      </c>
      <c r="Y940" s="4" t="str">
        <f t="shared" si="72"/>
        <v/>
      </c>
      <c r="Z940" s="5">
        <f t="shared" si="73"/>
        <v>1.42</v>
      </c>
      <c r="AA940" s="6">
        <f t="shared" si="74"/>
        <v>5</v>
      </c>
      <c r="AB940" t="str">
        <f>IFERROR(F940&amp;"*"&amp;ROUND(L940*(G940/(G940+I940+K940))/VLOOKUP(F940,商品!$A$4:$D$67,4,FALSE),0),"")</f>
        <v/>
      </c>
      <c r="AC940" t="str">
        <f>IFERROR(H940&amp;"*"&amp;ROUND(L940*(I940/(G940+I940+K940))/VLOOKUP(H940,商品!$A$4:$D$67,4,FALSE),0),"")</f>
        <v/>
      </c>
      <c r="AD940" t="str">
        <f>IFERROR(J940&amp;"*"&amp;ROUND(L940*(K940/(G940+I940+K940))/VLOOKUP(J940,商品!$A$4:$D$67,4,FALSE),0),"")</f>
        <v/>
      </c>
      <c r="AE940" t="str">
        <f>IFERROR(M940&amp;"*"&amp;ROUND(Q940*(N940/(N940+P940))/VLOOKUP(M940,职业!$A$3:$E$16,4,FALSE),0),"")</f>
        <v/>
      </c>
      <c r="AF940" t="str">
        <f>IFERROR(O940&amp;"*"&amp;ROUND(Q940*(P940/(N940+P940))/VLOOKUP(O940,职业!$A$3:$E$16,4,FALSE),0),"")</f>
        <v/>
      </c>
      <c r="AG940" t="str">
        <f>IFERROR(R940&amp;"*"&amp;ROUND(V940*(S940/(S940+U940))/VLOOKUP(R940,商品!$A$4:$D$67,4,FALSE),0),"")</f>
        <v/>
      </c>
      <c r="AH940" t="str">
        <f>IFERROR(T940&amp;"*"&amp;ROUND(V940*(U940/(S940+U940))/VLOOKUP(T940,商品!$A$4:$D$67,4,FALSE),0),"")</f>
        <v/>
      </c>
    </row>
    <row r="941" customHeight="1" spans="1:34">
      <c r="A941" s="14" t="s">
        <v>457</v>
      </c>
      <c r="C941" s="2">
        <v>1</v>
      </c>
      <c r="D941" s="2" t="s">
        <v>220</v>
      </c>
      <c r="E941" s="2" t="s">
        <v>224</v>
      </c>
      <c r="L941" s="2">
        <f>IFERROR(VLOOKUP($D941&amp;$C941,生产方式定位!$A$2:$E$39,2,FALSE)+VLOOKUP($E941&amp;$C941,生产方式定位!$F$3:$J$39,2,FALSE),0)</f>
        <v>2000</v>
      </c>
      <c r="Q941" s="2">
        <f>IFERROR(VLOOKUP($D941&amp;$C941,生产方式定位!$A$2:$E$39,3,FALSE)+VLOOKUP($E941&amp;$C941,生产方式定位!$F$3:$J$39,3,FALSE),0)</f>
        <v>2000</v>
      </c>
      <c r="V941" s="2">
        <f>IFERROR(VLOOKUP($D941&amp;$C941,生产方式定位!$A$2:$E$39,5,FALSE)+VLOOKUP($E941&amp;$C941,生产方式定位!$F$3:$J$39,5,FALSE),"错误")</f>
        <v>2000</v>
      </c>
      <c r="W941" s="3" t="str">
        <f t="shared" si="70"/>
        <v/>
      </c>
      <c r="X941" s="4" t="str">
        <f t="shared" si="71"/>
        <v/>
      </c>
      <c r="Y941" s="4" t="str">
        <f t="shared" si="72"/>
        <v/>
      </c>
      <c r="Z941" s="5">
        <f t="shared" si="73"/>
        <v>1</v>
      </c>
      <c r="AA941" s="6">
        <f t="shared" si="74"/>
        <v>1</v>
      </c>
      <c r="AB941" t="str">
        <f>IFERROR(F941&amp;"*"&amp;ROUND(L941*(G941/(G941+I941+K941))/VLOOKUP(F941,商品!$A$4:$D$67,4,FALSE),0),"")</f>
        <v/>
      </c>
      <c r="AC941" t="str">
        <f>IFERROR(H941&amp;"*"&amp;ROUND(L941*(I941/(G941+I941+K941))/VLOOKUP(H941,商品!$A$4:$D$67,4,FALSE),0),"")</f>
        <v/>
      </c>
      <c r="AD941" t="str">
        <f>IFERROR(J941&amp;"*"&amp;ROUND(L941*(K941/(G941+I941+K941))/VLOOKUP(J941,商品!$A$4:$D$67,4,FALSE),0),"")</f>
        <v/>
      </c>
      <c r="AE941" t="str">
        <f>IFERROR(M941&amp;"*"&amp;ROUND(Q941*(N941/(N941+P941))/VLOOKUP(M941,职业!$A$3:$E$16,4,FALSE),0),"")</f>
        <v/>
      </c>
      <c r="AF941" t="str">
        <f>IFERROR(O941&amp;"*"&amp;ROUND(Q941*(P941/(N941+P941))/VLOOKUP(O941,职业!$A$3:$E$16,4,FALSE),0),"")</f>
        <v/>
      </c>
      <c r="AG941" t="str">
        <f>IFERROR(R941&amp;"*"&amp;ROUND(V941*(S941/(S941+U941))/VLOOKUP(R941,商品!$A$4:$D$67,4,FALSE),0),"")</f>
        <v/>
      </c>
      <c r="AH941" t="str">
        <f>IFERROR(T941&amp;"*"&amp;ROUND(V941*(U941/(S941+U941))/VLOOKUP(T941,商品!$A$4:$D$67,4,FALSE),0),"")</f>
        <v/>
      </c>
    </row>
    <row r="942" customHeight="1" spans="1:34">
      <c r="A942" s="14" t="s">
        <v>457</v>
      </c>
      <c r="C942" s="2">
        <v>2</v>
      </c>
      <c r="D942" s="2" t="s">
        <v>220</v>
      </c>
      <c r="E942" s="2" t="s">
        <v>224</v>
      </c>
      <c r="L942" s="2">
        <f>IFERROR(VLOOKUP($D942&amp;$C942,生产方式定位!$A$2:$E$39,2,FALSE)+VLOOKUP($E942&amp;$C942,生产方式定位!$F$3:$J$39,2,FALSE),0)</f>
        <v>4500</v>
      </c>
      <c r="Q942" s="2">
        <f>IFERROR(VLOOKUP($D942&amp;$C942,生产方式定位!$A$2:$E$39,3,FALSE)+VLOOKUP($E942&amp;$C942,生产方式定位!$F$3:$J$39,3,FALSE),0)</f>
        <v>2000</v>
      </c>
      <c r="V942" s="2">
        <f>IFERROR(VLOOKUP($D942&amp;$C942,生产方式定位!$A$2:$E$39,5,FALSE)+VLOOKUP($E942&amp;$C942,生产方式定位!$F$3:$J$39,5,FALSE),"错误")</f>
        <v>3340</v>
      </c>
      <c r="W942" s="3" t="str">
        <f t="shared" si="70"/>
        <v/>
      </c>
      <c r="X942" s="4" t="str">
        <f t="shared" si="71"/>
        <v/>
      </c>
      <c r="Y942" s="4" t="str">
        <f t="shared" si="72"/>
        <v/>
      </c>
      <c r="Z942" s="5">
        <f t="shared" si="73"/>
        <v>1.35</v>
      </c>
      <c r="AA942" s="6">
        <f t="shared" si="74"/>
        <v>2</v>
      </c>
      <c r="AB942" t="str">
        <f>IFERROR(F942&amp;"*"&amp;ROUND(L942*(G942/(G942+I942+K942))/VLOOKUP(F942,商品!$A$4:$D$67,4,FALSE),0),"")</f>
        <v/>
      </c>
      <c r="AC942" t="str">
        <f>IFERROR(H942&amp;"*"&amp;ROUND(L942*(I942/(G942+I942+K942))/VLOOKUP(H942,商品!$A$4:$D$67,4,FALSE),0),"")</f>
        <v/>
      </c>
      <c r="AD942" t="str">
        <f>IFERROR(J942&amp;"*"&amp;ROUND(L942*(K942/(G942+I942+K942))/VLOOKUP(J942,商品!$A$4:$D$67,4,FALSE),0),"")</f>
        <v/>
      </c>
      <c r="AE942" t="str">
        <f>IFERROR(M942&amp;"*"&amp;ROUND(Q942*(N942/(N942+P942))/VLOOKUP(M942,职业!$A$3:$E$16,4,FALSE),0),"")</f>
        <v/>
      </c>
      <c r="AF942" t="str">
        <f>IFERROR(O942&amp;"*"&amp;ROUND(Q942*(P942/(N942+P942))/VLOOKUP(O942,职业!$A$3:$E$16,4,FALSE),0),"")</f>
        <v/>
      </c>
      <c r="AG942" t="str">
        <f>IFERROR(R942&amp;"*"&amp;ROUND(V942*(S942/(S942+U942))/VLOOKUP(R942,商品!$A$4:$D$67,4,FALSE),0),"")</f>
        <v/>
      </c>
      <c r="AH942" t="str">
        <f>IFERROR(T942&amp;"*"&amp;ROUND(V942*(U942/(S942+U942))/VLOOKUP(T942,商品!$A$4:$D$67,4,FALSE),0),"")</f>
        <v/>
      </c>
    </row>
    <row r="943" customHeight="1" spans="1:34">
      <c r="A943" s="14" t="s">
        <v>457</v>
      </c>
      <c r="C943" s="2">
        <v>3</v>
      </c>
      <c r="D943" s="2" t="s">
        <v>220</v>
      </c>
      <c r="E943" s="2" t="s">
        <v>224</v>
      </c>
      <c r="L943" s="2">
        <f>IFERROR(VLOOKUP($D943&amp;$C943,生产方式定位!$A$2:$E$39,2,FALSE)+VLOOKUP($E943&amp;$C943,生产方式定位!$F$3:$J$39,2,FALSE),0)</f>
        <v>6000</v>
      </c>
      <c r="Q943" s="2">
        <f>IFERROR(VLOOKUP($D943&amp;$C943,生产方式定位!$A$2:$E$39,3,FALSE)+VLOOKUP($E943&amp;$C943,生产方式定位!$F$3:$J$39,3,FALSE),0)</f>
        <v>2000</v>
      </c>
      <c r="V943" s="2">
        <f>IFERROR(VLOOKUP($D943&amp;$C943,生产方式定位!$A$2:$E$39,5,FALSE)+VLOOKUP($E943&amp;$C943,生产方式定位!$F$3:$J$39,5,FALSE),"错误")</f>
        <v>4260</v>
      </c>
      <c r="W943" s="3" t="str">
        <f t="shared" si="70"/>
        <v/>
      </c>
      <c r="X943" s="4" t="str">
        <f t="shared" si="71"/>
        <v/>
      </c>
      <c r="Y943" s="4" t="str">
        <f t="shared" si="72"/>
        <v/>
      </c>
      <c r="Z943" s="5">
        <f t="shared" si="73"/>
        <v>1.41</v>
      </c>
      <c r="AA943" s="6">
        <f t="shared" si="74"/>
        <v>3</v>
      </c>
      <c r="AB943" t="str">
        <f>IFERROR(F943&amp;"*"&amp;ROUND(L943*(G943/(G943+I943+K943))/VLOOKUP(F943,商品!$A$4:$D$67,4,FALSE),0),"")</f>
        <v/>
      </c>
      <c r="AC943" t="str">
        <f>IFERROR(H943&amp;"*"&amp;ROUND(L943*(I943/(G943+I943+K943))/VLOOKUP(H943,商品!$A$4:$D$67,4,FALSE),0),"")</f>
        <v/>
      </c>
      <c r="AD943" t="str">
        <f>IFERROR(J943&amp;"*"&amp;ROUND(L943*(K943/(G943+I943+K943))/VLOOKUP(J943,商品!$A$4:$D$67,4,FALSE),0),"")</f>
        <v/>
      </c>
      <c r="AE943" t="str">
        <f>IFERROR(M943&amp;"*"&amp;ROUND(Q943*(N943/(N943+P943))/VLOOKUP(M943,职业!$A$3:$E$16,4,FALSE),0),"")</f>
        <v/>
      </c>
      <c r="AF943" t="str">
        <f>IFERROR(O943&amp;"*"&amp;ROUND(Q943*(P943/(N943+P943))/VLOOKUP(O943,职业!$A$3:$E$16,4,FALSE),0),"")</f>
        <v/>
      </c>
      <c r="AG943" t="str">
        <f>IFERROR(R943&amp;"*"&amp;ROUND(V943*(S943/(S943+U943))/VLOOKUP(R943,商品!$A$4:$D$67,4,FALSE),0),"")</f>
        <v/>
      </c>
      <c r="AH943" t="str">
        <f>IFERROR(T943&amp;"*"&amp;ROUND(V943*(U943/(S943+U943))/VLOOKUP(T943,商品!$A$4:$D$67,4,FALSE),0),"")</f>
        <v/>
      </c>
    </row>
    <row r="944" customHeight="1" spans="1:34">
      <c r="A944" s="15" t="s">
        <v>457</v>
      </c>
      <c r="C944" s="2">
        <v>4</v>
      </c>
      <c r="D944" s="2" t="s">
        <v>220</v>
      </c>
      <c r="E944" s="2" t="s">
        <v>224</v>
      </c>
      <c r="L944" s="2">
        <f>IFERROR(VLOOKUP($D944&amp;$C944,生产方式定位!$A$2:$E$39,2,FALSE)+VLOOKUP($E944&amp;$C944,生产方式定位!$F$3:$J$39,2,FALSE),0)</f>
        <v>7500</v>
      </c>
      <c r="Q944" s="2">
        <f>IFERROR(VLOOKUP($D944&amp;$C944,生产方式定位!$A$2:$E$39,3,FALSE)+VLOOKUP($E944&amp;$C944,生产方式定位!$F$3:$J$39,3,FALSE),0)</f>
        <v>2000</v>
      </c>
      <c r="V944" s="2">
        <f>IFERROR(VLOOKUP($D944&amp;$C944,生产方式定位!$A$2:$E$39,5,FALSE)+VLOOKUP($E944&amp;$C944,生产方式定位!$F$3:$J$39,5,FALSE),"错误")</f>
        <v>5260</v>
      </c>
      <c r="W944" s="3" t="str">
        <f t="shared" si="70"/>
        <v/>
      </c>
      <c r="X944" s="4" t="str">
        <f t="shared" si="71"/>
        <v/>
      </c>
      <c r="Y944" s="4" t="str">
        <f t="shared" si="72"/>
        <v/>
      </c>
      <c r="Z944" s="5">
        <f t="shared" si="73"/>
        <v>1.43</v>
      </c>
      <c r="AA944" s="6">
        <f t="shared" si="74"/>
        <v>4</v>
      </c>
      <c r="AB944" t="str">
        <f>IFERROR(F944&amp;"*"&amp;ROUND(L944*(G944/(G944+I944+K944))/VLOOKUP(F944,商品!$A$4:$D$67,4,FALSE),0),"")</f>
        <v/>
      </c>
      <c r="AC944" t="str">
        <f>IFERROR(H944&amp;"*"&amp;ROUND(L944*(I944/(G944+I944+K944))/VLOOKUP(H944,商品!$A$4:$D$67,4,FALSE),0),"")</f>
        <v/>
      </c>
      <c r="AD944" t="str">
        <f>IFERROR(J944&amp;"*"&amp;ROUND(L944*(K944/(G944+I944+K944))/VLOOKUP(J944,商品!$A$4:$D$67,4,FALSE),0),"")</f>
        <v/>
      </c>
      <c r="AE944" t="str">
        <f>IFERROR(M944&amp;"*"&amp;ROUND(Q944*(N944/(N944+P944))/VLOOKUP(M944,职业!$A$3:$E$16,4,FALSE),0),"")</f>
        <v/>
      </c>
      <c r="AF944" t="str">
        <f>IFERROR(O944&amp;"*"&amp;ROUND(Q944*(P944/(N944+P944))/VLOOKUP(O944,职业!$A$3:$E$16,4,FALSE),0),"")</f>
        <v/>
      </c>
      <c r="AG944" t="str">
        <f>IFERROR(R944&amp;"*"&amp;ROUND(V944*(S944/(S944+U944))/VLOOKUP(R944,商品!$A$4:$D$67,4,FALSE),0),"")</f>
        <v/>
      </c>
      <c r="AH944" t="str">
        <f>IFERROR(T944&amp;"*"&amp;ROUND(V944*(U944/(S944+U944))/VLOOKUP(T944,商品!$A$4:$D$67,4,FALSE),0),"")</f>
        <v/>
      </c>
    </row>
    <row r="945" customHeight="1" spans="1:34">
      <c r="A945" s="15" t="s">
        <v>457</v>
      </c>
      <c r="C945" s="2">
        <v>5</v>
      </c>
      <c r="D945" s="2" t="s">
        <v>220</v>
      </c>
      <c r="E945" s="2" t="s">
        <v>224</v>
      </c>
      <c r="L945" s="2">
        <f>IFERROR(VLOOKUP($D945&amp;$C945,生产方式定位!$A$2:$E$39,2,FALSE)+VLOOKUP($E945&amp;$C945,生产方式定位!$F$3:$J$39,2,FALSE),0)</f>
        <v>9000</v>
      </c>
      <c r="Q945" s="2">
        <f>IFERROR(VLOOKUP($D945&amp;$C945,生产方式定位!$A$2:$E$39,3,FALSE)+VLOOKUP($E945&amp;$C945,生产方式定位!$F$3:$J$39,3,FALSE),0)</f>
        <v>2000</v>
      </c>
      <c r="V945" s="2">
        <f>IFERROR(VLOOKUP($D945&amp;$C945,生产方式定位!$A$2:$E$39,5,FALSE)+VLOOKUP($E945&amp;$C945,生产方式定位!$F$3:$J$39,5,FALSE),"错误")</f>
        <v>6340</v>
      </c>
      <c r="W945" s="3" t="str">
        <f t="shared" si="70"/>
        <v/>
      </c>
      <c r="X945" s="4" t="str">
        <f t="shared" si="71"/>
        <v/>
      </c>
      <c r="Y945" s="4" t="str">
        <f t="shared" si="72"/>
        <v/>
      </c>
      <c r="Z945" s="5">
        <f t="shared" si="73"/>
        <v>1.42</v>
      </c>
      <c r="AA945" s="6">
        <f t="shared" si="74"/>
        <v>5</v>
      </c>
      <c r="AB945" t="str">
        <f>IFERROR(F945&amp;"*"&amp;ROUND(L945*(G945/(G945+I945+K945))/VLOOKUP(F945,商品!$A$4:$D$67,4,FALSE),0),"")</f>
        <v/>
      </c>
      <c r="AC945" t="str">
        <f>IFERROR(H945&amp;"*"&amp;ROUND(L945*(I945/(G945+I945+K945))/VLOOKUP(H945,商品!$A$4:$D$67,4,FALSE),0),"")</f>
        <v/>
      </c>
      <c r="AD945" t="str">
        <f>IFERROR(J945&amp;"*"&amp;ROUND(L945*(K945/(G945+I945+K945))/VLOOKUP(J945,商品!$A$4:$D$67,4,FALSE),0),"")</f>
        <v/>
      </c>
      <c r="AE945" t="str">
        <f>IFERROR(M945&amp;"*"&amp;ROUND(Q945*(N945/(N945+P945))/VLOOKUP(M945,职业!$A$3:$E$16,4,FALSE),0),"")</f>
        <v/>
      </c>
      <c r="AF945" t="str">
        <f>IFERROR(O945&amp;"*"&amp;ROUND(Q945*(P945/(N945+P945))/VLOOKUP(O945,职业!$A$3:$E$16,4,FALSE),0),"")</f>
        <v/>
      </c>
      <c r="AG945" t="str">
        <f>IFERROR(R945&amp;"*"&amp;ROUND(V945*(S945/(S945+U945))/VLOOKUP(R945,商品!$A$4:$D$67,4,FALSE),0),"")</f>
        <v/>
      </c>
      <c r="AH945" t="str">
        <f>IFERROR(T945&amp;"*"&amp;ROUND(V945*(U945/(S945+U945))/VLOOKUP(T945,商品!$A$4:$D$67,4,FALSE),0),"")</f>
        <v/>
      </c>
    </row>
    <row r="946" customHeight="1" spans="1:34">
      <c r="A946" s="15" t="s">
        <v>457</v>
      </c>
      <c r="C946" s="2">
        <v>1</v>
      </c>
      <c r="D946" s="2" t="s">
        <v>220</v>
      </c>
      <c r="E946" s="2" t="s">
        <v>224</v>
      </c>
      <c r="L946" s="2">
        <f>IFERROR(VLOOKUP($D946&amp;$C946,生产方式定位!$A$2:$E$39,2,FALSE)+VLOOKUP($E946&amp;$C946,生产方式定位!$F$3:$J$39,2,FALSE),0)</f>
        <v>2000</v>
      </c>
      <c r="Q946" s="2">
        <f>IFERROR(VLOOKUP($D946&amp;$C946,生产方式定位!$A$2:$E$39,3,FALSE)+VLOOKUP($E946&amp;$C946,生产方式定位!$F$3:$J$39,3,FALSE),0)</f>
        <v>2000</v>
      </c>
      <c r="V946" s="2">
        <f>IFERROR(VLOOKUP($D946&amp;$C946,生产方式定位!$A$2:$E$39,5,FALSE)+VLOOKUP($E946&amp;$C946,生产方式定位!$F$3:$J$39,5,FALSE),"错误")</f>
        <v>2000</v>
      </c>
      <c r="W946" s="3" t="str">
        <f t="shared" si="70"/>
        <v/>
      </c>
      <c r="X946" s="4" t="str">
        <f t="shared" si="71"/>
        <v/>
      </c>
      <c r="Y946" s="4" t="str">
        <f t="shared" si="72"/>
        <v/>
      </c>
      <c r="Z946" s="5">
        <f t="shared" si="73"/>
        <v>1</v>
      </c>
      <c r="AA946" s="6">
        <f t="shared" si="74"/>
        <v>1</v>
      </c>
      <c r="AB946" t="str">
        <f>IFERROR(F946&amp;"*"&amp;ROUND(L946*(G946/(G946+I946+K946))/VLOOKUP(F946,商品!$A$4:$D$67,4,FALSE),0),"")</f>
        <v/>
      </c>
      <c r="AC946" t="str">
        <f>IFERROR(H946&amp;"*"&amp;ROUND(L946*(I946/(G946+I946+K946))/VLOOKUP(H946,商品!$A$4:$D$67,4,FALSE),0),"")</f>
        <v/>
      </c>
      <c r="AD946" t="str">
        <f>IFERROR(J946&amp;"*"&amp;ROUND(L946*(K946/(G946+I946+K946))/VLOOKUP(J946,商品!$A$4:$D$67,4,FALSE),0),"")</f>
        <v/>
      </c>
      <c r="AE946" t="str">
        <f>IFERROR(M946&amp;"*"&amp;ROUND(Q946*(N946/(N946+P946))/VLOOKUP(M946,职业!$A$3:$E$16,4,FALSE),0),"")</f>
        <v/>
      </c>
      <c r="AF946" t="str">
        <f>IFERROR(O946&amp;"*"&amp;ROUND(Q946*(P946/(N946+P946))/VLOOKUP(O946,职业!$A$3:$E$16,4,FALSE),0),"")</f>
        <v/>
      </c>
      <c r="AG946" t="str">
        <f>IFERROR(R946&amp;"*"&amp;ROUND(V946*(S946/(S946+U946))/VLOOKUP(R946,商品!$A$4:$D$67,4,FALSE),0),"")</f>
        <v/>
      </c>
      <c r="AH946" t="str">
        <f>IFERROR(T946&amp;"*"&amp;ROUND(V946*(U946/(S946+U946))/VLOOKUP(T946,商品!$A$4:$D$67,4,FALSE),0),"")</f>
        <v/>
      </c>
    </row>
    <row r="947" customHeight="1" spans="1:34">
      <c r="A947" s="15" t="s">
        <v>457</v>
      </c>
      <c r="C947" s="2">
        <v>2</v>
      </c>
      <c r="D947" s="2" t="s">
        <v>220</v>
      </c>
      <c r="E947" s="2" t="s">
        <v>224</v>
      </c>
      <c r="L947" s="2">
        <f>IFERROR(VLOOKUP($D947&amp;$C947,生产方式定位!$A$2:$E$39,2,FALSE)+VLOOKUP($E947&amp;$C947,生产方式定位!$F$3:$J$39,2,FALSE),0)</f>
        <v>4500</v>
      </c>
      <c r="Q947" s="2">
        <f>IFERROR(VLOOKUP($D947&amp;$C947,生产方式定位!$A$2:$E$39,3,FALSE)+VLOOKUP($E947&amp;$C947,生产方式定位!$F$3:$J$39,3,FALSE),0)</f>
        <v>2000</v>
      </c>
      <c r="V947" s="2">
        <f>IFERROR(VLOOKUP($D947&amp;$C947,生产方式定位!$A$2:$E$39,5,FALSE)+VLOOKUP($E947&amp;$C947,生产方式定位!$F$3:$J$39,5,FALSE),"错误")</f>
        <v>3340</v>
      </c>
      <c r="W947" s="3" t="str">
        <f t="shared" si="70"/>
        <v/>
      </c>
      <c r="X947" s="4" t="str">
        <f t="shared" si="71"/>
        <v/>
      </c>
      <c r="Y947" s="4" t="str">
        <f t="shared" si="72"/>
        <v/>
      </c>
      <c r="Z947" s="5">
        <f t="shared" si="73"/>
        <v>1.35</v>
      </c>
      <c r="AA947" s="6">
        <f t="shared" si="74"/>
        <v>2</v>
      </c>
      <c r="AB947" t="str">
        <f>IFERROR(F947&amp;"*"&amp;ROUND(L947*(G947/(G947+I947+K947))/VLOOKUP(F947,商品!$A$4:$D$67,4,FALSE),0),"")</f>
        <v/>
      </c>
      <c r="AC947" t="str">
        <f>IFERROR(H947&amp;"*"&amp;ROUND(L947*(I947/(G947+I947+K947))/VLOOKUP(H947,商品!$A$4:$D$67,4,FALSE),0),"")</f>
        <v/>
      </c>
      <c r="AD947" t="str">
        <f>IFERROR(J947&amp;"*"&amp;ROUND(L947*(K947/(G947+I947+K947))/VLOOKUP(J947,商品!$A$4:$D$67,4,FALSE),0),"")</f>
        <v/>
      </c>
      <c r="AE947" t="str">
        <f>IFERROR(M947&amp;"*"&amp;ROUND(Q947*(N947/(N947+P947))/VLOOKUP(M947,职业!$A$3:$E$16,4,FALSE),0),"")</f>
        <v/>
      </c>
      <c r="AF947" t="str">
        <f>IFERROR(O947&amp;"*"&amp;ROUND(Q947*(P947/(N947+P947))/VLOOKUP(O947,职业!$A$3:$E$16,4,FALSE),0),"")</f>
        <v/>
      </c>
      <c r="AG947" t="str">
        <f>IFERROR(R947&amp;"*"&amp;ROUND(V947*(S947/(S947+U947))/VLOOKUP(R947,商品!$A$4:$D$67,4,FALSE),0),"")</f>
        <v/>
      </c>
      <c r="AH947" t="str">
        <f>IFERROR(T947&amp;"*"&amp;ROUND(V947*(U947/(S947+U947))/VLOOKUP(T947,商品!$A$4:$D$67,4,FALSE),0),"")</f>
        <v/>
      </c>
    </row>
    <row r="948" customHeight="1" spans="1:34">
      <c r="A948" s="15" t="s">
        <v>457</v>
      </c>
      <c r="C948" s="2">
        <v>3</v>
      </c>
      <c r="D948" s="2" t="s">
        <v>220</v>
      </c>
      <c r="E948" s="2" t="s">
        <v>224</v>
      </c>
      <c r="L948" s="2">
        <f>IFERROR(VLOOKUP($D948&amp;$C948,生产方式定位!$A$2:$E$39,2,FALSE)+VLOOKUP($E948&amp;$C948,生产方式定位!$F$3:$J$39,2,FALSE),0)</f>
        <v>6000</v>
      </c>
      <c r="Q948" s="2">
        <f>IFERROR(VLOOKUP($D948&amp;$C948,生产方式定位!$A$2:$E$39,3,FALSE)+VLOOKUP($E948&amp;$C948,生产方式定位!$F$3:$J$39,3,FALSE),0)</f>
        <v>2000</v>
      </c>
      <c r="V948" s="2">
        <f>IFERROR(VLOOKUP($D948&amp;$C948,生产方式定位!$A$2:$E$39,5,FALSE)+VLOOKUP($E948&amp;$C948,生产方式定位!$F$3:$J$39,5,FALSE),"错误")</f>
        <v>4260</v>
      </c>
      <c r="W948" s="3" t="str">
        <f t="shared" si="70"/>
        <v/>
      </c>
      <c r="X948" s="4" t="str">
        <f t="shared" si="71"/>
        <v/>
      </c>
      <c r="Y948" s="4" t="str">
        <f t="shared" si="72"/>
        <v/>
      </c>
      <c r="Z948" s="5">
        <f t="shared" si="73"/>
        <v>1.41</v>
      </c>
      <c r="AA948" s="6">
        <f t="shared" si="74"/>
        <v>3</v>
      </c>
      <c r="AB948" t="str">
        <f>IFERROR(F948&amp;"*"&amp;ROUND(L948*(G948/(G948+I948+K948))/VLOOKUP(F948,商品!$A$4:$D$67,4,FALSE),0),"")</f>
        <v/>
      </c>
      <c r="AC948" t="str">
        <f>IFERROR(H948&amp;"*"&amp;ROUND(L948*(I948/(G948+I948+K948))/VLOOKUP(H948,商品!$A$4:$D$67,4,FALSE),0),"")</f>
        <v/>
      </c>
      <c r="AD948" t="str">
        <f>IFERROR(J948&amp;"*"&amp;ROUND(L948*(K948/(G948+I948+K948))/VLOOKUP(J948,商品!$A$4:$D$67,4,FALSE),0),"")</f>
        <v/>
      </c>
      <c r="AE948" t="str">
        <f>IFERROR(M948&amp;"*"&amp;ROUND(Q948*(N948/(N948+P948))/VLOOKUP(M948,职业!$A$3:$E$16,4,FALSE),0),"")</f>
        <v/>
      </c>
      <c r="AF948" t="str">
        <f>IFERROR(O948&amp;"*"&amp;ROUND(Q948*(P948/(N948+P948))/VLOOKUP(O948,职业!$A$3:$E$16,4,FALSE),0),"")</f>
        <v/>
      </c>
      <c r="AG948" t="str">
        <f>IFERROR(R948&amp;"*"&amp;ROUND(V948*(S948/(S948+U948))/VLOOKUP(R948,商品!$A$4:$D$67,4,FALSE),0),"")</f>
        <v/>
      </c>
      <c r="AH948" t="str">
        <f>IFERROR(T948&amp;"*"&amp;ROUND(V948*(U948/(S948+U948))/VLOOKUP(T948,商品!$A$4:$D$67,4,FALSE),0),"")</f>
        <v/>
      </c>
    </row>
    <row r="949" customHeight="1" spans="1:34">
      <c r="A949" s="14" t="s">
        <v>458</v>
      </c>
      <c r="C949" s="2">
        <v>4</v>
      </c>
      <c r="D949" s="2" t="s">
        <v>220</v>
      </c>
      <c r="E949" s="2" t="s">
        <v>255</v>
      </c>
      <c r="L949" s="2">
        <f>IFERROR(VLOOKUP($D949&amp;$C949,生产方式定位!$A$2:$E$39,2,FALSE)+VLOOKUP($E949&amp;$C949,生产方式定位!$F$3:$J$39,2,FALSE),0)</f>
        <v>3500</v>
      </c>
      <c r="Q949" s="2">
        <f>IFERROR(VLOOKUP($D949&amp;$C949,生产方式定位!$A$2:$E$39,3,FALSE)+VLOOKUP($E949&amp;$C949,生产方式定位!$F$3:$J$39,3,FALSE),0)</f>
        <v>2600</v>
      </c>
      <c r="V949" s="2">
        <f>IFERROR(VLOOKUP($D949&amp;$C949,生产方式定位!$A$2:$E$39,5,FALSE)+VLOOKUP($E949&amp;$C949,生产方式定位!$F$3:$J$39,5,FALSE),"错误")</f>
        <v>3050</v>
      </c>
      <c r="W949" s="3" t="str">
        <f t="shared" si="70"/>
        <v/>
      </c>
      <c r="X949" s="4" t="str">
        <f t="shared" si="71"/>
        <v/>
      </c>
      <c r="Y949" s="4" t="str">
        <f t="shared" si="72"/>
        <v/>
      </c>
      <c r="Z949" s="5">
        <f t="shared" si="73"/>
        <v>1.15</v>
      </c>
      <c r="AA949" s="6">
        <f t="shared" si="74"/>
        <v>4</v>
      </c>
      <c r="AB949" t="str">
        <f>IFERROR(F949&amp;"*"&amp;ROUND(L949*(G949/(G949+I949+K949))/VLOOKUP(F949,商品!$A$4:$D$67,4,FALSE),0),"")</f>
        <v/>
      </c>
      <c r="AC949" t="str">
        <f>IFERROR(H949&amp;"*"&amp;ROUND(L949*(I949/(G949+I949+K949))/VLOOKUP(H949,商品!$A$4:$D$67,4,FALSE),0),"")</f>
        <v/>
      </c>
      <c r="AD949" t="str">
        <f>IFERROR(J949&amp;"*"&amp;ROUND(L949*(K949/(G949+I949+K949))/VLOOKUP(J949,商品!$A$4:$D$67,4,FALSE),0),"")</f>
        <v/>
      </c>
      <c r="AE949" t="str">
        <f>IFERROR(M949&amp;"*"&amp;ROUND(Q949*(N949/(N949+P949))/VLOOKUP(M949,职业!$A$3:$E$16,4,FALSE),0),"")</f>
        <v/>
      </c>
      <c r="AF949" t="str">
        <f>IFERROR(O949&amp;"*"&amp;ROUND(Q949*(P949/(N949+P949))/VLOOKUP(O949,职业!$A$3:$E$16,4,FALSE),0),"")</f>
        <v/>
      </c>
      <c r="AG949" t="str">
        <f>IFERROR(R949&amp;"*"&amp;ROUND(V949*(S949/(S949+U949))/VLOOKUP(R949,商品!$A$4:$D$67,4,FALSE),0),"")</f>
        <v/>
      </c>
      <c r="AH949" t="str">
        <f>IFERROR(T949&amp;"*"&amp;ROUND(V949*(U949/(S949+U949))/VLOOKUP(T949,商品!$A$4:$D$67,4,FALSE),0),"")</f>
        <v/>
      </c>
    </row>
    <row r="950" customHeight="1" spans="1:34">
      <c r="A950" s="14" t="s">
        <v>458</v>
      </c>
      <c r="C950" s="2">
        <v>5</v>
      </c>
      <c r="D950" s="2" t="s">
        <v>220</v>
      </c>
      <c r="E950" s="2" t="s">
        <v>255</v>
      </c>
      <c r="L950" s="2">
        <f>IFERROR(VLOOKUP($D950&amp;$C950,生产方式定位!$A$2:$E$39,2,FALSE)+VLOOKUP($E950&amp;$C950,生产方式定位!$F$3:$J$39,2,FALSE),0)</f>
        <v>0</v>
      </c>
      <c r="Q950" s="2">
        <f>IFERROR(VLOOKUP($D950&amp;$C950,生产方式定位!$A$2:$E$39,3,FALSE)+VLOOKUP($E950&amp;$C950,生产方式定位!$F$3:$J$39,3,FALSE),0)</f>
        <v>0</v>
      </c>
      <c r="V950" s="2" t="str">
        <f>IFERROR(VLOOKUP($D950&amp;$C950,生产方式定位!$A$2:$E$39,5,FALSE)+VLOOKUP($E950&amp;$C950,生产方式定位!$F$3:$J$39,5,FALSE),"错误")</f>
        <v>错误</v>
      </c>
      <c r="W950" s="3" t="str">
        <f t="shared" si="70"/>
        <v/>
      </c>
      <c r="X950" s="4" t="str">
        <f t="shared" si="71"/>
        <v/>
      </c>
      <c r="Y950" s="4" t="str">
        <f t="shared" si="72"/>
        <v/>
      </c>
      <c r="Z950" s="5" t="str">
        <f t="shared" si="73"/>
        <v/>
      </c>
      <c r="AA950" s="6">
        <f t="shared" si="74"/>
        <v>5</v>
      </c>
      <c r="AB950" t="str">
        <f>IFERROR(F950&amp;"*"&amp;ROUND(L950*(G950/(G950+I950+K950))/VLOOKUP(F950,商品!$A$4:$D$67,4,FALSE),0),"")</f>
        <v/>
      </c>
      <c r="AC950" t="str">
        <f>IFERROR(H950&amp;"*"&amp;ROUND(L950*(I950/(G950+I950+K950))/VLOOKUP(H950,商品!$A$4:$D$67,4,FALSE),0),"")</f>
        <v/>
      </c>
      <c r="AD950" t="str">
        <f>IFERROR(J950&amp;"*"&amp;ROUND(L950*(K950/(G950+I950+K950))/VLOOKUP(J950,商品!$A$4:$D$67,4,FALSE),0),"")</f>
        <v/>
      </c>
      <c r="AE950" t="str">
        <f>IFERROR(M950&amp;"*"&amp;ROUND(Q950*(N950/(N950+P950))/VLOOKUP(M950,职业!$A$3:$E$16,4,FALSE),0),"")</f>
        <v/>
      </c>
      <c r="AF950" t="str">
        <f>IFERROR(O950&amp;"*"&amp;ROUND(Q950*(P950/(N950+P950))/VLOOKUP(O950,职业!$A$3:$E$16,4,FALSE),0),"")</f>
        <v/>
      </c>
      <c r="AG950" t="str">
        <f>IFERROR(R950&amp;"*"&amp;ROUND(V950*(S950/(S950+U950))/VLOOKUP(R950,商品!$A$4:$D$67,4,FALSE),0),"")</f>
        <v/>
      </c>
      <c r="AH950" t="str">
        <f>IFERROR(T950&amp;"*"&amp;ROUND(V950*(U950/(S950+U950))/VLOOKUP(T950,商品!$A$4:$D$67,4,FALSE),0),"")</f>
        <v/>
      </c>
    </row>
    <row r="951" customHeight="1" spans="1:34">
      <c r="A951" s="14" t="s">
        <v>458</v>
      </c>
      <c r="C951" s="2">
        <v>1</v>
      </c>
      <c r="D951" s="2" t="s">
        <v>220</v>
      </c>
      <c r="E951" s="2" t="s">
        <v>255</v>
      </c>
      <c r="L951" s="2">
        <f>IFERROR(VLOOKUP($D951&amp;$C951,生产方式定位!$A$2:$E$39,2,FALSE)+VLOOKUP($E951&amp;$C951,生产方式定位!$F$3:$J$39,2,FALSE),0)</f>
        <v>2000</v>
      </c>
      <c r="Q951" s="2">
        <f>IFERROR(VLOOKUP($D951&amp;$C951,生产方式定位!$A$2:$E$39,3,FALSE)+VLOOKUP($E951&amp;$C951,生产方式定位!$F$3:$J$39,3,FALSE),0)</f>
        <v>2000</v>
      </c>
      <c r="V951" s="2">
        <f>IFERROR(VLOOKUP($D951&amp;$C951,生产方式定位!$A$2:$E$39,5,FALSE)+VLOOKUP($E951&amp;$C951,生产方式定位!$F$3:$J$39,5,FALSE),"错误")</f>
        <v>2000</v>
      </c>
      <c r="W951" s="3" t="str">
        <f t="shared" si="70"/>
        <v/>
      </c>
      <c r="X951" s="4" t="str">
        <f t="shared" si="71"/>
        <v/>
      </c>
      <c r="Y951" s="4" t="str">
        <f t="shared" si="72"/>
        <v/>
      </c>
      <c r="Z951" s="5">
        <f t="shared" si="73"/>
        <v>1</v>
      </c>
      <c r="AA951" s="6">
        <f t="shared" si="74"/>
        <v>1</v>
      </c>
      <c r="AB951" t="str">
        <f>IFERROR(F951&amp;"*"&amp;ROUND(L951*(G951/(G951+I951+K951))/VLOOKUP(F951,商品!$A$4:$D$67,4,FALSE),0),"")</f>
        <v/>
      </c>
      <c r="AC951" t="str">
        <f>IFERROR(H951&amp;"*"&amp;ROUND(L951*(I951/(G951+I951+K951))/VLOOKUP(H951,商品!$A$4:$D$67,4,FALSE),0),"")</f>
        <v/>
      </c>
      <c r="AD951" t="str">
        <f>IFERROR(J951&amp;"*"&amp;ROUND(L951*(K951/(G951+I951+K951))/VLOOKUP(J951,商品!$A$4:$D$67,4,FALSE),0),"")</f>
        <v/>
      </c>
      <c r="AE951" t="str">
        <f>IFERROR(M951&amp;"*"&amp;ROUND(Q951*(N951/(N951+P951))/VLOOKUP(M951,职业!$A$3:$E$16,4,FALSE),0),"")</f>
        <v/>
      </c>
      <c r="AF951" t="str">
        <f>IFERROR(O951&amp;"*"&amp;ROUND(Q951*(P951/(N951+P951))/VLOOKUP(O951,职业!$A$3:$E$16,4,FALSE),0),"")</f>
        <v/>
      </c>
      <c r="AG951" t="str">
        <f>IFERROR(R951&amp;"*"&amp;ROUND(V951*(S951/(S951+U951))/VLOOKUP(R951,商品!$A$4:$D$67,4,FALSE),0),"")</f>
        <v/>
      </c>
      <c r="AH951" t="str">
        <f>IFERROR(T951&amp;"*"&amp;ROUND(V951*(U951/(S951+U951))/VLOOKUP(T951,商品!$A$4:$D$67,4,FALSE),0),"")</f>
        <v/>
      </c>
    </row>
    <row r="952" customHeight="1" spans="1:34">
      <c r="A952" s="14" t="s">
        <v>458</v>
      </c>
      <c r="C952" s="2">
        <v>2</v>
      </c>
      <c r="D952" s="2" t="s">
        <v>220</v>
      </c>
      <c r="E952" s="2" t="s">
        <v>255</v>
      </c>
      <c r="L952" s="2">
        <f>IFERROR(VLOOKUP($D952&amp;$C952,生产方式定位!$A$2:$E$39,2,FALSE)+VLOOKUP($E952&amp;$C952,生产方式定位!$F$3:$J$39,2,FALSE),0)</f>
        <v>2500</v>
      </c>
      <c r="Q952" s="2">
        <f>IFERROR(VLOOKUP($D952&amp;$C952,生产方式定位!$A$2:$E$39,3,FALSE)+VLOOKUP($E952&amp;$C952,生产方式定位!$F$3:$J$39,3,FALSE),0)</f>
        <v>2200</v>
      </c>
      <c r="V952" s="2">
        <f>IFERROR(VLOOKUP($D952&amp;$C952,生产方式定位!$A$2:$E$39,5,FALSE)+VLOOKUP($E952&amp;$C952,生产方式定位!$F$3:$J$39,5,FALSE),"错误")</f>
        <v>2350</v>
      </c>
      <c r="W952" s="3" t="str">
        <f t="shared" si="70"/>
        <v/>
      </c>
      <c r="X952" s="4" t="str">
        <f t="shared" si="71"/>
        <v/>
      </c>
      <c r="Y952" s="4" t="str">
        <f t="shared" si="72"/>
        <v/>
      </c>
      <c r="Z952" s="5">
        <f t="shared" si="73"/>
        <v>1.06</v>
      </c>
      <c r="AA952" s="6">
        <f t="shared" si="74"/>
        <v>2</v>
      </c>
      <c r="AB952" t="str">
        <f>IFERROR(F952&amp;"*"&amp;ROUND(L952*(G952/(G952+I952+K952))/VLOOKUP(F952,商品!$A$4:$D$67,4,FALSE),0),"")</f>
        <v/>
      </c>
      <c r="AC952" t="str">
        <f>IFERROR(H952&amp;"*"&amp;ROUND(L952*(I952/(G952+I952+K952))/VLOOKUP(H952,商品!$A$4:$D$67,4,FALSE),0),"")</f>
        <v/>
      </c>
      <c r="AD952" t="str">
        <f>IFERROR(J952&amp;"*"&amp;ROUND(L952*(K952/(G952+I952+K952))/VLOOKUP(J952,商品!$A$4:$D$67,4,FALSE),0),"")</f>
        <v/>
      </c>
      <c r="AE952" t="str">
        <f>IFERROR(M952&amp;"*"&amp;ROUND(Q952*(N952/(N952+P952))/VLOOKUP(M952,职业!$A$3:$E$16,4,FALSE),0),"")</f>
        <v/>
      </c>
      <c r="AF952" t="str">
        <f>IFERROR(O952&amp;"*"&amp;ROUND(Q952*(P952/(N952+P952))/VLOOKUP(O952,职业!$A$3:$E$16,4,FALSE),0),"")</f>
        <v/>
      </c>
      <c r="AG952" t="str">
        <f>IFERROR(R952&amp;"*"&amp;ROUND(V952*(S952/(S952+U952))/VLOOKUP(R952,商品!$A$4:$D$67,4,FALSE),0),"")</f>
        <v/>
      </c>
      <c r="AH952" t="str">
        <f>IFERROR(T952&amp;"*"&amp;ROUND(V952*(U952/(S952+U952))/VLOOKUP(T952,商品!$A$4:$D$67,4,FALSE),0),"")</f>
        <v/>
      </c>
    </row>
    <row r="953" customHeight="1" spans="1:34">
      <c r="A953" s="14" t="s">
        <v>458</v>
      </c>
      <c r="C953" s="2">
        <v>3</v>
      </c>
      <c r="D953" s="2" t="s">
        <v>220</v>
      </c>
      <c r="E953" s="2" t="s">
        <v>255</v>
      </c>
      <c r="L953" s="2">
        <f>IFERROR(VLOOKUP($D953&amp;$C953,生产方式定位!$A$2:$E$39,2,FALSE)+VLOOKUP($E953&amp;$C953,生产方式定位!$F$3:$J$39,2,FALSE),0)</f>
        <v>3000</v>
      </c>
      <c r="Q953" s="2">
        <f>IFERROR(VLOOKUP($D953&amp;$C953,生产方式定位!$A$2:$E$39,3,FALSE)+VLOOKUP($E953&amp;$C953,生产方式定位!$F$3:$J$39,3,FALSE),0)</f>
        <v>2400</v>
      </c>
      <c r="V953" s="2">
        <f>IFERROR(VLOOKUP($D953&amp;$C953,生产方式定位!$A$2:$E$39,5,FALSE)+VLOOKUP($E953&amp;$C953,生产方式定位!$F$3:$J$39,5,FALSE),"错误")</f>
        <v>2700</v>
      </c>
      <c r="W953" s="3" t="str">
        <f t="shared" si="70"/>
        <v/>
      </c>
      <c r="X953" s="4" t="str">
        <f t="shared" si="71"/>
        <v/>
      </c>
      <c r="Y953" s="4" t="str">
        <f t="shared" si="72"/>
        <v/>
      </c>
      <c r="Z953" s="5">
        <f t="shared" si="73"/>
        <v>1.11</v>
      </c>
      <c r="AA953" s="6">
        <f t="shared" si="74"/>
        <v>3</v>
      </c>
      <c r="AB953" t="str">
        <f>IFERROR(F953&amp;"*"&amp;ROUND(L953*(G953/(G953+I953+K953))/VLOOKUP(F953,商品!$A$4:$D$67,4,FALSE),0),"")</f>
        <v/>
      </c>
      <c r="AC953" t="str">
        <f>IFERROR(H953&amp;"*"&amp;ROUND(L953*(I953/(G953+I953+K953))/VLOOKUP(H953,商品!$A$4:$D$67,4,FALSE),0),"")</f>
        <v/>
      </c>
      <c r="AD953" t="str">
        <f>IFERROR(J953&amp;"*"&amp;ROUND(L953*(K953/(G953+I953+K953))/VLOOKUP(J953,商品!$A$4:$D$67,4,FALSE),0),"")</f>
        <v/>
      </c>
      <c r="AE953" t="str">
        <f>IFERROR(M953&amp;"*"&amp;ROUND(Q953*(N953/(N953+P953))/VLOOKUP(M953,职业!$A$3:$E$16,4,FALSE),0),"")</f>
        <v/>
      </c>
      <c r="AF953" t="str">
        <f>IFERROR(O953&amp;"*"&amp;ROUND(Q953*(P953/(N953+P953))/VLOOKUP(O953,职业!$A$3:$E$16,4,FALSE),0),"")</f>
        <v/>
      </c>
      <c r="AG953" t="str">
        <f>IFERROR(R953&amp;"*"&amp;ROUND(V953*(S953/(S953+U953))/VLOOKUP(R953,商品!$A$4:$D$67,4,FALSE),0),"")</f>
        <v/>
      </c>
      <c r="AH953" t="str">
        <f>IFERROR(T953&amp;"*"&amp;ROUND(V953*(U953/(S953+U953))/VLOOKUP(T953,商品!$A$4:$D$67,4,FALSE),0),"")</f>
        <v/>
      </c>
    </row>
    <row r="954" customHeight="1" spans="1:34">
      <c r="A954" s="15" t="s">
        <v>459</v>
      </c>
      <c r="C954" s="2">
        <v>4</v>
      </c>
      <c r="D954" s="2" t="s">
        <v>220</v>
      </c>
      <c r="E954" s="2" t="s">
        <v>225</v>
      </c>
      <c r="L954" s="2">
        <f>IFERROR(VLOOKUP($D954&amp;$C954,生产方式定位!$A$2:$E$39,2,FALSE)+VLOOKUP($E954&amp;$C954,生产方式定位!$F$3:$J$39,2,FALSE),0)</f>
        <v>3500</v>
      </c>
      <c r="Q954" s="2">
        <f>IFERROR(VLOOKUP($D954&amp;$C954,生产方式定位!$A$2:$E$39,3,FALSE)+VLOOKUP($E954&amp;$C954,生产方式定位!$F$3:$J$39,3,FALSE),0)</f>
        <v>2600</v>
      </c>
      <c r="V954" s="2">
        <f>IFERROR(VLOOKUP($D954&amp;$C954,生产方式定位!$A$2:$E$39,5,FALSE)+VLOOKUP($E954&amp;$C954,生产方式定位!$F$3:$J$39,5,FALSE),"错误")</f>
        <v>3050</v>
      </c>
      <c r="W954" s="3" t="str">
        <f t="shared" si="70"/>
        <v/>
      </c>
      <c r="X954" s="4" t="str">
        <f t="shared" si="71"/>
        <v/>
      </c>
      <c r="Y954" s="4" t="str">
        <f t="shared" si="72"/>
        <v/>
      </c>
      <c r="Z954" s="5">
        <f t="shared" si="73"/>
        <v>1.15</v>
      </c>
      <c r="AA954" s="6">
        <f t="shared" si="74"/>
        <v>4</v>
      </c>
      <c r="AB954" t="str">
        <f>IFERROR(F954&amp;"*"&amp;ROUND(L954*(G954/(G954+I954+K954))/VLOOKUP(F954,商品!$A$4:$D$67,4,FALSE),0),"")</f>
        <v/>
      </c>
      <c r="AC954" t="str">
        <f>IFERROR(H954&amp;"*"&amp;ROUND(L954*(I954/(G954+I954+K954))/VLOOKUP(H954,商品!$A$4:$D$67,4,FALSE),0),"")</f>
        <v/>
      </c>
      <c r="AD954" t="str">
        <f>IFERROR(J954&amp;"*"&amp;ROUND(L954*(K954/(G954+I954+K954))/VLOOKUP(J954,商品!$A$4:$D$67,4,FALSE),0),"")</f>
        <v/>
      </c>
      <c r="AE954" t="str">
        <f>IFERROR(M954&amp;"*"&amp;ROUND(Q954*(N954/(N954+P954))/VLOOKUP(M954,职业!$A$3:$E$16,4,FALSE),0),"")</f>
        <v/>
      </c>
      <c r="AF954" t="str">
        <f>IFERROR(O954&amp;"*"&amp;ROUND(Q954*(P954/(N954+P954))/VLOOKUP(O954,职业!$A$3:$E$16,4,FALSE),0),"")</f>
        <v/>
      </c>
      <c r="AG954" t="str">
        <f>IFERROR(R954&amp;"*"&amp;ROUND(V954*(S954/(S954+U954))/VLOOKUP(R954,商品!$A$4:$D$67,4,FALSE),0),"")</f>
        <v/>
      </c>
      <c r="AH954" t="str">
        <f>IFERROR(T954&amp;"*"&amp;ROUND(V954*(U954/(S954+U954))/VLOOKUP(T954,商品!$A$4:$D$67,4,FALSE),0),"")</f>
        <v/>
      </c>
    </row>
    <row r="955" customHeight="1" spans="1:34">
      <c r="A955" s="15" t="s">
        <v>459</v>
      </c>
      <c r="C955" s="2">
        <v>5</v>
      </c>
      <c r="D955" s="2" t="s">
        <v>220</v>
      </c>
      <c r="E955" s="2" t="s">
        <v>225</v>
      </c>
      <c r="L955" s="2">
        <f>IFERROR(VLOOKUP($D955&amp;$C955,生产方式定位!$A$2:$E$39,2,FALSE)+VLOOKUP($E955&amp;$C955,生产方式定位!$F$3:$J$39,2,FALSE),0)</f>
        <v>4000</v>
      </c>
      <c r="Q955" s="2">
        <f>IFERROR(VLOOKUP($D955&amp;$C955,生产方式定位!$A$2:$E$39,3,FALSE)+VLOOKUP($E955&amp;$C955,生产方式定位!$F$3:$J$39,3,FALSE),0)</f>
        <v>2800</v>
      </c>
      <c r="V955" s="2">
        <f>IFERROR(VLOOKUP($D955&amp;$C955,生产方式定位!$A$2:$E$39,5,FALSE)+VLOOKUP($E955&amp;$C955,生产方式定位!$F$3:$J$39,5,FALSE),"错误")</f>
        <v>3400</v>
      </c>
      <c r="W955" s="3" t="str">
        <f t="shared" si="70"/>
        <v/>
      </c>
      <c r="X955" s="4" t="str">
        <f t="shared" si="71"/>
        <v/>
      </c>
      <c r="Y955" s="4" t="str">
        <f t="shared" si="72"/>
        <v/>
      </c>
      <c r="Z955" s="5">
        <f t="shared" si="73"/>
        <v>1.18</v>
      </c>
      <c r="AA955" s="6">
        <f t="shared" si="74"/>
        <v>5</v>
      </c>
      <c r="AB955" t="str">
        <f>IFERROR(F955&amp;"*"&amp;ROUND(L955*(G955/(G955+I955+K955))/VLOOKUP(F955,商品!$A$4:$D$67,4,FALSE),0),"")</f>
        <v/>
      </c>
      <c r="AC955" t="str">
        <f>IFERROR(H955&amp;"*"&amp;ROUND(L955*(I955/(G955+I955+K955))/VLOOKUP(H955,商品!$A$4:$D$67,4,FALSE),0),"")</f>
        <v/>
      </c>
      <c r="AD955" t="str">
        <f>IFERROR(J955&amp;"*"&amp;ROUND(L955*(K955/(G955+I955+K955))/VLOOKUP(J955,商品!$A$4:$D$67,4,FALSE),0),"")</f>
        <v/>
      </c>
      <c r="AE955" t="str">
        <f>IFERROR(M955&amp;"*"&amp;ROUND(Q955*(N955/(N955+P955))/VLOOKUP(M955,职业!$A$3:$E$16,4,FALSE),0),"")</f>
        <v/>
      </c>
      <c r="AF955" t="str">
        <f>IFERROR(O955&amp;"*"&amp;ROUND(Q955*(P955/(N955+P955))/VLOOKUP(O955,职业!$A$3:$E$16,4,FALSE),0),"")</f>
        <v/>
      </c>
      <c r="AG955" t="str">
        <f>IFERROR(R955&amp;"*"&amp;ROUND(V955*(S955/(S955+U955))/VLOOKUP(R955,商品!$A$4:$D$67,4,FALSE),0),"")</f>
        <v/>
      </c>
      <c r="AH955" t="str">
        <f>IFERROR(T955&amp;"*"&amp;ROUND(V955*(U955/(S955+U955))/VLOOKUP(T955,商品!$A$4:$D$67,4,FALSE),0),"")</f>
        <v/>
      </c>
    </row>
    <row r="956" customHeight="1" spans="1:34">
      <c r="A956" s="15" t="s">
        <v>459</v>
      </c>
      <c r="C956" s="2">
        <v>1</v>
      </c>
      <c r="D956" s="2" t="s">
        <v>220</v>
      </c>
      <c r="E956" s="2" t="s">
        <v>225</v>
      </c>
      <c r="L956" s="2">
        <f>IFERROR(VLOOKUP($D956&amp;$C956,生产方式定位!$A$2:$E$39,2,FALSE)+VLOOKUP($E956&amp;$C956,生产方式定位!$F$3:$J$39,2,FALSE),0)</f>
        <v>2000</v>
      </c>
      <c r="Q956" s="2">
        <f>IFERROR(VLOOKUP($D956&amp;$C956,生产方式定位!$A$2:$E$39,3,FALSE)+VLOOKUP($E956&amp;$C956,生产方式定位!$F$3:$J$39,3,FALSE),0)</f>
        <v>2000</v>
      </c>
      <c r="V956" s="2">
        <f>IFERROR(VLOOKUP($D956&amp;$C956,生产方式定位!$A$2:$E$39,5,FALSE)+VLOOKUP($E956&amp;$C956,生产方式定位!$F$3:$J$39,5,FALSE),"错误")</f>
        <v>2000</v>
      </c>
      <c r="W956" s="3" t="str">
        <f t="shared" si="70"/>
        <v/>
      </c>
      <c r="X956" s="4" t="str">
        <f t="shared" si="71"/>
        <v/>
      </c>
      <c r="Y956" s="4" t="str">
        <f t="shared" si="72"/>
        <v/>
      </c>
      <c r="Z956" s="5">
        <f t="shared" si="73"/>
        <v>1</v>
      </c>
      <c r="AA956" s="6">
        <f t="shared" si="74"/>
        <v>1</v>
      </c>
      <c r="AB956" t="str">
        <f>IFERROR(F956&amp;"*"&amp;ROUND(L956*(G956/(G956+I956+K956))/VLOOKUP(F956,商品!$A$4:$D$67,4,FALSE),0),"")</f>
        <v/>
      </c>
      <c r="AC956" t="str">
        <f>IFERROR(H956&amp;"*"&amp;ROUND(L956*(I956/(G956+I956+K956))/VLOOKUP(H956,商品!$A$4:$D$67,4,FALSE),0),"")</f>
        <v/>
      </c>
      <c r="AD956" t="str">
        <f>IFERROR(J956&amp;"*"&amp;ROUND(L956*(K956/(G956+I956+K956))/VLOOKUP(J956,商品!$A$4:$D$67,4,FALSE),0),"")</f>
        <v/>
      </c>
      <c r="AE956" t="str">
        <f>IFERROR(M956&amp;"*"&amp;ROUND(Q956*(N956/(N956+P956))/VLOOKUP(M956,职业!$A$3:$E$16,4,FALSE),0),"")</f>
        <v/>
      </c>
      <c r="AF956" t="str">
        <f>IFERROR(O956&amp;"*"&amp;ROUND(Q956*(P956/(N956+P956))/VLOOKUP(O956,职业!$A$3:$E$16,4,FALSE),0),"")</f>
        <v/>
      </c>
      <c r="AG956" t="str">
        <f>IFERROR(R956&amp;"*"&amp;ROUND(V956*(S956/(S956+U956))/VLOOKUP(R956,商品!$A$4:$D$67,4,FALSE),0),"")</f>
        <v/>
      </c>
      <c r="AH956" t="str">
        <f>IFERROR(T956&amp;"*"&amp;ROUND(V956*(U956/(S956+U956))/VLOOKUP(T956,商品!$A$4:$D$67,4,FALSE),0),"")</f>
        <v/>
      </c>
    </row>
    <row r="957" customHeight="1" spans="1:34">
      <c r="A957" s="15" t="s">
        <v>459</v>
      </c>
      <c r="C957" s="2">
        <v>2</v>
      </c>
      <c r="D957" s="2" t="s">
        <v>220</v>
      </c>
      <c r="E957" s="2" t="s">
        <v>225</v>
      </c>
      <c r="L957" s="2">
        <f>IFERROR(VLOOKUP($D957&amp;$C957,生产方式定位!$A$2:$E$39,2,FALSE)+VLOOKUP($E957&amp;$C957,生产方式定位!$F$3:$J$39,2,FALSE),0)</f>
        <v>2500</v>
      </c>
      <c r="Q957" s="2">
        <f>IFERROR(VLOOKUP($D957&amp;$C957,生产方式定位!$A$2:$E$39,3,FALSE)+VLOOKUP($E957&amp;$C957,生产方式定位!$F$3:$J$39,3,FALSE),0)</f>
        <v>2200</v>
      </c>
      <c r="V957" s="2">
        <f>IFERROR(VLOOKUP($D957&amp;$C957,生产方式定位!$A$2:$E$39,5,FALSE)+VLOOKUP($E957&amp;$C957,生产方式定位!$F$3:$J$39,5,FALSE),"错误")</f>
        <v>2350</v>
      </c>
      <c r="W957" s="3" t="str">
        <f t="shared" si="70"/>
        <v/>
      </c>
      <c r="X957" s="4" t="str">
        <f t="shared" si="71"/>
        <v/>
      </c>
      <c r="Y957" s="4" t="str">
        <f t="shared" si="72"/>
        <v/>
      </c>
      <c r="Z957" s="5">
        <f t="shared" si="73"/>
        <v>1.06</v>
      </c>
      <c r="AA957" s="6">
        <f t="shared" si="74"/>
        <v>2</v>
      </c>
      <c r="AB957" t="str">
        <f>IFERROR(F957&amp;"*"&amp;ROUND(L957*(G957/(G957+I957+K957))/VLOOKUP(F957,商品!$A$4:$D$67,4,FALSE),0),"")</f>
        <v/>
      </c>
      <c r="AC957" t="str">
        <f>IFERROR(H957&amp;"*"&amp;ROUND(L957*(I957/(G957+I957+K957))/VLOOKUP(H957,商品!$A$4:$D$67,4,FALSE),0),"")</f>
        <v/>
      </c>
      <c r="AD957" t="str">
        <f>IFERROR(J957&amp;"*"&amp;ROUND(L957*(K957/(G957+I957+K957))/VLOOKUP(J957,商品!$A$4:$D$67,4,FALSE),0),"")</f>
        <v/>
      </c>
      <c r="AE957" t="str">
        <f>IFERROR(M957&amp;"*"&amp;ROUND(Q957*(N957/(N957+P957))/VLOOKUP(M957,职业!$A$3:$E$16,4,FALSE),0),"")</f>
        <v/>
      </c>
      <c r="AF957" t="str">
        <f>IFERROR(O957&amp;"*"&amp;ROUND(Q957*(P957/(N957+P957))/VLOOKUP(O957,职业!$A$3:$E$16,4,FALSE),0),"")</f>
        <v/>
      </c>
      <c r="AG957" t="str">
        <f>IFERROR(R957&amp;"*"&amp;ROUND(V957*(S957/(S957+U957))/VLOOKUP(R957,商品!$A$4:$D$67,4,FALSE),0),"")</f>
        <v/>
      </c>
      <c r="AH957" t="str">
        <f>IFERROR(T957&amp;"*"&amp;ROUND(V957*(U957/(S957+U957))/VLOOKUP(T957,商品!$A$4:$D$67,4,FALSE),0),"")</f>
        <v/>
      </c>
    </row>
    <row r="958" customHeight="1" spans="1:34">
      <c r="A958" s="15" t="s">
        <v>459</v>
      </c>
      <c r="C958" s="2">
        <v>3</v>
      </c>
      <c r="D958" s="2" t="s">
        <v>220</v>
      </c>
      <c r="E958" s="2" t="s">
        <v>225</v>
      </c>
      <c r="L958" s="2">
        <f>IFERROR(VLOOKUP($D958&amp;$C958,生产方式定位!$A$2:$E$39,2,FALSE)+VLOOKUP($E958&amp;$C958,生产方式定位!$F$3:$J$39,2,FALSE),0)</f>
        <v>3000</v>
      </c>
      <c r="Q958" s="2">
        <f>IFERROR(VLOOKUP($D958&amp;$C958,生产方式定位!$A$2:$E$39,3,FALSE)+VLOOKUP($E958&amp;$C958,生产方式定位!$F$3:$J$39,3,FALSE),0)</f>
        <v>2400</v>
      </c>
      <c r="V958" s="2">
        <f>IFERROR(VLOOKUP($D958&amp;$C958,生产方式定位!$A$2:$E$39,5,FALSE)+VLOOKUP($E958&amp;$C958,生产方式定位!$F$3:$J$39,5,FALSE),"错误")</f>
        <v>2700</v>
      </c>
      <c r="W958" s="3" t="str">
        <f t="shared" si="70"/>
        <v/>
      </c>
      <c r="X958" s="4" t="str">
        <f t="shared" si="71"/>
        <v/>
      </c>
      <c r="Y958" s="4" t="str">
        <f t="shared" si="72"/>
        <v/>
      </c>
      <c r="Z958" s="5">
        <f t="shared" si="73"/>
        <v>1.11</v>
      </c>
      <c r="AA958" s="6">
        <f t="shared" si="74"/>
        <v>3</v>
      </c>
      <c r="AB958" t="str">
        <f>IFERROR(F958&amp;"*"&amp;ROUND(L958*(G958/(G958+I958+K958))/VLOOKUP(F958,商品!$A$4:$D$67,4,FALSE),0),"")</f>
        <v/>
      </c>
      <c r="AC958" t="str">
        <f>IFERROR(H958&amp;"*"&amp;ROUND(L958*(I958/(G958+I958+K958))/VLOOKUP(H958,商品!$A$4:$D$67,4,FALSE),0),"")</f>
        <v/>
      </c>
      <c r="AD958" t="str">
        <f>IFERROR(J958&amp;"*"&amp;ROUND(L958*(K958/(G958+I958+K958))/VLOOKUP(J958,商品!$A$4:$D$67,4,FALSE),0),"")</f>
        <v/>
      </c>
      <c r="AE958" t="str">
        <f>IFERROR(M958&amp;"*"&amp;ROUND(Q958*(N958/(N958+P958))/VLOOKUP(M958,职业!$A$3:$E$16,4,FALSE),0),"")</f>
        <v/>
      </c>
      <c r="AF958" t="str">
        <f>IFERROR(O958&amp;"*"&amp;ROUND(Q958*(P958/(N958+P958))/VLOOKUP(O958,职业!$A$3:$E$16,4,FALSE),0),"")</f>
        <v/>
      </c>
      <c r="AG958" t="str">
        <f>IFERROR(R958&amp;"*"&amp;ROUND(V958*(S958/(S958+U958))/VLOOKUP(R958,商品!$A$4:$D$67,4,FALSE),0),"")</f>
        <v/>
      </c>
      <c r="AH958" t="str">
        <f>IFERROR(T958&amp;"*"&amp;ROUND(V958*(U958/(S958+U958))/VLOOKUP(T958,商品!$A$4:$D$67,4,FALSE),0),"")</f>
        <v/>
      </c>
    </row>
    <row r="959" customHeight="1" spans="1:34">
      <c r="A959" s="15" t="s">
        <v>459</v>
      </c>
      <c r="C959" s="2">
        <v>4</v>
      </c>
      <c r="D959" s="2" t="s">
        <v>220</v>
      </c>
      <c r="E959" s="2" t="s">
        <v>225</v>
      </c>
      <c r="L959" s="2">
        <f>IFERROR(VLOOKUP($D959&amp;$C959,生产方式定位!$A$2:$E$39,2,FALSE)+VLOOKUP($E959&amp;$C959,生产方式定位!$F$3:$J$39,2,FALSE),0)</f>
        <v>3500</v>
      </c>
      <c r="Q959" s="2">
        <f>IFERROR(VLOOKUP($D959&amp;$C959,生产方式定位!$A$2:$E$39,3,FALSE)+VLOOKUP($E959&amp;$C959,生产方式定位!$F$3:$J$39,3,FALSE),0)</f>
        <v>2600</v>
      </c>
      <c r="V959" s="2">
        <f>IFERROR(VLOOKUP($D959&amp;$C959,生产方式定位!$A$2:$E$39,5,FALSE)+VLOOKUP($E959&amp;$C959,生产方式定位!$F$3:$J$39,5,FALSE),"错误")</f>
        <v>3050</v>
      </c>
      <c r="W959" s="3" t="str">
        <f t="shared" si="70"/>
        <v/>
      </c>
      <c r="X959" s="4" t="str">
        <f t="shared" si="71"/>
        <v/>
      </c>
      <c r="Y959" s="4" t="str">
        <f t="shared" si="72"/>
        <v/>
      </c>
      <c r="Z959" s="5">
        <f t="shared" si="73"/>
        <v>1.15</v>
      </c>
      <c r="AA959" s="6">
        <f t="shared" si="74"/>
        <v>4</v>
      </c>
      <c r="AB959" t="str">
        <f>IFERROR(F959&amp;"*"&amp;ROUND(L959*(G959/(G959+I959+K959))/VLOOKUP(F959,商品!$A$4:$D$67,4,FALSE),0),"")</f>
        <v/>
      </c>
      <c r="AC959" t="str">
        <f>IFERROR(H959&amp;"*"&amp;ROUND(L959*(I959/(G959+I959+K959))/VLOOKUP(H959,商品!$A$4:$D$67,4,FALSE),0),"")</f>
        <v/>
      </c>
      <c r="AD959" t="str">
        <f>IFERROR(J959&amp;"*"&amp;ROUND(L959*(K959/(G959+I959+K959))/VLOOKUP(J959,商品!$A$4:$D$67,4,FALSE),0),"")</f>
        <v/>
      </c>
      <c r="AE959" t="str">
        <f>IFERROR(M959&amp;"*"&amp;ROUND(Q959*(N959/(N959+P959))/VLOOKUP(M959,职业!$A$3:$E$16,4,FALSE),0),"")</f>
        <v/>
      </c>
      <c r="AF959" t="str">
        <f>IFERROR(O959&amp;"*"&amp;ROUND(Q959*(P959/(N959+P959))/VLOOKUP(O959,职业!$A$3:$E$16,4,FALSE),0),"")</f>
        <v/>
      </c>
      <c r="AG959" t="str">
        <f>IFERROR(R959&amp;"*"&amp;ROUND(V959*(S959/(S959+U959))/VLOOKUP(R959,商品!$A$4:$D$67,4,FALSE),0),"")</f>
        <v/>
      </c>
      <c r="AH959" t="str">
        <f>IFERROR(T959&amp;"*"&amp;ROUND(V959*(U959/(S959+U959))/VLOOKUP(T959,商品!$A$4:$D$67,4,FALSE),0),"")</f>
        <v/>
      </c>
    </row>
    <row r="960" customHeight="1" spans="1:34">
      <c r="A960" s="15" t="s">
        <v>459</v>
      </c>
      <c r="C960" s="2">
        <v>5</v>
      </c>
      <c r="D960" s="2" t="s">
        <v>220</v>
      </c>
      <c r="E960" s="2" t="s">
        <v>225</v>
      </c>
      <c r="L960" s="2">
        <f>IFERROR(VLOOKUP($D960&amp;$C960,生产方式定位!$A$2:$E$39,2,FALSE)+VLOOKUP($E960&amp;$C960,生产方式定位!$F$3:$J$39,2,FALSE),0)</f>
        <v>4000</v>
      </c>
      <c r="Q960" s="2">
        <f>IFERROR(VLOOKUP($D960&amp;$C960,生产方式定位!$A$2:$E$39,3,FALSE)+VLOOKUP($E960&amp;$C960,生产方式定位!$F$3:$J$39,3,FALSE),0)</f>
        <v>2800</v>
      </c>
      <c r="V960" s="2">
        <f>IFERROR(VLOOKUP($D960&amp;$C960,生产方式定位!$A$2:$E$39,5,FALSE)+VLOOKUP($E960&amp;$C960,生产方式定位!$F$3:$J$39,5,FALSE),"错误")</f>
        <v>3400</v>
      </c>
      <c r="W960" s="3" t="str">
        <f t="shared" si="70"/>
        <v/>
      </c>
      <c r="X960" s="4" t="str">
        <f t="shared" si="71"/>
        <v/>
      </c>
      <c r="Y960" s="4" t="str">
        <f t="shared" si="72"/>
        <v/>
      </c>
      <c r="Z960" s="5">
        <f t="shared" si="73"/>
        <v>1.18</v>
      </c>
      <c r="AA960" s="6">
        <f t="shared" si="74"/>
        <v>5</v>
      </c>
      <c r="AB960" t="str">
        <f>IFERROR(F960&amp;"*"&amp;ROUND(L960*(G960/(G960+I960+K960))/VLOOKUP(F960,商品!$A$4:$D$67,4,FALSE),0),"")</f>
        <v/>
      </c>
      <c r="AC960" t="str">
        <f>IFERROR(H960&amp;"*"&amp;ROUND(L960*(I960/(G960+I960+K960))/VLOOKUP(H960,商品!$A$4:$D$67,4,FALSE),0),"")</f>
        <v/>
      </c>
      <c r="AD960" t="str">
        <f>IFERROR(J960&amp;"*"&amp;ROUND(L960*(K960/(G960+I960+K960))/VLOOKUP(J960,商品!$A$4:$D$67,4,FALSE),0),"")</f>
        <v/>
      </c>
      <c r="AE960" t="str">
        <f>IFERROR(M960&amp;"*"&amp;ROUND(Q960*(N960/(N960+P960))/VLOOKUP(M960,职业!$A$3:$E$16,4,FALSE),0),"")</f>
        <v/>
      </c>
      <c r="AF960" t="str">
        <f>IFERROR(O960&amp;"*"&amp;ROUND(Q960*(P960/(N960+P960))/VLOOKUP(O960,职业!$A$3:$E$16,4,FALSE),0),"")</f>
        <v/>
      </c>
      <c r="AG960" t="str">
        <f>IFERROR(R960&amp;"*"&amp;ROUND(V960*(S960/(S960+U960))/VLOOKUP(R960,商品!$A$4:$D$67,4,FALSE),0),"")</f>
        <v/>
      </c>
      <c r="AH960" t="str">
        <f>IFERROR(T960&amp;"*"&amp;ROUND(V960*(U960/(S960+U960))/VLOOKUP(T960,商品!$A$4:$D$67,4,FALSE),0),"")</f>
        <v/>
      </c>
    </row>
    <row r="961" customHeight="1" spans="1:34">
      <c r="A961" s="15" t="s">
        <v>459</v>
      </c>
      <c r="C961" s="2">
        <v>1</v>
      </c>
      <c r="D961" s="2" t="s">
        <v>220</v>
      </c>
      <c r="E961" s="2" t="s">
        <v>225</v>
      </c>
      <c r="L961" s="2">
        <f>IFERROR(VLOOKUP($D961&amp;$C961,生产方式定位!$A$2:$E$39,2,FALSE)+VLOOKUP($E961&amp;$C961,生产方式定位!$F$3:$J$39,2,FALSE),0)</f>
        <v>2000</v>
      </c>
      <c r="Q961" s="2">
        <f>IFERROR(VLOOKUP($D961&amp;$C961,生产方式定位!$A$2:$E$39,3,FALSE)+VLOOKUP($E961&amp;$C961,生产方式定位!$F$3:$J$39,3,FALSE),0)</f>
        <v>2000</v>
      </c>
      <c r="V961" s="2">
        <f>IFERROR(VLOOKUP($D961&amp;$C961,生产方式定位!$A$2:$E$39,5,FALSE)+VLOOKUP($E961&amp;$C961,生产方式定位!$F$3:$J$39,5,FALSE),"错误")</f>
        <v>2000</v>
      </c>
      <c r="W961" s="3" t="str">
        <f t="shared" si="70"/>
        <v/>
      </c>
      <c r="X961" s="4" t="str">
        <f t="shared" si="71"/>
        <v/>
      </c>
      <c r="Y961" s="4" t="str">
        <f t="shared" si="72"/>
        <v/>
      </c>
      <c r="Z961" s="5">
        <f t="shared" si="73"/>
        <v>1</v>
      </c>
      <c r="AA961" s="6">
        <f t="shared" si="74"/>
        <v>1</v>
      </c>
      <c r="AB961" t="str">
        <f>IFERROR(F961&amp;"*"&amp;ROUND(L961*(G961/(G961+I961+K961))/VLOOKUP(F961,商品!$A$4:$D$67,4,FALSE),0),"")</f>
        <v/>
      </c>
      <c r="AC961" t="str">
        <f>IFERROR(H961&amp;"*"&amp;ROUND(L961*(I961/(G961+I961+K961))/VLOOKUP(H961,商品!$A$4:$D$67,4,FALSE),0),"")</f>
        <v/>
      </c>
      <c r="AD961" t="str">
        <f>IFERROR(J961&amp;"*"&amp;ROUND(L961*(K961/(G961+I961+K961))/VLOOKUP(J961,商品!$A$4:$D$67,4,FALSE),0),"")</f>
        <v/>
      </c>
      <c r="AE961" t="str">
        <f>IFERROR(M961&amp;"*"&amp;ROUND(Q961*(N961/(N961+P961))/VLOOKUP(M961,职业!$A$3:$E$16,4,FALSE),0),"")</f>
        <v/>
      </c>
      <c r="AF961" t="str">
        <f>IFERROR(O961&amp;"*"&amp;ROUND(Q961*(P961/(N961+P961))/VLOOKUP(O961,职业!$A$3:$E$16,4,FALSE),0),"")</f>
        <v/>
      </c>
      <c r="AG961" t="str">
        <f>IFERROR(R961&amp;"*"&amp;ROUND(V961*(S961/(S961+U961))/VLOOKUP(R961,商品!$A$4:$D$67,4,FALSE),0),"")</f>
        <v/>
      </c>
      <c r="AH961" t="str">
        <f>IFERROR(T961&amp;"*"&amp;ROUND(V961*(U961/(S961+U961))/VLOOKUP(T961,商品!$A$4:$D$67,4,FALSE),0),"")</f>
        <v/>
      </c>
    </row>
    <row r="962" customHeight="1" spans="1:34">
      <c r="A962" s="14" t="s">
        <v>461</v>
      </c>
      <c r="C962" s="2">
        <v>2</v>
      </c>
      <c r="D962" s="2" t="s">
        <v>220</v>
      </c>
      <c r="E962" s="2" t="s">
        <v>222</v>
      </c>
      <c r="L962" s="2">
        <f>IFERROR(VLOOKUP($D962&amp;$C962,生产方式定位!$A$2:$E$39,2,FALSE)+VLOOKUP($E962&amp;$C962,生产方式定位!$F$3:$J$39,2,FALSE),0)</f>
        <v>3500</v>
      </c>
      <c r="Q962" s="2">
        <f>IFERROR(VLOOKUP($D962&amp;$C962,生产方式定位!$A$2:$E$39,3,FALSE)+VLOOKUP($E962&amp;$C962,生产方式定位!$F$3:$J$39,3,FALSE),0)</f>
        <v>2400</v>
      </c>
      <c r="V962" s="2">
        <f>IFERROR(VLOOKUP($D962&amp;$C962,生产方式定位!$A$2:$E$39,5,FALSE)+VLOOKUP($E962&amp;$C962,生产方式定位!$F$3:$J$39,5,FALSE),"错误")</f>
        <v>3022</v>
      </c>
      <c r="W962" s="3" t="str">
        <f t="shared" si="70"/>
        <v/>
      </c>
      <c r="X962" s="4" t="str">
        <f t="shared" si="71"/>
        <v/>
      </c>
      <c r="Y962" s="4" t="str">
        <f t="shared" si="72"/>
        <v/>
      </c>
      <c r="Z962" s="5">
        <f t="shared" si="73"/>
        <v>1.16</v>
      </c>
      <c r="AA962" s="6">
        <f t="shared" si="74"/>
        <v>2</v>
      </c>
      <c r="AB962" t="str">
        <f>IFERROR(F962&amp;"*"&amp;ROUND(L962*(G962/(G962+I962+K962))/VLOOKUP(F962,商品!$A$4:$D$67,4,FALSE),0),"")</f>
        <v/>
      </c>
      <c r="AC962" t="str">
        <f>IFERROR(H962&amp;"*"&amp;ROUND(L962*(I962/(G962+I962+K962))/VLOOKUP(H962,商品!$A$4:$D$67,4,FALSE),0),"")</f>
        <v/>
      </c>
      <c r="AD962" t="str">
        <f>IFERROR(J962&amp;"*"&amp;ROUND(L962*(K962/(G962+I962+K962))/VLOOKUP(J962,商品!$A$4:$D$67,4,FALSE),0),"")</f>
        <v/>
      </c>
      <c r="AE962" t="str">
        <f>IFERROR(M962&amp;"*"&amp;ROUND(Q962*(N962/(N962+P962))/VLOOKUP(M962,职业!$A$3:$E$16,4,FALSE),0),"")</f>
        <v/>
      </c>
      <c r="AF962" t="str">
        <f>IFERROR(O962&amp;"*"&amp;ROUND(Q962*(P962/(N962+P962))/VLOOKUP(O962,职业!$A$3:$E$16,4,FALSE),0),"")</f>
        <v/>
      </c>
      <c r="AG962" t="str">
        <f>IFERROR(R962&amp;"*"&amp;ROUND(V962*(S962/(S962+U962))/VLOOKUP(R962,商品!$A$4:$D$67,4,FALSE),0),"")</f>
        <v/>
      </c>
      <c r="AH962" t="str">
        <f>IFERROR(T962&amp;"*"&amp;ROUND(V962*(U962/(S962+U962))/VLOOKUP(T962,商品!$A$4:$D$67,4,FALSE),0),"")</f>
        <v/>
      </c>
    </row>
    <row r="963" customHeight="1" spans="1:34">
      <c r="A963" s="14" t="s">
        <v>461</v>
      </c>
      <c r="C963" s="2">
        <v>3</v>
      </c>
      <c r="D963" s="2" t="s">
        <v>220</v>
      </c>
      <c r="E963" s="2" t="s">
        <v>222</v>
      </c>
      <c r="L963" s="2">
        <f>IFERROR(VLOOKUP($D963&amp;$C963,生产方式定位!$A$2:$E$39,2,FALSE)+VLOOKUP($E963&amp;$C963,生产方式定位!$F$3:$J$39,2,FALSE),0)</f>
        <v>5000</v>
      </c>
      <c r="Q963" s="2">
        <f>IFERROR(VLOOKUP($D963&amp;$C963,生产方式定位!$A$2:$E$39,3,FALSE)+VLOOKUP($E963&amp;$C963,生产方式定位!$F$3:$J$39,3,FALSE),0)</f>
        <v>2800</v>
      </c>
      <c r="V963" s="2">
        <f>IFERROR(VLOOKUP($D963&amp;$C963,生产方式定位!$A$2:$E$39,5,FALSE)+VLOOKUP($E963&amp;$C963,生产方式定位!$F$3:$J$39,5,FALSE),"错误")</f>
        <v>4188</v>
      </c>
      <c r="W963" s="3" t="str">
        <f t="shared" si="70"/>
        <v/>
      </c>
      <c r="X963" s="4" t="str">
        <f t="shared" si="71"/>
        <v/>
      </c>
      <c r="Y963" s="4" t="str">
        <f t="shared" si="72"/>
        <v/>
      </c>
      <c r="Z963" s="5">
        <f t="shared" si="73"/>
        <v>1.19</v>
      </c>
      <c r="AA963" s="6">
        <f t="shared" si="74"/>
        <v>3</v>
      </c>
      <c r="AB963" t="str">
        <f>IFERROR(F963&amp;"*"&amp;ROUND(L963*(G963/(G963+I963+K963))/VLOOKUP(F963,商品!$A$4:$D$67,4,FALSE),0),"")</f>
        <v/>
      </c>
      <c r="AC963" t="str">
        <f>IFERROR(H963&amp;"*"&amp;ROUND(L963*(I963/(G963+I963+K963))/VLOOKUP(H963,商品!$A$4:$D$67,4,FALSE),0),"")</f>
        <v/>
      </c>
      <c r="AD963" t="str">
        <f>IFERROR(J963&amp;"*"&amp;ROUND(L963*(K963/(G963+I963+K963))/VLOOKUP(J963,商品!$A$4:$D$67,4,FALSE),0),"")</f>
        <v/>
      </c>
      <c r="AE963" t="str">
        <f>IFERROR(M963&amp;"*"&amp;ROUND(Q963*(N963/(N963+P963))/VLOOKUP(M963,职业!$A$3:$E$16,4,FALSE),0),"")</f>
        <v/>
      </c>
      <c r="AF963" t="str">
        <f>IFERROR(O963&amp;"*"&amp;ROUND(Q963*(P963/(N963+P963))/VLOOKUP(O963,职业!$A$3:$E$16,4,FALSE),0),"")</f>
        <v/>
      </c>
      <c r="AG963" t="str">
        <f>IFERROR(R963&amp;"*"&amp;ROUND(V963*(S963/(S963+U963))/VLOOKUP(R963,商品!$A$4:$D$67,4,FALSE),0),"")</f>
        <v/>
      </c>
      <c r="AH963" t="str">
        <f>IFERROR(T963&amp;"*"&amp;ROUND(V963*(U963/(S963+U963))/VLOOKUP(T963,商品!$A$4:$D$67,4,FALSE),0),"")</f>
        <v/>
      </c>
    </row>
    <row r="964" customHeight="1" spans="1:34">
      <c r="A964" s="14" t="s">
        <v>461</v>
      </c>
      <c r="C964" s="2">
        <v>4</v>
      </c>
      <c r="D964" s="2" t="s">
        <v>220</v>
      </c>
      <c r="E964" s="2" t="s">
        <v>222</v>
      </c>
      <c r="L964" s="2">
        <f>IFERROR(VLOOKUP($D964&amp;$C964,生产方式定位!$A$2:$E$39,2,FALSE)+VLOOKUP($E964&amp;$C964,生产方式定位!$F$3:$J$39,2,FALSE),0)</f>
        <v>6500</v>
      </c>
      <c r="Q964" s="2">
        <f>IFERROR(VLOOKUP($D964&amp;$C964,生产方式定位!$A$2:$E$39,3,FALSE)+VLOOKUP($E964&amp;$C964,生产方式定位!$F$3:$J$39,3,FALSE),0)</f>
        <v>3200</v>
      </c>
      <c r="V964" s="2">
        <f>IFERROR(VLOOKUP($D964&amp;$C964,生产方式定位!$A$2:$E$39,5,FALSE)+VLOOKUP($E964&amp;$C964,生产方式定位!$F$3:$J$39,5,FALSE),"错误")</f>
        <v>5498</v>
      </c>
      <c r="W964" s="3" t="str">
        <f t="shared" si="70"/>
        <v/>
      </c>
      <c r="X964" s="4" t="str">
        <f t="shared" si="71"/>
        <v/>
      </c>
      <c r="Y964" s="4" t="str">
        <f t="shared" si="72"/>
        <v/>
      </c>
      <c r="Z964" s="5">
        <f t="shared" si="73"/>
        <v>1.18</v>
      </c>
      <c r="AA964" s="6">
        <f t="shared" si="74"/>
        <v>4</v>
      </c>
      <c r="AB964" t="str">
        <f>IFERROR(F964&amp;"*"&amp;ROUND(L964*(G964/(G964+I964+K964))/VLOOKUP(F964,商品!$A$4:$D$67,4,FALSE),0),"")</f>
        <v/>
      </c>
      <c r="AC964" t="str">
        <f>IFERROR(H964&amp;"*"&amp;ROUND(L964*(I964/(G964+I964+K964))/VLOOKUP(H964,商品!$A$4:$D$67,4,FALSE),0),"")</f>
        <v/>
      </c>
      <c r="AD964" t="str">
        <f>IFERROR(J964&amp;"*"&amp;ROUND(L964*(K964/(G964+I964+K964))/VLOOKUP(J964,商品!$A$4:$D$67,4,FALSE),0),"")</f>
        <v/>
      </c>
      <c r="AE964" t="str">
        <f>IFERROR(M964&amp;"*"&amp;ROUND(Q964*(N964/(N964+P964))/VLOOKUP(M964,职业!$A$3:$E$16,4,FALSE),0),"")</f>
        <v/>
      </c>
      <c r="AF964" t="str">
        <f>IFERROR(O964&amp;"*"&amp;ROUND(Q964*(P964/(N964+P964))/VLOOKUP(O964,职业!$A$3:$E$16,4,FALSE),0),"")</f>
        <v/>
      </c>
      <c r="AG964" t="str">
        <f>IFERROR(R964&amp;"*"&amp;ROUND(V964*(S964/(S964+U964))/VLOOKUP(R964,商品!$A$4:$D$67,4,FALSE),0),"")</f>
        <v/>
      </c>
      <c r="AH964" t="str">
        <f>IFERROR(T964&amp;"*"&amp;ROUND(V964*(U964/(S964+U964))/VLOOKUP(T964,商品!$A$4:$D$67,4,FALSE),0),"")</f>
        <v/>
      </c>
    </row>
    <row r="965" customHeight="1" spans="1:34">
      <c r="A965" s="14" t="s">
        <v>461</v>
      </c>
      <c r="C965" s="2">
        <v>5</v>
      </c>
      <c r="D965" s="2" t="s">
        <v>220</v>
      </c>
      <c r="E965" s="2" t="s">
        <v>222</v>
      </c>
      <c r="L965" s="2">
        <f>IFERROR(VLOOKUP($D965&amp;$C965,生产方式定位!$A$2:$E$39,2,FALSE)+VLOOKUP($E965&amp;$C965,生产方式定位!$F$3:$J$39,2,FALSE),0)</f>
        <v>8000</v>
      </c>
      <c r="Q965" s="2">
        <f>IFERROR(VLOOKUP($D965&amp;$C965,生产方式定位!$A$2:$E$39,3,FALSE)+VLOOKUP($E965&amp;$C965,生产方式定位!$F$3:$J$39,3,FALSE),0)</f>
        <v>3600</v>
      </c>
      <c r="V965" s="2">
        <f>IFERROR(VLOOKUP($D965&amp;$C965,生产方式定位!$A$2:$E$39,5,FALSE)+VLOOKUP($E965&amp;$C965,生产方式定位!$F$3:$J$39,5,FALSE),"错误")</f>
        <v>7000</v>
      </c>
      <c r="W965" s="3" t="str">
        <f t="shared" ref="W965:W1025" si="75">IF(AB965="","",AB965)&amp;IF(AC965="","",","&amp;AC965)&amp;IF(AD965="","",","&amp;AD965)</f>
        <v/>
      </c>
      <c r="X965" s="4" t="str">
        <f t="shared" ref="X965:X1025" si="76">IF(AE965="","",AE965)&amp;IF(AF965="","",","&amp;AF965)</f>
        <v/>
      </c>
      <c r="Y965" s="4" t="str">
        <f t="shared" ref="Y965:Y1025" si="77">IF(AG965="","",AG965)&amp;IF(AH965="","",","&amp;AH965)</f>
        <v/>
      </c>
      <c r="Z965" s="5">
        <f t="shared" ref="Z965:Z1025" si="78">IFERROR(ROUND(L965/V965,2),"")</f>
        <v>1.14</v>
      </c>
      <c r="AA965" s="6">
        <f t="shared" ref="AA965:AA1025" si="79">C965</f>
        <v>5</v>
      </c>
      <c r="AB965" t="str">
        <f>IFERROR(F965&amp;"*"&amp;ROUND(L965*(G965/(G965+I965+K965))/VLOOKUP(F965,商品!$A$4:$D$67,4,FALSE),0),"")</f>
        <v/>
      </c>
      <c r="AC965" t="str">
        <f>IFERROR(H965&amp;"*"&amp;ROUND(L965*(I965/(G965+I965+K965))/VLOOKUP(H965,商品!$A$4:$D$67,4,FALSE),0),"")</f>
        <v/>
      </c>
      <c r="AD965" t="str">
        <f>IFERROR(J965&amp;"*"&amp;ROUND(L965*(K965/(G965+I965+K965))/VLOOKUP(J965,商品!$A$4:$D$67,4,FALSE),0),"")</f>
        <v/>
      </c>
      <c r="AE965" t="str">
        <f>IFERROR(M965&amp;"*"&amp;ROUND(Q965*(N965/(N965+P965))/VLOOKUP(M965,职业!$A$3:$E$16,4,FALSE),0),"")</f>
        <v/>
      </c>
      <c r="AF965" t="str">
        <f>IFERROR(O965&amp;"*"&amp;ROUND(Q965*(P965/(N965+P965))/VLOOKUP(O965,职业!$A$3:$E$16,4,FALSE),0),"")</f>
        <v/>
      </c>
      <c r="AG965" t="str">
        <f>IFERROR(R965&amp;"*"&amp;ROUND(V965*(S965/(S965+U965))/VLOOKUP(R965,商品!$A$4:$D$67,4,FALSE),0),"")</f>
        <v/>
      </c>
      <c r="AH965" t="str">
        <f>IFERROR(T965&amp;"*"&amp;ROUND(V965*(U965/(S965+U965))/VLOOKUP(T965,商品!$A$4:$D$67,4,FALSE),0),"")</f>
        <v/>
      </c>
    </row>
    <row r="966" customHeight="1" spans="1:34">
      <c r="A966" s="14" t="s">
        <v>461</v>
      </c>
      <c r="C966" s="2">
        <v>1</v>
      </c>
      <c r="D966" s="2" t="s">
        <v>220</v>
      </c>
      <c r="E966" s="2" t="s">
        <v>222</v>
      </c>
      <c r="L966" s="2">
        <f>IFERROR(VLOOKUP($D966&amp;$C966,生产方式定位!$A$2:$E$39,2,FALSE)+VLOOKUP($E966&amp;$C966,生产方式定位!$F$3:$J$39,2,FALSE),0)</f>
        <v>2000</v>
      </c>
      <c r="Q966" s="2">
        <f>IFERROR(VLOOKUP($D966&amp;$C966,生产方式定位!$A$2:$E$39,3,FALSE)+VLOOKUP($E966&amp;$C966,生产方式定位!$F$3:$J$39,3,FALSE),0)</f>
        <v>2000</v>
      </c>
      <c r="V966" s="2">
        <f>IFERROR(VLOOKUP($D966&amp;$C966,生产方式定位!$A$2:$E$39,5,FALSE)+VLOOKUP($E966&amp;$C966,生产方式定位!$F$3:$J$39,5,FALSE),"错误")</f>
        <v>2000</v>
      </c>
      <c r="W966" s="3" t="str">
        <f t="shared" si="75"/>
        <v/>
      </c>
      <c r="X966" s="4" t="str">
        <f t="shared" si="76"/>
        <v/>
      </c>
      <c r="Y966" s="4" t="str">
        <f t="shared" si="77"/>
        <v/>
      </c>
      <c r="Z966" s="5">
        <f t="shared" si="78"/>
        <v>1</v>
      </c>
      <c r="AA966" s="6">
        <f t="shared" si="79"/>
        <v>1</v>
      </c>
      <c r="AB966" t="str">
        <f>IFERROR(F966&amp;"*"&amp;ROUND(L966*(G966/(G966+I966+K966))/VLOOKUP(F966,商品!$A$4:$D$67,4,FALSE),0),"")</f>
        <v/>
      </c>
      <c r="AC966" t="str">
        <f>IFERROR(H966&amp;"*"&amp;ROUND(L966*(I966/(G966+I966+K966))/VLOOKUP(H966,商品!$A$4:$D$67,4,FALSE),0),"")</f>
        <v/>
      </c>
      <c r="AD966" t="str">
        <f>IFERROR(J966&amp;"*"&amp;ROUND(L966*(K966/(G966+I966+K966))/VLOOKUP(J966,商品!$A$4:$D$67,4,FALSE),0),"")</f>
        <v/>
      </c>
      <c r="AE966" t="str">
        <f>IFERROR(M966&amp;"*"&amp;ROUND(Q966*(N966/(N966+P966))/VLOOKUP(M966,职业!$A$3:$E$16,4,FALSE),0),"")</f>
        <v/>
      </c>
      <c r="AF966" t="str">
        <f>IFERROR(O966&amp;"*"&amp;ROUND(Q966*(P966/(N966+P966))/VLOOKUP(O966,职业!$A$3:$E$16,4,FALSE),0),"")</f>
        <v/>
      </c>
      <c r="AG966" t="str">
        <f>IFERROR(R966&amp;"*"&amp;ROUND(V966*(S966/(S966+U966))/VLOOKUP(R966,商品!$A$4:$D$67,4,FALSE),0),"")</f>
        <v/>
      </c>
      <c r="AH966" t="str">
        <f>IFERROR(T966&amp;"*"&amp;ROUND(V966*(U966/(S966+U966))/VLOOKUP(T966,商品!$A$4:$D$67,4,FALSE),0),"")</f>
        <v/>
      </c>
    </row>
    <row r="967" customHeight="1" spans="1:34">
      <c r="A967" s="15" t="s">
        <v>462</v>
      </c>
      <c r="C967" s="2">
        <v>2</v>
      </c>
      <c r="D967" s="2" t="s">
        <v>220</v>
      </c>
      <c r="E967" s="2" t="s">
        <v>224</v>
      </c>
      <c r="L967" s="2">
        <f>IFERROR(VLOOKUP($D967&amp;$C967,生产方式定位!$A$2:$E$39,2,FALSE)+VLOOKUP($E967&amp;$C967,生产方式定位!$F$3:$J$39,2,FALSE),0)</f>
        <v>4500</v>
      </c>
      <c r="Q967" s="2">
        <f>IFERROR(VLOOKUP($D967&amp;$C967,生产方式定位!$A$2:$E$39,3,FALSE)+VLOOKUP($E967&amp;$C967,生产方式定位!$F$3:$J$39,3,FALSE),0)</f>
        <v>2000</v>
      </c>
      <c r="V967" s="2">
        <f>IFERROR(VLOOKUP($D967&amp;$C967,生产方式定位!$A$2:$E$39,5,FALSE)+VLOOKUP($E967&amp;$C967,生产方式定位!$F$3:$J$39,5,FALSE),"错误")</f>
        <v>3340</v>
      </c>
      <c r="W967" s="3" t="str">
        <f t="shared" si="75"/>
        <v/>
      </c>
      <c r="X967" s="4" t="str">
        <f t="shared" si="76"/>
        <v/>
      </c>
      <c r="Y967" s="4" t="str">
        <f t="shared" si="77"/>
        <v/>
      </c>
      <c r="Z967" s="5">
        <f t="shared" si="78"/>
        <v>1.35</v>
      </c>
      <c r="AA967" s="6">
        <f t="shared" si="79"/>
        <v>2</v>
      </c>
      <c r="AB967" t="str">
        <f>IFERROR(F967&amp;"*"&amp;ROUND(L967*(G967/(G967+I967+K967))/VLOOKUP(F967,商品!$A$4:$D$67,4,FALSE),0),"")</f>
        <v/>
      </c>
      <c r="AC967" t="str">
        <f>IFERROR(H967&amp;"*"&amp;ROUND(L967*(I967/(G967+I967+K967))/VLOOKUP(H967,商品!$A$4:$D$67,4,FALSE),0),"")</f>
        <v/>
      </c>
      <c r="AD967" t="str">
        <f>IFERROR(J967&amp;"*"&amp;ROUND(L967*(K967/(G967+I967+K967))/VLOOKUP(J967,商品!$A$4:$D$67,4,FALSE),0),"")</f>
        <v/>
      </c>
      <c r="AE967" t="str">
        <f>IFERROR(M967&amp;"*"&amp;ROUND(Q967*(N967/(N967+P967))/VLOOKUP(M967,职业!$A$3:$E$16,4,FALSE),0),"")</f>
        <v/>
      </c>
      <c r="AF967" t="str">
        <f>IFERROR(O967&amp;"*"&amp;ROUND(Q967*(P967/(N967+P967))/VLOOKUP(O967,职业!$A$3:$E$16,4,FALSE),0),"")</f>
        <v/>
      </c>
      <c r="AG967" t="str">
        <f>IFERROR(R967&amp;"*"&amp;ROUND(V967*(S967/(S967+U967))/VLOOKUP(R967,商品!$A$4:$D$67,4,FALSE),0),"")</f>
        <v/>
      </c>
      <c r="AH967" t="str">
        <f>IFERROR(T967&amp;"*"&amp;ROUND(V967*(U967/(S967+U967))/VLOOKUP(T967,商品!$A$4:$D$67,4,FALSE),0),"")</f>
        <v/>
      </c>
    </row>
    <row r="968" customHeight="1" spans="1:34">
      <c r="A968" s="15" t="s">
        <v>462</v>
      </c>
      <c r="C968" s="2">
        <v>3</v>
      </c>
      <c r="D968" s="2" t="s">
        <v>220</v>
      </c>
      <c r="E968" s="2" t="s">
        <v>224</v>
      </c>
      <c r="L968" s="2">
        <f>IFERROR(VLOOKUP($D968&amp;$C968,生产方式定位!$A$2:$E$39,2,FALSE)+VLOOKUP($E968&amp;$C968,生产方式定位!$F$3:$J$39,2,FALSE),0)</f>
        <v>6000</v>
      </c>
      <c r="Q968" s="2">
        <f>IFERROR(VLOOKUP($D968&amp;$C968,生产方式定位!$A$2:$E$39,3,FALSE)+VLOOKUP($E968&amp;$C968,生产方式定位!$F$3:$J$39,3,FALSE),0)</f>
        <v>2000</v>
      </c>
      <c r="V968" s="2">
        <f>IFERROR(VLOOKUP($D968&amp;$C968,生产方式定位!$A$2:$E$39,5,FALSE)+VLOOKUP($E968&amp;$C968,生产方式定位!$F$3:$J$39,5,FALSE),"错误")</f>
        <v>4260</v>
      </c>
      <c r="W968" s="3" t="str">
        <f t="shared" si="75"/>
        <v/>
      </c>
      <c r="X968" s="4" t="str">
        <f t="shared" si="76"/>
        <v/>
      </c>
      <c r="Y968" s="4" t="str">
        <f t="shared" si="77"/>
        <v/>
      </c>
      <c r="Z968" s="5">
        <f t="shared" si="78"/>
        <v>1.41</v>
      </c>
      <c r="AA968" s="6">
        <f t="shared" si="79"/>
        <v>3</v>
      </c>
      <c r="AB968" t="str">
        <f>IFERROR(F968&amp;"*"&amp;ROUND(L968*(G968/(G968+I968+K968))/VLOOKUP(F968,商品!$A$4:$D$67,4,FALSE),0),"")</f>
        <v/>
      </c>
      <c r="AC968" t="str">
        <f>IFERROR(H968&amp;"*"&amp;ROUND(L968*(I968/(G968+I968+K968))/VLOOKUP(H968,商品!$A$4:$D$67,4,FALSE),0),"")</f>
        <v/>
      </c>
      <c r="AD968" t="str">
        <f>IFERROR(J968&amp;"*"&amp;ROUND(L968*(K968/(G968+I968+K968))/VLOOKUP(J968,商品!$A$4:$D$67,4,FALSE),0),"")</f>
        <v/>
      </c>
      <c r="AE968" t="str">
        <f>IFERROR(M968&amp;"*"&amp;ROUND(Q968*(N968/(N968+P968))/VLOOKUP(M968,职业!$A$3:$E$16,4,FALSE),0),"")</f>
        <v/>
      </c>
      <c r="AF968" t="str">
        <f>IFERROR(O968&amp;"*"&amp;ROUND(Q968*(P968/(N968+P968))/VLOOKUP(O968,职业!$A$3:$E$16,4,FALSE),0),"")</f>
        <v/>
      </c>
      <c r="AG968" t="str">
        <f>IFERROR(R968&amp;"*"&amp;ROUND(V968*(S968/(S968+U968))/VLOOKUP(R968,商品!$A$4:$D$67,4,FALSE),0),"")</f>
        <v/>
      </c>
      <c r="AH968" t="str">
        <f>IFERROR(T968&amp;"*"&amp;ROUND(V968*(U968/(S968+U968))/VLOOKUP(T968,商品!$A$4:$D$67,4,FALSE),0),"")</f>
        <v/>
      </c>
    </row>
    <row r="969" customHeight="1" spans="1:34">
      <c r="A969" s="15" t="s">
        <v>462</v>
      </c>
      <c r="C969" s="2">
        <v>4</v>
      </c>
      <c r="D969" s="2" t="s">
        <v>220</v>
      </c>
      <c r="E969" s="2" t="s">
        <v>224</v>
      </c>
      <c r="L969" s="2">
        <f>IFERROR(VLOOKUP($D969&amp;$C969,生产方式定位!$A$2:$E$39,2,FALSE)+VLOOKUP($E969&amp;$C969,生产方式定位!$F$3:$J$39,2,FALSE),0)</f>
        <v>7500</v>
      </c>
      <c r="Q969" s="2">
        <f>IFERROR(VLOOKUP($D969&amp;$C969,生产方式定位!$A$2:$E$39,3,FALSE)+VLOOKUP($E969&amp;$C969,生产方式定位!$F$3:$J$39,3,FALSE),0)</f>
        <v>2000</v>
      </c>
      <c r="V969" s="2">
        <f>IFERROR(VLOOKUP($D969&amp;$C969,生产方式定位!$A$2:$E$39,5,FALSE)+VLOOKUP($E969&amp;$C969,生产方式定位!$F$3:$J$39,5,FALSE),"错误")</f>
        <v>5260</v>
      </c>
      <c r="W969" s="3" t="str">
        <f t="shared" si="75"/>
        <v/>
      </c>
      <c r="X969" s="4" t="str">
        <f t="shared" si="76"/>
        <v/>
      </c>
      <c r="Y969" s="4" t="str">
        <f t="shared" si="77"/>
        <v/>
      </c>
      <c r="Z969" s="5">
        <f t="shared" si="78"/>
        <v>1.43</v>
      </c>
      <c r="AA969" s="6">
        <f t="shared" si="79"/>
        <v>4</v>
      </c>
      <c r="AB969" t="str">
        <f>IFERROR(F969&amp;"*"&amp;ROUND(L969*(G969/(G969+I969+K969))/VLOOKUP(F969,商品!$A$4:$D$67,4,FALSE),0),"")</f>
        <v/>
      </c>
      <c r="AC969" t="str">
        <f>IFERROR(H969&amp;"*"&amp;ROUND(L969*(I969/(G969+I969+K969))/VLOOKUP(H969,商品!$A$4:$D$67,4,FALSE),0),"")</f>
        <v/>
      </c>
      <c r="AD969" t="str">
        <f>IFERROR(J969&amp;"*"&amp;ROUND(L969*(K969/(G969+I969+K969))/VLOOKUP(J969,商品!$A$4:$D$67,4,FALSE),0),"")</f>
        <v/>
      </c>
      <c r="AE969" t="str">
        <f>IFERROR(M969&amp;"*"&amp;ROUND(Q969*(N969/(N969+P969))/VLOOKUP(M969,职业!$A$3:$E$16,4,FALSE),0),"")</f>
        <v/>
      </c>
      <c r="AF969" t="str">
        <f>IFERROR(O969&amp;"*"&amp;ROUND(Q969*(P969/(N969+P969))/VLOOKUP(O969,职业!$A$3:$E$16,4,FALSE),0),"")</f>
        <v/>
      </c>
      <c r="AG969" t="str">
        <f>IFERROR(R969&amp;"*"&amp;ROUND(V969*(S969/(S969+U969))/VLOOKUP(R969,商品!$A$4:$D$67,4,FALSE),0),"")</f>
        <v/>
      </c>
      <c r="AH969" t="str">
        <f>IFERROR(T969&amp;"*"&amp;ROUND(V969*(U969/(S969+U969))/VLOOKUP(T969,商品!$A$4:$D$67,4,FALSE),0),"")</f>
        <v/>
      </c>
    </row>
    <row r="970" customHeight="1" spans="1:34">
      <c r="A970" s="15" t="s">
        <v>462</v>
      </c>
      <c r="C970" s="2">
        <v>5</v>
      </c>
      <c r="D970" s="2" t="s">
        <v>220</v>
      </c>
      <c r="E970" s="2" t="s">
        <v>224</v>
      </c>
      <c r="L970" s="2">
        <f>IFERROR(VLOOKUP($D970&amp;$C970,生产方式定位!$A$2:$E$39,2,FALSE)+VLOOKUP($E970&amp;$C970,生产方式定位!$F$3:$J$39,2,FALSE),0)</f>
        <v>9000</v>
      </c>
      <c r="Q970" s="2">
        <f>IFERROR(VLOOKUP($D970&amp;$C970,生产方式定位!$A$2:$E$39,3,FALSE)+VLOOKUP($E970&amp;$C970,生产方式定位!$F$3:$J$39,3,FALSE),0)</f>
        <v>2000</v>
      </c>
      <c r="V970" s="2">
        <f>IFERROR(VLOOKUP($D970&amp;$C970,生产方式定位!$A$2:$E$39,5,FALSE)+VLOOKUP($E970&amp;$C970,生产方式定位!$F$3:$J$39,5,FALSE),"错误")</f>
        <v>6340</v>
      </c>
      <c r="W970" s="3" t="str">
        <f t="shared" si="75"/>
        <v/>
      </c>
      <c r="X970" s="4" t="str">
        <f t="shared" si="76"/>
        <v/>
      </c>
      <c r="Y970" s="4" t="str">
        <f t="shared" si="77"/>
        <v/>
      </c>
      <c r="Z970" s="5">
        <f t="shared" si="78"/>
        <v>1.42</v>
      </c>
      <c r="AA970" s="6">
        <f t="shared" si="79"/>
        <v>5</v>
      </c>
      <c r="AB970" t="str">
        <f>IFERROR(F970&amp;"*"&amp;ROUND(L970*(G970/(G970+I970+K970))/VLOOKUP(F970,商品!$A$4:$D$67,4,FALSE),0),"")</f>
        <v/>
      </c>
      <c r="AC970" t="str">
        <f>IFERROR(H970&amp;"*"&amp;ROUND(L970*(I970/(G970+I970+K970))/VLOOKUP(H970,商品!$A$4:$D$67,4,FALSE),0),"")</f>
        <v/>
      </c>
      <c r="AD970" t="str">
        <f>IFERROR(J970&amp;"*"&amp;ROUND(L970*(K970/(G970+I970+K970))/VLOOKUP(J970,商品!$A$4:$D$67,4,FALSE),0),"")</f>
        <v/>
      </c>
      <c r="AE970" t="str">
        <f>IFERROR(M970&amp;"*"&amp;ROUND(Q970*(N970/(N970+P970))/VLOOKUP(M970,职业!$A$3:$E$16,4,FALSE),0),"")</f>
        <v/>
      </c>
      <c r="AF970" t="str">
        <f>IFERROR(O970&amp;"*"&amp;ROUND(Q970*(P970/(N970+P970))/VLOOKUP(O970,职业!$A$3:$E$16,4,FALSE),0),"")</f>
        <v/>
      </c>
      <c r="AG970" t="str">
        <f>IFERROR(R970&amp;"*"&amp;ROUND(V970*(S970/(S970+U970))/VLOOKUP(R970,商品!$A$4:$D$67,4,FALSE),0),"")</f>
        <v/>
      </c>
      <c r="AH970" t="str">
        <f>IFERROR(T970&amp;"*"&amp;ROUND(V970*(U970/(S970+U970))/VLOOKUP(T970,商品!$A$4:$D$67,4,FALSE),0),"")</f>
        <v/>
      </c>
    </row>
    <row r="971" customHeight="1" spans="1:34">
      <c r="A971" s="15" t="s">
        <v>462</v>
      </c>
      <c r="C971" s="2">
        <v>1</v>
      </c>
      <c r="D971" s="2" t="s">
        <v>220</v>
      </c>
      <c r="E971" s="2" t="s">
        <v>224</v>
      </c>
      <c r="L971" s="2">
        <f>IFERROR(VLOOKUP($D971&amp;$C971,生产方式定位!$A$2:$E$39,2,FALSE)+VLOOKUP($E971&amp;$C971,生产方式定位!$F$3:$J$39,2,FALSE),0)</f>
        <v>2000</v>
      </c>
      <c r="Q971" s="2">
        <f>IFERROR(VLOOKUP($D971&amp;$C971,生产方式定位!$A$2:$E$39,3,FALSE)+VLOOKUP($E971&amp;$C971,生产方式定位!$F$3:$J$39,3,FALSE),0)</f>
        <v>2000</v>
      </c>
      <c r="V971" s="2">
        <f>IFERROR(VLOOKUP($D971&amp;$C971,生产方式定位!$A$2:$E$39,5,FALSE)+VLOOKUP($E971&amp;$C971,生产方式定位!$F$3:$J$39,5,FALSE),"错误")</f>
        <v>2000</v>
      </c>
      <c r="W971" s="3" t="str">
        <f t="shared" si="75"/>
        <v/>
      </c>
      <c r="X971" s="4" t="str">
        <f t="shared" si="76"/>
        <v/>
      </c>
      <c r="Y971" s="4" t="str">
        <f t="shared" si="77"/>
        <v/>
      </c>
      <c r="Z971" s="5">
        <f t="shared" si="78"/>
        <v>1</v>
      </c>
      <c r="AA971" s="6">
        <f t="shared" si="79"/>
        <v>1</v>
      </c>
      <c r="AB971" t="str">
        <f>IFERROR(F971&amp;"*"&amp;ROUND(L971*(G971/(G971+I971+K971))/VLOOKUP(F971,商品!$A$4:$D$67,4,FALSE),0),"")</f>
        <v/>
      </c>
      <c r="AC971" t="str">
        <f>IFERROR(H971&amp;"*"&amp;ROUND(L971*(I971/(G971+I971+K971))/VLOOKUP(H971,商品!$A$4:$D$67,4,FALSE),0),"")</f>
        <v/>
      </c>
      <c r="AD971" t="str">
        <f>IFERROR(J971&amp;"*"&amp;ROUND(L971*(K971/(G971+I971+K971))/VLOOKUP(J971,商品!$A$4:$D$67,4,FALSE),0),"")</f>
        <v/>
      </c>
      <c r="AE971" t="str">
        <f>IFERROR(M971&amp;"*"&amp;ROUND(Q971*(N971/(N971+P971))/VLOOKUP(M971,职业!$A$3:$E$16,4,FALSE),0),"")</f>
        <v/>
      </c>
      <c r="AF971" t="str">
        <f>IFERROR(O971&amp;"*"&amp;ROUND(Q971*(P971/(N971+P971))/VLOOKUP(O971,职业!$A$3:$E$16,4,FALSE),0),"")</f>
        <v/>
      </c>
      <c r="AG971" t="str">
        <f>IFERROR(R971&amp;"*"&amp;ROUND(V971*(S971/(S971+U971))/VLOOKUP(R971,商品!$A$4:$D$67,4,FALSE),0),"")</f>
        <v/>
      </c>
      <c r="AH971" t="str">
        <f>IFERROR(T971&amp;"*"&amp;ROUND(V971*(U971/(S971+U971))/VLOOKUP(T971,商品!$A$4:$D$67,4,FALSE),0),"")</f>
        <v/>
      </c>
    </row>
    <row r="972" customHeight="1" spans="1:34">
      <c r="A972" s="14" t="s">
        <v>462</v>
      </c>
      <c r="C972" s="2">
        <v>2</v>
      </c>
      <c r="D972" s="2" t="s">
        <v>220</v>
      </c>
      <c r="E972" s="2" t="s">
        <v>224</v>
      </c>
      <c r="L972" s="2">
        <f>IFERROR(VLOOKUP($D972&amp;$C972,生产方式定位!$A$2:$E$39,2,FALSE)+VLOOKUP($E972&amp;$C972,生产方式定位!$F$3:$J$39,2,FALSE),0)</f>
        <v>4500</v>
      </c>
      <c r="Q972" s="2">
        <f>IFERROR(VLOOKUP($D972&amp;$C972,生产方式定位!$A$2:$E$39,3,FALSE)+VLOOKUP($E972&amp;$C972,生产方式定位!$F$3:$J$39,3,FALSE),0)</f>
        <v>2000</v>
      </c>
      <c r="V972" s="2">
        <f>IFERROR(VLOOKUP($D972&amp;$C972,生产方式定位!$A$2:$E$39,5,FALSE)+VLOOKUP($E972&amp;$C972,生产方式定位!$F$3:$J$39,5,FALSE),"错误")</f>
        <v>3340</v>
      </c>
      <c r="W972" s="3" t="str">
        <f t="shared" si="75"/>
        <v/>
      </c>
      <c r="X972" s="4" t="str">
        <f t="shared" si="76"/>
        <v/>
      </c>
      <c r="Y972" s="4" t="str">
        <f t="shared" si="77"/>
        <v/>
      </c>
      <c r="Z972" s="5">
        <f t="shared" si="78"/>
        <v>1.35</v>
      </c>
      <c r="AA972" s="6">
        <f t="shared" si="79"/>
        <v>2</v>
      </c>
      <c r="AB972" t="str">
        <f>IFERROR(F972&amp;"*"&amp;ROUND(L972*(G972/(G972+I972+K972))/VLOOKUP(F972,商品!$A$4:$D$67,4,FALSE),0),"")</f>
        <v/>
      </c>
      <c r="AC972" t="str">
        <f>IFERROR(H972&amp;"*"&amp;ROUND(L972*(I972/(G972+I972+K972))/VLOOKUP(H972,商品!$A$4:$D$67,4,FALSE),0),"")</f>
        <v/>
      </c>
      <c r="AD972" t="str">
        <f>IFERROR(J972&amp;"*"&amp;ROUND(L972*(K972/(G972+I972+K972))/VLOOKUP(J972,商品!$A$4:$D$67,4,FALSE),0),"")</f>
        <v/>
      </c>
      <c r="AE972" t="str">
        <f>IFERROR(M972&amp;"*"&amp;ROUND(Q972*(N972/(N972+P972))/VLOOKUP(M972,职业!$A$3:$E$16,4,FALSE),0),"")</f>
        <v/>
      </c>
      <c r="AF972" t="str">
        <f>IFERROR(O972&amp;"*"&amp;ROUND(Q972*(P972/(N972+P972))/VLOOKUP(O972,职业!$A$3:$E$16,4,FALSE),0),"")</f>
        <v/>
      </c>
      <c r="AG972" t="str">
        <f>IFERROR(R972&amp;"*"&amp;ROUND(V972*(S972/(S972+U972))/VLOOKUP(R972,商品!$A$4:$D$67,4,FALSE),0),"")</f>
        <v/>
      </c>
      <c r="AH972" t="str">
        <f>IFERROR(T972&amp;"*"&amp;ROUND(V972*(U972/(S972+U972))/VLOOKUP(T972,商品!$A$4:$D$67,4,FALSE),0),"")</f>
        <v/>
      </c>
    </row>
    <row r="973" customHeight="1" spans="1:34">
      <c r="A973" s="14" t="s">
        <v>462</v>
      </c>
      <c r="C973" s="2">
        <v>3</v>
      </c>
      <c r="D973" s="2" t="s">
        <v>220</v>
      </c>
      <c r="E973" s="2" t="s">
        <v>224</v>
      </c>
      <c r="L973" s="2">
        <f>IFERROR(VLOOKUP($D973&amp;$C973,生产方式定位!$A$2:$E$39,2,FALSE)+VLOOKUP($E973&amp;$C973,生产方式定位!$F$3:$J$39,2,FALSE),0)</f>
        <v>6000</v>
      </c>
      <c r="Q973" s="2">
        <f>IFERROR(VLOOKUP($D973&amp;$C973,生产方式定位!$A$2:$E$39,3,FALSE)+VLOOKUP($E973&amp;$C973,生产方式定位!$F$3:$J$39,3,FALSE),0)</f>
        <v>2000</v>
      </c>
      <c r="V973" s="2">
        <f>IFERROR(VLOOKUP($D973&amp;$C973,生产方式定位!$A$2:$E$39,5,FALSE)+VLOOKUP($E973&amp;$C973,生产方式定位!$F$3:$J$39,5,FALSE),"错误")</f>
        <v>4260</v>
      </c>
      <c r="W973" s="3" t="str">
        <f t="shared" si="75"/>
        <v/>
      </c>
      <c r="X973" s="4" t="str">
        <f t="shared" si="76"/>
        <v/>
      </c>
      <c r="Y973" s="4" t="str">
        <f t="shared" si="77"/>
        <v/>
      </c>
      <c r="Z973" s="5">
        <f t="shared" si="78"/>
        <v>1.41</v>
      </c>
      <c r="AA973" s="6">
        <f t="shared" si="79"/>
        <v>3</v>
      </c>
      <c r="AB973" t="str">
        <f>IFERROR(F973&amp;"*"&amp;ROUND(L973*(G973/(G973+I973+K973))/VLOOKUP(F973,商品!$A$4:$D$67,4,FALSE),0),"")</f>
        <v/>
      </c>
      <c r="AC973" t="str">
        <f>IFERROR(H973&amp;"*"&amp;ROUND(L973*(I973/(G973+I973+K973))/VLOOKUP(H973,商品!$A$4:$D$67,4,FALSE),0),"")</f>
        <v/>
      </c>
      <c r="AD973" t="str">
        <f>IFERROR(J973&amp;"*"&amp;ROUND(L973*(K973/(G973+I973+K973))/VLOOKUP(J973,商品!$A$4:$D$67,4,FALSE),0),"")</f>
        <v/>
      </c>
      <c r="AE973" t="str">
        <f>IFERROR(M973&amp;"*"&amp;ROUND(Q973*(N973/(N973+P973))/VLOOKUP(M973,职业!$A$3:$E$16,4,FALSE),0),"")</f>
        <v/>
      </c>
      <c r="AF973" t="str">
        <f>IFERROR(O973&amp;"*"&amp;ROUND(Q973*(P973/(N973+P973))/VLOOKUP(O973,职业!$A$3:$E$16,4,FALSE),0),"")</f>
        <v/>
      </c>
      <c r="AG973" t="str">
        <f>IFERROR(R973&amp;"*"&amp;ROUND(V973*(S973/(S973+U973))/VLOOKUP(R973,商品!$A$4:$D$67,4,FALSE),0),"")</f>
        <v/>
      </c>
      <c r="AH973" t="str">
        <f>IFERROR(T973&amp;"*"&amp;ROUND(V973*(U973/(S973+U973))/VLOOKUP(T973,商品!$A$4:$D$67,4,FALSE),0),"")</f>
        <v/>
      </c>
    </row>
    <row r="974" customHeight="1" spans="1:34">
      <c r="A974" s="14" t="s">
        <v>462</v>
      </c>
      <c r="C974" s="2">
        <v>4</v>
      </c>
      <c r="D974" s="2" t="s">
        <v>220</v>
      </c>
      <c r="E974" s="2" t="s">
        <v>224</v>
      </c>
      <c r="L974" s="2">
        <f>IFERROR(VLOOKUP($D974&amp;$C974,生产方式定位!$A$2:$E$39,2,FALSE)+VLOOKUP($E974&amp;$C974,生产方式定位!$F$3:$J$39,2,FALSE),0)</f>
        <v>7500</v>
      </c>
      <c r="Q974" s="2">
        <f>IFERROR(VLOOKUP($D974&amp;$C974,生产方式定位!$A$2:$E$39,3,FALSE)+VLOOKUP($E974&amp;$C974,生产方式定位!$F$3:$J$39,3,FALSE),0)</f>
        <v>2000</v>
      </c>
      <c r="V974" s="2">
        <f>IFERROR(VLOOKUP($D974&amp;$C974,生产方式定位!$A$2:$E$39,5,FALSE)+VLOOKUP($E974&amp;$C974,生产方式定位!$F$3:$J$39,5,FALSE),"错误")</f>
        <v>5260</v>
      </c>
      <c r="W974" s="3" t="str">
        <f t="shared" si="75"/>
        <v/>
      </c>
      <c r="X974" s="4" t="str">
        <f t="shared" si="76"/>
        <v/>
      </c>
      <c r="Y974" s="4" t="str">
        <f t="shared" si="77"/>
        <v/>
      </c>
      <c r="Z974" s="5">
        <f t="shared" si="78"/>
        <v>1.43</v>
      </c>
      <c r="AA974" s="6">
        <f t="shared" si="79"/>
        <v>4</v>
      </c>
      <c r="AB974" t="str">
        <f>IFERROR(F974&amp;"*"&amp;ROUND(L974*(G974/(G974+I974+K974))/VLOOKUP(F974,商品!$A$4:$D$67,4,FALSE),0),"")</f>
        <v/>
      </c>
      <c r="AC974" t="str">
        <f>IFERROR(H974&amp;"*"&amp;ROUND(L974*(I974/(G974+I974+K974))/VLOOKUP(H974,商品!$A$4:$D$67,4,FALSE),0),"")</f>
        <v/>
      </c>
      <c r="AD974" t="str">
        <f>IFERROR(J974&amp;"*"&amp;ROUND(L974*(K974/(G974+I974+K974))/VLOOKUP(J974,商品!$A$4:$D$67,4,FALSE),0),"")</f>
        <v/>
      </c>
      <c r="AE974" t="str">
        <f>IFERROR(M974&amp;"*"&amp;ROUND(Q974*(N974/(N974+P974))/VLOOKUP(M974,职业!$A$3:$E$16,4,FALSE),0),"")</f>
        <v/>
      </c>
      <c r="AF974" t="str">
        <f>IFERROR(O974&amp;"*"&amp;ROUND(Q974*(P974/(N974+P974))/VLOOKUP(O974,职业!$A$3:$E$16,4,FALSE),0),"")</f>
        <v/>
      </c>
      <c r="AG974" t="str">
        <f>IFERROR(R974&amp;"*"&amp;ROUND(V974*(S974/(S974+U974))/VLOOKUP(R974,商品!$A$4:$D$67,4,FALSE),0),"")</f>
        <v/>
      </c>
      <c r="AH974" t="str">
        <f>IFERROR(T974&amp;"*"&amp;ROUND(V974*(U974/(S974+U974))/VLOOKUP(T974,商品!$A$4:$D$67,4,FALSE),0),"")</f>
        <v/>
      </c>
    </row>
    <row r="975" customHeight="1" spans="1:34">
      <c r="A975" s="14" t="s">
        <v>462</v>
      </c>
      <c r="C975" s="2">
        <v>5</v>
      </c>
      <c r="D975" s="2" t="s">
        <v>220</v>
      </c>
      <c r="E975" s="2" t="s">
        <v>224</v>
      </c>
      <c r="L975" s="2">
        <f>IFERROR(VLOOKUP($D975&amp;$C975,生产方式定位!$A$2:$E$39,2,FALSE)+VLOOKUP($E975&amp;$C975,生产方式定位!$F$3:$J$39,2,FALSE),0)</f>
        <v>9000</v>
      </c>
      <c r="Q975" s="2">
        <f>IFERROR(VLOOKUP($D975&amp;$C975,生产方式定位!$A$2:$E$39,3,FALSE)+VLOOKUP($E975&amp;$C975,生产方式定位!$F$3:$J$39,3,FALSE),0)</f>
        <v>2000</v>
      </c>
      <c r="V975" s="2">
        <f>IFERROR(VLOOKUP($D975&amp;$C975,生产方式定位!$A$2:$E$39,5,FALSE)+VLOOKUP($E975&amp;$C975,生产方式定位!$F$3:$J$39,5,FALSE),"错误")</f>
        <v>6340</v>
      </c>
      <c r="W975" s="3" t="str">
        <f t="shared" si="75"/>
        <v/>
      </c>
      <c r="X975" s="4" t="str">
        <f t="shared" si="76"/>
        <v/>
      </c>
      <c r="Y975" s="4" t="str">
        <f t="shared" si="77"/>
        <v/>
      </c>
      <c r="Z975" s="5">
        <f t="shared" si="78"/>
        <v>1.42</v>
      </c>
      <c r="AA975" s="6">
        <f t="shared" si="79"/>
        <v>5</v>
      </c>
      <c r="AB975" t="str">
        <f>IFERROR(F975&amp;"*"&amp;ROUND(L975*(G975/(G975+I975+K975))/VLOOKUP(F975,商品!$A$4:$D$67,4,FALSE),0),"")</f>
        <v/>
      </c>
      <c r="AC975" t="str">
        <f>IFERROR(H975&amp;"*"&amp;ROUND(L975*(I975/(G975+I975+K975))/VLOOKUP(H975,商品!$A$4:$D$67,4,FALSE),0),"")</f>
        <v/>
      </c>
      <c r="AD975" t="str">
        <f>IFERROR(J975&amp;"*"&amp;ROUND(L975*(K975/(G975+I975+K975))/VLOOKUP(J975,商品!$A$4:$D$67,4,FALSE),0),"")</f>
        <v/>
      </c>
      <c r="AE975" t="str">
        <f>IFERROR(M975&amp;"*"&amp;ROUND(Q975*(N975/(N975+P975))/VLOOKUP(M975,职业!$A$3:$E$16,4,FALSE),0),"")</f>
        <v/>
      </c>
      <c r="AF975" t="str">
        <f>IFERROR(O975&amp;"*"&amp;ROUND(Q975*(P975/(N975+P975))/VLOOKUP(O975,职业!$A$3:$E$16,4,FALSE),0),"")</f>
        <v/>
      </c>
      <c r="AG975" t="str">
        <f>IFERROR(R975&amp;"*"&amp;ROUND(V975*(S975/(S975+U975))/VLOOKUP(R975,商品!$A$4:$D$67,4,FALSE),0),"")</f>
        <v/>
      </c>
      <c r="AH975" t="str">
        <f>IFERROR(T975&amp;"*"&amp;ROUND(V975*(U975/(S975+U975))/VLOOKUP(T975,商品!$A$4:$D$67,4,FALSE),0),"")</f>
        <v/>
      </c>
    </row>
    <row r="976" customHeight="1" spans="1:34">
      <c r="A976" s="14" t="s">
        <v>462</v>
      </c>
      <c r="C976" s="2">
        <v>1</v>
      </c>
      <c r="D976" s="2" t="s">
        <v>220</v>
      </c>
      <c r="E976" s="2" t="s">
        <v>224</v>
      </c>
      <c r="L976" s="2">
        <f>IFERROR(VLOOKUP($D976&amp;$C976,生产方式定位!$A$2:$E$39,2,FALSE)+VLOOKUP($E976&amp;$C976,生产方式定位!$F$3:$J$39,2,FALSE),0)</f>
        <v>2000</v>
      </c>
      <c r="Q976" s="2">
        <f>IFERROR(VLOOKUP($D976&amp;$C976,生产方式定位!$A$2:$E$39,3,FALSE)+VLOOKUP($E976&amp;$C976,生产方式定位!$F$3:$J$39,3,FALSE),0)</f>
        <v>2000</v>
      </c>
      <c r="V976" s="2">
        <f>IFERROR(VLOOKUP($D976&amp;$C976,生产方式定位!$A$2:$E$39,5,FALSE)+VLOOKUP($E976&amp;$C976,生产方式定位!$F$3:$J$39,5,FALSE),"错误")</f>
        <v>2000</v>
      </c>
      <c r="W976" s="3" t="str">
        <f t="shared" si="75"/>
        <v/>
      </c>
      <c r="X976" s="4" t="str">
        <f t="shared" si="76"/>
        <v/>
      </c>
      <c r="Y976" s="4" t="str">
        <f t="shared" si="77"/>
        <v/>
      </c>
      <c r="Z976" s="5">
        <f t="shared" si="78"/>
        <v>1</v>
      </c>
      <c r="AA976" s="6">
        <f t="shared" si="79"/>
        <v>1</v>
      </c>
      <c r="AB976" t="str">
        <f>IFERROR(F976&amp;"*"&amp;ROUND(L976*(G976/(G976+I976+K976))/VLOOKUP(F976,商品!$A$4:$D$67,4,FALSE),0),"")</f>
        <v/>
      </c>
      <c r="AC976" t="str">
        <f>IFERROR(H976&amp;"*"&amp;ROUND(L976*(I976/(G976+I976+K976))/VLOOKUP(H976,商品!$A$4:$D$67,4,FALSE),0),"")</f>
        <v/>
      </c>
      <c r="AD976" t="str">
        <f>IFERROR(J976&amp;"*"&amp;ROUND(L976*(K976/(G976+I976+K976))/VLOOKUP(J976,商品!$A$4:$D$67,4,FALSE),0),"")</f>
        <v/>
      </c>
      <c r="AE976" t="str">
        <f>IFERROR(M976&amp;"*"&amp;ROUND(Q976*(N976/(N976+P976))/VLOOKUP(M976,职业!$A$3:$E$16,4,FALSE),0),"")</f>
        <v/>
      </c>
      <c r="AF976" t="str">
        <f>IFERROR(O976&amp;"*"&amp;ROUND(Q976*(P976/(N976+P976))/VLOOKUP(O976,职业!$A$3:$E$16,4,FALSE),0),"")</f>
        <v/>
      </c>
      <c r="AG976" t="str">
        <f>IFERROR(R976&amp;"*"&amp;ROUND(V976*(S976/(S976+U976))/VLOOKUP(R976,商品!$A$4:$D$67,4,FALSE),0),"")</f>
        <v/>
      </c>
      <c r="AH976" t="str">
        <f>IFERROR(T976&amp;"*"&amp;ROUND(V976*(U976/(S976+U976))/VLOOKUP(T976,商品!$A$4:$D$67,4,FALSE),0),"")</f>
        <v/>
      </c>
    </row>
    <row r="977" customHeight="1" spans="1:34">
      <c r="A977" s="15" t="s">
        <v>463</v>
      </c>
      <c r="C977" s="2">
        <v>2</v>
      </c>
      <c r="D977" s="2" t="s">
        <v>220</v>
      </c>
      <c r="E977" s="2" t="s">
        <v>255</v>
      </c>
      <c r="L977" s="2">
        <f>IFERROR(VLOOKUP($D977&amp;$C977,生产方式定位!$A$2:$E$39,2,FALSE)+VLOOKUP($E977&amp;$C977,生产方式定位!$F$3:$J$39,2,FALSE),0)</f>
        <v>2500</v>
      </c>
      <c r="Q977" s="2">
        <f>IFERROR(VLOOKUP($D977&amp;$C977,生产方式定位!$A$2:$E$39,3,FALSE)+VLOOKUP($E977&amp;$C977,生产方式定位!$F$3:$J$39,3,FALSE),0)</f>
        <v>2200</v>
      </c>
      <c r="V977" s="2">
        <f>IFERROR(VLOOKUP($D977&amp;$C977,生产方式定位!$A$2:$E$39,5,FALSE)+VLOOKUP($E977&amp;$C977,生产方式定位!$F$3:$J$39,5,FALSE),"错误")</f>
        <v>2350</v>
      </c>
      <c r="W977" s="3" t="str">
        <f t="shared" si="75"/>
        <v/>
      </c>
      <c r="X977" s="4" t="str">
        <f t="shared" si="76"/>
        <v/>
      </c>
      <c r="Y977" s="4" t="str">
        <f t="shared" si="77"/>
        <v/>
      </c>
      <c r="Z977" s="5">
        <f t="shared" si="78"/>
        <v>1.06</v>
      </c>
      <c r="AA977" s="6">
        <f t="shared" si="79"/>
        <v>2</v>
      </c>
      <c r="AB977" t="str">
        <f>IFERROR(F977&amp;"*"&amp;ROUND(L977*(G977/(G977+I977+K977))/VLOOKUP(F977,商品!$A$4:$D$67,4,FALSE),0),"")</f>
        <v/>
      </c>
      <c r="AC977" t="str">
        <f>IFERROR(H977&amp;"*"&amp;ROUND(L977*(I977/(G977+I977+K977))/VLOOKUP(H977,商品!$A$4:$D$67,4,FALSE),0),"")</f>
        <v/>
      </c>
      <c r="AD977" t="str">
        <f>IFERROR(J977&amp;"*"&amp;ROUND(L977*(K977/(G977+I977+K977))/VLOOKUP(J977,商品!$A$4:$D$67,4,FALSE),0),"")</f>
        <v/>
      </c>
      <c r="AE977" t="str">
        <f>IFERROR(M977&amp;"*"&amp;ROUND(Q977*(N977/(N977+P977))/VLOOKUP(M977,职业!$A$3:$E$16,4,FALSE),0),"")</f>
        <v/>
      </c>
      <c r="AF977" t="str">
        <f>IFERROR(O977&amp;"*"&amp;ROUND(Q977*(P977/(N977+P977))/VLOOKUP(O977,职业!$A$3:$E$16,4,FALSE),0),"")</f>
        <v/>
      </c>
      <c r="AG977" t="str">
        <f>IFERROR(R977&amp;"*"&amp;ROUND(V977*(S977/(S977+U977))/VLOOKUP(R977,商品!$A$4:$D$67,4,FALSE),0),"")</f>
        <v/>
      </c>
      <c r="AH977" t="str">
        <f>IFERROR(T977&amp;"*"&amp;ROUND(V977*(U977/(S977+U977))/VLOOKUP(T977,商品!$A$4:$D$67,4,FALSE),0),"")</f>
        <v/>
      </c>
    </row>
    <row r="978" customHeight="1" spans="1:34">
      <c r="A978" s="15" t="s">
        <v>463</v>
      </c>
      <c r="C978" s="2">
        <v>3</v>
      </c>
      <c r="D978" s="2" t="s">
        <v>220</v>
      </c>
      <c r="E978" s="2" t="s">
        <v>255</v>
      </c>
      <c r="L978" s="2">
        <f>IFERROR(VLOOKUP($D978&amp;$C978,生产方式定位!$A$2:$E$39,2,FALSE)+VLOOKUP($E978&amp;$C978,生产方式定位!$F$3:$J$39,2,FALSE),0)</f>
        <v>3000</v>
      </c>
      <c r="Q978" s="2">
        <f>IFERROR(VLOOKUP($D978&amp;$C978,生产方式定位!$A$2:$E$39,3,FALSE)+VLOOKUP($E978&amp;$C978,生产方式定位!$F$3:$J$39,3,FALSE),0)</f>
        <v>2400</v>
      </c>
      <c r="V978" s="2">
        <f>IFERROR(VLOOKUP($D978&amp;$C978,生产方式定位!$A$2:$E$39,5,FALSE)+VLOOKUP($E978&amp;$C978,生产方式定位!$F$3:$J$39,5,FALSE),"错误")</f>
        <v>2700</v>
      </c>
      <c r="W978" s="3" t="str">
        <f t="shared" si="75"/>
        <v/>
      </c>
      <c r="X978" s="4" t="str">
        <f t="shared" si="76"/>
        <v/>
      </c>
      <c r="Y978" s="4" t="str">
        <f t="shared" si="77"/>
        <v/>
      </c>
      <c r="Z978" s="5">
        <f t="shared" si="78"/>
        <v>1.11</v>
      </c>
      <c r="AA978" s="6">
        <f t="shared" si="79"/>
        <v>3</v>
      </c>
      <c r="AB978" t="str">
        <f>IFERROR(F978&amp;"*"&amp;ROUND(L978*(G978/(G978+I978+K978))/VLOOKUP(F978,商品!$A$4:$D$67,4,FALSE),0),"")</f>
        <v/>
      </c>
      <c r="AC978" t="str">
        <f>IFERROR(H978&amp;"*"&amp;ROUND(L978*(I978/(G978+I978+K978))/VLOOKUP(H978,商品!$A$4:$D$67,4,FALSE),0),"")</f>
        <v/>
      </c>
      <c r="AD978" t="str">
        <f>IFERROR(J978&amp;"*"&amp;ROUND(L978*(K978/(G978+I978+K978))/VLOOKUP(J978,商品!$A$4:$D$67,4,FALSE),0),"")</f>
        <v/>
      </c>
      <c r="AE978" t="str">
        <f>IFERROR(M978&amp;"*"&amp;ROUND(Q978*(N978/(N978+P978))/VLOOKUP(M978,职业!$A$3:$E$16,4,FALSE),0),"")</f>
        <v/>
      </c>
      <c r="AF978" t="str">
        <f>IFERROR(O978&amp;"*"&amp;ROUND(Q978*(P978/(N978+P978))/VLOOKUP(O978,职业!$A$3:$E$16,4,FALSE),0),"")</f>
        <v/>
      </c>
      <c r="AG978" t="str">
        <f>IFERROR(R978&amp;"*"&amp;ROUND(V978*(S978/(S978+U978))/VLOOKUP(R978,商品!$A$4:$D$67,4,FALSE),0),"")</f>
        <v/>
      </c>
      <c r="AH978" t="str">
        <f>IFERROR(T978&amp;"*"&amp;ROUND(V978*(U978/(S978+U978))/VLOOKUP(T978,商品!$A$4:$D$67,4,FALSE),0),"")</f>
        <v/>
      </c>
    </row>
    <row r="979" customHeight="1" spans="1:34">
      <c r="A979" s="15" t="s">
        <v>463</v>
      </c>
      <c r="C979" s="2">
        <v>4</v>
      </c>
      <c r="D979" s="2" t="s">
        <v>220</v>
      </c>
      <c r="E979" s="2" t="s">
        <v>255</v>
      </c>
      <c r="L979" s="2">
        <f>IFERROR(VLOOKUP($D979&amp;$C979,生产方式定位!$A$2:$E$39,2,FALSE)+VLOOKUP($E979&amp;$C979,生产方式定位!$F$3:$J$39,2,FALSE),0)</f>
        <v>3500</v>
      </c>
      <c r="Q979" s="2">
        <f>IFERROR(VLOOKUP($D979&amp;$C979,生产方式定位!$A$2:$E$39,3,FALSE)+VLOOKUP($E979&amp;$C979,生产方式定位!$F$3:$J$39,3,FALSE),0)</f>
        <v>2600</v>
      </c>
      <c r="V979" s="2">
        <f>IFERROR(VLOOKUP($D979&amp;$C979,生产方式定位!$A$2:$E$39,5,FALSE)+VLOOKUP($E979&amp;$C979,生产方式定位!$F$3:$J$39,5,FALSE),"错误")</f>
        <v>3050</v>
      </c>
      <c r="W979" s="3" t="str">
        <f t="shared" si="75"/>
        <v/>
      </c>
      <c r="X979" s="4" t="str">
        <f t="shared" si="76"/>
        <v/>
      </c>
      <c r="Y979" s="4" t="str">
        <f t="shared" si="77"/>
        <v/>
      </c>
      <c r="Z979" s="5">
        <f t="shared" si="78"/>
        <v>1.15</v>
      </c>
      <c r="AA979" s="6">
        <f t="shared" si="79"/>
        <v>4</v>
      </c>
      <c r="AB979" t="str">
        <f>IFERROR(F979&amp;"*"&amp;ROUND(L979*(G979/(G979+I979+K979))/VLOOKUP(F979,商品!$A$4:$D$67,4,FALSE),0),"")</f>
        <v/>
      </c>
      <c r="AC979" t="str">
        <f>IFERROR(H979&amp;"*"&amp;ROUND(L979*(I979/(G979+I979+K979))/VLOOKUP(H979,商品!$A$4:$D$67,4,FALSE),0),"")</f>
        <v/>
      </c>
      <c r="AD979" t="str">
        <f>IFERROR(J979&amp;"*"&amp;ROUND(L979*(K979/(G979+I979+K979))/VLOOKUP(J979,商品!$A$4:$D$67,4,FALSE),0),"")</f>
        <v/>
      </c>
      <c r="AE979" t="str">
        <f>IFERROR(M979&amp;"*"&amp;ROUND(Q979*(N979/(N979+P979))/VLOOKUP(M979,职业!$A$3:$E$16,4,FALSE),0),"")</f>
        <v/>
      </c>
      <c r="AF979" t="str">
        <f>IFERROR(O979&amp;"*"&amp;ROUND(Q979*(P979/(N979+P979))/VLOOKUP(O979,职业!$A$3:$E$16,4,FALSE),0),"")</f>
        <v/>
      </c>
      <c r="AG979" t="str">
        <f>IFERROR(R979&amp;"*"&amp;ROUND(V979*(S979/(S979+U979))/VLOOKUP(R979,商品!$A$4:$D$67,4,FALSE),0),"")</f>
        <v/>
      </c>
      <c r="AH979" t="str">
        <f>IFERROR(T979&amp;"*"&amp;ROUND(V979*(U979/(S979+U979))/VLOOKUP(T979,商品!$A$4:$D$67,4,FALSE),0),"")</f>
        <v/>
      </c>
    </row>
    <row r="980" customHeight="1" spans="1:34">
      <c r="A980" s="15" t="s">
        <v>463</v>
      </c>
      <c r="C980" s="2">
        <v>5</v>
      </c>
      <c r="D980" s="2" t="s">
        <v>220</v>
      </c>
      <c r="E980" s="2" t="s">
        <v>255</v>
      </c>
      <c r="L980" s="2">
        <f>IFERROR(VLOOKUP($D980&amp;$C980,生产方式定位!$A$2:$E$39,2,FALSE)+VLOOKUP($E980&amp;$C980,生产方式定位!$F$3:$J$39,2,FALSE),0)</f>
        <v>0</v>
      </c>
      <c r="Q980" s="2">
        <f>IFERROR(VLOOKUP($D980&amp;$C980,生产方式定位!$A$2:$E$39,3,FALSE)+VLOOKUP($E980&amp;$C980,生产方式定位!$F$3:$J$39,3,FALSE),0)</f>
        <v>0</v>
      </c>
      <c r="V980" s="2" t="str">
        <f>IFERROR(VLOOKUP($D980&amp;$C980,生产方式定位!$A$2:$E$39,5,FALSE)+VLOOKUP($E980&amp;$C980,生产方式定位!$F$3:$J$39,5,FALSE),"错误")</f>
        <v>错误</v>
      </c>
      <c r="W980" s="3" t="str">
        <f t="shared" si="75"/>
        <v/>
      </c>
      <c r="X980" s="4" t="str">
        <f t="shared" si="76"/>
        <v/>
      </c>
      <c r="Y980" s="4" t="str">
        <f t="shared" si="77"/>
        <v/>
      </c>
      <c r="Z980" s="5" t="str">
        <f t="shared" si="78"/>
        <v/>
      </c>
      <c r="AA980" s="6">
        <f t="shared" si="79"/>
        <v>5</v>
      </c>
      <c r="AB980" t="str">
        <f>IFERROR(F980&amp;"*"&amp;ROUND(L980*(G980/(G980+I980+K980))/VLOOKUP(F980,商品!$A$4:$D$67,4,FALSE),0),"")</f>
        <v/>
      </c>
      <c r="AC980" t="str">
        <f>IFERROR(H980&amp;"*"&amp;ROUND(L980*(I980/(G980+I980+K980))/VLOOKUP(H980,商品!$A$4:$D$67,4,FALSE),0),"")</f>
        <v/>
      </c>
      <c r="AD980" t="str">
        <f>IFERROR(J980&amp;"*"&amp;ROUND(L980*(K980/(G980+I980+K980))/VLOOKUP(J980,商品!$A$4:$D$67,4,FALSE),0),"")</f>
        <v/>
      </c>
      <c r="AE980" t="str">
        <f>IFERROR(M980&amp;"*"&amp;ROUND(Q980*(N980/(N980+P980))/VLOOKUP(M980,职业!$A$3:$E$16,4,FALSE),0),"")</f>
        <v/>
      </c>
      <c r="AF980" t="str">
        <f>IFERROR(O980&amp;"*"&amp;ROUND(Q980*(P980/(N980+P980))/VLOOKUP(O980,职业!$A$3:$E$16,4,FALSE),0),"")</f>
        <v/>
      </c>
      <c r="AG980" t="str">
        <f>IFERROR(R980&amp;"*"&amp;ROUND(V980*(S980/(S980+U980))/VLOOKUP(R980,商品!$A$4:$D$67,4,FALSE),0),"")</f>
        <v/>
      </c>
      <c r="AH980" t="str">
        <f>IFERROR(T980&amp;"*"&amp;ROUND(V980*(U980/(S980+U980))/VLOOKUP(T980,商品!$A$4:$D$67,4,FALSE),0),"")</f>
        <v/>
      </c>
    </row>
    <row r="981" customHeight="1" spans="1:34">
      <c r="A981" s="15" t="s">
        <v>463</v>
      </c>
      <c r="C981" s="2">
        <v>1</v>
      </c>
      <c r="D981" s="2" t="s">
        <v>220</v>
      </c>
      <c r="E981" s="2" t="s">
        <v>255</v>
      </c>
      <c r="L981" s="2">
        <f>IFERROR(VLOOKUP($D981&amp;$C981,生产方式定位!$A$2:$E$39,2,FALSE)+VLOOKUP($E981&amp;$C981,生产方式定位!$F$3:$J$39,2,FALSE),0)</f>
        <v>2000</v>
      </c>
      <c r="Q981" s="2">
        <f>IFERROR(VLOOKUP($D981&amp;$C981,生产方式定位!$A$2:$E$39,3,FALSE)+VLOOKUP($E981&amp;$C981,生产方式定位!$F$3:$J$39,3,FALSE),0)</f>
        <v>2000</v>
      </c>
      <c r="V981" s="2">
        <f>IFERROR(VLOOKUP($D981&amp;$C981,生产方式定位!$A$2:$E$39,5,FALSE)+VLOOKUP($E981&amp;$C981,生产方式定位!$F$3:$J$39,5,FALSE),"错误")</f>
        <v>2000</v>
      </c>
      <c r="W981" s="3" t="str">
        <f t="shared" si="75"/>
        <v/>
      </c>
      <c r="X981" s="4" t="str">
        <f t="shared" si="76"/>
        <v/>
      </c>
      <c r="Y981" s="4" t="str">
        <f t="shared" si="77"/>
        <v/>
      </c>
      <c r="Z981" s="5">
        <f t="shared" si="78"/>
        <v>1</v>
      </c>
      <c r="AA981" s="6">
        <f t="shared" si="79"/>
        <v>1</v>
      </c>
      <c r="AB981" t="str">
        <f>IFERROR(F981&amp;"*"&amp;ROUND(L981*(G981/(G981+I981+K981))/VLOOKUP(F981,商品!$A$4:$D$67,4,FALSE),0),"")</f>
        <v/>
      </c>
      <c r="AC981" t="str">
        <f>IFERROR(H981&amp;"*"&amp;ROUND(L981*(I981/(G981+I981+K981))/VLOOKUP(H981,商品!$A$4:$D$67,4,FALSE),0),"")</f>
        <v/>
      </c>
      <c r="AD981" t="str">
        <f>IFERROR(J981&amp;"*"&amp;ROUND(L981*(K981/(G981+I981+K981))/VLOOKUP(J981,商品!$A$4:$D$67,4,FALSE),0),"")</f>
        <v/>
      </c>
      <c r="AE981" t="str">
        <f>IFERROR(M981&amp;"*"&amp;ROUND(Q981*(N981/(N981+P981))/VLOOKUP(M981,职业!$A$3:$E$16,4,FALSE),0),"")</f>
        <v/>
      </c>
      <c r="AF981" t="str">
        <f>IFERROR(O981&amp;"*"&amp;ROUND(Q981*(P981/(N981+P981))/VLOOKUP(O981,职业!$A$3:$E$16,4,FALSE),0),"")</f>
        <v/>
      </c>
      <c r="AG981" t="str">
        <f>IFERROR(R981&amp;"*"&amp;ROUND(V981*(S981/(S981+U981))/VLOOKUP(R981,商品!$A$4:$D$67,4,FALSE),0),"")</f>
        <v/>
      </c>
      <c r="AH981" t="str">
        <f>IFERROR(T981&amp;"*"&amp;ROUND(V981*(U981/(S981+U981))/VLOOKUP(T981,商品!$A$4:$D$67,4,FALSE),0),"")</f>
        <v/>
      </c>
    </row>
    <row r="982" customHeight="1" spans="1:34">
      <c r="A982" s="14" t="s">
        <v>464</v>
      </c>
      <c r="C982" s="2">
        <v>2</v>
      </c>
      <c r="D982" s="2" t="s">
        <v>220</v>
      </c>
      <c r="E982" s="2" t="s">
        <v>225</v>
      </c>
      <c r="L982" s="2">
        <f>IFERROR(VLOOKUP($D982&amp;$C982,生产方式定位!$A$2:$E$39,2,FALSE)+VLOOKUP($E982&amp;$C982,生产方式定位!$F$3:$J$39,2,FALSE),0)</f>
        <v>2500</v>
      </c>
      <c r="Q982" s="2">
        <f>IFERROR(VLOOKUP($D982&amp;$C982,生产方式定位!$A$2:$E$39,3,FALSE)+VLOOKUP($E982&amp;$C982,生产方式定位!$F$3:$J$39,3,FALSE),0)</f>
        <v>2200</v>
      </c>
      <c r="V982" s="2">
        <f>IFERROR(VLOOKUP($D982&amp;$C982,生产方式定位!$A$2:$E$39,5,FALSE)+VLOOKUP($E982&amp;$C982,生产方式定位!$F$3:$J$39,5,FALSE),"错误")</f>
        <v>2350</v>
      </c>
      <c r="W982" s="3" t="str">
        <f t="shared" si="75"/>
        <v/>
      </c>
      <c r="X982" s="4" t="str">
        <f t="shared" si="76"/>
        <v/>
      </c>
      <c r="Y982" s="4" t="str">
        <f t="shared" si="77"/>
        <v/>
      </c>
      <c r="Z982" s="5">
        <f t="shared" si="78"/>
        <v>1.06</v>
      </c>
      <c r="AA982" s="6">
        <f t="shared" si="79"/>
        <v>2</v>
      </c>
      <c r="AB982" t="str">
        <f>IFERROR(F982&amp;"*"&amp;ROUND(L982*(G982/(G982+I982+K982))/VLOOKUP(F982,商品!$A$4:$D$67,4,FALSE),0),"")</f>
        <v/>
      </c>
      <c r="AC982" t="str">
        <f>IFERROR(H982&amp;"*"&amp;ROUND(L982*(I982/(G982+I982+K982))/VLOOKUP(H982,商品!$A$4:$D$67,4,FALSE),0),"")</f>
        <v/>
      </c>
      <c r="AD982" t="str">
        <f>IFERROR(J982&amp;"*"&amp;ROUND(L982*(K982/(G982+I982+K982))/VLOOKUP(J982,商品!$A$4:$D$67,4,FALSE),0),"")</f>
        <v/>
      </c>
      <c r="AE982" t="str">
        <f>IFERROR(M982&amp;"*"&amp;ROUND(Q982*(N982/(N982+P982))/VLOOKUP(M982,职业!$A$3:$E$16,4,FALSE),0),"")</f>
        <v/>
      </c>
      <c r="AF982" t="str">
        <f>IFERROR(O982&amp;"*"&amp;ROUND(Q982*(P982/(N982+P982))/VLOOKUP(O982,职业!$A$3:$E$16,4,FALSE),0),"")</f>
        <v/>
      </c>
      <c r="AG982" t="str">
        <f>IFERROR(R982&amp;"*"&amp;ROUND(V982*(S982/(S982+U982))/VLOOKUP(R982,商品!$A$4:$D$67,4,FALSE),0),"")</f>
        <v/>
      </c>
      <c r="AH982" t="str">
        <f>IFERROR(T982&amp;"*"&amp;ROUND(V982*(U982/(S982+U982))/VLOOKUP(T982,商品!$A$4:$D$67,4,FALSE),0),"")</f>
        <v/>
      </c>
    </row>
    <row r="983" customHeight="1" spans="1:34">
      <c r="A983" s="14" t="s">
        <v>464</v>
      </c>
      <c r="C983" s="2">
        <v>3</v>
      </c>
      <c r="D983" s="2" t="s">
        <v>220</v>
      </c>
      <c r="E983" s="2" t="s">
        <v>225</v>
      </c>
      <c r="L983" s="2">
        <f>IFERROR(VLOOKUP($D983&amp;$C983,生产方式定位!$A$2:$E$39,2,FALSE)+VLOOKUP($E983&amp;$C983,生产方式定位!$F$3:$J$39,2,FALSE),0)</f>
        <v>3000</v>
      </c>
      <c r="Q983" s="2">
        <f>IFERROR(VLOOKUP($D983&amp;$C983,生产方式定位!$A$2:$E$39,3,FALSE)+VLOOKUP($E983&amp;$C983,生产方式定位!$F$3:$J$39,3,FALSE),0)</f>
        <v>2400</v>
      </c>
      <c r="V983" s="2">
        <f>IFERROR(VLOOKUP($D983&amp;$C983,生产方式定位!$A$2:$E$39,5,FALSE)+VLOOKUP($E983&amp;$C983,生产方式定位!$F$3:$J$39,5,FALSE),"错误")</f>
        <v>2700</v>
      </c>
      <c r="W983" s="3" t="str">
        <f t="shared" si="75"/>
        <v/>
      </c>
      <c r="X983" s="4" t="str">
        <f t="shared" si="76"/>
        <v/>
      </c>
      <c r="Y983" s="4" t="str">
        <f t="shared" si="77"/>
        <v/>
      </c>
      <c r="Z983" s="5">
        <f t="shared" si="78"/>
        <v>1.11</v>
      </c>
      <c r="AA983" s="6">
        <f t="shared" si="79"/>
        <v>3</v>
      </c>
      <c r="AB983" t="str">
        <f>IFERROR(F983&amp;"*"&amp;ROUND(L983*(G983/(G983+I983+K983))/VLOOKUP(F983,商品!$A$4:$D$67,4,FALSE),0),"")</f>
        <v/>
      </c>
      <c r="AC983" t="str">
        <f>IFERROR(H983&amp;"*"&amp;ROUND(L983*(I983/(G983+I983+K983))/VLOOKUP(H983,商品!$A$4:$D$67,4,FALSE),0),"")</f>
        <v/>
      </c>
      <c r="AD983" t="str">
        <f>IFERROR(J983&amp;"*"&amp;ROUND(L983*(K983/(G983+I983+K983))/VLOOKUP(J983,商品!$A$4:$D$67,4,FALSE),0),"")</f>
        <v/>
      </c>
      <c r="AE983" t="str">
        <f>IFERROR(M983&amp;"*"&amp;ROUND(Q983*(N983/(N983+P983))/VLOOKUP(M983,职业!$A$3:$E$16,4,FALSE),0),"")</f>
        <v/>
      </c>
      <c r="AF983" t="str">
        <f>IFERROR(O983&amp;"*"&amp;ROUND(Q983*(P983/(N983+P983))/VLOOKUP(O983,职业!$A$3:$E$16,4,FALSE),0),"")</f>
        <v/>
      </c>
      <c r="AG983" t="str">
        <f>IFERROR(R983&amp;"*"&amp;ROUND(V983*(S983/(S983+U983))/VLOOKUP(R983,商品!$A$4:$D$67,4,FALSE),0),"")</f>
        <v/>
      </c>
      <c r="AH983" t="str">
        <f>IFERROR(T983&amp;"*"&amp;ROUND(V983*(U983/(S983+U983))/VLOOKUP(T983,商品!$A$4:$D$67,4,FALSE),0),"")</f>
        <v/>
      </c>
    </row>
    <row r="984" customHeight="1" spans="1:34">
      <c r="A984" s="14" t="s">
        <v>464</v>
      </c>
      <c r="C984" s="2">
        <v>4</v>
      </c>
      <c r="D984" s="2" t="s">
        <v>220</v>
      </c>
      <c r="E984" s="2" t="s">
        <v>225</v>
      </c>
      <c r="L984" s="2">
        <f>IFERROR(VLOOKUP($D984&amp;$C984,生产方式定位!$A$2:$E$39,2,FALSE)+VLOOKUP($E984&amp;$C984,生产方式定位!$F$3:$J$39,2,FALSE),0)</f>
        <v>3500</v>
      </c>
      <c r="Q984" s="2">
        <f>IFERROR(VLOOKUP($D984&amp;$C984,生产方式定位!$A$2:$E$39,3,FALSE)+VLOOKUP($E984&amp;$C984,生产方式定位!$F$3:$J$39,3,FALSE),0)</f>
        <v>2600</v>
      </c>
      <c r="V984" s="2">
        <f>IFERROR(VLOOKUP($D984&amp;$C984,生产方式定位!$A$2:$E$39,5,FALSE)+VLOOKUP($E984&amp;$C984,生产方式定位!$F$3:$J$39,5,FALSE),"错误")</f>
        <v>3050</v>
      </c>
      <c r="W984" s="3" t="str">
        <f t="shared" si="75"/>
        <v/>
      </c>
      <c r="X984" s="4" t="str">
        <f t="shared" si="76"/>
        <v/>
      </c>
      <c r="Y984" s="4" t="str">
        <f t="shared" si="77"/>
        <v/>
      </c>
      <c r="Z984" s="5">
        <f t="shared" si="78"/>
        <v>1.15</v>
      </c>
      <c r="AA984" s="6">
        <f t="shared" si="79"/>
        <v>4</v>
      </c>
      <c r="AB984" t="str">
        <f>IFERROR(F984&amp;"*"&amp;ROUND(L984*(G984/(G984+I984+K984))/VLOOKUP(F984,商品!$A$4:$D$67,4,FALSE),0),"")</f>
        <v/>
      </c>
      <c r="AC984" t="str">
        <f>IFERROR(H984&amp;"*"&amp;ROUND(L984*(I984/(G984+I984+K984))/VLOOKUP(H984,商品!$A$4:$D$67,4,FALSE),0),"")</f>
        <v/>
      </c>
      <c r="AD984" t="str">
        <f>IFERROR(J984&amp;"*"&amp;ROUND(L984*(K984/(G984+I984+K984))/VLOOKUP(J984,商品!$A$4:$D$67,4,FALSE),0),"")</f>
        <v/>
      </c>
      <c r="AE984" t="str">
        <f>IFERROR(M984&amp;"*"&amp;ROUND(Q984*(N984/(N984+P984))/VLOOKUP(M984,职业!$A$3:$E$16,4,FALSE),0),"")</f>
        <v/>
      </c>
      <c r="AF984" t="str">
        <f>IFERROR(O984&amp;"*"&amp;ROUND(Q984*(P984/(N984+P984))/VLOOKUP(O984,职业!$A$3:$E$16,4,FALSE),0),"")</f>
        <v/>
      </c>
      <c r="AG984" t="str">
        <f>IFERROR(R984&amp;"*"&amp;ROUND(V984*(S984/(S984+U984))/VLOOKUP(R984,商品!$A$4:$D$67,4,FALSE),0),"")</f>
        <v/>
      </c>
      <c r="AH984" t="str">
        <f>IFERROR(T984&amp;"*"&amp;ROUND(V984*(U984/(S984+U984))/VLOOKUP(T984,商品!$A$4:$D$67,4,FALSE),0),"")</f>
        <v/>
      </c>
    </row>
    <row r="985" customHeight="1" spans="1:34">
      <c r="A985" s="14" t="s">
        <v>464</v>
      </c>
      <c r="C985" s="2">
        <v>5</v>
      </c>
      <c r="D985" s="2" t="s">
        <v>220</v>
      </c>
      <c r="E985" s="2" t="s">
        <v>225</v>
      </c>
      <c r="L985" s="2">
        <f>IFERROR(VLOOKUP($D985&amp;$C985,生产方式定位!$A$2:$E$39,2,FALSE)+VLOOKUP($E985&amp;$C985,生产方式定位!$F$3:$J$39,2,FALSE),0)</f>
        <v>4000</v>
      </c>
      <c r="Q985" s="2">
        <f>IFERROR(VLOOKUP($D985&amp;$C985,生产方式定位!$A$2:$E$39,3,FALSE)+VLOOKUP($E985&amp;$C985,生产方式定位!$F$3:$J$39,3,FALSE),0)</f>
        <v>2800</v>
      </c>
      <c r="V985" s="2">
        <f>IFERROR(VLOOKUP($D985&amp;$C985,生产方式定位!$A$2:$E$39,5,FALSE)+VLOOKUP($E985&amp;$C985,生产方式定位!$F$3:$J$39,5,FALSE),"错误")</f>
        <v>3400</v>
      </c>
      <c r="W985" s="3" t="str">
        <f t="shared" si="75"/>
        <v/>
      </c>
      <c r="X985" s="4" t="str">
        <f t="shared" si="76"/>
        <v/>
      </c>
      <c r="Y985" s="4" t="str">
        <f t="shared" si="77"/>
        <v/>
      </c>
      <c r="Z985" s="5">
        <f t="shared" si="78"/>
        <v>1.18</v>
      </c>
      <c r="AA985" s="6">
        <f t="shared" si="79"/>
        <v>5</v>
      </c>
      <c r="AB985" t="str">
        <f>IFERROR(F985&amp;"*"&amp;ROUND(L985*(G985/(G985+I985+K985))/VLOOKUP(F985,商品!$A$4:$D$67,4,FALSE),0),"")</f>
        <v/>
      </c>
      <c r="AC985" t="str">
        <f>IFERROR(H985&amp;"*"&amp;ROUND(L985*(I985/(G985+I985+K985))/VLOOKUP(H985,商品!$A$4:$D$67,4,FALSE),0),"")</f>
        <v/>
      </c>
      <c r="AD985" t="str">
        <f>IFERROR(J985&amp;"*"&amp;ROUND(L985*(K985/(G985+I985+K985))/VLOOKUP(J985,商品!$A$4:$D$67,4,FALSE),0),"")</f>
        <v/>
      </c>
      <c r="AE985" t="str">
        <f>IFERROR(M985&amp;"*"&amp;ROUND(Q985*(N985/(N985+P985))/VLOOKUP(M985,职业!$A$3:$E$16,4,FALSE),0),"")</f>
        <v/>
      </c>
      <c r="AF985" t="str">
        <f>IFERROR(O985&amp;"*"&amp;ROUND(Q985*(P985/(N985+P985))/VLOOKUP(O985,职业!$A$3:$E$16,4,FALSE),0),"")</f>
        <v/>
      </c>
      <c r="AG985" t="str">
        <f>IFERROR(R985&amp;"*"&amp;ROUND(V985*(S985/(S985+U985))/VLOOKUP(R985,商品!$A$4:$D$67,4,FALSE),0),"")</f>
        <v/>
      </c>
      <c r="AH985" t="str">
        <f>IFERROR(T985&amp;"*"&amp;ROUND(V985*(U985/(S985+U985))/VLOOKUP(T985,商品!$A$4:$D$67,4,FALSE),0),"")</f>
        <v/>
      </c>
    </row>
    <row r="986" customHeight="1" spans="1:34">
      <c r="A986" s="14" t="s">
        <v>464</v>
      </c>
      <c r="C986" s="2">
        <v>1</v>
      </c>
      <c r="D986" s="2" t="s">
        <v>220</v>
      </c>
      <c r="E986" s="2" t="s">
        <v>225</v>
      </c>
      <c r="L986" s="2">
        <f>IFERROR(VLOOKUP($D986&amp;$C986,生产方式定位!$A$2:$E$39,2,FALSE)+VLOOKUP($E986&amp;$C986,生产方式定位!$F$3:$J$39,2,FALSE),0)</f>
        <v>2000</v>
      </c>
      <c r="Q986" s="2">
        <f>IFERROR(VLOOKUP($D986&amp;$C986,生产方式定位!$A$2:$E$39,3,FALSE)+VLOOKUP($E986&amp;$C986,生产方式定位!$F$3:$J$39,3,FALSE),0)</f>
        <v>2000</v>
      </c>
      <c r="V986" s="2">
        <f>IFERROR(VLOOKUP($D986&amp;$C986,生产方式定位!$A$2:$E$39,5,FALSE)+VLOOKUP($E986&amp;$C986,生产方式定位!$F$3:$J$39,5,FALSE),"错误")</f>
        <v>2000</v>
      </c>
      <c r="W986" s="3" t="str">
        <f t="shared" si="75"/>
        <v/>
      </c>
      <c r="X986" s="4" t="str">
        <f t="shared" si="76"/>
        <v/>
      </c>
      <c r="Y986" s="4" t="str">
        <f t="shared" si="77"/>
        <v/>
      </c>
      <c r="Z986" s="5">
        <f t="shared" si="78"/>
        <v>1</v>
      </c>
      <c r="AA986" s="6">
        <f t="shared" si="79"/>
        <v>1</v>
      </c>
      <c r="AB986" t="str">
        <f>IFERROR(F986&amp;"*"&amp;ROUND(L986*(G986/(G986+I986+K986))/VLOOKUP(F986,商品!$A$4:$D$67,4,FALSE),0),"")</f>
        <v/>
      </c>
      <c r="AC986" t="str">
        <f>IFERROR(H986&amp;"*"&amp;ROUND(L986*(I986/(G986+I986+K986))/VLOOKUP(H986,商品!$A$4:$D$67,4,FALSE),0),"")</f>
        <v/>
      </c>
      <c r="AD986" t="str">
        <f>IFERROR(J986&amp;"*"&amp;ROUND(L986*(K986/(G986+I986+K986))/VLOOKUP(J986,商品!$A$4:$D$67,4,FALSE),0),"")</f>
        <v/>
      </c>
      <c r="AE986" t="str">
        <f>IFERROR(M986&amp;"*"&amp;ROUND(Q986*(N986/(N986+P986))/VLOOKUP(M986,职业!$A$3:$E$16,4,FALSE),0),"")</f>
        <v/>
      </c>
      <c r="AF986" t="str">
        <f>IFERROR(O986&amp;"*"&amp;ROUND(Q986*(P986/(N986+P986))/VLOOKUP(O986,职业!$A$3:$E$16,4,FALSE),0),"")</f>
        <v/>
      </c>
      <c r="AG986" t="str">
        <f>IFERROR(R986&amp;"*"&amp;ROUND(V986*(S986/(S986+U986))/VLOOKUP(R986,商品!$A$4:$D$67,4,FALSE),0),"")</f>
        <v/>
      </c>
      <c r="AH986" t="str">
        <f>IFERROR(T986&amp;"*"&amp;ROUND(V986*(U986/(S986+U986))/VLOOKUP(T986,商品!$A$4:$D$67,4,FALSE),0),"")</f>
        <v/>
      </c>
    </row>
    <row r="987" customHeight="1" spans="1:34">
      <c r="A987" s="14" t="s">
        <v>464</v>
      </c>
      <c r="C987" s="2">
        <v>2</v>
      </c>
      <c r="D987" s="2" t="s">
        <v>220</v>
      </c>
      <c r="E987" s="2" t="s">
        <v>225</v>
      </c>
      <c r="L987" s="2">
        <f>IFERROR(VLOOKUP($D987&amp;$C987,生产方式定位!$A$2:$E$39,2,FALSE)+VLOOKUP($E987&amp;$C987,生产方式定位!$F$3:$J$39,2,FALSE),0)</f>
        <v>2500</v>
      </c>
      <c r="Q987" s="2">
        <f>IFERROR(VLOOKUP($D987&amp;$C987,生产方式定位!$A$2:$E$39,3,FALSE)+VLOOKUP($E987&amp;$C987,生产方式定位!$F$3:$J$39,3,FALSE),0)</f>
        <v>2200</v>
      </c>
      <c r="V987" s="2">
        <f>IFERROR(VLOOKUP($D987&amp;$C987,生产方式定位!$A$2:$E$39,5,FALSE)+VLOOKUP($E987&amp;$C987,生产方式定位!$F$3:$J$39,5,FALSE),"错误")</f>
        <v>2350</v>
      </c>
      <c r="W987" s="3" t="str">
        <f t="shared" si="75"/>
        <v/>
      </c>
      <c r="X987" s="4" t="str">
        <f t="shared" si="76"/>
        <v/>
      </c>
      <c r="Y987" s="4" t="str">
        <f t="shared" si="77"/>
        <v/>
      </c>
      <c r="Z987" s="5">
        <f t="shared" si="78"/>
        <v>1.06</v>
      </c>
      <c r="AA987" s="6">
        <f t="shared" si="79"/>
        <v>2</v>
      </c>
      <c r="AB987" t="str">
        <f>IFERROR(F987&amp;"*"&amp;ROUND(L987*(G987/(G987+I987+K987))/VLOOKUP(F987,商品!$A$4:$D$67,4,FALSE),0),"")</f>
        <v/>
      </c>
      <c r="AC987" t="str">
        <f>IFERROR(H987&amp;"*"&amp;ROUND(L987*(I987/(G987+I987+K987))/VLOOKUP(H987,商品!$A$4:$D$67,4,FALSE),0),"")</f>
        <v/>
      </c>
      <c r="AD987" t="str">
        <f>IFERROR(J987&amp;"*"&amp;ROUND(L987*(K987/(G987+I987+K987))/VLOOKUP(J987,商品!$A$4:$D$67,4,FALSE),0),"")</f>
        <v/>
      </c>
      <c r="AE987" t="str">
        <f>IFERROR(M987&amp;"*"&amp;ROUND(Q987*(N987/(N987+P987))/VLOOKUP(M987,职业!$A$3:$E$16,4,FALSE),0),"")</f>
        <v/>
      </c>
      <c r="AF987" t="str">
        <f>IFERROR(O987&amp;"*"&amp;ROUND(Q987*(P987/(N987+P987))/VLOOKUP(O987,职业!$A$3:$E$16,4,FALSE),0),"")</f>
        <v/>
      </c>
      <c r="AG987" t="str">
        <f>IFERROR(R987&amp;"*"&amp;ROUND(V987*(S987/(S987+U987))/VLOOKUP(R987,商品!$A$4:$D$67,4,FALSE),0),"")</f>
        <v/>
      </c>
      <c r="AH987" t="str">
        <f>IFERROR(T987&amp;"*"&amp;ROUND(V987*(U987/(S987+U987))/VLOOKUP(T987,商品!$A$4:$D$67,4,FALSE),0),"")</f>
        <v/>
      </c>
    </row>
    <row r="988" customHeight="1" spans="1:34">
      <c r="A988" s="14" t="s">
        <v>464</v>
      </c>
      <c r="C988" s="2">
        <v>3</v>
      </c>
      <c r="D988" s="2" t="s">
        <v>220</v>
      </c>
      <c r="E988" s="2" t="s">
        <v>225</v>
      </c>
      <c r="L988" s="2">
        <f>IFERROR(VLOOKUP($D988&amp;$C988,生产方式定位!$A$2:$E$39,2,FALSE)+VLOOKUP($E988&amp;$C988,生产方式定位!$F$3:$J$39,2,FALSE),0)</f>
        <v>3000</v>
      </c>
      <c r="Q988" s="2">
        <f>IFERROR(VLOOKUP($D988&amp;$C988,生产方式定位!$A$2:$E$39,3,FALSE)+VLOOKUP($E988&amp;$C988,生产方式定位!$F$3:$J$39,3,FALSE),0)</f>
        <v>2400</v>
      </c>
      <c r="V988" s="2">
        <f>IFERROR(VLOOKUP($D988&amp;$C988,生产方式定位!$A$2:$E$39,5,FALSE)+VLOOKUP($E988&amp;$C988,生产方式定位!$F$3:$J$39,5,FALSE),"错误")</f>
        <v>2700</v>
      </c>
      <c r="W988" s="3" t="str">
        <f t="shared" si="75"/>
        <v/>
      </c>
      <c r="X988" s="4" t="str">
        <f t="shared" si="76"/>
        <v/>
      </c>
      <c r="Y988" s="4" t="str">
        <f t="shared" si="77"/>
        <v/>
      </c>
      <c r="Z988" s="5">
        <f t="shared" si="78"/>
        <v>1.11</v>
      </c>
      <c r="AA988" s="6">
        <f t="shared" si="79"/>
        <v>3</v>
      </c>
      <c r="AB988" t="str">
        <f>IFERROR(F988&amp;"*"&amp;ROUND(L988*(G988/(G988+I988+K988))/VLOOKUP(F988,商品!$A$4:$D$67,4,FALSE),0),"")</f>
        <v/>
      </c>
      <c r="AC988" t="str">
        <f>IFERROR(H988&amp;"*"&amp;ROUND(L988*(I988/(G988+I988+K988))/VLOOKUP(H988,商品!$A$4:$D$67,4,FALSE),0),"")</f>
        <v/>
      </c>
      <c r="AD988" t="str">
        <f>IFERROR(J988&amp;"*"&amp;ROUND(L988*(K988/(G988+I988+K988))/VLOOKUP(J988,商品!$A$4:$D$67,4,FALSE),0),"")</f>
        <v/>
      </c>
      <c r="AE988" t="str">
        <f>IFERROR(M988&amp;"*"&amp;ROUND(Q988*(N988/(N988+P988))/VLOOKUP(M988,职业!$A$3:$E$16,4,FALSE),0),"")</f>
        <v/>
      </c>
      <c r="AF988" t="str">
        <f>IFERROR(O988&amp;"*"&amp;ROUND(Q988*(P988/(N988+P988))/VLOOKUP(O988,职业!$A$3:$E$16,4,FALSE),0),"")</f>
        <v/>
      </c>
      <c r="AG988" t="str">
        <f>IFERROR(R988&amp;"*"&amp;ROUND(V988*(S988/(S988+U988))/VLOOKUP(R988,商品!$A$4:$D$67,4,FALSE),0),"")</f>
        <v/>
      </c>
      <c r="AH988" t="str">
        <f>IFERROR(T988&amp;"*"&amp;ROUND(V988*(U988/(S988+U988))/VLOOKUP(T988,商品!$A$4:$D$67,4,FALSE),0),"")</f>
        <v/>
      </c>
    </row>
    <row r="989" customHeight="1" spans="1:34">
      <c r="A989" s="14" t="s">
        <v>464</v>
      </c>
      <c r="C989" s="2">
        <v>4</v>
      </c>
      <c r="D989" s="2" t="s">
        <v>220</v>
      </c>
      <c r="E989" s="2" t="s">
        <v>225</v>
      </c>
      <c r="L989" s="2">
        <f>IFERROR(VLOOKUP($D989&amp;$C989,生产方式定位!$A$2:$E$39,2,FALSE)+VLOOKUP($E989&amp;$C989,生产方式定位!$F$3:$J$39,2,FALSE),0)</f>
        <v>3500</v>
      </c>
      <c r="Q989" s="2">
        <f>IFERROR(VLOOKUP($D989&amp;$C989,生产方式定位!$A$2:$E$39,3,FALSE)+VLOOKUP($E989&amp;$C989,生产方式定位!$F$3:$J$39,3,FALSE),0)</f>
        <v>2600</v>
      </c>
      <c r="V989" s="2">
        <f>IFERROR(VLOOKUP($D989&amp;$C989,生产方式定位!$A$2:$E$39,5,FALSE)+VLOOKUP($E989&amp;$C989,生产方式定位!$F$3:$J$39,5,FALSE),"错误")</f>
        <v>3050</v>
      </c>
      <c r="W989" s="3" t="str">
        <f t="shared" si="75"/>
        <v/>
      </c>
      <c r="X989" s="4" t="str">
        <f t="shared" si="76"/>
        <v/>
      </c>
      <c r="Y989" s="4" t="str">
        <f t="shared" si="77"/>
        <v/>
      </c>
      <c r="Z989" s="5">
        <f t="shared" si="78"/>
        <v>1.15</v>
      </c>
      <c r="AA989" s="6">
        <f t="shared" si="79"/>
        <v>4</v>
      </c>
      <c r="AB989" t="str">
        <f>IFERROR(F989&amp;"*"&amp;ROUND(L989*(G989/(G989+I989+K989))/VLOOKUP(F989,商品!$A$4:$D$67,4,FALSE),0),"")</f>
        <v/>
      </c>
      <c r="AC989" t="str">
        <f>IFERROR(H989&amp;"*"&amp;ROUND(L989*(I989/(G989+I989+K989))/VLOOKUP(H989,商品!$A$4:$D$67,4,FALSE),0),"")</f>
        <v/>
      </c>
      <c r="AD989" t="str">
        <f>IFERROR(J989&amp;"*"&amp;ROUND(L989*(K989/(G989+I989+K989))/VLOOKUP(J989,商品!$A$4:$D$67,4,FALSE),0),"")</f>
        <v/>
      </c>
      <c r="AE989" t="str">
        <f>IFERROR(M989&amp;"*"&amp;ROUND(Q989*(N989/(N989+P989))/VLOOKUP(M989,职业!$A$3:$E$16,4,FALSE),0),"")</f>
        <v/>
      </c>
      <c r="AF989" t="str">
        <f>IFERROR(O989&amp;"*"&amp;ROUND(Q989*(P989/(N989+P989))/VLOOKUP(O989,职业!$A$3:$E$16,4,FALSE),0),"")</f>
        <v/>
      </c>
      <c r="AG989" t="str">
        <f>IFERROR(R989&amp;"*"&amp;ROUND(V989*(S989/(S989+U989))/VLOOKUP(R989,商品!$A$4:$D$67,4,FALSE),0),"")</f>
        <v/>
      </c>
      <c r="AH989" t="str">
        <f>IFERROR(T989&amp;"*"&amp;ROUND(V989*(U989/(S989+U989))/VLOOKUP(T989,商品!$A$4:$D$67,4,FALSE),0),"")</f>
        <v/>
      </c>
    </row>
    <row r="990" customHeight="1" spans="1:34">
      <c r="A990" s="15" t="s">
        <v>466</v>
      </c>
      <c r="C990" s="2">
        <v>5</v>
      </c>
      <c r="D990" s="2" t="s">
        <v>220</v>
      </c>
      <c r="E990" s="2" t="s">
        <v>222</v>
      </c>
      <c r="L990" s="2">
        <f>IFERROR(VLOOKUP($D990&amp;$C990,生产方式定位!$A$2:$E$39,2,FALSE)+VLOOKUP($E990&amp;$C990,生产方式定位!$F$3:$J$39,2,FALSE),0)</f>
        <v>8000</v>
      </c>
      <c r="Q990" s="2">
        <f>IFERROR(VLOOKUP($D990&amp;$C990,生产方式定位!$A$2:$E$39,3,FALSE)+VLOOKUP($E990&amp;$C990,生产方式定位!$F$3:$J$39,3,FALSE),0)</f>
        <v>3600</v>
      </c>
      <c r="V990" s="2">
        <f>IFERROR(VLOOKUP($D990&amp;$C990,生产方式定位!$A$2:$E$39,5,FALSE)+VLOOKUP($E990&amp;$C990,生产方式定位!$F$3:$J$39,5,FALSE),"错误")</f>
        <v>7000</v>
      </c>
      <c r="W990" s="3" t="str">
        <f t="shared" si="75"/>
        <v/>
      </c>
      <c r="X990" s="4" t="str">
        <f t="shared" si="76"/>
        <v/>
      </c>
      <c r="Y990" s="4" t="str">
        <f t="shared" si="77"/>
        <v/>
      </c>
      <c r="Z990" s="5">
        <f t="shared" si="78"/>
        <v>1.14</v>
      </c>
      <c r="AA990" s="6">
        <f t="shared" si="79"/>
        <v>5</v>
      </c>
      <c r="AB990" t="str">
        <f>IFERROR(F990&amp;"*"&amp;ROUND(L990*(G990/(G990+I990+K990))/VLOOKUP(F990,商品!$A$4:$D$67,4,FALSE),0),"")</f>
        <v/>
      </c>
      <c r="AC990" t="str">
        <f>IFERROR(H990&amp;"*"&amp;ROUND(L990*(I990/(G990+I990+K990))/VLOOKUP(H990,商品!$A$4:$D$67,4,FALSE),0),"")</f>
        <v/>
      </c>
      <c r="AD990" t="str">
        <f>IFERROR(J990&amp;"*"&amp;ROUND(L990*(K990/(G990+I990+K990))/VLOOKUP(J990,商品!$A$4:$D$67,4,FALSE),0),"")</f>
        <v/>
      </c>
      <c r="AE990" t="str">
        <f>IFERROR(M990&amp;"*"&amp;ROUND(Q990*(N990/(N990+P990))/VLOOKUP(M990,职业!$A$3:$E$16,4,FALSE),0),"")</f>
        <v/>
      </c>
      <c r="AF990" t="str">
        <f>IFERROR(O990&amp;"*"&amp;ROUND(Q990*(P990/(N990+P990))/VLOOKUP(O990,职业!$A$3:$E$16,4,FALSE),0),"")</f>
        <v/>
      </c>
      <c r="AG990" t="str">
        <f>IFERROR(R990&amp;"*"&amp;ROUND(V990*(S990/(S990+U990))/VLOOKUP(R990,商品!$A$4:$D$67,4,FALSE),0),"")</f>
        <v/>
      </c>
      <c r="AH990" t="str">
        <f>IFERROR(T990&amp;"*"&amp;ROUND(V990*(U990/(S990+U990))/VLOOKUP(T990,商品!$A$4:$D$67,4,FALSE),0),"")</f>
        <v/>
      </c>
    </row>
    <row r="991" customHeight="1" spans="1:34">
      <c r="A991" s="15" t="s">
        <v>466</v>
      </c>
      <c r="C991" s="2">
        <v>1</v>
      </c>
      <c r="D991" s="2" t="s">
        <v>220</v>
      </c>
      <c r="E991" s="2" t="s">
        <v>222</v>
      </c>
      <c r="L991" s="2">
        <f>IFERROR(VLOOKUP($D991&amp;$C991,生产方式定位!$A$2:$E$39,2,FALSE)+VLOOKUP($E991&amp;$C991,生产方式定位!$F$3:$J$39,2,FALSE),0)</f>
        <v>2000</v>
      </c>
      <c r="Q991" s="2">
        <f>IFERROR(VLOOKUP($D991&amp;$C991,生产方式定位!$A$2:$E$39,3,FALSE)+VLOOKUP($E991&amp;$C991,生产方式定位!$F$3:$J$39,3,FALSE),0)</f>
        <v>2000</v>
      </c>
      <c r="V991" s="2">
        <f>IFERROR(VLOOKUP($D991&amp;$C991,生产方式定位!$A$2:$E$39,5,FALSE)+VLOOKUP($E991&amp;$C991,生产方式定位!$F$3:$J$39,5,FALSE),"错误")</f>
        <v>2000</v>
      </c>
      <c r="W991" s="3" t="str">
        <f t="shared" si="75"/>
        <v/>
      </c>
      <c r="X991" s="4" t="str">
        <f t="shared" si="76"/>
        <v/>
      </c>
      <c r="Y991" s="4" t="str">
        <f t="shared" si="77"/>
        <v/>
      </c>
      <c r="Z991" s="5">
        <f t="shared" si="78"/>
        <v>1</v>
      </c>
      <c r="AA991" s="6">
        <f t="shared" si="79"/>
        <v>1</v>
      </c>
      <c r="AB991" t="str">
        <f>IFERROR(F991&amp;"*"&amp;ROUND(L991*(G991/(G991+I991+K991))/VLOOKUP(F991,商品!$A$4:$D$67,4,FALSE),0),"")</f>
        <v/>
      </c>
      <c r="AC991" t="str">
        <f>IFERROR(H991&amp;"*"&amp;ROUND(L991*(I991/(G991+I991+K991))/VLOOKUP(H991,商品!$A$4:$D$67,4,FALSE),0),"")</f>
        <v/>
      </c>
      <c r="AD991" t="str">
        <f>IFERROR(J991&amp;"*"&amp;ROUND(L991*(K991/(G991+I991+K991))/VLOOKUP(J991,商品!$A$4:$D$67,4,FALSE),0),"")</f>
        <v/>
      </c>
      <c r="AE991" t="str">
        <f>IFERROR(M991&amp;"*"&amp;ROUND(Q991*(N991/(N991+P991))/VLOOKUP(M991,职业!$A$3:$E$16,4,FALSE),0),"")</f>
        <v/>
      </c>
      <c r="AF991" t="str">
        <f>IFERROR(O991&amp;"*"&amp;ROUND(Q991*(P991/(N991+P991))/VLOOKUP(O991,职业!$A$3:$E$16,4,FALSE),0),"")</f>
        <v/>
      </c>
      <c r="AG991" t="str">
        <f>IFERROR(R991&amp;"*"&amp;ROUND(V991*(S991/(S991+U991))/VLOOKUP(R991,商品!$A$4:$D$67,4,FALSE),0),"")</f>
        <v/>
      </c>
      <c r="AH991" t="str">
        <f>IFERROR(T991&amp;"*"&amp;ROUND(V991*(U991/(S991+U991))/VLOOKUP(T991,商品!$A$4:$D$67,4,FALSE),0),"")</f>
        <v/>
      </c>
    </row>
    <row r="992" customHeight="1" spans="1:34">
      <c r="A992" s="15" t="s">
        <v>466</v>
      </c>
      <c r="C992" s="2">
        <v>2</v>
      </c>
      <c r="D992" s="2" t="s">
        <v>220</v>
      </c>
      <c r="E992" s="2" t="s">
        <v>222</v>
      </c>
      <c r="L992" s="2">
        <f>IFERROR(VLOOKUP($D992&amp;$C992,生产方式定位!$A$2:$E$39,2,FALSE)+VLOOKUP($E992&amp;$C992,生产方式定位!$F$3:$J$39,2,FALSE),0)</f>
        <v>3500</v>
      </c>
      <c r="Q992" s="2">
        <f>IFERROR(VLOOKUP($D992&amp;$C992,生产方式定位!$A$2:$E$39,3,FALSE)+VLOOKUP($E992&amp;$C992,生产方式定位!$F$3:$J$39,3,FALSE),0)</f>
        <v>2400</v>
      </c>
      <c r="V992" s="2">
        <f>IFERROR(VLOOKUP($D992&amp;$C992,生产方式定位!$A$2:$E$39,5,FALSE)+VLOOKUP($E992&amp;$C992,生产方式定位!$F$3:$J$39,5,FALSE),"错误")</f>
        <v>3022</v>
      </c>
      <c r="W992" s="3" t="str">
        <f t="shared" si="75"/>
        <v/>
      </c>
      <c r="X992" s="4" t="str">
        <f t="shared" si="76"/>
        <v/>
      </c>
      <c r="Y992" s="4" t="str">
        <f t="shared" si="77"/>
        <v/>
      </c>
      <c r="Z992" s="5">
        <f t="shared" si="78"/>
        <v>1.16</v>
      </c>
      <c r="AA992" s="6">
        <f t="shared" si="79"/>
        <v>2</v>
      </c>
      <c r="AB992" t="str">
        <f>IFERROR(F992&amp;"*"&amp;ROUND(L992*(G992/(G992+I992+K992))/VLOOKUP(F992,商品!$A$4:$D$67,4,FALSE),0),"")</f>
        <v/>
      </c>
      <c r="AC992" t="str">
        <f>IFERROR(H992&amp;"*"&amp;ROUND(L992*(I992/(G992+I992+K992))/VLOOKUP(H992,商品!$A$4:$D$67,4,FALSE),0),"")</f>
        <v/>
      </c>
      <c r="AD992" t="str">
        <f>IFERROR(J992&amp;"*"&amp;ROUND(L992*(K992/(G992+I992+K992))/VLOOKUP(J992,商品!$A$4:$D$67,4,FALSE),0),"")</f>
        <v/>
      </c>
      <c r="AE992" t="str">
        <f>IFERROR(M992&amp;"*"&amp;ROUND(Q992*(N992/(N992+P992))/VLOOKUP(M992,职业!$A$3:$E$16,4,FALSE),0),"")</f>
        <v/>
      </c>
      <c r="AF992" t="str">
        <f>IFERROR(O992&amp;"*"&amp;ROUND(Q992*(P992/(N992+P992))/VLOOKUP(O992,职业!$A$3:$E$16,4,FALSE),0),"")</f>
        <v/>
      </c>
      <c r="AG992" t="str">
        <f>IFERROR(R992&amp;"*"&amp;ROUND(V992*(S992/(S992+U992))/VLOOKUP(R992,商品!$A$4:$D$67,4,FALSE),0),"")</f>
        <v/>
      </c>
      <c r="AH992" t="str">
        <f>IFERROR(T992&amp;"*"&amp;ROUND(V992*(U992/(S992+U992))/VLOOKUP(T992,商品!$A$4:$D$67,4,FALSE),0),"")</f>
        <v/>
      </c>
    </row>
    <row r="993" customHeight="1" spans="1:34">
      <c r="A993" s="15" t="s">
        <v>466</v>
      </c>
      <c r="C993" s="2">
        <v>3</v>
      </c>
      <c r="D993" s="2" t="s">
        <v>220</v>
      </c>
      <c r="E993" s="2" t="s">
        <v>222</v>
      </c>
      <c r="L993" s="2">
        <f>IFERROR(VLOOKUP($D993&amp;$C993,生产方式定位!$A$2:$E$39,2,FALSE)+VLOOKUP($E993&amp;$C993,生产方式定位!$F$3:$J$39,2,FALSE),0)</f>
        <v>5000</v>
      </c>
      <c r="Q993" s="2">
        <f>IFERROR(VLOOKUP($D993&amp;$C993,生产方式定位!$A$2:$E$39,3,FALSE)+VLOOKUP($E993&amp;$C993,生产方式定位!$F$3:$J$39,3,FALSE),0)</f>
        <v>2800</v>
      </c>
      <c r="V993" s="2">
        <f>IFERROR(VLOOKUP($D993&amp;$C993,生产方式定位!$A$2:$E$39,5,FALSE)+VLOOKUP($E993&amp;$C993,生产方式定位!$F$3:$J$39,5,FALSE),"错误")</f>
        <v>4188</v>
      </c>
      <c r="W993" s="3" t="str">
        <f t="shared" si="75"/>
        <v/>
      </c>
      <c r="X993" s="4" t="str">
        <f t="shared" si="76"/>
        <v/>
      </c>
      <c r="Y993" s="4" t="str">
        <f t="shared" si="77"/>
        <v/>
      </c>
      <c r="Z993" s="5">
        <f t="shared" si="78"/>
        <v>1.19</v>
      </c>
      <c r="AA993" s="6">
        <f t="shared" si="79"/>
        <v>3</v>
      </c>
      <c r="AB993" t="str">
        <f>IFERROR(F993&amp;"*"&amp;ROUND(L993*(G993/(G993+I993+K993))/VLOOKUP(F993,商品!$A$4:$D$67,4,FALSE),0),"")</f>
        <v/>
      </c>
      <c r="AC993" t="str">
        <f>IFERROR(H993&amp;"*"&amp;ROUND(L993*(I993/(G993+I993+K993))/VLOOKUP(H993,商品!$A$4:$D$67,4,FALSE),0),"")</f>
        <v/>
      </c>
      <c r="AD993" t="str">
        <f>IFERROR(J993&amp;"*"&amp;ROUND(L993*(K993/(G993+I993+K993))/VLOOKUP(J993,商品!$A$4:$D$67,4,FALSE),0),"")</f>
        <v/>
      </c>
      <c r="AE993" t="str">
        <f>IFERROR(M993&amp;"*"&amp;ROUND(Q993*(N993/(N993+P993))/VLOOKUP(M993,职业!$A$3:$E$16,4,FALSE),0),"")</f>
        <v/>
      </c>
      <c r="AF993" t="str">
        <f>IFERROR(O993&amp;"*"&amp;ROUND(Q993*(P993/(N993+P993))/VLOOKUP(O993,职业!$A$3:$E$16,4,FALSE),0),"")</f>
        <v/>
      </c>
      <c r="AG993" t="str">
        <f>IFERROR(R993&amp;"*"&amp;ROUND(V993*(S993/(S993+U993))/VLOOKUP(R993,商品!$A$4:$D$67,4,FALSE),0),"")</f>
        <v/>
      </c>
      <c r="AH993" t="str">
        <f>IFERROR(T993&amp;"*"&amp;ROUND(V993*(U993/(S993+U993))/VLOOKUP(T993,商品!$A$4:$D$67,4,FALSE),0),"")</f>
        <v/>
      </c>
    </row>
    <row r="994" customHeight="1" spans="1:34">
      <c r="A994" s="15" t="s">
        <v>466</v>
      </c>
      <c r="C994" s="2">
        <v>4</v>
      </c>
      <c r="D994" s="2" t="s">
        <v>220</v>
      </c>
      <c r="E994" s="2" t="s">
        <v>222</v>
      </c>
      <c r="L994" s="2">
        <f>IFERROR(VLOOKUP($D994&amp;$C994,生产方式定位!$A$2:$E$39,2,FALSE)+VLOOKUP($E994&amp;$C994,生产方式定位!$F$3:$J$39,2,FALSE),0)</f>
        <v>6500</v>
      </c>
      <c r="Q994" s="2">
        <f>IFERROR(VLOOKUP($D994&amp;$C994,生产方式定位!$A$2:$E$39,3,FALSE)+VLOOKUP($E994&amp;$C994,生产方式定位!$F$3:$J$39,3,FALSE),0)</f>
        <v>3200</v>
      </c>
      <c r="V994" s="2">
        <f>IFERROR(VLOOKUP($D994&amp;$C994,生产方式定位!$A$2:$E$39,5,FALSE)+VLOOKUP($E994&amp;$C994,生产方式定位!$F$3:$J$39,5,FALSE),"错误")</f>
        <v>5498</v>
      </c>
      <c r="W994" s="3" t="str">
        <f t="shared" si="75"/>
        <v/>
      </c>
      <c r="X994" s="4" t="str">
        <f t="shared" si="76"/>
        <v/>
      </c>
      <c r="Y994" s="4" t="str">
        <f t="shared" si="77"/>
        <v/>
      </c>
      <c r="Z994" s="5">
        <f t="shared" si="78"/>
        <v>1.18</v>
      </c>
      <c r="AA994" s="6">
        <f t="shared" si="79"/>
        <v>4</v>
      </c>
      <c r="AB994" t="str">
        <f>IFERROR(F994&amp;"*"&amp;ROUND(L994*(G994/(G994+I994+K994))/VLOOKUP(F994,商品!$A$4:$D$67,4,FALSE),0),"")</f>
        <v/>
      </c>
      <c r="AC994" t="str">
        <f>IFERROR(H994&amp;"*"&amp;ROUND(L994*(I994/(G994+I994+K994))/VLOOKUP(H994,商品!$A$4:$D$67,4,FALSE),0),"")</f>
        <v/>
      </c>
      <c r="AD994" t="str">
        <f>IFERROR(J994&amp;"*"&amp;ROUND(L994*(K994/(G994+I994+K994))/VLOOKUP(J994,商品!$A$4:$D$67,4,FALSE),0),"")</f>
        <v/>
      </c>
      <c r="AE994" t="str">
        <f>IFERROR(M994&amp;"*"&amp;ROUND(Q994*(N994/(N994+P994))/VLOOKUP(M994,职业!$A$3:$E$16,4,FALSE),0),"")</f>
        <v/>
      </c>
      <c r="AF994" t="str">
        <f>IFERROR(O994&amp;"*"&amp;ROUND(Q994*(P994/(N994+P994))/VLOOKUP(O994,职业!$A$3:$E$16,4,FALSE),0),"")</f>
        <v/>
      </c>
      <c r="AG994" t="str">
        <f>IFERROR(R994&amp;"*"&amp;ROUND(V994*(S994/(S994+U994))/VLOOKUP(R994,商品!$A$4:$D$67,4,FALSE),0),"")</f>
        <v/>
      </c>
      <c r="AH994" t="str">
        <f>IFERROR(T994&amp;"*"&amp;ROUND(V994*(U994/(S994+U994))/VLOOKUP(T994,商品!$A$4:$D$67,4,FALSE),0),"")</f>
        <v/>
      </c>
    </row>
    <row r="995" customHeight="1" spans="1:34">
      <c r="A995" s="14" t="s">
        <v>467</v>
      </c>
      <c r="C995" s="2">
        <v>5</v>
      </c>
      <c r="D995" s="2" t="s">
        <v>220</v>
      </c>
      <c r="E995" s="2" t="s">
        <v>224</v>
      </c>
      <c r="L995" s="2">
        <f>IFERROR(VLOOKUP($D995&amp;$C995,生产方式定位!$A$2:$E$39,2,FALSE)+VLOOKUP($E995&amp;$C995,生产方式定位!$F$3:$J$39,2,FALSE),0)</f>
        <v>9000</v>
      </c>
      <c r="Q995" s="2">
        <f>IFERROR(VLOOKUP($D995&amp;$C995,生产方式定位!$A$2:$E$39,3,FALSE)+VLOOKUP($E995&amp;$C995,生产方式定位!$F$3:$J$39,3,FALSE),0)</f>
        <v>2000</v>
      </c>
      <c r="V995" s="2">
        <f>IFERROR(VLOOKUP($D995&amp;$C995,生产方式定位!$A$2:$E$39,5,FALSE)+VLOOKUP($E995&amp;$C995,生产方式定位!$F$3:$J$39,5,FALSE),"错误")</f>
        <v>6340</v>
      </c>
      <c r="W995" s="3" t="str">
        <f t="shared" si="75"/>
        <v/>
      </c>
      <c r="X995" s="4" t="str">
        <f t="shared" si="76"/>
        <v/>
      </c>
      <c r="Y995" s="4" t="str">
        <f t="shared" si="77"/>
        <v/>
      </c>
      <c r="Z995" s="5">
        <f t="shared" si="78"/>
        <v>1.42</v>
      </c>
      <c r="AA995" s="6">
        <f t="shared" si="79"/>
        <v>5</v>
      </c>
      <c r="AB995" t="str">
        <f>IFERROR(F995&amp;"*"&amp;ROUND(L995*(G995/(G995+I995+K995))/VLOOKUP(F995,商品!$A$4:$D$67,4,FALSE),0),"")</f>
        <v/>
      </c>
      <c r="AC995" t="str">
        <f>IFERROR(H995&amp;"*"&amp;ROUND(L995*(I995/(G995+I995+K995))/VLOOKUP(H995,商品!$A$4:$D$67,4,FALSE),0),"")</f>
        <v/>
      </c>
      <c r="AD995" t="str">
        <f>IFERROR(J995&amp;"*"&amp;ROUND(L995*(K995/(G995+I995+K995))/VLOOKUP(J995,商品!$A$4:$D$67,4,FALSE),0),"")</f>
        <v/>
      </c>
      <c r="AE995" t="str">
        <f>IFERROR(M995&amp;"*"&amp;ROUND(Q995*(N995/(N995+P995))/VLOOKUP(M995,职业!$A$3:$E$16,4,FALSE),0),"")</f>
        <v/>
      </c>
      <c r="AF995" t="str">
        <f>IFERROR(O995&amp;"*"&amp;ROUND(Q995*(P995/(N995+P995))/VLOOKUP(O995,职业!$A$3:$E$16,4,FALSE),0),"")</f>
        <v/>
      </c>
      <c r="AG995" t="str">
        <f>IFERROR(R995&amp;"*"&amp;ROUND(V995*(S995/(S995+U995))/VLOOKUP(R995,商品!$A$4:$D$67,4,FALSE),0),"")</f>
        <v/>
      </c>
      <c r="AH995" t="str">
        <f>IFERROR(T995&amp;"*"&amp;ROUND(V995*(U995/(S995+U995))/VLOOKUP(T995,商品!$A$4:$D$67,4,FALSE),0),"")</f>
        <v/>
      </c>
    </row>
    <row r="996" customHeight="1" spans="1:34">
      <c r="A996" s="14" t="s">
        <v>467</v>
      </c>
      <c r="C996" s="2">
        <v>1</v>
      </c>
      <c r="D996" s="2" t="s">
        <v>220</v>
      </c>
      <c r="E996" s="2" t="s">
        <v>224</v>
      </c>
      <c r="L996" s="2">
        <f>IFERROR(VLOOKUP($D996&amp;$C996,生产方式定位!$A$2:$E$39,2,FALSE)+VLOOKUP($E996&amp;$C996,生产方式定位!$F$3:$J$39,2,FALSE),0)</f>
        <v>2000</v>
      </c>
      <c r="Q996" s="2">
        <f>IFERROR(VLOOKUP($D996&amp;$C996,生产方式定位!$A$2:$E$39,3,FALSE)+VLOOKUP($E996&amp;$C996,生产方式定位!$F$3:$J$39,3,FALSE),0)</f>
        <v>2000</v>
      </c>
      <c r="V996" s="2">
        <f>IFERROR(VLOOKUP($D996&amp;$C996,生产方式定位!$A$2:$E$39,5,FALSE)+VLOOKUP($E996&amp;$C996,生产方式定位!$F$3:$J$39,5,FALSE),"错误")</f>
        <v>2000</v>
      </c>
      <c r="W996" s="3" t="str">
        <f t="shared" si="75"/>
        <v/>
      </c>
      <c r="X996" s="4" t="str">
        <f t="shared" si="76"/>
        <v/>
      </c>
      <c r="Y996" s="4" t="str">
        <f t="shared" si="77"/>
        <v/>
      </c>
      <c r="Z996" s="5">
        <f t="shared" si="78"/>
        <v>1</v>
      </c>
      <c r="AA996" s="6">
        <f t="shared" si="79"/>
        <v>1</v>
      </c>
      <c r="AB996" t="str">
        <f>IFERROR(F996&amp;"*"&amp;ROUND(L996*(G996/(G996+I996+K996))/VLOOKUP(F996,商品!$A$4:$D$67,4,FALSE),0),"")</f>
        <v/>
      </c>
      <c r="AC996" t="str">
        <f>IFERROR(H996&amp;"*"&amp;ROUND(L996*(I996/(G996+I996+K996))/VLOOKUP(H996,商品!$A$4:$D$67,4,FALSE),0),"")</f>
        <v/>
      </c>
      <c r="AD996" t="str">
        <f>IFERROR(J996&amp;"*"&amp;ROUND(L996*(K996/(G996+I996+K996))/VLOOKUP(J996,商品!$A$4:$D$67,4,FALSE),0),"")</f>
        <v/>
      </c>
      <c r="AE996" t="str">
        <f>IFERROR(M996&amp;"*"&amp;ROUND(Q996*(N996/(N996+P996))/VLOOKUP(M996,职业!$A$3:$E$16,4,FALSE),0),"")</f>
        <v/>
      </c>
      <c r="AF996" t="str">
        <f>IFERROR(O996&amp;"*"&amp;ROUND(Q996*(P996/(N996+P996))/VLOOKUP(O996,职业!$A$3:$E$16,4,FALSE),0),"")</f>
        <v/>
      </c>
      <c r="AG996" t="str">
        <f>IFERROR(R996&amp;"*"&amp;ROUND(V996*(S996/(S996+U996))/VLOOKUP(R996,商品!$A$4:$D$67,4,FALSE),0),"")</f>
        <v/>
      </c>
      <c r="AH996" t="str">
        <f>IFERROR(T996&amp;"*"&amp;ROUND(V996*(U996/(S996+U996))/VLOOKUP(T996,商品!$A$4:$D$67,4,FALSE),0),"")</f>
        <v/>
      </c>
    </row>
    <row r="997" customHeight="1" spans="1:34">
      <c r="A997" s="14" t="s">
        <v>467</v>
      </c>
      <c r="C997" s="2">
        <v>2</v>
      </c>
      <c r="D997" s="2" t="s">
        <v>220</v>
      </c>
      <c r="E997" s="2" t="s">
        <v>224</v>
      </c>
      <c r="L997" s="2">
        <f>IFERROR(VLOOKUP($D997&amp;$C997,生产方式定位!$A$2:$E$39,2,FALSE)+VLOOKUP($E997&amp;$C997,生产方式定位!$F$3:$J$39,2,FALSE),0)</f>
        <v>4500</v>
      </c>
      <c r="Q997" s="2">
        <f>IFERROR(VLOOKUP($D997&amp;$C997,生产方式定位!$A$2:$E$39,3,FALSE)+VLOOKUP($E997&amp;$C997,生产方式定位!$F$3:$J$39,3,FALSE),0)</f>
        <v>2000</v>
      </c>
      <c r="V997" s="2">
        <f>IFERROR(VLOOKUP($D997&amp;$C997,生产方式定位!$A$2:$E$39,5,FALSE)+VLOOKUP($E997&amp;$C997,生产方式定位!$F$3:$J$39,5,FALSE),"错误")</f>
        <v>3340</v>
      </c>
      <c r="W997" s="3" t="str">
        <f t="shared" si="75"/>
        <v/>
      </c>
      <c r="X997" s="4" t="str">
        <f t="shared" si="76"/>
        <v/>
      </c>
      <c r="Y997" s="4" t="str">
        <f t="shared" si="77"/>
        <v/>
      </c>
      <c r="Z997" s="5">
        <f t="shared" si="78"/>
        <v>1.35</v>
      </c>
      <c r="AA997" s="6">
        <f t="shared" si="79"/>
        <v>2</v>
      </c>
      <c r="AB997" t="str">
        <f>IFERROR(F997&amp;"*"&amp;ROUND(L997*(G997/(G997+I997+K997))/VLOOKUP(F997,商品!$A$4:$D$67,4,FALSE),0),"")</f>
        <v/>
      </c>
      <c r="AC997" t="str">
        <f>IFERROR(H997&amp;"*"&amp;ROUND(L997*(I997/(G997+I997+K997))/VLOOKUP(H997,商品!$A$4:$D$67,4,FALSE),0),"")</f>
        <v/>
      </c>
      <c r="AD997" t="str">
        <f>IFERROR(J997&amp;"*"&amp;ROUND(L997*(K997/(G997+I997+K997))/VLOOKUP(J997,商品!$A$4:$D$67,4,FALSE),0),"")</f>
        <v/>
      </c>
      <c r="AE997" t="str">
        <f>IFERROR(M997&amp;"*"&amp;ROUND(Q997*(N997/(N997+P997))/VLOOKUP(M997,职业!$A$3:$E$16,4,FALSE),0),"")</f>
        <v/>
      </c>
      <c r="AF997" t="str">
        <f>IFERROR(O997&amp;"*"&amp;ROUND(Q997*(P997/(N997+P997))/VLOOKUP(O997,职业!$A$3:$E$16,4,FALSE),0),"")</f>
        <v/>
      </c>
      <c r="AG997" t="str">
        <f>IFERROR(R997&amp;"*"&amp;ROUND(V997*(S997/(S997+U997))/VLOOKUP(R997,商品!$A$4:$D$67,4,FALSE),0),"")</f>
        <v/>
      </c>
      <c r="AH997" t="str">
        <f>IFERROR(T997&amp;"*"&amp;ROUND(V997*(U997/(S997+U997))/VLOOKUP(T997,商品!$A$4:$D$67,4,FALSE),0),"")</f>
        <v/>
      </c>
    </row>
    <row r="998" customHeight="1" spans="1:34">
      <c r="A998" s="14" t="s">
        <v>467</v>
      </c>
      <c r="C998" s="2">
        <v>3</v>
      </c>
      <c r="D998" s="2" t="s">
        <v>220</v>
      </c>
      <c r="E998" s="2" t="s">
        <v>224</v>
      </c>
      <c r="L998" s="2">
        <f>IFERROR(VLOOKUP($D998&amp;$C998,生产方式定位!$A$2:$E$39,2,FALSE)+VLOOKUP($E998&amp;$C998,生产方式定位!$F$3:$J$39,2,FALSE),0)</f>
        <v>6000</v>
      </c>
      <c r="Q998" s="2">
        <f>IFERROR(VLOOKUP($D998&amp;$C998,生产方式定位!$A$2:$E$39,3,FALSE)+VLOOKUP($E998&amp;$C998,生产方式定位!$F$3:$J$39,3,FALSE),0)</f>
        <v>2000</v>
      </c>
      <c r="V998" s="2">
        <f>IFERROR(VLOOKUP($D998&amp;$C998,生产方式定位!$A$2:$E$39,5,FALSE)+VLOOKUP($E998&amp;$C998,生产方式定位!$F$3:$J$39,5,FALSE),"错误")</f>
        <v>4260</v>
      </c>
      <c r="W998" s="3" t="str">
        <f t="shared" si="75"/>
        <v/>
      </c>
      <c r="X998" s="4" t="str">
        <f t="shared" si="76"/>
        <v/>
      </c>
      <c r="Y998" s="4" t="str">
        <f t="shared" si="77"/>
        <v/>
      </c>
      <c r="Z998" s="5">
        <f t="shared" si="78"/>
        <v>1.41</v>
      </c>
      <c r="AA998" s="6">
        <f t="shared" si="79"/>
        <v>3</v>
      </c>
      <c r="AB998" t="str">
        <f>IFERROR(F998&amp;"*"&amp;ROUND(L998*(G998/(G998+I998+K998))/VLOOKUP(F998,商品!$A$4:$D$67,4,FALSE),0),"")</f>
        <v/>
      </c>
      <c r="AC998" t="str">
        <f>IFERROR(H998&amp;"*"&amp;ROUND(L998*(I998/(G998+I998+K998))/VLOOKUP(H998,商品!$A$4:$D$67,4,FALSE),0),"")</f>
        <v/>
      </c>
      <c r="AD998" t="str">
        <f>IFERROR(J998&amp;"*"&amp;ROUND(L998*(K998/(G998+I998+K998))/VLOOKUP(J998,商品!$A$4:$D$67,4,FALSE),0),"")</f>
        <v/>
      </c>
      <c r="AE998" t="str">
        <f>IFERROR(M998&amp;"*"&amp;ROUND(Q998*(N998/(N998+P998))/VLOOKUP(M998,职业!$A$3:$E$16,4,FALSE),0),"")</f>
        <v/>
      </c>
      <c r="AF998" t="str">
        <f>IFERROR(O998&amp;"*"&amp;ROUND(Q998*(P998/(N998+P998))/VLOOKUP(O998,职业!$A$3:$E$16,4,FALSE),0),"")</f>
        <v/>
      </c>
      <c r="AG998" t="str">
        <f>IFERROR(R998&amp;"*"&amp;ROUND(V998*(S998/(S998+U998))/VLOOKUP(R998,商品!$A$4:$D$67,4,FALSE),0),"")</f>
        <v/>
      </c>
      <c r="AH998" t="str">
        <f>IFERROR(T998&amp;"*"&amp;ROUND(V998*(U998/(S998+U998))/VLOOKUP(T998,商品!$A$4:$D$67,4,FALSE),0),"")</f>
        <v/>
      </c>
    </row>
    <row r="999" customHeight="1" spans="1:34">
      <c r="A999" s="14" t="s">
        <v>467</v>
      </c>
      <c r="C999" s="2">
        <v>4</v>
      </c>
      <c r="D999" s="2" t="s">
        <v>220</v>
      </c>
      <c r="E999" s="2" t="s">
        <v>224</v>
      </c>
      <c r="L999" s="2">
        <f>IFERROR(VLOOKUP($D999&amp;$C999,生产方式定位!$A$2:$E$39,2,FALSE)+VLOOKUP($E999&amp;$C999,生产方式定位!$F$3:$J$39,2,FALSE),0)</f>
        <v>7500</v>
      </c>
      <c r="Q999" s="2">
        <f>IFERROR(VLOOKUP($D999&amp;$C999,生产方式定位!$A$2:$E$39,3,FALSE)+VLOOKUP($E999&amp;$C999,生产方式定位!$F$3:$J$39,3,FALSE),0)</f>
        <v>2000</v>
      </c>
      <c r="V999" s="2">
        <f>IFERROR(VLOOKUP($D999&amp;$C999,生产方式定位!$A$2:$E$39,5,FALSE)+VLOOKUP($E999&amp;$C999,生产方式定位!$F$3:$J$39,5,FALSE),"错误")</f>
        <v>5260</v>
      </c>
      <c r="W999" s="3" t="str">
        <f t="shared" si="75"/>
        <v/>
      </c>
      <c r="X999" s="4" t="str">
        <f t="shared" si="76"/>
        <v/>
      </c>
      <c r="Y999" s="4" t="str">
        <f t="shared" si="77"/>
        <v/>
      </c>
      <c r="Z999" s="5">
        <f t="shared" si="78"/>
        <v>1.43</v>
      </c>
      <c r="AA999" s="6">
        <f t="shared" si="79"/>
        <v>4</v>
      </c>
      <c r="AB999" t="str">
        <f>IFERROR(F999&amp;"*"&amp;ROUND(L999*(G999/(G999+I999+K999))/VLOOKUP(F999,商品!$A$4:$D$67,4,FALSE),0),"")</f>
        <v/>
      </c>
      <c r="AC999" t="str">
        <f>IFERROR(H999&amp;"*"&amp;ROUND(L999*(I999/(G999+I999+K999))/VLOOKUP(H999,商品!$A$4:$D$67,4,FALSE),0),"")</f>
        <v/>
      </c>
      <c r="AD999" t="str">
        <f>IFERROR(J999&amp;"*"&amp;ROUND(L999*(K999/(G999+I999+K999))/VLOOKUP(J999,商品!$A$4:$D$67,4,FALSE),0),"")</f>
        <v/>
      </c>
      <c r="AE999" t="str">
        <f>IFERROR(M999&amp;"*"&amp;ROUND(Q999*(N999/(N999+P999))/VLOOKUP(M999,职业!$A$3:$E$16,4,FALSE),0),"")</f>
        <v/>
      </c>
      <c r="AF999" t="str">
        <f>IFERROR(O999&amp;"*"&amp;ROUND(Q999*(P999/(N999+P999))/VLOOKUP(O999,职业!$A$3:$E$16,4,FALSE),0),"")</f>
        <v/>
      </c>
      <c r="AG999" t="str">
        <f>IFERROR(R999&amp;"*"&amp;ROUND(V999*(S999/(S999+U999))/VLOOKUP(R999,商品!$A$4:$D$67,4,FALSE),0),"")</f>
        <v/>
      </c>
      <c r="AH999" t="str">
        <f>IFERROR(T999&amp;"*"&amp;ROUND(V999*(U999/(S999+U999))/VLOOKUP(T999,商品!$A$4:$D$67,4,FALSE),0),"")</f>
        <v/>
      </c>
    </row>
    <row r="1000" customHeight="1" spans="1:34">
      <c r="A1000" s="15" t="s">
        <v>467</v>
      </c>
      <c r="C1000" s="2">
        <v>5</v>
      </c>
      <c r="D1000" s="2" t="s">
        <v>220</v>
      </c>
      <c r="E1000" s="2" t="s">
        <v>224</v>
      </c>
      <c r="L1000" s="2">
        <f>IFERROR(VLOOKUP($D1000&amp;$C1000,生产方式定位!$A$2:$E$39,2,FALSE)+VLOOKUP($E1000&amp;$C1000,生产方式定位!$F$3:$J$39,2,FALSE),0)</f>
        <v>9000</v>
      </c>
      <c r="Q1000" s="2">
        <f>IFERROR(VLOOKUP($D1000&amp;$C1000,生产方式定位!$A$2:$E$39,3,FALSE)+VLOOKUP($E1000&amp;$C1000,生产方式定位!$F$3:$J$39,3,FALSE),0)</f>
        <v>2000</v>
      </c>
      <c r="V1000" s="2">
        <f>IFERROR(VLOOKUP($D1000&amp;$C1000,生产方式定位!$A$2:$E$39,5,FALSE)+VLOOKUP($E1000&amp;$C1000,生产方式定位!$F$3:$J$39,5,FALSE),"错误")</f>
        <v>6340</v>
      </c>
      <c r="W1000" s="3" t="str">
        <f t="shared" si="75"/>
        <v/>
      </c>
      <c r="X1000" s="4" t="str">
        <f t="shared" si="76"/>
        <v/>
      </c>
      <c r="Y1000" s="4" t="str">
        <f t="shared" si="77"/>
        <v/>
      </c>
      <c r="Z1000" s="5">
        <f t="shared" si="78"/>
        <v>1.42</v>
      </c>
      <c r="AA1000" s="6">
        <f t="shared" si="79"/>
        <v>5</v>
      </c>
      <c r="AB1000" t="str">
        <f>IFERROR(F1000&amp;"*"&amp;ROUND(L1000*(G1000/(G1000+I1000+K1000))/VLOOKUP(F1000,商品!$A$4:$D$67,4,FALSE),0),"")</f>
        <v/>
      </c>
      <c r="AC1000" t="str">
        <f>IFERROR(H1000&amp;"*"&amp;ROUND(L1000*(I1000/(G1000+I1000+K1000))/VLOOKUP(H1000,商品!$A$4:$D$67,4,FALSE),0),"")</f>
        <v/>
      </c>
      <c r="AD1000" t="str">
        <f>IFERROR(J1000&amp;"*"&amp;ROUND(L1000*(K1000/(G1000+I1000+K1000))/VLOOKUP(J1000,商品!$A$4:$D$67,4,FALSE),0),"")</f>
        <v/>
      </c>
      <c r="AE1000" t="str">
        <f>IFERROR(M1000&amp;"*"&amp;ROUND(Q1000*(N1000/(N1000+P1000))/VLOOKUP(M1000,职业!$A$3:$E$16,4,FALSE),0),"")</f>
        <v/>
      </c>
      <c r="AF1000" t="str">
        <f>IFERROR(O1000&amp;"*"&amp;ROUND(Q1000*(P1000/(N1000+P1000))/VLOOKUP(O1000,职业!$A$3:$E$16,4,FALSE),0),"")</f>
        <v/>
      </c>
      <c r="AG1000" t="str">
        <f>IFERROR(R1000&amp;"*"&amp;ROUND(V1000*(S1000/(S1000+U1000))/VLOOKUP(R1000,商品!$A$4:$D$67,4,FALSE),0),"")</f>
        <v/>
      </c>
      <c r="AH1000" t="str">
        <f>IFERROR(T1000&amp;"*"&amp;ROUND(V1000*(U1000/(S1000+U1000))/VLOOKUP(T1000,商品!$A$4:$D$67,4,FALSE),0),"")</f>
        <v/>
      </c>
    </row>
    <row r="1001" customHeight="1" spans="1:34">
      <c r="A1001" s="15" t="s">
        <v>467</v>
      </c>
      <c r="C1001" s="2">
        <v>1</v>
      </c>
      <c r="D1001" s="2" t="s">
        <v>220</v>
      </c>
      <c r="E1001" s="2" t="s">
        <v>224</v>
      </c>
      <c r="L1001" s="2">
        <f>IFERROR(VLOOKUP($D1001&amp;$C1001,生产方式定位!$A$2:$E$39,2,FALSE)+VLOOKUP($E1001&amp;$C1001,生产方式定位!$F$3:$J$39,2,FALSE),0)</f>
        <v>2000</v>
      </c>
      <c r="Q1001" s="2">
        <f>IFERROR(VLOOKUP($D1001&amp;$C1001,生产方式定位!$A$2:$E$39,3,FALSE)+VLOOKUP($E1001&amp;$C1001,生产方式定位!$F$3:$J$39,3,FALSE),0)</f>
        <v>2000</v>
      </c>
      <c r="V1001" s="2">
        <f>IFERROR(VLOOKUP($D1001&amp;$C1001,生产方式定位!$A$2:$E$39,5,FALSE)+VLOOKUP($E1001&amp;$C1001,生产方式定位!$F$3:$J$39,5,FALSE),"错误")</f>
        <v>2000</v>
      </c>
      <c r="W1001" s="3" t="str">
        <f t="shared" si="75"/>
        <v/>
      </c>
      <c r="X1001" s="4" t="str">
        <f t="shared" si="76"/>
        <v/>
      </c>
      <c r="Y1001" s="4" t="str">
        <f t="shared" si="77"/>
        <v/>
      </c>
      <c r="Z1001" s="5">
        <f t="shared" si="78"/>
        <v>1</v>
      </c>
      <c r="AA1001" s="6">
        <f t="shared" si="79"/>
        <v>1</v>
      </c>
      <c r="AB1001" t="str">
        <f>IFERROR(F1001&amp;"*"&amp;ROUND(L1001*(G1001/(G1001+I1001+K1001))/VLOOKUP(F1001,商品!$A$4:$D$67,4,FALSE),0),"")</f>
        <v/>
      </c>
      <c r="AC1001" t="str">
        <f>IFERROR(H1001&amp;"*"&amp;ROUND(L1001*(I1001/(G1001+I1001+K1001))/VLOOKUP(H1001,商品!$A$4:$D$67,4,FALSE),0),"")</f>
        <v/>
      </c>
      <c r="AD1001" t="str">
        <f>IFERROR(J1001&amp;"*"&amp;ROUND(L1001*(K1001/(G1001+I1001+K1001))/VLOOKUP(J1001,商品!$A$4:$D$67,4,FALSE),0),"")</f>
        <v/>
      </c>
      <c r="AE1001" t="str">
        <f>IFERROR(M1001&amp;"*"&amp;ROUND(Q1001*(N1001/(N1001+P1001))/VLOOKUP(M1001,职业!$A$3:$E$16,4,FALSE),0),"")</f>
        <v/>
      </c>
      <c r="AF1001" t="str">
        <f>IFERROR(O1001&amp;"*"&amp;ROUND(Q1001*(P1001/(N1001+P1001))/VLOOKUP(O1001,职业!$A$3:$E$16,4,FALSE),0),"")</f>
        <v/>
      </c>
      <c r="AG1001" t="str">
        <f>IFERROR(R1001&amp;"*"&amp;ROUND(V1001*(S1001/(S1001+U1001))/VLOOKUP(R1001,商品!$A$4:$D$67,4,FALSE),0),"")</f>
        <v/>
      </c>
      <c r="AH1001" t="str">
        <f>IFERROR(T1001&amp;"*"&amp;ROUND(V1001*(U1001/(S1001+U1001))/VLOOKUP(T1001,商品!$A$4:$D$67,4,FALSE),0),"")</f>
        <v/>
      </c>
    </row>
    <row r="1002" customHeight="1" spans="1:34">
      <c r="A1002" s="15" t="s">
        <v>467</v>
      </c>
      <c r="C1002" s="2">
        <v>2</v>
      </c>
      <c r="D1002" s="2" t="s">
        <v>220</v>
      </c>
      <c r="E1002" s="2" t="s">
        <v>224</v>
      </c>
      <c r="L1002" s="2">
        <f>IFERROR(VLOOKUP($D1002&amp;$C1002,生产方式定位!$A$2:$E$39,2,FALSE)+VLOOKUP($E1002&amp;$C1002,生产方式定位!$F$3:$J$39,2,FALSE),0)</f>
        <v>4500</v>
      </c>
      <c r="Q1002" s="2">
        <f>IFERROR(VLOOKUP($D1002&amp;$C1002,生产方式定位!$A$2:$E$39,3,FALSE)+VLOOKUP($E1002&amp;$C1002,生产方式定位!$F$3:$J$39,3,FALSE),0)</f>
        <v>2000</v>
      </c>
      <c r="V1002" s="2">
        <f>IFERROR(VLOOKUP($D1002&amp;$C1002,生产方式定位!$A$2:$E$39,5,FALSE)+VLOOKUP($E1002&amp;$C1002,生产方式定位!$F$3:$J$39,5,FALSE),"错误")</f>
        <v>3340</v>
      </c>
      <c r="W1002" s="3" t="str">
        <f t="shared" si="75"/>
        <v/>
      </c>
      <c r="X1002" s="4" t="str">
        <f t="shared" si="76"/>
        <v/>
      </c>
      <c r="Y1002" s="4" t="str">
        <f t="shared" si="77"/>
        <v/>
      </c>
      <c r="Z1002" s="5">
        <f t="shared" si="78"/>
        <v>1.35</v>
      </c>
      <c r="AA1002" s="6">
        <f t="shared" si="79"/>
        <v>2</v>
      </c>
      <c r="AB1002" t="str">
        <f>IFERROR(F1002&amp;"*"&amp;ROUND(L1002*(G1002/(G1002+I1002+K1002))/VLOOKUP(F1002,商品!$A$4:$D$67,4,FALSE),0),"")</f>
        <v/>
      </c>
      <c r="AC1002" t="str">
        <f>IFERROR(H1002&amp;"*"&amp;ROUND(L1002*(I1002/(G1002+I1002+K1002))/VLOOKUP(H1002,商品!$A$4:$D$67,4,FALSE),0),"")</f>
        <v/>
      </c>
      <c r="AD1002" t="str">
        <f>IFERROR(J1002&amp;"*"&amp;ROUND(L1002*(K1002/(G1002+I1002+K1002))/VLOOKUP(J1002,商品!$A$4:$D$67,4,FALSE),0),"")</f>
        <v/>
      </c>
      <c r="AE1002" t="str">
        <f>IFERROR(M1002&amp;"*"&amp;ROUND(Q1002*(N1002/(N1002+P1002))/VLOOKUP(M1002,职业!$A$3:$E$16,4,FALSE),0),"")</f>
        <v/>
      </c>
      <c r="AF1002" t="str">
        <f>IFERROR(O1002&amp;"*"&amp;ROUND(Q1002*(P1002/(N1002+P1002))/VLOOKUP(O1002,职业!$A$3:$E$16,4,FALSE),0),"")</f>
        <v/>
      </c>
      <c r="AG1002" t="str">
        <f>IFERROR(R1002&amp;"*"&amp;ROUND(V1002*(S1002/(S1002+U1002))/VLOOKUP(R1002,商品!$A$4:$D$67,4,FALSE),0),"")</f>
        <v/>
      </c>
      <c r="AH1002" t="str">
        <f>IFERROR(T1002&amp;"*"&amp;ROUND(V1002*(U1002/(S1002+U1002))/VLOOKUP(T1002,商品!$A$4:$D$67,4,FALSE),0),"")</f>
        <v/>
      </c>
    </row>
    <row r="1003" customHeight="1" spans="1:34">
      <c r="A1003" s="15" t="s">
        <v>467</v>
      </c>
      <c r="C1003" s="2">
        <v>3</v>
      </c>
      <c r="D1003" s="2" t="s">
        <v>220</v>
      </c>
      <c r="E1003" s="2" t="s">
        <v>224</v>
      </c>
      <c r="L1003" s="2">
        <f>IFERROR(VLOOKUP($D1003&amp;$C1003,生产方式定位!$A$2:$E$39,2,FALSE)+VLOOKUP($E1003&amp;$C1003,生产方式定位!$F$3:$J$39,2,FALSE),0)</f>
        <v>6000</v>
      </c>
      <c r="Q1003" s="2">
        <f>IFERROR(VLOOKUP($D1003&amp;$C1003,生产方式定位!$A$2:$E$39,3,FALSE)+VLOOKUP($E1003&amp;$C1003,生产方式定位!$F$3:$J$39,3,FALSE),0)</f>
        <v>2000</v>
      </c>
      <c r="V1003" s="2">
        <f>IFERROR(VLOOKUP($D1003&amp;$C1003,生产方式定位!$A$2:$E$39,5,FALSE)+VLOOKUP($E1003&amp;$C1003,生产方式定位!$F$3:$J$39,5,FALSE),"错误")</f>
        <v>4260</v>
      </c>
      <c r="W1003" s="3" t="str">
        <f t="shared" si="75"/>
        <v/>
      </c>
      <c r="X1003" s="4" t="str">
        <f t="shared" si="76"/>
        <v/>
      </c>
      <c r="Y1003" s="4" t="str">
        <f t="shared" si="77"/>
        <v/>
      </c>
      <c r="Z1003" s="5">
        <f t="shared" si="78"/>
        <v>1.41</v>
      </c>
      <c r="AA1003" s="6">
        <f t="shared" si="79"/>
        <v>3</v>
      </c>
      <c r="AB1003" t="str">
        <f>IFERROR(F1003&amp;"*"&amp;ROUND(L1003*(G1003/(G1003+I1003+K1003))/VLOOKUP(F1003,商品!$A$4:$D$67,4,FALSE),0),"")</f>
        <v/>
      </c>
      <c r="AC1003" t="str">
        <f>IFERROR(H1003&amp;"*"&amp;ROUND(L1003*(I1003/(G1003+I1003+K1003))/VLOOKUP(H1003,商品!$A$4:$D$67,4,FALSE),0),"")</f>
        <v/>
      </c>
      <c r="AD1003" t="str">
        <f>IFERROR(J1003&amp;"*"&amp;ROUND(L1003*(K1003/(G1003+I1003+K1003))/VLOOKUP(J1003,商品!$A$4:$D$67,4,FALSE),0),"")</f>
        <v/>
      </c>
      <c r="AE1003" t="str">
        <f>IFERROR(M1003&amp;"*"&amp;ROUND(Q1003*(N1003/(N1003+P1003))/VLOOKUP(M1003,职业!$A$3:$E$16,4,FALSE),0),"")</f>
        <v/>
      </c>
      <c r="AF1003" t="str">
        <f>IFERROR(O1003&amp;"*"&amp;ROUND(Q1003*(P1003/(N1003+P1003))/VLOOKUP(O1003,职业!$A$3:$E$16,4,FALSE),0),"")</f>
        <v/>
      </c>
      <c r="AG1003" t="str">
        <f>IFERROR(R1003&amp;"*"&amp;ROUND(V1003*(S1003/(S1003+U1003))/VLOOKUP(R1003,商品!$A$4:$D$67,4,FALSE),0),"")</f>
        <v/>
      </c>
      <c r="AH1003" t="str">
        <f>IFERROR(T1003&amp;"*"&amp;ROUND(V1003*(U1003/(S1003+U1003))/VLOOKUP(T1003,商品!$A$4:$D$67,4,FALSE),0),"")</f>
        <v/>
      </c>
    </row>
    <row r="1004" customHeight="1" spans="1:34">
      <c r="A1004" s="15" t="s">
        <v>467</v>
      </c>
      <c r="C1004" s="2">
        <v>4</v>
      </c>
      <c r="D1004" s="2" t="s">
        <v>220</v>
      </c>
      <c r="E1004" s="2" t="s">
        <v>224</v>
      </c>
      <c r="L1004" s="2">
        <f>IFERROR(VLOOKUP($D1004&amp;$C1004,生产方式定位!$A$2:$E$39,2,FALSE)+VLOOKUP($E1004&amp;$C1004,生产方式定位!$F$3:$J$39,2,FALSE),0)</f>
        <v>7500</v>
      </c>
      <c r="Q1004" s="2">
        <f>IFERROR(VLOOKUP($D1004&amp;$C1004,生产方式定位!$A$2:$E$39,3,FALSE)+VLOOKUP($E1004&amp;$C1004,生产方式定位!$F$3:$J$39,3,FALSE),0)</f>
        <v>2000</v>
      </c>
      <c r="V1004" s="2">
        <f>IFERROR(VLOOKUP($D1004&amp;$C1004,生产方式定位!$A$2:$E$39,5,FALSE)+VLOOKUP($E1004&amp;$C1004,生产方式定位!$F$3:$J$39,5,FALSE),"错误")</f>
        <v>5260</v>
      </c>
      <c r="W1004" s="3" t="str">
        <f t="shared" si="75"/>
        <v/>
      </c>
      <c r="X1004" s="4" t="str">
        <f t="shared" si="76"/>
        <v/>
      </c>
      <c r="Y1004" s="4" t="str">
        <f t="shared" si="77"/>
        <v/>
      </c>
      <c r="Z1004" s="5">
        <f t="shared" si="78"/>
        <v>1.43</v>
      </c>
      <c r="AA1004" s="6">
        <f t="shared" si="79"/>
        <v>4</v>
      </c>
      <c r="AB1004" t="str">
        <f>IFERROR(F1004&amp;"*"&amp;ROUND(L1004*(G1004/(G1004+I1004+K1004))/VLOOKUP(F1004,商品!$A$4:$D$67,4,FALSE),0),"")</f>
        <v/>
      </c>
      <c r="AC1004" t="str">
        <f>IFERROR(H1004&amp;"*"&amp;ROUND(L1004*(I1004/(G1004+I1004+K1004))/VLOOKUP(H1004,商品!$A$4:$D$67,4,FALSE),0),"")</f>
        <v/>
      </c>
      <c r="AD1004" t="str">
        <f>IFERROR(J1004&amp;"*"&amp;ROUND(L1004*(K1004/(G1004+I1004+K1004))/VLOOKUP(J1004,商品!$A$4:$D$67,4,FALSE),0),"")</f>
        <v/>
      </c>
      <c r="AE1004" t="str">
        <f>IFERROR(M1004&amp;"*"&amp;ROUND(Q1004*(N1004/(N1004+P1004))/VLOOKUP(M1004,职业!$A$3:$E$16,4,FALSE),0),"")</f>
        <v/>
      </c>
      <c r="AF1004" t="str">
        <f>IFERROR(O1004&amp;"*"&amp;ROUND(Q1004*(P1004/(N1004+P1004))/VLOOKUP(O1004,职业!$A$3:$E$16,4,FALSE),0),"")</f>
        <v/>
      </c>
      <c r="AG1004" t="str">
        <f>IFERROR(R1004&amp;"*"&amp;ROUND(V1004*(S1004/(S1004+U1004))/VLOOKUP(R1004,商品!$A$4:$D$67,4,FALSE),0),"")</f>
        <v/>
      </c>
      <c r="AH1004" t="str">
        <f>IFERROR(T1004&amp;"*"&amp;ROUND(V1004*(U1004/(S1004+U1004))/VLOOKUP(T1004,商品!$A$4:$D$67,4,FALSE),0),"")</f>
        <v/>
      </c>
    </row>
    <row r="1005" customHeight="1" spans="1:34">
      <c r="A1005" s="14" t="s">
        <v>468</v>
      </c>
      <c r="C1005" s="2">
        <v>5</v>
      </c>
      <c r="D1005" s="2" t="s">
        <v>220</v>
      </c>
      <c r="E1005" s="2" t="s">
        <v>255</v>
      </c>
      <c r="L1005" s="2">
        <f>IFERROR(VLOOKUP($D1005&amp;$C1005,生产方式定位!$A$2:$E$39,2,FALSE)+VLOOKUP($E1005&amp;$C1005,生产方式定位!$F$3:$J$39,2,FALSE),0)</f>
        <v>0</v>
      </c>
      <c r="Q1005" s="2">
        <f>IFERROR(VLOOKUP($D1005&amp;$C1005,生产方式定位!$A$2:$E$39,3,FALSE)+VLOOKUP($E1005&amp;$C1005,生产方式定位!$F$3:$J$39,3,FALSE),0)</f>
        <v>0</v>
      </c>
      <c r="V1005" s="2" t="str">
        <f>IFERROR(VLOOKUP($D1005&amp;$C1005,生产方式定位!$A$2:$E$39,5,FALSE)+VLOOKUP($E1005&amp;$C1005,生产方式定位!$F$3:$J$39,5,FALSE),"错误")</f>
        <v>错误</v>
      </c>
      <c r="W1005" s="3" t="str">
        <f t="shared" si="75"/>
        <v/>
      </c>
      <c r="X1005" s="4" t="str">
        <f t="shared" si="76"/>
        <v/>
      </c>
      <c r="Y1005" s="4" t="str">
        <f t="shared" si="77"/>
        <v/>
      </c>
      <c r="Z1005" s="5" t="str">
        <f t="shared" si="78"/>
        <v/>
      </c>
      <c r="AA1005" s="6">
        <f t="shared" si="79"/>
        <v>5</v>
      </c>
      <c r="AB1005" t="str">
        <f>IFERROR(F1005&amp;"*"&amp;ROUND(L1005*(G1005/(G1005+I1005+K1005))/VLOOKUP(F1005,商品!$A$4:$D$67,4,FALSE),0),"")</f>
        <v/>
      </c>
      <c r="AC1005" t="str">
        <f>IFERROR(H1005&amp;"*"&amp;ROUND(L1005*(I1005/(G1005+I1005+K1005))/VLOOKUP(H1005,商品!$A$4:$D$67,4,FALSE),0),"")</f>
        <v/>
      </c>
      <c r="AD1005" t="str">
        <f>IFERROR(J1005&amp;"*"&amp;ROUND(L1005*(K1005/(G1005+I1005+K1005))/VLOOKUP(J1005,商品!$A$4:$D$67,4,FALSE),0),"")</f>
        <v/>
      </c>
      <c r="AE1005" t="str">
        <f>IFERROR(M1005&amp;"*"&amp;ROUND(Q1005*(N1005/(N1005+P1005))/VLOOKUP(M1005,职业!$A$3:$E$16,4,FALSE),0),"")</f>
        <v/>
      </c>
      <c r="AF1005" t="str">
        <f>IFERROR(O1005&amp;"*"&amp;ROUND(Q1005*(P1005/(N1005+P1005))/VLOOKUP(O1005,职业!$A$3:$E$16,4,FALSE),0),"")</f>
        <v/>
      </c>
      <c r="AG1005" t="str">
        <f>IFERROR(R1005&amp;"*"&amp;ROUND(V1005*(S1005/(S1005+U1005))/VLOOKUP(R1005,商品!$A$4:$D$67,4,FALSE),0),"")</f>
        <v/>
      </c>
      <c r="AH1005" t="str">
        <f>IFERROR(T1005&amp;"*"&amp;ROUND(V1005*(U1005/(S1005+U1005))/VLOOKUP(T1005,商品!$A$4:$D$67,4,FALSE),0),"")</f>
        <v/>
      </c>
    </row>
    <row r="1006" customHeight="1" spans="1:34">
      <c r="A1006" s="14" t="s">
        <v>468</v>
      </c>
      <c r="C1006" s="2">
        <v>1</v>
      </c>
      <c r="D1006" s="2" t="s">
        <v>220</v>
      </c>
      <c r="E1006" s="2" t="s">
        <v>255</v>
      </c>
      <c r="L1006" s="2">
        <f>IFERROR(VLOOKUP($D1006&amp;$C1006,生产方式定位!$A$2:$E$39,2,FALSE)+VLOOKUP($E1006&amp;$C1006,生产方式定位!$F$3:$J$39,2,FALSE),0)</f>
        <v>2000</v>
      </c>
      <c r="Q1006" s="2">
        <f>IFERROR(VLOOKUP($D1006&amp;$C1006,生产方式定位!$A$2:$E$39,3,FALSE)+VLOOKUP($E1006&amp;$C1006,生产方式定位!$F$3:$J$39,3,FALSE),0)</f>
        <v>2000</v>
      </c>
      <c r="V1006" s="2">
        <f>IFERROR(VLOOKUP($D1006&amp;$C1006,生产方式定位!$A$2:$E$39,5,FALSE)+VLOOKUP($E1006&amp;$C1006,生产方式定位!$F$3:$J$39,5,FALSE),"错误")</f>
        <v>2000</v>
      </c>
      <c r="W1006" s="3" t="str">
        <f t="shared" si="75"/>
        <v/>
      </c>
      <c r="X1006" s="4" t="str">
        <f t="shared" si="76"/>
        <v/>
      </c>
      <c r="Y1006" s="4" t="str">
        <f t="shared" si="77"/>
        <v/>
      </c>
      <c r="Z1006" s="5">
        <f t="shared" si="78"/>
        <v>1</v>
      </c>
      <c r="AA1006" s="6">
        <f t="shared" si="79"/>
        <v>1</v>
      </c>
      <c r="AB1006" t="str">
        <f>IFERROR(F1006&amp;"*"&amp;ROUND(L1006*(G1006/(G1006+I1006+K1006))/VLOOKUP(F1006,商品!$A$4:$D$67,4,FALSE),0),"")</f>
        <v/>
      </c>
      <c r="AC1006" t="str">
        <f>IFERROR(H1006&amp;"*"&amp;ROUND(L1006*(I1006/(G1006+I1006+K1006))/VLOOKUP(H1006,商品!$A$4:$D$67,4,FALSE),0),"")</f>
        <v/>
      </c>
      <c r="AD1006" t="str">
        <f>IFERROR(J1006&amp;"*"&amp;ROUND(L1006*(K1006/(G1006+I1006+K1006))/VLOOKUP(J1006,商品!$A$4:$D$67,4,FALSE),0),"")</f>
        <v/>
      </c>
      <c r="AE1006" t="str">
        <f>IFERROR(M1006&amp;"*"&amp;ROUND(Q1006*(N1006/(N1006+P1006))/VLOOKUP(M1006,职业!$A$3:$E$16,4,FALSE),0),"")</f>
        <v/>
      </c>
      <c r="AF1006" t="str">
        <f>IFERROR(O1006&amp;"*"&amp;ROUND(Q1006*(P1006/(N1006+P1006))/VLOOKUP(O1006,职业!$A$3:$E$16,4,FALSE),0),"")</f>
        <v/>
      </c>
      <c r="AG1006" t="str">
        <f>IFERROR(R1006&amp;"*"&amp;ROUND(V1006*(S1006/(S1006+U1006))/VLOOKUP(R1006,商品!$A$4:$D$67,4,FALSE),0),"")</f>
        <v/>
      </c>
      <c r="AH1006" t="str">
        <f>IFERROR(T1006&amp;"*"&amp;ROUND(V1006*(U1006/(S1006+U1006))/VLOOKUP(T1006,商品!$A$4:$D$67,4,FALSE),0),"")</f>
        <v/>
      </c>
    </row>
    <row r="1007" customHeight="1" spans="1:34">
      <c r="A1007" s="14" t="s">
        <v>468</v>
      </c>
      <c r="C1007" s="2">
        <v>2</v>
      </c>
      <c r="D1007" s="2" t="s">
        <v>220</v>
      </c>
      <c r="E1007" s="2" t="s">
        <v>255</v>
      </c>
      <c r="L1007" s="2">
        <f>IFERROR(VLOOKUP($D1007&amp;$C1007,生产方式定位!$A$2:$E$39,2,FALSE)+VLOOKUP($E1007&amp;$C1007,生产方式定位!$F$3:$J$39,2,FALSE),0)</f>
        <v>2500</v>
      </c>
      <c r="Q1007" s="2">
        <f>IFERROR(VLOOKUP($D1007&amp;$C1007,生产方式定位!$A$2:$E$39,3,FALSE)+VLOOKUP($E1007&amp;$C1007,生产方式定位!$F$3:$J$39,3,FALSE),0)</f>
        <v>2200</v>
      </c>
      <c r="V1007" s="2">
        <f>IFERROR(VLOOKUP($D1007&amp;$C1007,生产方式定位!$A$2:$E$39,5,FALSE)+VLOOKUP($E1007&amp;$C1007,生产方式定位!$F$3:$J$39,5,FALSE),"错误")</f>
        <v>2350</v>
      </c>
      <c r="W1007" s="3" t="str">
        <f t="shared" si="75"/>
        <v/>
      </c>
      <c r="X1007" s="4" t="str">
        <f t="shared" si="76"/>
        <v/>
      </c>
      <c r="Y1007" s="4" t="str">
        <f t="shared" si="77"/>
        <v/>
      </c>
      <c r="Z1007" s="5">
        <f t="shared" si="78"/>
        <v>1.06</v>
      </c>
      <c r="AA1007" s="6">
        <f t="shared" si="79"/>
        <v>2</v>
      </c>
      <c r="AB1007" t="str">
        <f>IFERROR(F1007&amp;"*"&amp;ROUND(L1007*(G1007/(G1007+I1007+K1007))/VLOOKUP(F1007,商品!$A$4:$D$67,4,FALSE),0),"")</f>
        <v/>
      </c>
      <c r="AC1007" t="str">
        <f>IFERROR(H1007&amp;"*"&amp;ROUND(L1007*(I1007/(G1007+I1007+K1007))/VLOOKUP(H1007,商品!$A$4:$D$67,4,FALSE),0),"")</f>
        <v/>
      </c>
      <c r="AD1007" t="str">
        <f>IFERROR(J1007&amp;"*"&amp;ROUND(L1007*(K1007/(G1007+I1007+K1007))/VLOOKUP(J1007,商品!$A$4:$D$67,4,FALSE),0),"")</f>
        <v/>
      </c>
      <c r="AE1007" t="str">
        <f>IFERROR(M1007&amp;"*"&amp;ROUND(Q1007*(N1007/(N1007+P1007))/VLOOKUP(M1007,职业!$A$3:$E$16,4,FALSE),0),"")</f>
        <v/>
      </c>
      <c r="AF1007" t="str">
        <f>IFERROR(O1007&amp;"*"&amp;ROUND(Q1007*(P1007/(N1007+P1007))/VLOOKUP(O1007,职业!$A$3:$E$16,4,FALSE),0),"")</f>
        <v/>
      </c>
      <c r="AG1007" t="str">
        <f>IFERROR(R1007&amp;"*"&amp;ROUND(V1007*(S1007/(S1007+U1007))/VLOOKUP(R1007,商品!$A$4:$D$67,4,FALSE),0),"")</f>
        <v/>
      </c>
      <c r="AH1007" t="str">
        <f>IFERROR(T1007&amp;"*"&amp;ROUND(V1007*(U1007/(S1007+U1007))/VLOOKUP(T1007,商品!$A$4:$D$67,4,FALSE),0),"")</f>
        <v/>
      </c>
    </row>
    <row r="1008" customHeight="1" spans="1:34">
      <c r="A1008" s="14" t="s">
        <v>468</v>
      </c>
      <c r="C1008" s="2">
        <v>3</v>
      </c>
      <c r="D1008" s="2" t="s">
        <v>220</v>
      </c>
      <c r="E1008" s="2" t="s">
        <v>255</v>
      </c>
      <c r="L1008" s="2">
        <f>IFERROR(VLOOKUP($D1008&amp;$C1008,生产方式定位!$A$2:$E$39,2,FALSE)+VLOOKUP($E1008&amp;$C1008,生产方式定位!$F$3:$J$39,2,FALSE),0)</f>
        <v>3000</v>
      </c>
      <c r="Q1008" s="2">
        <f>IFERROR(VLOOKUP($D1008&amp;$C1008,生产方式定位!$A$2:$E$39,3,FALSE)+VLOOKUP($E1008&amp;$C1008,生产方式定位!$F$3:$J$39,3,FALSE),0)</f>
        <v>2400</v>
      </c>
      <c r="V1008" s="2">
        <f>IFERROR(VLOOKUP($D1008&amp;$C1008,生产方式定位!$A$2:$E$39,5,FALSE)+VLOOKUP($E1008&amp;$C1008,生产方式定位!$F$3:$J$39,5,FALSE),"错误")</f>
        <v>2700</v>
      </c>
      <c r="W1008" s="3" t="str">
        <f t="shared" si="75"/>
        <v/>
      </c>
      <c r="X1008" s="4" t="str">
        <f t="shared" si="76"/>
        <v/>
      </c>
      <c r="Y1008" s="4" t="str">
        <f t="shared" si="77"/>
        <v/>
      </c>
      <c r="Z1008" s="5">
        <f t="shared" si="78"/>
        <v>1.11</v>
      </c>
      <c r="AA1008" s="6">
        <f t="shared" si="79"/>
        <v>3</v>
      </c>
      <c r="AB1008" t="str">
        <f>IFERROR(F1008&amp;"*"&amp;ROUND(L1008*(G1008/(G1008+I1008+K1008))/VLOOKUP(F1008,商品!$A$4:$D$67,4,FALSE),0),"")</f>
        <v/>
      </c>
      <c r="AC1008" t="str">
        <f>IFERROR(H1008&amp;"*"&amp;ROUND(L1008*(I1008/(G1008+I1008+K1008))/VLOOKUP(H1008,商品!$A$4:$D$67,4,FALSE),0),"")</f>
        <v/>
      </c>
      <c r="AD1008" t="str">
        <f>IFERROR(J1008&amp;"*"&amp;ROUND(L1008*(K1008/(G1008+I1008+K1008))/VLOOKUP(J1008,商品!$A$4:$D$67,4,FALSE),0),"")</f>
        <v/>
      </c>
      <c r="AE1008" t="str">
        <f>IFERROR(M1008&amp;"*"&amp;ROUND(Q1008*(N1008/(N1008+P1008))/VLOOKUP(M1008,职业!$A$3:$E$16,4,FALSE),0),"")</f>
        <v/>
      </c>
      <c r="AF1008" t="str">
        <f>IFERROR(O1008&amp;"*"&amp;ROUND(Q1008*(P1008/(N1008+P1008))/VLOOKUP(O1008,职业!$A$3:$E$16,4,FALSE),0),"")</f>
        <v/>
      </c>
      <c r="AG1008" t="str">
        <f>IFERROR(R1008&amp;"*"&amp;ROUND(V1008*(S1008/(S1008+U1008))/VLOOKUP(R1008,商品!$A$4:$D$67,4,FALSE),0),"")</f>
        <v/>
      </c>
      <c r="AH1008" t="str">
        <f>IFERROR(T1008&amp;"*"&amp;ROUND(V1008*(U1008/(S1008+U1008))/VLOOKUP(T1008,商品!$A$4:$D$67,4,FALSE),0),"")</f>
        <v/>
      </c>
    </row>
    <row r="1009" customHeight="1" spans="1:34">
      <c r="A1009" s="14" t="s">
        <v>468</v>
      </c>
      <c r="C1009" s="2">
        <v>4</v>
      </c>
      <c r="D1009" s="2" t="s">
        <v>220</v>
      </c>
      <c r="E1009" s="2" t="s">
        <v>255</v>
      </c>
      <c r="L1009" s="2">
        <f>IFERROR(VLOOKUP($D1009&amp;$C1009,生产方式定位!$A$2:$E$39,2,FALSE)+VLOOKUP($E1009&amp;$C1009,生产方式定位!$F$3:$J$39,2,FALSE),0)</f>
        <v>3500</v>
      </c>
      <c r="Q1009" s="2">
        <f>IFERROR(VLOOKUP($D1009&amp;$C1009,生产方式定位!$A$2:$E$39,3,FALSE)+VLOOKUP($E1009&amp;$C1009,生产方式定位!$F$3:$J$39,3,FALSE),0)</f>
        <v>2600</v>
      </c>
      <c r="V1009" s="2">
        <f>IFERROR(VLOOKUP($D1009&amp;$C1009,生产方式定位!$A$2:$E$39,5,FALSE)+VLOOKUP($E1009&amp;$C1009,生产方式定位!$F$3:$J$39,5,FALSE),"错误")</f>
        <v>3050</v>
      </c>
      <c r="W1009" s="3" t="str">
        <f t="shared" si="75"/>
        <v/>
      </c>
      <c r="X1009" s="4" t="str">
        <f t="shared" si="76"/>
        <v/>
      </c>
      <c r="Y1009" s="4" t="str">
        <f t="shared" si="77"/>
        <v/>
      </c>
      <c r="Z1009" s="5">
        <f t="shared" si="78"/>
        <v>1.15</v>
      </c>
      <c r="AA1009" s="6">
        <f t="shared" si="79"/>
        <v>4</v>
      </c>
      <c r="AB1009" t="str">
        <f>IFERROR(F1009&amp;"*"&amp;ROUND(L1009*(G1009/(G1009+I1009+K1009))/VLOOKUP(F1009,商品!$A$4:$D$67,4,FALSE),0),"")</f>
        <v/>
      </c>
      <c r="AC1009" t="str">
        <f>IFERROR(H1009&amp;"*"&amp;ROUND(L1009*(I1009/(G1009+I1009+K1009))/VLOOKUP(H1009,商品!$A$4:$D$67,4,FALSE),0),"")</f>
        <v/>
      </c>
      <c r="AD1009" t="str">
        <f>IFERROR(J1009&amp;"*"&amp;ROUND(L1009*(K1009/(G1009+I1009+K1009))/VLOOKUP(J1009,商品!$A$4:$D$67,4,FALSE),0),"")</f>
        <v/>
      </c>
      <c r="AE1009" t="str">
        <f>IFERROR(M1009&amp;"*"&amp;ROUND(Q1009*(N1009/(N1009+P1009))/VLOOKUP(M1009,职业!$A$3:$E$16,4,FALSE),0),"")</f>
        <v/>
      </c>
      <c r="AF1009" t="str">
        <f>IFERROR(O1009&amp;"*"&amp;ROUND(Q1009*(P1009/(N1009+P1009))/VLOOKUP(O1009,职业!$A$3:$E$16,4,FALSE),0),"")</f>
        <v/>
      </c>
      <c r="AG1009" t="str">
        <f>IFERROR(R1009&amp;"*"&amp;ROUND(V1009*(S1009/(S1009+U1009))/VLOOKUP(R1009,商品!$A$4:$D$67,4,FALSE),0),"")</f>
        <v/>
      </c>
      <c r="AH1009" t="str">
        <f>IFERROR(T1009&amp;"*"&amp;ROUND(V1009*(U1009/(S1009+U1009))/VLOOKUP(T1009,商品!$A$4:$D$67,4,FALSE),0),"")</f>
        <v/>
      </c>
    </row>
    <row r="1010" customHeight="1" spans="1:34">
      <c r="A1010" s="15" t="s">
        <v>469</v>
      </c>
      <c r="C1010" s="2">
        <v>5</v>
      </c>
      <c r="D1010" s="2" t="s">
        <v>220</v>
      </c>
      <c r="E1010" s="2" t="s">
        <v>225</v>
      </c>
      <c r="L1010" s="2">
        <f>IFERROR(VLOOKUP($D1010&amp;$C1010,生产方式定位!$A$2:$E$39,2,FALSE)+VLOOKUP($E1010&amp;$C1010,生产方式定位!$F$3:$J$39,2,FALSE),0)</f>
        <v>4000</v>
      </c>
      <c r="Q1010" s="2">
        <f>IFERROR(VLOOKUP($D1010&amp;$C1010,生产方式定位!$A$2:$E$39,3,FALSE)+VLOOKUP($E1010&amp;$C1010,生产方式定位!$F$3:$J$39,3,FALSE),0)</f>
        <v>2800</v>
      </c>
      <c r="V1010" s="2">
        <f>IFERROR(VLOOKUP($D1010&amp;$C1010,生产方式定位!$A$2:$E$39,5,FALSE)+VLOOKUP($E1010&amp;$C1010,生产方式定位!$F$3:$J$39,5,FALSE),"错误")</f>
        <v>3400</v>
      </c>
      <c r="W1010" s="3" t="str">
        <f t="shared" si="75"/>
        <v/>
      </c>
      <c r="X1010" s="4" t="str">
        <f t="shared" si="76"/>
        <v/>
      </c>
      <c r="Y1010" s="4" t="str">
        <f t="shared" si="77"/>
        <v/>
      </c>
      <c r="Z1010" s="5">
        <f t="shared" si="78"/>
        <v>1.18</v>
      </c>
      <c r="AA1010" s="6">
        <f t="shared" si="79"/>
        <v>5</v>
      </c>
      <c r="AB1010" t="str">
        <f>IFERROR(F1010&amp;"*"&amp;ROUND(L1010*(G1010/(G1010+I1010+K1010))/VLOOKUP(F1010,商品!$A$4:$D$67,4,FALSE),0),"")</f>
        <v/>
      </c>
      <c r="AC1010" t="str">
        <f>IFERROR(H1010&amp;"*"&amp;ROUND(L1010*(I1010/(G1010+I1010+K1010))/VLOOKUP(H1010,商品!$A$4:$D$67,4,FALSE),0),"")</f>
        <v/>
      </c>
      <c r="AD1010" t="str">
        <f>IFERROR(J1010&amp;"*"&amp;ROUND(L1010*(K1010/(G1010+I1010+K1010))/VLOOKUP(J1010,商品!$A$4:$D$67,4,FALSE),0),"")</f>
        <v/>
      </c>
      <c r="AE1010" t="str">
        <f>IFERROR(M1010&amp;"*"&amp;ROUND(Q1010*(N1010/(N1010+P1010))/VLOOKUP(M1010,职业!$A$3:$E$16,4,FALSE),0),"")</f>
        <v/>
      </c>
      <c r="AF1010" t="str">
        <f>IFERROR(O1010&amp;"*"&amp;ROUND(Q1010*(P1010/(N1010+P1010))/VLOOKUP(O1010,职业!$A$3:$E$16,4,FALSE),0),"")</f>
        <v/>
      </c>
      <c r="AG1010" t="str">
        <f>IFERROR(R1010&amp;"*"&amp;ROUND(V1010*(S1010/(S1010+U1010))/VLOOKUP(R1010,商品!$A$4:$D$67,4,FALSE),0),"")</f>
        <v/>
      </c>
      <c r="AH1010" t="str">
        <f>IFERROR(T1010&amp;"*"&amp;ROUND(V1010*(U1010/(S1010+U1010))/VLOOKUP(T1010,商品!$A$4:$D$67,4,FALSE),0),"")</f>
        <v/>
      </c>
    </row>
    <row r="1011" customHeight="1" spans="1:34">
      <c r="A1011" s="15" t="s">
        <v>469</v>
      </c>
      <c r="C1011" s="2">
        <v>1</v>
      </c>
      <c r="D1011" s="2" t="s">
        <v>220</v>
      </c>
      <c r="E1011" s="2" t="s">
        <v>225</v>
      </c>
      <c r="L1011" s="2">
        <f>IFERROR(VLOOKUP($D1011&amp;$C1011,生产方式定位!$A$2:$E$39,2,FALSE)+VLOOKUP($E1011&amp;$C1011,生产方式定位!$F$3:$J$39,2,FALSE),0)</f>
        <v>2000</v>
      </c>
      <c r="Q1011" s="2">
        <f>IFERROR(VLOOKUP($D1011&amp;$C1011,生产方式定位!$A$2:$E$39,3,FALSE)+VLOOKUP($E1011&amp;$C1011,生产方式定位!$F$3:$J$39,3,FALSE),0)</f>
        <v>2000</v>
      </c>
      <c r="V1011" s="2">
        <f>IFERROR(VLOOKUP($D1011&amp;$C1011,生产方式定位!$A$2:$E$39,5,FALSE)+VLOOKUP($E1011&amp;$C1011,生产方式定位!$F$3:$J$39,5,FALSE),"错误")</f>
        <v>2000</v>
      </c>
      <c r="W1011" s="3" t="str">
        <f t="shared" si="75"/>
        <v/>
      </c>
      <c r="X1011" s="4" t="str">
        <f t="shared" si="76"/>
        <v/>
      </c>
      <c r="Y1011" s="4" t="str">
        <f t="shared" si="77"/>
        <v/>
      </c>
      <c r="Z1011" s="5">
        <f t="shared" si="78"/>
        <v>1</v>
      </c>
      <c r="AA1011" s="6">
        <f t="shared" si="79"/>
        <v>1</v>
      </c>
      <c r="AB1011" t="str">
        <f>IFERROR(F1011&amp;"*"&amp;ROUND(L1011*(G1011/(G1011+I1011+K1011))/VLOOKUP(F1011,商品!$A$4:$D$67,4,FALSE),0),"")</f>
        <v/>
      </c>
      <c r="AC1011" t="str">
        <f>IFERROR(H1011&amp;"*"&amp;ROUND(L1011*(I1011/(G1011+I1011+K1011))/VLOOKUP(H1011,商品!$A$4:$D$67,4,FALSE),0),"")</f>
        <v/>
      </c>
      <c r="AD1011" t="str">
        <f>IFERROR(J1011&amp;"*"&amp;ROUND(L1011*(K1011/(G1011+I1011+K1011))/VLOOKUP(J1011,商品!$A$4:$D$67,4,FALSE),0),"")</f>
        <v/>
      </c>
      <c r="AE1011" t="str">
        <f>IFERROR(M1011&amp;"*"&amp;ROUND(Q1011*(N1011/(N1011+P1011))/VLOOKUP(M1011,职业!$A$3:$E$16,4,FALSE),0),"")</f>
        <v/>
      </c>
      <c r="AF1011" t="str">
        <f>IFERROR(O1011&amp;"*"&amp;ROUND(Q1011*(P1011/(N1011+P1011))/VLOOKUP(O1011,职业!$A$3:$E$16,4,FALSE),0),"")</f>
        <v/>
      </c>
      <c r="AG1011" t="str">
        <f>IFERROR(R1011&amp;"*"&amp;ROUND(V1011*(S1011/(S1011+U1011))/VLOOKUP(R1011,商品!$A$4:$D$67,4,FALSE),0),"")</f>
        <v/>
      </c>
      <c r="AH1011" t="str">
        <f>IFERROR(T1011&amp;"*"&amp;ROUND(V1011*(U1011/(S1011+U1011))/VLOOKUP(T1011,商品!$A$4:$D$67,4,FALSE),0),"")</f>
        <v/>
      </c>
    </row>
    <row r="1012" customHeight="1" spans="1:34">
      <c r="A1012" s="15" t="s">
        <v>469</v>
      </c>
      <c r="C1012" s="2">
        <v>2</v>
      </c>
      <c r="D1012" s="2" t="s">
        <v>220</v>
      </c>
      <c r="E1012" s="2" t="s">
        <v>225</v>
      </c>
      <c r="L1012" s="2">
        <f>IFERROR(VLOOKUP($D1012&amp;$C1012,生产方式定位!$A$2:$E$39,2,FALSE)+VLOOKUP($E1012&amp;$C1012,生产方式定位!$F$3:$J$39,2,FALSE),0)</f>
        <v>2500</v>
      </c>
      <c r="Q1012" s="2">
        <f>IFERROR(VLOOKUP($D1012&amp;$C1012,生产方式定位!$A$2:$E$39,3,FALSE)+VLOOKUP($E1012&amp;$C1012,生产方式定位!$F$3:$J$39,3,FALSE),0)</f>
        <v>2200</v>
      </c>
      <c r="V1012" s="2">
        <f>IFERROR(VLOOKUP($D1012&amp;$C1012,生产方式定位!$A$2:$E$39,5,FALSE)+VLOOKUP($E1012&amp;$C1012,生产方式定位!$F$3:$J$39,5,FALSE),"错误")</f>
        <v>2350</v>
      </c>
      <c r="W1012" s="3" t="str">
        <f t="shared" si="75"/>
        <v/>
      </c>
      <c r="X1012" s="4" t="str">
        <f t="shared" si="76"/>
        <v/>
      </c>
      <c r="Y1012" s="4" t="str">
        <f t="shared" si="77"/>
        <v/>
      </c>
      <c r="Z1012" s="5">
        <f t="shared" si="78"/>
        <v>1.06</v>
      </c>
      <c r="AA1012" s="6">
        <f t="shared" si="79"/>
        <v>2</v>
      </c>
      <c r="AB1012" t="str">
        <f>IFERROR(F1012&amp;"*"&amp;ROUND(L1012*(G1012/(G1012+I1012+K1012))/VLOOKUP(F1012,商品!$A$4:$D$67,4,FALSE),0),"")</f>
        <v/>
      </c>
      <c r="AC1012" t="str">
        <f>IFERROR(H1012&amp;"*"&amp;ROUND(L1012*(I1012/(G1012+I1012+K1012))/VLOOKUP(H1012,商品!$A$4:$D$67,4,FALSE),0),"")</f>
        <v/>
      </c>
      <c r="AD1012" t="str">
        <f>IFERROR(J1012&amp;"*"&amp;ROUND(L1012*(K1012/(G1012+I1012+K1012))/VLOOKUP(J1012,商品!$A$4:$D$67,4,FALSE),0),"")</f>
        <v/>
      </c>
      <c r="AE1012" t="str">
        <f>IFERROR(M1012&amp;"*"&amp;ROUND(Q1012*(N1012/(N1012+P1012))/VLOOKUP(M1012,职业!$A$3:$E$16,4,FALSE),0),"")</f>
        <v/>
      </c>
      <c r="AF1012" t="str">
        <f>IFERROR(O1012&amp;"*"&amp;ROUND(Q1012*(P1012/(N1012+P1012))/VLOOKUP(O1012,职业!$A$3:$E$16,4,FALSE),0),"")</f>
        <v/>
      </c>
      <c r="AG1012" t="str">
        <f>IFERROR(R1012&amp;"*"&amp;ROUND(V1012*(S1012/(S1012+U1012))/VLOOKUP(R1012,商品!$A$4:$D$67,4,FALSE),0),"")</f>
        <v/>
      </c>
      <c r="AH1012" t="str">
        <f>IFERROR(T1012&amp;"*"&amp;ROUND(V1012*(U1012/(S1012+U1012))/VLOOKUP(T1012,商品!$A$4:$D$67,4,FALSE),0),"")</f>
        <v/>
      </c>
    </row>
    <row r="1013" customHeight="1" spans="1:34">
      <c r="A1013" s="15" t="s">
        <v>469</v>
      </c>
      <c r="C1013" s="2">
        <v>3</v>
      </c>
      <c r="D1013" s="2" t="s">
        <v>220</v>
      </c>
      <c r="E1013" s="2" t="s">
        <v>225</v>
      </c>
      <c r="L1013" s="2">
        <f>IFERROR(VLOOKUP($D1013&amp;$C1013,生产方式定位!$A$2:$E$39,2,FALSE)+VLOOKUP($E1013&amp;$C1013,生产方式定位!$F$3:$J$39,2,FALSE),0)</f>
        <v>3000</v>
      </c>
      <c r="Q1013" s="2">
        <f>IFERROR(VLOOKUP($D1013&amp;$C1013,生产方式定位!$A$2:$E$39,3,FALSE)+VLOOKUP($E1013&amp;$C1013,生产方式定位!$F$3:$J$39,3,FALSE),0)</f>
        <v>2400</v>
      </c>
      <c r="V1013" s="2">
        <f>IFERROR(VLOOKUP($D1013&amp;$C1013,生产方式定位!$A$2:$E$39,5,FALSE)+VLOOKUP($E1013&amp;$C1013,生产方式定位!$F$3:$J$39,5,FALSE),"错误")</f>
        <v>2700</v>
      </c>
      <c r="W1013" s="3" t="str">
        <f t="shared" si="75"/>
        <v/>
      </c>
      <c r="X1013" s="4" t="str">
        <f t="shared" si="76"/>
        <v/>
      </c>
      <c r="Y1013" s="4" t="str">
        <f t="shared" si="77"/>
        <v/>
      </c>
      <c r="Z1013" s="5">
        <f t="shared" si="78"/>
        <v>1.11</v>
      </c>
      <c r="AA1013" s="6">
        <f t="shared" si="79"/>
        <v>3</v>
      </c>
      <c r="AB1013" t="str">
        <f>IFERROR(F1013&amp;"*"&amp;ROUND(L1013*(G1013/(G1013+I1013+K1013))/VLOOKUP(F1013,商品!$A$4:$D$67,4,FALSE),0),"")</f>
        <v/>
      </c>
      <c r="AC1013" t="str">
        <f>IFERROR(H1013&amp;"*"&amp;ROUND(L1013*(I1013/(G1013+I1013+K1013))/VLOOKUP(H1013,商品!$A$4:$D$67,4,FALSE),0),"")</f>
        <v/>
      </c>
      <c r="AD1013" t="str">
        <f>IFERROR(J1013&amp;"*"&amp;ROUND(L1013*(K1013/(G1013+I1013+K1013))/VLOOKUP(J1013,商品!$A$4:$D$67,4,FALSE),0),"")</f>
        <v/>
      </c>
      <c r="AE1013" t="str">
        <f>IFERROR(M1013&amp;"*"&amp;ROUND(Q1013*(N1013/(N1013+P1013))/VLOOKUP(M1013,职业!$A$3:$E$16,4,FALSE),0),"")</f>
        <v/>
      </c>
      <c r="AF1013" t="str">
        <f>IFERROR(O1013&amp;"*"&amp;ROUND(Q1013*(P1013/(N1013+P1013))/VLOOKUP(O1013,职业!$A$3:$E$16,4,FALSE),0),"")</f>
        <v/>
      </c>
      <c r="AG1013" t="str">
        <f>IFERROR(R1013&amp;"*"&amp;ROUND(V1013*(S1013/(S1013+U1013))/VLOOKUP(R1013,商品!$A$4:$D$67,4,FALSE),0),"")</f>
        <v/>
      </c>
      <c r="AH1013" t="str">
        <f>IFERROR(T1013&amp;"*"&amp;ROUND(V1013*(U1013/(S1013+U1013))/VLOOKUP(T1013,商品!$A$4:$D$67,4,FALSE),0),"")</f>
        <v/>
      </c>
    </row>
    <row r="1014" customHeight="1" spans="1:34">
      <c r="A1014" s="15" t="s">
        <v>469</v>
      </c>
      <c r="C1014" s="2">
        <v>4</v>
      </c>
      <c r="D1014" s="2" t="s">
        <v>220</v>
      </c>
      <c r="E1014" s="2" t="s">
        <v>225</v>
      </c>
      <c r="L1014" s="2">
        <f>IFERROR(VLOOKUP($D1014&amp;$C1014,生产方式定位!$A$2:$E$39,2,FALSE)+VLOOKUP($E1014&amp;$C1014,生产方式定位!$F$3:$J$39,2,FALSE),0)</f>
        <v>3500</v>
      </c>
      <c r="Q1014" s="2">
        <f>IFERROR(VLOOKUP($D1014&amp;$C1014,生产方式定位!$A$2:$E$39,3,FALSE)+VLOOKUP($E1014&amp;$C1014,生产方式定位!$F$3:$J$39,3,FALSE),0)</f>
        <v>2600</v>
      </c>
      <c r="V1014" s="2">
        <f>IFERROR(VLOOKUP($D1014&amp;$C1014,生产方式定位!$A$2:$E$39,5,FALSE)+VLOOKUP($E1014&amp;$C1014,生产方式定位!$F$3:$J$39,5,FALSE),"错误")</f>
        <v>3050</v>
      </c>
      <c r="W1014" s="3" t="str">
        <f t="shared" si="75"/>
        <v/>
      </c>
      <c r="X1014" s="4" t="str">
        <f t="shared" si="76"/>
        <v/>
      </c>
      <c r="Y1014" s="4" t="str">
        <f t="shared" si="77"/>
        <v/>
      </c>
      <c r="Z1014" s="5">
        <f t="shared" si="78"/>
        <v>1.15</v>
      </c>
      <c r="AA1014" s="6">
        <f t="shared" si="79"/>
        <v>4</v>
      </c>
      <c r="AB1014" t="str">
        <f>IFERROR(F1014&amp;"*"&amp;ROUND(L1014*(G1014/(G1014+I1014+K1014))/VLOOKUP(F1014,商品!$A$4:$D$67,4,FALSE),0),"")</f>
        <v/>
      </c>
      <c r="AC1014" t="str">
        <f>IFERROR(H1014&amp;"*"&amp;ROUND(L1014*(I1014/(G1014+I1014+K1014))/VLOOKUP(H1014,商品!$A$4:$D$67,4,FALSE),0),"")</f>
        <v/>
      </c>
      <c r="AD1014" t="str">
        <f>IFERROR(J1014&amp;"*"&amp;ROUND(L1014*(K1014/(G1014+I1014+K1014))/VLOOKUP(J1014,商品!$A$4:$D$67,4,FALSE),0),"")</f>
        <v/>
      </c>
      <c r="AE1014" t="str">
        <f>IFERROR(M1014&amp;"*"&amp;ROUND(Q1014*(N1014/(N1014+P1014))/VLOOKUP(M1014,职业!$A$3:$E$16,4,FALSE),0),"")</f>
        <v/>
      </c>
      <c r="AF1014" t="str">
        <f>IFERROR(O1014&amp;"*"&amp;ROUND(Q1014*(P1014/(N1014+P1014))/VLOOKUP(O1014,职业!$A$3:$E$16,4,FALSE),0),"")</f>
        <v/>
      </c>
      <c r="AG1014" t="str">
        <f>IFERROR(R1014&amp;"*"&amp;ROUND(V1014*(S1014/(S1014+U1014))/VLOOKUP(R1014,商品!$A$4:$D$67,4,FALSE),0),"")</f>
        <v/>
      </c>
      <c r="AH1014" t="str">
        <f>IFERROR(T1014&amp;"*"&amp;ROUND(V1014*(U1014/(S1014+U1014))/VLOOKUP(T1014,商品!$A$4:$D$67,4,FALSE),0),"")</f>
        <v/>
      </c>
    </row>
    <row r="1015" customHeight="1" spans="1:34">
      <c r="A1015" s="15" t="s">
        <v>469</v>
      </c>
      <c r="C1015" s="2">
        <v>5</v>
      </c>
      <c r="D1015" s="2" t="s">
        <v>220</v>
      </c>
      <c r="E1015" s="2" t="s">
        <v>225</v>
      </c>
      <c r="L1015" s="2">
        <f>IFERROR(VLOOKUP($D1015&amp;$C1015,生产方式定位!$A$2:$E$39,2,FALSE)+VLOOKUP($E1015&amp;$C1015,生产方式定位!$F$3:$J$39,2,FALSE),0)</f>
        <v>4000</v>
      </c>
      <c r="Q1015" s="2">
        <f>IFERROR(VLOOKUP($D1015&amp;$C1015,生产方式定位!$A$2:$E$39,3,FALSE)+VLOOKUP($E1015&amp;$C1015,生产方式定位!$F$3:$J$39,3,FALSE),0)</f>
        <v>2800</v>
      </c>
      <c r="V1015" s="2">
        <f>IFERROR(VLOOKUP($D1015&amp;$C1015,生产方式定位!$A$2:$E$39,5,FALSE)+VLOOKUP($E1015&amp;$C1015,生产方式定位!$F$3:$J$39,5,FALSE),"错误")</f>
        <v>3400</v>
      </c>
      <c r="W1015" s="3" t="str">
        <f t="shared" si="75"/>
        <v/>
      </c>
      <c r="X1015" s="4" t="str">
        <f t="shared" si="76"/>
        <v/>
      </c>
      <c r="Y1015" s="4" t="str">
        <f t="shared" si="77"/>
        <v/>
      </c>
      <c r="Z1015" s="5">
        <f t="shared" si="78"/>
        <v>1.18</v>
      </c>
      <c r="AA1015" s="6">
        <f t="shared" si="79"/>
        <v>5</v>
      </c>
      <c r="AB1015" t="str">
        <f>IFERROR(F1015&amp;"*"&amp;ROUND(L1015*(G1015/(G1015+I1015+K1015))/VLOOKUP(F1015,商品!$A$4:$D$67,4,FALSE),0),"")</f>
        <v/>
      </c>
      <c r="AC1015" t="str">
        <f>IFERROR(H1015&amp;"*"&amp;ROUND(L1015*(I1015/(G1015+I1015+K1015))/VLOOKUP(H1015,商品!$A$4:$D$67,4,FALSE),0),"")</f>
        <v/>
      </c>
      <c r="AD1015" t="str">
        <f>IFERROR(J1015&amp;"*"&amp;ROUND(L1015*(K1015/(G1015+I1015+K1015))/VLOOKUP(J1015,商品!$A$4:$D$67,4,FALSE),0),"")</f>
        <v/>
      </c>
      <c r="AE1015" t="str">
        <f>IFERROR(M1015&amp;"*"&amp;ROUND(Q1015*(N1015/(N1015+P1015))/VLOOKUP(M1015,职业!$A$3:$E$16,4,FALSE),0),"")</f>
        <v/>
      </c>
      <c r="AF1015" t="str">
        <f>IFERROR(O1015&amp;"*"&amp;ROUND(Q1015*(P1015/(N1015+P1015))/VLOOKUP(O1015,职业!$A$3:$E$16,4,FALSE),0),"")</f>
        <v/>
      </c>
      <c r="AG1015" t="str">
        <f>IFERROR(R1015&amp;"*"&amp;ROUND(V1015*(S1015/(S1015+U1015))/VLOOKUP(R1015,商品!$A$4:$D$67,4,FALSE),0),"")</f>
        <v/>
      </c>
      <c r="AH1015" t="str">
        <f>IFERROR(T1015&amp;"*"&amp;ROUND(V1015*(U1015/(S1015+U1015))/VLOOKUP(T1015,商品!$A$4:$D$67,4,FALSE),0),"")</f>
        <v/>
      </c>
    </row>
    <row r="1016" customHeight="1" spans="1:34">
      <c r="A1016" s="15" t="s">
        <v>469</v>
      </c>
      <c r="C1016" s="2">
        <v>1</v>
      </c>
      <c r="D1016" s="2" t="s">
        <v>220</v>
      </c>
      <c r="E1016" s="2" t="s">
        <v>225</v>
      </c>
      <c r="L1016" s="2">
        <f>IFERROR(VLOOKUP($D1016&amp;$C1016,生产方式定位!$A$2:$E$39,2,FALSE)+VLOOKUP($E1016&amp;$C1016,生产方式定位!$F$3:$J$39,2,FALSE),0)</f>
        <v>2000</v>
      </c>
      <c r="Q1016" s="2">
        <f>IFERROR(VLOOKUP($D1016&amp;$C1016,生产方式定位!$A$2:$E$39,3,FALSE)+VLOOKUP($E1016&amp;$C1016,生产方式定位!$F$3:$J$39,3,FALSE),0)</f>
        <v>2000</v>
      </c>
      <c r="V1016" s="2">
        <f>IFERROR(VLOOKUP($D1016&amp;$C1016,生产方式定位!$A$2:$E$39,5,FALSE)+VLOOKUP($E1016&amp;$C1016,生产方式定位!$F$3:$J$39,5,FALSE),"错误")</f>
        <v>2000</v>
      </c>
      <c r="W1016" s="3" t="str">
        <f t="shared" si="75"/>
        <v/>
      </c>
      <c r="X1016" s="4" t="str">
        <f t="shared" si="76"/>
        <v/>
      </c>
      <c r="Y1016" s="4" t="str">
        <f t="shared" si="77"/>
        <v/>
      </c>
      <c r="Z1016" s="5">
        <f t="shared" si="78"/>
        <v>1</v>
      </c>
      <c r="AA1016" s="6">
        <f t="shared" si="79"/>
        <v>1</v>
      </c>
      <c r="AB1016" t="str">
        <f>IFERROR(F1016&amp;"*"&amp;ROUND(L1016*(G1016/(G1016+I1016+K1016))/VLOOKUP(F1016,商品!$A$4:$D$67,4,FALSE),0),"")</f>
        <v/>
      </c>
      <c r="AC1016" t="str">
        <f>IFERROR(H1016&amp;"*"&amp;ROUND(L1016*(I1016/(G1016+I1016+K1016))/VLOOKUP(H1016,商品!$A$4:$D$67,4,FALSE),0),"")</f>
        <v/>
      </c>
      <c r="AD1016" t="str">
        <f>IFERROR(J1016&amp;"*"&amp;ROUND(L1016*(K1016/(G1016+I1016+K1016))/VLOOKUP(J1016,商品!$A$4:$D$67,4,FALSE),0),"")</f>
        <v/>
      </c>
      <c r="AE1016" t="str">
        <f>IFERROR(M1016&amp;"*"&amp;ROUND(Q1016*(N1016/(N1016+P1016))/VLOOKUP(M1016,职业!$A$3:$E$16,4,FALSE),0),"")</f>
        <v/>
      </c>
      <c r="AF1016" t="str">
        <f>IFERROR(O1016&amp;"*"&amp;ROUND(Q1016*(P1016/(N1016+P1016))/VLOOKUP(O1016,职业!$A$3:$E$16,4,FALSE),0),"")</f>
        <v/>
      </c>
      <c r="AG1016" t="str">
        <f>IFERROR(R1016&amp;"*"&amp;ROUND(V1016*(S1016/(S1016+U1016))/VLOOKUP(R1016,商品!$A$4:$D$67,4,FALSE),0),"")</f>
        <v/>
      </c>
      <c r="AH1016" t="str">
        <f>IFERROR(T1016&amp;"*"&amp;ROUND(V1016*(U1016/(S1016+U1016))/VLOOKUP(T1016,商品!$A$4:$D$67,4,FALSE),0),"")</f>
        <v/>
      </c>
    </row>
    <row r="1017" customHeight="1" spans="1:34">
      <c r="A1017" s="15" t="s">
        <v>469</v>
      </c>
      <c r="C1017" s="2">
        <v>2</v>
      </c>
      <c r="D1017" s="2" t="s">
        <v>220</v>
      </c>
      <c r="E1017" s="2" t="s">
        <v>225</v>
      </c>
      <c r="L1017" s="2">
        <f>IFERROR(VLOOKUP($D1017&amp;$C1017,生产方式定位!$A$2:$E$39,2,FALSE)+VLOOKUP($E1017&amp;$C1017,生产方式定位!$F$3:$J$39,2,FALSE),0)</f>
        <v>2500</v>
      </c>
      <c r="Q1017" s="2">
        <f>IFERROR(VLOOKUP($D1017&amp;$C1017,生产方式定位!$A$2:$E$39,3,FALSE)+VLOOKUP($E1017&amp;$C1017,生产方式定位!$F$3:$J$39,3,FALSE),0)</f>
        <v>2200</v>
      </c>
      <c r="V1017" s="2">
        <f>IFERROR(VLOOKUP($D1017&amp;$C1017,生产方式定位!$A$2:$E$39,5,FALSE)+VLOOKUP($E1017&amp;$C1017,生产方式定位!$F$3:$J$39,5,FALSE),"错误")</f>
        <v>2350</v>
      </c>
      <c r="W1017" s="3" t="str">
        <f t="shared" si="75"/>
        <v/>
      </c>
      <c r="X1017" s="4" t="str">
        <f t="shared" si="76"/>
        <v/>
      </c>
      <c r="Y1017" s="4" t="str">
        <f t="shared" si="77"/>
        <v/>
      </c>
      <c r="Z1017" s="5">
        <f t="shared" si="78"/>
        <v>1.06</v>
      </c>
      <c r="AA1017" s="6">
        <f t="shared" si="79"/>
        <v>2</v>
      </c>
      <c r="AB1017" t="str">
        <f>IFERROR(F1017&amp;"*"&amp;ROUND(L1017*(G1017/(G1017+I1017+K1017))/VLOOKUP(F1017,商品!$A$4:$D$67,4,FALSE),0),"")</f>
        <v/>
      </c>
      <c r="AC1017" t="str">
        <f>IFERROR(H1017&amp;"*"&amp;ROUND(L1017*(I1017/(G1017+I1017+K1017))/VLOOKUP(H1017,商品!$A$4:$D$67,4,FALSE),0),"")</f>
        <v/>
      </c>
      <c r="AD1017" t="str">
        <f>IFERROR(J1017&amp;"*"&amp;ROUND(L1017*(K1017/(G1017+I1017+K1017))/VLOOKUP(J1017,商品!$A$4:$D$67,4,FALSE),0),"")</f>
        <v/>
      </c>
      <c r="AE1017" t="str">
        <f>IFERROR(M1017&amp;"*"&amp;ROUND(Q1017*(N1017/(N1017+P1017))/VLOOKUP(M1017,职业!$A$3:$E$16,4,FALSE),0),"")</f>
        <v/>
      </c>
      <c r="AF1017" t="str">
        <f>IFERROR(O1017&amp;"*"&amp;ROUND(Q1017*(P1017/(N1017+P1017))/VLOOKUP(O1017,职业!$A$3:$E$16,4,FALSE),0),"")</f>
        <v/>
      </c>
      <c r="AG1017" t="str">
        <f>IFERROR(R1017&amp;"*"&amp;ROUND(V1017*(S1017/(S1017+U1017))/VLOOKUP(R1017,商品!$A$4:$D$67,4,FALSE),0),"")</f>
        <v/>
      </c>
      <c r="AH1017" t="str">
        <f>IFERROR(T1017&amp;"*"&amp;ROUND(V1017*(U1017/(S1017+U1017))/VLOOKUP(T1017,商品!$A$4:$D$67,4,FALSE),0),"")</f>
        <v/>
      </c>
    </row>
    <row r="1018" customHeight="1" spans="1:34">
      <c r="A1018" s="14" t="s">
        <v>471</v>
      </c>
      <c r="C1018" s="2">
        <v>3</v>
      </c>
      <c r="D1018" s="2" t="s">
        <v>220</v>
      </c>
      <c r="E1018" s="2" t="s">
        <v>222</v>
      </c>
      <c r="L1018" s="2">
        <f>IFERROR(VLOOKUP($D1018&amp;$C1018,生产方式定位!$A$2:$E$39,2,FALSE)+VLOOKUP($E1018&amp;$C1018,生产方式定位!$F$3:$J$39,2,FALSE),0)</f>
        <v>5000</v>
      </c>
      <c r="Q1018" s="2">
        <f>IFERROR(VLOOKUP($D1018&amp;$C1018,生产方式定位!$A$2:$E$39,3,FALSE)+VLOOKUP($E1018&amp;$C1018,生产方式定位!$F$3:$J$39,3,FALSE),0)</f>
        <v>2800</v>
      </c>
      <c r="V1018" s="2">
        <f>IFERROR(VLOOKUP($D1018&amp;$C1018,生产方式定位!$A$2:$E$39,5,FALSE)+VLOOKUP($E1018&amp;$C1018,生产方式定位!$F$3:$J$39,5,FALSE),"错误")</f>
        <v>4188</v>
      </c>
      <c r="W1018" s="3" t="str">
        <f t="shared" si="75"/>
        <v/>
      </c>
      <c r="X1018" s="4" t="str">
        <f t="shared" si="76"/>
        <v/>
      </c>
      <c r="Y1018" s="4" t="str">
        <f t="shared" si="77"/>
        <v/>
      </c>
      <c r="Z1018" s="5">
        <f t="shared" si="78"/>
        <v>1.19</v>
      </c>
      <c r="AA1018" s="6">
        <f t="shared" si="79"/>
        <v>3</v>
      </c>
      <c r="AB1018" t="str">
        <f>IFERROR(F1018&amp;"*"&amp;ROUND(L1018*(G1018/(G1018+I1018+K1018))/VLOOKUP(F1018,商品!$A$4:$D$67,4,FALSE),0),"")</f>
        <v/>
      </c>
      <c r="AC1018" t="str">
        <f>IFERROR(H1018&amp;"*"&amp;ROUND(L1018*(I1018/(G1018+I1018+K1018))/VLOOKUP(H1018,商品!$A$4:$D$67,4,FALSE),0),"")</f>
        <v/>
      </c>
      <c r="AD1018" t="str">
        <f>IFERROR(J1018&amp;"*"&amp;ROUND(L1018*(K1018/(G1018+I1018+K1018))/VLOOKUP(J1018,商品!$A$4:$D$67,4,FALSE),0),"")</f>
        <v/>
      </c>
      <c r="AE1018" t="str">
        <f>IFERROR(M1018&amp;"*"&amp;ROUND(Q1018*(N1018/(N1018+P1018))/VLOOKUP(M1018,职业!$A$3:$E$16,4,FALSE),0),"")</f>
        <v/>
      </c>
      <c r="AF1018" t="str">
        <f>IFERROR(O1018&amp;"*"&amp;ROUND(Q1018*(P1018/(N1018+P1018))/VLOOKUP(O1018,职业!$A$3:$E$16,4,FALSE),0),"")</f>
        <v/>
      </c>
      <c r="AG1018" t="str">
        <f>IFERROR(R1018&amp;"*"&amp;ROUND(V1018*(S1018/(S1018+U1018))/VLOOKUP(R1018,商品!$A$4:$D$67,4,FALSE),0),"")</f>
        <v/>
      </c>
      <c r="AH1018" t="str">
        <f>IFERROR(T1018&amp;"*"&amp;ROUND(V1018*(U1018/(S1018+U1018))/VLOOKUP(T1018,商品!$A$4:$D$67,4,FALSE),0),"")</f>
        <v/>
      </c>
    </row>
    <row r="1019" customHeight="1" spans="1:34">
      <c r="A1019" s="14" t="s">
        <v>471</v>
      </c>
      <c r="C1019" s="2">
        <v>4</v>
      </c>
      <c r="D1019" s="2" t="s">
        <v>220</v>
      </c>
      <c r="E1019" s="2" t="s">
        <v>222</v>
      </c>
      <c r="L1019" s="2">
        <f>IFERROR(VLOOKUP($D1019&amp;$C1019,生产方式定位!$A$2:$E$39,2,FALSE)+VLOOKUP($E1019&amp;$C1019,生产方式定位!$F$3:$J$39,2,FALSE),0)</f>
        <v>6500</v>
      </c>
      <c r="Q1019" s="2">
        <f>IFERROR(VLOOKUP($D1019&amp;$C1019,生产方式定位!$A$2:$E$39,3,FALSE)+VLOOKUP($E1019&amp;$C1019,生产方式定位!$F$3:$J$39,3,FALSE),0)</f>
        <v>3200</v>
      </c>
      <c r="V1019" s="2">
        <f>IFERROR(VLOOKUP($D1019&amp;$C1019,生产方式定位!$A$2:$E$39,5,FALSE)+VLOOKUP($E1019&amp;$C1019,生产方式定位!$F$3:$J$39,5,FALSE),"错误")</f>
        <v>5498</v>
      </c>
      <c r="W1019" s="3" t="str">
        <f t="shared" si="75"/>
        <v/>
      </c>
      <c r="X1019" s="4" t="str">
        <f t="shared" si="76"/>
        <v/>
      </c>
      <c r="Y1019" s="4" t="str">
        <f t="shared" si="77"/>
        <v/>
      </c>
      <c r="Z1019" s="5">
        <f t="shared" si="78"/>
        <v>1.18</v>
      </c>
      <c r="AA1019" s="6">
        <f t="shared" si="79"/>
        <v>4</v>
      </c>
      <c r="AB1019" t="str">
        <f>IFERROR(F1019&amp;"*"&amp;ROUND(L1019*(G1019/(G1019+I1019+K1019))/VLOOKUP(F1019,商品!$A$4:$D$67,4,FALSE),0),"")</f>
        <v/>
      </c>
      <c r="AC1019" t="str">
        <f>IFERROR(H1019&amp;"*"&amp;ROUND(L1019*(I1019/(G1019+I1019+K1019))/VLOOKUP(H1019,商品!$A$4:$D$67,4,FALSE),0),"")</f>
        <v/>
      </c>
      <c r="AD1019" t="str">
        <f>IFERROR(J1019&amp;"*"&amp;ROUND(L1019*(K1019/(G1019+I1019+K1019))/VLOOKUP(J1019,商品!$A$4:$D$67,4,FALSE),0),"")</f>
        <v/>
      </c>
      <c r="AE1019" t="str">
        <f>IFERROR(M1019&amp;"*"&amp;ROUND(Q1019*(N1019/(N1019+P1019))/VLOOKUP(M1019,职业!$A$3:$E$16,4,FALSE),0),"")</f>
        <v/>
      </c>
      <c r="AF1019" t="str">
        <f>IFERROR(O1019&amp;"*"&amp;ROUND(Q1019*(P1019/(N1019+P1019))/VLOOKUP(O1019,职业!$A$3:$E$16,4,FALSE),0),"")</f>
        <v/>
      </c>
      <c r="AG1019" t="str">
        <f>IFERROR(R1019&amp;"*"&amp;ROUND(V1019*(S1019/(S1019+U1019))/VLOOKUP(R1019,商品!$A$4:$D$67,4,FALSE),0),"")</f>
        <v/>
      </c>
      <c r="AH1019" t="str">
        <f>IFERROR(T1019&amp;"*"&amp;ROUND(V1019*(U1019/(S1019+U1019))/VLOOKUP(T1019,商品!$A$4:$D$67,4,FALSE),0),"")</f>
        <v/>
      </c>
    </row>
    <row r="1020" customHeight="1" spans="1:34">
      <c r="A1020" s="14" t="s">
        <v>471</v>
      </c>
      <c r="C1020" s="2">
        <v>5</v>
      </c>
      <c r="D1020" s="2" t="s">
        <v>220</v>
      </c>
      <c r="E1020" s="2" t="s">
        <v>222</v>
      </c>
      <c r="L1020" s="2">
        <f>IFERROR(VLOOKUP($D1020&amp;$C1020,生产方式定位!$A$2:$E$39,2,FALSE)+VLOOKUP($E1020&amp;$C1020,生产方式定位!$F$3:$J$39,2,FALSE),0)</f>
        <v>8000</v>
      </c>
      <c r="Q1020" s="2">
        <f>IFERROR(VLOOKUP($D1020&amp;$C1020,生产方式定位!$A$2:$E$39,3,FALSE)+VLOOKUP($E1020&amp;$C1020,生产方式定位!$F$3:$J$39,3,FALSE),0)</f>
        <v>3600</v>
      </c>
      <c r="V1020" s="2">
        <f>IFERROR(VLOOKUP($D1020&amp;$C1020,生产方式定位!$A$2:$E$39,5,FALSE)+VLOOKUP($E1020&amp;$C1020,生产方式定位!$F$3:$J$39,5,FALSE),"错误")</f>
        <v>7000</v>
      </c>
      <c r="W1020" s="3" t="str">
        <f t="shared" si="75"/>
        <v/>
      </c>
      <c r="X1020" s="4" t="str">
        <f t="shared" si="76"/>
        <v/>
      </c>
      <c r="Y1020" s="4" t="str">
        <f t="shared" si="77"/>
        <v/>
      </c>
      <c r="Z1020" s="5">
        <f t="shared" si="78"/>
        <v>1.14</v>
      </c>
      <c r="AA1020" s="6">
        <f t="shared" si="79"/>
        <v>5</v>
      </c>
      <c r="AB1020" t="str">
        <f>IFERROR(F1020&amp;"*"&amp;ROUND(L1020*(G1020/(G1020+I1020+K1020))/VLOOKUP(F1020,商品!$A$4:$D$67,4,FALSE),0),"")</f>
        <v/>
      </c>
      <c r="AC1020" t="str">
        <f>IFERROR(H1020&amp;"*"&amp;ROUND(L1020*(I1020/(G1020+I1020+K1020))/VLOOKUP(H1020,商品!$A$4:$D$67,4,FALSE),0),"")</f>
        <v/>
      </c>
      <c r="AD1020" t="str">
        <f>IFERROR(J1020&amp;"*"&amp;ROUND(L1020*(K1020/(G1020+I1020+K1020))/VLOOKUP(J1020,商品!$A$4:$D$67,4,FALSE),0),"")</f>
        <v/>
      </c>
      <c r="AE1020" t="str">
        <f>IFERROR(M1020&amp;"*"&amp;ROUND(Q1020*(N1020/(N1020+P1020))/VLOOKUP(M1020,职业!$A$3:$E$16,4,FALSE),0),"")</f>
        <v/>
      </c>
      <c r="AF1020" t="str">
        <f>IFERROR(O1020&amp;"*"&amp;ROUND(Q1020*(P1020/(N1020+P1020))/VLOOKUP(O1020,职业!$A$3:$E$16,4,FALSE),0),"")</f>
        <v/>
      </c>
      <c r="AG1020" t="str">
        <f>IFERROR(R1020&amp;"*"&amp;ROUND(V1020*(S1020/(S1020+U1020))/VLOOKUP(R1020,商品!$A$4:$D$67,4,FALSE),0),"")</f>
        <v/>
      </c>
      <c r="AH1020" t="str">
        <f>IFERROR(T1020&amp;"*"&amp;ROUND(V1020*(U1020/(S1020+U1020))/VLOOKUP(T1020,商品!$A$4:$D$67,4,FALSE),0),"")</f>
        <v/>
      </c>
    </row>
    <row r="1021" customHeight="1" spans="1:34">
      <c r="A1021" s="14" t="s">
        <v>471</v>
      </c>
      <c r="C1021" s="2">
        <v>1</v>
      </c>
      <c r="D1021" s="2" t="s">
        <v>220</v>
      </c>
      <c r="E1021" s="2" t="s">
        <v>222</v>
      </c>
      <c r="L1021" s="2">
        <f>IFERROR(VLOOKUP($D1021&amp;$C1021,生产方式定位!$A$2:$E$39,2,FALSE)+VLOOKUP($E1021&amp;$C1021,生产方式定位!$F$3:$J$39,2,FALSE),0)</f>
        <v>2000</v>
      </c>
      <c r="Q1021" s="2">
        <f>IFERROR(VLOOKUP($D1021&amp;$C1021,生产方式定位!$A$2:$E$39,3,FALSE)+VLOOKUP($E1021&amp;$C1021,生产方式定位!$F$3:$J$39,3,FALSE),0)</f>
        <v>2000</v>
      </c>
      <c r="V1021" s="2">
        <f>IFERROR(VLOOKUP($D1021&amp;$C1021,生产方式定位!$A$2:$E$39,5,FALSE)+VLOOKUP($E1021&amp;$C1021,生产方式定位!$F$3:$J$39,5,FALSE),"错误")</f>
        <v>2000</v>
      </c>
      <c r="W1021" s="3" t="str">
        <f t="shared" si="75"/>
        <v/>
      </c>
      <c r="X1021" s="4" t="str">
        <f t="shared" si="76"/>
        <v/>
      </c>
      <c r="Y1021" s="4" t="str">
        <f t="shared" si="77"/>
        <v/>
      </c>
      <c r="Z1021" s="5">
        <f t="shared" si="78"/>
        <v>1</v>
      </c>
      <c r="AA1021" s="6">
        <f t="shared" si="79"/>
        <v>1</v>
      </c>
      <c r="AB1021" t="str">
        <f>IFERROR(F1021&amp;"*"&amp;ROUND(L1021*(G1021/(G1021+I1021+K1021))/VLOOKUP(F1021,商品!$A$4:$D$67,4,FALSE),0),"")</f>
        <v/>
      </c>
      <c r="AC1021" t="str">
        <f>IFERROR(H1021&amp;"*"&amp;ROUND(L1021*(I1021/(G1021+I1021+K1021))/VLOOKUP(H1021,商品!$A$4:$D$67,4,FALSE),0),"")</f>
        <v/>
      </c>
      <c r="AD1021" t="str">
        <f>IFERROR(J1021&amp;"*"&amp;ROUND(L1021*(K1021/(G1021+I1021+K1021))/VLOOKUP(J1021,商品!$A$4:$D$67,4,FALSE),0),"")</f>
        <v/>
      </c>
      <c r="AE1021" t="str">
        <f>IFERROR(M1021&amp;"*"&amp;ROUND(Q1021*(N1021/(N1021+P1021))/VLOOKUP(M1021,职业!$A$3:$E$16,4,FALSE),0),"")</f>
        <v/>
      </c>
      <c r="AF1021" t="str">
        <f>IFERROR(O1021&amp;"*"&amp;ROUND(Q1021*(P1021/(N1021+P1021))/VLOOKUP(O1021,职业!$A$3:$E$16,4,FALSE),0),"")</f>
        <v/>
      </c>
      <c r="AG1021" t="str">
        <f>IFERROR(R1021&amp;"*"&amp;ROUND(V1021*(S1021/(S1021+U1021))/VLOOKUP(R1021,商品!$A$4:$D$67,4,FALSE),0),"")</f>
        <v/>
      </c>
      <c r="AH1021" t="str">
        <f>IFERROR(T1021&amp;"*"&amp;ROUND(V1021*(U1021/(S1021+U1021))/VLOOKUP(T1021,商品!$A$4:$D$67,4,FALSE),0),"")</f>
        <v/>
      </c>
    </row>
    <row r="1022" customHeight="1" spans="1:34">
      <c r="A1022" s="14" t="s">
        <v>471</v>
      </c>
      <c r="C1022" s="2">
        <v>2</v>
      </c>
      <c r="D1022" s="2" t="s">
        <v>220</v>
      </c>
      <c r="E1022" s="2" t="s">
        <v>222</v>
      </c>
      <c r="L1022" s="2">
        <f>IFERROR(VLOOKUP($D1022&amp;$C1022,生产方式定位!$A$2:$E$39,2,FALSE)+VLOOKUP($E1022&amp;$C1022,生产方式定位!$F$3:$J$39,2,FALSE),0)</f>
        <v>3500</v>
      </c>
      <c r="Q1022" s="2">
        <f>IFERROR(VLOOKUP($D1022&amp;$C1022,生产方式定位!$A$2:$E$39,3,FALSE)+VLOOKUP($E1022&amp;$C1022,生产方式定位!$F$3:$J$39,3,FALSE),0)</f>
        <v>2400</v>
      </c>
      <c r="V1022" s="2">
        <f>IFERROR(VLOOKUP($D1022&amp;$C1022,生产方式定位!$A$2:$E$39,5,FALSE)+VLOOKUP($E1022&amp;$C1022,生产方式定位!$F$3:$J$39,5,FALSE),"错误")</f>
        <v>3022</v>
      </c>
      <c r="W1022" s="3" t="str">
        <f t="shared" si="75"/>
        <v/>
      </c>
      <c r="X1022" s="4" t="str">
        <f t="shared" si="76"/>
        <v/>
      </c>
      <c r="Y1022" s="4" t="str">
        <f t="shared" si="77"/>
        <v/>
      </c>
      <c r="Z1022" s="5">
        <f t="shared" si="78"/>
        <v>1.16</v>
      </c>
      <c r="AA1022" s="6">
        <f t="shared" si="79"/>
        <v>2</v>
      </c>
      <c r="AB1022" t="str">
        <f>IFERROR(F1022&amp;"*"&amp;ROUND(L1022*(G1022/(G1022+I1022+K1022))/VLOOKUP(F1022,商品!$A$4:$D$67,4,FALSE),0),"")</f>
        <v/>
      </c>
      <c r="AC1022" t="str">
        <f>IFERROR(H1022&amp;"*"&amp;ROUND(L1022*(I1022/(G1022+I1022+K1022))/VLOOKUP(H1022,商品!$A$4:$D$67,4,FALSE),0),"")</f>
        <v/>
      </c>
      <c r="AD1022" t="str">
        <f>IFERROR(J1022&amp;"*"&amp;ROUND(L1022*(K1022/(G1022+I1022+K1022))/VLOOKUP(J1022,商品!$A$4:$D$67,4,FALSE),0),"")</f>
        <v/>
      </c>
      <c r="AE1022" t="str">
        <f>IFERROR(M1022&amp;"*"&amp;ROUND(Q1022*(N1022/(N1022+P1022))/VLOOKUP(M1022,职业!$A$3:$E$16,4,FALSE),0),"")</f>
        <v/>
      </c>
      <c r="AF1022" t="str">
        <f>IFERROR(O1022&amp;"*"&amp;ROUND(Q1022*(P1022/(N1022+P1022))/VLOOKUP(O1022,职业!$A$3:$E$16,4,FALSE),0),"")</f>
        <v/>
      </c>
      <c r="AG1022" t="str">
        <f>IFERROR(R1022&amp;"*"&amp;ROUND(V1022*(S1022/(S1022+U1022))/VLOOKUP(R1022,商品!$A$4:$D$67,4,FALSE),0),"")</f>
        <v/>
      </c>
      <c r="AH1022" t="str">
        <f>IFERROR(T1022&amp;"*"&amp;ROUND(V1022*(U1022/(S1022+U1022))/VLOOKUP(T1022,商品!$A$4:$D$67,4,FALSE),0),"")</f>
        <v/>
      </c>
    </row>
    <row r="1023" customHeight="1" spans="1:34">
      <c r="A1023" s="15" t="s">
        <v>472</v>
      </c>
      <c r="C1023" s="2">
        <v>3</v>
      </c>
      <c r="D1023" s="2" t="s">
        <v>220</v>
      </c>
      <c r="E1023" s="2" t="s">
        <v>224</v>
      </c>
      <c r="L1023" s="2">
        <f>IFERROR(VLOOKUP($D1023&amp;$C1023,生产方式定位!$A$2:$E$39,2,FALSE)+VLOOKUP($E1023&amp;$C1023,生产方式定位!$F$3:$J$39,2,FALSE),0)</f>
        <v>6000</v>
      </c>
      <c r="Q1023" s="2">
        <f>IFERROR(VLOOKUP($D1023&amp;$C1023,生产方式定位!$A$2:$E$39,3,FALSE)+VLOOKUP($E1023&amp;$C1023,生产方式定位!$F$3:$J$39,3,FALSE),0)</f>
        <v>2000</v>
      </c>
      <c r="V1023" s="2">
        <f>IFERROR(VLOOKUP($D1023&amp;$C1023,生产方式定位!$A$2:$E$39,5,FALSE)+VLOOKUP($E1023&amp;$C1023,生产方式定位!$F$3:$J$39,5,FALSE),"错误")</f>
        <v>4260</v>
      </c>
      <c r="W1023" s="3" t="str">
        <f t="shared" si="75"/>
        <v/>
      </c>
      <c r="X1023" s="4" t="str">
        <f t="shared" si="76"/>
        <v/>
      </c>
      <c r="Y1023" s="4" t="str">
        <f t="shared" si="77"/>
        <v/>
      </c>
      <c r="Z1023" s="5">
        <f t="shared" si="78"/>
        <v>1.41</v>
      </c>
      <c r="AA1023" s="6">
        <f t="shared" si="79"/>
        <v>3</v>
      </c>
      <c r="AB1023" t="str">
        <f>IFERROR(F1023&amp;"*"&amp;ROUND(L1023*(G1023/(G1023+I1023+K1023))/VLOOKUP(F1023,商品!$A$4:$D$67,4,FALSE),0),"")</f>
        <v/>
      </c>
      <c r="AC1023" t="str">
        <f>IFERROR(H1023&amp;"*"&amp;ROUND(L1023*(I1023/(G1023+I1023+K1023))/VLOOKUP(H1023,商品!$A$4:$D$67,4,FALSE),0),"")</f>
        <v/>
      </c>
      <c r="AD1023" t="str">
        <f>IFERROR(J1023&amp;"*"&amp;ROUND(L1023*(K1023/(G1023+I1023+K1023))/VLOOKUP(J1023,商品!$A$4:$D$67,4,FALSE),0),"")</f>
        <v/>
      </c>
      <c r="AE1023" t="str">
        <f>IFERROR(M1023&amp;"*"&amp;ROUND(Q1023*(N1023/(N1023+P1023))/VLOOKUP(M1023,职业!$A$3:$E$16,4,FALSE),0),"")</f>
        <v/>
      </c>
      <c r="AF1023" t="str">
        <f>IFERROR(O1023&amp;"*"&amp;ROUND(Q1023*(P1023/(N1023+P1023))/VLOOKUP(O1023,职业!$A$3:$E$16,4,FALSE),0),"")</f>
        <v/>
      </c>
      <c r="AG1023" t="str">
        <f>IFERROR(R1023&amp;"*"&amp;ROUND(V1023*(S1023/(S1023+U1023))/VLOOKUP(R1023,商品!$A$4:$D$67,4,FALSE),0),"")</f>
        <v/>
      </c>
      <c r="AH1023" t="str">
        <f>IFERROR(T1023&amp;"*"&amp;ROUND(V1023*(U1023/(S1023+U1023))/VLOOKUP(T1023,商品!$A$4:$D$67,4,FALSE),0),"")</f>
        <v/>
      </c>
    </row>
    <row r="1024" customHeight="1" spans="1:34">
      <c r="A1024" s="15" t="s">
        <v>472</v>
      </c>
      <c r="C1024" s="2">
        <v>4</v>
      </c>
      <c r="D1024" s="2" t="s">
        <v>220</v>
      </c>
      <c r="E1024" s="2" t="s">
        <v>224</v>
      </c>
      <c r="L1024" s="2">
        <f>IFERROR(VLOOKUP($D1024&amp;$C1024,生产方式定位!$A$2:$E$39,2,FALSE)+VLOOKUP($E1024&amp;$C1024,生产方式定位!$F$3:$J$39,2,FALSE),0)</f>
        <v>7500</v>
      </c>
      <c r="Q1024" s="2">
        <f>IFERROR(VLOOKUP($D1024&amp;$C1024,生产方式定位!$A$2:$E$39,3,FALSE)+VLOOKUP($E1024&amp;$C1024,生产方式定位!$F$3:$J$39,3,FALSE),0)</f>
        <v>2000</v>
      </c>
      <c r="V1024" s="2">
        <f>IFERROR(VLOOKUP($D1024&amp;$C1024,生产方式定位!$A$2:$E$39,5,FALSE)+VLOOKUP($E1024&amp;$C1024,生产方式定位!$F$3:$J$39,5,FALSE),"错误")</f>
        <v>5260</v>
      </c>
      <c r="W1024" s="3" t="str">
        <f t="shared" si="75"/>
        <v/>
      </c>
      <c r="X1024" s="4" t="str">
        <f t="shared" si="76"/>
        <v/>
      </c>
      <c r="Y1024" s="4" t="str">
        <f t="shared" si="77"/>
        <v/>
      </c>
      <c r="Z1024" s="5">
        <f t="shared" si="78"/>
        <v>1.43</v>
      </c>
      <c r="AA1024" s="6">
        <f t="shared" si="79"/>
        <v>4</v>
      </c>
      <c r="AB1024" t="str">
        <f>IFERROR(F1024&amp;"*"&amp;ROUND(L1024*(G1024/(G1024+I1024+K1024))/VLOOKUP(F1024,商品!$A$4:$D$67,4,FALSE),0),"")</f>
        <v/>
      </c>
      <c r="AC1024" t="str">
        <f>IFERROR(H1024&amp;"*"&amp;ROUND(L1024*(I1024/(G1024+I1024+K1024))/VLOOKUP(H1024,商品!$A$4:$D$67,4,FALSE),0),"")</f>
        <v/>
      </c>
      <c r="AD1024" t="str">
        <f>IFERROR(J1024&amp;"*"&amp;ROUND(L1024*(K1024/(G1024+I1024+K1024))/VLOOKUP(J1024,商品!$A$4:$D$67,4,FALSE),0),"")</f>
        <v/>
      </c>
      <c r="AE1024" t="str">
        <f>IFERROR(M1024&amp;"*"&amp;ROUND(Q1024*(N1024/(N1024+P1024))/VLOOKUP(M1024,职业!$A$3:$E$16,4,FALSE),0),"")</f>
        <v/>
      </c>
      <c r="AF1024" t="str">
        <f>IFERROR(O1024&amp;"*"&amp;ROUND(Q1024*(P1024/(N1024+P1024))/VLOOKUP(O1024,职业!$A$3:$E$16,4,FALSE),0),"")</f>
        <v/>
      </c>
      <c r="AG1024" t="str">
        <f>IFERROR(R1024&amp;"*"&amp;ROUND(V1024*(S1024/(S1024+U1024))/VLOOKUP(R1024,商品!$A$4:$D$67,4,FALSE),0),"")</f>
        <v/>
      </c>
      <c r="AH1024" t="str">
        <f>IFERROR(T1024&amp;"*"&amp;ROUND(V1024*(U1024/(S1024+U1024))/VLOOKUP(T1024,商品!$A$4:$D$67,4,FALSE),0),"")</f>
        <v/>
      </c>
    </row>
    <row r="1025" customHeight="1" spans="1:34">
      <c r="A1025" s="15" t="s">
        <v>472</v>
      </c>
      <c r="C1025" s="2">
        <v>5</v>
      </c>
      <c r="D1025" s="2" t="s">
        <v>220</v>
      </c>
      <c r="E1025" s="2" t="s">
        <v>224</v>
      </c>
      <c r="L1025" s="2">
        <f>IFERROR(VLOOKUP($D1025&amp;$C1025,生产方式定位!$A$2:$E$39,2,FALSE)+VLOOKUP($E1025&amp;$C1025,生产方式定位!$F$3:$J$39,2,FALSE),0)</f>
        <v>9000</v>
      </c>
      <c r="Q1025" s="2">
        <f>IFERROR(VLOOKUP($D1025&amp;$C1025,生产方式定位!$A$2:$E$39,3,FALSE)+VLOOKUP($E1025&amp;$C1025,生产方式定位!$F$3:$J$39,3,FALSE),0)</f>
        <v>2000</v>
      </c>
      <c r="V1025" s="2">
        <f>IFERROR(VLOOKUP($D1025&amp;$C1025,生产方式定位!$A$2:$E$39,5,FALSE)+VLOOKUP($E1025&amp;$C1025,生产方式定位!$F$3:$J$39,5,FALSE),"错误")</f>
        <v>6340</v>
      </c>
      <c r="W1025" s="3" t="str">
        <f t="shared" si="75"/>
        <v/>
      </c>
      <c r="X1025" s="4" t="str">
        <f t="shared" si="76"/>
        <v/>
      </c>
      <c r="Y1025" s="4" t="str">
        <f t="shared" si="77"/>
        <v/>
      </c>
      <c r="Z1025" s="5">
        <f t="shared" si="78"/>
        <v>1.42</v>
      </c>
      <c r="AA1025" s="6">
        <f t="shared" si="79"/>
        <v>5</v>
      </c>
      <c r="AB1025" t="str">
        <f>IFERROR(F1025&amp;"*"&amp;ROUND(L1025*(G1025/(G1025+I1025+K1025))/VLOOKUP(F1025,商品!$A$4:$D$67,4,FALSE),0),"")</f>
        <v/>
      </c>
      <c r="AC1025" t="str">
        <f>IFERROR(H1025&amp;"*"&amp;ROUND(L1025*(I1025/(G1025+I1025+K1025))/VLOOKUP(H1025,商品!$A$4:$D$67,4,FALSE),0),"")</f>
        <v/>
      </c>
      <c r="AD1025" t="str">
        <f>IFERROR(J1025&amp;"*"&amp;ROUND(L1025*(K1025/(G1025+I1025+K1025))/VLOOKUP(J1025,商品!$A$4:$D$67,4,FALSE),0),"")</f>
        <v/>
      </c>
      <c r="AE1025" t="str">
        <f>IFERROR(M1025&amp;"*"&amp;ROUND(Q1025*(N1025/(N1025+P1025))/VLOOKUP(M1025,职业!$A$3:$E$16,4,FALSE),0),"")</f>
        <v/>
      </c>
      <c r="AF1025" t="str">
        <f>IFERROR(O1025&amp;"*"&amp;ROUND(Q1025*(P1025/(N1025+P1025))/VLOOKUP(O1025,职业!$A$3:$E$16,4,FALSE),0),"")</f>
        <v/>
      </c>
      <c r="AG1025" t="str">
        <f>IFERROR(R1025&amp;"*"&amp;ROUND(V1025*(S1025/(S1025+U1025))/VLOOKUP(R1025,商品!$A$4:$D$67,4,FALSE),0),"")</f>
        <v/>
      </c>
      <c r="AH1025" t="str">
        <f>IFERROR(T1025&amp;"*"&amp;ROUND(V1025*(U1025/(S1025+U1025))/VLOOKUP(T1025,商品!$A$4:$D$67,4,FALSE),0),"")</f>
        <v/>
      </c>
    </row>
    <row r="1026" customHeight="1" spans="1:5">
      <c r="A1026" s="15" t="s">
        <v>472</v>
      </c>
      <c r="D1026" s="2" t="s">
        <v>220</v>
      </c>
      <c r="E1026" s="2" t="s">
        <v>224</v>
      </c>
    </row>
    <row r="1027" customHeight="1" spans="1:5">
      <c r="A1027" s="15" t="s">
        <v>472</v>
      </c>
      <c r="D1027" s="2" t="s">
        <v>220</v>
      </c>
      <c r="E1027" s="2" t="s">
        <v>224</v>
      </c>
    </row>
    <row r="1028" customHeight="1" spans="1:5">
      <c r="A1028" s="14" t="s">
        <v>472</v>
      </c>
      <c r="D1028" s="2" t="s">
        <v>220</v>
      </c>
      <c r="E1028" s="2" t="s">
        <v>224</v>
      </c>
    </row>
    <row r="1029" customHeight="1" spans="1:5">
      <c r="A1029" s="14" t="s">
        <v>472</v>
      </c>
      <c r="D1029" s="2" t="s">
        <v>220</v>
      </c>
      <c r="E1029" s="2" t="s">
        <v>224</v>
      </c>
    </row>
    <row r="1030" customHeight="1" spans="1:5">
      <c r="A1030" s="14" t="s">
        <v>472</v>
      </c>
      <c r="D1030" s="2" t="s">
        <v>220</v>
      </c>
      <c r="E1030" s="2" t="s">
        <v>224</v>
      </c>
    </row>
    <row r="1031" customHeight="1" spans="1:5">
      <c r="A1031" s="14" t="s">
        <v>472</v>
      </c>
      <c r="D1031" s="2" t="s">
        <v>220</v>
      </c>
      <c r="E1031" s="2" t="s">
        <v>224</v>
      </c>
    </row>
    <row r="1032" customHeight="1" spans="1:5">
      <c r="A1032" s="14" t="s">
        <v>472</v>
      </c>
      <c r="D1032" s="2" t="s">
        <v>220</v>
      </c>
      <c r="E1032" s="2" t="s">
        <v>224</v>
      </c>
    </row>
    <row r="1033" customHeight="1" spans="1:5">
      <c r="A1033" s="15" t="s">
        <v>473</v>
      </c>
      <c r="D1033" s="2" t="s">
        <v>220</v>
      </c>
      <c r="E1033" s="2" t="s">
        <v>255</v>
      </c>
    </row>
    <row r="1034" customHeight="1" spans="1:5">
      <c r="A1034" s="15" t="s">
        <v>473</v>
      </c>
      <c r="D1034" s="2" t="s">
        <v>220</v>
      </c>
      <c r="E1034" s="2" t="s">
        <v>255</v>
      </c>
    </row>
    <row r="1035" customHeight="1" spans="1:5">
      <c r="A1035" s="15" t="s">
        <v>473</v>
      </c>
      <c r="D1035" s="2" t="s">
        <v>220</v>
      </c>
      <c r="E1035" s="2" t="s">
        <v>255</v>
      </c>
    </row>
    <row r="1036" customHeight="1" spans="1:5">
      <c r="A1036" s="15" t="s">
        <v>473</v>
      </c>
      <c r="D1036" s="2" t="s">
        <v>220</v>
      </c>
      <c r="E1036" s="2" t="s">
        <v>255</v>
      </c>
    </row>
    <row r="1037" customHeight="1" spans="1:5">
      <c r="A1037" s="15" t="s">
        <v>473</v>
      </c>
      <c r="D1037" s="2" t="s">
        <v>220</v>
      </c>
      <c r="E1037" s="2" t="s">
        <v>255</v>
      </c>
    </row>
    <row r="1038" customHeight="1" spans="1:5">
      <c r="A1038" s="14" t="s">
        <v>474</v>
      </c>
      <c r="D1038" s="2" t="s">
        <v>220</v>
      </c>
      <c r="E1038" s="2" t="s">
        <v>225</v>
      </c>
    </row>
    <row r="1039" customHeight="1" spans="1:5">
      <c r="A1039" s="14" t="s">
        <v>474</v>
      </c>
      <c r="D1039" s="2" t="s">
        <v>220</v>
      </c>
      <c r="E1039" s="2" t="s">
        <v>225</v>
      </c>
    </row>
    <row r="1040" customHeight="1" spans="1:5">
      <c r="A1040" s="14" t="s">
        <v>474</v>
      </c>
      <c r="D1040" s="2" t="s">
        <v>220</v>
      </c>
      <c r="E1040" s="2" t="s">
        <v>225</v>
      </c>
    </row>
    <row r="1041" customHeight="1" spans="1:5">
      <c r="A1041" s="14" t="s">
        <v>474</v>
      </c>
      <c r="D1041" s="2" t="s">
        <v>220</v>
      </c>
      <c r="E1041" s="2" t="s">
        <v>225</v>
      </c>
    </row>
    <row r="1042" customHeight="1" spans="1:5">
      <c r="A1042" s="14" t="s">
        <v>474</v>
      </c>
      <c r="D1042" s="2" t="s">
        <v>220</v>
      </c>
      <c r="E1042" s="2" t="s">
        <v>225</v>
      </c>
    </row>
    <row r="1043" customHeight="1" spans="1:5">
      <c r="A1043" s="14" t="s">
        <v>474</v>
      </c>
      <c r="D1043" s="2" t="s">
        <v>220</v>
      </c>
      <c r="E1043" s="2" t="s">
        <v>225</v>
      </c>
    </row>
    <row r="1044" customHeight="1" spans="1:5">
      <c r="A1044" s="14" t="s">
        <v>474</v>
      </c>
      <c r="D1044" s="2" t="s">
        <v>220</v>
      </c>
      <c r="E1044" s="2" t="s">
        <v>225</v>
      </c>
    </row>
    <row r="1045" customHeight="1" spans="1:5">
      <c r="A1045" s="14" t="s">
        <v>474</v>
      </c>
      <c r="D1045" s="2" t="s">
        <v>220</v>
      </c>
      <c r="E1045" s="2" t="s">
        <v>225</v>
      </c>
    </row>
    <row r="1046" customHeight="1" spans="1:5">
      <c r="A1046" s="15" t="s">
        <v>476</v>
      </c>
      <c r="D1046" s="2" t="s">
        <v>220</v>
      </c>
      <c r="E1046" s="2" t="s">
        <v>222</v>
      </c>
    </row>
    <row r="1047" customHeight="1" spans="1:5">
      <c r="A1047" s="15" t="s">
        <v>476</v>
      </c>
      <c r="D1047" s="2" t="s">
        <v>220</v>
      </c>
      <c r="E1047" s="2" t="s">
        <v>222</v>
      </c>
    </row>
    <row r="1048" customHeight="1" spans="1:5">
      <c r="A1048" s="15" t="s">
        <v>476</v>
      </c>
      <c r="D1048" s="2" t="s">
        <v>220</v>
      </c>
      <c r="E1048" s="2" t="s">
        <v>222</v>
      </c>
    </row>
    <row r="1049" customHeight="1" spans="1:5">
      <c r="A1049" s="15" t="s">
        <v>476</v>
      </c>
      <c r="D1049" s="2" t="s">
        <v>220</v>
      </c>
      <c r="E1049" s="2" t="s">
        <v>222</v>
      </c>
    </row>
    <row r="1050" customHeight="1" spans="1:5">
      <c r="A1050" s="15" t="s">
        <v>476</v>
      </c>
      <c r="D1050" s="2" t="s">
        <v>220</v>
      </c>
      <c r="E1050" s="2" t="s">
        <v>222</v>
      </c>
    </row>
    <row r="1051" customHeight="1" spans="1:5">
      <c r="A1051" s="14" t="s">
        <v>477</v>
      </c>
      <c r="D1051" s="2" t="s">
        <v>220</v>
      </c>
      <c r="E1051" s="2" t="s">
        <v>224</v>
      </c>
    </row>
    <row r="1052" customHeight="1" spans="1:5">
      <c r="A1052" s="14" t="s">
        <v>477</v>
      </c>
      <c r="D1052" s="2" t="s">
        <v>220</v>
      </c>
      <c r="E1052" s="2" t="s">
        <v>224</v>
      </c>
    </row>
    <row r="1053" customHeight="1" spans="1:5">
      <c r="A1053" s="14" t="s">
        <v>477</v>
      </c>
      <c r="D1053" s="2" t="s">
        <v>220</v>
      </c>
      <c r="E1053" s="2" t="s">
        <v>224</v>
      </c>
    </row>
    <row r="1054" customHeight="1" spans="1:5">
      <c r="A1054" s="14" t="s">
        <v>477</v>
      </c>
      <c r="D1054" s="2" t="s">
        <v>220</v>
      </c>
      <c r="E1054" s="2" t="s">
        <v>224</v>
      </c>
    </row>
    <row r="1055" customHeight="1" spans="1:5">
      <c r="A1055" s="14" t="s">
        <v>477</v>
      </c>
      <c r="D1055" s="2" t="s">
        <v>220</v>
      </c>
      <c r="E1055" s="2" t="s">
        <v>224</v>
      </c>
    </row>
    <row r="1056" customHeight="1" spans="1:5">
      <c r="A1056" s="15" t="s">
        <v>477</v>
      </c>
      <c r="D1056" s="2" t="s">
        <v>220</v>
      </c>
      <c r="E1056" s="2" t="s">
        <v>224</v>
      </c>
    </row>
    <row r="1057" customHeight="1" spans="1:5">
      <c r="A1057" s="15" t="s">
        <v>477</v>
      </c>
      <c r="D1057" s="2" t="s">
        <v>220</v>
      </c>
      <c r="E1057" s="2" t="s">
        <v>224</v>
      </c>
    </row>
    <row r="1058" customHeight="1" spans="1:5">
      <c r="A1058" s="15" t="s">
        <v>477</v>
      </c>
      <c r="D1058" s="2" t="s">
        <v>220</v>
      </c>
      <c r="E1058" s="2" t="s">
        <v>224</v>
      </c>
    </row>
    <row r="1059" customHeight="1" spans="1:5">
      <c r="A1059" s="15" t="s">
        <v>477</v>
      </c>
      <c r="D1059" s="2" t="s">
        <v>220</v>
      </c>
      <c r="E1059" s="2" t="s">
        <v>224</v>
      </c>
    </row>
    <row r="1060" customHeight="1" spans="1:5">
      <c r="A1060" s="15" t="s">
        <v>477</v>
      </c>
      <c r="D1060" s="2" t="s">
        <v>220</v>
      </c>
      <c r="E1060" s="2" t="s">
        <v>224</v>
      </c>
    </row>
    <row r="1061" customHeight="1" spans="1:5">
      <c r="A1061" s="14" t="s">
        <v>478</v>
      </c>
      <c r="D1061" s="2" t="s">
        <v>220</v>
      </c>
      <c r="E1061" s="2" t="s">
        <v>255</v>
      </c>
    </row>
    <row r="1062" customHeight="1" spans="1:5">
      <c r="A1062" s="14" t="s">
        <v>478</v>
      </c>
      <c r="D1062" s="2" t="s">
        <v>220</v>
      </c>
      <c r="E1062" s="2" t="s">
        <v>255</v>
      </c>
    </row>
    <row r="1063" customHeight="1" spans="1:5">
      <c r="A1063" s="14" t="s">
        <v>478</v>
      </c>
      <c r="D1063" s="2" t="s">
        <v>220</v>
      </c>
      <c r="E1063" s="2" t="s">
        <v>255</v>
      </c>
    </row>
    <row r="1064" customHeight="1" spans="1:5">
      <c r="A1064" s="14" t="s">
        <v>478</v>
      </c>
      <c r="D1064" s="2" t="s">
        <v>220</v>
      </c>
      <c r="E1064" s="2" t="s">
        <v>255</v>
      </c>
    </row>
    <row r="1065" customHeight="1" spans="1:5">
      <c r="A1065" s="14" t="s">
        <v>478</v>
      </c>
      <c r="D1065" s="2" t="s">
        <v>220</v>
      </c>
      <c r="E1065" s="2" t="s">
        <v>255</v>
      </c>
    </row>
    <row r="1066" customHeight="1" spans="1:5">
      <c r="A1066" s="15" t="s">
        <v>479</v>
      </c>
      <c r="D1066" s="2" t="s">
        <v>220</v>
      </c>
      <c r="E1066" s="2" t="s">
        <v>225</v>
      </c>
    </row>
    <row r="1067" customHeight="1" spans="1:5">
      <c r="A1067" s="15" t="s">
        <v>479</v>
      </c>
      <c r="D1067" s="2" t="s">
        <v>220</v>
      </c>
      <c r="E1067" s="2" t="s">
        <v>225</v>
      </c>
    </row>
    <row r="1068" customHeight="1" spans="1:5">
      <c r="A1068" s="15" t="s">
        <v>479</v>
      </c>
      <c r="D1068" s="2" t="s">
        <v>220</v>
      </c>
      <c r="E1068" s="2" t="s">
        <v>225</v>
      </c>
    </row>
    <row r="1069" customHeight="1" spans="1:5">
      <c r="A1069" s="15" t="s">
        <v>479</v>
      </c>
      <c r="D1069" s="2" t="s">
        <v>220</v>
      </c>
      <c r="E1069" s="2" t="s">
        <v>225</v>
      </c>
    </row>
    <row r="1070" customHeight="1" spans="1:5">
      <c r="A1070" s="15" t="s">
        <v>479</v>
      </c>
      <c r="D1070" s="2" t="s">
        <v>220</v>
      </c>
      <c r="E1070" s="2" t="s">
        <v>225</v>
      </c>
    </row>
    <row r="1071" customHeight="1" spans="1:5">
      <c r="A1071" s="15" t="s">
        <v>479</v>
      </c>
      <c r="D1071" s="2" t="s">
        <v>220</v>
      </c>
      <c r="E1071" s="2" t="s">
        <v>225</v>
      </c>
    </row>
    <row r="1072" customHeight="1" spans="1:5">
      <c r="A1072" s="15" t="s">
        <v>479</v>
      </c>
      <c r="D1072" s="2" t="s">
        <v>220</v>
      </c>
      <c r="E1072" s="2" t="s">
        <v>225</v>
      </c>
    </row>
    <row r="1073" customHeight="1" spans="1:5">
      <c r="A1073" s="15" t="s">
        <v>479</v>
      </c>
      <c r="D1073" s="2" t="s">
        <v>220</v>
      </c>
      <c r="E1073" s="2" t="s">
        <v>225</v>
      </c>
    </row>
    <row r="1074" customHeight="1" spans="1:5">
      <c r="A1074" s="14" t="s">
        <v>481</v>
      </c>
      <c r="D1074" s="2" t="s">
        <v>220</v>
      </c>
      <c r="E1074" s="2" t="s">
        <v>222</v>
      </c>
    </row>
    <row r="1075" customHeight="1" spans="1:5">
      <c r="A1075" s="14" t="s">
        <v>481</v>
      </c>
      <c r="D1075" s="2" t="s">
        <v>220</v>
      </c>
      <c r="E1075" s="2" t="s">
        <v>222</v>
      </c>
    </row>
    <row r="1076" customHeight="1" spans="1:5">
      <c r="A1076" s="14" t="s">
        <v>481</v>
      </c>
      <c r="D1076" s="2" t="s">
        <v>220</v>
      </c>
      <c r="E1076" s="2" t="s">
        <v>222</v>
      </c>
    </row>
    <row r="1077" customHeight="1" spans="1:5">
      <c r="A1077" s="14" t="s">
        <v>481</v>
      </c>
      <c r="D1077" s="2" t="s">
        <v>220</v>
      </c>
      <c r="E1077" s="2" t="s">
        <v>222</v>
      </c>
    </row>
    <row r="1078" customHeight="1" spans="1:5">
      <c r="A1078" s="14" t="s">
        <v>481</v>
      </c>
      <c r="D1078" s="2" t="s">
        <v>220</v>
      </c>
      <c r="E1078" s="2" t="s">
        <v>222</v>
      </c>
    </row>
    <row r="1079" customHeight="1" spans="1:5">
      <c r="A1079" s="15" t="s">
        <v>482</v>
      </c>
      <c r="D1079" s="2" t="s">
        <v>220</v>
      </c>
      <c r="E1079" s="2" t="s">
        <v>224</v>
      </c>
    </row>
    <row r="1080" customHeight="1" spans="1:5">
      <c r="A1080" s="15" t="s">
        <v>482</v>
      </c>
      <c r="D1080" s="2" t="s">
        <v>220</v>
      </c>
      <c r="E1080" s="2" t="s">
        <v>224</v>
      </c>
    </row>
    <row r="1081" customHeight="1" spans="1:5">
      <c r="A1081" s="15" t="s">
        <v>482</v>
      </c>
      <c r="D1081" s="2" t="s">
        <v>220</v>
      </c>
      <c r="E1081" s="2" t="s">
        <v>224</v>
      </c>
    </row>
    <row r="1082" customHeight="1" spans="1:5">
      <c r="A1082" s="15" t="s">
        <v>482</v>
      </c>
      <c r="D1082" s="2" t="s">
        <v>220</v>
      </c>
      <c r="E1082" s="2" t="s">
        <v>224</v>
      </c>
    </row>
    <row r="1083" customHeight="1" spans="1:5">
      <c r="A1083" s="15" t="s">
        <v>482</v>
      </c>
      <c r="D1083" s="2" t="s">
        <v>220</v>
      </c>
      <c r="E1083" s="2" t="s">
        <v>224</v>
      </c>
    </row>
    <row r="1084" customHeight="1" spans="1:5">
      <c r="A1084" s="14" t="s">
        <v>482</v>
      </c>
      <c r="D1084" s="2" t="s">
        <v>220</v>
      </c>
      <c r="E1084" s="2" t="s">
        <v>224</v>
      </c>
    </row>
    <row r="1085" customHeight="1" spans="1:5">
      <c r="A1085" s="14" t="s">
        <v>482</v>
      </c>
      <c r="D1085" s="2" t="s">
        <v>220</v>
      </c>
      <c r="E1085" s="2" t="s">
        <v>224</v>
      </c>
    </row>
    <row r="1086" customHeight="1" spans="1:5">
      <c r="A1086" s="14" t="s">
        <v>482</v>
      </c>
      <c r="D1086" s="2" t="s">
        <v>220</v>
      </c>
      <c r="E1086" s="2" t="s">
        <v>224</v>
      </c>
    </row>
    <row r="1087" customHeight="1" spans="1:5">
      <c r="A1087" s="14" t="s">
        <v>482</v>
      </c>
      <c r="D1087" s="2" t="s">
        <v>220</v>
      </c>
      <c r="E1087" s="2" t="s">
        <v>224</v>
      </c>
    </row>
    <row r="1088" customHeight="1" spans="1:5">
      <c r="A1088" s="14" t="s">
        <v>482</v>
      </c>
      <c r="D1088" s="2" t="s">
        <v>220</v>
      </c>
      <c r="E1088" s="2" t="s">
        <v>224</v>
      </c>
    </row>
    <row r="1089" customHeight="1" spans="1:5">
      <c r="A1089" s="15" t="s">
        <v>483</v>
      </c>
      <c r="D1089" s="2" t="s">
        <v>220</v>
      </c>
      <c r="E1089" s="2" t="s">
        <v>255</v>
      </c>
    </row>
    <row r="1090" customHeight="1" spans="1:5">
      <c r="A1090" s="15" t="s">
        <v>483</v>
      </c>
      <c r="D1090" s="2" t="s">
        <v>220</v>
      </c>
      <c r="E1090" s="2" t="s">
        <v>255</v>
      </c>
    </row>
    <row r="1091" customHeight="1" spans="1:5">
      <c r="A1091" s="15" t="s">
        <v>483</v>
      </c>
      <c r="D1091" s="2" t="s">
        <v>220</v>
      </c>
      <c r="E1091" s="2" t="s">
        <v>255</v>
      </c>
    </row>
    <row r="1092" customHeight="1" spans="1:5">
      <c r="A1092" s="15" t="s">
        <v>483</v>
      </c>
      <c r="D1092" s="2" t="s">
        <v>220</v>
      </c>
      <c r="E1092" s="2" t="s">
        <v>255</v>
      </c>
    </row>
    <row r="1093" customHeight="1" spans="1:5">
      <c r="A1093" s="15" t="s">
        <v>483</v>
      </c>
      <c r="D1093" s="2" t="s">
        <v>220</v>
      </c>
      <c r="E1093" s="2" t="s">
        <v>255</v>
      </c>
    </row>
    <row r="1094" customHeight="1" spans="1:5">
      <c r="A1094" s="14" t="s">
        <v>484</v>
      </c>
      <c r="D1094" s="2" t="s">
        <v>220</v>
      </c>
      <c r="E1094" s="2" t="s">
        <v>225</v>
      </c>
    </row>
    <row r="1095" customHeight="1" spans="1:5">
      <c r="A1095" s="14" t="s">
        <v>484</v>
      </c>
      <c r="D1095" s="2" t="s">
        <v>220</v>
      </c>
      <c r="E1095" s="2" t="s">
        <v>225</v>
      </c>
    </row>
    <row r="1096" customHeight="1" spans="1:5">
      <c r="A1096" s="14" t="s">
        <v>484</v>
      </c>
      <c r="D1096" s="2" t="s">
        <v>220</v>
      </c>
      <c r="E1096" s="2" t="s">
        <v>225</v>
      </c>
    </row>
    <row r="1097" customHeight="1" spans="1:5">
      <c r="A1097" s="14" t="s">
        <v>484</v>
      </c>
      <c r="D1097" s="2" t="s">
        <v>220</v>
      </c>
      <c r="E1097" s="2" t="s">
        <v>225</v>
      </c>
    </row>
    <row r="1098" customHeight="1" spans="1:5">
      <c r="A1098" s="14" t="s">
        <v>484</v>
      </c>
      <c r="D1098" s="2" t="s">
        <v>220</v>
      </c>
      <c r="E1098" s="2" t="s">
        <v>225</v>
      </c>
    </row>
    <row r="1099" customHeight="1" spans="1:5">
      <c r="A1099" s="14" t="s">
        <v>484</v>
      </c>
      <c r="D1099" s="2" t="s">
        <v>220</v>
      </c>
      <c r="E1099" s="2" t="s">
        <v>225</v>
      </c>
    </row>
    <row r="1100" customHeight="1" spans="1:5">
      <c r="A1100" s="14" t="s">
        <v>484</v>
      </c>
      <c r="D1100" s="2" t="s">
        <v>220</v>
      </c>
      <c r="E1100" s="2" t="s">
        <v>225</v>
      </c>
    </row>
    <row r="1101" customHeight="1" spans="1:5">
      <c r="A1101" s="14" t="s">
        <v>484</v>
      </c>
      <c r="D1101" s="2" t="s">
        <v>220</v>
      </c>
      <c r="E1101" s="2" t="s">
        <v>225</v>
      </c>
    </row>
    <row r="1102" customHeight="1" spans="1:5">
      <c r="A1102" s="15" t="s">
        <v>486</v>
      </c>
      <c r="D1102" s="2" t="s">
        <v>220</v>
      </c>
      <c r="E1102" s="2" t="s">
        <v>222</v>
      </c>
    </row>
    <row r="1103" customHeight="1" spans="1:5">
      <c r="A1103" s="15" t="s">
        <v>486</v>
      </c>
      <c r="D1103" s="2" t="s">
        <v>220</v>
      </c>
      <c r="E1103" s="2" t="s">
        <v>222</v>
      </c>
    </row>
    <row r="1104" customHeight="1" spans="1:5">
      <c r="A1104" s="15" t="s">
        <v>486</v>
      </c>
      <c r="D1104" s="2" t="s">
        <v>220</v>
      </c>
      <c r="E1104" s="2" t="s">
        <v>222</v>
      </c>
    </row>
    <row r="1105" customHeight="1" spans="1:5">
      <c r="A1105" s="15" t="s">
        <v>486</v>
      </c>
      <c r="D1105" s="2" t="s">
        <v>220</v>
      </c>
      <c r="E1105" s="2" t="s">
        <v>222</v>
      </c>
    </row>
    <row r="1106" customHeight="1" spans="1:5">
      <c r="A1106" s="15" t="s">
        <v>486</v>
      </c>
      <c r="D1106" s="2" t="s">
        <v>220</v>
      </c>
      <c r="E1106" s="2" t="s">
        <v>222</v>
      </c>
    </row>
    <row r="1107" customHeight="1" spans="1:5">
      <c r="A1107" s="14" t="s">
        <v>487</v>
      </c>
      <c r="D1107" s="2" t="s">
        <v>220</v>
      </c>
      <c r="E1107" s="2" t="s">
        <v>224</v>
      </c>
    </row>
    <row r="1108" customHeight="1" spans="1:5">
      <c r="A1108" s="14" t="s">
        <v>487</v>
      </c>
      <c r="D1108" s="2" t="s">
        <v>220</v>
      </c>
      <c r="E1108" s="2" t="s">
        <v>224</v>
      </c>
    </row>
    <row r="1109" customHeight="1" spans="1:5">
      <c r="A1109" s="14" t="s">
        <v>487</v>
      </c>
      <c r="D1109" s="2" t="s">
        <v>220</v>
      </c>
      <c r="E1109" s="2" t="s">
        <v>224</v>
      </c>
    </row>
    <row r="1110" customHeight="1" spans="1:5">
      <c r="A1110" s="14" t="s">
        <v>487</v>
      </c>
      <c r="D1110" s="2" t="s">
        <v>220</v>
      </c>
      <c r="E1110" s="2" t="s">
        <v>224</v>
      </c>
    </row>
    <row r="1111" customHeight="1" spans="1:5">
      <c r="A1111" s="14" t="s">
        <v>487</v>
      </c>
      <c r="D1111" s="2" t="s">
        <v>220</v>
      </c>
      <c r="E1111" s="2" t="s">
        <v>224</v>
      </c>
    </row>
    <row r="1112" customHeight="1" spans="1:5">
      <c r="A1112" s="15" t="s">
        <v>487</v>
      </c>
      <c r="D1112" s="2" t="s">
        <v>220</v>
      </c>
      <c r="E1112" s="2" t="s">
        <v>224</v>
      </c>
    </row>
    <row r="1113" customHeight="1" spans="1:5">
      <c r="A1113" s="15" t="s">
        <v>487</v>
      </c>
      <c r="D1113" s="2" t="s">
        <v>220</v>
      </c>
      <c r="E1113" s="2" t="s">
        <v>224</v>
      </c>
    </row>
    <row r="1114" customHeight="1" spans="1:5">
      <c r="A1114" s="15" t="s">
        <v>487</v>
      </c>
      <c r="D1114" s="2" t="s">
        <v>220</v>
      </c>
      <c r="E1114" s="2" t="s">
        <v>224</v>
      </c>
    </row>
    <row r="1115" customHeight="1" spans="1:5">
      <c r="A1115" s="15" t="s">
        <v>487</v>
      </c>
      <c r="D1115" s="2" t="s">
        <v>220</v>
      </c>
      <c r="E1115" s="2" t="s">
        <v>224</v>
      </c>
    </row>
    <row r="1116" customHeight="1" spans="1:5">
      <c r="A1116" s="15" t="s">
        <v>487</v>
      </c>
      <c r="D1116" s="2" t="s">
        <v>220</v>
      </c>
      <c r="E1116" s="2" t="s">
        <v>224</v>
      </c>
    </row>
    <row r="1117" customHeight="1" spans="1:5">
      <c r="A1117" s="14" t="s">
        <v>488</v>
      </c>
      <c r="D1117" s="2" t="s">
        <v>220</v>
      </c>
      <c r="E1117" s="2" t="s">
        <v>255</v>
      </c>
    </row>
    <row r="1118" customHeight="1" spans="1:5">
      <c r="A1118" s="14" t="s">
        <v>488</v>
      </c>
      <c r="D1118" s="2" t="s">
        <v>220</v>
      </c>
      <c r="E1118" s="2" t="s">
        <v>255</v>
      </c>
    </row>
    <row r="1119" customHeight="1" spans="1:5">
      <c r="A1119" s="14" t="s">
        <v>488</v>
      </c>
      <c r="D1119" s="2" t="s">
        <v>220</v>
      </c>
      <c r="E1119" s="2" t="s">
        <v>255</v>
      </c>
    </row>
    <row r="1120" customHeight="1" spans="1:5">
      <c r="A1120" s="14" t="s">
        <v>488</v>
      </c>
      <c r="D1120" s="2" t="s">
        <v>220</v>
      </c>
      <c r="E1120" s="2" t="s">
        <v>255</v>
      </c>
    </row>
    <row r="1121" customHeight="1" spans="1:5">
      <c r="A1121" s="14" t="s">
        <v>488</v>
      </c>
      <c r="D1121" s="2" t="s">
        <v>220</v>
      </c>
      <c r="E1121" s="2" t="s">
        <v>255</v>
      </c>
    </row>
    <row r="1122" customHeight="1" spans="1:5">
      <c r="A1122" s="15" t="s">
        <v>489</v>
      </c>
      <c r="D1122" s="2" t="s">
        <v>220</v>
      </c>
      <c r="E1122" s="2" t="s">
        <v>225</v>
      </c>
    </row>
    <row r="1123" customHeight="1" spans="1:5">
      <c r="A1123" s="15" t="s">
        <v>489</v>
      </c>
      <c r="D1123" s="2" t="s">
        <v>220</v>
      </c>
      <c r="E1123" s="2" t="s">
        <v>225</v>
      </c>
    </row>
    <row r="1124" customHeight="1" spans="1:5">
      <c r="A1124" s="15" t="s">
        <v>489</v>
      </c>
      <c r="D1124" s="2" t="s">
        <v>220</v>
      </c>
      <c r="E1124" s="2" t="s">
        <v>225</v>
      </c>
    </row>
    <row r="1125" customHeight="1" spans="1:5">
      <c r="A1125" s="15" t="s">
        <v>489</v>
      </c>
      <c r="D1125" s="2" t="s">
        <v>220</v>
      </c>
      <c r="E1125" s="2" t="s">
        <v>225</v>
      </c>
    </row>
    <row r="1126" customHeight="1" spans="1:5">
      <c r="A1126" s="15" t="s">
        <v>489</v>
      </c>
      <c r="D1126" s="2" t="s">
        <v>220</v>
      </c>
      <c r="E1126" s="2" t="s">
        <v>225</v>
      </c>
    </row>
    <row r="1127" customHeight="1" spans="1:5">
      <c r="A1127" s="15" t="s">
        <v>489</v>
      </c>
      <c r="D1127" s="2" t="s">
        <v>220</v>
      </c>
      <c r="E1127" s="2" t="s">
        <v>225</v>
      </c>
    </row>
    <row r="1128" customHeight="1" spans="1:5">
      <c r="A1128" s="15" t="s">
        <v>489</v>
      </c>
      <c r="D1128" s="2" t="s">
        <v>220</v>
      </c>
      <c r="E1128" s="2" t="s">
        <v>225</v>
      </c>
    </row>
    <row r="1129" customHeight="1" spans="1:5">
      <c r="A1129" s="15" t="s">
        <v>489</v>
      </c>
      <c r="D1129" s="2" t="s">
        <v>220</v>
      </c>
      <c r="E1129" s="2" t="s">
        <v>225</v>
      </c>
    </row>
    <row r="1130" customHeight="1" spans="1:5">
      <c r="A1130" s="14" t="s">
        <v>491</v>
      </c>
      <c r="D1130" s="2" t="s">
        <v>220</v>
      </c>
      <c r="E1130" s="2" t="s">
        <v>222</v>
      </c>
    </row>
    <row r="1131" customHeight="1" spans="1:5">
      <c r="A1131" s="14" t="s">
        <v>491</v>
      </c>
      <c r="D1131" s="2" t="s">
        <v>220</v>
      </c>
      <c r="E1131" s="2" t="s">
        <v>222</v>
      </c>
    </row>
    <row r="1132" customHeight="1" spans="1:5">
      <c r="A1132" s="14" t="s">
        <v>491</v>
      </c>
      <c r="D1132" s="2" t="s">
        <v>220</v>
      </c>
      <c r="E1132" s="2" t="s">
        <v>222</v>
      </c>
    </row>
    <row r="1133" customHeight="1" spans="1:5">
      <c r="A1133" s="14" t="s">
        <v>491</v>
      </c>
      <c r="D1133" s="2" t="s">
        <v>220</v>
      </c>
      <c r="E1133" s="2" t="s">
        <v>222</v>
      </c>
    </row>
    <row r="1134" customHeight="1" spans="1:5">
      <c r="A1134" s="14" t="s">
        <v>491</v>
      </c>
      <c r="D1134" s="2" t="s">
        <v>220</v>
      </c>
      <c r="E1134" s="2" t="s">
        <v>222</v>
      </c>
    </row>
    <row r="1135" customHeight="1" spans="1:5">
      <c r="A1135" s="15" t="s">
        <v>492</v>
      </c>
      <c r="D1135" s="2" t="s">
        <v>220</v>
      </c>
      <c r="E1135" s="2" t="s">
        <v>224</v>
      </c>
    </row>
    <row r="1136" customHeight="1" spans="1:5">
      <c r="A1136" s="15" t="s">
        <v>492</v>
      </c>
      <c r="D1136" s="2" t="s">
        <v>220</v>
      </c>
      <c r="E1136" s="2" t="s">
        <v>224</v>
      </c>
    </row>
    <row r="1137" customHeight="1" spans="1:5">
      <c r="A1137" s="15" t="s">
        <v>492</v>
      </c>
      <c r="D1137" s="2" t="s">
        <v>220</v>
      </c>
      <c r="E1137" s="2" t="s">
        <v>224</v>
      </c>
    </row>
    <row r="1138" customHeight="1" spans="1:5">
      <c r="A1138" s="15" t="s">
        <v>492</v>
      </c>
      <c r="D1138" s="2" t="s">
        <v>220</v>
      </c>
      <c r="E1138" s="2" t="s">
        <v>224</v>
      </c>
    </row>
    <row r="1139" customHeight="1" spans="1:5">
      <c r="A1139" s="15" t="s">
        <v>492</v>
      </c>
      <c r="D1139" s="2" t="s">
        <v>220</v>
      </c>
      <c r="E1139" s="2" t="s">
        <v>224</v>
      </c>
    </row>
    <row r="1140" customHeight="1" spans="1:5">
      <c r="A1140" s="14" t="s">
        <v>492</v>
      </c>
      <c r="D1140" s="2" t="s">
        <v>220</v>
      </c>
      <c r="E1140" s="2" t="s">
        <v>224</v>
      </c>
    </row>
    <row r="1141" customHeight="1" spans="1:5">
      <c r="A1141" s="14" t="s">
        <v>492</v>
      </c>
      <c r="D1141" s="2" t="s">
        <v>220</v>
      </c>
      <c r="E1141" s="2" t="s">
        <v>224</v>
      </c>
    </row>
    <row r="1142" customHeight="1" spans="1:5">
      <c r="A1142" s="14" t="s">
        <v>492</v>
      </c>
      <c r="D1142" s="2" t="s">
        <v>220</v>
      </c>
      <c r="E1142" s="2" t="s">
        <v>224</v>
      </c>
    </row>
    <row r="1143" customHeight="1" spans="1:5">
      <c r="A1143" s="14" t="s">
        <v>492</v>
      </c>
      <c r="D1143" s="2" t="s">
        <v>220</v>
      </c>
      <c r="E1143" s="2" t="s">
        <v>224</v>
      </c>
    </row>
    <row r="1144" customHeight="1" spans="1:5">
      <c r="A1144" s="14" t="s">
        <v>492</v>
      </c>
      <c r="D1144" s="2" t="s">
        <v>220</v>
      </c>
      <c r="E1144" s="2" t="s">
        <v>224</v>
      </c>
    </row>
    <row r="1145" customHeight="1" spans="1:5">
      <c r="A1145" s="15" t="s">
        <v>493</v>
      </c>
      <c r="D1145" s="2" t="s">
        <v>220</v>
      </c>
      <c r="E1145" s="2" t="s">
        <v>255</v>
      </c>
    </row>
    <row r="1146" customHeight="1" spans="1:5">
      <c r="A1146" s="15" t="s">
        <v>493</v>
      </c>
      <c r="D1146" s="2" t="s">
        <v>220</v>
      </c>
      <c r="E1146" s="2" t="s">
        <v>255</v>
      </c>
    </row>
    <row r="1147" customHeight="1" spans="1:5">
      <c r="A1147" s="15" t="s">
        <v>493</v>
      </c>
      <c r="D1147" s="2" t="s">
        <v>220</v>
      </c>
      <c r="E1147" s="2" t="s">
        <v>255</v>
      </c>
    </row>
    <row r="1148" customHeight="1" spans="1:5">
      <c r="A1148" s="15" t="s">
        <v>493</v>
      </c>
      <c r="D1148" s="2" t="s">
        <v>220</v>
      </c>
      <c r="E1148" s="2" t="s">
        <v>255</v>
      </c>
    </row>
    <row r="1149" customHeight="1" spans="1:5">
      <c r="A1149" s="15" t="s">
        <v>493</v>
      </c>
      <c r="D1149" s="2" t="s">
        <v>220</v>
      </c>
      <c r="E1149" s="2" t="s">
        <v>255</v>
      </c>
    </row>
    <row r="1150" customHeight="1" spans="1:5">
      <c r="A1150" s="14" t="s">
        <v>494</v>
      </c>
      <c r="D1150" s="2" t="s">
        <v>220</v>
      </c>
      <c r="E1150" s="2" t="s">
        <v>225</v>
      </c>
    </row>
    <row r="1151" customHeight="1" spans="1:5">
      <c r="A1151" s="14" t="s">
        <v>494</v>
      </c>
      <c r="D1151" s="2" t="s">
        <v>220</v>
      </c>
      <c r="E1151" s="2" t="s">
        <v>225</v>
      </c>
    </row>
    <row r="1152" customHeight="1" spans="1:5">
      <c r="A1152" s="14" t="s">
        <v>494</v>
      </c>
      <c r="D1152" s="2" t="s">
        <v>220</v>
      </c>
      <c r="E1152" s="2" t="s">
        <v>225</v>
      </c>
    </row>
    <row r="1153" customHeight="1" spans="1:5">
      <c r="A1153" s="14" t="s">
        <v>494</v>
      </c>
      <c r="D1153" s="2" t="s">
        <v>220</v>
      </c>
      <c r="E1153" s="2" t="s">
        <v>225</v>
      </c>
    </row>
    <row r="1154" customHeight="1" spans="1:5">
      <c r="A1154" s="14" t="s">
        <v>494</v>
      </c>
      <c r="D1154" s="2" t="s">
        <v>220</v>
      </c>
      <c r="E1154" s="2" t="s">
        <v>225</v>
      </c>
    </row>
    <row r="1155" customHeight="1" spans="1:5">
      <c r="A1155" s="14" t="s">
        <v>494</v>
      </c>
      <c r="D1155" s="2" t="s">
        <v>220</v>
      </c>
      <c r="E1155" s="2" t="s">
        <v>225</v>
      </c>
    </row>
    <row r="1156" customHeight="1" spans="1:5">
      <c r="A1156" s="14" t="s">
        <v>494</v>
      </c>
      <c r="D1156" s="2" t="s">
        <v>220</v>
      </c>
      <c r="E1156" s="2" t="s">
        <v>225</v>
      </c>
    </row>
    <row r="1157" customHeight="1" spans="1:5">
      <c r="A1157" s="14" t="s">
        <v>494</v>
      </c>
      <c r="D1157" s="2" t="s">
        <v>220</v>
      </c>
      <c r="E1157" s="2" t="s">
        <v>225</v>
      </c>
    </row>
    <row r="1158" customHeight="1" spans="1:5">
      <c r="A1158" s="15" t="s">
        <v>496</v>
      </c>
      <c r="D1158" s="2" t="s">
        <v>220</v>
      </c>
      <c r="E1158" s="2" t="s">
        <v>222</v>
      </c>
    </row>
    <row r="1159" customHeight="1" spans="1:5">
      <c r="A1159" s="15" t="s">
        <v>496</v>
      </c>
      <c r="D1159" s="2" t="s">
        <v>220</v>
      </c>
      <c r="E1159" s="2" t="s">
        <v>222</v>
      </c>
    </row>
    <row r="1160" customHeight="1" spans="1:5">
      <c r="A1160" s="15" t="s">
        <v>496</v>
      </c>
      <c r="D1160" s="2" t="s">
        <v>220</v>
      </c>
      <c r="E1160" s="2" t="s">
        <v>222</v>
      </c>
    </row>
    <row r="1161" customHeight="1" spans="1:5">
      <c r="A1161" s="15" t="s">
        <v>496</v>
      </c>
      <c r="D1161" s="2" t="s">
        <v>220</v>
      </c>
      <c r="E1161" s="2" t="s">
        <v>222</v>
      </c>
    </row>
    <row r="1162" customHeight="1" spans="1:5">
      <c r="A1162" s="15" t="s">
        <v>496</v>
      </c>
      <c r="D1162" s="2" t="s">
        <v>220</v>
      </c>
      <c r="E1162" s="2" t="s">
        <v>222</v>
      </c>
    </row>
    <row r="1163" customHeight="1" spans="1:5">
      <c r="A1163" s="14" t="s">
        <v>497</v>
      </c>
      <c r="D1163" s="2" t="s">
        <v>220</v>
      </c>
      <c r="E1163" s="2" t="s">
        <v>224</v>
      </c>
    </row>
    <row r="1164" customHeight="1" spans="1:5">
      <c r="A1164" s="14" t="s">
        <v>497</v>
      </c>
      <c r="D1164" s="2" t="s">
        <v>220</v>
      </c>
      <c r="E1164" s="2" t="s">
        <v>224</v>
      </c>
    </row>
    <row r="1165" customHeight="1" spans="1:5">
      <c r="A1165" s="14" t="s">
        <v>497</v>
      </c>
      <c r="D1165" s="2" t="s">
        <v>220</v>
      </c>
      <c r="E1165" s="2" t="s">
        <v>224</v>
      </c>
    </row>
    <row r="1166" customHeight="1" spans="1:5">
      <c r="A1166" s="14" t="s">
        <v>497</v>
      </c>
      <c r="D1166" s="2" t="s">
        <v>220</v>
      </c>
      <c r="E1166" s="2" t="s">
        <v>224</v>
      </c>
    </row>
    <row r="1167" customHeight="1" spans="1:5">
      <c r="A1167" s="14" t="s">
        <v>497</v>
      </c>
      <c r="D1167" s="2" t="s">
        <v>220</v>
      </c>
      <c r="E1167" s="2" t="s">
        <v>224</v>
      </c>
    </row>
    <row r="1168" customHeight="1" spans="1:5">
      <c r="A1168" s="15" t="s">
        <v>497</v>
      </c>
      <c r="D1168" s="2" t="s">
        <v>220</v>
      </c>
      <c r="E1168" s="2" t="s">
        <v>224</v>
      </c>
    </row>
    <row r="1169" customHeight="1" spans="1:5">
      <c r="A1169" s="15" t="s">
        <v>497</v>
      </c>
      <c r="D1169" s="2" t="s">
        <v>220</v>
      </c>
      <c r="E1169" s="2" t="s">
        <v>224</v>
      </c>
    </row>
    <row r="1170" customHeight="1" spans="1:5">
      <c r="A1170" s="15" t="s">
        <v>497</v>
      </c>
      <c r="D1170" s="2" t="s">
        <v>220</v>
      </c>
      <c r="E1170" s="2" t="s">
        <v>224</v>
      </c>
    </row>
    <row r="1171" customHeight="1" spans="1:5">
      <c r="A1171" s="15" t="s">
        <v>497</v>
      </c>
      <c r="D1171" s="2" t="s">
        <v>220</v>
      </c>
      <c r="E1171" s="2" t="s">
        <v>224</v>
      </c>
    </row>
    <row r="1172" customHeight="1" spans="1:5">
      <c r="A1172" s="15" t="s">
        <v>497</v>
      </c>
      <c r="D1172" s="2" t="s">
        <v>220</v>
      </c>
      <c r="E1172" s="2" t="s">
        <v>224</v>
      </c>
    </row>
    <row r="1173" customHeight="1" spans="1:5">
      <c r="A1173" s="14" t="s">
        <v>498</v>
      </c>
      <c r="D1173" s="2" t="s">
        <v>220</v>
      </c>
      <c r="E1173" s="2" t="s">
        <v>255</v>
      </c>
    </row>
    <row r="1174" customHeight="1" spans="1:5">
      <c r="A1174" s="14" t="s">
        <v>498</v>
      </c>
      <c r="D1174" s="2" t="s">
        <v>220</v>
      </c>
      <c r="E1174" s="2" t="s">
        <v>255</v>
      </c>
    </row>
    <row r="1175" customHeight="1" spans="1:5">
      <c r="A1175" s="14" t="s">
        <v>498</v>
      </c>
      <c r="D1175" s="2" t="s">
        <v>220</v>
      </c>
      <c r="E1175" s="2" t="s">
        <v>255</v>
      </c>
    </row>
    <row r="1176" customHeight="1" spans="1:5">
      <c r="A1176" s="14" t="s">
        <v>498</v>
      </c>
      <c r="D1176" s="2" t="s">
        <v>220</v>
      </c>
      <c r="E1176" s="2" t="s">
        <v>255</v>
      </c>
    </row>
    <row r="1177" customHeight="1" spans="1:5">
      <c r="A1177" s="14" t="s">
        <v>498</v>
      </c>
      <c r="D1177" s="2" t="s">
        <v>220</v>
      </c>
      <c r="E1177" s="2" t="s">
        <v>255</v>
      </c>
    </row>
    <row r="1178" customHeight="1" spans="1:5">
      <c r="A1178" s="15" t="s">
        <v>499</v>
      </c>
      <c r="D1178" s="2" t="s">
        <v>220</v>
      </c>
      <c r="E1178" s="2" t="s">
        <v>225</v>
      </c>
    </row>
    <row r="1179" customHeight="1" spans="1:5">
      <c r="A1179" s="15" t="s">
        <v>499</v>
      </c>
      <c r="D1179" s="2" t="s">
        <v>220</v>
      </c>
      <c r="E1179" s="2" t="s">
        <v>225</v>
      </c>
    </row>
    <row r="1180" customHeight="1" spans="1:5">
      <c r="A1180" s="15" t="s">
        <v>499</v>
      </c>
      <c r="D1180" s="2" t="s">
        <v>220</v>
      </c>
      <c r="E1180" s="2" t="s">
        <v>225</v>
      </c>
    </row>
    <row r="1181" customHeight="1" spans="1:5">
      <c r="A1181" s="15" t="s">
        <v>499</v>
      </c>
      <c r="D1181" s="2" t="s">
        <v>220</v>
      </c>
      <c r="E1181" s="2" t="s">
        <v>225</v>
      </c>
    </row>
    <row r="1182" customHeight="1" spans="1:5">
      <c r="A1182" s="15" t="s">
        <v>499</v>
      </c>
      <c r="D1182" s="2" t="s">
        <v>220</v>
      </c>
      <c r="E1182" s="2" t="s">
        <v>225</v>
      </c>
    </row>
    <row r="1183" customHeight="1" spans="1:5">
      <c r="A1183" s="15" t="s">
        <v>499</v>
      </c>
      <c r="D1183" s="2" t="s">
        <v>220</v>
      </c>
      <c r="E1183" s="2" t="s">
        <v>225</v>
      </c>
    </row>
    <row r="1184" customHeight="1" spans="1:5">
      <c r="A1184" s="15" t="s">
        <v>499</v>
      </c>
      <c r="D1184" s="2" t="s">
        <v>220</v>
      </c>
      <c r="E1184" s="2" t="s">
        <v>225</v>
      </c>
    </row>
    <row r="1185" customHeight="1" spans="1:5">
      <c r="A1185" s="15" t="s">
        <v>499</v>
      </c>
      <c r="D1185" s="2" t="s">
        <v>220</v>
      </c>
      <c r="E1185" s="2" t="s">
        <v>225</v>
      </c>
    </row>
    <row r="1186" customHeight="1" spans="1:5">
      <c r="A1186" s="14" t="s">
        <v>501</v>
      </c>
      <c r="D1186" s="2" t="s">
        <v>220</v>
      </c>
      <c r="E1186" s="2" t="s">
        <v>222</v>
      </c>
    </row>
    <row r="1187" customHeight="1" spans="1:5">
      <c r="A1187" s="14" t="s">
        <v>501</v>
      </c>
      <c r="D1187" s="2" t="s">
        <v>220</v>
      </c>
      <c r="E1187" s="2" t="s">
        <v>222</v>
      </c>
    </row>
    <row r="1188" customHeight="1" spans="1:5">
      <c r="A1188" s="14" t="s">
        <v>501</v>
      </c>
      <c r="D1188" s="2" t="s">
        <v>220</v>
      </c>
      <c r="E1188" s="2" t="s">
        <v>222</v>
      </c>
    </row>
    <row r="1189" customHeight="1" spans="1:5">
      <c r="A1189" s="14" t="s">
        <v>501</v>
      </c>
      <c r="D1189" s="2" t="s">
        <v>220</v>
      </c>
      <c r="E1189" s="2" t="s">
        <v>222</v>
      </c>
    </row>
    <row r="1190" customHeight="1" spans="1:5">
      <c r="A1190" s="14" t="s">
        <v>501</v>
      </c>
      <c r="D1190" s="2" t="s">
        <v>220</v>
      </c>
      <c r="E1190" s="2" t="s">
        <v>222</v>
      </c>
    </row>
    <row r="1191" customHeight="1" spans="1:5">
      <c r="A1191" s="15" t="s">
        <v>502</v>
      </c>
      <c r="D1191" s="2" t="s">
        <v>220</v>
      </c>
      <c r="E1191" s="2" t="s">
        <v>224</v>
      </c>
    </row>
    <row r="1192" customHeight="1" spans="1:5">
      <c r="A1192" s="15" t="s">
        <v>502</v>
      </c>
      <c r="D1192" s="2" t="s">
        <v>220</v>
      </c>
      <c r="E1192" s="2" t="s">
        <v>224</v>
      </c>
    </row>
    <row r="1193" customHeight="1" spans="1:5">
      <c r="A1193" s="15" t="s">
        <v>502</v>
      </c>
      <c r="D1193" s="2" t="s">
        <v>220</v>
      </c>
      <c r="E1193" s="2" t="s">
        <v>224</v>
      </c>
    </row>
    <row r="1194" customHeight="1" spans="1:5">
      <c r="A1194" s="15" t="s">
        <v>502</v>
      </c>
      <c r="D1194" s="2" t="s">
        <v>220</v>
      </c>
      <c r="E1194" s="2" t="s">
        <v>224</v>
      </c>
    </row>
    <row r="1195" customHeight="1" spans="1:5">
      <c r="A1195" s="15" t="s">
        <v>502</v>
      </c>
      <c r="D1195" s="2" t="s">
        <v>220</v>
      </c>
      <c r="E1195" s="2" t="s">
        <v>224</v>
      </c>
    </row>
    <row r="1196" customHeight="1" spans="1:5">
      <c r="A1196" s="14" t="s">
        <v>502</v>
      </c>
      <c r="D1196" s="2" t="s">
        <v>220</v>
      </c>
      <c r="E1196" s="2" t="s">
        <v>224</v>
      </c>
    </row>
    <row r="1197" customHeight="1" spans="1:5">
      <c r="A1197" s="14" t="s">
        <v>502</v>
      </c>
      <c r="D1197" s="2" t="s">
        <v>220</v>
      </c>
      <c r="E1197" s="2" t="s">
        <v>224</v>
      </c>
    </row>
    <row r="1198" customHeight="1" spans="1:5">
      <c r="A1198" s="14" t="s">
        <v>502</v>
      </c>
      <c r="D1198" s="2" t="s">
        <v>220</v>
      </c>
      <c r="E1198" s="2" t="s">
        <v>224</v>
      </c>
    </row>
    <row r="1199" customHeight="1" spans="1:5">
      <c r="A1199" s="14" t="s">
        <v>502</v>
      </c>
      <c r="D1199" s="2" t="s">
        <v>220</v>
      </c>
      <c r="E1199" s="2" t="s">
        <v>224</v>
      </c>
    </row>
    <row r="1200" customHeight="1" spans="1:5">
      <c r="A1200" s="14" t="s">
        <v>502</v>
      </c>
      <c r="D1200" s="2" t="s">
        <v>220</v>
      </c>
      <c r="E1200" s="2" t="s">
        <v>224</v>
      </c>
    </row>
    <row r="1201" customHeight="1" spans="1:5">
      <c r="A1201" s="15" t="s">
        <v>503</v>
      </c>
      <c r="D1201" s="2" t="s">
        <v>220</v>
      </c>
      <c r="E1201" s="2" t="s">
        <v>255</v>
      </c>
    </row>
    <row r="1202" customHeight="1" spans="1:5">
      <c r="A1202" s="15" t="s">
        <v>503</v>
      </c>
      <c r="D1202" s="2" t="s">
        <v>220</v>
      </c>
      <c r="E1202" s="2" t="s">
        <v>255</v>
      </c>
    </row>
    <row r="1203" customHeight="1" spans="1:5">
      <c r="A1203" s="15" t="s">
        <v>503</v>
      </c>
      <c r="D1203" s="2" t="s">
        <v>220</v>
      </c>
      <c r="E1203" s="2" t="s">
        <v>255</v>
      </c>
    </row>
    <row r="1204" customHeight="1" spans="1:5">
      <c r="A1204" s="15" t="s">
        <v>503</v>
      </c>
      <c r="D1204" s="2" t="s">
        <v>220</v>
      </c>
      <c r="E1204" s="2" t="s">
        <v>255</v>
      </c>
    </row>
    <row r="1205" customHeight="1" spans="1:5">
      <c r="A1205" s="15" t="s">
        <v>503</v>
      </c>
      <c r="D1205" s="2" t="s">
        <v>220</v>
      </c>
      <c r="E1205" s="2" t="s">
        <v>255</v>
      </c>
    </row>
    <row r="1206" customHeight="1" spans="1:5">
      <c r="A1206" s="14" t="s">
        <v>504</v>
      </c>
      <c r="D1206" s="2" t="s">
        <v>220</v>
      </c>
      <c r="E1206" s="2" t="s">
        <v>225</v>
      </c>
    </row>
    <row r="1207" customHeight="1" spans="1:5">
      <c r="A1207" s="14" t="s">
        <v>504</v>
      </c>
      <c r="D1207" s="2" t="s">
        <v>220</v>
      </c>
      <c r="E1207" s="2" t="s">
        <v>225</v>
      </c>
    </row>
    <row r="1208" customHeight="1" spans="1:5">
      <c r="A1208" s="14" t="s">
        <v>504</v>
      </c>
      <c r="D1208" s="2" t="s">
        <v>220</v>
      </c>
      <c r="E1208" s="2" t="s">
        <v>225</v>
      </c>
    </row>
    <row r="1209" customHeight="1" spans="1:5">
      <c r="A1209" s="14" t="s">
        <v>504</v>
      </c>
      <c r="D1209" s="2" t="s">
        <v>220</v>
      </c>
      <c r="E1209" s="2" t="s">
        <v>225</v>
      </c>
    </row>
    <row r="1210" customHeight="1" spans="1:5">
      <c r="A1210" s="14" t="s">
        <v>504</v>
      </c>
      <c r="D1210" s="2" t="s">
        <v>220</v>
      </c>
      <c r="E1210" s="2" t="s">
        <v>225</v>
      </c>
    </row>
    <row r="1211" customHeight="1" spans="1:5">
      <c r="A1211" s="14" t="s">
        <v>504</v>
      </c>
      <c r="D1211" s="2" t="s">
        <v>220</v>
      </c>
      <c r="E1211" s="2" t="s">
        <v>225</v>
      </c>
    </row>
    <row r="1212" customHeight="1" spans="1:5">
      <c r="A1212" s="14" t="s">
        <v>504</v>
      </c>
      <c r="D1212" s="2" t="s">
        <v>220</v>
      </c>
      <c r="E1212" s="2" t="s">
        <v>225</v>
      </c>
    </row>
    <row r="1213" customHeight="1" spans="1:5">
      <c r="A1213" s="14" t="s">
        <v>504</v>
      </c>
      <c r="D1213" s="2" t="s">
        <v>220</v>
      </c>
      <c r="E1213" s="2" t="s">
        <v>225</v>
      </c>
    </row>
    <row r="1214" customHeight="1" spans="1:5">
      <c r="A1214" s="15" t="s">
        <v>506</v>
      </c>
      <c r="D1214" s="2" t="s">
        <v>220</v>
      </c>
      <c r="E1214" s="2" t="s">
        <v>222</v>
      </c>
    </row>
    <row r="1215" customHeight="1" spans="1:5">
      <c r="A1215" s="15" t="s">
        <v>506</v>
      </c>
      <c r="D1215" s="2" t="s">
        <v>220</v>
      </c>
      <c r="E1215" s="2" t="s">
        <v>222</v>
      </c>
    </row>
    <row r="1216" customHeight="1" spans="1:5">
      <c r="A1216" s="15" t="s">
        <v>506</v>
      </c>
      <c r="D1216" s="2" t="s">
        <v>220</v>
      </c>
      <c r="E1216" s="2" t="s">
        <v>222</v>
      </c>
    </row>
    <row r="1217" customHeight="1" spans="1:5">
      <c r="A1217" s="15" t="s">
        <v>506</v>
      </c>
      <c r="D1217" s="2" t="s">
        <v>220</v>
      </c>
      <c r="E1217" s="2" t="s">
        <v>222</v>
      </c>
    </row>
    <row r="1218" customHeight="1" spans="1:5">
      <c r="A1218" s="15" t="s">
        <v>506</v>
      </c>
      <c r="D1218" s="2" t="s">
        <v>220</v>
      </c>
      <c r="E1218" s="2" t="s">
        <v>222</v>
      </c>
    </row>
    <row r="1219" customHeight="1" spans="1:5">
      <c r="A1219" s="14" t="s">
        <v>507</v>
      </c>
      <c r="D1219" s="2" t="s">
        <v>220</v>
      </c>
      <c r="E1219" s="2" t="s">
        <v>224</v>
      </c>
    </row>
    <row r="1220" customHeight="1" spans="1:5">
      <c r="A1220" s="14" t="s">
        <v>507</v>
      </c>
      <c r="D1220" s="2" t="s">
        <v>220</v>
      </c>
      <c r="E1220" s="2" t="s">
        <v>224</v>
      </c>
    </row>
    <row r="1221" customHeight="1" spans="1:5">
      <c r="A1221" s="14" t="s">
        <v>507</v>
      </c>
      <c r="D1221" s="2" t="s">
        <v>220</v>
      </c>
      <c r="E1221" s="2" t="s">
        <v>224</v>
      </c>
    </row>
    <row r="1222" customHeight="1" spans="1:5">
      <c r="A1222" s="14" t="s">
        <v>507</v>
      </c>
      <c r="D1222" s="2" t="s">
        <v>220</v>
      </c>
      <c r="E1222" s="2" t="s">
        <v>224</v>
      </c>
    </row>
    <row r="1223" customHeight="1" spans="1:5">
      <c r="A1223" s="14" t="s">
        <v>507</v>
      </c>
      <c r="D1223" s="2" t="s">
        <v>220</v>
      </c>
      <c r="E1223" s="2" t="s">
        <v>224</v>
      </c>
    </row>
    <row r="1224" customHeight="1" spans="1:5">
      <c r="A1224" s="15" t="s">
        <v>507</v>
      </c>
      <c r="D1224" s="2" t="s">
        <v>220</v>
      </c>
      <c r="E1224" s="2" t="s">
        <v>224</v>
      </c>
    </row>
    <row r="1225" customHeight="1" spans="1:5">
      <c r="A1225" s="15" t="s">
        <v>507</v>
      </c>
      <c r="D1225" s="2" t="s">
        <v>220</v>
      </c>
      <c r="E1225" s="2" t="s">
        <v>224</v>
      </c>
    </row>
    <row r="1226" customHeight="1" spans="1:5">
      <c r="A1226" s="15" t="s">
        <v>507</v>
      </c>
      <c r="D1226" s="2" t="s">
        <v>220</v>
      </c>
      <c r="E1226" s="2" t="s">
        <v>224</v>
      </c>
    </row>
    <row r="1227" customHeight="1" spans="1:5">
      <c r="A1227" s="15" t="s">
        <v>507</v>
      </c>
      <c r="D1227" s="2" t="s">
        <v>220</v>
      </c>
      <c r="E1227" s="2" t="s">
        <v>224</v>
      </c>
    </row>
    <row r="1228" customHeight="1" spans="1:5">
      <c r="A1228" s="15" t="s">
        <v>507</v>
      </c>
      <c r="D1228" s="2" t="s">
        <v>220</v>
      </c>
      <c r="E1228" s="2" t="s">
        <v>224</v>
      </c>
    </row>
    <row r="1229" customHeight="1" spans="1:5">
      <c r="A1229" s="14" t="s">
        <v>508</v>
      </c>
      <c r="D1229" s="2" t="s">
        <v>220</v>
      </c>
      <c r="E1229" s="2" t="s">
        <v>255</v>
      </c>
    </row>
    <row r="1230" customHeight="1" spans="1:5">
      <c r="A1230" s="14" t="s">
        <v>508</v>
      </c>
      <c r="D1230" s="2" t="s">
        <v>220</v>
      </c>
      <c r="E1230" s="2" t="s">
        <v>255</v>
      </c>
    </row>
    <row r="1231" customHeight="1" spans="1:5">
      <c r="A1231" s="14" t="s">
        <v>508</v>
      </c>
      <c r="D1231" s="2" t="s">
        <v>220</v>
      </c>
      <c r="E1231" s="2" t="s">
        <v>255</v>
      </c>
    </row>
    <row r="1232" customHeight="1" spans="1:5">
      <c r="A1232" s="14" t="s">
        <v>508</v>
      </c>
      <c r="D1232" s="2" t="s">
        <v>220</v>
      </c>
      <c r="E1232" s="2" t="s">
        <v>255</v>
      </c>
    </row>
    <row r="1233" customHeight="1" spans="1:5">
      <c r="A1233" s="14" t="s">
        <v>508</v>
      </c>
      <c r="D1233" s="2" t="s">
        <v>220</v>
      </c>
      <c r="E1233" s="2" t="s">
        <v>255</v>
      </c>
    </row>
    <row r="1234" customHeight="1" spans="1:5">
      <c r="A1234" s="15" t="s">
        <v>509</v>
      </c>
      <c r="D1234" s="2" t="s">
        <v>220</v>
      </c>
      <c r="E1234" s="2" t="s">
        <v>225</v>
      </c>
    </row>
    <row r="1235" customHeight="1" spans="1:5">
      <c r="A1235" s="15" t="s">
        <v>509</v>
      </c>
      <c r="D1235" s="2" t="s">
        <v>220</v>
      </c>
      <c r="E1235" s="2" t="s">
        <v>225</v>
      </c>
    </row>
    <row r="1236" customHeight="1" spans="1:5">
      <c r="A1236" s="15" t="s">
        <v>509</v>
      </c>
      <c r="D1236" s="2" t="s">
        <v>220</v>
      </c>
      <c r="E1236" s="2" t="s">
        <v>225</v>
      </c>
    </row>
    <row r="1237" customHeight="1" spans="1:5">
      <c r="A1237" s="15" t="s">
        <v>509</v>
      </c>
      <c r="D1237" s="2" t="s">
        <v>220</v>
      </c>
      <c r="E1237" s="2" t="s">
        <v>225</v>
      </c>
    </row>
    <row r="1238" customHeight="1" spans="1:5">
      <c r="A1238" s="15" t="s">
        <v>509</v>
      </c>
      <c r="D1238" s="2" t="s">
        <v>220</v>
      </c>
      <c r="E1238" s="2" t="s">
        <v>225</v>
      </c>
    </row>
    <row r="1239" customHeight="1" spans="1:5">
      <c r="A1239" s="15" t="s">
        <v>509</v>
      </c>
      <c r="D1239" s="2" t="s">
        <v>220</v>
      </c>
      <c r="E1239" s="2" t="s">
        <v>225</v>
      </c>
    </row>
    <row r="1240" customHeight="1" spans="1:5">
      <c r="A1240" s="15" t="s">
        <v>509</v>
      </c>
      <c r="D1240" s="2" t="s">
        <v>220</v>
      </c>
      <c r="E1240" s="2" t="s">
        <v>225</v>
      </c>
    </row>
    <row r="1241" customHeight="1" spans="1:5">
      <c r="A1241" s="15" t="s">
        <v>509</v>
      </c>
      <c r="D1241" s="2" t="s">
        <v>220</v>
      </c>
      <c r="E1241" s="2" t="s">
        <v>225</v>
      </c>
    </row>
    <row r="1242" customHeight="1" spans="1:5">
      <c r="A1242" s="14" t="s">
        <v>511</v>
      </c>
      <c r="D1242" s="2" t="s">
        <v>220</v>
      </c>
      <c r="E1242" s="2" t="s">
        <v>222</v>
      </c>
    </row>
    <row r="1243" customHeight="1" spans="1:5">
      <c r="A1243" s="14" t="s">
        <v>511</v>
      </c>
      <c r="D1243" s="2" t="s">
        <v>220</v>
      </c>
      <c r="E1243" s="2" t="s">
        <v>222</v>
      </c>
    </row>
    <row r="1244" customHeight="1" spans="1:5">
      <c r="A1244" s="14" t="s">
        <v>511</v>
      </c>
      <c r="D1244" s="2" t="s">
        <v>220</v>
      </c>
      <c r="E1244" s="2" t="s">
        <v>222</v>
      </c>
    </row>
    <row r="1245" customHeight="1" spans="1:5">
      <c r="A1245" s="14" t="s">
        <v>511</v>
      </c>
      <c r="D1245" s="2" t="s">
        <v>220</v>
      </c>
      <c r="E1245" s="2" t="s">
        <v>222</v>
      </c>
    </row>
    <row r="1246" customHeight="1" spans="1:5">
      <c r="A1246" s="14" t="s">
        <v>511</v>
      </c>
      <c r="D1246" s="2" t="s">
        <v>220</v>
      </c>
      <c r="E1246" s="2" t="s">
        <v>222</v>
      </c>
    </row>
    <row r="1247" customHeight="1" spans="1:5">
      <c r="A1247" s="15" t="s">
        <v>512</v>
      </c>
      <c r="D1247" s="2" t="s">
        <v>220</v>
      </c>
      <c r="E1247" s="2" t="s">
        <v>224</v>
      </c>
    </row>
    <row r="1248" customHeight="1" spans="1:5">
      <c r="A1248" s="15" t="s">
        <v>512</v>
      </c>
      <c r="D1248" s="2" t="s">
        <v>220</v>
      </c>
      <c r="E1248" s="2" t="s">
        <v>224</v>
      </c>
    </row>
    <row r="1249" customHeight="1" spans="1:5">
      <c r="A1249" s="15" t="s">
        <v>512</v>
      </c>
      <c r="D1249" s="2" t="s">
        <v>220</v>
      </c>
      <c r="E1249" s="2" t="s">
        <v>224</v>
      </c>
    </row>
    <row r="1250" customHeight="1" spans="1:5">
      <c r="A1250" s="15" t="s">
        <v>512</v>
      </c>
      <c r="D1250" s="2" t="s">
        <v>220</v>
      </c>
      <c r="E1250" s="2" t="s">
        <v>224</v>
      </c>
    </row>
    <row r="1251" customHeight="1" spans="1:5">
      <c r="A1251" s="15" t="s">
        <v>512</v>
      </c>
      <c r="D1251" s="2" t="s">
        <v>220</v>
      </c>
      <c r="E1251" s="2" t="s">
        <v>224</v>
      </c>
    </row>
    <row r="1252" customHeight="1" spans="1:5">
      <c r="A1252" s="14" t="s">
        <v>512</v>
      </c>
      <c r="D1252" s="2" t="s">
        <v>220</v>
      </c>
      <c r="E1252" s="2" t="s">
        <v>224</v>
      </c>
    </row>
    <row r="1253" customHeight="1" spans="1:5">
      <c r="A1253" s="14" t="s">
        <v>512</v>
      </c>
      <c r="D1253" s="2" t="s">
        <v>220</v>
      </c>
      <c r="E1253" s="2" t="s">
        <v>224</v>
      </c>
    </row>
    <row r="1254" customHeight="1" spans="1:5">
      <c r="A1254" s="14" t="s">
        <v>512</v>
      </c>
      <c r="D1254" s="2" t="s">
        <v>220</v>
      </c>
      <c r="E1254" s="2" t="s">
        <v>224</v>
      </c>
    </row>
    <row r="1255" customHeight="1" spans="1:5">
      <c r="A1255" s="14" t="s">
        <v>512</v>
      </c>
      <c r="D1255" s="2" t="s">
        <v>220</v>
      </c>
      <c r="E1255" s="2" t="s">
        <v>224</v>
      </c>
    </row>
    <row r="1256" customHeight="1" spans="1:5">
      <c r="A1256" s="14" t="s">
        <v>512</v>
      </c>
      <c r="D1256" s="2" t="s">
        <v>220</v>
      </c>
      <c r="E1256" s="2" t="s">
        <v>224</v>
      </c>
    </row>
    <row r="1257" customHeight="1" spans="1:5">
      <c r="A1257" s="15" t="s">
        <v>513</v>
      </c>
      <c r="D1257" s="2" t="s">
        <v>220</v>
      </c>
      <c r="E1257" s="2" t="s">
        <v>255</v>
      </c>
    </row>
    <row r="1258" customHeight="1" spans="1:5">
      <c r="A1258" s="15" t="s">
        <v>513</v>
      </c>
      <c r="D1258" s="2" t="s">
        <v>220</v>
      </c>
      <c r="E1258" s="2" t="s">
        <v>255</v>
      </c>
    </row>
    <row r="1259" customHeight="1" spans="1:5">
      <c r="A1259" s="15" t="s">
        <v>513</v>
      </c>
      <c r="D1259" s="2" t="s">
        <v>220</v>
      </c>
      <c r="E1259" s="2" t="s">
        <v>255</v>
      </c>
    </row>
    <row r="1260" customHeight="1" spans="1:5">
      <c r="A1260" s="15" t="s">
        <v>513</v>
      </c>
      <c r="D1260" s="2" t="s">
        <v>220</v>
      </c>
      <c r="E1260" s="2" t="s">
        <v>255</v>
      </c>
    </row>
    <row r="1261" customHeight="1" spans="1:5">
      <c r="A1261" s="15" t="s">
        <v>513</v>
      </c>
      <c r="D1261" s="2" t="s">
        <v>220</v>
      </c>
      <c r="E1261" s="2" t="s">
        <v>255</v>
      </c>
    </row>
    <row r="1262" customHeight="1" spans="1:5">
      <c r="A1262" s="14" t="s">
        <v>514</v>
      </c>
      <c r="D1262" s="2" t="s">
        <v>220</v>
      </c>
      <c r="E1262" s="2" t="s">
        <v>225</v>
      </c>
    </row>
    <row r="1263" customHeight="1" spans="1:5">
      <c r="A1263" s="14" t="s">
        <v>514</v>
      </c>
      <c r="D1263" s="2" t="s">
        <v>220</v>
      </c>
      <c r="E1263" s="2" t="s">
        <v>225</v>
      </c>
    </row>
    <row r="1264" customHeight="1" spans="1:5">
      <c r="A1264" s="14" t="s">
        <v>514</v>
      </c>
      <c r="D1264" s="2" t="s">
        <v>220</v>
      </c>
      <c r="E1264" s="2" t="s">
        <v>225</v>
      </c>
    </row>
    <row r="1265" customHeight="1" spans="1:5">
      <c r="A1265" s="14" t="s">
        <v>514</v>
      </c>
      <c r="D1265" s="2" t="s">
        <v>220</v>
      </c>
      <c r="E1265" s="2" t="s">
        <v>225</v>
      </c>
    </row>
    <row r="1266" customHeight="1" spans="1:5">
      <c r="A1266" s="14" t="s">
        <v>514</v>
      </c>
      <c r="D1266" s="2" t="s">
        <v>220</v>
      </c>
      <c r="E1266" s="2" t="s">
        <v>225</v>
      </c>
    </row>
    <row r="1267" customHeight="1" spans="1:5">
      <c r="A1267" s="14" t="s">
        <v>514</v>
      </c>
      <c r="D1267" s="2" t="s">
        <v>220</v>
      </c>
      <c r="E1267" s="2" t="s">
        <v>225</v>
      </c>
    </row>
    <row r="1268" customHeight="1" spans="1:5">
      <c r="A1268" s="14" t="s">
        <v>514</v>
      </c>
      <c r="D1268" s="2" t="s">
        <v>220</v>
      </c>
      <c r="E1268" s="2" t="s">
        <v>225</v>
      </c>
    </row>
    <row r="1269" customHeight="1" spans="1:5">
      <c r="A1269" s="14" t="s">
        <v>514</v>
      </c>
      <c r="D1269" s="2" t="s">
        <v>220</v>
      </c>
      <c r="E1269" s="2" t="s">
        <v>225</v>
      </c>
    </row>
    <row r="1270" customHeight="1" spans="1:5">
      <c r="A1270" s="15" t="s">
        <v>516</v>
      </c>
      <c r="D1270" s="2" t="s">
        <v>220</v>
      </c>
      <c r="E1270" s="2" t="s">
        <v>222</v>
      </c>
    </row>
    <row r="1271" customHeight="1" spans="1:5">
      <c r="A1271" s="15" t="s">
        <v>516</v>
      </c>
      <c r="D1271" s="2" t="s">
        <v>220</v>
      </c>
      <c r="E1271" s="2" t="s">
        <v>222</v>
      </c>
    </row>
    <row r="1272" customHeight="1" spans="1:5">
      <c r="A1272" s="15" t="s">
        <v>516</v>
      </c>
      <c r="D1272" s="2" t="s">
        <v>220</v>
      </c>
      <c r="E1272" s="2" t="s">
        <v>222</v>
      </c>
    </row>
    <row r="1273" customHeight="1" spans="1:5">
      <c r="A1273" s="15" t="s">
        <v>516</v>
      </c>
      <c r="D1273" s="2" t="s">
        <v>220</v>
      </c>
      <c r="E1273" s="2" t="s">
        <v>222</v>
      </c>
    </row>
    <row r="1274" customHeight="1" spans="1:5">
      <c r="A1274" s="15" t="s">
        <v>516</v>
      </c>
      <c r="D1274" s="2" t="s">
        <v>220</v>
      </c>
      <c r="E1274" s="2" t="s">
        <v>222</v>
      </c>
    </row>
    <row r="1275" customHeight="1" spans="1:5">
      <c r="A1275" s="14" t="s">
        <v>517</v>
      </c>
      <c r="D1275" s="2" t="s">
        <v>220</v>
      </c>
      <c r="E1275" s="2" t="s">
        <v>224</v>
      </c>
    </row>
    <row r="1276" customHeight="1" spans="1:5">
      <c r="A1276" s="14" t="s">
        <v>517</v>
      </c>
      <c r="D1276" s="2" t="s">
        <v>220</v>
      </c>
      <c r="E1276" s="2" t="s">
        <v>224</v>
      </c>
    </row>
    <row r="1277" customHeight="1" spans="1:5">
      <c r="A1277" s="14" t="s">
        <v>517</v>
      </c>
      <c r="D1277" s="2" t="s">
        <v>220</v>
      </c>
      <c r="E1277" s="2" t="s">
        <v>224</v>
      </c>
    </row>
    <row r="1278" customHeight="1" spans="1:5">
      <c r="A1278" s="14" t="s">
        <v>517</v>
      </c>
      <c r="D1278" s="2" t="s">
        <v>220</v>
      </c>
      <c r="E1278" s="2" t="s">
        <v>224</v>
      </c>
    </row>
    <row r="1279" customHeight="1" spans="1:5">
      <c r="A1279" s="14" t="s">
        <v>517</v>
      </c>
      <c r="D1279" s="2" t="s">
        <v>220</v>
      </c>
      <c r="E1279" s="2" t="s">
        <v>224</v>
      </c>
    </row>
    <row r="1280" customHeight="1" spans="1:5">
      <c r="A1280" s="15" t="s">
        <v>517</v>
      </c>
      <c r="D1280" s="2" t="s">
        <v>220</v>
      </c>
      <c r="E1280" s="2" t="s">
        <v>224</v>
      </c>
    </row>
    <row r="1281" customHeight="1" spans="1:5">
      <c r="A1281" s="15" t="s">
        <v>517</v>
      </c>
      <c r="D1281" s="2" t="s">
        <v>220</v>
      </c>
      <c r="E1281" s="2" t="s">
        <v>224</v>
      </c>
    </row>
    <row r="1282" customHeight="1" spans="1:5">
      <c r="A1282" s="15" t="s">
        <v>517</v>
      </c>
      <c r="D1282" s="2" t="s">
        <v>220</v>
      </c>
      <c r="E1282" s="2" t="s">
        <v>224</v>
      </c>
    </row>
    <row r="1283" customHeight="1" spans="1:5">
      <c r="A1283" s="15" t="s">
        <v>517</v>
      </c>
      <c r="D1283" s="2" t="s">
        <v>220</v>
      </c>
      <c r="E1283" s="2" t="s">
        <v>224</v>
      </c>
    </row>
    <row r="1284" customHeight="1" spans="1:5">
      <c r="A1284" s="15" t="s">
        <v>517</v>
      </c>
      <c r="D1284" s="2" t="s">
        <v>220</v>
      </c>
      <c r="E1284" s="2" t="s">
        <v>224</v>
      </c>
    </row>
    <row r="1285" customHeight="1" spans="1:5">
      <c r="A1285" s="14" t="s">
        <v>518</v>
      </c>
      <c r="D1285" s="2" t="s">
        <v>220</v>
      </c>
      <c r="E1285" s="2" t="s">
        <v>255</v>
      </c>
    </row>
    <row r="1286" customHeight="1" spans="1:5">
      <c r="A1286" s="14" t="s">
        <v>518</v>
      </c>
      <c r="D1286" s="2" t="s">
        <v>220</v>
      </c>
      <c r="E1286" s="2" t="s">
        <v>255</v>
      </c>
    </row>
    <row r="1287" customHeight="1" spans="1:5">
      <c r="A1287" s="14" t="s">
        <v>518</v>
      </c>
      <c r="D1287" s="2" t="s">
        <v>220</v>
      </c>
      <c r="E1287" s="2" t="s">
        <v>255</v>
      </c>
    </row>
    <row r="1288" customHeight="1" spans="1:5">
      <c r="A1288" s="14" t="s">
        <v>518</v>
      </c>
      <c r="D1288" s="2" t="s">
        <v>220</v>
      </c>
      <c r="E1288" s="2" t="s">
        <v>255</v>
      </c>
    </row>
    <row r="1289" customHeight="1" spans="1:5">
      <c r="A1289" s="14" t="s">
        <v>518</v>
      </c>
      <c r="D1289" s="2" t="s">
        <v>220</v>
      </c>
      <c r="E1289" s="2" t="s">
        <v>255</v>
      </c>
    </row>
    <row r="1290" customHeight="1" spans="1:5">
      <c r="A1290" s="15" t="s">
        <v>519</v>
      </c>
      <c r="D1290" s="2" t="s">
        <v>220</v>
      </c>
      <c r="E1290" s="2" t="s">
        <v>225</v>
      </c>
    </row>
    <row r="1291" customHeight="1" spans="1:5">
      <c r="A1291" s="15" t="s">
        <v>519</v>
      </c>
      <c r="D1291" s="2" t="s">
        <v>220</v>
      </c>
      <c r="E1291" s="2" t="s">
        <v>225</v>
      </c>
    </row>
    <row r="1292" customHeight="1" spans="1:5">
      <c r="A1292" s="15" t="s">
        <v>519</v>
      </c>
      <c r="D1292" s="2" t="s">
        <v>220</v>
      </c>
      <c r="E1292" s="2" t="s">
        <v>225</v>
      </c>
    </row>
    <row r="1293" customHeight="1" spans="1:5">
      <c r="A1293" s="15" t="s">
        <v>519</v>
      </c>
      <c r="D1293" s="2" t="s">
        <v>220</v>
      </c>
      <c r="E1293" s="2" t="s">
        <v>225</v>
      </c>
    </row>
    <row r="1294" customHeight="1" spans="1:5">
      <c r="A1294" s="15" t="s">
        <v>519</v>
      </c>
      <c r="D1294" s="2" t="s">
        <v>220</v>
      </c>
      <c r="E1294" s="2" t="s">
        <v>225</v>
      </c>
    </row>
    <row r="1295" customHeight="1" spans="1:5">
      <c r="A1295" s="15" t="s">
        <v>519</v>
      </c>
      <c r="D1295" s="2" t="s">
        <v>220</v>
      </c>
      <c r="E1295" s="2" t="s">
        <v>225</v>
      </c>
    </row>
    <row r="1296" customHeight="1" spans="1:5">
      <c r="A1296" s="15" t="s">
        <v>519</v>
      </c>
      <c r="D1296" s="2" t="s">
        <v>220</v>
      </c>
      <c r="E1296" s="2" t="s">
        <v>225</v>
      </c>
    </row>
    <row r="1297" customHeight="1" spans="1:5">
      <c r="A1297" s="15" t="s">
        <v>519</v>
      </c>
      <c r="D1297" s="2" t="s">
        <v>220</v>
      </c>
      <c r="E1297" s="2" t="s">
        <v>225</v>
      </c>
    </row>
  </sheetData>
  <mergeCells count="1">
    <mergeCell ref="AA1:AA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3:AH3"/>
  <sheetViews>
    <sheetView workbookViewId="0">
      <selection activeCell="I37" sqref="I37"/>
    </sheetView>
  </sheetViews>
  <sheetFormatPr defaultColWidth="9" defaultRowHeight="13.5" outlineLevelRow="2"/>
  <sheetData>
    <row r="3" ht="20" customHeight="1" spans="1:34">
      <c r="A3" s="1" t="s">
        <v>614</v>
      </c>
      <c r="B3" s="1" t="s">
        <v>615</v>
      </c>
      <c r="C3" s="2">
        <v>1</v>
      </c>
      <c r="D3" s="2" t="s">
        <v>220</v>
      </c>
      <c r="E3" s="2" t="s">
        <v>616</v>
      </c>
      <c r="F3" s="2" t="s">
        <v>123</v>
      </c>
      <c r="G3" s="2">
        <v>2</v>
      </c>
      <c r="H3" s="2" t="s">
        <v>145</v>
      </c>
      <c r="I3" s="2">
        <v>1</v>
      </c>
      <c r="J3" s="2"/>
      <c r="K3" s="2"/>
      <c r="L3" s="2">
        <f>IFERROR(VLOOKUP($D3&amp;$C3,生产方式定位!$A$2:$E$39,2,FALSE)+VLOOKUP($E3&amp;$C3,生产方式定位!$F$3:$J$39,2,FALSE),0)</f>
        <v>0</v>
      </c>
      <c r="M3" s="2" t="s">
        <v>207</v>
      </c>
      <c r="N3" s="2">
        <v>30</v>
      </c>
      <c r="O3" s="2" t="s">
        <v>196</v>
      </c>
      <c r="P3" s="2">
        <v>1</v>
      </c>
      <c r="Q3" s="2">
        <f>IFERROR(VLOOKUP($D3&amp;$C3,生产方式定位!$A$2:$E$39,3,FALSE)+VLOOKUP($E3&amp;$C3,生产方式定位!$F$3:$J$39,3,FALSE),0)</f>
        <v>0</v>
      </c>
      <c r="R3" s="2" t="s">
        <v>129</v>
      </c>
      <c r="S3" s="2">
        <v>1</v>
      </c>
      <c r="T3" s="2"/>
      <c r="U3" s="2">
        <v>0</v>
      </c>
      <c r="V3" s="2" t="str">
        <f>IFERROR(VLOOKUP($D3&amp;$C3,生产方式定位!$A$2:$E$39,5,FALSE)+VLOOKUP($E3&amp;$C3,生产方式定位!$F$3:$J$39,5,FALSE),"错误")</f>
        <v>错误</v>
      </c>
      <c r="W3" s="3" t="str">
        <f>IF(AB3="","",AB3)&amp;IF(AC3="","",","&amp;AC3)&amp;IF(AD3="","",","&amp;AD3)</f>
        <v>铁*0,工具*0</v>
      </c>
      <c r="X3" s="4" t="str">
        <f>IF(AE3="","",AE3)&amp;IF(AF3="","",","&amp;AF3)</f>
        <v>劳工*0,资本家*0</v>
      </c>
      <c r="Y3" s="4" t="str">
        <f>IF(AG3="","",AG3)&amp;IF(AH3="","",","&amp;AH3)</f>
        <v/>
      </c>
      <c r="Z3" s="5" t="str">
        <f>IFERROR(ROUND(L3/V3,2),"")</f>
        <v/>
      </c>
      <c r="AA3" s="6">
        <f>C3</f>
        <v>1</v>
      </c>
      <c r="AB3" t="str">
        <f>IFERROR(F3&amp;"*"&amp;ROUND(L3*(G3/(G3+I3+K3))/VLOOKUP(F3,商品!$A$4:$D$67,4,FALSE),0),"")</f>
        <v>铁*0</v>
      </c>
      <c r="AC3" t="str">
        <f>IFERROR(H3&amp;"*"&amp;ROUND(L3*(I3/(G3+I3+K3))/VLOOKUP(H3,商品!$A$4:$D$67,4,FALSE),0),"")</f>
        <v>工具*0</v>
      </c>
      <c r="AD3" t="str">
        <f>IFERROR(J3&amp;"*"&amp;ROUND(L3*(K3/(G3+I3+K3))/VLOOKUP(J3,商品!$A$4:$D$67,4,FALSE),0),"")</f>
        <v/>
      </c>
      <c r="AE3" t="str">
        <f>IFERROR(M3&amp;"*"&amp;ROUND(Q3*(N3/(N3+P3))/VLOOKUP(M3,职业!$A$3:$E$16,4,FALSE),0),"")</f>
        <v>劳工*0</v>
      </c>
      <c r="AF3" t="str">
        <f>IFERROR(O3&amp;"*"&amp;ROUND(Q3*(P3/(N3+P3))/VLOOKUP(O3,职业!$A$3:$E$16,4,FALSE),0),"")</f>
        <v>资本家*0</v>
      </c>
      <c r="AG3" t="str">
        <f>IFERROR(R3&amp;"*"&amp;ROUND(V3*(S3/(S3+U3))/VLOOKUP(R3,商品!$A$4:$D$67,4,FALSE),0),"")</f>
        <v/>
      </c>
      <c r="AH3" t="str">
        <f>IFERROR(T3&amp;"*"&amp;ROUND(V3*(U3/(S3+U3))/VLOOKUP(T3,商品!$A$4:$D$67,4,FALSE),0),"")</f>
        <v/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商品定位</vt:lpstr>
      <vt:lpstr>商品</vt:lpstr>
      <vt:lpstr>生活水平</vt:lpstr>
      <vt:lpstr>职业</vt:lpstr>
      <vt:lpstr>建筑</vt:lpstr>
      <vt:lpstr>生产方式组</vt:lpstr>
      <vt:lpstr>生产方式定位</vt:lpstr>
      <vt:lpstr>生产方式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2022-06-14T17:51:29Z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2052-11.1.0.11744</vt:lpwstr>
  </property>
</Properties>
</file>